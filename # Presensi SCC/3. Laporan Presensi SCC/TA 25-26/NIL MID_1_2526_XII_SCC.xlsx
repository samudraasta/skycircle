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RIKULUM 2023\1. MID 1 2026\FORM NIL MID_1_2526\"/>
    </mc:Choice>
  </mc:AlternateContent>
  <xr:revisionPtr revIDLastSave="0" documentId="13_ncr:1_{3315E0A7-28E7-4CAD-BE0A-7FB8A733F914}" xr6:coauthVersionLast="47" xr6:coauthVersionMax="47" xr10:uidLastSave="{00000000-0000-0000-0000-000000000000}"/>
  <bookViews>
    <workbookView xWindow="-110" yWindow="-110" windowWidth="19420" windowHeight="10300" firstSheet="3" activeTab="11" xr2:uid="{C53B123B-6486-4917-B7F1-175CD5ED3E75}"/>
  </bookViews>
  <sheets>
    <sheet name="XII A1" sheetId="14" r:id="rId1"/>
    <sheet name="XII A2" sheetId="18" r:id="rId2"/>
    <sheet name="XII B1" sheetId="19" r:id="rId3"/>
    <sheet name="XII B2" sheetId="15" r:id="rId4"/>
    <sheet name="XII C1" sheetId="16" r:id="rId5"/>
    <sheet name="XII C2" sheetId="20" r:id="rId6"/>
    <sheet name="XII D1" sheetId="1" r:id="rId7"/>
    <sheet name="XII D2" sheetId="2" r:id="rId8"/>
    <sheet name="XII E" sheetId="3" r:id="rId9"/>
    <sheet name="XII F" sheetId="4" r:id="rId10"/>
    <sheet name="XII G1" sheetId="5" r:id="rId11"/>
    <sheet name="XII G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9" i="20" l="1"/>
  <c r="W49" i="20" s="1"/>
  <c r="X49" i="20" s="1"/>
  <c r="AA49" i="20" s="1"/>
  <c r="S48" i="20"/>
  <c r="W48" i="20" s="1"/>
  <c r="X48" i="20" s="1"/>
  <c r="AA48" i="20" s="1"/>
  <c r="S47" i="20"/>
  <c r="W47" i="20" s="1"/>
  <c r="X47" i="20" s="1"/>
  <c r="AA47" i="20" s="1"/>
  <c r="S45" i="20"/>
  <c r="W45" i="20" s="1"/>
  <c r="X45" i="20" s="1"/>
  <c r="AA45" i="20" s="1"/>
  <c r="S44" i="20"/>
  <c r="W44" i="20" s="1"/>
  <c r="X44" i="20" s="1"/>
  <c r="AA44" i="20" s="1"/>
  <c r="S43" i="20"/>
  <c r="W43" i="20" s="1"/>
  <c r="X43" i="20" s="1"/>
  <c r="AA43" i="20" s="1"/>
  <c r="S42" i="20"/>
  <c r="W42" i="20" s="1"/>
  <c r="X42" i="20" s="1"/>
  <c r="AA42" i="20" s="1"/>
  <c r="S38" i="20"/>
  <c r="W38" i="20" s="1"/>
  <c r="X38" i="20" s="1"/>
  <c r="AA38" i="20" s="1"/>
  <c r="S37" i="20"/>
  <c r="W37" i="20" s="1"/>
  <c r="X37" i="20" s="1"/>
  <c r="AA37" i="20" s="1"/>
  <c r="S34" i="20"/>
  <c r="W34" i="20" s="1"/>
  <c r="X34" i="20" s="1"/>
  <c r="AA34" i="20" s="1"/>
  <c r="S33" i="20"/>
  <c r="W33" i="20" s="1"/>
  <c r="X33" i="20" s="1"/>
  <c r="AA33" i="20" s="1"/>
  <c r="S32" i="20"/>
  <c r="W32" i="20" s="1"/>
  <c r="X32" i="20" s="1"/>
  <c r="AA32" i="20" s="1"/>
  <c r="S31" i="20"/>
  <c r="W31" i="20" s="1"/>
  <c r="X31" i="20" s="1"/>
  <c r="AA31" i="20" s="1"/>
  <c r="S30" i="20"/>
  <c r="W30" i="20" s="1"/>
  <c r="X30" i="20" s="1"/>
  <c r="AA30" i="20" s="1"/>
  <c r="S26" i="20"/>
  <c r="W26" i="20" s="1"/>
  <c r="X26" i="20" s="1"/>
  <c r="AA26" i="20" s="1"/>
  <c r="S25" i="20"/>
  <c r="W25" i="20" s="1"/>
  <c r="X25" i="20" s="1"/>
  <c r="AA25" i="20" s="1"/>
  <c r="S24" i="20"/>
  <c r="W24" i="20" s="1"/>
  <c r="X24" i="20" s="1"/>
  <c r="AA24" i="20" s="1"/>
  <c r="S21" i="20"/>
  <c r="W21" i="20" s="1"/>
  <c r="X21" i="20" s="1"/>
  <c r="AA21" i="20" s="1"/>
  <c r="S20" i="20"/>
  <c r="W20" i="20" s="1"/>
  <c r="X20" i="20" s="1"/>
  <c r="AA20" i="20" s="1"/>
  <c r="S19" i="20"/>
  <c r="W19" i="20" s="1"/>
  <c r="X19" i="20" s="1"/>
  <c r="AA19" i="20" s="1"/>
  <c r="S18" i="20"/>
  <c r="W18" i="20" s="1"/>
  <c r="X18" i="20" s="1"/>
  <c r="AA18" i="20" s="1"/>
  <c r="S14" i="20"/>
  <c r="W14" i="20" s="1"/>
  <c r="X14" i="20" s="1"/>
  <c r="AA14" i="20" s="1"/>
  <c r="S17" i="16"/>
  <c r="W17" i="16" s="1"/>
  <c r="X17" i="16" s="1"/>
  <c r="AA17" i="16" s="1"/>
  <c r="S21" i="16"/>
  <c r="W21" i="16" s="1"/>
  <c r="X21" i="16" s="1"/>
  <c r="AA21" i="16" s="1"/>
  <c r="S23" i="16"/>
  <c r="W23" i="16" s="1"/>
  <c r="X23" i="16" s="1"/>
  <c r="AA23" i="16" s="1"/>
  <c r="S24" i="16"/>
  <c r="W24" i="16" s="1"/>
  <c r="X24" i="16" s="1"/>
  <c r="AA24" i="16" s="1"/>
  <c r="S25" i="16"/>
  <c r="W25" i="16" s="1"/>
  <c r="X25" i="16" s="1"/>
  <c r="AA25" i="16" s="1"/>
  <c r="S27" i="16"/>
  <c r="W27" i="16" s="1"/>
  <c r="X27" i="16" s="1"/>
  <c r="AA27" i="16" s="1"/>
  <c r="S29" i="16"/>
  <c r="W29" i="16" s="1"/>
  <c r="X29" i="16" s="1"/>
  <c r="AA29" i="16" s="1"/>
  <c r="S33" i="16"/>
  <c r="W33" i="16" s="1"/>
  <c r="X33" i="16" s="1"/>
  <c r="AA33" i="16" s="1"/>
  <c r="S35" i="16"/>
  <c r="W35" i="16" s="1"/>
  <c r="X35" i="16" s="1"/>
  <c r="AA35" i="16" s="1"/>
  <c r="S36" i="16"/>
  <c r="W36" i="16" s="1"/>
  <c r="X36" i="16" s="1"/>
  <c r="AA36" i="16" s="1"/>
  <c r="S37" i="16"/>
  <c r="W37" i="16" s="1"/>
  <c r="X37" i="16" s="1"/>
  <c r="AA37" i="16" s="1"/>
  <c r="S39" i="16"/>
  <c r="W39" i="16" s="1"/>
  <c r="X39" i="16" s="1"/>
  <c r="AA39" i="16" s="1"/>
  <c r="S41" i="16"/>
  <c r="W41" i="16" s="1"/>
  <c r="X41" i="16" s="1"/>
  <c r="AA41" i="16" s="1"/>
  <c r="S45" i="16"/>
  <c r="W45" i="16" s="1"/>
  <c r="X45" i="16" s="1"/>
  <c r="AA45" i="16" s="1"/>
  <c r="S47" i="16"/>
  <c r="W47" i="16" s="1"/>
  <c r="X47" i="16" s="1"/>
  <c r="AA47" i="16" s="1"/>
  <c r="S48" i="16"/>
  <c r="W48" i="16" s="1"/>
  <c r="X48" i="16" s="1"/>
  <c r="AA48" i="16" s="1"/>
  <c r="S13" i="16"/>
  <c r="W13" i="16" s="1"/>
  <c r="X13" i="16" s="1"/>
  <c r="AA13" i="16" s="1"/>
  <c r="S14" i="15"/>
  <c r="W14" i="15" s="1"/>
  <c r="X14" i="15" s="1"/>
  <c r="AA14" i="15" s="1"/>
  <c r="S16" i="15"/>
  <c r="W16" i="15" s="1"/>
  <c r="X16" i="15" s="1"/>
  <c r="AA16" i="15" s="1"/>
  <c r="S18" i="15"/>
  <c r="W18" i="15" s="1"/>
  <c r="X18" i="15" s="1"/>
  <c r="AA18" i="15" s="1"/>
  <c r="S20" i="15"/>
  <c r="W20" i="15" s="1"/>
  <c r="X20" i="15" s="1"/>
  <c r="AA20" i="15" s="1"/>
  <c r="S21" i="15"/>
  <c r="W21" i="15" s="1"/>
  <c r="X21" i="15" s="1"/>
  <c r="AA21" i="15" s="1"/>
  <c r="S22" i="15"/>
  <c r="W22" i="15" s="1"/>
  <c r="X22" i="15" s="1"/>
  <c r="AA22" i="15" s="1"/>
  <c r="S25" i="15"/>
  <c r="W25" i="15" s="1"/>
  <c r="X25" i="15" s="1"/>
  <c r="AA25" i="15" s="1"/>
  <c r="S28" i="15"/>
  <c r="W28" i="15" s="1"/>
  <c r="X28" i="15" s="1"/>
  <c r="AA28" i="15" s="1"/>
  <c r="S29" i="15"/>
  <c r="W29" i="15" s="1"/>
  <c r="X29" i="15" s="1"/>
  <c r="AA29" i="15" s="1"/>
  <c r="S30" i="15"/>
  <c r="W30" i="15" s="1"/>
  <c r="X30" i="15" s="1"/>
  <c r="AA30" i="15" s="1"/>
  <c r="S32" i="15"/>
  <c r="W32" i="15" s="1"/>
  <c r="X32" i="15" s="1"/>
  <c r="AA32" i="15" s="1"/>
  <c r="S33" i="15"/>
  <c r="W33" i="15" s="1"/>
  <c r="X33" i="15" s="1"/>
  <c r="AA33" i="15" s="1"/>
  <c r="S34" i="15"/>
  <c r="W34" i="15" s="1"/>
  <c r="X34" i="15" s="1"/>
  <c r="AA34" i="15" s="1"/>
  <c r="S38" i="15"/>
  <c r="W38" i="15" s="1"/>
  <c r="X38" i="15" s="1"/>
  <c r="AA38" i="15" s="1"/>
  <c r="S40" i="15"/>
  <c r="W40" i="15" s="1"/>
  <c r="X40" i="15" s="1"/>
  <c r="AA40" i="15" s="1"/>
  <c r="S41" i="15"/>
  <c r="W41" i="15" s="1"/>
  <c r="X41" i="15" s="1"/>
  <c r="AA41" i="15" s="1"/>
  <c r="S42" i="15"/>
  <c r="W42" i="15" s="1"/>
  <c r="X42" i="15" s="1"/>
  <c r="AA42" i="15" s="1"/>
  <c r="S45" i="15"/>
  <c r="W45" i="15" s="1"/>
  <c r="X45" i="15" s="1"/>
  <c r="AA45" i="15" s="1"/>
  <c r="S46" i="15"/>
  <c r="W46" i="15" s="1"/>
  <c r="X46" i="15" s="1"/>
  <c r="AA46" i="15" s="1"/>
  <c r="S13" i="15"/>
  <c r="W13" i="15" s="1"/>
  <c r="X13" i="15" s="1"/>
  <c r="AA13" i="15" s="1"/>
  <c r="S16" i="19"/>
  <c r="W16" i="19" s="1"/>
  <c r="X16" i="19" s="1"/>
  <c r="AA16" i="19" s="1"/>
  <c r="S20" i="19"/>
  <c r="W20" i="19" s="1"/>
  <c r="X20" i="19" s="1"/>
  <c r="AA20" i="19" s="1"/>
  <c r="S25" i="19"/>
  <c r="W25" i="19" s="1"/>
  <c r="X25" i="19" s="1"/>
  <c r="AA25" i="19" s="1"/>
  <c r="S28" i="19"/>
  <c r="W28" i="19" s="1"/>
  <c r="X28" i="19" s="1"/>
  <c r="AA28" i="19" s="1"/>
  <c r="S37" i="19"/>
  <c r="W37" i="19" s="1"/>
  <c r="X37" i="19" s="1"/>
  <c r="AA37" i="19" s="1"/>
  <c r="S40" i="19"/>
  <c r="W40" i="19" s="1"/>
  <c r="X40" i="19" s="1"/>
  <c r="AA40" i="19" s="1"/>
  <c r="S44" i="19"/>
  <c r="W44" i="19" s="1"/>
  <c r="X44" i="19" s="1"/>
  <c r="AA44" i="19" s="1"/>
  <c r="S13" i="19"/>
  <c r="W13" i="19" s="1"/>
  <c r="X13" i="19" s="1"/>
  <c r="AA13" i="19" s="1"/>
  <c r="S23" i="18"/>
  <c r="W23" i="18" s="1"/>
  <c r="X23" i="18" s="1"/>
  <c r="AA23" i="18" s="1"/>
  <c r="S24" i="18"/>
  <c r="W24" i="18" s="1"/>
  <c r="X24" i="18" s="1"/>
  <c r="AA24" i="18" s="1"/>
  <c r="S25" i="18"/>
  <c r="W25" i="18" s="1"/>
  <c r="X25" i="18" s="1"/>
  <c r="AA25" i="18" s="1"/>
  <c r="S35" i="18"/>
  <c r="W35" i="18" s="1"/>
  <c r="X35" i="18" s="1"/>
  <c r="AA35" i="18" s="1"/>
  <c r="S37" i="18"/>
  <c r="W37" i="18" s="1"/>
  <c r="X37" i="18" s="1"/>
  <c r="AA37" i="18" s="1"/>
  <c r="S41" i="18"/>
  <c r="W41" i="18" s="1"/>
  <c r="X41" i="18" s="1"/>
  <c r="AA41" i="18" s="1"/>
  <c r="S44" i="18"/>
  <c r="W44" i="18" s="1"/>
  <c r="X44" i="18" s="1"/>
  <c r="AA44" i="18" s="1"/>
  <c r="S47" i="18"/>
  <c r="W47" i="18" s="1"/>
  <c r="X47" i="18" s="1"/>
  <c r="AA47" i="18" s="1"/>
  <c r="S13" i="18"/>
  <c r="W13" i="18" s="1"/>
  <c r="X13" i="18" s="1"/>
  <c r="AA13" i="18" s="1"/>
  <c r="S14" i="14"/>
  <c r="W14" i="14" s="1"/>
  <c r="X14" i="14" s="1"/>
  <c r="AA14" i="14" s="1"/>
  <c r="S15" i="14"/>
  <c r="W15" i="14" s="1"/>
  <c r="X15" i="14" s="1"/>
  <c r="AA15" i="14" s="1"/>
  <c r="S16" i="14"/>
  <c r="W16" i="14" s="1"/>
  <c r="X16" i="14" s="1"/>
  <c r="AA16" i="14" s="1"/>
  <c r="S20" i="14"/>
  <c r="W20" i="14" s="1"/>
  <c r="X20" i="14" s="1"/>
  <c r="AA20" i="14" s="1"/>
  <c r="S21" i="14"/>
  <c r="W21" i="14" s="1"/>
  <c r="X21" i="14" s="1"/>
  <c r="AA21" i="14" s="1"/>
  <c r="S23" i="14"/>
  <c r="W23" i="14" s="1"/>
  <c r="X23" i="14" s="1"/>
  <c r="AA23" i="14" s="1"/>
  <c r="S24" i="14"/>
  <c r="W24" i="14" s="1"/>
  <c r="X24" i="14" s="1"/>
  <c r="AA24" i="14" s="1"/>
  <c r="S27" i="14"/>
  <c r="W27" i="14" s="1"/>
  <c r="X27" i="14" s="1"/>
  <c r="AA27" i="14" s="1"/>
  <c r="S28" i="14"/>
  <c r="W28" i="14" s="1"/>
  <c r="X28" i="14" s="1"/>
  <c r="AA28" i="14" s="1"/>
  <c r="S32" i="14"/>
  <c r="W32" i="14" s="1"/>
  <c r="X32" i="14" s="1"/>
  <c r="AA32" i="14" s="1"/>
  <c r="S33" i="14"/>
  <c r="W33" i="14" s="1"/>
  <c r="X33" i="14" s="1"/>
  <c r="AA33" i="14" s="1"/>
  <c r="S35" i="14"/>
  <c r="W35" i="14" s="1"/>
  <c r="X35" i="14" s="1"/>
  <c r="AA35" i="14" s="1"/>
  <c r="S37" i="14"/>
  <c r="W37" i="14" s="1"/>
  <c r="X37" i="14" s="1"/>
  <c r="AA37" i="14" s="1"/>
  <c r="S38" i="14"/>
  <c r="W38" i="14" s="1"/>
  <c r="X38" i="14" s="1"/>
  <c r="AA38" i="14" s="1"/>
  <c r="S40" i="14"/>
  <c r="W40" i="14" s="1"/>
  <c r="X40" i="14" s="1"/>
  <c r="AA40" i="14" s="1"/>
  <c r="S41" i="14"/>
  <c r="W41" i="14" s="1"/>
  <c r="X41" i="14" s="1"/>
  <c r="AA41" i="14" s="1"/>
  <c r="S42" i="14"/>
  <c r="W42" i="14" s="1"/>
  <c r="X42" i="14" s="1"/>
  <c r="AA42" i="14" s="1"/>
  <c r="S44" i="14"/>
  <c r="W44" i="14" s="1"/>
  <c r="X44" i="14" s="1"/>
  <c r="AA44" i="14" s="1"/>
  <c r="S45" i="14"/>
  <c r="W45" i="14" s="1"/>
  <c r="X45" i="14" s="1"/>
  <c r="AA45" i="14" s="1"/>
  <c r="S47" i="14"/>
  <c r="W47" i="14" s="1"/>
  <c r="X47" i="14" s="1"/>
  <c r="AA47" i="14" s="1"/>
  <c r="U49" i="20"/>
  <c r="T49" i="20"/>
  <c r="U48" i="20"/>
  <c r="T48" i="20"/>
  <c r="U47" i="20"/>
  <c r="T47" i="20"/>
  <c r="U46" i="20"/>
  <c r="T46" i="20"/>
  <c r="S46" i="20"/>
  <c r="W46" i="20" s="1"/>
  <c r="X46" i="20" s="1"/>
  <c r="AA46" i="20" s="1"/>
  <c r="U45" i="20"/>
  <c r="T45" i="20"/>
  <c r="U44" i="20"/>
  <c r="T44" i="20"/>
  <c r="U43" i="20"/>
  <c r="T43" i="20"/>
  <c r="U42" i="20"/>
  <c r="T42" i="20"/>
  <c r="U41" i="20"/>
  <c r="T41" i="20"/>
  <c r="S41" i="20"/>
  <c r="W41" i="20" s="1"/>
  <c r="X41" i="20" s="1"/>
  <c r="AA41" i="20" s="1"/>
  <c r="U40" i="20"/>
  <c r="T40" i="20"/>
  <c r="S40" i="20"/>
  <c r="W40" i="20" s="1"/>
  <c r="X40" i="20" s="1"/>
  <c r="AA40" i="20" s="1"/>
  <c r="U39" i="20"/>
  <c r="T39" i="20"/>
  <c r="S39" i="20"/>
  <c r="W39" i="20" s="1"/>
  <c r="X39" i="20" s="1"/>
  <c r="AA39" i="20" s="1"/>
  <c r="U38" i="20"/>
  <c r="T38" i="20"/>
  <c r="U37" i="20"/>
  <c r="T37" i="20"/>
  <c r="U36" i="20"/>
  <c r="T36" i="20"/>
  <c r="S36" i="20"/>
  <c r="W36" i="20" s="1"/>
  <c r="X36" i="20" s="1"/>
  <c r="AA36" i="20" s="1"/>
  <c r="U35" i="20"/>
  <c r="T35" i="20"/>
  <c r="S35" i="20"/>
  <c r="W35" i="20" s="1"/>
  <c r="X35" i="20" s="1"/>
  <c r="AA35" i="20" s="1"/>
  <c r="U34" i="20"/>
  <c r="T34" i="20"/>
  <c r="U33" i="20"/>
  <c r="T33" i="20"/>
  <c r="U32" i="20"/>
  <c r="T32" i="20"/>
  <c r="U31" i="20"/>
  <c r="T31" i="20"/>
  <c r="U30" i="20"/>
  <c r="T30" i="20"/>
  <c r="U29" i="20"/>
  <c r="T29" i="20"/>
  <c r="S29" i="20"/>
  <c r="W29" i="20" s="1"/>
  <c r="X29" i="20" s="1"/>
  <c r="AA29" i="20" s="1"/>
  <c r="U28" i="20"/>
  <c r="T28" i="20"/>
  <c r="S28" i="20"/>
  <c r="W28" i="20" s="1"/>
  <c r="X28" i="20" s="1"/>
  <c r="AA28" i="20" s="1"/>
  <c r="U27" i="20"/>
  <c r="T27" i="20"/>
  <c r="S27" i="20"/>
  <c r="W27" i="20" s="1"/>
  <c r="X27" i="20" s="1"/>
  <c r="AA27" i="20" s="1"/>
  <c r="U26" i="20"/>
  <c r="T26" i="20"/>
  <c r="U25" i="20"/>
  <c r="T25" i="20"/>
  <c r="U24" i="20"/>
  <c r="T24" i="20"/>
  <c r="U23" i="20"/>
  <c r="T23" i="20"/>
  <c r="S23" i="20"/>
  <c r="W23" i="20" s="1"/>
  <c r="X23" i="20" s="1"/>
  <c r="AA23" i="20" s="1"/>
  <c r="U22" i="20"/>
  <c r="T22" i="20"/>
  <c r="S22" i="20"/>
  <c r="W22" i="20" s="1"/>
  <c r="X22" i="20" s="1"/>
  <c r="AA22" i="20" s="1"/>
  <c r="U21" i="20"/>
  <c r="T21" i="20"/>
  <c r="U20" i="20"/>
  <c r="T20" i="20"/>
  <c r="U19" i="20"/>
  <c r="T19" i="20"/>
  <c r="U18" i="20"/>
  <c r="T18" i="20"/>
  <c r="U17" i="20"/>
  <c r="T17" i="20"/>
  <c r="S17" i="20"/>
  <c r="W17" i="20" s="1"/>
  <c r="X17" i="20" s="1"/>
  <c r="AA17" i="20" s="1"/>
  <c r="U16" i="20"/>
  <c r="T16" i="20"/>
  <c r="S16" i="20"/>
  <c r="W16" i="20" s="1"/>
  <c r="X16" i="20" s="1"/>
  <c r="AA16" i="20" s="1"/>
  <c r="U15" i="20"/>
  <c r="T15" i="20"/>
  <c r="S15" i="20"/>
  <c r="W15" i="20" s="1"/>
  <c r="X15" i="20" s="1"/>
  <c r="AA15" i="20" s="1"/>
  <c r="U14" i="20"/>
  <c r="T14" i="20"/>
  <c r="U13" i="20"/>
  <c r="T13" i="20"/>
  <c r="S13" i="20"/>
  <c r="W13" i="20" s="1"/>
  <c r="X13" i="20" s="1"/>
  <c r="AA13" i="20" s="1"/>
  <c r="U48" i="16"/>
  <c r="T48" i="16"/>
  <c r="U47" i="16"/>
  <c r="T47" i="16"/>
  <c r="U46" i="16"/>
  <c r="T46" i="16"/>
  <c r="S46" i="16"/>
  <c r="W46" i="16" s="1"/>
  <c r="X46" i="16" s="1"/>
  <c r="AA46" i="16" s="1"/>
  <c r="U45" i="16"/>
  <c r="T45" i="16"/>
  <c r="U44" i="16"/>
  <c r="T44" i="16"/>
  <c r="S44" i="16"/>
  <c r="W44" i="16" s="1"/>
  <c r="X44" i="16" s="1"/>
  <c r="AA44" i="16" s="1"/>
  <c r="U43" i="16"/>
  <c r="T43" i="16"/>
  <c r="S43" i="16"/>
  <c r="W43" i="16" s="1"/>
  <c r="X43" i="16" s="1"/>
  <c r="AA43" i="16" s="1"/>
  <c r="U42" i="16"/>
  <c r="T42" i="16"/>
  <c r="S42" i="16"/>
  <c r="W42" i="16" s="1"/>
  <c r="X42" i="16" s="1"/>
  <c r="AA42" i="16" s="1"/>
  <c r="U41" i="16"/>
  <c r="T41" i="16"/>
  <c r="U40" i="16"/>
  <c r="T40" i="16"/>
  <c r="S40" i="16"/>
  <c r="W40" i="16" s="1"/>
  <c r="X40" i="16" s="1"/>
  <c r="AA40" i="16" s="1"/>
  <c r="U39" i="16"/>
  <c r="T39" i="16"/>
  <c r="U38" i="16"/>
  <c r="T38" i="16"/>
  <c r="S38" i="16"/>
  <c r="W38" i="16" s="1"/>
  <c r="X38" i="16" s="1"/>
  <c r="AA38" i="16" s="1"/>
  <c r="U37" i="16"/>
  <c r="T37" i="16"/>
  <c r="U36" i="16"/>
  <c r="T36" i="16"/>
  <c r="U35" i="16"/>
  <c r="T35" i="16"/>
  <c r="U34" i="16"/>
  <c r="T34" i="16"/>
  <c r="S34" i="16"/>
  <c r="W34" i="16" s="1"/>
  <c r="X34" i="16" s="1"/>
  <c r="AA34" i="16" s="1"/>
  <c r="U33" i="16"/>
  <c r="T33" i="16"/>
  <c r="U32" i="16"/>
  <c r="T32" i="16"/>
  <c r="S32" i="16"/>
  <c r="W32" i="16" s="1"/>
  <c r="X32" i="16" s="1"/>
  <c r="AA32" i="16" s="1"/>
  <c r="U31" i="16"/>
  <c r="T31" i="16"/>
  <c r="S31" i="16"/>
  <c r="W31" i="16" s="1"/>
  <c r="X31" i="16" s="1"/>
  <c r="AA31" i="16" s="1"/>
  <c r="U30" i="16"/>
  <c r="T30" i="16"/>
  <c r="S30" i="16"/>
  <c r="W30" i="16" s="1"/>
  <c r="X30" i="16" s="1"/>
  <c r="AA30" i="16" s="1"/>
  <c r="U29" i="16"/>
  <c r="T29" i="16"/>
  <c r="U28" i="16"/>
  <c r="T28" i="16"/>
  <c r="S28" i="16"/>
  <c r="W28" i="16" s="1"/>
  <c r="X28" i="16" s="1"/>
  <c r="AA28" i="16" s="1"/>
  <c r="U27" i="16"/>
  <c r="T27" i="16"/>
  <c r="U26" i="16"/>
  <c r="T26" i="16"/>
  <c r="S26" i="16"/>
  <c r="W26" i="16" s="1"/>
  <c r="X26" i="16" s="1"/>
  <c r="AA26" i="16" s="1"/>
  <c r="U25" i="16"/>
  <c r="T25" i="16"/>
  <c r="U24" i="16"/>
  <c r="T24" i="16"/>
  <c r="U23" i="16"/>
  <c r="T23" i="16"/>
  <c r="U22" i="16"/>
  <c r="T22" i="16"/>
  <c r="S22" i="16"/>
  <c r="W22" i="16" s="1"/>
  <c r="X22" i="16" s="1"/>
  <c r="AA22" i="16" s="1"/>
  <c r="U21" i="16"/>
  <c r="T21" i="16"/>
  <c r="U20" i="16"/>
  <c r="T20" i="16"/>
  <c r="S20" i="16"/>
  <c r="W20" i="16" s="1"/>
  <c r="X20" i="16" s="1"/>
  <c r="AA20" i="16" s="1"/>
  <c r="U19" i="16"/>
  <c r="T19" i="16"/>
  <c r="S19" i="16"/>
  <c r="W19" i="16" s="1"/>
  <c r="X19" i="16" s="1"/>
  <c r="AA19" i="16" s="1"/>
  <c r="U18" i="16"/>
  <c r="T18" i="16"/>
  <c r="S18" i="16"/>
  <c r="W18" i="16" s="1"/>
  <c r="X18" i="16" s="1"/>
  <c r="AA18" i="16" s="1"/>
  <c r="U17" i="16"/>
  <c r="T17" i="16"/>
  <c r="U16" i="16"/>
  <c r="T16" i="16"/>
  <c r="S16" i="16"/>
  <c r="W16" i="16" s="1"/>
  <c r="X16" i="16" s="1"/>
  <c r="AA16" i="16" s="1"/>
  <c r="U15" i="16"/>
  <c r="T15" i="16"/>
  <c r="S15" i="16"/>
  <c r="W15" i="16" s="1"/>
  <c r="X15" i="16" s="1"/>
  <c r="AA15" i="16" s="1"/>
  <c r="U14" i="16"/>
  <c r="T14" i="16"/>
  <c r="S14" i="16"/>
  <c r="W14" i="16" s="1"/>
  <c r="X14" i="16" s="1"/>
  <c r="AA14" i="16" s="1"/>
  <c r="U13" i="16"/>
  <c r="T13" i="16"/>
  <c r="U48" i="15"/>
  <c r="T48" i="15"/>
  <c r="S48" i="15"/>
  <c r="W48" i="15" s="1"/>
  <c r="X48" i="15" s="1"/>
  <c r="AA48" i="15" s="1"/>
  <c r="U47" i="15"/>
  <c r="T47" i="15"/>
  <c r="S47" i="15"/>
  <c r="W47" i="15" s="1"/>
  <c r="X47" i="15" s="1"/>
  <c r="AA47" i="15" s="1"/>
  <c r="U46" i="15"/>
  <c r="T46" i="15"/>
  <c r="U45" i="15"/>
  <c r="T45" i="15"/>
  <c r="U44" i="15"/>
  <c r="T44" i="15"/>
  <c r="S44" i="15"/>
  <c r="W44" i="15" s="1"/>
  <c r="X44" i="15" s="1"/>
  <c r="AA44" i="15" s="1"/>
  <c r="U43" i="15"/>
  <c r="T43" i="15"/>
  <c r="S43" i="15"/>
  <c r="W43" i="15" s="1"/>
  <c r="X43" i="15" s="1"/>
  <c r="AA43" i="15" s="1"/>
  <c r="U42" i="15"/>
  <c r="T42" i="15"/>
  <c r="U41" i="15"/>
  <c r="T41" i="15"/>
  <c r="U40" i="15"/>
  <c r="T40" i="15"/>
  <c r="U39" i="15"/>
  <c r="T39" i="15"/>
  <c r="S39" i="15"/>
  <c r="W39" i="15" s="1"/>
  <c r="X39" i="15" s="1"/>
  <c r="AA39" i="15" s="1"/>
  <c r="U38" i="15"/>
  <c r="T38" i="15"/>
  <c r="U37" i="15"/>
  <c r="T37" i="15"/>
  <c r="S37" i="15"/>
  <c r="W37" i="15" s="1"/>
  <c r="X37" i="15" s="1"/>
  <c r="AA37" i="15" s="1"/>
  <c r="U36" i="15"/>
  <c r="T36" i="15"/>
  <c r="S36" i="15"/>
  <c r="W36" i="15" s="1"/>
  <c r="X36" i="15" s="1"/>
  <c r="AA36" i="15" s="1"/>
  <c r="U35" i="15"/>
  <c r="T35" i="15"/>
  <c r="S35" i="15"/>
  <c r="W35" i="15" s="1"/>
  <c r="X35" i="15" s="1"/>
  <c r="AA35" i="15" s="1"/>
  <c r="U34" i="15"/>
  <c r="T34" i="15"/>
  <c r="U33" i="15"/>
  <c r="T33" i="15"/>
  <c r="U32" i="15"/>
  <c r="T32" i="15"/>
  <c r="U31" i="15"/>
  <c r="T31" i="15"/>
  <c r="S31" i="15"/>
  <c r="W31" i="15" s="1"/>
  <c r="X31" i="15" s="1"/>
  <c r="AA31" i="15" s="1"/>
  <c r="U30" i="15"/>
  <c r="T30" i="15"/>
  <c r="U29" i="15"/>
  <c r="T29" i="15"/>
  <c r="U28" i="15"/>
  <c r="T28" i="15"/>
  <c r="U27" i="15"/>
  <c r="T27" i="15"/>
  <c r="S27" i="15"/>
  <c r="W27" i="15" s="1"/>
  <c r="X27" i="15" s="1"/>
  <c r="AA27" i="15" s="1"/>
  <c r="U26" i="15"/>
  <c r="T26" i="15"/>
  <c r="S26" i="15"/>
  <c r="W26" i="15" s="1"/>
  <c r="X26" i="15" s="1"/>
  <c r="AA26" i="15" s="1"/>
  <c r="U25" i="15"/>
  <c r="T25" i="15"/>
  <c r="U24" i="15"/>
  <c r="T24" i="15"/>
  <c r="S24" i="15"/>
  <c r="W24" i="15" s="1"/>
  <c r="X24" i="15" s="1"/>
  <c r="AA24" i="15" s="1"/>
  <c r="U23" i="15"/>
  <c r="T23" i="15"/>
  <c r="S23" i="15"/>
  <c r="W23" i="15" s="1"/>
  <c r="X23" i="15" s="1"/>
  <c r="AA23" i="15" s="1"/>
  <c r="U22" i="15"/>
  <c r="T22" i="15"/>
  <c r="U21" i="15"/>
  <c r="T21" i="15"/>
  <c r="U20" i="15"/>
  <c r="T20" i="15"/>
  <c r="U19" i="15"/>
  <c r="T19" i="15"/>
  <c r="S19" i="15"/>
  <c r="W19" i="15" s="1"/>
  <c r="X19" i="15" s="1"/>
  <c r="AA19" i="15" s="1"/>
  <c r="U18" i="15"/>
  <c r="T18" i="15"/>
  <c r="U17" i="15"/>
  <c r="T17" i="15"/>
  <c r="S17" i="15"/>
  <c r="W17" i="15" s="1"/>
  <c r="X17" i="15" s="1"/>
  <c r="AA17" i="15" s="1"/>
  <c r="U16" i="15"/>
  <c r="T16" i="15"/>
  <c r="U15" i="15"/>
  <c r="T15" i="15"/>
  <c r="S15" i="15"/>
  <c r="W15" i="15" s="1"/>
  <c r="X15" i="15" s="1"/>
  <c r="AA15" i="15" s="1"/>
  <c r="U14" i="15"/>
  <c r="T14" i="15"/>
  <c r="U13" i="15"/>
  <c r="T13" i="15"/>
  <c r="U48" i="19"/>
  <c r="T48" i="19"/>
  <c r="S48" i="19"/>
  <c r="W48" i="19" s="1"/>
  <c r="X48" i="19" s="1"/>
  <c r="AA48" i="19" s="1"/>
  <c r="U47" i="19"/>
  <c r="T47" i="19"/>
  <c r="S47" i="19"/>
  <c r="W47" i="19" s="1"/>
  <c r="X47" i="19" s="1"/>
  <c r="AA47" i="19" s="1"/>
  <c r="U46" i="19"/>
  <c r="T46" i="19"/>
  <c r="S46" i="19"/>
  <c r="W46" i="19" s="1"/>
  <c r="X46" i="19" s="1"/>
  <c r="AA46" i="19" s="1"/>
  <c r="U45" i="19"/>
  <c r="T45" i="19"/>
  <c r="S45" i="19"/>
  <c r="W45" i="19" s="1"/>
  <c r="X45" i="19" s="1"/>
  <c r="AA45" i="19" s="1"/>
  <c r="U44" i="19"/>
  <c r="T44" i="19"/>
  <c r="U43" i="19"/>
  <c r="T43" i="19"/>
  <c r="S43" i="19"/>
  <c r="W43" i="19" s="1"/>
  <c r="X43" i="19" s="1"/>
  <c r="AA43" i="19" s="1"/>
  <c r="U42" i="19"/>
  <c r="T42" i="19"/>
  <c r="S42" i="19"/>
  <c r="W42" i="19" s="1"/>
  <c r="X42" i="19" s="1"/>
  <c r="AA42" i="19" s="1"/>
  <c r="U41" i="19"/>
  <c r="T41" i="19"/>
  <c r="S41" i="19"/>
  <c r="W41" i="19" s="1"/>
  <c r="X41" i="19" s="1"/>
  <c r="AA41" i="19" s="1"/>
  <c r="U40" i="19"/>
  <c r="T40" i="19"/>
  <c r="U39" i="19"/>
  <c r="T39" i="19"/>
  <c r="S39" i="19"/>
  <c r="W39" i="19" s="1"/>
  <c r="X39" i="19" s="1"/>
  <c r="AA39" i="19" s="1"/>
  <c r="U38" i="19"/>
  <c r="T38" i="19"/>
  <c r="S38" i="19"/>
  <c r="W38" i="19" s="1"/>
  <c r="X38" i="19" s="1"/>
  <c r="AA38" i="19" s="1"/>
  <c r="U37" i="19"/>
  <c r="T37" i="19"/>
  <c r="U36" i="19"/>
  <c r="T36" i="19"/>
  <c r="S36" i="19"/>
  <c r="W36" i="19" s="1"/>
  <c r="X36" i="19" s="1"/>
  <c r="AA36" i="19" s="1"/>
  <c r="U35" i="19"/>
  <c r="T35" i="19"/>
  <c r="S35" i="19"/>
  <c r="W35" i="19" s="1"/>
  <c r="X35" i="19" s="1"/>
  <c r="AA35" i="19" s="1"/>
  <c r="U34" i="19"/>
  <c r="T34" i="19"/>
  <c r="S34" i="19"/>
  <c r="W34" i="19" s="1"/>
  <c r="X34" i="19" s="1"/>
  <c r="AA34" i="19" s="1"/>
  <c r="U33" i="19"/>
  <c r="T33" i="19"/>
  <c r="S33" i="19"/>
  <c r="W33" i="19" s="1"/>
  <c r="X33" i="19" s="1"/>
  <c r="AA33" i="19" s="1"/>
  <c r="U32" i="19"/>
  <c r="T32" i="19"/>
  <c r="S32" i="19"/>
  <c r="W32" i="19" s="1"/>
  <c r="X32" i="19" s="1"/>
  <c r="AA32" i="19" s="1"/>
  <c r="U31" i="19"/>
  <c r="T31" i="19"/>
  <c r="S31" i="19"/>
  <c r="W31" i="19" s="1"/>
  <c r="X31" i="19" s="1"/>
  <c r="AA31" i="19" s="1"/>
  <c r="U30" i="19"/>
  <c r="T30" i="19"/>
  <c r="S30" i="19"/>
  <c r="W30" i="19" s="1"/>
  <c r="X30" i="19" s="1"/>
  <c r="AA30" i="19" s="1"/>
  <c r="U29" i="19"/>
  <c r="T29" i="19"/>
  <c r="S29" i="19"/>
  <c r="W29" i="19" s="1"/>
  <c r="X29" i="19" s="1"/>
  <c r="AA29" i="19" s="1"/>
  <c r="U28" i="19"/>
  <c r="T28" i="19"/>
  <c r="U27" i="19"/>
  <c r="T27" i="19"/>
  <c r="S27" i="19"/>
  <c r="W27" i="19" s="1"/>
  <c r="X27" i="19" s="1"/>
  <c r="AA27" i="19" s="1"/>
  <c r="U26" i="19"/>
  <c r="T26" i="19"/>
  <c r="S26" i="19"/>
  <c r="W26" i="19" s="1"/>
  <c r="X26" i="19" s="1"/>
  <c r="AA26" i="19" s="1"/>
  <c r="U25" i="19"/>
  <c r="T25" i="19"/>
  <c r="U24" i="19"/>
  <c r="T24" i="19"/>
  <c r="S24" i="19"/>
  <c r="W24" i="19" s="1"/>
  <c r="X24" i="19" s="1"/>
  <c r="AA24" i="19" s="1"/>
  <c r="U23" i="19"/>
  <c r="T23" i="19"/>
  <c r="S23" i="19"/>
  <c r="W23" i="19" s="1"/>
  <c r="X23" i="19" s="1"/>
  <c r="AA23" i="19" s="1"/>
  <c r="U22" i="19"/>
  <c r="T22" i="19"/>
  <c r="S22" i="19"/>
  <c r="W22" i="19" s="1"/>
  <c r="X22" i="19" s="1"/>
  <c r="AA22" i="19" s="1"/>
  <c r="U21" i="19"/>
  <c r="T21" i="19"/>
  <c r="S21" i="19"/>
  <c r="W21" i="19" s="1"/>
  <c r="X21" i="19" s="1"/>
  <c r="AA21" i="19" s="1"/>
  <c r="U20" i="19"/>
  <c r="T20" i="19"/>
  <c r="U19" i="19"/>
  <c r="T19" i="19"/>
  <c r="S19" i="19"/>
  <c r="W19" i="19" s="1"/>
  <c r="X19" i="19" s="1"/>
  <c r="AA19" i="19" s="1"/>
  <c r="U18" i="19"/>
  <c r="T18" i="19"/>
  <c r="S18" i="19"/>
  <c r="W18" i="19" s="1"/>
  <c r="X18" i="19" s="1"/>
  <c r="AA18" i="19" s="1"/>
  <c r="U17" i="19"/>
  <c r="T17" i="19"/>
  <c r="S17" i="19"/>
  <c r="W17" i="19" s="1"/>
  <c r="X17" i="19" s="1"/>
  <c r="AA17" i="19" s="1"/>
  <c r="U16" i="19"/>
  <c r="T16" i="19"/>
  <c r="U15" i="19"/>
  <c r="T15" i="19"/>
  <c r="S15" i="19"/>
  <c r="W15" i="19" s="1"/>
  <c r="X15" i="19" s="1"/>
  <c r="AA15" i="19" s="1"/>
  <c r="U14" i="19"/>
  <c r="T14" i="19"/>
  <c r="S14" i="19"/>
  <c r="W14" i="19" s="1"/>
  <c r="X14" i="19" s="1"/>
  <c r="AA14" i="19" s="1"/>
  <c r="U13" i="19"/>
  <c r="T13" i="19"/>
  <c r="U47" i="18"/>
  <c r="T47" i="18"/>
  <c r="U46" i="18"/>
  <c r="T46" i="18"/>
  <c r="S46" i="18"/>
  <c r="W46" i="18" s="1"/>
  <c r="X46" i="18" s="1"/>
  <c r="AA46" i="18" s="1"/>
  <c r="U45" i="18"/>
  <c r="T45" i="18"/>
  <c r="S45" i="18"/>
  <c r="W45" i="18" s="1"/>
  <c r="X45" i="18" s="1"/>
  <c r="AA45" i="18" s="1"/>
  <c r="U44" i="18"/>
  <c r="T44" i="18"/>
  <c r="U43" i="18"/>
  <c r="T43" i="18"/>
  <c r="S43" i="18"/>
  <c r="W43" i="18" s="1"/>
  <c r="X43" i="18" s="1"/>
  <c r="AA43" i="18" s="1"/>
  <c r="U42" i="18"/>
  <c r="T42" i="18"/>
  <c r="S42" i="18"/>
  <c r="W42" i="18" s="1"/>
  <c r="X42" i="18" s="1"/>
  <c r="AA42" i="18" s="1"/>
  <c r="U41" i="18"/>
  <c r="T41" i="18"/>
  <c r="U40" i="18"/>
  <c r="T40" i="18"/>
  <c r="S40" i="18"/>
  <c r="W40" i="18" s="1"/>
  <c r="X40" i="18" s="1"/>
  <c r="AA40" i="18" s="1"/>
  <c r="U39" i="18"/>
  <c r="T39" i="18"/>
  <c r="S39" i="18"/>
  <c r="W39" i="18" s="1"/>
  <c r="X39" i="18" s="1"/>
  <c r="AA39" i="18" s="1"/>
  <c r="U38" i="18"/>
  <c r="T38" i="18"/>
  <c r="S38" i="18"/>
  <c r="W38" i="18" s="1"/>
  <c r="X38" i="18" s="1"/>
  <c r="AA38" i="18" s="1"/>
  <c r="U37" i="18"/>
  <c r="T37" i="18"/>
  <c r="U36" i="18"/>
  <c r="T36" i="18"/>
  <c r="S36" i="18"/>
  <c r="W36" i="18" s="1"/>
  <c r="X36" i="18" s="1"/>
  <c r="AA36" i="18" s="1"/>
  <c r="U35" i="18"/>
  <c r="T35" i="18"/>
  <c r="U34" i="18"/>
  <c r="T34" i="18"/>
  <c r="S34" i="18"/>
  <c r="W34" i="18" s="1"/>
  <c r="X34" i="18" s="1"/>
  <c r="AA34" i="18" s="1"/>
  <c r="U33" i="18"/>
  <c r="T33" i="18"/>
  <c r="S33" i="18"/>
  <c r="W33" i="18" s="1"/>
  <c r="X33" i="18" s="1"/>
  <c r="AA33" i="18" s="1"/>
  <c r="U32" i="18"/>
  <c r="T32" i="18"/>
  <c r="S32" i="18"/>
  <c r="W32" i="18" s="1"/>
  <c r="X32" i="18" s="1"/>
  <c r="AA32" i="18" s="1"/>
  <c r="U31" i="18"/>
  <c r="T31" i="18"/>
  <c r="S31" i="18"/>
  <c r="W31" i="18" s="1"/>
  <c r="X31" i="18" s="1"/>
  <c r="AA31" i="18" s="1"/>
  <c r="U30" i="18"/>
  <c r="T30" i="18"/>
  <c r="S30" i="18"/>
  <c r="W30" i="18" s="1"/>
  <c r="X30" i="18" s="1"/>
  <c r="AA30" i="18" s="1"/>
  <c r="U29" i="18"/>
  <c r="T29" i="18"/>
  <c r="S29" i="18"/>
  <c r="W29" i="18" s="1"/>
  <c r="X29" i="18" s="1"/>
  <c r="AA29" i="18" s="1"/>
  <c r="U28" i="18"/>
  <c r="T28" i="18"/>
  <c r="S28" i="18"/>
  <c r="W28" i="18" s="1"/>
  <c r="X28" i="18" s="1"/>
  <c r="AA28" i="18" s="1"/>
  <c r="U27" i="18"/>
  <c r="T27" i="18"/>
  <c r="S27" i="18"/>
  <c r="W27" i="18" s="1"/>
  <c r="X27" i="18" s="1"/>
  <c r="AA27" i="18" s="1"/>
  <c r="U26" i="18"/>
  <c r="T26" i="18"/>
  <c r="S26" i="18"/>
  <c r="W26" i="18" s="1"/>
  <c r="X26" i="18" s="1"/>
  <c r="AA26" i="18" s="1"/>
  <c r="U25" i="18"/>
  <c r="T25" i="18"/>
  <c r="U24" i="18"/>
  <c r="T24" i="18"/>
  <c r="U23" i="18"/>
  <c r="T23" i="18"/>
  <c r="U22" i="18"/>
  <c r="T22" i="18"/>
  <c r="S22" i="18"/>
  <c r="W22" i="18" s="1"/>
  <c r="X22" i="18" s="1"/>
  <c r="AA22" i="18" s="1"/>
  <c r="U21" i="18"/>
  <c r="T21" i="18"/>
  <c r="S21" i="18"/>
  <c r="W21" i="18" s="1"/>
  <c r="X21" i="18" s="1"/>
  <c r="AA21" i="18" s="1"/>
  <c r="U20" i="18"/>
  <c r="T20" i="18"/>
  <c r="S20" i="18"/>
  <c r="W20" i="18" s="1"/>
  <c r="X20" i="18" s="1"/>
  <c r="AA20" i="18" s="1"/>
  <c r="U19" i="18"/>
  <c r="T19" i="18"/>
  <c r="S19" i="18"/>
  <c r="W19" i="18" s="1"/>
  <c r="X19" i="18" s="1"/>
  <c r="AA19" i="18" s="1"/>
  <c r="U18" i="18"/>
  <c r="T18" i="18"/>
  <c r="S18" i="18"/>
  <c r="W18" i="18" s="1"/>
  <c r="X18" i="18" s="1"/>
  <c r="AA18" i="18" s="1"/>
  <c r="U17" i="18"/>
  <c r="T17" i="18"/>
  <c r="S17" i="18"/>
  <c r="W17" i="18" s="1"/>
  <c r="X17" i="18" s="1"/>
  <c r="AA17" i="18" s="1"/>
  <c r="U16" i="18"/>
  <c r="T16" i="18"/>
  <c r="S16" i="18"/>
  <c r="W16" i="18" s="1"/>
  <c r="X16" i="18" s="1"/>
  <c r="AA16" i="18" s="1"/>
  <c r="U15" i="18"/>
  <c r="T15" i="18"/>
  <c r="S15" i="18"/>
  <c r="W15" i="18" s="1"/>
  <c r="X15" i="18" s="1"/>
  <c r="AA15" i="18" s="1"/>
  <c r="U14" i="18"/>
  <c r="T14" i="18"/>
  <c r="S14" i="18"/>
  <c r="W14" i="18" s="1"/>
  <c r="X14" i="18" s="1"/>
  <c r="AA14" i="18" s="1"/>
  <c r="U13" i="18"/>
  <c r="T13" i="18"/>
  <c r="U48" i="14"/>
  <c r="T48" i="14"/>
  <c r="S48" i="14"/>
  <c r="W48" i="14" s="1"/>
  <c r="X48" i="14" s="1"/>
  <c r="AA48" i="14" s="1"/>
  <c r="U47" i="14"/>
  <c r="T47" i="14"/>
  <c r="U46" i="14"/>
  <c r="T46" i="14"/>
  <c r="S46" i="14"/>
  <c r="W46" i="14" s="1"/>
  <c r="X46" i="14" s="1"/>
  <c r="AA46" i="14" s="1"/>
  <c r="U45" i="14"/>
  <c r="T45" i="14"/>
  <c r="U44" i="14"/>
  <c r="T44" i="14"/>
  <c r="U43" i="14"/>
  <c r="T43" i="14"/>
  <c r="S43" i="14"/>
  <c r="W43" i="14" s="1"/>
  <c r="X43" i="14" s="1"/>
  <c r="AA43" i="14" s="1"/>
  <c r="U42" i="14"/>
  <c r="T42" i="14"/>
  <c r="U41" i="14"/>
  <c r="T41" i="14"/>
  <c r="U40" i="14"/>
  <c r="T40" i="14"/>
  <c r="U39" i="14"/>
  <c r="T39" i="14"/>
  <c r="S39" i="14"/>
  <c r="W39" i="14" s="1"/>
  <c r="X39" i="14" s="1"/>
  <c r="AA39" i="14" s="1"/>
  <c r="U38" i="14"/>
  <c r="T38" i="14"/>
  <c r="U37" i="14"/>
  <c r="T37" i="14"/>
  <c r="U36" i="14"/>
  <c r="T36" i="14"/>
  <c r="S36" i="14"/>
  <c r="W36" i="14" s="1"/>
  <c r="X36" i="14" s="1"/>
  <c r="AA36" i="14" s="1"/>
  <c r="U35" i="14"/>
  <c r="T35" i="14"/>
  <c r="U34" i="14"/>
  <c r="T34" i="14"/>
  <c r="S34" i="14"/>
  <c r="W34" i="14" s="1"/>
  <c r="X34" i="14" s="1"/>
  <c r="AA34" i="14" s="1"/>
  <c r="U33" i="14"/>
  <c r="T33" i="14"/>
  <c r="U32" i="14"/>
  <c r="T32" i="14"/>
  <c r="U31" i="14"/>
  <c r="T31" i="14"/>
  <c r="S31" i="14"/>
  <c r="W31" i="14" s="1"/>
  <c r="X31" i="14" s="1"/>
  <c r="AA31" i="14" s="1"/>
  <c r="U30" i="14"/>
  <c r="T30" i="14"/>
  <c r="S30" i="14"/>
  <c r="W30" i="14" s="1"/>
  <c r="X30" i="14" s="1"/>
  <c r="AA30" i="14" s="1"/>
  <c r="U29" i="14"/>
  <c r="T29" i="14"/>
  <c r="S29" i="14"/>
  <c r="W29" i="14" s="1"/>
  <c r="X29" i="14" s="1"/>
  <c r="AA29" i="14" s="1"/>
  <c r="U28" i="14"/>
  <c r="T28" i="14"/>
  <c r="U27" i="14"/>
  <c r="T27" i="14"/>
  <c r="U26" i="14"/>
  <c r="T26" i="14"/>
  <c r="S26" i="14"/>
  <c r="W26" i="14" s="1"/>
  <c r="X26" i="14" s="1"/>
  <c r="AA26" i="14" s="1"/>
  <c r="U25" i="14"/>
  <c r="T25" i="14"/>
  <c r="S25" i="14"/>
  <c r="W25" i="14" s="1"/>
  <c r="X25" i="14" s="1"/>
  <c r="AA25" i="14" s="1"/>
  <c r="U24" i="14"/>
  <c r="T24" i="14"/>
  <c r="U23" i="14"/>
  <c r="T23" i="14"/>
  <c r="U22" i="14"/>
  <c r="T22" i="14"/>
  <c r="S22" i="14"/>
  <c r="W22" i="14" s="1"/>
  <c r="X22" i="14" s="1"/>
  <c r="AA22" i="14" s="1"/>
  <c r="U21" i="14"/>
  <c r="T21" i="14"/>
  <c r="U20" i="14"/>
  <c r="T20" i="14"/>
  <c r="U19" i="14"/>
  <c r="T19" i="14"/>
  <c r="S19" i="14"/>
  <c r="W19" i="14" s="1"/>
  <c r="X19" i="14" s="1"/>
  <c r="AA19" i="14" s="1"/>
  <c r="U18" i="14"/>
  <c r="T18" i="14"/>
  <c r="S18" i="14"/>
  <c r="W18" i="14" s="1"/>
  <c r="X18" i="14" s="1"/>
  <c r="AA18" i="14" s="1"/>
  <c r="U17" i="14"/>
  <c r="T17" i="14"/>
  <c r="S17" i="14"/>
  <c r="W17" i="14" s="1"/>
  <c r="X17" i="14" s="1"/>
  <c r="AA17" i="14" s="1"/>
  <c r="U16" i="14"/>
  <c r="T16" i="14"/>
  <c r="U15" i="14"/>
  <c r="T15" i="14"/>
  <c r="U14" i="14"/>
  <c r="T14" i="14"/>
  <c r="U13" i="14"/>
  <c r="T13" i="14"/>
  <c r="S13" i="14"/>
  <c r="W13" i="14" s="1"/>
  <c r="X13" i="14" s="1"/>
  <c r="AA13" i="14" s="1"/>
  <c r="U49" i="13" l="1"/>
  <c r="T49" i="13"/>
  <c r="S49" i="13"/>
  <c r="W49" i="13" s="1"/>
  <c r="X49" i="13" s="1"/>
  <c r="AA49" i="13" s="1"/>
  <c r="U48" i="13"/>
  <c r="T48" i="13"/>
  <c r="S48" i="13"/>
  <c r="W48" i="13" s="1"/>
  <c r="X48" i="13" s="1"/>
  <c r="AA48" i="13" s="1"/>
  <c r="U47" i="13"/>
  <c r="T47" i="13"/>
  <c r="S47" i="13"/>
  <c r="W47" i="13" s="1"/>
  <c r="X47" i="13" s="1"/>
  <c r="AA47" i="13" s="1"/>
  <c r="U46" i="13"/>
  <c r="T46" i="13"/>
  <c r="S46" i="13"/>
  <c r="W46" i="13" s="1"/>
  <c r="X46" i="13" s="1"/>
  <c r="AA46" i="13" s="1"/>
  <c r="U45" i="13"/>
  <c r="T45" i="13"/>
  <c r="S45" i="13"/>
  <c r="W45" i="13" s="1"/>
  <c r="X45" i="13" s="1"/>
  <c r="AA45" i="13" s="1"/>
  <c r="U44" i="13"/>
  <c r="T44" i="13"/>
  <c r="S44" i="13"/>
  <c r="W44" i="13" s="1"/>
  <c r="X44" i="13" s="1"/>
  <c r="AA44" i="13" s="1"/>
  <c r="U43" i="13"/>
  <c r="T43" i="13"/>
  <c r="S43" i="13"/>
  <c r="W43" i="13" s="1"/>
  <c r="X43" i="13" s="1"/>
  <c r="AA43" i="13" s="1"/>
  <c r="U42" i="13"/>
  <c r="T42" i="13"/>
  <c r="S42" i="13"/>
  <c r="W42" i="13" s="1"/>
  <c r="X42" i="13" s="1"/>
  <c r="AA42" i="13" s="1"/>
  <c r="U41" i="13"/>
  <c r="T41" i="13"/>
  <c r="S41" i="13"/>
  <c r="W41" i="13" s="1"/>
  <c r="X41" i="13" s="1"/>
  <c r="AA41" i="13" s="1"/>
  <c r="U40" i="13"/>
  <c r="T40" i="13"/>
  <c r="S40" i="13"/>
  <c r="W40" i="13" s="1"/>
  <c r="X40" i="13" s="1"/>
  <c r="AA40" i="13" s="1"/>
  <c r="U39" i="13"/>
  <c r="T39" i="13"/>
  <c r="S39" i="13"/>
  <c r="W39" i="13" s="1"/>
  <c r="X39" i="13" s="1"/>
  <c r="AA39" i="13" s="1"/>
  <c r="U38" i="13"/>
  <c r="T38" i="13"/>
  <c r="S38" i="13"/>
  <c r="W38" i="13" s="1"/>
  <c r="X38" i="13" s="1"/>
  <c r="AA38" i="13" s="1"/>
  <c r="U37" i="13"/>
  <c r="T37" i="13"/>
  <c r="S37" i="13"/>
  <c r="W37" i="13" s="1"/>
  <c r="X37" i="13" s="1"/>
  <c r="AA37" i="13" s="1"/>
  <c r="U36" i="13"/>
  <c r="T36" i="13"/>
  <c r="S36" i="13"/>
  <c r="W36" i="13" s="1"/>
  <c r="X36" i="13" s="1"/>
  <c r="AA36" i="13" s="1"/>
  <c r="U35" i="13"/>
  <c r="T35" i="13"/>
  <c r="S35" i="13"/>
  <c r="W35" i="13" s="1"/>
  <c r="X35" i="13" s="1"/>
  <c r="AA35" i="13" s="1"/>
  <c r="U34" i="13"/>
  <c r="T34" i="13"/>
  <c r="S34" i="13"/>
  <c r="W34" i="13" s="1"/>
  <c r="X34" i="13" s="1"/>
  <c r="AA34" i="13" s="1"/>
  <c r="U33" i="13"/>
  <c r="T33" i="13"/>
  <c r="S33" i="13"/>
  <c r="W33" i="13" s="1"/>
  <c r="X33" i="13" s="1"/>
  <c r="AA33" i="13" s="1"/>
  <c r="U32" i="13"/>
  <c r="T32" i="13"/>
  <c r="S32" i="13"/>
  <c r="W32" i="13" s="1"/>
  <c r="X32" i="13" s="1"/>
  <c r="AA32" i="13" s="1"/>
  <c r="U31" i="13"/>
  <c r="T31" i="13"/>
  <c r="S31" i="13"/>
  <c r="W31" i="13" s="1"/>
  <c r="X31" i="13" s="1"/>
  <c r="AA31" i="13" s="1"/>
  <c r="U30" i="13"/>
  <c r="T30" i="13"/>
  <c r="S30" i="13"/>
  <c r="W30" i="13" s="1"/>
  <c r="X30" i="13" s="1"/>
  <c r="AA30" i="13" s="1"/>
  <c r="U29" i="13"/>
  <c r="T29" i="13"/>
  <c r="S29" i="13"/>
  <c r="W29" i="13" s="1"/>
  <c r="X29" i="13" s="1"/>
  <c r="AA29" i="13" s="1"/>
  <c r="U28" i="13"/>
  <c r="T28" i="13"/>
  <c r="S28" i="13"/>
  <c r="W28" i="13" s="1"/>
  <c r="X28" i="13" s="1"/>
  <c r="AA28" i="13" s="1"/>
  <c r="U27" i="13"/>
  <c r="T27" i="13"/>
  <c r="S27" i="13"/>
  <c r="W27" i="13" s="1"/>
  <c r="X27" i="13" s="1"/>
  <c r="AA27" i="13" s="1"/>
  <c r="U26" i="13"/>
  <c r="T26" i="13"/>
  <c r="S26" i="13"/>
  <c r="W26" i="13" s="1"/>
  <c r="X26" i="13" s="1"/>
  <c r="AA26" i="13" s="1"/>
  <c r="U25" i="13"/>
  <c r="T25" i="13"/>
  <c r="S25" i="13"/>
  <c r="W25" i="13" s="1"/>
  <c r="X25" i="13" s="1"/>
  <c r="AA25" i="13" s="1"/>
  <c r="U24" i="13"/>
  <c r="T24" i="13"/>
  <c r="S24" i="13"/>
  <c r="W24" i="13" s="1"/>
  <c r="X24" i="13" s="1"/>
  <c r="AA24" i="13" s="1"/>
  <c r="U23" i="13"/>
  <c r="T23" i="13"/>
  <c r="S23" i="13"/>
  <c r="W23" i="13" s="1"/>
  <c r="X23" i="13" s="1"/>
  <c r="AA23" i="13" s="1"/>
  <c r="U22" i="13"/>
  <c r="T22" i="13"/>
  <c r="S22" i="13"/>
  <c r="W22" i="13" s="1"/>
  <c r="X22" i="13" s="1"/>
  <c r="AA22" i="13" s="1"/>
  <c r="U21" i="13"/>
  <c r="T21" i="13"/>
  <c r="S21" i="13"/>
  <c r="W21" i="13" s="1"/>
  <c r="X21" i="13" s="1"/>
  <c r="AA21" i="13" s="1"/>
  <c r="U20" i="13"/>
  <c r="T20" i="13"/>
  <c r="S20" i="13"/>
  <c r="W20" i="13" s="1"/>
  <c r="X20" i="13" s="1"/>
  <c r="AA20" i="13" s="1"/>
  <c r="U19" i="13"/>
  <c r="T19" i="13"/>
  <c r="S19" i="13"/>
  <c r="W19" i="13" s="1"/>
  <c r="X19" i="13" s="1"/>
  <c r="AA19" i="13" s="1"/>
  <c r="U18" i="13"/>
  <c r="T18" i="13"/>
  <c r="S18" i="13"/>
  <c r="W18" i="13" s="1"/>
  <c r="X18" i="13" s="1"/>
  <c r="AA18" i="13" s="1"/>
  <c r="U17" i="13"/>
  <c r="T17" i="13"/>
  <c r="S17" i="13"/>
  <c r="W17" i="13" s="1"/>
  <c r="X17" i="13" s="1"/>
  <c r="AA17" i="13" s="1"/>
  <c r="U16" i="13"/>
  <c r="T16" i="13"/>
  <c r="S16" i="13"/>
  <c r="W16" i="13" s="1"/>
  <c r="X16" i="13" s="1"/>
  <c r="AA16" i="13" s="1"/>
  <c r="U15" i="13"/>
  <c r="T15" i="13"/>
  <c r="S15" i="13"/>
  <c r="W15" i="13" s="1"/>
  <c r="X15" i="13" s="1"/>
  <c r="AA15" i="13" s="1"/>
  <c r="U14" i="13"/>
  <c r="T14" i="13"/>
  <c r="S14" i="13"/>
  <c r="W14" i="13" s="1"/>
  <c r="X14" i="13" s="1"/>
  <c r="AA14" i="13" s="1"/>
  <c r="U13" i="13"/>
  <c r="T13" i="13"/>
  <c r="S13" i="13"/>
  <c r="W13" i="13" s="1"/>
  <c r="X13" i="13" s="1"/>
  <c r="AA13" i="13" s="1"/>
  <c r="S14" i="1"/>
  <c r="S15" i="1"/>
  <c r="W15" i="1" s="1"/>
  <c r="X15" i="1" s="1"/>
  <c r="AA15" i="1" s="1"/>
  <c r="S16" i="1"/>
  <c r="W16" i="1" s="1"/>
  <c r="X16" i="1" s="1"/>
  <c r="AA16" i="1" s="1"/>
  <c r="S17" i="1"/>
  <c r="W17" i="1" s="1"/>
  <c r="X17" i="1" s="1"/>
  <c r="AA17" i="1" s="1"/>
  <c r="S18" i="1"/>
  <c r="W18" i="1" s="1"/>
  <c r="X18" i="1" s="1"/>
  <c r="AA18" i="1" s="1"/>
  <c r="S19" i="1"/>
  <c r="W19" i="1" s="1"/>
  <c r="X19" i="1" s="1"/>
  <c r="AA19" i="1" s="1"/>
  <c r="S20" i="1"/>
  <c r="W20" i="1" s="1"/>
  <c r="X20" i="1" s="1"/>
  <c r="AA20" i="1" s="1"/>
  <c r="S21" i="1"/>
  <c r="W21" i="1" s="1"/>
  <c r="X21" i="1" s="1"/>
  <c r="AA21" i="1" s="1"/>
  <c r="S22" i="1"/>
  <c r="W22" i="1" s="1"/>
  <c r="X22" i="1" s="1"/>
  <c r="AA22" i="1" s="1"/>
  <c r="S23" i="1"/>
  <c r="W23" i="1" s="1"/>
  <c r="X23" i="1" s="1"/>
  <c r="AA23" i="1" s="1"/>
  <c r="S24" i="1"/>
  <c r="W24" i="1" s="1"/>
  <c r="X24" i="1" s="1"/>
  <c r="AA24" i="1" s="1"/>
  <c r="S25" i="1"/>
  <c r="W25" i="1" s="1"/>
  <c r="X25" i="1" s="1"/>
  <c r="AA25" i="1" s="1"/>
  <c r="S26" i="1"/>
  <c r="W26" i="1" s="1"/>
  <c r="X26" i="1" s="1"/>
  <c r="AA26" i="1" s="1"/>
  <c r="S27" i="1"/>
  <c r="W27" i="1" s="1"/>
  <c r="X27" i="1" s="1"/>
  <c r="AA27" i="1" s="1"/>
  <c r="S28" i="1"/>
  <c r="W28" i="1" s="1"/>
  <c r="X28" i="1" s="1"/>
  <c r="AA28" i="1" s="1"/>
  <c r="S29" i="1"/>
  <c r="W29" i="1" s="1"/>
  <c r="X29" i="1" s="1"/>
  <c r="AA29" i="1" s="1"/>
  <c r="S30" i="1"/>
  <c r="W30" i="1" s="1"/>
  <c r="X30" i="1" s="1"/>
  <c r="AA30" i="1" s="1"/>
  <c r="S31" i="1"/>
  <c r="W31" i="1" s="1"/>
  <c r="X31" i="1" s="1"/>
  <c r="AA31" i="1" s="1"/>
  <c r="S32" i="1"/>
  <c r="W32" i="1" s="1"/>
  <c r="X32" i="1" s="1"/>
  <c r="AA32" i="1" s="1"/>
  <c r="S33" i="1"/>
  <c r="W33" i="1" s="1"/>
  <c r="X33" i="1" s="1"/>
  <c r="AA33" i="1" s="1"/>
  <c r="S34" i="1"/>
  <c r="W34" i="1" s="1"/>
  <c r="X34" i="1" s="1"/>
  <c r="AA34" i="1" s="1"/>
  <c r="S35" i="1"/>
  <c r="W35" i="1" s="1"/>
  <c r="X35" i="1" s="1"/>
  <c r="AA35" i="1" s="1"/>
  <c r="S36" i="1"/>
  <c r="W36" i="1" s="1"/>
  <c r="X36" i="1" s="1"/>
  <c r="AA36" i="1" s="1"/>
  <c r="S37" i="1"/>
  <c r="W37" i="1" s="1"/>
  <c r="X37" i="1" s="1"/>
  <c r="AA37" i="1" s="1"/>
  <c r="S38" i="1"/>
  <c r="W38" i="1" s="1"/>
  <c r="X38" i="1" s="1"/>
  <c r="AA38" i="1" s="1"/>
  <c r="S39" i="1"/>
  <c r="W39" i="1" s="1"/>
  <c r="X39" i="1" s="1"/>
  <c r="AA39" i="1" s="1"/>
  <c r="S40" i="1"/>
  <c r="W40" i="1" s="1"/>
  <c r="X40" i="1" s="1"/>
  <c r="AA40" i="1" s="1"/>
  <c r="S41" i="1"/>
  <c r="W41" i="1" s="1"/>
  <c r="X41" i="1" s="1"/>
  <c r="AA41" i="1" s="1"/>
  <c r="S42" i="1"/>
  <c r="W42" i="1" s="1"/>
  <c r="X42" i="1" s="1"/>
  <c r="AA42" i="1" s="1"/>
  <c r="S43" i="1"/>
  <c r="W43" i="1" s="1"/>
  <c r="X43" i="1" s="1"/>
  <c r="AA43" i="1" s="1"/>
  <c r="S44" i="1"/>
  <c r="W44" i="1" s="1"/>
  <c r="X44" i="1" s="1"/>
  <c r="AA44" i="1" s="1"/>
  <c r="S45" i="1"/>
  <c r="W45" i="1" s="1"/>
  <c r="X45" i="1" s="1"/>
  <c r="AA45" i="1" s="1"/>
  <c r="S46" i="1"/>
  <c r="W46" i="1" s="1"/>
  <c r="X46" i="1" s="1"/>
  <c r="AA46" i="1" s="1"/>
  <c r="S47" i="1"/>
  <c r="W47" i="1" s="1"/>
  <c r="X47" i="1" s="1"/>
  <c r="AA47" i="1" s="1"/>
  <c r="S48" i="1"/>
  <c r="W48" i="1" s="1"/>
  <c r="X48" i="1" s="1"/>
  <c r="AA48" i="1" s="1"/>
  <c r="S13" i="1"/>
  <c r="W13" i="1" s="1"/>
  <c r="X13" i="1" s="1"/>
  <c r="AA13" i="1" s="1"/>
  <c r="U49" i="5"/>
  <c r="T49" i="5"/>
  <c r="S49" i="5"/>
  <c r="W49" i="5" s="1"/>
  <c r="X49" i="5" s="1"/>
  <c r="AA49" i="5" s="1"/>
  <c r="U48" i="5"/>
  <c r="T48" i="5"/>
  <c r="S48" i="5"/>
  <c r="W48" i="5" s="1"/>
  <c r="X48" i="5" s="1"/>
  <c r="AA48" i="5" s="1"/>
  <c r="U47" i="5"/>
  <c r="T47" i="5"/>
  <c r="S47" i="5"/>
  <c r="W47" i="5" s="1"/>
  <c r="X47" i="5" s="1"/>
  <c r="AA47" i="5" s="1"/>
  <c r="U46" i="5"/>
  <c r="T46" i="5"/>
  <c r="S46" i="5"/>
  <c r="W46" i="5" s="1"/>
  <c r="X46" i="5" s="1"/>
  <c r="AA46" i="5" s="1"/>
  <c r="U45" i="5"/>
  <c r="T45" i="5"/>
  <c r="S45" i="5"/>
  <c r="W45" i="5" s="1"/>
  <c r="X45" i="5" s="1"/>
  <c r="AA45" i="5" s="1"/>
  <c r="U44" i="5"/>
  <c r="T44" i="5"/>
  <c r="S44" i="5"/>
  <c r="W44" i="5" s="1"/>
  <c r="X44" i="5" s="1"/>
  <c r="AA44" i="5" s="1"/>
  <c r="U43" i="5"/>
  <c r="T43" i="5"/>
  <c r="S43" i="5"/>
  <c r="W43" i="5" s="1"/>
  <c r="X43" i="5" s="1"/>
  <c r="AA43" i="5" s="1"/>
  <c r="U42" i="5"/>
  <c r="T42" i="5"/>
  <c r="S42" i="5"/>
  <c r="W42" i="5" s="1"/>
  <c r="X42" i="5" s="1"/>
  <c r="AA42" i="5" s="1"/>
  <c r="U41" i="5"/>
  <c r="T41" i="5"/>
  <c r="S41" i="5"/>
  <c r="W41" i="5" s="1"/>
  <c r="X41" i="5" s="1"/>
  <c r="AA41" i="5" s="1"/>
  <c r="U40" i="5"/>
  <c r="T40" i="5"/>
  <c r="S40" i="5"/>
  <c r="W40" i="5" s="1"/>
  <c r="X40" i="5" s="1"/>
  <c r="AA40" i="5" s="1"/>
  <c r="U39" i="5"/>
  <c r="T39" i="5"/>
  <c r="S39" i="5"/>
  <c r="W39" i="5" s="1"/>
  <c r="X39" i="5" s="1"/>
  <c r="AA39" i="5" s="1"/>
  <c r="U38" i="5"/>
  <c r="T38" i="5"/>
  <c r="S38" i="5"/>
  <c r="W38" i="5" s="1"/>
  <c r="X38" i="5" s="1"/>
  <c r="AA38" i="5" s="1"/>
  <c r="U37" i="5"/>
  <c r="T37" i="5"/>
  <c r="S37" i="5"/>
  <c r="W37" i="5" s="1"/>
  <c r="X37" i="5" s="1"/>
  <c r="AA37" i="5" s="1"/>
  <c r="U36" i="5"/>
  <c r="T36" i="5"/>
  <c r="S36" i="5"/>
  <c r="W36" i="5" s="1"/>
  <c r="X36" i="5" s="1"/>
  <c r="AA36" i="5" s="1"/>
  <c r="U35" i="5"/>
  <c r="T35" i="5"/>
  <c r="S35" i="5"/>
  <c r="W35" i="5" s="1"/>
  <c r="X35" i="5" s="1"/>
  <c r="AA35" i="5" s="1"/>
  <c r="U34" i="5"/>
  <c r="T34" i="5"/>
  <c r="S34" i="5"/>
  <c r="W34" i="5" s="1"/>
  <c r="X34" i="5" s="1"/>
  <c r="AA34" i="5" s="1"/>
  <c r="U33" i="5"/>
  <c r="T33" i="5"/>
  <c r="S33" i="5"/>
  <c r="W33" i="5" s="1"/>
  <c r="X33" i="5" s="1"/>
  <c r="AA33" i="5" s="1"/>
  <c r="U32" i="5"/>
  <c r="T32" i="5"/>
  <c r="S32" i="5"/>
  <c r="W32" i="5" s="1"/>
  <c r="X32" i="5" s="1"/>
  <c r="AA32" i="5" s="1"/>
  <c r="U31" i="5"/>
  <c r="T31" i="5"/>
  <c r="S31" i="5"/>
  <c r="W31" i="5" s="1"/>
  <c r="X31" i="5" s="1"/>
  <c r="AA31" i="5" s="1"/>
  <c r="U30" i="5"/>
  <c r="T30" i="5"/>
  <c r="S30" i="5"/>
  <c r="W30" i="5" s="1"/>
  <c r="X30" i="5" s="1"/>
  <c r="AA30" i="5" s="1"/>
  <c r="U29" i="5"/>
  <c r="T29" i="5"/>
  <c r="S29" i="5"/>
  <c r="W29" i="5" s="1"/>
  <c r="X29" i="5" s="1"/>
  <c r="AA29" i="5" s="1"/>
  <c r="U28" i="5"/>
  <c r="T28" i="5"/>
  <c r="S28" i="5"/>
  <c r="W28" i="5" s="1"/>
  <c r="X28" i="5" s="1"/>
  <c r="AA28" i="5" s="1"/>
  <c r="U27" i="5"/>
  <c r="T27" i="5"/>
  <c r="S27" i="5"/>
  <c r="W27" i="5" s="1"/>
  <c r="X27" i="5" s="1"/>
  <c r="AA27" i="5" s="1"/>
  <c r="U26" i="5"/>
  <c r="T26" i="5"/>
  <c r="S26" i="5"/>
  <c r="W26" i="5" s="1"/>
  <c r="X26" i="5" s="1"/>
  <c r="AA26" i="5" s="1"/>
  <c r="U25" i="5"/>
  <c r="T25" i="5"/>
  <c r="S25" i="5"/>
  <c r="W25" i="5" s="1"/>
  <c r="X25" i="5" s="1"/>
  <c r="AA25" i="5" s="1"/>
  <c r="U24" i="5"/>
  <c r="T24" i="5"/>
  <c r="S24" i="5"/>
  <c r="W24" i="5" s="1"/>
  <c r="X24" i="5" s="1"/>
  <c r="AA24" i="5" s="1"/>
  <c r="U23" i="5"/>
  <c r="T23" i="5"/>
  <c r="S23" i="5"/>
  <c r="W23" i="5" s="1"/>
  <c r="X23" i="5" s="1"/>
  <c r="AA23" i="5" s="1"/>
  <c r="U22" i="5"/>
  <c r="T22" i="5"/>
  <c r="S22" i="5"/>
  <c r="W22" i="5" s="1"/>
  <c r="X22" i="5" s="1"/>
  <c r="AA22" i="5" s="1"/>
  <c r="U21" i="5"/>
  <c r="T21" i="5"/>
  <c r="S21" i="5"/>
  <c r="W21" i="5" s="1"/>
  <c r="X21" i="5" s="1"/>
  <c r="AA21" i="5" s="1"/>
  <c r="U20" i="5"/>
  <c r="T20" i="5"/>
  <c r="S20" i="5"/>
  <c r="W20" i="5" s="1"/>
  <c r="X20" i="5" s="1"/>
  <c r="AA20" i="5" s="1"/>
  <c r="U19" i="5"/>
  <c r="T19" i="5"/>
  <c r="S19" i="5"/>
  <c r="W19" i="5" s="1"/>
  <c r="X19" i="5" s="1"/>
  <c r="AA19" i="5" s="1"/>
  <c r="U18" i="5"/>
  <c r="T18" i="5"/>
  <c r="S18" i="5"/>
  <c r="W18" i="5" s="1"/>
  <c r="X18" i="5" s="1"/>
  <c r="AA18" i="5" s="1"/>
  <c r="U17" i="5"/>
  <c r="T17" i="5"/>
  <c r="S17" i="5"/>
  <c r="W17" i="5" s="1"/>
  <c r="X17" i="5" s="1"/>
  <c r="AA17" i="5" s="1"/>
  <c r="U16" i="5"/>
  <c r="T16" i="5"/>
  <c r="S16" i="5"/>
  <c r="W16" i="5" s="1"/>
  <c r="X16" i="5" s="1"/>
  <c r="AA16" i="5" s="1"/>
  <c r="U15" i="5"/>
  <c r="T15" i="5"/>
  <c r="S15" i="5"/>
  <c r="W15" i="5" s="1"/>
  <c r="X15" i="5" s="1"/>
  <c r="AA15" i="5" s="1"/>
  <c r="U14" i="5"/>
  <c r="T14" i="5"/>
  <c r="S14" i="5"/>
  <c r="W14" i="5" s="1"/>
  <c r="X14" i="5" s="1"/>
  <c r="AA14" i="5" s="1"/>
  <c r="U13" i="5"/>
  <c r="T13" i="5"/>
  <c r="S13" i="5"/>
  <c r="U48" i="4"/>
  <c r="T48" i="4"/>
  <c r="S48" i="4"/>
  <c r="W48" i="4" s="1"/>
  <c r="X48" i="4" s="1"/>
  <c r="AA48" i="4" s="1"/>
  <c r="U47" i="4"/>
  <c r="T47" i="4"/>
  <c r="S47" i="4"/>
  <c r="W47" i="4" s="1"/>
  <c r="X47" i="4" s="1"/>
  <c r="AA47" i="4" s="1"/>
  <c r="U46" i="4"/>
  <c r="T46" i="4"/>
  <c r="S46" i="4"/>
  <c r="W46" i="4" s="1"/>
  <c r="X46" i="4" s="1"/>
  <c r="AA46" i="4" s="1"/>
  <c r="U45" i="4"/>
  <c r="T45" i="4"/>
  <c r="S45" i="4"/>
  <c r="W45" i="4" s="1"/>
  <c r="X45" i="4" s="1"/>
  <c r="AA45" i="4" s="1"/>
  <c r="U44" i="4"/>
  <c r="T44" i="4"/>
  <c r="S44" i="4"/>
  <c r="W44" i="4" s="1"/>
  <c r="X44" i="4" s="1"/>
  <c r="AA44" i="4" s="1"/>
  <c r="U43" i="4"/>
  <c r="T43" i="4"/>
  <c r="S43" i="4"/>
  <c r="W43" i="4" s="1"/>
  <c r="X43" i="4" s="1"/>
  <c r="AA43" i="4" s="1"/>
  <c r="U42" i="4"/>
  <c r="T42" i="4"/>
  <c r="S42" i="4"/>
  <c r="W42" i="4" s="1"/>
  <c r="X42" i="4" s="1"/>
  <c r="AA42" i="4" s="1"/>
  <c r="U41" i="4"/>
  <c r="T41" i="4"/>
  <c r="S41" i="4"/>
  <c r="W41" i="4" s="1"/>
  <c r="X41" i="4" s="1"/>
  <c r="AA41" i="4" s="1"/>
  <c r="U40" i="4"/>
  <c r="T40" i="4"/>
  <c r="S40" i="4"/>
  <c r="W40" i="4" s="1"/>
  <c r="X40" i="4" s="1"/>
  <c r="AA40" i="4" s="1"/>
  <c r="U39" i="4"/>
  <c r="T39" i="4"/>
  <c r="S39" i="4"/>
  <c r="W39" i="4" s="1"/>
  <c r="X39" i="4" s="1"/>
  <c r="AA39" i="4" s="1"/>
  <c r="U38" i="4"/>
  <c r="T38" i="4"/>
  <c r="S38" i="4"/>
  <c r="W38" i="4" s="1"/>
  <c r="X38" i="4" s="1"/>
  <c r="AA38" i="4" s="1"/>
  <c r="U37" i="4"/>
  <c r="T37" i="4"/>
  <c r="S37" i="4"/>
  <c r="W37" i="4" s="1"/>
  <c r="X37" i="4" s="1"/>
  <c r="AA37" i="4" s="1"/>
  <c r="U36" i="4"/>
  <c r="T36" i="4"/>
  <c r="S36" i="4"/>
  <c r="W36" i="4" s="1"/>
  <c r="X36" i="4" s="1"/>
  <c r="AA36" i="4" s="1"/>
  <c r="U35" i="4"/>
  <c r="T35" i="4"/>
  <c r="S35" i="4"/>
  <c r="W35" i="4" s="1"/>
  <c r="X35" i="4" s="1"/>
  <c r="AA35" i="4" s="1"/>
  <c r="U34" i="4"/>
  <c r="T34" i="4"/>
  <c r="S34" i="4"/>
  <c r="W34" i="4" s="1"/>
  <c r="X34" i="4" s="1"/>
  <c r="AA34" i="4" s="1"/>
  <c r="U33" i="4"/>
  <c r="T33" i="4"/>
  <c r="S33" i="4"/>
  <c r="W33" i="4" s="1"/>
  <c r="X33" i="4" s="1"/>
  <c r="AA33" i="4" s="1"/>
  <c r="U32" i="4"/>
  <c r="T32" i="4"/>
  <c r="S32" i="4"/>
  <c r="W32" i="4" s="1"/>
  <c r="X32" i="4" s="1"/>
  <c r="AA32" i="4" s="1"/>
  <c r="U31" i="4"/>
  <c r="T31" i="4"/>
  <c r="S31" i="4"/>
  <c r="W31" i="4" s="1"/>
  <c r="X31" i="4" s="1"/>
  <c r="AA31" i="4" s="1"/>
  <c r="U30" i="4"/>
  <c r="T30" i="4"/>
  <c r="S30" i="4"/>
  <c r="W30" i="4" s="1"/>
  <c r="X30" i="4" s="1"/>
  <c r="AA30" i="4" s="1"/>
  <c r="U29" i="4"/>
  <c r="T29" i="4"/>
  <c r="S29" i="4"/>
  <c r="W29" i="4" s="1"/>
  <c r="X29" i="4" s="1"/>
  <c r="AA29" i="4" s="1"/>
  <c r="U28" i="4"/>
  <c r="T28" i="4"/>
  <c r="S28" i="4"/>
  <c r="W28" i="4" s="1"/>
  <c r="X28" i="4" s="1"/>
  <c r="AA28" i="4" s="1"/>
  <c r="U27" i="4"/>
  <c r="T27" i="4"/>
  <c r="S27" i="4"/>
  <c r="W27" i="4" s="1"/>
  <c r="X27" i="4" s="1"/>
  <c r="AA27" i="4" s="1"/>
  <c r="U26" i="4"/>
  <c r="T26" i="4"/>
  <c r="S26" i="4"/>
  <c r="W26" i="4" s="1"/>
  <c r="X26" i="4" s="1"/>
  <c r="AA26" i="4" s="1"/>
  <c r="U25" i="4"/>
  <c r="T25" i="4"/>
  <c r="S25" i="4"/>
  <c r="W25" i="4" s="1"/>
  <c r="X25" i="4" s="1"/>
  <c r="AA25" i="4" s="1"/>
  <c r="U24" i="4"/>
  <c r="T24" i="4"/>
  <c r="S24" i="4"/>
  <c r="W24" i="4" s="1"/>
  <c r="X24" i="4" s="1"/>
  <c r="AA24" i="4" s="1"/>
  <c r="U23" i="4"/>
  <c r="T23" i="4"/>
  <c r="S23" i="4"/>
  <c r="W23" i="4" s="1"/>
  <c r="X23" i="4" s="1"/>
  <c r="AA23" i="4" s="1"/>
  <c r="U22" i="4"/>
  <c r="T22" i="4"/>
  <c r="S22" i="4"/>
  <c r="W22" i="4" s="1"/>
  <c r="X22" i="4" s="1"/>
  <c r="AA22" i="4" s="1"/>
  <c r="U21" i="4"/>
  <c r="T21" i="4"/>
  <c r="S21" i="4"/>
  <c r="W21" i="4" s="1"/>
  <c r="X21" i="4" s="1"/>
  <c r="AA21" i="4" s="1"/>
  <c r="U20" i="4"/>
  <c r="T20" i="4"/>
  <c r="S20" i="4"/>
  <c r="W20" i="4" s="1"/>
  <c r="X20" i="4" s="1"/>
  <c r="AA20" i="4" s="1"/>
  <c r="U19" i="4"/>
  <c r="T19" i="4"/>
  <c r="S19" i="4"/>
  <c r="W19" i="4" s="1"/>
  <c r="X19" i="4" s="1"/>
  <c r="AA19" i="4" s="1"/>
  <c r="U18" i="4"/>
  <c r="T18" i="4"/>
  <c r="S18" i="4"/>
  <c r="W18" i="4" s="1"/>
  <c r="X18" i="4" s="1"/>
  <c r="AA18" i="4" s="1"/>
  <c r="U17" i="4"/>
  <c r="T17" i="4"/>
  <c r="S17" i="4"/>
  <c r="W17" i="4" s="1"/>
  <c r="X17" i="4" s="1"/>
  <c r="AA17" i="4" s="1"/>
  <c r="U16" i="4"/>
  <c r="T16" i="4"/>
  <c r="S16" i="4"/>
  <c r="W16" i="4" s="1"/>
  <c r="X16" i="4" s="1"/>
  <c r="AA16" i="4" s="1"/>
  <c r="U15" i="4"/>
  <c r="T15" i="4"/>
  <c r="S15" i="4"/>
  <c r="W15" i="4" s="1"/>
  <c r="X15" i="4" s="1"/>
  <c r="AA15" i="4" s="1"/>
  <c r="U14" i="4"/>
  <c r="T14" i="4"/>
  <c r="S14" i="4"/>
  <c r="W14" i="4" s="1"/>
  <c r="X14" i="4" s="1"/>
  <c r="AA14" i="4" s="1"/>
  <c r="U13" i="4"/>
  <c r="T13" i="4"/>
  <c r="S13" i="4"/>
  <c r="U48" i="3"/>
  <c r="T48" i="3"/>
  <c r="S48" i="3"/>
  <c r="W48" i="3" s="1"/>
  <c r="X48" i="3" s="1"/>
  <c r="AA48" i="3" s="1"/>
  <c r="U47" i="3"/>
  <c r="T47" i="3"/>
  <c r="S47" i="3"/>
  <c r="W47" i="3" s="1"/>
  <c r="X47" i="3" s="1"/>
  <c r="AA47" i="3" s="1"/>
  <c r="U46" i="3"/>
  <c r="T46" i="3"/>
  <c r="S46" i="3"/>
  <c r="W46" i="3" s="1"/>
  <c r="X46" i="3" s="1"/>
  <c r="AA46" i="3" s="1"/>
  <c r="U45" i="3"/>
  <c r="T45" i="3"/>
  <c r="S45" i="3"/>
  <c r="W45" i="3" s="1"/>
  <c r="X45" i="3" s="1"/>
  <c r="AA45" i="3" s="1"/>
  <c r="U44" i="3"/>
  <c r="T44" i="3"/>
  <c r="S44" i="3"/>
  <c r="W44" i="3" s="1"/>
  <c r="X44" i="3" s="1"/>
  <c r="AA44" i="3" s="1"/>
  <c r="U43" i="3"/>
  <c r="T43" i="3"/>
  <c r="S43" i="3"/>
  <c r="W43" i="3" s="1"/>
  <c r="X43" i="3" s="1"/>
  <c r="AA43" i="3" s="1"/>
  <c r="U42" i="3"/>
  <c r="T42" i="3"/>
  <c r="S42" i="3"/>
  <c r="W42" i="3" s="1"/>
  <c r="X42" i="3" s="1"/>
  <c r="AA42" i="3" s="1"/>
  <c r="U41" i="3"/>
  <c r="T41" i="3"/>
  <c r="S41" i="3"/>
  <c r="W41" i="3" s="1"/>
  <c r="X41" i="3" s="1"/>
  <c r="AA41" i="3" s="1"/>
  <c r="U40" i="3"/>
  <c r="T40" i="3"/>
  <c r="S40" i="3"/>
  <c r="W40" i="3" s="1"/>
  <c r="X40" i="3" s="1"/>
  <c r="AA40" i="3" s="1"/>
  <c r="U39" i="3"/>
  <c r="T39" i="3"/>
  <c r="S39" i="3"/>
  <c r="W39" i="3" s="1"/>
  <c r="X39" i="3" s="1"/>
  <c r="AA39" i="3" s="1"/>
  <c r="U38" i="3"/>
  <c r="T38" i="3"/>
  <c r="S38" i="3"/>
  <c r="W38" i="3" s="1"/>
  <c r="X38" i="3" s="1"/>
  <c r="AA38" i="3" s="1"/>
  <c r="U37" i="3"/>
  <c r="T37" i="3"/>
  <c r="S37" i="3"/>
  <c r="W37" i="3" s="1"/>
  <c r="X37" i="3" s="1"/>
  <c r="AA37" i="3" s="1"/>
  <c r="U36" i="3"/>
  <c r="T36" i="3"/>
  <c r="S36" i="3"/>
  <c r="W36" i="3" s="1"/>
  <c r="X36" i="3" s="1"/>
  <c r="AA36" i="3" s="1"/>
  <c r="U35" i="3"/>
  <c r="T35" i="3"/>
  <c r="S35" i="3"/>
  <c r="W35" i="3" s="1"/>
  <c r="X35" i="3" s="1"/>
  <c r="AA35" i="3" s="1"/>
  <c r="U34" i="3"/>
  <c r="T34" i="3"/>
  <c r="S34" i="3"/>
  <c r="W34" i="3" s="1"/>
  <c r="X34" i="3" s="1"/>
  <c r="AA34" i="3" s="1"/>
  <c r="U33" i="3"/>
  <c r="T33" i="3"/>
  <c r="S33" i="3"/>
  <c r="W33" i="3" s="1"/>
  <c r="X33" i="3" s="1"/>
  <c r="AA33" i="3" s="1"/>
  <c r="U32" i="3"/>
  <c r="T32" i="3"/>
  <c r="S32" i="3"/>
  <c r="W32" i="3" s="1"/>
  <c r="X32" i="3" s="1"/>
  <c r="AA32" i="3" s="1"/>
  <c r="U31" i="3"/>
  <c r="T31" i="3"/>
  <c r="S31" i="3"/>
  <c r="W31" i="3" s="1"/>
  <c r="X31" i="3" s="1"/>
  <c r="AA31" i="3" s="1"/>
  <c r="U30" i="3"/>
  <c r="T30" i="3"/>
  <c r="S30" i="3"/>
  <c r="W30" i="3" s="1"/>
  <c r="X30" i="3" s="1"/>
  <c r="AA30" i="3" s="1"/>
  <c r="U29" i="3"/>
  <c r="T29" i="3"/>
  <c r="S29" i="3"/>
  <c r="W29" i="3" s="1"/>
  <c r="X29" i="3" s="1"/>
  <c r="AA29" i="3" s="1"/>
  <c r="U28" i="3"/>
  <c r="T28" i="3"/>
  <c r="S28" i="3"/>
  <c r="W28" i="3" s="1"/>
  <c r="X28" i="3" s="1"/>
  <c r="AA28" i="3" s="1"/>
  <c r="U27" i="3"/>
  <c r="T27" i="3"/>
  <c r="S27" i="3"/>
  <c r="W27" i="3" s="1"/>
  <c r="X27" i="3" s="1"/>
  <c r="AA27" i="3" s="1"/>
  <c r="U26" i="3"/>
  <c r="T26" i="3"/>
  <c r="S26" i="3"/>
  <c r="W26" i="3" s="1"/>
  <c r="X26" i="3" s="1"/>
  <c r="AA26" i="3" s="1"/>
  <c r="U25" i="3"/>
  <c r="T25" i="3"/>
  <c r="S25" i="3"/>
  <c r="W25" i="3" s="1"/>
  <c r="X25" i="3" s="1"/>
  <c r="AA25" i="3" s="1"/>
  <c r="U24" i="3"/>
  <c r="T24" i="3"/>
  <c r="S24" i="3"/>
  <c r="W24" i="3" s="1"/>
  <c r="X24" i="3" s="1"/>
  <c r="AA24" i="3" s="1"/>
  <c r="U23" i="3"/>
  <c r="T23" i="3"/>
  <c r="S23" i="3"/>
  <c r="W23" i="3" s="1"/>
  <c r="X23" i="3" s="1"/>
  <c r="AA23" i="3" s="1"/>
  <c r="U22" i="3"/>
  <c r="T22" i="3"/>
  <c r="S22" i="3"/>
  <c r="W22" i="3" s="1"/>
  <c r="X22" i="3" s="1"/>
  <c r="AA22" i="3" s="1"/>
  <c r="U21" i="3"/>
  <c r="T21" i="3"/>
  <c r="S21" i="3"/>
  <c r="W21" i="3" s="1"/>
  <c r="X21" i="3" s="1"/>
  <c r="AA21" i="3" s="1"/>
  <c r="U20" i="3"/>
  <c r="T20" i="3"/>
  <c r="S20" i="3"/>
  <c r="W20" i="3" s="1"/>
  <c r="X20" i="3" s="1"/>
  <c r="AA20" i="3" s="1"/>
  <c r="U19" i="3"/>
  <c r="T19" i="3"/>
  <c r="S19" i="3"/>
  <c r="W19" i="3" s="1"/>
  <c r="X19" i="3" s="1"/>
  <c r="AA19" i="3" s="1"/>
  <c r="U18" i="3"/>
  <c r="T18" i="3"/>
  <c r="S18" i="3"/>
  <c r="W18" i="3" s="1"/>
  <c r="X18" i="3" s="1"/>
  <c r="AA18" i="3" s="1"/>
  <c r="U17" i="3"/>
  <c r="T17" i="3"/>
  <c r="S17" i="3"/>
  <c r="W17" i="3" s="1"/>
  <c r="X17" i="3" s="1"/>
  <c r="AA17" i="3" s="1"/>
  <c r="U16" i="3"/>
  <c r="T16" i="3"/>
  <c r="S16" i="3"/>
  <c r="W16" i="3" s="1"/>
  <c r="X16" i="3" s="1"/>
  <c r="AA16" i="3" s="1"/>
  <c r="U15" i="3"/>
  <c r="T15" i="3"/>
  <c r="S15" i="3"/>
  <c r="W15" i="3" s="1"/>
  <c r="X15" i="3" s="1"/>
  <c r="AA15" i="3" s="1"/>
  <c r="U14" i="3"/>
  <c r="T14" i="3"/>
  <c r="S14" i="3"/>
  <c r="W14" i="3" s="1"/>
  <c r="X14" i="3" s="1"/>
  <c r="AA14" i="3" s="1"/>
  <c r="U13" i="3"/>
  <c r="T13" i="3"/>
  <c r="S13" i="3"/>
  <c r="W13" i="3" s="1"/>
  <c r="X13" i="3" s="1"/>
  <c r="AA13" i="3" s="1"/>
  <c r="U47" i="2"/>
  <c r="T47" i="2"/>
  <c r="S47" i="2"/>
  <c r="W47" i="2" s="1"/>
  <c r="X47" i="2" s="1"/>
  <c r="AA47" i="2" s="1"/>
  <c r="U46" i="2"/>
  <c r="T46" i="2"/>
  <c r="S46" i="2"/>
  <c r="W46" i="2" s="1"/>
  <c r="X46" i="2" s="1"/>
  <c r="AA46" i="2" s="1"/>
  <c r="U45" i="2"/>
  <c r="T45" i="2"/>
  <c r="S45" i="2"/>
  <c r="W45" i="2" s="1"/>
  <c r="X45" i="2" s="1"/>
  <c r="AA45" i="2" s="1"/>
  <c r="U44" i="2"/>
  <c r="T44" i="2"/>
  <c r="S44" i="2"/>
  <c r="W44" i="2" s="1"/>
  <c r="X44" i="2" s="1"/>
  <c r="AA44" i="2" s="1"/>
  <c r="U43" i="2"/>
  <c r="T43" i="2"/>
  <c r="S43" i="2"/>
  <c r="W43" i="2" s="1"/>
  <c r="X43" i="2" s="1"/>
  <c r="AA43" i="2" s="1"/>
  <c r="U42" i="2"/>
  <c r="T42" i="2"/>
  <c r="S42" i="2"/>
  <c r="W42" i="2" s="1"/>
  <c r="X42" i="2" s="1"/>
  <c r="AA42" i="2" s="1"/>
  <c r="U41" i="2"/>
  <c r="T41" i="2"/>
  <c r="S41" i="2"/>
  <c r="W41" i="2" s="1"/>
  <c r="X41" i="2" s="1"/>
  <c r="AA41" i="2" s="1"/>
  <c r="U40" i="2"/>
  <c r="T40" i="2"/>
  <c r="S40" i="2"/>
  <c r="W40" i="2" s="1"/>
  <c r="X40" i="2" s="1"/>
  <c r="AA40" i="2" s="1"/>
  <c r="U39" i="2"/>
  <c r="T39" i="2"/>
  <c r="S39" i="2"/>
  <c r="W39" i="2" s="1"/>
  <c r="X39" i="2" s="1"/>
  <c r="AA39" i="2" s="1"/>
  <c r="U38" i="2"/>
  <c r="T38" i="2"/>
  <c r="S38" i="2"/>
  <c r="W38" i="2" s="1"/>
  <c r="X38" i="2" s="1"/>
  <c r="AA38" i="2" s="1"/>
  <c r="U37" i="2"/>
  <c r="T37" i="2"/>
  <c r="S37" i="2"/>
  <c r="W37" i="2" s="1"/>
  <c r="X37" i="2" s="1"/>
  <c r="AA37" i="2" s="1"/>
  <c r="U36" i="2"/>
  <c r="T36" i="2"/>
  <c r="S36" i="2"/>
  <c r="W36" i="2" s="1"/>
  <c r="X36" i="2" s="1"/>
  <c r="AA36" i="2" s="1"/>
  <c r="U35" i="2"/>
  <c r="T35" i="2"/>
  <c r="S35" i="2"/>
  <c r="W35" i="2" s="1"/>
  <c r="X35" i="2" s="1"/>
  <c r="AA35" i="2" s="1"/>
  <c r="U34" i="2"/>
  <c r="T34" i="2"/>
  <c r="S34" i="2"/>
  <c r="W34" i="2" s="1"/>
  <c r="X34" i="2" s="1"/>
  <c r="AA34" i="2" s="1"/>
  <c r="U33" i="2"/>
  <c r="T33" i="2"/>
  <c r="S33" i="2"/>
  <c r="W33" i="2" s="1"/>
  <c r="X33" i="2" s="1"/>
  <c r="AA33" i="2" s="1"/>
  <c r="U32" i="2"/>
  <c r="T32" i="2"/>
  <c r="S32" i="2"/>
  <c r="W32" i="2" s="1"/>
  <c r="X32" i="2" s="1"/>
  <c r="AA32" i="2" s="1"/>
  <c r="U31" i="2"/>
  <c r="T31" i="2"/>
  <c r="S31" i="2"/>
  <c r="W31" i="2" s="1"/>
  <c r="X31" i="2" s="1"/>
  <c r="AA31" i="2" s="1"/>
  <c r="U30" i="2"/>
  <c r="T30" i="2"/>
  <c r="S30" i="2"/>
  <c r="W30" i="2" s="1"/>
  <c r="X30" i="2" s="1"/>
  <c r="AA30" i="2" s="1"/>
  <c r="U29" i="2"/>
  <c r="T29" i="2"/>
  <c r="S29" i="2"/>
  <c r="W29" i="2" s="1"/>
  <c r="X29" i="2" s="1"/>
  <c r="AA29" i="2" s="1"/>
  <c r="U28" i="2"/>
  <c r="T28" i="2"/>
  <c r="S28" i="2"/>
  <c r="W28" i="2" s="1"/>
  <c r="X28" i="2" s="1"/>
  <c r="AA28" i="2" s="1"/>
  <c r="U27" i="2"/>
  <c r="T27" i="2"/>
  <c r="S27" i="2"/>
  <c r="W27" i="2" s="1"/>
  <c r="X27" i="2" s="1"/>
  <c r="AA27" i="2" s="1"/>
  <c r="U26" i="2"/>
  <c r="T26" i="2"/>
  <c r="S26" i="2"/>
  <c r="W26" i="2" s="1"/>
  <c r="X26" i="2" s="1"/>
  <c r="AA26" i="2" s="1"/>
  <c r="U25" i="2"/>
  <c r="T25" i="2"/>
  <c r="S25" i="2"/>
  <c r="W25" i="2" s="1"/>
  <c r="X25" i="2" s="1"/>
  <c r="AA25" i="2" s="1"/>
  <c r="AA52" i="2" s="1"/>
  <c r="U24" i="2"/>
  <c r="T24" i="2"/>
  <c r="S24" i="2"/>
  <c r="W24" i="2" s="1"/>
  <c r="X24" i="2" s="1"/>
  <c r="AA24" i="2" s="1"/>
  <c r="U23" i="2"/>
  <c r="T23" i="2"/>
  <c r="S23" i="2"/>
  <c r="W23" i="2" s="1"/>
  <c r="X23" i="2" s="1"/>
  <c r="AA23" i="2" s="1"/>
  <c r="U22" i="2"/>
  <c r="T22" i="2"/>
  <c r="S22" i="2"/>
  <c r="W22" i="2" s="1"/>
  <c r="X22" i="2" s="1"/>
  <c r="AA22" i="2" s="1"/>
  <c r="U21" i="2"/>
  <c r="T21" i="2"/>
  <c r="S21" i="2"/>
  <c r="W21" i="2" s="1"/>
  <c r="X21" i="2" s="1"/>
  <c r="AA21" i="2" s="1"/>
  <c r="U20" i="2"/>
  <c r="T20" i="2"/>
  <c r="S20" i="2"/>
  <c r="W20" i="2" s="1"/>
  <c r="X20" i="2" s="1"/>
  <c r="AA20" i="2" s="1"/>
  <c r="U19" i="2"/>
  <c r="T19" i="2"/>
  <c r="S19" i="2"/>
  <c r="W19" i="2" s="1"/>
  <c r="X19" i="2" s="1"/>
  <c r="AA19" i="2" s="1"/>
  <c r="U18" i="2"/>
  <c r="T18" i="2"/>
  <c r="S18" i="2"/>
  <c r="W18" i="2" s="1"/>
  <c r="X18" i="2" s="1"/>
  <c r="AA18" i="2" s="1"/>
  <c r="U17" i="2"/>
  <c r="T17" i="2"/>
  <c r="S17" i="2"/>
  <c r="W17" i="2" s="1"/>
  <c r="X17" i="2" s="1"/>
  <c r="AA17" i="2" s="1"/>
  <c r="U16" i="2"/>
  <c r="T16" i="2"/>
  <c r="S16" i="2"/>
  <c r="W16" i="2" s="1"/>
  <c r="X16" i="2" s="1"/>
  <c r="AA16" i="2" s="1"/>
  <c r="U15" i="2"/>
  <c r="T15" i="2"/>
  <c r="S15" i="2"/>
  <c r="W15" i="2" s="1"/>
  <c r="X15" i="2" s="1"/>
  <c r="AA15" i="2" s="1"/>
  <c r="U14" i="2"/>
  <c r="T14" i="2"/>
  <c r="S14" i="2"/>
  <c r="U13" i="2"/>
  <c r="T13" i="2"/>
  <c r="S13" i="2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13" i="1"/>
  <c r="AA50" i="2" l="1"/>
  <c r="AA51" i="2"/>
  <c r="AA54" i="13"/>
  <c r="AA53" i="13"/>
  <c r="AA52" i="13"/>
  <c r="W13" i="5"/>
  <c r="X13" i="5" s="1"/>
  <c r="AA13" i="5" s="1"/>
  <c r="AA50" i="5" s="1"/>
  <c r="W13" i="4"/>
  <c r="X13" i="4" s="1"/>
  <c r="AA13" i="4" s="1"/>
  <c r="AA52" i="4" s="1"/>
  <c r="W14" i="2"/>
  <c r="X14" i="2" s="1"/>
  <c r="AA14" i="2" s="1"/>
  <c r="W13" i="2"/>
  <c r="X13" i="2" s="1"/>
  <c r="AA13" i="2" s="1"/>
  <c r="AA52" i="3"/>
  <c r="AA53" i="3"/>
  <c r="AA51" i="3"/>
  <c r="W14" i="1"/>
  <c r="X14" i="1" s="1"/>
  <c r="AA14" i="1" s="1"/>
  <c r="AA52" i="1" s="1"/>
  <c r="AA50" i="4" l="1"/>
  <c r="AA51" i="4"/>
  <c r="AA51" i="5"/>
  <c r="AA52" i="5"/>
  <c r="AA50" i="1"/>
  <c r="AA51" i="1"/>
</calcChain>
</file>

<file path=xl/sharedStrings.xml><?xml version="1.0" encoding="utf-8"?>
<sst xmlns="http://schemas.openxmlformats.org/spreadsheetml/2006/main" count="1178" uniqueCount="903">
  <si>
    <r>
      <rPr>
        <sz val="12"/>
        <color theme="1"/>
        <rFont val="Times New Roman"/>
        <family val="1"/>
      </rPr>
      <t>PEMERINTAH DAERAH PROVINSI JAWA BARAT</t>
    </r>
    <r>
      <rPr>
        <sz val="10"/>
        <color theme="1"/>
        <rFont val="Arial Narrow"/>
        <family val="2"/>
      </rPr>
      <t xml:space="preserve">
</t>
    </r>
    <r>
      <rPr>
        <sz val="12"/>
        <color theme="1"/>
        <rFont val="Times New Roman"/>
        <family val="1"/>
      </rPr>
      <t xml:space="preserve">DINAS PENDIDIKAN 
</t>
    </r>
    <r>
      <rPr>
        <b/>
        <sz val="14"/>
        <color theme="1"/>
        <rFont val="Times New Roman"/>
        <family val="1"/>
      </rPr>
      <t xml:space="preserve">SMA  NEGERI 2 CIBINONG
</t>
    </r>
    <r>
      <rPr>
        <sz val="10"/>
        <color theme="1"/>
        <rFont val="Times New Roman"/>
        <family val="1"/>
      </rPr>
      <t>Jln. Karadenan No. 5 Cibinong Telp/Fax. ( 0251 ) 8654347 Bogor 16913
http://www.sman2cibinong.sch.id    email: info@sman2cibinong.sch.id</t>
    </r>
  </si>
  <si>
    <t>Mata Pelajaran</t>
  </si>
  <si>
    <t>Kelas</t>
  </si>
  <si>
    <t>Pengajar</t>
  </si>
  <si>
    <t>NO</t>
  </si>
  <si>
    <t>NISN / NIS</t>
  </si>
  <si>
    <t>NAMA PESERTA DIDIK</t>
  </si>
  <si>
    <t>ASESMEN / PENILAIAN</t>
  </si>
  <si>
    <t>Rata - Rata</t>
  </si>
  <si>
    <t>PAS</t>
  </si>
  <si>
    <t>NR</t>
  </si>
  <si>
    <t>Skp</t>
  </si>
  <si>
    <t>Hdr</t>
  </si>
  <si>
    <t>Rapor</t>
  </si>
  <si>
    <t>max</t>
  </si>
  <si>
    <t>min</t>
  </si>
  <si>
    <t>avg</t>
  </si>
  <si>
    <t>DAFTAR CAPAIAN PEMBELAJARAN SEMESTER 1</t>
  </si>
  <si>
    <t>TAHUN PELAJARAN 2025 - 2026</t>
  </si>
  <si>
    <t>:</t>
  </si>
  <si>
    <t>RT</t>
  </si>
  <si>
    <t xml:space="preserve">: </t>
  </si>
  <si>
    <t>CP1</t>
  </si>
  <si>
    <t>CP2</t>
  </si>
  <si>
    <t>CP3</t>
  </si>
  <si>
    <t>: XII-A1</t>
  </si>
  <si>
    <t>: XII-G2</t>
  </si>
  <si>
    <t>: XII-G1</t>
  </si>
  <si>
    <t>: XII-F</t>
  </si>
  <si>
    <t>: XII-E</t>
  </si>
  <si>
    <t>: XII-D2</t>
  </si>
  <si>
    <t>: XII-D1</t>
  </si>
  <si>
    <t>: XII-C2</t>
  </si>
  <si>
    <t>: XII-C1</t>
  </si>
  <si>
    <t>: XII-B2</t>
  </si>
  <si>
    <t>: XII-B1</t>
  </si>
  <si>
    <t>: XII-A2</t>
  </si>
  <si>
    <t>0081827201 / 232410030</t>
  </si>
  <si>
    <t>0075982034 / 232410047</t>
  </si>
  <si>
    <t>Arkanuliya Akramina</t>
  </si>
  <si>
    <t>0088752957 / 232410054</t>
  </si>
  <si>
    <t>0076649308 / 232410056</t>
  </si>
  <si>
    <t>Athiyya Mumtaza</t>
  </si>
  <si>
    <t>0086952864 / 232410066</t>
  </si>
  <si>
    <t>0082672847 / 232410119</t>
  </si>
  <si>
    <t>0088505733 / 232410122</t>
  </si>
  <si>
    <t>0077858999 / 232410154</t>
  </si>
  <si>
    <t>0076416354 / 232410178</t>
  </si>
  <si>
    <t>0078188380 / 232410182</t>
  </si>
  <si>
    <t>0073915660 / 232410209</t>
  </si>
  <si>
    <t>Lovita Emery Samudro</t>
  </si>
  <si>
    <t>0088226204 / 232410226</t>
  </si>
  <si>
    <t>0073774316 / 232410227</t>
  </si>
  <si>
    <t>0077973166 / 232410229</t>
  </si>
  <si>
    <t>0089985671 / 232410236</t>
  </si>
  <si>
    <t>0074155023 / 232410240</t>
  </si>
  <si>
    <t>0077309800 / 232410228</t>
  </si>
  <si>
    <t>0076238206 / 232410271</t>
  </si>
  <si>
    <t>0081190471 / 232410273</t>
  </si>
  <si>
    <t>Najla Hanifah Zultani</t>
  </si>
  <si>
    <t>0089749933 / 232410292</t>
  </si>
  <si>
    <t>0074254843 / 232410299</t>
  </si>
  <si>
    <t>0085561843 / 232410302</t>
  </si>
  <si>
    <t>Panny Chantika Pasra</t>
  </si>
  <si>
    <t>0088156626 / 232410306</t>
  </si>
  <si>
    <t>0087854736 / 232410318</t>
  </si>
  <si>
    <t>0076913614 / 232410322</t>
  </si>
  <si>
    <t>0085216950 / 232410338</t>
  </si>
  <si>
    <t>0086654765 / 232410357</t>
  </si>
  <si>
    <t>0089746012 / 232410362</t>
  </si>
  <si>
    <t>0082814532 / 232410378</t>
  </si>
  <si>
    <t>0074140525 / 232410379</t>
  </si>
  <si>
    <t>0088426253 / 232410382</t>
  </si>
  <si>
    <t>0083972733 / 232410384</t>
  </si>
  <si>
    <t>0076246376 / 232410386</t>
  </si>
  <si>
    <t>0088711881 / 232410395</t>
  </si>
  <si>
    <t>0088972080 / 232410398</t>
  </si>
  <si>
    <t>0083973195 / 232410405</t>
  </si>
  <si>
    <t>Veril Satria Mulya</t>
  </si>
  <si>
    <t>Alyssa Mutiara Saptia</t>
  </si>
  <si>
    <t>Asykar Handa Al-Munawwar</t>
  </si>
  <si>
    <t>Ayu Widia Ningsih</t>
  </si>
  <si>
    <t>Essi Ester Anjuani Manik</t>
  </si>
  <si>
    <t>Fadila Kurnia Cahya</t>
  </si>
  <si>
    <t>Ghaisani Syifa Indriani</t>
  </si>
  <si>
    <t>Izra Eliza</t>
  </si>
  <si>
    <t>Jihan Balqisha Putriana</t>
  </si>
  <si>
    <t>Miranda Putri</t>
  </si>
  <si>
    <t>Mona Putri Aryati</t>
  </si>
  <si>
    <t>Muhamad Dafa</t>
  </si>
  <si>
    <t>Muhammad Afif Zarrar Pratama</t>
  </si>
  <si>
    <t>Muhammad Dzikri Setiawan</t>
  </si>
  <si>
    <t>Muhammad Fachri Adriansyah</t>
  </si>
  <si>
    <t>Naila Aulia Supriadi</t>
  </si>
  <si>
    <t>Nikeisha Vivia Indrani</t>
  </si>
  <si>
    <t>Oktaviani Putri Silalahi</t>
  </si>
  <si>
    <t>Putri Inaya Khaerany</t>
  </si>
  <si>
    <t>Rafeyfa Asyla</t>
  </si>
  <si>
    <t>Raihan Gusti Ramadhan</t>
  </si>
  <si>
    <t>Ravina Amalyna Kyumi</t>
  </si>
  <si>
    <t>Rula Salsabilah Lubis</t>
  </si>
  <si>
    <t>Salma Latiefah Noer</t>
  </si>
  <si>
    <t>Shendy Azizah Isnenly</t>
  </si>
  <si>
    <t>Shyabilla Nishrina Shaumy Mumtaz</t>
  </si>
  <si>
    <t>Siti Zaskiyah</t>
  </si>
  <si>
    <t>Suci Kamila</t>
  </si>
  <si>
    <t>Syahrul Firdani Suganda</t>
  </si>
  <si>
    <t>Tamarin Daritri Nayla</t>
  </si>
  <si>
    <t>Theo Risqi Marley</t>
  </si>
  <si>
    <t>0073886422 / 232410073</t>
  </si>
  <si>
    <t>Azmirula Syahda Wahada Gunawan</t>
  </si>
  <si>
    <t>0074944988 / 232410090</t>
  </si>
  <si>
    <t>0085137475 / 232410092</t>
  </si>
  <si>
    <t>0094411040 / 232410095</t>
  </si>
  <si>
    <t>0089690398 / 232410108</t>
  </si>
  <si>
    <t>Dimas Rizky Satriawan</t>
  </si>
  <si>
    <t>0084835292 / 232410110</t>
  </si>
  <si>
    <t>0086406093 / 232410118</t>
  </si>
  <si>
    <t>0081603311 / 232410130</t>
  </si>
  <si>
    <t>0088384581 / 232410147</t>
  </si>
  <si>
    <t>0088365281 / 232410152</t>
  </si>
  <si>
    <t>Gede Wira Yudistira</t>
  </si>
  <si>
    <t>0088494554 / 232410157</t>
  </si>
  <si>
    <t>3071630815 / 232410165</t>
  </si>
  <si>
    <t>Hasani Zahwan Abdillah</t>
  </si>
  <si>
    <t>0073641997 / 232410189</t>
  </si>
  <si>
    <t>0089026118 / 232410194</t>
  </si>
  <si>
    <t>Kayla Salsabil Majid</t>
  </si>
  <si>
    <t>0077119490 / 232410223</t>
  </si>
  <si>
    <t>0089140087 / 232410246</t>
  </si>
  <si>
    <t>0086455515 / 242511437</t>
  </si>
  <si>
    <t>Nabila Anggraini</t>
  </si>
  <si>
    <t>0084931170 / 232410282</t>
  </si>
  <si>
    <t>0085365990 / 232410283</t>
  </si>
  <si>
    <t>0086117592 / 232410284</t>
  </si>
  <si>
    <t>0084353121 / 232410287</t>
  </si>
  <si>
    <t>0089082411 / 232410293</t>
  </si>
  <si>
    <t>0083397798 / 232410296</t>
  </si>
  <si>
    <t>0074122304 / 232410298</t>
  </si>
  <si>
    <t>3066151902 / 232410308</t>
  </si>
  <si>
    <t>0089413785 / 232410315</t>
  </si>
  <si>
    <t>Rafa Aqila Fariha</t>
  </si>
  <si>
    <t>0074283202 / 232410325</t>
  </si>
  <si>
    <t>0105179031 / 232410345</t>
  </si>
  <si>
    <t>0083722868 / 232410353</t>
  </si>
  <si>
    <t>0073792281 / 232410361</t>
  </si>
  <si>
    <t>0088818539 / 232410388</t>
  </si>
  <si>
    <t>Syarifah Noor Maulida</t>
  </si>
  <si>
    <t>0085478066 / 232410394</t>
  </si>
  <si>
    <t>0088503224 / 232410399</t>
  </si>
  <si>
    <t>0082618272 / 232410422</t>
  </si>
  <si>
    <t>0088777397 / 232410423</t>
  </si>
  <si>
    <t>Cintya Ramadhani Sinulingga</t>
  </si>
  <si>
    <t>Cyrilla Elvaretta Nathaniella</t>
  </si>
  <si>
    <t>Daffa Rizky Darmawan</t>
  </si>
  <si>
    <t>Dinar Adilla Mufidasari</t>
  </si>
  <si>
    <t>Erika Julia Gracia Sihite</t>
  </si>
  <si>
    <t>Faris Faizannajmy Basyir</t>
  </si>
  <si>
    <t>Firly Mahesa Hardiniansyah</t>
  </si>
  <si>
    <t>Grace Glorya Miracle Ziliwu</t>
  </si>
  <si>
    <t>Kanaka Abhinaya Zahran Suryana</t>
  </si>
  <si>
    <t>Melani Putri Angraini</t>
  </si>
  <si>
    <t>Muhammad Ibni Hadyan Nadif</t>
  </si>
  <si>
    <t>Natasiya Sihombing</t>
  </si>
  <si>
    <t>Natasya Putri Erwina</t>
  </si>
  <si>
    <t>Naufal Akhdan Athafarhani</t>
  </si>
  <si>
    <t>Nazwa Aulia</t>
  </si>
  <si>
    <t>Niken Dwi Intan Septi Ramadhani</t>
  </si>
  <si>
    <t>Nurul Syifa Nayla</t>
  </si>
  <si>
    <t>Odilia Sekar Ayu Prasista</t>
  </si>
  <si>
    <t>Qissya Alicka Syakila</t>
  </si>
  <si>
    <t>Raisa Nur Rizky Ramadhani</t>
  </si>
  <si>
    <t>Reskya Putri Mutia</t>
  </si>
  <si>
    <t>Riska Yulianti</t>
  </si>
  <si>
    <t>Salma Anjani Marissa</t>
  </si>
  <si>
    <t>Talita Adisti Paramitha</t>
  </si>
  <si>
    <t>Tiara Azizah Wibowo</t>
  </si>
  <si>
    <t>Zesica Kristi Anggrainy</t>
  </si>
  <si>
    <t>Zherha Maharani Djainun Leurima</t>
  </si>
  <si>
    <t>0074358286 / 232410004</t>
  </si>
  <si>
    <t>0081115983 / 232410007</t>
  </si>
  <si>
    <t>0085814863 / 232410022</t>
  </si>
  <si>
    <t>0071912343 / 232410069</t>
  </si>
  <si>
    <t>0073986511 / 232410089</t>
  </si>
  <si>
    <t>0074628995 / 232410109</t>
  </si>
  <si>
    <t>0074871623 / 232410138</t>
  </si>
  <si>
    <t>0088151014 / 232410160</t>
  </si>
  <si>
    <t>Habiburrahman Ryu Hannan Arinovan</t>
  </si>
  <si>
    <t>0081109182 / 232410166</t>
  </si>
  <si>
    <t>0083253046 / 232410173</t>
  </si>
  <si>
    <t>Iftita Arrasy Kinantan</t>
  </si>
  <si>
    <t>0074966766 / 232410177</t>
  </si>
  <si>
    <t>0087221356 / 232410190</t>
  </si>
  <si>
    <t>Kania Arkhanintha Putri</t>
  </si>
  <si>
    <t>0084724823 / 232410191</t>
  </si>
  <si>
    <t>0097516066 / 232410214</t>
  </si>
  <si>
    <t>Malia Arifa Yumna</t>
  </si>
  <si>
    <t>0075323827 / 232410220</t>
  </si>
  <si>
    <t>0086024046 / 232410222</t>
  </si>
  <si>
    <t>Meganva Dian Putri Herfendik</t>
  </si>
  <si>
    <t>0099970683 / 242511435</t>
  </si>
  <si>
    <t>0089743150 / 232410241</t>
  </si>
  <si>
    <t>0088222208 / 232410257</t>
  </si>
  <si>
    <t>0086388012 / 232410266</t>
  </si>
  <si>
    <t>0083120324 / 232410268</t>
  </si>
  <si>
    <t>0082105748 / 232410274</t>
  </si>
  <si>
    <t>0079447699 / 232410278</t>
  </si>
  <si>
    <t>Naomi Ayudiah</t>
  </si>
  <si>
    <t>3074961191 / 232410303</t>
  </si>
  <si>
    <t>0073151784 / 232410305</t>
  </si>
  <si>
    <t>0076770572 / 232410323</t>
  </si>
  <si>
    <t>0082964949 / 232410328</t>
  </si>
  <si>
    <t>0088634715 / 232410346</t>
  </si>
  <si>
    <t>Restu Hidayat</t>
  </si>
  <si>
    <t>0073457714 / 232410356</t>
  </si>
  <si>
    <t>0088511008 / 232410359</t>
  </si>
  <si>
    <t>0081541137 / 232410372</t>
  </si>
  <si>
    <t>0071639715 / 232410376</t>
  </si>
  <si>
    <t>0089057501 / 232410401</t>
  </si>
  <si>
    <t>Valen Fananda Nay</t>
  </si>
  <si>
    <t>0081997898 / 232410402</t>
  </si>
  <si>
    <t>0072999565 / 232410413</t>
  </si>
  <si>
    <t>0082748882 / 232410414</t>
  </si>
  <si>
    <t>Yus Safira</t>
  </si>
  <si>
    <t>Aditya Firdaus</t>
  </si>
  <si>
    <t>Adrian Rizky Alghifari</t>
  </si>
  <si>
    <t>Alisya Putri Khairunnisa</t>
  </si>
  <si>
    <t>Aziz Aditya Pratama</t>
  </si>
  <si>
    <t>Cindy Nurkhalifah</t>
  </si>
  <si>
    <t>Dimas Surya Prathama</t>
  </si>
  <si>
    <t>Fauzan Hibatullah Sutisna</t>
  </si>
  <si>
    <t>Hasyir Fauzan Nugraha</t>
  </si>
  <si>
    <t>Irgie Apriliano Gottardi</t>
  </si>
  <si>
    <t>Kartika Djaja Negara</t>
  </si>
  <si>
    <t>Mayzied Ali Lazuardi</t>
  </si>
  <si>
    <t>Mohammad Asyqar Risq</t>
  </si>
  <si>
    <t>Muhammad Fadhlan Dhafin</t>
  </si>
  <si>
    <t>Mutiara Purnamasari</t>
  </si>
  <si>
    <t>Nadira Adzra As Shofa</t>
  </si>
  <si>
    <t>Nafilah Fairuz Humaira</t>
  </si>
  <si>
    <t>Najla Humaira Putri Hidayat</t>
  </si>
  <si>
    <t>Pebryan Abdal Bais</t>
  </si>
  <si>
    <t>Putra Gabe Martogi Lumban Batu</t>
  </si>
  <si>
    <t>Raihana Citra Nur Ramadhanti</t>
  </si>
  <si>
    <t>Raka Septiyan Harja Khan</t>
  </si>
  <si>
    <t>Royyan Pradita</t>
  </si>
  <si>
    <t>Safitri Ali Sukarno</t>
  </si>
  <si>
    <t>Seviolla Luna Gustriana Patih</t>
  </si>
  <si>
    <t>Shazia Melika</t>
  </si>
  <si>
    <t>Varissa Almahaira Azrakayla</t>
  </si>
  <si>
    <t>Yuriska Alyandra Hutomo</t>
  </si>
  <si>
    <t>0071203059 / 232410002</t>
  </si>
  <si>
    <t>0071616096 / 232410011</t>
  </si>
  <si>
    <t>3082802938 / 232410032</t>
  </si>
  <si>
    <t>Andrea Salma Aisya</t>
  </si>
  <si>
    <t>0086873536 / 232410043</t>
  </si>
  <si>
    <t>0089590530 / 232410045</t>
  </si>
  <si>
    <t>0083547396 / 232410052</t>
  </si>
  <si>
    <t>0089083585 / 232410062</t>
  </si>
  <si>
    <t>Aurelia Quabyla Ramadhani</t>
  </si>
  <si>
    <t>0075739296 / 232410099</t>
  </si>
  <si>
    <t>0077251126 / 232410100</t>
  </si>
  <si>
    <t>0081045908 / 232410111</t>
  </si>
  <si>
    <t>0089711367 / 232410436</t>
  </si>
  <si>
    <t>0088442156 / 232410128</t>
  </si>
  <si>
    <t>0082379675 / 232410135</t>
  </si>
  <si>
    <t>0086348628 / 232410136</t>
  </si>
  <si>
    <t>0085950341 / 232410143</t>
  </si>
  <si>
    <t>0086662749 / 232410151</t>
  </si>
  <si>
    <t>0072465472 / 232410175</t>
  </si>
  <si>
    <t>0086280673 / 232410197</t>
  </si>
  <si>
    <t>0088734774 / 232410200</t>
  </si>
  <si>
    <t>Keyla Widyadhana Raissa</t>
  </si>
  <si>
    <t>0084656439 / 232410213</t>
  </si>
  <si>
    <t>0084597945 / 232410216</t>
  </si>
  <si>
    <t>Maretta Manda Manguning Putri</t>
  </si>
  <si>
    <t>0087686168 / 232410233</t>
  </si>
  <si>
    <t>0074422009 / 232410259</t>
  </si>
  <si>
    <t>Nabhilla Putri Isnandar</t>
  </si>
  <si>
    <t>0079709738 / 232410260</t>
  </si>
  <si>
    <t>0086298930 / 232410262</t>
  </si>
  <si>
    <t>Nabila Dyah Puspita</t>
  </si>
  <si>
    <t>0083025047 / 232410265</t>
  </si>
  <si>
    <t>0088549426 / 232410267</t>
  </si>
  <si>
    <t>0072346516 / 232410279</t>
  </si>
  <si>
    <t>Narendra Agru Prasetyo</t>
  </si>
  <si>
    <t>0084548323 / 232410316</t>
  </si>
  <si>
    <t>0082499164 / 232410334</t>
  </si>
  <si>
    <t>0078997635 / 232410365</t>
  </si>
  <si>
    <t>0084863899 / 232410373</t>
  </si>
  <si>
    <t>Shafira Akhila Nazifa</t>
  </si>
  <si>
    <t>0074163475 / 232410391</t>
  </si>
  <si>
    <t>0077763943 / 232410407</t>
  </si>
  <si>
    <t>Wendyea Aktaviona</t>
  </si>
  <si>
    <t>3083822721 / 232410425</t>
  </si>
  <si>
    <t>0082343172 / 232410426</t>
  </si>
  <si>
    <t>Adam Ristiaji Machfudz</t>
  </si>
  <si>
    <t>Ahmad Abdurrahman Athallah</t>
  </si>
  <si>
    <t>Aretha Asyifa Nur</t>
  </si>
  <si>
    <t>Argiska Mardiyana</t>
  </si>
  <si>
    <t>Asfaro Muzakki</t>
  </si>
  <si>
    <t>Darys Dzakir Putra Cahyadi</t>
  </si>
  <si>
    <t>Deandra Ibnu Kaffa Sofyan</t>
  </si>
  <si>
    <t>Dini</t>
  </si>
  <si>
    <t>Erich Raditya</t>
  </si>
  <si>
    <t>Fakhri Arkananta</t>
  </si>
  <si>
    <t>Fathiyya Azzahra</t>
  </si>
  <si>
    <t>Fatih M. Adiwangsa</t>
  </si>
  <si>
    <t>Fina Naylatul Izzah</t>
  </si>
  <si>
    <t>Gamaliel Gloryan Chico Corputty</t>
  </si>
  <si>
    <t>Insanadilla Salafina Hidayat</t>
  </si>
  <si>
    <t>Keisya Amanda Meica</t>
  </si>
  <si>
    <t>Mahesh Andreas Siagian</t>
  </si>
  <si>
    <t>Muhamad Khadafi</t>
  </si>
  <si>
    <t>Nabil Fatih Firjatullah Azwar</t>
  </si>
  <si>
    <t>Nadia Cherryl Azkiya</t>
  </si>
  <si>
    <t>Nadya Safira Setyawan</t>
  </si>
  <si>
    <t>Rafa Hafizh Waradana</t>
  </si>
  <si>
    <t>Rasheesa Fitria Nuraini</t>
  </si>
  <si>
    <t>Salsabila Firli</t>
  </si>
  <si>
    <t>Syifa Az Zahra</t>
  </si>
  <si>
    <t>Zuhairy</t>
  </si>
  <si>
    <t>Zyeira Shaquilla Fatihatul Rahmatya</t>
  </si>
  <si>
    <t>0083566956 / 232410001</t>
  </si>
  <si>
    <t>0086298653 / 232410016</t>
  </si>
  <si>
    <t>0089560373 / 232410021</t>
  </si>
  <si>
    <t>0087432831 / 232410051</t>
  </si>
  <si>
    <t>0078031156 / 232410059</t>
  </si>
  <si>
    <t>Aulia Eka Putri Bakti</t>
  </si>
  <si>
    <t>0082894035 / 232410063</t>
  </si>
  <si>
    <t>0078575799 / 232410065</t>
  </si>
  <si>
    <t>0078728769 / 232410068</t>
  </si>
  <si>
    <t>0087676418 / 232410071</t>
  </si>
  <si>
    <t>0078250040 / 232410075</t>
  </si>
  <si>
    <t>0087314689 / 232410080</t>
  </si>
  <si>
    <t>0081927424 / 232410086</t>
  </si>
  <si>
    <t>Calvin Jireh Parasian Pasaribu</t>
  </si>
  <si>
    <t>0081115263 / 232410091</t>
  </si>
  <si>
    <t>0087136271 / 232410131</t>
  </si>
  <si>
    <t>0089594040 / 232410140</t>
  </si>
  <si>
    <t>Febi Ihsanul Azmi</t>
  </si>
  <si>
    <t>0084956925 / 232410159</t>
  </si>
  <si>
    <t>0083246118 / 232410169</t>
  </si>
  <si>
    <t>0086919748 / 232410193</t>
  </si>
  <si>
    <t>Kayla Mahesa Putri Prabindari</t>
  </si>
  <si>
    <t>0073646664 / 232410203</t>
  </si>
  <si>
    <t>0084878741 / 232410204</t>
  </si>
  <si>
    <t>Kheysha Nazwa Adinda</t>
  </si>
  <si>
    <t>0084894791 / 232410207</t>
  </si>
  <si>
    <t>0084967360 / 232410231</t>
  </si>
  <si>
    <t>0086943552 / 232410232</t>
  </si>
  <si>
    <t>0087587189 / 232410238</t>
  </si>
  <si>
    <t>0079756255 / 232410212</t>
  </si>
  <si>
    <t>0079137192 / 232410247</t>
  </si>
  <si>
    <t>Muhammad Irfan Ahzani</t>
  </si>
  <si>
    <t>0089011528 / 232410441</t>
  </si>
  <si>
    <t>Muhammad Syaihan Pramono</t>
  </si>
  <si>
    <t>0082149467 / 232410281</t>
  </si>
  <si>
    <t>0088868776 / 232410310</t>
  </si>
  <si>
    <t>0078211943 / 232410313</t>
  </si>
  <si>
    <t>0089661526 / 232410324</t>
  </si>
  <si>
    <t>0073911139 / 232410342</t>
  </si>
  <si>
    <t>0089819274 / 232410351</t>
  </si>
  <si>
    <t>0083315686 / 232410403</t>
  </si>
  <si>
    <t>0088213091 / 232410416</t>
  </si>
  <si>
    <t>0084336569 / 232410428</t>
  </si>
  <si>
    <t>Abiyu Ahmad Zahran</t>
  </si>
  <si>
    <t>Aisyah Sausan Amani</t>
  </si>
  <si>
    <t>Alisha Venita Raphelle Adhitya</t>
  </si>
  <si>
    <t>Arya Indrawijaya</t>
  </si>
  <si>
    <t>Aurellio Dean Keefa</t>
  </si>
  <si>
    <t>Ayu Puspita Rahman</t>
  </si>
  <si>
    <t>Ayyash Ardhana Shiddieqy</t>
  </si>
  <si>
    <t>Azka Faiz Ataullah</t>
  </si>
  <si>
    <t>Azzam Fathur Raihan</t>
  </si>
  <si>
    <t>Bintang Pamungkas Satria Ariela</t>
  </si>
  <si>
    <t>Citra Nayla</t>
  </si>
  <si>
    <t>Faris Ridha Kurniawan</t>
  </si>
  <si>
    <t>Guntur Adiguna</t>
  </si>
  <si>
    <t>Humaira Putri Setiawan</t>
  </si>
  <si>
    <t>Khansa</t>
  </si>
  <si>
    <t>Lavindra Anindito Budi Pramudya</t>
  </si>
  <si>
    <t>Muhamad Febrizio Al Ghifahri</t>
  </si>
  <si>
    <t>Muhamad Firdaus</t>
  </si>
  <si>
    <t>Muhammad Ardiansyah</t>
  </si>
  <si>
    <t>Muhammad Fahmy Putra Ramadhan</t>
  </si>
  <si>
    <t>Nasywa Lilyan Elvaretta</t>
  </si>
  <si>
    <t>Raden Antasena Kartasasmita</t>
  </si>
  <si>
    <t>Radit Gilbran Villareal Lutvi</t>
  </si>
  <si>
    <t>Raihana Syahla Yustiaji</t>
  </si>
  <si>
    <t>Refah Syahidah</t>
  </si>
  <si>
    <t>Rifqi Sayudha</t>
  </si>
  <si>
    <t>Venezia Gilda Sihombing</t>
  </si>
  <si>
    <t>Zahira Aqila Rabbani</t>
  </si>
  <si>
    <t>Zyba Jarsia Badelwair</t>
  </si>
  <si>
    <t>0079153075 / 232410008</t>
  </si>
  <si>
    <t>0086362939 / 232410025</t>
  </si>
  <si>
    <t>Almaqhvira Haydar Siswoyo</t>
  </si>
  <si>
    <t>0087382551 / 232410039</t>
  </si>
  <si>
    <t>Aqila Nafisa</t>
  </si>
  <si>
    <t>0074340020 / 232410044</t>
  </si>
  <si>
    <t>0084448990 / 232410046</t>
  </si>
  <si>
    <t>0088818985 / 232410083</t>
  </si>
  <si>
    <t>0088348251 / 232410085</t>
  </si>
  <si>
    <t>0086843117 / 232410087</t>
  </si>
  <si>
    <t>0081475471 / 232410102</t>
  </si>
  <si>
    <t>0076766099 / 232410115</t>
  </si>
  <si>
    <t>0082023211 / 232410120</t>
  </si>
  <si>
    <t>0089042282 / 232410121</t>
  </si>
  <si>
    <t>0078000989 / 232410155</t>
  </si>
  <si>
    <t>0075935238 / 232410167</t>
  </si>
  <si>
    <t>Heine Klammer Hasonangan Sitorus</t>
  </si>
  <si>
    <t>0079705331 / 232410176</t>
  </si>
  <si>
    <t>0081861577 / 232410192</t>
  </si>
  <si>
    <t>0086351746 / 232410196</t>
  </si>
  <si>
    <t>0081908416 / 232410437</t>
  </si>
  <si>
    <t>0085502024 / 232410208</t>
  </si>
  <si>
    <t>0089487431 / 232410221</t>
  </si>
  <si>
    <t>Medinta Putri Wibowo</t>
  </si>
  <si>
    <t>0086454949 / 232410224</t>
  </si>
  <si>
    <t>0087114532 / 252611572</t>
  </si>
  <si>
    <t>0082920514 / 232410230</t>
  </si>
  <si>
    <t>0082065502 / 232410235</t>
  </si>
  <si>
    <t>0082313320 / 232410248</t>
  </si>
  <si>
    <t>0084544933 / 232410252</t>
  </si>
  <si>
    <t>0097824876 / 232410253</t>
  </si>
  <si>
    <t>Muhammad Revan Fadillah</t>
  </si>
  <si>
    <t>0076770851 / 232410255</t>
  </si>
  <si>
    <t>0083435691 / 232410261</t>
  </si>
  <si>
    <t>0077789146 / 232410320</t>
  </si>
  <si>
    <t>0072725258 / 232410332</t>
  </si>
  <si>
    <t>Rania Adila Eryazti</t>
  </si>
  <si>
    <t>0076414429 / 232410341</t>
  </si>
  <si>
    <t>0087450806 / 232410348</t>
  </si>
  <si>
    <t>Rheynody Ezekielano Loekman</t>
  </si>
  <si>
    <t>0075522985 / 232410352</t>
  </si>
  <si>
    <t>0082134650 / 232410409</t>
  </si>
  <si>
    <t>0073043473 / 242511439</t>
  </si>
  <si>
    <t>Zaid Muhammad Naashif</t>
  </si>
  <si>
    <t>0073934144 / 232410424</t>
  </si>
  <si>
    <t>Adyatma Huda Ramdani</t>
  </si>
  <si>
    <t>Arfi Abdan Muqimashaim</t>
  </si>
  <si>
    <t>Arief Darmawan</t>
  </si>
  <si>
    <t>Calista Dianti Huwaidah</t>
  </si>
  <si>
    <t>Callysta Asti Arbia</t>
  </si>
  <si>
    <t>Cesilia D. Ichwanuddin</t>
  </si>
  <si>
    <t>Denia Zevira Genara</t>
  </si>
  <si>
    <t>Elma Nursari</t>
  </si>
  <si>
    <t>Fabian Syafa Rizqullah</t>
  </si>
  <si>
    <t>Fadhlurahman Kamil</t>
  </si>
  <si>
    <t>Ghina Afiah Uyara</t>
  </si>
  <si>
    <t>Irfan Budi Satrio</t>
  </si>
  <si>
    <t>Kayla Farrah Gina</t>
  </si>
  <si>
    <t>Keisha Nabila Anindya</t>
  </si>
  <si>
    <t>Keysha Cahaya Setiawan</t>
  </si>
  <si>
    <t>Louise Garcia Lumban Gaol</t>
  </si>
  <si>
    <t>Miftahul Daffa Khoirul Bahri</t>
  </si>
  <si>
    <t>Mirza Mochtadi</t>
  </si>
  <si>
    <t>Muhamad Fahri Nurihsan</t>
  </si>
  <si>
    <t>Muhammad Aditya Fairuzzahran</t>
  </si>
  <si>
    <t>Muhammad Irghi</t>
  </si>
  <si>
    <t>Muhammad Rava Ali</t>
  </si>
  <si>
    <t>Muhammad Yusuf Habibie</t>
  </si>
  <si>
    <t>Nabil Khaufa Zahra</t>
  </si>
  <si>
    <t>Rafly Restu Adam</t>
  </si>
  <si>
    <t>Razan Zufar Ahmad</t>
  </si>
  <si>
    <t>Rimaira Sanaurairba Margono</t>
  </si>
  <si>
    <t>Widia Putri</t>
  </si>
  <si>
    <t>Ziyandra Khaizuran Altaf</t>
  </si>
  <si>
    <t>0073412501 / 232410006</t>
  </si>
  <si>
    <t>0089479917 / 232410014</t>
  </si>
  <si>
    <t>Aisha Madyska Putri</t>
  </si>
  <si>
    <t>0081852093 / 232410018</t>
  </si>
  <si>
    <t>0074544714 / 232410033</t>
  </si>
  <si>
    <t>0082121455 / 232410037</t>
  </si>
  <si>
    <t>0087366796 / 232410042</t>
  </si>
  <si>
    <t>0075260025 / 232410049</t>
  </si>
  <si>
    <t>0081788097 / 232410058</t>
  </si>
  <si>
    <t>Aulia Asfarina Dhany</t>
  </si>
  <si>
    <t>0087401101 / 232410070</t>
  </si>
  <si>
    <t>0088748138 / 232410076</t>
  </si>
  <si>
    <t>0088521266 / 232410103</t>
  </si>
  <si>
    <t>0082994951 / 232410113</t>
  </si>
  <si>
    <t>0075133346 / 232410123</t>
  </si>
  <si>
    <t>Fadlan Ramadhan Tuasikal</t>
  </si>
  <si>
    <t>0089816097 / 232410126</t>
  </si>
  <si>
    <t>0086431654 / 232410132</t>
  </si>
  <si>
    <t>0071804532 / 232410146</t>
  </si>
  <si>
    <t>0079707237 / 232410149</t>
  </si>
  <si>
    <t>0079959291 / 232410150</t>
  </si>
  <si>
    <t>Gabriel Pernando</t>
  </si>
  <si>
    <t>0087223980 / 232410153</t>
  </si>
  <si>
    <t>0089128816 / 232410164</t>
  </si>
  <si>
    <t>Hanifah Nizrina Raniah</t>
  </si>
  <si>
    <t>0088169936 / 232410179</t>
  </si>
  <si>
    <t>Jeanetha Rosmala Puteri</t>
  </si>
  <si>
    <t>0088389564 / 232410186</t>
  </si>
  <si>
    <t>0085618264 / 232410195</t>
  </si>
  <si>
    <t>0088466451 / 232410211</t>
  </si>
  <si>
    <t>0079126834 / 232410234</t>
  </si>
  <si>
    <t>Muhamad Rafli Ramadhan</t>
  </si>
  <si>
    <t>0084264537 / 232410258</t>
  </si>
  <si>
    <t>0089649558 / 242511436</t>
  </si>
  <si>
    <t>Nanda Firdaus</t>
  </si>
  <si>
    <t>0081989700 / 232410294</t>
  </si>
  <si>
    <t>0081324611 / 232410317</t>
  </si>
  <si>
    <t>0074135122 / 232410336</t>
  </si>
  <si>
    <t>0083428278 / 232410339</t>
  </si>
  <si>
    <t>0087464626 / 232410340</t>
  </si>
  <si>
    <t>Rayyan Alifa Rivena</t>
  </si>
  <si>
    <t>0079384283 / 232410343</t>
  </si>
  <si>
    <t>0082716634 / 232410364</t>
  </si>
  <si>
    <t>0086805776 / 232410375</t>
  </si>
  <si>
    <t>0088293283 / 232410412</t>
  </si>
  <si>
    <t>Yonathan Zirmi Putradi</t>
  </si>
  <si>
    <t>0079704726 / 232410013</t>
  </si>
  <si>
    <t>0075379721 / 232410024</t>
  </si>
  <si>
    <t>0074929411 / 232410034</t>
  </si>
  <si>
    <t>Anisa Rihhadatul Aisy</t>
  </si>
  <si>
    <t>0088718964 / 232410038</t>
  </si>
  <si>
    <t>0073128949 / 232410041</t>
  </si>
  <si>
    <t>Ardita Septyaningrum</t>
  </si>
  <si>
    <t>0087858544 / 232410055</t>
  </si>
  <si>
    <t>0073898605 / 232410057</t>
  </si>
  <si>
    <t>0081012661 / 232410094</t>
  </si>
  <si>
    <t>0074947139 / 232410104</t>
  </si>
  <si>
    <t>0083310348 / 232410116</t>
  </si>
  <si>
    <t>0086173814 / 232410117</t>
  </si>
  <si>
    <t>0032420338 / 232410125</t>
  </si>
  <si>
    <t>Faizah Hafiyyan</t>
  </si>
  <si>
    <t>0071169682 / 232410133</t>
  </si>
  <si>
    <t>0081613552 / 232410139</t>
  </si>
  <si>
    <t>0083701424 / 232410174</t>
  </si>
  <si>
    <t>0083458263 / 232410199</t>
  </si>
  <si>
    <t>0085806993 / 232410201</t>
  </si>
  <si>
    <t>0072438987 / 232410210</t>
  </si>
  <si>
    <t>0086003612 / 232410439</t>
  </si>
  <si>
    <t>Muhammad Faris</t>
  </si>
  <si>
    <t>0081058742 / 232410251</t>
  </si>
  <si>
    <t>0071752283 / 232410272</t>
  </si>
  <si>
    <t>0081528613 / 232410286</t>
  </si>
  <si>
    <t>Nayla Warni Rahayu</t>
  </si>
  <si>
    <t>0085234690 / 232410289</t>
  </si>
  <si>
    <t>0085141191 / 232410319</t>
  </si>
  <si>
    <t>Rafiel Cahaya Yusup</t>
  </si>
  <si>
    <t>0087422681 / 232410327</t>
  </si>
  <si>
    <t>Rajuwaa Ammartayuda</t>
  </si>
  <si>
    <t>0089250161 / 232410329</t>
  </si>
  <si>
    <t>0082371331 / 232410330</t>
  </si>
  <si>
    <t>0087055371 / 232410347</t>
  </si>
  <si>
    <t>Rezki Banyu Millie</t>
  </si>
  <si>
    <t>0081053691 / 232410360</t>
  </si>
  <si>
    <t>0083991734 / 232410366</t>
  </si>
  <si>
    <t>Salsabila Nasution</t>
  </si>
  <si>
    <t>0075416420 / 232410377</t>
  </si>
  <si>
    <t>0086007573 / 232410392</t>
  </si>
  <si>
    <t>0075671998 / 232410408</t>
  </si>
  <si>
    <t>3087120559 / 232410418</t>
  </si>
  <si>
    <t>Zahra Aulia Putri</t>
  </si>
  <si>
    <t>0082804522 / 232410421</t>
  </si>
  <si>
    <t>Zaskya Nilam Efasa</t>
  </si>
  <si>
    <t>0077130196 / 232410005</t>
  </si>
  <si>
    <t>0071754993 / 232410012</t>
  </si>
  <si>
    <t>0082671794 / 232410031</t>
  </si>
  <si>
    <t>0082250651 / 232410082</t>
  </si>
  <si>
    <t>0085508756 / 232410096</t>
  </si>
  <si>
    <t>0072931128 / 232410097</t>
  </si>
  <si>
    <t>0081133927 / 232410101</t>
  </si>
  <si>
    <t>Def Khalif Yaz</t>
  </si>
  <si>
    <t>0078430432 / 232410114</t>
  </si>
  <si>
    <t>0081430092 / 232410124</t>
  </si>
  <si>
    <t>Fadri Bumi Zaafarani</t>
  </si>
  <si>
    <t>0078231851 / 232410129</t>
  </si>
  <si>
    <t>0072049089 / 232410141</t>
  </si>
  <si>
    <t>Ferdinan Febriano</t>
  </si>
  <si>
    <t>0076185672 / 232410161</t>
  </si>
  <si>
    <t>0072139972 / 232410162</t>
  </si>
  <si>
    <t>0089640091 / 232410171</t>
  </si>
  <si>
    <t>0085054858 / 232410180</t>
  </si>
  <si>
    <t>0077850732 / 232410185</t>
  </si>
  <si>
    <t>0081254175 / 232410187</t>
  </si>
  <si>
    <t>Junika Nur Rizqi</t>
  </si>
  <si>
    <t>0084177568 / 232410215</t>
  </si>
  <si>
    <t>0063252201 / 232410217</t>
  </si>
  <si>
    <t>0084976190 / 232410218</t>
  </si>
  <si>
    <t>0071538496 / 232410256</t>
  </si>
  <si>
    <t>0076202597 / 232410264</t>
  </si>
  <si>
    <t>3082660397 / 232410270</t>
  </si>
  <si>
    <t>Nahlatu Bilqis</t>
  </si>
  <si>
    <t>0087444033 / 232410277</t>
  </si>
  <si>
    <t>0084163507 / 232410297</t>
  </si>
  <si>
    <t>0078628005 / 232410312</t>
  </si>
  <si>
    <t>0078876556 / 232410314</t>
  </si>
  <si>
    <t>0075735377 / 232410321</t>
  </si>
  <si>
    <t>0083428956 / 232410333</t>
  </si>
  <si>
    <t>0075598356 / 232410337</t>
  </si>
  <si>
    <t>Ratu Ninda Tabina</t>
  </si>
  <si>
    <t>3085105053 / 232410344</t>
  </si>
  <si>
    <t>Reisya Aulia Rizky</t>
  </si>
  <si>
    <t>0079509100 / 232410349</t>
  </si>
  <si>
    <t>0084582856 / 242511438</t>
  </si>
  <si>
    <t>3073656051 / 232410385</t>
  </si>
  <si>
    <t>0072049142 / 232410404</t>
  </si>
  <si>
    <t>0086192710 / 232410411</t>
  </si>
  <si>
    <t>0083687023 / 232410010</t>
  </si>
  <si>
    <t>Agatrie Sella Siregar</t>
  </si>
  <si>
    <t>0082167999 / 232410015</t>
  </si>
  <si>
    <t>Aishaura Putri Dea</t>
  </si>
  <si>
    <t>3087865986 / 232410017</t>
  </si>
  <si>
    <t>Al Fathan Raditya Gunara</t>
  </si>
  <si>
    <t>0083473841 / 232410019</t>
  </si>
  <si>
    <t>0078342012 / 232410020</t>
  </si>
  <si>
    <t>0085520789 / 232410023</t>
  </si>
  <si>
    <t>0081088641 / 232410027</t>
  </si>
  <si>
    <t>0082685366 / 232410035</t>
  </si>
  <si>
    <t>0087823230 / 232410036</t>
  </si>
  <si>
    <t>0079217224 / 232410064</t>
  </si>
  <si>
    <t>0082382091 / 232410067</t>
  </si>
  <si>
    <t>0072978615 / 232410074</t>
  </si>
  <si>
    <t>0071343192 / 232410078</t>
  </si>
  <si>
    <t>0081754947 / 232410079</t>
  </si>
  <si>
    <t>0089112426 / 232410084</t>
  </si>
  <si>
    <t>Callista Dominic Laura Ginta</t>
  </si>
  <si>
    <t>0074316755 / 232410088</t>
  </si>
  <si>
    <t>0081348287 / 232410093</t>
  </si>
  <si>
    <t>0078189303 / 232410098</t>
  </si>
  <si>
    <t>0089979867 / 232410106</t>
  </si>
  <si>
    <t>0087841791 / 232410107</t>
  </si>
  <si>
    <t>0077521823 / 232410145</t>
  </si>
  <si>
    <t>0081488517 / 232410168</t>
  </si>
  <si>
    <t>0079428976 / 232410188</t>
  </si>
  <si>
    <t>0074872374 / 232410206</t>
  </si>
  <si>
    <t>0085658144 / 232410219</t>
  </si>
  <si>
    <t>0077669643 / 232410237</t>
  </si>
  <si>
    <t>0084850250 / 232410254</t>
  </si>
  <si>
    <t>Muhammad Ummul Luhur Wisesa</t>
  </si>
  <si>
    <t>0076972929 / 232410290</t>
  </si>
  <si>
    <t>0084962687 / 232410304</t>
  </si>
  <si>
    <t>0086511111 / 232410311</t>
  </si>
  <si>
    <t>0083825468 / 232410331</t>
  </si>
  <si>
    <t>0073746046 / 232410380</t>
  </si>
  <si>
    <t>0077430989 / 232410381</t>
  </si>
  <si>
    <t>Siti Latesa</t>
  </si>
  <si>
    <t>0077414689 / 232410397</t>
  </si>
  <si>
    <t>0075574187 / 232410400</t>
  </si>
  <si>
    <t>0073779987 / 232410406</t>
  </si>
  <si>
    <t>0079539859 / 232410026</t>
  </si>
  <si>
    <t>Almer Athallah Khairy</t>
  </si>
  <si>
    <t>0078995367 / 232410029</t>
  </si>
  <si>
    <t>Alvira Rachmat Lestari</t>
  </si>
  <si>
    <t>0084278490 / 242511440</t>
  </si>
  <si>
    <t>Andika Putra Pranata</t>
  </si>
  <si>
    <t>0083437756 / 232410040</t>
  </si>
  <si>
    <t>0081289813 / 232410060</t>
  </si>
  <si>
    <t>0071596947 / 232410077</t>
  </si>
  <si>
    <t>Benaya Amarasti Widiatma</t>
  </si>
  <si>
    <t>0078600357 / 232410081</t>
  </si>
  <si>
    <t>0074556688 / 232410127</t>
  </si>
  <si>
    <t>Fakhira Firliza Al Kaf Saifuddin</t>
  </si>
  <si>
    <t>0085174215 / 232410134</t>
  </si>
  <si>
    <t>Fathia Khairaya Hasan</t>
  </si>
  <si>
    <t>0082783211 / 232410137</t>
  </si>
  <si>
    <t>Fatihah Morgiana</t>
  </si>
  <si>
    <t>0085636668 / 232410142</t>
  </si>
  <si>
    <t>0088816160 / 232410148</t>
  </si>
  <si>
    <t>0079609512 / 232410158</t>
  </si>
  <si>
    <t>Gracia Natalia Napitupulu</t>
  </si>
  <si>
    <t>0088363788 / 232410170</t>
  </si>
  <si>
    <t>0081424818 / 232410202</t>
  </si>
  <si>
    <t>0081039639 / 232410244</t>
  </si>
  <si>
    <t>0068926505 / 232410245</t>
  </si>
  <si>
    <t>0086819831 / 232410249</t>
  </si>
  <si>
    <t>0073379114 / 232410250</t>
  </si>
  <si>
    <t>0072045142 / 232410275</t>
  </si>
  <si>
    <t>0085513622 / 232410285</t>
  </si>
  <si>
    <t>0085449197 / 232410291</t>
  </si>
  <si>
    <t>0087937442 / 232410301</t>
  </si>
  <si>
    <t>0074830715 / 232410307</t>
  </si>
  <si>
    <t>0078307989 / 232410309</t>
  </si>
  <si>
    <t>0083424984 / 232410354</t>
  </si>
  <si>
    <t>0075217746 / 232410358</t>
  </si>
  <si>
    <t>0072367668 / 232410363</t>
  </si>
  <si>
    <t>0081167272 / 232410368</t>
  </si>
  <si>
    <t>Sania Juliana Ensan</t>
  </si>
  <si>
    <t>0074239025 / 232410370</t>
  </si>
  <si>
    <t>0097356455 / 232410371</t>
  </si>
  <si>
    <t>0082578548 / 232410383</t>
  </si>
  <si>
    <t>0082118879 / 232410387</t>
  </si>
  <si>
    <t>0089835538 / 232410389</t>
  </si>
  <si>
    <t>0088899762 / 232410393</t>
  </si>
  <si>
    <t>0085635154 / 232410410</t>
  </si>
  <si>
    <t>0089244335 / 232410420</t>
  </si>
  <si>
    <t>0079089082 / 232410003</t>
  </si>
  <si>
    <t>Adinda Haifa Syahidah</t>
  </si>
  <si>
    <t>0072553223 / 232410009</t>
  </si>
  <si>
    <t>0073885660 / 232410048</t>
  </si>
  <si>
    <t>0084711885 / 232410050</t>
  </si>
  <si>
    <t>0076999190 / 232410061</t>
  </si>
  <si>
    <t>0087220996 / 232410435</t>
  </si>
  <si>
    <t>0073604299 / 232410072</t>
  </si>
  <si>
    <t>0087513149 / 232410105</t>
  </si>
  <si>
    <t>0082277905 / 232410112</t>
  </si>
  <si>
    <t>0061383159 / 232410144</t>
  </si>
  <si>
    <t>0085731780 / 232410156</t>
  </si>
  <si>
    <t>0076073444 / 232410163</t>
  </si>
  <si>
    <t>0078040603 / 232410172</t>
  </si>
  <si>
    <t>0073006514 / 232410183</t>
  </si>
  <si>
    <t>0082272411 / 232410184</t>
  </si>
  <si>
    <t>0081731873 / 232410198</t>
  </si>
  <si>
    <t>0086489600 / 232410225</t>
  </si>
  <si>
    <t>0085468607 / 232410239</t>
  </si>
  <si>
    <t>0086957802 / 232410242</t>
  </si>
  <si>
    <t>0079761330 / 232410263</t>
  </si>
  <si>
    <t>Nabila Nurshyfa</t>
  </si>
  <si>
    <t>0077898712 / 232410269</t>
  </si>
  <si>
    <t>0077233887 / 232410276</t>
  </si>
  <si>
    <t>0073457859 / 232410280</t>
  </si>
  <si>
    <t>0062516435 / 232410288</t>
  </si>
  <si>
    <t>Nazwa Aulia Fitrah</t>
  </si>
  <si>
    <t>0084342226 / 232410295</t>
  </si>
  <si>
    <t>Nurifa Putri Imansyah</t>
  </si>
  <si>
    <t>0076303224 / 232410300</t>
  </si>
  <si>
    <t>Olympias Viola Artha Natally</t>
  </si>
  <si>
    <t>0083012680 / 232410440</t>
  </si>
  <si>
    <t>Radhika Eshan Susantya</t>
  </si>
  <si>
    <t>0082461362 / 232410326</t>
  </si>
  <si>
    <t>0099521398 / 232410335</t>
  </si>
  <si>
    <t>0088925273 / 232410350</t>
  </si>
  <si>
    <t>0087777190 / 232410355</t>
  </si>
  <si>
    <t>0088460072 / 232410369</t>
  </si>
  <si>
    <t>0081048708 / 232410374</t>
  </si>
  <si>
    <t>0084298957 / 232410396</t>
  </si>
  <si>
    <t>Tegar Wibowo</t>
  </si>
  <si>
    <t>0084389845 / 252612575</t>
  </si>
  <si>
    <t>Wa Ode Ayu Silfia Pinaria</t>
  </si>
  <si>
    <t>0084693218 / 232410415</t>
  </si>
  <si>
    <t>0074421553 / 232410419</t>
  </si>
  <si>
    <t>Adzkia Alma Muyassar</t>
  </si>
  <si>
    <t>Armanita Dhiva Trisnaningtyas</t>
  </si>
  <si>
    <t>Arven Fadelto Wirda Muhandava</t>
  </si>
  <si>
    <t>Aurel Amanda Sari</t>
  </si>
  <si>
    <t>Avesenna Vivaldi Zahri</t>
  </si>
  <si>
    <t>Azkia Rayzanaya Puteri</t>
  </si>
  <si>
    <t>Dewa Arga Harsono Putro</t>
  </si>
  <si>
    <t>Dionisius Evandra</t>
  </si>
  <si>
    <t>Fina Wulandari</t>
  </si>
  <si>
    <t>Gita Anjani Santoso</t>
  </si>
  <si>
    <t>Hanif Mumtaazah</t>
  </si>
  <si>
    <t>Iffa</t>
  </si>
  <si>
    <t>Jihan Dzakiyyah Azhaar</t>
  </si>
  <si>
    <t>Jihan Fajri</t>
  </si>
  <si>
    <t>Kemal Rizky Ramadhan</t>
  </si>
  <si>
    <t>Minanda Rizki Zakiyah</t>
  </si>
  <si>
    <t>Muhammad Dytra Afif</t>
  </si>
  <si>
    <t>Muhammad Fadly Syahdan Risyadi</t>
  </si>
  <si>
    <t>Naflah Diva Nabilah</t>
  </si>
  <si>
    <t>Nakamura Ramadhan Sanmoon</t>
  </si>
  <si>
    <t>Nasywa Adinda Putri Romli</t>
  </si>
  <si>
    <t>Raisya Maurizka Kurniawan</t>
  </si>
  <si>
    <t>Rasya Jihan</t>
  </si>
  <si>
    <t>Rifelia Alib Putri Kurniawan</t>
  </si>
  <si>
    <t>Rizky Nurina Azzahra</t>
  </si>
  <si>
    <t>Sasikirana Abhinaya Suhara</t>
  </si>
  <si>
    <t>Shaquil Fattah Alchair</t>
  </si>
  <si>
    <t>Zaharani Eriska Damayanti</t>
  </si>
  <si>
    <t>Zahrina Ghassani Isna</t>
  </si>
  <si>
    <t>Aqila Syadid</t>
  </si>
  <si>
    <t>Aura Scarletta Jaya</t>
  </si>
  <si>
    <t>Bunga Claresta Tumanung</t>
  </si>
  <si>
    <t>Fey Nasywa Syahli</t>
  </si>
  <si>
    <t>Firyal Ramadhani</t>
  </si>
  <si>
    <t>Humam Ahmad Musyaffa</t>
  </si>
  <si>
    <t>Khairun'Nisa Nur Ibtihal</t>
  </si>
  <si>
    <t>Muhammad Fiqri Adya Aulia</t>
  </si>
  <si>
    <t>Muhammad Hisyam Sauri Rifadi</t>
  </si>
  <si>
    <t>Muhammad Ksatria Alfarisi</t>
  </si>
  <si>
    <t>Muhammad Navis Afif Al Kindy</t>
  </si>
  <si>
    <t>Najuwa Khairunnisa</t>
  </si>
  <si>
    <t>Nayla Ghina Pramesti</t>
  </si>
  <si>
    <t>Neysa Calluela Dhiya Achmad</t>
  </si>
  <si>
    <t>Orchida Adhiya Hanin</t>
  </si>
  <si>
    <t>Qirrent Octaviant Wardhani Sadiman Putri</t>
  </si>
  <si>
    <t>Raden Amanullah Dhaifullah</t>
  </si>
  <si>
    <t>Rivaldi Faathir Putra Yulizar</t>
  </si>
  <si>
    <t>Safira Khairunnisa</t>
  </si>
  <si>
    <t>Salma Nur Kamila</t>
  </si>
  <si>
    <t>Satrya Ranggabarani</t>
  </si>
  <si>
    <t>Sekar Kanaya Az Zahra</t>
  </si>
  <si>
    <t>Stephen Hady Gunawan</t>
  </si>
  <si>
    <t>Syakira Amalia Zulfa</t>
  </si>
  <si>
    <t>Syeiran Arestia Puteri</t>
  </si>
  <si>
    <t>Syifa Sakhia Safira</t>
  </si>
  <si>
    <t>Wisnu Febriansyah</t>
  </si>
  <si>
    <t>Zaskya Naura Kesumah Putri</t>
  </si>
  <si>
    <t>Alicia Marcella Gulo</t>
  </si>
  <si>
    <t>Alif Nur Rizki</t>
  </si>
  <si>
    <t>Allbie Avicenna</t>
  </si>
  <si>
    <t>Almira Maulida Putri Apsari</t>
  </si>
  <si>
    <t>Anita Tri Anggraini</t>
  </si>
  <si>
    <t>Annisa Alya Maharani</t>
  </si>
  <si>
    <t>Ayu Aryani</t>
  </si>
  <si>
    <t>Ayudya Rachmawati</t>
  </si>
  <si>
    <t>Azuan Putra Satia</t>
  </si>
  <si>
    <t>Bianca Indhira Hanuun</t>
  </si>
  <si>
    <t>Bilqis Afrilia Najwaa Rani</t>
  </si>
  <si>
    <t>Chechillia Azzahra Putri Kurniadi</t>
  </si>
  <si>
    <t>Daffa Khairu Ramadhan</t>
  </si>
  <si>
    <t>Dary Dzakwan Putra Cahyadi</t>
  </si>
  <si>
    <t>Diandra Zahra Adani</t>
  </si>
  <si>
    <t>Dimas Ariansyah Siagian</t>
  </si>
  <si>
    <t>Firda Aulia Ramadhani</t>
  </si>
  <si>
    <t>Herdicson Fernando Hamonangan Siregar</t>
  </si>
  <si>
    <t>Kamilia Keysha Ramadhani</t>
  </si>
  <si>
    <t>Lana Shafira</t>
  </si>
  <si>
    <t>Maysari Hidayah</t>
  </si>
  <si>
    <t>Muhammad Alif Faiz Assyarof</t>
  </si>
  <si>
    <t>Nazwa Nurul Abida</t>
  </si>
  <si>
    <t>Perdi Syafar Wahyudi</t>
  </si>
  <si>
    <t>Raden Difa Aqillah Lukman</t>
  </si>
  <si>
    <t>Randy Maidyka</t>
  </si>
  <si>
    <t>Siti Keysha Azzahra</t>
  </si>
  <si>
    <t>Teungku Muhammad Al-Fachri Syah Jeumpa</t>
  </si>
  <si>
    <t>Ully Artha Ramadhani Simanjuntak</t>
  </si>
  <si>
    <t>Wafaa Salsabilah Hardin</t>
  </si>
  <si>
    <t>Aditya Nufail Rizqullah</t>
  </si>
  <si>
    <t>Ahmad Haidar Rosyiiq</t>
  </si>
  <si>
    <t>Andi Nasya Kamila Azzahra</t>
  </si>
  <si>
    <t>Cahaya Edina Jatmiko</t>
  </si>
  <si>
    <t>Danial Rizky Jonsa</t>
  </si>
  <si>
    <t>Daniel Ihsan</t>
  </si>
  <si>
    <t>Egalita Adliyah</t>
  </si>
  <si>
    <t>Fardhan Alif Rayyandi</t>
  </si>
  <si>
    <t>Hafiz Abdul Rasyid</t>
  </si>
  <si>
    <t>Hana Siti Nazwa</t>
  </si>
  <si>
    <t>Hypatia Achmad</t>
  </si>
  <si>
    <t>Jessica Priscilia Siagian</t>
  </si>
  <si>
    <t>Jonathan Stefanus Manurung</t>
  </si>
  <si>
    <t>Marcell Damian Setiawan</t>
  </si>
  <si>
    <t>Maula Safita Napitupulu</t>
  </si>
  <si>
    <t>Maya Qumayiroh</t>
  </si>
  <si>
    <t>Muhammad Zaki Nurhadi Mahsyar</t>
  </si>
  <si>
    <t>Nadia Ayu Pramesti</t>
  </si>
  <si>
    <t>Nanda Putri Tania</t>
  </si>
  <si>
    <t>Ode Irva Khumaira</t>
  </si>
  <si>
    <t>Raden Dirgham Hanifan Al-Basyam</t>
  </si>
  <si>
    <t>Raditya Dwi Fauzi</t>
  </si>
  <si>
    <t>Rahil Alfaqih</t>
  </si>
  <si>
    <t>Rasheed Putra Keyshadi</t>
  </si>
  <si>
    <t>Ria Handayani</t>
  </si>
  <si>
    <t>Shakilanovva Al Kanz Savvana</t>
  </si>
  <si>
    <t>Syafiq Aunur Rafi</t>
  </si>
  <si>
    <t>Vera Indriani Sitorus</t>
  </si>
  <si>
    <t>Yoas Dheo Sandivo</t>
  </si>
  <si>
    <t>Ahmad Maulana Jiban</t>
  </si>
  <si>
    <t>Allysia Nurfauziyah</t>
  </si>
  <si>
    <t>Annisa Putri Sandi</t>
  </si>
  <si>
    <t>Athifaluna Mutia Darmawan</t>
  </si>
  <si>
    <t>Audyah Putri Murni Nurdiana</t>
  </si>
  <si>
    <t>Daffa Muhazzib Ibni</t>
  </si>
  <si>
    <t>Devina Keysa Maharani</t>
  </si>
  <si>
    <t>Elvira Eca Maharani</t>
  </si>
  <si>
    <t>Emerald Tsabbita Adristi</t>
  </si>
  <si>
    <t>Farishta Gaishani</t>
  </si>
  <si>
    <t>Fazrurrahman Tijani</t>
  </si>
  <si>
    <t>Indah Mustabah</t>
  </si>
  <si>
    <t>Kesya Yemima Simangunsong</t>
  </si>
  <si>
    <t>Khairunnisa Az Zahra</t>
  </si>
  <si>
    <t>Luthfi Bintang Bayuaji</t>
  </si>
  <si>
    <t>Muhammad Nizar Al Ghifari</t>
  </si>
  <si>
    <t>Najla Azizah</t>
  </si>
  <si>
    <t>Nazwa Balqis Arlya</t>
  </si>
  <si>
    <t>Rakha Ariyanto Prawira</t>
  </si>
  <si>
    <t>Rakha Suryana</t>
  </si>
  <si>
    <t>Salika Nadina</t>
  </si>
  <si>
    <t>Sheila Namira Zhein</t>
  </si>
  <si>
    <t>Syifa Handayani</t>
  </si>
  <si>
    <t>Wiandra Adya Pradana</t>
  </si>
  <si>
    <t>Adnan Juliandyra</t>
  </si>
  <si>
    <t>Aleyna Najmia Salma El Hassan</t>
  </si>
  <si>
    <t>Anggraini Disti Meitasyah</t>
  </si>
  <si>
    <t>Annisa Pebrianita</t>
  </si>
  <si>
    <t>Ardyanti Pratiwi Gusti Rachman</t>
  </si>
  <si>
    <t>Artanti Talitha Dwiana</t>
  </si>
  <si>
    <t>Azizu Achmad Fauzan</t>
  </si>
  <si>
    <t>Belelia Cindikia Dera</t>
  </si>
  <si>
    <t>Devi Amelia</t>
  </si>
  <si>
    <t>Dyo El Rizqi Kamil</t>
  </si>
  <si>
    <t>Fajar Prayoga Winata</t>
  </si>
  <si>
    <t>Farisa Triandita</t>
  </si>
  <si>
    <t>Firdaus Wirakusuma Asy'Ari</t>
  </si>
  <si>
    <t>Fitri Wulandari</t>
  </si>
  <si>
    <t>Genneva Putri Saminggar</t>
  </si>
  <si>
    <t>Juneeta Mahya Athari</t>
  </si>
  <si>
    <t>Kaylla Chandrika</t>
  </si>
  <si>
    <t>Luthfia Azzahra</t>
  </si>
  <si>
    <t>Muzaky Khairulloh</t>
  </si>
  <si>
    <t>Nur Najmi Nuha Chamsyah Sutandi</t>
  </si>
  <si>
    <t>Rafael Mario Jusag Prasetyo</t>
  </si>
  <si>
    <t>Rasya Nazira Raditiya Putra</t>
  </si>
  <si>
    <t>Raya Thalita Hasna Anjani</t>
  </si>
  <si>
    <t>Refi Dwi Zulianto</t>
  </si>
  <si>
    <t>Salsabila Azima Mahmuddin</t>
  </si>
  <si>
    <t>Shaskia Roviqoh Azizah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</si>
</sst>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1"/>
    </font>
    <font>
      <sz val="12"/>
      <color theme="1"/>
      <name val="Times New Roman"/>
      <family val="1"/>
    </font>
    <font>
      <sz val="10"/>
      <color theme="1"/>
      <name val="Arial Narrow"/>
      <family val="2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8" fillId="0" borderId="0" xfId="0" applyFont="1"/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2" xfId="1" applyNumberFormat="1" applyFont="1" applyFill="1" applyBorder="1" applyAlignment="1" applyProtection="1">
      <alignment horizontal="center" vertical="center"/>
      <protection locked="0" hidden="1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/>
    </xf>
    <xf numFmtId="9" fontId="10" fillId="0" borderId="2" xfId="0" applyNumberFormat="1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0" borderId="0" xfId="0" applyFont="1"/>
    <xf numFmtId="0" fontId="0" fillId="0" borderId="2" xfId="0" applyBorder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 applyProtection="1">
      <alignment horizontal="center" vertical="center" wrapText="1"/>
      <protection hidden="1"/>
    </xf>
    <xf numFmtId="0" fontId="10" fillId="4" borderId="2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11" xfId="0" applyFont="1" applyFill="1" applyBorder="1" applyAlignment="1" applyProtection="1">
      <alignment horizontal="center" vertical="center"/>
      <protection hidden="1"/>
    </xf>
    <xf numFmtId="0" fontId="10" fillId="8" borderId="2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0" fillId="0" borderId="13" xfId="1" applyNumberFormat="1" applyFont="1" applyFill="1" applyBorder="1" applyAlignment="1" applyProtection="1">
      <alignment horizontal="center" vertical="center"/>
      <protection locked="0" hidden="1"/>
    </xf>
    <xf numFmtId="0" fontId="0" fillId="0" borderId="13" xfId="0" applyBorder="1" applyAlignment="1">
      <alignment horizontal="center"/>
    </xf>
    <xf numFmtId="0" fontId="10" fillId="8" borderId="13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9" fontId="10" fillId="0" borderId="13" xfId="0" applyNumberFormat="1" applyFont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1" fontId="12" fillId="0" borderId="14" xfId="0" quotePrefix="1" applyNumberFormat="1" applyFont="1" applyBorder="1" applyAlignment="1">
      <alignment horizontal="left"/>
    </xf>
    <xf numFmtId="0" fontId="13" fillId="0" borderId="14" xfId="0" applyFont="1" applyBorder="1" applyAlignment="1">
      <alignment horizontal="left" vertical="top"/>
    </xf>
    <xf numFmtId="1" fontId="14" fillId="0" borderId="14" xfId="0" quotePrefix="1" applyNumberFormat="1" applyFont="1" applyBorder="1" applyAlignment="1">
      <alignment horizontal="left"/>
    </xf>
    <xf numFmtId="0" fontId="15" fillId="0" borderId="14" xfId="0" applyFont="1" applyBorder="1" applyAlignment="1">
      <alignment horizontal="left" vertical="top"/>
    </xf>
    <xf numFmtId="0" fontId="10" fillId="6" borderId="7" xfId="0" applyFont="1" applyFill="1" applyBorder="1" applyAlignment="1" applyProtection="1">
      <alignment horizontal="center" vertical="center"/>
      <protection hidden="1"/>
    </xf>
    <xf numFmtId="0" fontId="10" fillId="6" borderId="10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10" fillId="2" borderId="4" xfId="0" applyFont="1" applyFill="1" applyBorder="1" applyAlignment="1" applyProtection="1">
      <alignment horizontal="center" vertical="center" wrapText="1"/>
      <protection hidden="1"/>
    </xf>
    <xf numFmtId="0" fontId="10" fillId="2" borderId="5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/>
      <protection hidden="1"/>
    </xf>
    <xf numFmtId="0" fontId="10" fillId="2" borderId="12" xfId="0" applyFont="1" applyFill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0" fontId="10" fillId="3" borderId="13" xfId="0" applyFont="1" applyFill="1" applyBorder="1" applyAlignment="1" applyProtection="1">
      <alignment horizontal="center" vertical="center"/>
      <protection hidden="1"/>
    </xf>
    <xf numFmtId="0" fontId="10" fillId="3" borderId="11" xfId="0" applyFont="1" applyFill="1" applyBorder="1" applyAlignment="1" applyProtection="1">
      <alignment horizontal="center" vertical="center"/>
      <protection hidden="1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3" borderId="9" xfId="0" applyFont="1" applyFill="1" applyBorder="1" applyAlignment="1" applyProtection="1">
      <alignment horizontal="center" vertical="center"/>
      <protection hidden="1"/>
    </xf>
    <xf numFmtId="0" fontId="10" fillId="4" borderId="7" xfId="0" applyFont="1" applyFill="1" applyBorder="1" applyAlignment="1" applyProtection="1">
      <alignment horizontal="center" vertical="center"/>
      <protection hidden="1"/>
    </xf>
    <xf numFmtId="0" fontId="10" fillId="4" borderId="10" xfId="0" applyFont="1" applyFill="1" applyBorder="1" applyAlignment="1" applyProtection="1">
      <alignment horizontal="center" vertical="center"/>
      <protection hidden="1"/>
    </xf>
    <xf numFmtId="0" fontId="10" fillId="5" borderId="7" xfId="0" applyFont="1" applyFill="1" applyBorder="1" applyAlignment="1" applyProtection="1">
      <alignment horizontal="center" vertical="center"/>
      <protection hidden="1"/>
    </xf>
    <xf numFmtId="0" fontId="10" fillId="5" borderId="10" xfId="0" applyFont="1" applyFill="1" applyBorder="1" applyAlignment="1" applyProtection="1">
      <alignment horizontal="center" vertical="center"/>
      <protection hidden="1"/>
    </xf>
  </cellXfs>
  <cellStyles count="2">
    <cellStyle name="Comma" xfId="1" builtinId="3"/>
    <cellStyle name="Normal" xfId="0" builtinId="0"/>
  </cellStyles>
  <dxfs count="2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64D86DA0-E818-43EA-9883-7ACC41EE54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22247938-AE7E-4035-B910-1711751B30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46849658-965A-4D79-A529-BA6C2383DD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70E9BC42-E3FA-4648-8F19-F17649F81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6601101-BE62-408D-87B0-E938B11EA9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DC45B530-F6DB-463B-81A1-C26395B7B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423DF71B-05C0-4E51-B58F-9457EC2897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C06011B-822C-4B5E-9A43-5F5C8040C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E48E054F-6147-4ACC-B8C2-C8813E3584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80017AF0-17F0-4CDD-8573-3DF5B54EF1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B322B6A-7C6E-4668-B4B6-74491C30D6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E35557B7-1EA7-4F2E-86CF-4317CA115B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E24C-D221-40D0-BB5A-632A0B764384}">
  <dimension ref="A1:AA52"/>
  <sheetViews>
    <sheetView topLeftCell="A18" workbookViewId="0">
      <selection activeCell="B13" sqref="B13"/>
    </sheetView>
  </sheetViews>
  <sheetFormatPr defaultRowHeight="14.5" x14ac:dyDescent="0.35"/>
  <cols>
    <col min="1" max="1" width="4.453125" customWidth="1"/>
    <col min="2" max="2" width="19.90625" bestFit="1" customWidth="1"/>
    <col min="3" max="3" width="28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25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2.5" customHeight="1" x14ac:dyDescent="0.35">
      <c r="A11" s="43"/>
      <c r="B11" s="43"/>
      <c r="C11" s="44"/>
      <c r="D11" s="48"/>
      <c r="E11" s="49"/>
      <c r="F11" s="49"/>
      <c r="G11" s="49"/>
      <c r="H11" s="50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37</v>
      </c>
      <c r="C13" s="35" t="s">
        <v>79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38</v>
      </c>
      <c r="C14" s="35" t="s">
        <v>39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40</v>
      </c>
      <c r="C15" s="35" t="s">
        <v>80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41</v>
      </c>
      <c r="C16" s="35" t="s">
        <v>42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43</v>
      </c>
      <c r="C17" s="35" t="s">
        <v>81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44</v>
      </c>
      <c r="C18" s="35" t="s">
        <v>82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45</v>
      </c>
      <c r="C19" s="35" t="s">
        <v>83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46</v>
      </c>
      <c r="C20" s="35" t="s">
        <v>84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47</v>
      </c>
      <c r="C21" s="35" t="s">
        <v>85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48</v>
      </c>
      <c r="C22" s="35" t="s">
        <v>86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49</v>
      </c>
      <c r="C23" s="35" t="s">
        <v>50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51</v>
      </c>
      <c r="C24" s="35" t="s">
        <v>87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52</v>
      </c>
      <c r="C25" s="35" t="s">
        <v>88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53</v>
      </c>
      <c r="C26" s="35" t="s">
        <v>89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54</v>
      </c>
      <c r="C27" s="35" t="s">
        <v>90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55</v>
      </c>
      <c r="C28" s="35" t="s">
        <v>91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56</v>
      </c>
      <c r="C29" s="35" t="s">
        <v>92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57</v>
      </c>
      <c r="C30" s="35" t="s">
        <v>93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58</v>
      </c>
      <c r="C31" s="35" t="s">
        <v>59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60</v>
      </c>
      <c r="C32" s="35" t="s">
        <v>94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61</v>
      </c>
      <c r="C33" s="35" t="s">
        <v>95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62</v>
      </c>
      <c r="C34" s="35" t="s">
        <v>63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64</v>
      </c>
      <c r="C35" s="35" t="s">
        <v>96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65</v>
      </c>
      <c r="C36" s="35" t="s">
        <v>97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66</v>
      </c>
      <c r="C37" s="35" t="s">
        <v>98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67</v>
      </c>
      <c r="C38" s="35" t="s">
        <v>99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68</v>
      </c>
      <c r="C39" s="35" t="s">
        <v>100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69</v>
      </c>
      <c r="C40" s="35" t="s">
        <v>101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70</v>
      </c>
      <c r="C41" s="35" t="s">
        <v>102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71</v>
      </c>
      <c r="C42" s="35" t="s">
        <v>103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72</v>
      </c>
      <c r="C43" s="35" t="s">
        <v>104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73</v>
      </c>
      <c r="C44" s="35" t="s">
        <v>105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74</v>
      </c>
      <c r="C45" s="35" t="s">
        <v>106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75</v>
      </c>
      <c r="C46" s="35" t="s">
        <v>107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76</v>
      </c>
      <c r="C47" s="35" t="s">
        <v>108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77</v>
      </c>
      <c r="C48" s="35" t="s">
        <v>78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21" priority="1"/>
    <cfRule type="duplicateValues" dxfId="20" priority="2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B7D8-CA64-4DE2-88F9-5EC2D1D5BAB4}">
  <dimension ref="A1:AA51"/>
  <sheetViews>
    <sheetView topLeftCell="A31" workbookViewId="0">
      <selection activeCell="C13" sqref="C13"/>
    </sheetView>
  </sheetViews>
  <sheetFormatPr defaultRowHeight="14.5" x14ac:dyDescent="0.35"/>
  <cols>
    <col min="1" max="1" width="4.453125" customWidth="1"/>
    <col min="2" max="2" width="19.90625" bestFit="1" customWidth="1"/>
    <col min="3" max="3" width="28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36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6.5" customHeight="1" x14ac:dyDescent="0.35">
      <c r="A11" s="43"/>
      <c r="B11" s="43"/>
      <c r="C11" s="44"/>
      <c r="D11" s="48"/>
      <c r="E11" s="49"/>
      <c r="F11" s="49"/>
      <c r="G11" s="49"/>
      <c r="H11" s="50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109</v>
      </c>
      <c r="C13" s="35" t="s">
        <v>110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111</v>
      </c>
      <c r="C14" s="35" t="s">
        <v>152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7" si="0">AVERAGE(D14:H14)</f>
        <v>#DIV/0!</v>
      </c>
      <c r="T14" s="22" t="e">
        <f t="shared" ref="T14:T47" si="1">AVERAGE(I14:M14)</f>
        <v>#DIV/0!</v>
      </c>
      <c r="U14" s="18" t="e">
        <f t="shared" ref="U14:U47" si="2">AVERAGE(N14:R14)</f>
        <v>#DIV/0!</v>
      </c>
      <c r="V14" s="13"/>
      <c r="W14" s="13" t="e">
        <f t="shared" ref="W14:W47" si="3">AVERAGE(S14:U14)</f>
        <v>#DIV/0!</v>
      </c>
      <c r="X14" s="16" t="e">
        <f t="shared" ref="X14:X47" si="4">ROUND(AVERAGE(V14:W14),0)</f>
        <v>#DIV/0!</v>
      </c>
      <c r="Y14" s="6"/>
      <c r="Z14" s="7">
        <v>1</v>
      </c>
      <c r="AA14" s="8" t="e">
        <f t="shared" ref="AA14:AA47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112</v>
      </c>
      <c r="C15" s="35" t="s">
        <v>153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113</v>
      </c>
      <c r="C16" s="35" t="s">
        <v>154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114</v>
      </c>
      <c r="C17" s="35" t="s">
        <v>115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116</v>
      </c>
      <c r="C18" s="35" t="s">
        <v>155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117</v>
      </c>
      <c r="C19" s="35" t="s">
        <v>156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118</v>
      </c>
      <c r="C20" s="35" t="s">
        <v>157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119</v>
      </c>
      <c r="C21" s="35" t="s">
        <v>158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120</v>
      </c>
      <c r="C22" s="35" t="s">
        <v>121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122</v>
      </c>
      <c r="C23" s="35" t="s">
        <v>159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123</v>
      </c>
      <c r="C24" s="35" t="s">
        <v>124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125</v>
      </c>
      <c r="C25" s="35" t="s">
        <v>160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126</v>
      </c>
      <c r="C26" s="35" t="s">
        <v>127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128</v>
      </c>
      <c r="C27" s="35" t="s">
        <v>161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129</v>
      </c>
      <c r="C28" s="35" t="s">
        <v>162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130</v>
      </c>
      <c r="C29" s="35" t="s">
        <v>131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132</v>
      </c>
      <c r="C30" s="35" t="s">
        <v>163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133</v>
      </c>
      <c r="C31" s="35" t="s">
        <v>164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134</v>
      </c>
      <c r="C32" s="35" t="s">
        <v>165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135</v>
      </c>
      <c r="C33" s="35" t="s">
        <v>166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136</v>
      </c>
      <c r="C34" s="35" t="s">
        <v>167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137</v>
      </c>
      <c r="C35" s="35" t="s">
        <v>168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138</v>
      </c>
      <c r="C36" s="35" t="s">
        <v>169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139</v>
      </c>
      <c r="C37" s="35" t="s">
        <v>170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140</v>
      </c>
      <c r="C38" s="35" t="s">
        <v>141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142</v>
      </c>
      <c r="C39" s="35" t="s">
        <v>171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143</v>
      </c>
      <c r="C40" s="35" t="s">
        <v>172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144</v>
      </c>
      <c r="C41" s="35" t="s">
        <v>173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145</v>
      </c>
      <c r="C42" s="35" t="s">
        <v>174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146</v>
      </c>
      <c r="C43" s="35" t="s">
        <v>147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148</v>
      </c>
      <c r="C44" s="35" t="s">
        <v>175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149</v>
      </c>
      <c r="C45" s="35" t="s">
        <v>176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150</v>
      </c>
      <c r="C46" s="35" t="s">
        <v>177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151</v>
      </c>
      <c r="C47" s="35" t="s">
        <v>178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9" spans="25:27" x14ac:dyDescent="0.35">
      <c r="Y49" s="11" t="s">
        <v>14</v>
      </c>
      <c r="AA49" s="11"/>
    </row>
    <row r="50" spans="25:27" x14ac:dyDescent="0.35">
      <c r="Y50" s="11" t="s">
        <v>15</v>
      </c>
    </row>
    <row r="51" spans="25:27" x14ac:dyDescent="0.35">
      <c r="Y51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9" priority="1"/>
    <cfRule type="duplicateValues" dxfId="18" priority="2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A786-C987-4A55-AD64-2720BAB41062}">
  <dimension ref="A1:AA51"/>
  <sheetViews>
    <sheetView topLeftCell="A22" workbookViewId="0">
      <selection activeCell="C48" sqref="C48"/>
    </sheetView>
  </sheetViews>
  <sheetFormatPr defaultRowHeight="14.5" x14ac:dyDescent="0.35"/>
  <cols>
    <col min="1" max="1" width="4.453125" customWidth="1"/>
    <col min="2" max="2" width="19.90625" bestFit="1" customWidth="1"/>
    <col min="3" max="3" width="31.089843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35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7" customHeight="1" x14ac:dyDescent="0.35">
      <c r="A11" s="43"/>
      <c r="B11" s="43"/>
      <c r="C11" s="44"/>
      <c r="D11" s="48"/>
      <c r="E11" s="49"/>
      <c r="F11" s="49"/>
      <c r="G11" s="49"/>
      <c r="H11" s="50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179</v>
      </c>
      <c r="C13" s="35" t="s">
        <v>224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180</v>
      </c>
      <c r="C14" s="35" t="s">
        <v>225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181</v>
      </c>
      <c r="C15" s="35" t="s">
        <v>226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182</v>
      </c>
      <c r="C16" s="35" t="s">
        <v>227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183</v>
      </c>
      <c r="C17" s="35" t="s">
        <v>228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184</v>
      </c>
      <c r="C18" s="35" t="s">
        <v>229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185</v>
      </c>
      <c r="C19" s="35" t="s">
        <v>230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186</v>
      </c>
      <c r="C20" s="35" t="s">
        <v>187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188</v>
      </c>
      <c r="C21" s="35" t="s">
        <v>231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189</v>
      </c>
      <c r="C22" s="35" t="s">
        <v>190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191</v>
      </c>
      <c r="C23" s="35" t="s">
        <v>232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192</v>
      </c>
      <c r="C24" s="35" t="s">
        <v>193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194</v>
      </c>
      <c r="C25" s="35" t="s">
        <v>233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195</v>
      </c>
      <c r="C26" s="35" t="s">
        <v>196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197</v>
      </c>
      <c r="C27" s="35" t="s">
        <v>234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198</v>
      </c>
      <c r="C28" s="35" t="s">
        <v>199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200</v>
      </c>
      <c r="C29" s="35" t="s">
        <v>235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201</v>
      </c>
      <c r="C30" s="35" t="s">
        <v>236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202</v>
      </c>
      <c r="C31" s="35" t="s">
        <v>237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203</v>
      </c>
      <c r="C32" s="35" t="s">
        <v>238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204</v>
      </c>
      <c r="C33" s="35" t="s">
        <v>239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205</v>
      </c>
      <c r="C34" s="35" t="s">
        <v>240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206</v>
      </c>
      <c r="C35" s="35" t="s">
        <v>207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208</v>
      </c>
      <c r="C36" s="35" t="s">
        <v>241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209</v>
      </c>
      <c r="C37" s="35" t="s">
        <v>242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210</v>
      </c>
      <c r="C38" s="35" t="s">
        <v>243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211</v>
      </c>
      <c r="C39" s="35" t="s">
        <v>244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212</v>
      </c>
      <c r="C40" s="35" t="s">
        <v>213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214</v>
      </c>
      <c r="C41" s="35" t="s">
        <v>245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215</v>
      </c>
      <c r="C42" s="35" t="s">
        <v>246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216</v>
      </c>
      <c r="C43" s="35" t="s">
        <v>247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217</v>
      </c>
      <c r="C44" s="35" t="s">
        <v>248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218</v>
      </c>
      <c r="C45" s="35" t="s">
        <v>219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220</v>
      </c>
      <c r="C46" s="35" t="s">
        <v>249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221</v>
      </c>
      <c r="C47" s="35" t="s">
        <v>250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222</v>
      </c>
      <c r="C48" s="35" t="s">
        <v>223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25:27" x14ac:dyDescent="0.35">
      <c r="Y49" s="11" t="s">
        <v>14</v>
      </c>
      <c r="AA49" s="11"/>
    </row>
    <row r="50" spans="25:27" x14ac:dyDescent="0.35">
      <c r="Y50" s="11" t="s">
        <v>15</v>
      </c>
    </row>
    <row r="51" spans="25:27" x14ac:dyDescent="0.35">
      <c r="Y51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7" priority="1"/>
    <cfRule type="duplicateValues" dxfId="16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480-B677-485B-A0C5-4D7C9B98C0DA}">
  <dimension ref="A1:AA52"/>
  <sheetViews>
    <sheetView topLeftCell="A26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8.9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34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5.5" customHeight="1" x14ac:dyDescent="0.35">
      <c r="A11" s="43"/>
      <c r="B11" s="43"/>
      <c r="C11" s="44"/>
      <c r="D11" s="48"/>
      <c r="E11" s="49"/>
      <c r="F11" s="49"/>
      <c r="G11" s="49"/>
      <c r="H11" s="50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251</v>
      </c>
      <c r="C13" s="35" t="s">
        <v>296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252</v>
      </c>
      <c r="C14" s="35" t="s">
        <v>297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253</v>
      </c>
      <c r="C15" s="35" t="s">
        <v>254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255</v>
      </c>
      <c r="C16" s="35" t="s">
        <v>298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256</v>
      </c>
      <c r="C17" s="35" t="s">
        <v>299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257</v>
      </c>
      <c r="C18" s="35" t="s">
        <v>300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258</v>
      </c>
      <c r="C19" s="35" t="s">
        <v>259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260</v>
      </c>
      <c r="C20" s="35" t="s">
        <v>301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261</v>
      </c>
      <c r="C21" s="35" t="s">
        <v>302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262</v>
      </c>
      <c r="C22" s="35" t="s">
        <v>303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263</v>
      </c>
      <c r="C23" s="35" t="s">
        <v>304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264</v>
      </c>
      <c r="C24" s="35" t="s">
        <v>305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265</v>
      </c>
      <c r="C25" s="35" t="s">
        <v>306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266</v>
      </c>
      <c r="C26" s="35" t="s">
        <v>307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267</v>
      </c>
      <c r="C27" s="35" t="s">
        <v>308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268</v>
      </c>
      <c r="C28" s="35" t="s">
        <v>309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269</v>
      </c>
      <c r="C29" s="35" t="s">
        <v>310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270</v>
      </c>
      <c r="C30" s="35" t="s">
        <v>311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271</v>
      </c>
      <c r="C31" s="35" t="s">
        <v>272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273</v>
      </c>
      <c r="C32" s="35" t="s">
        <v>312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274</v>
      </c>
      <c r="C33" s="35" t="s">
        <v>275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276</v>
      </c>
      <c r="C34" s="35" t="s">
        <v>313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277</v>
      </c>
      <c r="C35" s="35" t="s">
        <v>278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279</v>
      </c>
      <c r="C36" s="35" t="s">
        <v>314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280</v>
      </c>
      <c r="C37" s="35" t="s">
        <v>281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282</v>
      </c>
      <c r="C38" s="35" t="s">
        <v>315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283</v>
      </c>
      <c r="C39" s="35" t="s">
        <v>316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284</v>
      </c>
      <c r="C40" s="35" t="s">
        <v>285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286</v>
      </c>
      <c r="C41" s="35" t="s">
        <v>317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287</v>
      </c>
      <c r="C42" s="35" t="s">
        <v>318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288</v>
      </c>
      <c r="C43" s="35" t="s">
        <v>319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289</v>
      </c>
      <c r="C44" s="35" t="s">
        <v>290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291</v>
      </c>
      <c r="C45" s="35" t="s">
        <v>320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292</v>
      </c>
      <c r="C46" s="35" t="s">
        <v>293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294</v>
      </c>
      <c r="C47" s="35" t="s">
        <v>321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295</v>
      </c>
      <c r="C48" s="35" t="s">
        <v>322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5" priority="1"/>
    <cfRule type="duplicateValues" dxfId="14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70F9-9035-4A30-B8EA-32664D7219C9}">
  <dimension ref="A1:AA52"/>
  <sheetViews>
    <sheetView topLeftCell="A43" workbookViewId="0">
      <selection activeCell="D48" sqref="D48"/>
    </sheetView>
  </sheetViews>
  <sheetFormatPr defaultRowHeight="14.5" x14ac:dyDescent="0.35"/>
  <cols>
    <col min="1" max="1" width="4.453125" customWidth="1"/>
    <col min="2" max="2" width="19.90625" bestFit="1" customWidth="1"/>
    <col min="3" max="3" width="28.4531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33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2" customHeight="1" x14ac:dyDescent="0.35">
      <c r="A11" s="43"/>
      <c r="B11" s="43"/>
      <c r="C11" s="44"/>
      <c r="D11" s="48"/>
      <c r="E11" s="49"/>
      <c r="F11" s="49"/>
      <c r="G11" s="49"/>
      <c r="H11" s="50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323</v>
      </c>
      <c r="C13" s="35" t="s">
        <v>366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324</v>
      </c>
      <c r="C14" s="35" t="s">
        <v>367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325</v>
      </c>
      <c r="C15" s="35" t="s">
        <v>368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326</v>
      </c>
      <c r="C16" s="35" t="s">
        <v>369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327</v>
      </c>
      <c r="C17" s="35" t="s">
        <v>328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329</v>
      </c>
      <c r="C18" s="35" t="s">
        <v>370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330</v>
      </c>
      <c r="C19" s="35" t="s">
        <v>371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331</v>
      </c>
      <c r="C20" s="35" t="s">
        <v>372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332</v>
      </c>
      <c r="C21" s="35" t="s">
        <v>373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333</v>
      </c>
      <c r="C22" s="35" t="s">
        <v>374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334</v>
      </c>
      <c r="C23" s="35" t="s">
        <v>375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335</v>
      </c>
      <c r="C24" s="35" t="s">
        <v>336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337</v>
      </c>
      <c r="C25" s="35" t="s">
        <v>376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338</v>
      </c>
      <c r="C26" s="35" t="s">
        <v>377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339</v>
      </c>
      <c r="C27" s="35" t="s">
        <v>340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341</v>
      </c>
      <c r="C28" s="35" t="s">
        <v>378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342</v>
      </c>
      <c r="C29" s="35" t="s">
        <v>379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343</v>
      </c>
      <c r="C30" s="35" t="s">
        <v>344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345</v>
      </c>
      <c r="C31" s="35" t="s">
        <v>380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346</v>
      </c>
      <c r="C32" s="35" t="s">
        <v>347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348</v>
      </c>
      <c r="C33" s="35" t="s">
        <v>381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349</v>
      </c>
      <c r="C34" s="35" t="s">
        <v>382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350</v>
      </c>
      <c r="C35" s="35" t="s">
        <v>383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351</v>
      </c>
      <c r="C36" s="35" t="s">
        <v>384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352</v>
      </c>
      <c r="C37" s="35" t="s">
        <v>385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353</v>
      </c>
      <c r="C38" s="35" t="s">
        <v>354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355</v>
      </c>
      <c r="C39" s="35" t="s">
        <v>356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357</v>
      </c>
      <c r="C40" s="35" t="s">
        <v>386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358</v>
      </c>
      <c r="C41" s="35" t="s">
        <v>387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359</v>
      </c>
      <c r="C42" s="35" t="s">
        <v>388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360</v>
      </c>
      <c r="C43" s="35" t="s">
        <v>389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361</v>
      </c>
      <c r="C44" s="35" t="s">
        <v>390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362</v>
      </c>
      <c r="C45" s="35" t="s">
        <v>391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363</v>
      </c>
      <c r="C46" s="35" t="s">
        <v>392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364</v>
      </c>
      <c r="C47" s="35" t="s">
        <v>393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365</v>
      </c>
      <c r="C48" s="35" t="s">
        <v>394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1"/>
    </row>
    <row r="51" spans="25:27" x14ac:dyDescent="0.35">
      <c r="Y51" s="11" t="s">
        <v>15</v>
      </c>
    </row>
    <row r="52" spans="25:27" x14ac:dyDescent="0.35">
      <c r="Y52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3" priority="1"/>
    <cfRule type="duplicateValues" dxfId="12" priority="2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4A94-BA12-438A-8F97-039C83738400}">
  <dimension ref="A1:AA53"/>
  <sheetViews>
    <sheetView topLeftCell="A37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30.542968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32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4" customHeight="1" x14ac:dyDescent="0.35">
      <c r="A11" s="43"/>
      <c r="B11" s="43"/>
      <c r="C11" s="44"/>
      <c r="D11" s="48"/>
      <c r="E11" s="49"/>
      <c r="F11" s="49"/>
      <c r="G11" s="49"/>
      <c r="H11" s="50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395</v>
      </c>
      <c r="C13" s="35" t="s">
        <v>440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396</v>
      </c>
      <c r="C14" s="35" t="s">
        <v>397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9" si="0">AVERAGE(D14:H14)</f>
        <v>#DIV/0!</v>
      </c>
      <c r="T14" s="22" t="e">
        <f t="shared" ref="T14:T49" si="1">AVERAGE(I14:M14)</f>
        <v>#DIV/0!</v>
      </c>
      <c r="U14" s="18" t="e">
        <f t="shared" ref="U14:U49" si="2">AVERAGE(N14:R14)</f>
        <v>#DIV/0!</v>
      </c>
      <c r="V14" s="13"/>
      <c r="W14" s="13" t="e">
        <f t="shared" ref="W14:W49" si="3">AVERAGE(S14:U14)</f>
        <v>#DIV/0!</v>
      </c>
      <c r="X14" s="16" t="e">
        <f t="shared" ref="X14:X49" si="4">ROUND(AVERAGE(V14:W14),0)</f>
        <v>#DIV/0!</v>
      </c>
      <c r="Y14" s="6"/>
      <c r="Z14" s="7">
        <v>1</v>
      </c>
      <c r="AA14" s="8" t="e">
        <f t="shared" ref="AA14:AA4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398</v>
      </c>
      <c r="C15" s="35" t="s">
        <v>399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400</v>
      </c>
      <c r="C16" s="35" t="s">
        <v>441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401</v>
      </c>
      <c r="C17" s="35" t="s">
        <v>442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402</v>
      </c>
      <c r="C18" s="35" t="s">
        <v>443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403</v>
      </c>
      <c r="C19" s="35" t="s">
        <v>444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404</v>
      </c>
      <c r="C20" s="35" t="s">
        <v>445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405</v>
      </c>
      <c r="C21" s="35" t="s">
        <v>446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406</v>
      </c>
      <c r="C22" s="35" t="s">
        <v>447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407</v>
      </c>
      <c r="C23" s="35" t="s">
        <v>448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408</v>
      </c>
      <c r="C24" s="35" t="s">
        <v>449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409</v>
      </c>
      <c r="C25" s="35" t="s">
        <v>450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410</v>
      </c>
      <c r="C26" s="35" t="s">
        <v>411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412</v>
      </c>
      <c r="C27" s="35" t="s">
        <v>451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413</v>
      </c>
      <c r="C28" s="35" t="s">
        <v>452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414</v>
      </c>
      <c r="C29" s="35" t="s">
        <v>453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415</v>
      </c>
      <c r="C30" s="35" t="s">
        <v>454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416</v>
      </c>
      <c r="C31" s="35" t="s">
        <v>455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417</v>
      </c>
      <c r="C32" s="35" t="s">
        <v>418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419</v>
      </c>
      <c r="C33" s="35" t="s">
        <v>456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420</v>
      </c>
      <c r="C34" s="35" t="s">
        <v>457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421</v>
      </c>
      <c r="C35" s="35" t="s">
        <v>458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422</v>
      </c>
      <c r="C36" s="35" t="s">
        <v>459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423</v>
      </c>
      <c r="C37" s="35" t="s">
        <v>460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424</v>
      </c>
      <c r="C38" s="35" t="s">
        <v>461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425</v>
      </c>
      <c r="C39" s="35" t="s">
        <v>426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427</v>
      </c>
      <c r="C40" s="35" t="s">
        <v>462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428</v>
      </c>
      <c r="C41" s="35" t="s">
        <v>463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429</v>
      </c>
      <c r="C42" s="35" t="s">
        <v>464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430</v>
      </c>
      <c r="C43" s="35" t="s">
        <v>431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432</v>
      </c>
      <c r="C44" s="35" t="s">
        <v>465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433</v>
      </c>
      <c r="C45" s="35" t="s">
        <v>434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435</v>
      </c>
      <c r="C46" s="35" t="s">
        <v>466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436</v>
      </c>
      <c r="C47" s="35" t="s">
        <v>467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437</v>
      </c>
      <c r="C48" s="35" t="s">
        <v>438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439</v>
      </c>
      <c r="C49" s="35" t="s">
        <v>468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/>
      <c r="AA49" s="8" t="e">
        <f t="shared" si="5"/>
        <v>#DIV/0!</v>
      </c>
    </row>
    <row r="51" spans="1:27" x14ac:dyDescent="0.35">
      <c r="Y51" s="11" t="s">
        <v>14</v>
      </c>
      <c r="AA51" s="11"/>
    </row>
    <row r="52" spans="1:27" x14ac:dyDescent="0.35">
      <c r="Y52" s="11" t="s">
        <v>15</v>
      </c>
    </row>
    <row r="53" spans="1:27" x14ac:dyDescent="0.35">
      <c r="Y53" s="11" t="s">
        <v>16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11" priority="1"/>
    <cfRule type="duplicateValues" dxfId="10" priority="2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1D22-6D4D-4B07-8F17-350D2FC36E8F}">
  <dimension ref="A1:AA52"/>
  <sheetViews>
    <sheetView topLeftCell="A32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8.542968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31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5" customHeight="1" x14ac:dyDescent="0.35">
      <c r="A11" s="43"/>
      <c r="B11" s="43"/>
      <c r="C11" s="44"/>
      <c r="D11" s="48"/>
      <c r="E11" s="49"/>
      <c r="F11" s="49"/>
      <c r="G11" s="49"/>
      <c r="H11" s="50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469</v>
      </c>
      <c r="C13" s="35" t="s">
        <v>877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470</v>
      </c>
      <c r="C14" s="35" t="s">
        <v>471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472</v>
      </c>
      <c r="C15" s="35" t="s">
        <v>878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473</v>
      </c>
      <c r="C16" s="35" t="s">
        <v>879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474</v>
      </c>
      <c r="C17" s="35" t="s">
        <v>880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475</v>
      </c>
      <c r="C18" s="35" t="s">
        <v>881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476</v>
      </c>
      <c r="C19" s="35" t="s">
        <v>882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477</v>
      </c>
      <c r="C20" s="35" t="s">
        <v>478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479</v>
      </c>
      <c r="C21" s="35" t="s">
        <v>883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480</v>
      </c>
      <c r="C22" s="35" t="s">
        <v>884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481</v>
      </c>
      <c r="C23" s="35" t="s">
        <v>885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482</v>
      </c>
      <c r="C24" s="35" t="s">
        <v>886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483</v>
      </c>
      <c r="C25" s="35" t="s">
        <v>484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485</v>
      </c>
      <c r="C26" s="35" t="s">
        <v>887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486</v>
      </c>
      <c r="C27" s="35" t="s">
        <v>888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487</v>
      </c>
      <c r="C28" s="35" t="s">
        <v>889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488</v>
      </c>
      <c r="C29" s="35" t="s">
        <v>890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489</v>
      </c>
      <c r="C30" s="35" t="s">
        <v>490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491</v>
      </c>
      <c r="C31" s="35" t="s">
        <v>891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492</v>
      </c>
      <c r="C32" s="35" t="s">
        <v>493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494</v>
      </c>
      <c r="C33" s="35" t="s">
        <v>495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496</v>
      </c>
      <c r="C34" s="35" t="s">
        <v>892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497</v>
      </c>
      <c r="C35" s="35" t="s">
        <v>893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498</v>
      </c>
      <c r="C36" s="35" t="s">
        <v>894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499</v>
      </c>
      <c r="C37" s="35" t="s">
        <v>500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501</v>
      </c>
      <c r="C38" s="35" t="s">
        <v>895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502</v>
      </c>
      <c r="C39" s="35" t="s">
        <v>503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504</v>
      </c>
      <c r="C40" s="35" t="s">
        <v>896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505</v>
      </c>
      <c r="C41" s="35" t="s">
        <v>897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506</v>
      </c>
      <c r="C42" s="35" t="s">
        <v>898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507</v>
      </c>
      <c r="C43" s="35" t="s">
        <v>899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508</v>
      </c>
      <c r="C44" s="35" t="s">
        <v>509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510</v>
      </c>
      <c r="C45" s="35" t="s">
        <v>900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511</v>
      </c>
      <c r="C46" s="35" t="s">
        <v>901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512</v>
      </c>
      <c r="C47" s="35" t="s">
        <v>902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513</v>
      </c>
      <c r="C48" s="35" t="s">
        <v>514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2" t="e">
        <f>MAX(AA13:AA48)</f>
        <v>#DIV/0!</v>
      </c>
    </row>
    <row r="51" spans="25:27" x14ac:dyDescent="0.35">
      <c r="Y51" s="11" t="s">
        <v>15</v>
      </c>
      <c r="AA51" t="e">
        <f>MIN(AA13:AA48)</f>
        <v>#DIV/0!</v>
      </c>
    </row>
    <row r="52" spans="25:27" x14ac:dyDescent="0.35">
      <c r="Y52" s="11" t="s">
        <v>16</v>
      </c>
      <c r="AA52" t="e">
        <f>AVERAGE(AA13:AA48)</f>
        <v>#DIV/0!</v>
      </c>
    </row>
  </sheetData>
  <mergeCells count="17">
    <mergeCell ref="W11:W12"/>
    <mergeCell ref="X11:X12"/>
    <mergeCell ref="A1:AA1"/>
    <mergeCell ref="A3:AA3"/>
    <mergeCell ref="A4:AA4"/>
    <mergeCell ref="A10:A12"/>
    <mergeCell ref="B10:B12"/>
    <mergeCell ref="C10:C12"/>
    <mergeCell ref="D10:AA10"/>
    <mergeCell ref="S11:U11"/>
    <mergeCell ref="D11:H11"/>
    <mergeCell ref="Y11:Y12"/>
    <mergeCell ref="Z11:Z12"/>
    <mergeCell ref="AA11:AA12"/>
    <mergeCell ref="I11:M11"/>
    <mergeCell ref="N11:R11"/>
    <mergeCell ref="V11:V12"/>
  </mergeCells>
  <conditionalFormatting sqref="C30">
    <cfRule type="duplicateValues" dxfId="9" priority="1"/>
    <cfRule type="duplicateValues" dxfId="8" priority="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B924-8DB2-498D-861C-D098CAF9BC5D}">
  <dimension ref="A1:AA52"/>
  <sheetViews>
    <sheetView topLeftCell="A40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6.17968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30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0" customHeight="1" x14ac:dyDescent="0.35">
      <c r="A11" s="43"/>
      <c r="B11" s="43"/>
      <c r="C11" s="44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515</v>
      </c>
      <c r="C13" s="35" t="s">
        <v>853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516</v>
      </c>
      <c r="C14" s="35" t="s">
        <v>854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7" si="0">AVERAGE(D14:H14)</f>
        <v>#DIV/0!</v>
      </c>
      <c r="T14" s="22" t="e">
        <f t="shared" ref="T14:T47" si="1">AVERAGE(I14:M14)</f>
        <v>#DIV/0!</v>
      </c>
      <c r="U14" s="18" t="e">
        <f t="shared" ref="U14:U47" si="2">AVERAGE(N14:R14)</f>
        <v>#DIV/0!</v>
      </c>
      <c r="V14" s="13"/>
      <c r="W14" s="13" t="e">
        <f t="shared" ref="W14:W47" si="3">AVERAGE(S14:U14)</f>
        <v>#DIV/0!</v>
      </c>
      <c r="X14" s="16" t="e">
        <f t="shared" ref="X14:X47" si="4">ROUND(AVERAGE(V14:W14),0)</f>
        <v>#DIV/0!</v>
      </c>
      <c r="Y14" s="6"/>
      <c r="Z14" s="7">
        <v>1</v>
      </c>
      <c r="AA14" s="8" t="e">
        <f t="shared" ref="AA14:AA47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517</v>
      </c>
      <c r="C15" s="35" t="s">
        <v>518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519</v>
      </c>
      <c r="C16" s="35" t="s">
        <v>855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520</v>
      </c>
      <c r="C17" s="35" t="s">
        <v>521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522</v>
      </c>
      <c r="C18" s="35" t="s">
        <v>856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523</v>
      </c>
      <c r="C19" s="35" t="s">
        <v>857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524</v>
      </c>
      <c r="C20" s="35" t="s">
        <v>858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525</v>
      </c>
      <c r="C21" s="35" t="s">
        <v>859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526</v>
      </c>
      <c r="C22" s="35" t="s">
        <v>860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527</v>
      </c>
      <c r="C23" s="35" t="s">
        <v>861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528</v>
      </c>
      <c r="C24" s="35" t="s">
        <v>529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530</v>
      </c>
      <c r="C25" s="35" t="s">
        <v>862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531</v>
      </c>
      <c r="C26" s="35" t="s">
        <v>863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532</v>
      </c>
      <c r="C27" s="35" t="s">
        <v>864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533</v>
      </c>
      <c r="C28" s="35" t="s">
        <v>865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534</v>
      </c>
      <c r="C29" s="35" t="s">
        <v>866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535</v>
      </c>
      <c r="C30" s="35" t="s">
        <v>867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536</v>
      </c>
      <c r="C31" s="35" t="s">
        <v>537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538</v>
      </c>
      <c r="C32" s="35" t="s">
        <v>868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539</v>
      </c>
      <c r="C33" s="35" t="s">
        <v>869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540</v>
      </c>
      <c r="C34" s="35" t="s">
        <v>541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542</v>
      </c>
      <c r="C35" s="35" t="s">
        <v>870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543</v>
      </c>
      <c r="C36" s="35" t="s">
        <v>544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545</v>
      </c>
      <c r="C37" s="35" t="s">
        <v>546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547</v>
      </c>
      <c r="C38" s="35" t="s">
        <v>871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548</v>
      </c>
      <c r="C39" s="35" t="s">
        <v>872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549</v>
      </c>
      <c r="C40" s="35" t="s">
        <v>550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551</v>
      </c>
      <c r="C41" s="35" t="s">
        <v>873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552</v>
      </c>
      <c r="C42" s="35" t="s">
        <v>553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554</v>
      </c>
      <c r="C43" s="35" t="s">
        <v>874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555</v>
      </c>
      <c r="C44" s="35" t="s">
        <v>875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556</v>
      </c>
      <c r="C45" s="35" t="s">
        <v>876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557</v>
      </c>
      <c r="C46" s="35" t="s">
        <v>558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559</v>
      </c>
      <c r="C47" s="35" t="s">
        <v>560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50" spans="25:27" x14ac:dyDescent="0.35">
      <c r="Y50" s="6" t="s">
        <v>14</v>
      </c>
      <c r="Z50" s="10"/>
      <c r="AA50" s="8" t="e">
        <f>MAX(AA25:AA48)</f>
        <v>#DIV/0!</v>
      </c>
    </row>
    <row r="51" spans="25:27" x14ac:dyDescent="0.35">
      <c r="Y51" s="6" t="s">
        <v>15</v>
      </c>
      <c r="Z51" s="10"/>
      <c r="AA51" s="10" t="e">
        <f>MIN(AA25:AA48)</f>
        <v>#DIV/0!</v>
      </c>
    </row>
    <row r="52" spans="25:27" x14ac:dyDescent="0.35">
      <c r="Y52" s="6" t="s">
        <v>16</v>
      </c>
      <c r="Z52" s="10"/>
      <c r="AA52" s="10" t="e">
        <f>AVERAGE(AA25:AA48)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6C52-9DBA-4115-825C-EC3602F669CA}">
  <dimension ref="A1:AA53"/>
  <sheetViews>
    <sheetView topLeftCell="A28" workbookViewId="0">
      <selection activeCell="D42" sqref="D42"/>
    </sheetView>
  </sheetViews>
  <sheetFormatPr defaultRowHeight="14.5" x14ac:dyDescent="0.35"/>
  <cols>
    <col min="1" max="1" width="4.453125" customWidth="1"/>
    <col min="2" max="2" width="19.90625" bestFit="1" customWidth="1"/>
    <col min="3" max="3" width="29.269531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29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27" customHeight="1" x14ac:dyDescent="0.35">
      <c r="A11" s="43"/>
      <c r="B11" s="43"/>
      <c r="C11" s="44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561</v>
      </c>
      <c r="C13" s="35" t="s">
        <v>824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562</v>
      </c>
      <c r="C14" s="35" t="s">
        <v>825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563</v>
      </c>
      <c r="C15" s="35" t="s">
        <v>826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564</v>
      </c>
      <c r="C16" s="35" t="s">
        <v>827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565</v>
      </c>
      <c r="C17" s="35" t="s">
        <v>828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566</v>
      </c>
      <c r="C18" s="35" t="s">
        <v>829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567</v>
      </c>
      <c r="C19" s="35" t="s">
        <v>568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569</v>
      </c>
      <c r="C20" s="35" t="s">
        <v>830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570</v>
      </c>
      <c r="C21" s="35" t="s">
        <v>571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572</v>
      </c>
      <c r="C22" s="35" t="s">
        <v>831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573</v>
      </c>
      <c r="C23" s="35" t="s">
        <v>574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575</v>
      </c>
      <c r="C24" s="35" t="s">
        <v>832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576</v>
      </c>
      <c r="C25" s="35" t="s">
        <v>833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577</v>
      </c>
      <c r="C26" s="35" t="s">
        <v>834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578</v>
      </c>
      <c r="C27" s="35" t="s">
        <v>835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579</v>
      </c>
      <c r="C28" s="35" t="s">
        <v>836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580</v>
      </c>
      <c r="C29" s="35" t="s">
        <v>581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582</v>
      </c>
      <c r="C30" s="35" t="s">
        <v>837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583</v>
      </c>
      <c r="C31" s="35" t="s">
        <v>838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584</v>
      </c>
      <c r="C32" s="35" t="s">
        <v>839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585</v>
      </c>
      <c r="C33" s="35" t="s">
        <v>840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586</v>
      </c>
      <c r="C34" s="35" t="s">
        <v>841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587</v>
      </c>
      <c r="C35" s="35" t="s">
        <v>588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589</v>
      </c>
      <c r="C36" s="35" t="s">
        <v>842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590</v>
      </c>
      <c r="C37" s="35" t="s">
        <v>843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591</v>
      </c>
      <c r="C38" s="35" t="s">
        <v>844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592</v>
      </c>
      <c r="C39" s="35" t="s">
        <v>845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593</v>
      </c>
      <c r="C40" s="35" t="s">
        <v>846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594</v>
      </c>
      <c r="C41" s="35" t="s">
        <v>847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595</v>
      </c>
      <c r="C42" s="35" t="s">
        <v>596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597</v>
      </c>
      <c r="C43" s="35" t="s">
        <v>598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599</v>
      </c>
      <c r="C44" s="35" t="s">
        <v>848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600</v>
      </c>
      <c r="C45" s="35" t="s">
        <v>849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601</v>
      </c>
      <c r="C46" s="35" t="s">
        <v>850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602</v>
      </c>
      <c r="C47" s="35" t="s">
        <v>851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603</v>
      </c>
      <c r="C48" s="35" t="s">
        <v>852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1" spans="25:27" x14ac:dyDescent="0.35">
      <c r="Y51" s="6" t="s">
        <v>14</v>
      </c>
      <c r="Z51" s="10"/>
      <c r="AA51" s="8" t="e">
        <f>MAX(AA13:AA48)</f>
        <v>#DIV/0!</v>
      </c>
    </row>
    <row r="52" spans="25:27" x14ac:dyDescent="0.35">
      <c r="Y52" s="6" t="s">
        <v>15</v>
      </c>
      <c r="Z52" s="10"/>
      <c r="AA52" s="10" t="e">
        <f>MIN(AA13:AA48)</f>
        <v>#DIV/0!</v>
      </c>
    </row>
    <row r="53" spans="25:27" x14ac:dyDescent="0.35">
      <c r="Y53" s="6" t="s">
        <v>16</v>
      </c>
      <c r="Z53" s="10"/>
      <c r="AA53" s="10" t="e">
        <f>AVERAGE(AA13:AA48)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7" priority="1"/>
    <cfRule type="duplicateValues" dxfId="6" priority="2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0B67-C697-458D-89BA-612C851BA768}">
  <dimension ref="A1:AA52"/>
  <sheetViews>
    <sheetView topLeftCell="A37" workbookViewId="0">
      <selection activeCell="C46" sqref="C46"/>
    </sheetView>
  </sheetViews>
  <sheetFormatPr defaultRowHeight="14.5" x14ac:dyDescent="0.35"/>
  <cols>
    <col min="1" max="1" width="4.453125" customWidth="1"/>
    <col min="2" max="2" width="19.90625" bestFit="1" customWidth="1"/>
    <col min="3" max="3" width="34.90625" bestFit="1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28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29.5" customHeight="1" x14ac:dyDescent="0.35">
      <c r="A11" s="43"/>
      <c r="B11" s="43"/>
      <c r="C11" s="44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6" t="s">
        <v>604</v>
      </c>
      <c r="C13" s="37" t="s">
        <v>605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6" t="s">
        <v>606</v>
      </c>
      <c r="C14" s="37" t="s">
        <v>607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6" t="s">
        <v>608</v>
      </c>
      <c r="C15" s="37" t="s">
        <v>609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6" t="s">
        <v>610</v>
      </c>
      <c r="C16" s="37" t="s">
        <v>794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6" t="s">
        <v>611</v>
      </c>
      <c r="C17" s="37" t="s">
        <v>795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6" t="s">
        <v>612</v>
      </c>
      <c r="C18" s="37" t="s">
        <v>796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6" t="s">
        <v>613</v>
      </c>
      <c r="C19" s="37" t="s">
        <v>797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6" t="s">
        <v>614</v>
      </c>
      <c r="C20" s="37" t="s">
        <v>798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6" t="s">
        <v>615</v>
      </c>
      <c r="C21" s="37" t="s">
        <v>799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6" t="s">
        <v>616</v>
      </c>
      <c r="C22" s="37" t="s">
        <v>800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6" t="s">
        <v>617</v>
      </c>
      <c r="C23" s="37" t="s">
        <v>801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6" t="s">
        <v>618</v>
      </c>
      <c r="C24" s="37" t="s">
        <v>802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6" t="s">
        <v>619</v>
      </c>
      <c r="C25" s="37" t="s">
        <v>803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6" t="s">
        <v>620</v>
      </c>
      <c r="C26" s="37" t="s">
        <v>804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6" t="s">
        <v>621</v>
      </c>
      <c r="C27" s="37" t="s">
        <v>622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6" t="s">
        <v>623</v>
      </c>
      <c r="C28" s="37" t="s">
        <v>805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6" t="s">
        <v>624</v>
      </c>
      <c r="C29" s="37" t="s">
        <v>806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6" t="s">
        <v>625</v>
      </c>
      <c r="C30" s="37" t="s">
        <v>807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6" t="s">
        <v>626</v>
      </c>
      <c r="C31" s="37" t="s">
        <v>808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6" t="s">
        <v>627</v>
      </c>
      <c r="C32" s="37" t="s">
        <v>809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6" t="s">
        <v>628</v>
      </c>
      <c r="C33" s="37" t="s">
        <v>810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6" t="s">
        <v>629</v>
      </c>
      <c r="C34" s="37" t="s">
        <v>811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6" t="s">
        <v>630</v>
      </c>
      <c r="C35" s="37" t="s">
        <v>812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6" t="s">
        <v>631</v>
      </c>
      <c r="C36" s="37" t="s">
        <v>813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6" t="s">
        <v>632</v>
      </c>
      <c r="C37" s="37" t="s">
        <v>814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6" t="s">
        <v>633</v>
      </c>
      <c r="C38" s="37" t="s">
        <v>815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6" t="s">
        <v>634</v>
      </c>
      <c r="C39" s="37" t="s">
        <v>635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6" t="s">
        <v>636</v>
      </c>
      <c r="C40" s="37" t="s">
        <v>816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6" t="s">
        <v>637</v>
      </c>
      <c r="C41" s="37" t="s">
        <v>817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6" t="s">
        <v>638</v>
      </c>
      <c r="C42" s="37" t="s">
        <v>818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6" t="s">
        <v>639</v>
      </c>
      <c r="C43" s="37" t="s">
        <v>819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6" t="s">
        <v>640</v>
      </c>
      <c r="C44" s="37" t="s">
        <v>820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6" t="s">
        <v>641</v>
      </c>
      <c r="C45" s="37" t="s">
        <v>642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6" t="s">
        <v>643</v>
      </c>
      <c r="C46" s="37" t="s">
        <v>821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6" t="s">
        <v>644</v>
      </c>
      <c r="C47" s="37" t="s">
        <v>822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6" t="s">
        <v>645</v>
      </c>
      <c r="C48" s="37" t="s">
        <v>823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50" spans="25:27" x14ac:dyDescent="0.35">
      <c r="Y50" s="11" t="s">
        <v>14</v>
      </c>
      <c r="AA50" s="12" t="e">
        <f>MAX(AA13:AA48)</f>
        <v>#DIV/0!</v>
      </c>
    </row>
    <row r="51" spans="25:27" x14ac:dyDescent="0.35">
      <c r="Y51" s="11" t="s">
        <v>15</v>
      </c>
      <c r="AA51" t="e">
        <f>MIN(AA13:AA48)</f>
        <v>#DIV/0!</v>
      </c>
    </row>
    <row r="52" spans="25:27" x14ac:dyDescent="0.35">
      <c r="Y52" s="11" t="s">
        <v>16</v>
      </c>
      <c r="AA52" t="e">
        <f>AVERAGE(AA13:AA48)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5" priority="1"/>
    <cfRule type="duplicateValues" dxfId="4" priority="2"/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6616-9A40-44D9-A64A-954C5541D95B}">
  <dimension ref="A1:AE52"/>
  <sheetViews>
    <sheetView topLeftCell="A33" workbookViewId="0">
      <selection activeCell="C36" sqref="C36"/>
    </sheetView>
  </sheetViews>
  <sheetFormatPr defaultRowHeight="14.5" x14ac:dyDescent="0.35"/>
  <cols>
    <col min="1" max="1" width="4.453125" customWidth="1"/>
    <col min="2" max="2" width="19.90625" bestFit="1" customWidth="1"/>
    <col min="3" max="3" width="33.6328125" bestFit="1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27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40" customHeight="1" x14ac:dyDescent="0.35">
      <c r="A11" s="43"/>
      <c r="B11" s="43"/>
      <c r="C11" s="44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646</v>
      </c>
      <c r="C13" s="35" t="s">
        <v>647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648</v>
      </c>
      <c r="C14" s="35" t="s">
        <v>649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9" si="0">AVERAGE(D14:H14)</f>
        <v>#DIV/0!</v>
      </c>
      <c r="T14" s="22" t="e">
        <f t="shared" ref="T14:T49" si="1">AVERAGE(I14:M14)</f>
        <v>#DIV/0!</v>
      </c>
      <c r="U14" s="18" t="e">
        <f t="shared" ref="U14:U49" si="2">AVERAGE(N14:R14)</f>
        <v>#DIV/0!</v>
      </c>
      <c r="V14" s="13"/>
      <c r="W14" s="13" t="e">
        <f t="shared" ref="W14:W49" si="3">AVERAGE(S14:U14)</f>
        <v>#DIV/0!</v>
      </c>
      <c r="X14" s="16" t="e">
        <f t="shared" ref="X14:X49" si="4">ROUND(AVERAGE(V14:W14),0)</f>
        <v>#DIV/0!</v>
      </c>
      <c r="Y14" s="6"/>
      <c r="Z14" s="7">
        <v>1</v>
      </c>
      <c r="AA14" s="8" t="e">
        <f t="shared" ref="AA14:AA4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650</v>
      </c>
      <c r="C15" s="35" t="s">
        <v>651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652</v>
      </c>
      <c r="C16" s="35" t="s">
        <v>766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653</v>
      </c>
      <c r="C17" s="35" t="s">
        <v>767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654</v>
      </c>
      <c r="C18" s="35" t="s">
        <v>655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656</v>
      </c>
      <c r="C19" s="35" t="s">
        <v>768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657</v>
      </c>
      <c r="C20" s="35" t="s">
        <v>658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659</v>
      </c>
      <c r="C21" s="35" t="s">
        <v>660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661</v>
      </c>
      <c r="C22" s="35" t="s">
        <v>662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663</v>
      </c>
      <c r="C23" s="35" t="s">
        <v>769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664</v>
      </c>
      <c r="C24" s="35" t="s">
        <v>770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665</v>
      </c>
      <c r="C25" s="35" t="s">
        <v>666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667</v>
      </c>
      <c r="C26" s="35" t="s">
        <v>771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668</v>
      </c>
      <c r="C27" s="35" t="s">
        <v>772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669</v>
      </c>
      <c r="C28" s="35" t="s">
        <v>773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670</v>
      </c>
      <c r="C29" s="35" t="s">
        <v>774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671</v>
      </c>
      <c r="C30" s="35" t="s">
        <v>775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672</v>
      </c>
      <c r="C31" s="35" t="s">
        <v>776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673</v>
      </c>
      <c r="C32" s="35" t="s">
        <v>777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674</v>
      </c>
      <c r="C33" s="35" t="s">
        <v>778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675</v>
      </c>
      <c r="C34" s="35" t="s">
        <v>779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676</v>
      </c>
      <c r="C35" s="35" t="s">
        <v>780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677</v>
      </c>
      <c r="C36" s="35" t="s">
        <v>781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678</v>
      </c>
      <c r="C37" s="35" t="s">
        <v>782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679</v>
      </c>
      <c r="C38" s="35" t="s">
        <v>783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680</v>
      </c>
      <c r="C39" s="35" t="s">
        <v>784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681</v>
      </c>
      <c r="C40" s="35" t="s">
        <v>785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682</v>
      </c>
      <c r="C41" s="35" t="s">
        <v>683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684</v>
      </c>
      <c r="C42" s="35" t="s">
        <v>786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685</v>
      </c>
      <c r="C43" s="35" t="s">
        <v>787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686</v>
      </c>
      <c r="C44" s="35" t="s">
        <v>788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687</v>
      </c>
      <c r="C45" s="35" t="s">
        <v>789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688</v>
      </c>
      <c r="C46" s="35" t="s">
        <v>790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689</v>
      </c>
      <c r="C47" s="35" t="s">
        <v>791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690</v>
      </c>
      <c r="C48" s="35" t="s">
        <v>792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31" x14ac:dyDescent="0.35">
      <c r="A49" s="4">
        <v>37</v>
      </c>
      <c r="B49" s="34" t="s">
        <v>691</v>
      </c>
      <c r="C49" s="35" t="s">
        <v>793</v>
      </c>
      <c r="D49" s="5"/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>
        <v>1</v>
      </c>
      <c r="AA49" s="8" t="e">
        <f t="shared" si="5"/>
        <v>#DIV/0!</v>
      </c>
      <c r="AB49" s="9"/>
      <c r="AC49" s="9"/>
      <c r="AE49" s="9"/>
    </row>
    <row r="50" spans="1:31" x14ac:dyDescent="0.35">
      <c r="Y50" s="11" t="s">
        <v>14</v>
      </c>
      <c r="AA50" s="12" t="e">
        <f>MAX(AA13:AA49)</f>
        <v>#DIV/0!</v>
      </c>
    </row>
    <row r="51" spans="1:31" x14ac:dyDescent="0.35">
      <c r="Y51" s="11" t="s">
        <v>15</v>
      </c>
      <c r="AA51" t="e">
        <f>MIN(AA13:AA49)</f>
        <v>#DIV/0!</v>
      </c>
    </row>
    <row r="52" spans="1:31" x14ac:dyDescent="0.35">
      <c r="Y52" s="11" t="s">
        <v>16</v>
      </c>
      <c r="AA52" t="e">
        <f>AVERAGE(AA13:AA49)</f>
        <v>#DIV/0!</v>
      </c>
    </row>
  </sheetData>
  <mergeCells count="17"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</mergeCells>
  <conditionalFormatting sqref="C30">
    <cfRule type="duplicateValues" dxfId="3" priority="1"/>
    <cfRule type="duplicateValues" dxfId="2" priority="2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3AD2-F25C-4195-883C-4DE917F12791}">
  <dimension ref="A1:AE54"/>
  <sheetViews>
    <sheetView tabSelected="1" topLeftCell="A2" workbookViewId="0">
      <selection activeCell="C13" sqref="C13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9.5" customHeight="1" thickTop="1" x14ac:dyDescent="0.35"/>
    <row r="3" spans="1:27" ht="15.5" x14ac:dyDescent="0.35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5.5" x14ac:dyDescent="0.3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26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43" t="s">
        <v>4</v>
      </c>
      <c r="B10" s="43" t="s">
        <v>5</v>
      </c>
      <c r="C10" s="44" t="s">
        <v>6</v>
      </c>
      <c r="D10" s="45" t="s">
        <v>7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ht="36.5" customHeight="1" x14ac:dyDescent="0.35">
      <c r="A11" s="43"/>
      <c r="B11" s="43"/>
      <c r="C11" s="44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8"/>
      <c r="O11" s="49"/>
      <c r="P11" s="49"/>
      <c r="Q11" s="49"/>
      <c r="R11" s="50"/>
      <c r="S11" s="54" t="s">
        <v>8</v>
      </c>
      <c r="T11" s="54"/>
      <c r="U11" s="54"/>
      <c r="V11" s="55" t="s">
        <v>9</v>
      </c>
      <c r="W11" s="57" t="s">
        <v>20</v>
      </c>
      <c r="X11" s="59" t="s">
        <v>10</v>
      </c>
      <c r="Y11" s="61" t="s">
        <v>11</v>
      </c>
      <c r="Z11" s="38" t="s">
        <v>12</v>
      </c>
      <c r="AA11" s="52" t="s">
        <v>13</v>
      </c>
    </row>
    <row r="12" spans="1:27" ht="16" customHeight="1" x14ac:dyDescent="0.35">
      <c r="A12" s="43"/>
      <c r="B12" s="43"/>
      <c r="C12" s="4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56"/>
      <c r="W12" s="58"/>
      <c r="X12" s="60"/>
      <c r="Y12" s="62"/>
      <c r="Z12" s="39"/>
      <c r="AA12" s="53"/>
    </row>
    <row r="13" spans="1:27" s="9" customFormat="1" x14ac:dyDescent="0.35">
      <c r="A13" s="4">
        <v>1</v>
      </c>
      <c r="B13" s="34" t="s">
        <v>692</v>
      </c>
      <c r="C13" s="35" t="s">
        <v>693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694</v>
      </c>
      <c r="C14" s="35" t="s">
        <v>737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9" si="0">AVERAGE(D14:H14)</f>
        <v>#DIV/0!</v>
      </c>
      <c r="T14" s="22" t="e">
        <f t="shared" ref="T14:T49" si="1">AVERAGE(I14:M14)</f>
        <v>#DIV/0!</v>
      </c>
      <c r="U14" s="18" t="e">
        <f t="shared" ref="U14:U49" si="2">AVERAGE(N14:R14)</f>
        <v>#DIV/0!</v>
      </c>
      <c r="V14" s="13"/>
      <c r="W14" s="13" t="e">
        <f t="shared" ref="W14:W49" si="3">AVERAGE(S14:U14)</f>
        <v>#DIV/0!</v>
      </c>
      <c r="X14" s="16" t="e">
        <f t="shared" ref="X14:X49" si="4">ROUND(AVERAGE(V14:W14),0)</f>
        <v>#DIV/0!</v>
      </c>
      <c r="Y14" s="6"/>
      <c r="Z14" s="7">
        <v>1</v>
      </c>
      <c r="AA14" s="8" t="e">
        <f t="shared" ref="AA14:AA4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695</v>
      </c>
      <c r="C15" s="35" t="s">
        <v>738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696</v>
      </c>
      <c r="C16" s="35" t="s">
        <v>739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697</v>
      </c>
      <c r="C17" s="35" t="s">
        <v>740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698</v>
      </c>
      <c r="C18" s="35" t="s">
        <v>741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699</v>
      </c>
      <c r="C19" s="35" t="s">
        <v>742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700</v>
      </c>
      <c r="C20" s="35" t="s">
        <v>743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701</v>
      </c>
      <c r="C21" s="35" t="s">
        <v>744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702</v>
      </c>
      <c r="C22" s="35" t="s">
        <v>745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703</v>
      </c>
      <c r="C23" s="35" t="s">
        <v>746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704</v>
      </c>
      <c r="C24" s="35" t="s">
        <v>747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705</v>
      </c>
      <c r="C25" s="35" t="s">
        <v>748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706</v>
      </c>
      <c r="C26" s="35" t="s">
        <v>749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707</v>
      </c>
      <c r="C27" s="35" t="s">
        <v>750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708</v>
      </c>
      <c r="C28" s="35" t="s">
        <v>751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709</v>
      </c>
      <c r="C29" s="35" t="s">
        <v>752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710</v>
      </c>
      <c r="C30" s="35" t="s">
        <v>753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711</v>
      </c>
      <c r="C31" s="35" t="s">
        <v>754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712</v>
      </c>
      <c r="C32" s="35" t="s">
        <v>713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714</v>
      </c>
      <c r="C33" s="35" t="s">
        <v>755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715</v>
      </c>
      <c r="C34" s="35" t="s">
        <v>756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716</v>
      </c>
      <c r="C35" s="35" t="s">
        <v>757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717</v>
      </c>
      <c r="C36" s="35" t="s">
        <v>718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719</v>
      </c>
      <c r="C37" s="35" t="s">
        <v>720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721</v>
      </c>
      <c r="C38" s="35" t="s">
        <v>722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723</v>
      </c>
      <c r="C39" s="35" t="s">
        <v>724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725</v>
      </c>
      <c r="C40" s="35" t="s">
        <v>758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726</v>
      </c>
      <c r="C41" s="35" t="s">
        <v>759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727</v>
      </c>
      <c r="C42" s="35" t="s">
        <v>760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728</v>
      </c>
      <c r="C43" s="35" t="s">
        <v>761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729</v>
      </c>
      <c r="C44" s="35" t="s">
        <v>762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730</v>
      </c>
      <c r="C45" s="35" t="s">
        <v>763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731</v>
      </c>
      <c r="C46" s="35" t="s">
        <v>732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733</v>
      </c>
      <c r="C47" s="35" t="s">
        <v>734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735</v>
      </c>
      <c r="C48" s="35" t="s">
        <v>764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31" x14ac:dyDescent="0.35">
      <c r="A49" s="4">
        <v>37</v>
      </c>
      <c r="B49" s="34" t="s">
        <v>736</v>
      </c>
      <c r="C49" s="35" t="s">
        <v>765</v>
      </c>
      <c r="D49" s="5"/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>
        <v>1</v>
      </c>
      <c r="AA49" s="8" t="e">
        <f t="shared" si="5"/>
        <v>#DIV/0!</v>
      </c>
      <c r="AB49" s="9"/>
      <c r="AC49" s="9"/>
      <c r="AE49" s="9"/>
    </row>
    <row r="52" spans="1:31" x14ac:dyDescent="0.35">
      <c r="Y52" s="11" t="s">
        <v>14</v>
      </c>
      <c r="AA52" s="12" t="e">
        <f>MAX(AA13:AA49)</f>
        <v>#DIV/0!</v>
      </c>
    </row>
    <row r="53" spans="1:31" x14ac:dyDescent="0.35">
      <c r="Y53" s="11" t="s">
        <v>15</v>
      </c>
      <c r="AA53" t="e">
        <f>MIN(AA13:AA49)</f>
        <v>#DIV/0!</v>
      </c>
    </row>
    <row r="54" spans="1:31" x14ac:dyDescent="0.35">
      <c r="Y54" s="11" t="s">
        <v>16</v>
      </c>
      <c r="AA54" t="e">
        <f>AVERAGE(AA13:AA49)</f>
        <v>#DIV/0!</v>
      </c>
    </row>
  </sheetData>
  <mergeCells count="17">
    <mergeCell ref="X11:X12"/>
    <mergeCell ref="Y11:Y12"/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</mergeCells>
  <conditionalFormatting sqref="C30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XII A1</vt:lpstr>
      <vt:lpstr>XII A2</vt:lpstr>
      <vt:lpstr>XII B1</vt:lpstr>
      <vt:lpstr>XII B2</vt:lpstr>
      <vt:lpstr>XII C1</vt:lpstr>
      <vt:lpstr>XII C2</vt:lpstr>
      <vt:lpstr>XII D1</vt:lpstr>
      <vt:lpstr>XII D2</vt:lpstr>
      <vt:lpstr>XII E</vt:lpstr>
      <vt:lpstr>XII F</vt:lpstr>
      <vt:lpstr>XII G1</vt:lpstr>
      <vt:lpstr>XII 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 smavo</dc:creator>
  <cp:lastModifiedBy>kurikulum smavo</cp:lastModifiedBy>
  <dcterms:created xsi:type="dcterms:W3CDTF">2025-07-22T09:21:35Z</dcterms:created>
  <dcterms:modified xsi:type="dcterms:W3CDTF">2025-09-29T01:49:17Z</dcterms:modified>
</cp:coreProperties>
</file>