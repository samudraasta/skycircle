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ender Mentoring" sheetId="1" r:id="rId5"/>
    <sheet state="visible" name="Dashboard Circle" sheetId="2" r:id="rId6"/>
    <sheet state="visible" name="Database CirclePro +Mentor Muri" sheetId="3" r:id="rId7"/>
    <sheet state="visible" name="Kelas X Angk.34" sheetId="4" r:id="rId8"/>
    <sheet state="visible" name="Kelas XI Angk.33" sheetId="5" r:id="rId9"/>
    <sheet state="visible" name="Kelas XII Angk.32" sheetId="6" r:id="rId10"/>
  </sheets>
  <definedNames/>
  <calcPr/>
</workbook>
</file>

<file path=xl/sharedStrings.xml><?xml version="1.0" encoding="utf-8"?>
<sst xmlns="http://schemas.openxmlformats.org/spreadsheetml/2006/main" count="6475" uniqueCount="3014">
  <si>
    <t>KALENDER MENTORING SMAVO 2026-2027</t>
  </si>
  <si>
    <t>Mentor SMAVO 2026-2027</t>
  </si>
  <si>
    <t>CIRCLE PRO 2026/2027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</si>
  <si>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</si>
  <si>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 xml:space="preserve"> 33 - Kak Rekhsa</t>
  </si>
  <si>
    <t>Tanggal</t>
  </si>
  <si>
    <t xml:space="preserve"> 33 - Kak Ayun</t>
  </si>
  <si>
    <t>Pertemuan</t>
  </si>
  <si>
    <t>Agenda Mentee</t>
  </si>
  <si>
    <t>Materi</t>
  </si>
  <si>
    <t>Agenda Mentor</t>
  </si>
  <si>
    <t>IKHWAN</t>
  </si>
  <si>
    <t>Keterangan</t>
  </si>
  <si>
    <t>NO</t>
  </si>
  <si>
    <t>Semester Ganjil</t>
  </si>
  <si>
    <t>NAMA</t>
  </si>
  <si>
    <t>KELAS</t>
  </si>
  <si>
    <t>NO. HP</t>
  </si>
  <si>
    <t>Angkatan 34 (Kelas X)</t>
  </si>
  <si>
    <t>P1</t>
  </si>
  <si>
    <t>DAFTAR MURID</t>
  </si>
  <si>
    <t>Grand Launching Mentoring</t>
  </si>
  <si>
    <t>Circle time perdana - perkenalan singkat, penentuan struktur dan nama circle</t>
  </si>
  <si>
    <t>Asal Kelas</t>
  </si>
  <si>
    <t>P2</t>
  </si>
  <si>
    <t>Circle Time</t>
  </si>
  <si>
    <t>Perkenalan lanjutan, kreasi bersama pembuatan Pprofil grup dengan Canva sharing</t>
  </si>
  <si>
    <t>-</t>
  </si>
  <si>
    <t>Libur long weekend 17 Agustus</t>
  </si>
  <si>
    <t>17an SCC x Mentor SMAVO (outing)</t>
  </si>
  <si>
    <t>KELAS X 1</t>
  </si>
  <si>
    <t>P3</t>
  </si>
  <si>
    <t>Materi Maulid</t>
  </si>
  <si>
    <t>Muhammad Ariza Rizkya Irvan</t>
  </si>
  <si>
    <t>P4</t>
  </si>
  <si>
    <t>Ikhwan</t>
  </si>
  <si>
    <t>Sport Time</t>
  </si>
  <si>
    <t>TAHUN PELAJARAN 2026-2027</t>
  </si>
  <si>
    <t>Jml Mentee</t>
  </si>
  <si>
    <t>P5</t>
  </si>
  <si>
    <t>P6</t>
  </si>
  <si>
    <t>Mentor</t>
  </si>
  <si>
    <t>P7</t>
  </si>
  <si>
    <t>Asal Kelas/Alumni</t>
  </si>
  <si>
    <t>P8</t>
  </si>
  <si>
    <t>Wali Kelas : Deden Nur Hasanah, S.E</t>
  </si>
  <si>
    <t>P9</t>
  </si>
  <si>
    <t>Akhwat</t>
  </si>
  <si>
    <t>P10</t>
  </si>
  <si>
    <t>P11</t>
  </si>
  <si>
    <t>P12</t>
  </si>
  <si>
    <t>P13</t>
  </si>
  <si>
    <t>TKA 26 Oktober - 8 November -&gt; Antisipasi backup mentor murid</t>
  </si>
  <si>
    <t>P14</t>
  </si>
  <si>
    <t>P15</t>
  </si>
  <si>
    <t>X-1</t>
  </si>
  <si>
    <t>P16</t>
  </si>
  <si>
    <t>Libur persiapan PAS</t>
  </si>
  <si>
    <t>Fariz Duta</t>
  </si>
  <si>
    <t>SUB JALUR</t>
  </si>
  <si>
    <t>NISN</t>
  </si>
  <si>
    <t>NIS</t>
  </si>
  <si>
    <t>Aira Alessia Adha</t>
  </si>
  <si>
    <t xml:space="preserve">NAMA </t>
  </si>
  <si>
    <t>P/L</t>
  </si>
  <si>
    <t>Kompetensi Nonakademik</t>
  </si>
  <si>
    <t>0114443942</t>
  </si>
  <si>
    <t>Airo Nisya Mandira Boru Angkat</t>
  </si>
  <si>
    <t>X-5</t>
  </si>
  <si>
    <t>P</t>
  </si>
  <si>
    <t>Mentor: Rekhsa</t>
  </si>
  <si>
    <t>Kompetensi Akademik Kejuaraan</t>
  </si>
  <si>
    <t>Mohammad Irshad Faizanshah</t>
  </si>
  <si>
    <t>0118175898</t>
  </si>
  <si>
    <t>Allesya Ananto</t>
  </si>
  <si>
    <t>Naila</t>
  </si>
  <si>
    <t>Kompetensi Akademik Rapor</t>
  </si>
  <si>
    <t>0115929061</t>
  </si>
  <si>
    <t>Anida Zakia</t>
  </si>
  <si>
    <t>Alyya Zahra Kusumadewi</t>
  </si>
  <si>
    <t>0102583300</t>
  </si>
  <si>
    <t>Aqeela Karima Fitri</t>
  </si>
  <si>
    <t>Asma Zulfa Diyanah</t>
  </si>
  <si>
    <t>X-2</t>
  </si>
  <si>
    <t>1.</t>
  </si>
  <si>
    <t>0114691128</t>
  </si>
  <si>
    <t>Keyno Nazmi Afham</t>
  </si>
  <si>
    <t>Belqhis Insa Salsabilla</t>
  </si>
  <si>
    <t>XI D2</t>
  </si>
  <si>
    <t>Muhammad Daffa Sugianto</t>
  </si>
  <si>
    <t>0102787072</t>
  </si>
  <si>
    <t>Daffa Rizky Ramadhan</t>
  </si>
  <si>
    <t>L</t>
  </si>
  <si>
    <t>0104086813</t>
  </si>
  <si>
    <t>Damar Volka Khalendra</t>
  </si>
  <si>
    <t>Aulia Intan Rhamadhani</t>
  </si>
  <si>
    <t>Bilqis Anwar Thebe</t>
  </si>
  <si>
    <t>Dzalfan Adzikra Martha</t>
  </si>
  <si>
    <t>X-11</t>
  </si>
  <si>
    <t>2.</t>
  </si>
  <si>
    <t>Muhammad Tsafiq Ihsan</t>
  </si>
  <si>
    <t>XI B3</t>
  </si>
  <si>
    <t>Muhammad Zaidan Aqil</t>
  </si>
  <si>
    <t>0111302202</t>
  </si>
  <si>
    <t>Fathan Jiwantana</t>
  </si>
  <si>
    <t>X-3</t>
  </si>
  <si>
    <t>Rifky Akbar</t>
  </si>
  <si>
    <t>0119048908</t>
  </si>
  <si>
    <t>Fathir Athaillah Pratama</t>
  </si>
  <si>
    <t>0118600996</t>
  </si>
  <si>
    <t>3.</t>
  </si>
  <si>
    <t>Gideon Herlambang Ritonga</t>
  </si>
  <si>
    <t>Daffa Khoirul Fajri</t>
  </si>
  <si>
    <t>Rayhana Rizkya Al-Multazam</t>
  </si>
  <si>
    <t>XI C4</t>
  </si>
  <si>
    <t>Achmad Ardiansyah</t>
  </si>
  <si>
    <t>0107448918</t>
  </si>
  <si>
    <t>Hafiz Muhamad Arfa</t>
  </si>
  <si>
    <t>Isnaini Fauziyah Utomo</t>
  </si>
  <si>
    <t>X-4</t>
  </si>
  <si>
    <t>0116527821</t>
  </si>
  <si>
    <t>Hanna Fathiya Difani</t>
  </si>
  <si>
    <t>Rifqi Putra</t>
  </si>
  <si>
    <t>X-10</t>
  </si>
  <si>
    <t>4.</t>
  </si>
  <si>
    <t>Muhammad Naufal Rhesa Fernando</t>
  </si>
  <si>
    <t>Rifqah Ramadhani</t>
  </si>
  <si>
    <t>0102028622</t>
  </si>
  <si>
    <t>Hisyam Ahmad Zulkarnain</t>
  </si>
  <si>
    <t>X-12</t>
  </si>
  <si>
    <t>Samy Abdurrahman Romdhony</t>
  </si>
  <si>
    <t>Mentor: Teguh</t>
  </si>
  <si>
    <t>0108974570</t>
  </si>
  <si>
    <t>Jihan Thahirah Khalilah Ajna</t>
  </si>
  <si>
    <t>Naya</t>
  </si>
  <si>
    <t>0111893063</t>
  </si>
  <si>
    <t>Kenzie Ataya Narda</t>
  </si>
  <si>
    <t>X-6</t>
  </si>
  <si>
    <t>X. 11</t>
  </si>
  <si>
    <t>Kaysan Umar Azka Setiawan</t>
  </si>
  <si>
    <t>XI B1</t>
  </si>
  <si>
    <t xml:space="preserve">Zhafran Ramadhan Drajat Sukma </t>
  </si>
  <si>
    <t>Muhamad Ilham Akbar</t>
  </si>
  <si>
    <t>0115332644</t>
  </si>
  <si>
    <t>Kinanthi Paramitha Nareswari</t>
  </si>
  <si>
    <t>Queensha Anindya Azka</t>
  </si>
  <si>
    <t>0108373038</t>
  </si>
  <si>
    <t>Levina Nayaka</t>
  </si>
  <si>
    <t>X10</t>
  </si>
  <si>
    <t>Luqman Aziz Saputro</t>
  </si>
  <si>
    <t>XI A</t>
  </si>
  <si>
    <t>Muhammad Fawaz Ali</t>
  </si>
  <si>
    <t>X-7</t>
  </si>
  <si>
    <t>0116728450</t>
  </si>
  <si>
    <t>Mutyara Putri Shaqina</t>
  </si>
  <si>
    <t>Shabira Ayatul Husna</t>
  </si>
  <si>
    <t>0099285471</t>
  </si>
  <si>
    <t>Muzhaffir Naillur Raja</t>
  </si>
  <si>
    <t>Mirza Maulana Altamis</t>
  </si>
  <si>
    <t>Raka Syabany Amsyah</t>
  </si>
  <si>
    <t>X-8</t>
  </si>
  <si>
    <t>0117748866</t>
  </si>
  <si>
    <t>Nadia Donna Khairunnisa</t>
  </si>
  <si>
    <t>X-8A</t>
  </si>
  <si>
    <t>0119416319</t>
  </si>
  <si>
    <t>Radeya Arfa Hendrayana</t>
  </si>
  <si>
    <t>Abdul Ghofar</t>
  </si>
  <si>
    <t>Jazirah Rahmah</t>
  </si>
  <si>
    <t>0117889969</t>
  </si>
  <si>
    <t>Raisya Salsabila</t>
  </si>
  <si>
    <t>Syaakhira Fauziah</t>
  </si>
  <si>
    <t>Potensi Akademik</t>
  </si>
  <si>
    <t>0112110754</t>
  </si>
  <si>
    <t>X-9</t>
  </si>
  <si>
    <t>Rayhan Daniswara</t>
  </si>
  <si>
    <t>Mentor: Randy</t>
  </si>
  <si>
    <t>Shakila Alma Falisha</t>
  </si>
  <si>
    <t>X-8B</t>
  </si>
  <si>
    <t>Fakhi Zulfia Bilqis</t>
  </si>
  <si>
    <t>0115579184</t>
  </si>
  <si>
    <t>Syakila Nahda Dhania</t>
  </si>
  <si>
    <t>0119448889</t>
  </si>
  <si>
    <t>Tubagus Akmal Rizky</t>
  </si>
  <si>
    <t>Rifqi Hadzami</t>
  </si>
  <si>
    <t>XII D3</t>
  </si>
  <si>
    <t>Muhammad Ieddzar Haradiya</t>
  </si>
  <si>
    <t>0102618611</t>
  </si>
  <si>
    <t>Vanessa Ellianova Zivanna Pangaribuan</t>
  </si>
  <si>
    <t>XII A2</t>
  </si>
  <si>
    <t>0118298885</t>
  </si>
  <si>
    <t>Natiq Tawqir Muniruzzaman Anandamaya</t>
  </si>
  <si>
    <t>Verra Nayla Karnaen</t>
  </si>
  <si>
    <t>Dinda Aulia</t>
  </si>
  <si>
    <t>0104256246</t>
  </si>
  <si>
    <t>Yusuf Rabani</t>
  </si>
  <si>
    <t>XII E1</t>
  </si>
  <si>
    <t>Muhammad Adrian Gianni Adam</t>
  </si>
  <si>
    <t>0103251939</t>
  </si>
  <si>
    <t>Zahran Ariza Saputra</t>
  </si>
  <si>
    <t>XII D1</t>
  </si>
  <si>
    <t>X-11A</t>
  </si>
  <si>
    <t xml:space="preserve"> 33 - Kak Ulfi</t>
  </si>
  <si>
    <t>5.</t>
  </si>
  <si>
    <t>XII B1</t>
  </si>
  <si>
    <t xml:space="preserve"> 33 - Kak Teguh</t>
  </si>
  <si>
    <t>Perempuan</t>
  </si>
  <si>
    <t>Asal kelas</t>
  </si>
  <si>
    <t>6.</t>
  </si>
  <si>
    <t>Zhafran Ramadhan Drajat Sukma</t>
  </si>
  <si>
    <t>Aurelia Septiani Putri</t>
  </si>
  <si>
    <t>7.</t>
  </si>
  <si>
    <t>XII B2</t>
  </si>
  <si>
    <t>Raivan Elang Pramono</t>
  </si>
  <si>
    <t>Dwi Irmawati</t>
  </si>
  <si>
    <t>Laki - Laki</t>
  </si>
  <si>
    <t>Aurelia Langit Callysta</t>
  </si>
  <si>
    <t>8.</t>
  </si>
  <si>
    <t>Muhammad Shafa</t>
  </si>
  <si>
    <t>Bintang jati Pratama</t>
  </si>
  <si>
    <t>X-11B</t>
  </si>
  <si>
    <t>0857-1963-1782</t>
  </si>
  <si>
    <t>KELAS X 2</t>
  </si>
  <si>
    <t>0821-1428-2069</t>
  </si>
  <si>
    <t>9.</t>
  </si>
  <si>
    <t>M. Royyan</t>
  </si>
  <si>
    <t>XII F2</t>
  </si>
  <si>
    <t>Farid Pradana</t>
  </si>
  <si>
    <t>Wali Kelas : Ramlan Sulthon, S.Pd.I</t>
  </si>
  <si>
    <t>62 813-8514-7615</t>
  </si>
  <si>
    <t>Alifa Safa Salsabila</t>
  </si>
  <si>
    <t>Masayu Ganisha Pambayun Putri</t>
  </si>
  <si>
    <t>0881-2752-675</t>
  </si>
  <si>
    <t>AKHWAT</t>
  </si>
  <si>
    <t>62 881-5379-026</t>
  </si>
  <si>
    <t>Denisa Azka Putri</t>
  </si>
  <si>
    <t>Abelia Farhaira Cahyani</t>
  </si>
  <si>
    <t>0119273223</t>
  </si>
  <si>
    <t>Achazia Disyanda Ashsyara</t>
  </si>
  <si>
    <t>62 882-9224-2109</t>
  </si>
  <si>
    <t>Andini Qoriyati Khaerani</t>
  </si>
  <si>
    <t>0103125164</t>
  </si>
  <si>
    <t>Aisyah Anadilla</t>
  </si>
  <si>
    <t>Syakira Alma Annisa</t>
  </si>
  <si>
    <t>Mentor: Ayun</t>
  </si>
  <si>
    <t>0106019607</t>
  </si>
  <si>
    <t>Alif Ziyad</t>
  </si>
  <si>
    <t>Circel Plus-1</t>
  </si>
  <si>
    <t>Rahman</t>
  </si>
  <si>
    <t>Alumni  15</t>
  </si>
  <si>
    <t>62 857-9258-8050</t>
  </si>
  <si>
    <t>Ramania</t>
  </si>
  <si>
    <t>Alumni  23</t>
  </si>
  <si>
    <t>Qaniah Mardiyah Salsabila</t>
  </si>
  <si>
    <t>0103807352</t>
  </si>
  <si>
    <t>Althaf Putra Zahyadi</t>
  </si>
  <si>
    <t>Jumlah</t>
  </si>
  <si>
    <t>0112526271</t>
  </si>
  <si>
    <t>0812‑1391‑7720‬</t>
  </si>
  <si>
    <t>Amira Shafiyah Kusumadewi</t>
  </si>
  <si>
    <t>XI C3</t>
  </si>
  <si>
    <t>Muhammad Yafiargi Simbangando</t>
  </si>
  <si>
    <t>0117928530</t>
  </si>
  <si>
    <t>Annisa Talita Sakhi</t>
  </si>
  <si>
    <t>Angkatan 33 (Kelas XI)</t>
  </si>
  <si>
    <t>62 813-8171-2152</t>
  </si>
  <si>
    <t>Niesha Anindya Firstsaly</t>
  </si>
  <si>
    <t>0101268880</t>
  </si>
  <si>
    <t>Di CirclePro</t>
  </si>
  <si>
    <t>Arkana Nur Tsaqif</t>
  </si>
  <si>
    <t>0812‑1026‑0707</t>
  </si>
  <si>
    <t>XI E1</t>
  </si>
  <si>
    <t>0115825887</t>
  </si>
  <si>
    <t>Bima Anggareksa Yusiansyah</t>
  </si>
  <si>
    <t>Arya Bima Ramadhan</t>
  </si>
  <si>
    <t>0858-8016-3225</t>
  </si>
  <si>
    <t>Yasmine Almira Queen</t>
  </si>
  <si>
    <t>Azizah Putri Nazarudin</t>
  </si>
  <si>
    <t>0112379757</t>
  </si>
  <si>
    <t>0813-8042-9524</t>
  </si>
  <si>
    <t>Ceshka Shane Aulia</t>
  </si>
  <si>
    <t>Manda Rizza</t>
  </si>
  <si>
    <t>0111370057</t>
  </si>
  <si>
    <t>Farisa</t>
  </si>
  <si>
    <t>Alumni 31</t>
  </si>
  <si>
    <t>Danendra Akmal Pratama</t>
  </si>
  <si>
    <t>Balqis Jauza Sabreenijka</t>
  </si>
  <si>
    <t>XI B2</t>
  </si>
  <si>
    <t>0117249106</t>
  </si>
  <si>
    <t>Dira Afham Albanna</t>
  </si>
  <si>
    <t>XI C2</t>
  </si>
  <si>
    <t>Arman</t>
  </si>
  <si>
    <t>0107930142</t>
  </si>
  <si>
    <t>Dira Cahya Rasyid</t>
  </si>
  <si>
    <t>0113357453</t>
  </si>
  <si>
    <t>Ester Florencia Mamahit</t>
  </si>
  <si>
    <t>Nadira</t>
  </si>
  <si>
    <t>0115332517</t>
  </si>
  <si>
    <t>Farand Muhammad Alvino</t>
  </si>
  <si>
    <t>Bimo</t>
  </si>
  <si>
    <t xml:space="preserve">M. Royyan </t>
  </si>
  <si>
    <t>0107041412</t>
  </si>
  <si>
    <t>Askana Nailazahran Hermansyah</t>
  </si>
  <si>
    <t>Geany Morra Serses Hisyam</t>
  </si>
  <si>
    <t>XI B2-A</t>
  </si>
  <si>
    <t>Faliqa Haq Hasanah</t>
  </si>
  <si>
    <t>0118658639</t>
  </si>
  <si>
    <t>Habibah Atep Mohamed</t>
  </si>
  <si>
    <t>0109217725</t>
  </si>
  <si>
    <t>Haiyya Zihni Nayottama Baihaqi</t>
  </si>
  <si>
    <t>Mentor: Ulfi</t>
  </si>
  <si>
    <t xml:space="preserve"> 32 - Kak Randy</t>
  </si>
  <si>
    <t>Dimas</t>
  </si>
  <si>
    <t>0116862706</t>
  </si>
  <si>
    <t>XI C1</t>
  </si>
  <si>
    <t>Istiyana Ningrum Sari</t>
  </si>
  <si>
    <t>XI B2-B</t>
  </si>
  <si>
    <t>Annisa Nur Fajriya</t>
  </si>
  <si>
    <t xml:space="preserve"> 33 - Kak Iga</t>
  </si>
  <si>
    <t>0101878749</t>
  </si>
  <si>
    <t>Muhammad Rifqi Hadzami</t>
  </si>
  <si>
    <t>Luthfiyyah Salsabilah</t>
  </si>
  <si>
    <t>0105797692</t>
  </si>
  <si>
    <t>XI B3-A</t>
  </si>
  <si>
    <t>Maheswara Fattan Adhitya</t>
  </si>
  <si>
    <t>Arsyila Kayyisah B</t>
  </si>
  <si>
    <t>0116143504</t>
  </si>
  <si>
    <t>Muhammad Aruna Enzi Bramantyo</t>
  </si>
  <si>
    <t>Taufik</t>
  </si>
  <si>
    <t>0114160741</t>
  </si>
  <si>
    <t>No.</t>
  </si>
  <si>
    <t>Alumni  10</t>
  </si>
  <si>
    <t>Muhammad Farhan Arrosyid</t>
  </si>
  <si>
    <t>Mentor Iga:</t>
  </si>
  <si>
    <t>XI B3-B</t>
  </si>
  <si>
    <t>Zhafira Fathin Ilmira</t>
  </si>
  <si>
    <t>Muhammad Fariz Duta Eshan</t>
  </si>
  <si>
    <t>0104601673</t>
  </si>
  <si>
    <t>Muhammad Izzatusyamil Makarim</t>
  </si>
  <si>
    <t>0115512008</t>
  </si>
  <si>
    <t>Masayu Ganisha Pembayun Putri</t>
  </si>
  <si>
    <t>Muhammad Zahran Ramadhan</t>
  </si>
  <si>
    <t>Lexa El Sohbia</t>
  </si>
  <si>
    <t>XII D2</t>
  </si>
  <si>
    <t>0119974388</t>
  </si>
  <si>
    <t>Naftali Yoseph Nicolas Mundung</t>
  </si>
  <si>
    <t>Kusniawati</t>
  </si>
  <si>
    <t>Rifqi Anindya Putra</t>
  </si>
  <si>
    <t>0114018351</t>
  </si>
  <si>
    <t>Alumni 8</t>
  </si>
  <si>
    <t>Nesya Adila</t>
  </si>
  <si>
    <t>XI D1</t>
  </si>
  <si>
    <t>0117130673</t>
  </si>
  <si>
    <t>Nurul Silmi Wijaya</t>
  </si>
  <si>
    <t>Hamzah</t>
  </si>
  <si>
    <t>Alumni  16</t>
  </si>
  <si>
    <t>Khansa Vanya Laudya Putri</t>
  </si>
  <si>
    <t>0102400384</t>
  </si>
  <si>
    <t>Rio Fitraa Aulia</t>
  </si>
  <si>
    <t>Rifky Akbar Maulana</t>
  </si>
  <si>
    <t>0118713623</t>
  </si>
  <si>
    <t>Tsalwa Putri Raulafandifta</t>
  </si>
  <si>
    <t>Zalika</t>
  </si>
  <si>
    <t>Alumni 30</t>
  </si>
  <si>
    <t>0116647038</t>
  </si>
  <si>
    <t>Zahwa Baru Tunisa</t>
  </si>
  <si>
    <t>Rizza</t>
  </si>
  <si>
    <t>Alumni  24</t>
  </si>
  <si>
    <t>Hibban Abdurrahman</t>
  </si>
  <si>
    <t>Syaikhah Anbar</t>
  </si>
  <si>
    <t>XI E2</t>
  </si>
  <si>
    <t>Fakhi Zulfia Bilqis Nasyifa</t>
  </si>
  <si>
    <t>Zaina Husniyati Hamdani</t>
  </si>
  <si>
    <t>Dwi Nailah Azhara</t>
  </si>
  <si>
    <t>Circle Pro-1</t>
  </si>
  <si>
    <t>KELAS X 3</t>
  </si>
  <si>
    <t>Heru Kurnia</t>
  </si>
  <si>
    <t>Rekhsa</t>
  </si>
  <si>
    <t>Alumni  20</t>
  </si>
  <si>
    <t>Annisa Alya</t>
  </si>
  <si>
    <t>Alumni  31</t>
  </si>
  <si>
    <t>Karunia Dwi Rahmawati</t>
  </si>
  <si>
    <t>Wali Kelas : Ranti Mustika, S.Pd.</t>
  </si>
  <si>
    <t>Circle Pro-2</t>
  </si>
  <si>
    <t>Teguh</t>
  </si>
  <si>
    <t>Alumni  18</t>
  </si>
  <si>
    <t>Bintang Alif Putra Satriya</t>
  </si>
  <si>
    <t>XI E2-A</t>
  </si>
  <si>
    <t>Sabika Zaura Khumairo</t>
  </si>
  <si>
    <t>0105148177</t>
  </si>
  <si>
    <t>Alvin Yafiansyah</t>
  </si>
  <si>
    <t>XI E2-B</t>
  </si>
  <si>
    <t>Mentor: Ukhti</t>
  </si>
  <si>
    <t>Desya Maulida</t>
  </si>
  <si>
    <t>Satria Andhika Raissa</t>
  </si>
  <si>
    <t>0104469801</t>
  </si>
  <si>
    <t>Alya Zahratunnisa</t>
  </si>
  <si>
    <t>Ayun</t>
  </si>
  <si>
    <t>0116236226</t>
  </si>
  <si>
    <t>Angel Arfa Royana</t>
  </si>
  <si>
    <t>Dinda Dyah Pitaloka</t>
  </si>
  <si>
    <t>Ulfi</t>
  </si>
  <si>
    <t>0116562350</t>
  </si>
  <si>
    <t>Arinda Nasywa Lubis</t>
  </si>
  <si>
    <t>Circle Pro-3</t>
  </si>
  <si>
    <t>Bonardo Geraldy Hottua Sinurat</t>
  </si>
  <si>
    <t>Iga</t>
  </si>
  <si>
    <t>Alumni  19</t>
  </si>
  <si>
    <t>Daryl Darian Nezar</t>
  </si>
  <si>
    <t>Asshafa Nur Intan</t>
  </si>
  <si>
    <t>0114506001</t>
  </si>
  <si>
    <t>Deniz Salman Wiguna</t>
  </si>
  <si>
    <t xml:space="preserve"> Angkatan 32 (Kelas XII)</t>
  </si>
  <si>
    <t>XII C</t>
  </si>
  <si>
    <t>Muhamad Daffa Sugianto</t>
  </si>
  <si>
    <t>0118691326</t>
  </si>
  <si>
    <t>Faiz Ikram Ardhani</t>
  </si>
  <si>
    <t>Jihan Nailatusy Syarafah</t>
  </si>
  <si>
    <t>XII A1</t>
  </si>
  <si>
    <t>PIC: Rahman</t>
  </si>
  <si>
    <t>0104280845</t>
  </si>
  <si>
    <t>Fakhri Dwi Aditya</t>
  </si>
  <si>
    <t>PIC: Ukhti</t>
  </si>
  <si>
    <t>0119836553</t>
  </si>
  <si>
    <t>Hamdan Januar Wahyudi</t>
  </si>
  <si>
    <t>Ilham Avicenna Elhaq</t>
  </si>
  <si>
    <t>Amira Agni Kayla Raisya</t>
  </si>
  <si>
    <t>0821-2569-702</t>
  </si>
  <si>
    <t>X5</t>
  </si>
  <si>
    <t>0106681807</t>
  </si>
  <si>
    <t>Muhammad Rizqullah Salim Wibowo</t>
  </si>
  <si>
    <t>Joanna Christabel Sihombing</t>
  </si>
  <si>
    <t>0113397264</t>
  </si>
  <si>
    <t>Juria V Erlikasna Tarigan</t>
  </si>
  <si>
    <t>0819-1715-1858</t>
  </si>
  <si>
    <t>Erzan Fauzy Zulkarnaen</t>
  </si>
  <si>
    <t>Kanaya Hasna Nafisa</t>
  </si>
  <si>
    <t>0852-1319-4041</t>
  </si>
  <si>
    <t>Dilla Novianti Putri</t>
  </si>
  <si>
    <t>0113971417</t>
  </si>
  <si>
    <t>Kralice Nihal Nailah</t>
  </si>
  <si>
    <t>0895-3646-30900</t>
  </si>
  <si>
    <t>XII E2</t>
  </si>
  <si>
    <t>Farrel Luthfi Arviansyah</t>
  </si>
  <si>
    <t>0119904380</t>
  </si>
  <si>
    <t>Maher Aqila Raifananda</t>
  </si>
  <si>
    <t>0812-2008-0077</t>
  </si>
  <si>
    <t>0112135345</t>
  </si>
  <si>
    <t>Muhammad Alfarezel</t>
  </si>
  <si>
    <t>Muhammad Royyan</t>
  </si>
  <si>
    <t>0103458514</t>
  </si>
  <si>
    <t>Muhammad Althaf Fadhlan Ramadhan</t>
  </si>
  <si>
    <t xml:space="preserve"> 32 - Kak Ukhti</t>
  </si>
  <si>
    <t>0109506477</t>
  </si>
  <si>
    <t>XII F1</t>
  </si>
  <si>
    <t>Muhammad Azzam Abdillah</t>
  </si>
  <si>
    <t>0112372902</t>
  </si>
  <si>
    <t>Muhammad Irfan Akbar Ibrahim</t>
  </si>
  <si>
    <t>0852-8352-2435</t>
  </si>
  <si>
    <t>0113684513</t>
  </si>
  <si>
    <t>Muhammad Raihan Al Farisi</t>
  </si>
  <si>
    <t>0898-9434-073</t>
  </si>
  <si>
    <t>0119206420</t>
  </si>
  <si>
    <t>Arsyila Kayyisah Biyanto</t>
  </si>
  <si>
    <t>Nadyn Nuria Celestin</t>
  </si>
  <si>
    <t>Randy</t>
  </si>
  <si>
    <t>0858-9169-8465</t>
  </si>
  <si>
    <t>Anindya Zhafira Sani</t>
  </si>
  <si>
    <t>0104291635</t>
  </si>
  <si>
    <t>Nafisa Amirah</t>
  </si>
  <si>
    <t>Ukhti</t>
  </si>
  <si>
    <t>0821-2442-2021</t>
  </si>
  <si>
    <t>0116942372</t>
  </si>
  <si>
    <t>Aurelia Syifa Fiandra</t>
  </si>
  <si>
    <t>Priskila Oktaviani</t>
  </si>
  <si>
    <t>0117503763</t>
  </si>
  <si>
    <t>0856-1727-146</t>
  </si>
  <si>
    <t>Queentha Ruby Cantika Pranajaya</t>
  </si>
  <si>
    <t>Shafa</t>
  </si>
  <si>
    <t>Alumni  28</t>
  </si>
  <si>
    <t>0821-2590-2073</t>
  </si>
  <si>
    <t>Rafka Sarfaraz Aulicha</t>
  </si>
  <si>
    <t>Shanaz Mufida</t>
  </si>
  <si>
    <t>0895-1348-9121</t>
  </si>
  <si>
    <t>0109999008</t>
  </si>
  <si>
    <t>Safeera Lutfah</t>
  </si>
  <si>
    <t>0896-0215-2369</t>
  </si>
  <si>
    <t>0103436834</t>
  </si>
  <si>
    <t>Salsabila Putri Irania</t>
  </si>
  <si>
    <t>0812-9639-8724</t>
  </si>
  <si>
    <t>0119631060</t>
  </si>
  <si>
    <t>Sayyidati Sandara Hasan</t>
  </si>
  <si>
    <t>0815-7494-0724</t>
  </si>
  <si>
    <t>Khaira Rabbani Tsalasa</t>
  </si>
  <si>
    <t>0108371172</t>
  </si>
  <si>
    <t>Shafa Almira Kirani</t>
  </si>
  <si>
    <t>0112838356</t>
  </si>
  <si>
    <t>Syafira Nurhadi Mazaya</t>
  </si>
  <si>
    <t>*Data jumlah mentee yang masuk di CirclePro belum lengkap, masih bisa berubah.</t>
  </si>
  <si>
    <t>0124299894</t>
  </si>
  <si>
    <t>Tiara Fahalia Utami</t>
  </si>
  <si>
    <t>Kirana Aura Azzahra Permana</t>
  </si>
  <si>
    <t>Nur Afni Maisa</t>
  </si>
  <si>
    <t>Tiara Thalita Dzaky</t>
  </si>
  <si>
    <t>KELAS X 4</t>
  </si>
  <si>
    <t xml:space="preserve"> 32 - Kak Shafa</t>
  </si>
  <si>
    <t>Nazwa Mufida</t>
  </si>
  <si>
    <t>Wali Kelas : Nurlaela, S.Si</t>
  </si>
  <si>
    <t>0895-0993-0079</t>
  </si>
  <si>
    <t>CALLYSTA SADIRA RIZQULLAH KHANIZA</t>
  </si>
  <si>
    <t>0821-1487-5544</t>
  </si>
  <si>
    <t>NAURAH KHANSA WIBAWA</t>
  </si>
  <si>
    <t>0112595336</t>
  </si>
  <si>
    <t>Ainun Najwa Oktaviani</t>
  </si>
  <si>
    <t>0898-4232-090</t>
  </si>
  <si>
    <t>0114216661</t>
  </si>
  <si>
    <t>Alkahfi Haidansyah Putra Setyobudi</t>
  </si>
  <si>
    <t>Ariij Arriyad</t>
  </si>
  <si>
    <t>0812-8347-9728</t>
  </si>
  <si>
    <t>0114177370</t>
  </si>
  <si>
    <t>Feyza Alya Mukhbita</t>
  </si>
  <si>
    <t>Angelita Puspita Yuri</t>
  </si>
  <si>
    <t>0104639856</t>
  </si>
  <si>
    <t>0878-1970-0260</t>
  </si>
  <si>
    <t>Catur Bagaskoro Adiwahyono</t>
  </si>
  <si>
    <t>Nayshila Dhiya Adzkia</t>
  </si>
  <si>
    <t>0119729438</t>
  </si>
  <si>
    <t>0896-1420-2946</t>
  </si>
  <si>
    <t>Clarissa Shasqiamecha Nazira</t>
  </si>
  <si>
    <t>Aurel</t>
  </si>
  <si>
    <t>0101829363</t>
  </si>
  <si>
    <t>Devan Rizky Syahbani</t>
  </si>
  <si>
    <t>Faiza</t>
  </si>
  <si>
    <t>0115446581</t>
  </si>
  <si>
    <t>Dicha Cevherli Azarine</t>
  </si>
  <si>
    <t>Sabrina</t>
  </si>
  <si>
    <t>0106034057</t>
  </si>
  <si>
    <t>Faiz Ghany Ilmirizky</t>
  </si>
  <si>
    <t>Adinda Khayla</t>
  </si>
  <si>
    <t>0102374413</t>
  </si>
  <si>
    <t>Faqeysha Intan Maharani</t>
  </si>
  <si>
    <t>Bumi Raffah Al Islahi</t>
  </si>
  <si>
    <t>0113857163</t>
  </si>
  <si>
    <t>Farannissa Ghaniyyah Aisya</t>
  </si>
  <si>
    <t>Vindy Aprilia Khanaya</t>
  </si>
  <si>
    <t>0119230379</t>
  </si>
  <si>
    <t>Fatisha Rayya Sabila</t>
  </si>
  <si>
    <t>Almira Dian Pratiwi</t>
  </si>
  <si>
    <t>0113623546</t>
  </si>
  <si>
    <t>Frananda Vatsa Nusantara</t>
  </si>
  <si>
    <t>Oshe Bilqis Nadhifah</t>
  </si>
  <si>
    <t>0105290815</t>
  </si>
  <si>
    <t>Kevin Tjahyadi</t>
  </si>
  <si>
    <t>0106637967</t>
  </si>
  <si>
    <t>Nadine Kirana Saraswati</t>
  </si>
  <si>
    <t>Kirani Najla Humaira</t>
  </si>
  <si>
    <t>0111970450</t>
  </si>
  <si>
    <t>0852-8020-6248</t>
  </si>
  <si>
    <t>M. Hilman Azhar</t>
  </si>
  <si>
    <t>Fiona Wahidah Salsabila</t>
  </si>
  <si>
    <t>Mifzalwan Afifisam</t>
  </si>
  <si>
    <t>0813-8781-1518</t>
  </si>
  <si>
    <t>0111794759</t>
  </si>
  <si>
    <t>Muhammad Devano Naufal</t>
  </si>
  <si>
    <t>0108266534</t>
  </si>
  <si>
    <t>Muhammad Dharma Wirasena Kholis</t>
  </si>
  <si>
    <t>0115705880</t>
  </si>
  <si>
    <t>Muhammad Ziyad Dalimunthe</t>
  </si>
  <si>
    <t>0114087416</t>
  </si>
  <si>
    <t>Nabhan Atmadika Mohamad</t>
  </si>
  <si>
    <t>0119454773</t>
  </si>
  <si>
    <t>Nabila Anindya Putri Rianni</t>
  </si>
  <si>
    <t>0112865780</t>
  </si>
  <si>
    <t>Naira Dzakirah</t>
  </si>
  <si>
    <t>Najla Regina Khalishah</t>
  </si>
  <si>
    <t>0114094478</t>
  </si>
  <si>
    <t>Najwa</t>
  </si>
  <si>
    <t>Paramitha Adzzahra</t>
  </si>
  <si>
    <t>0108653959</t>
  </si>
  <si>
    <t>Rafan Basunanda</t>
  </si>
  <si>
    <t>0115028033</t>
  </si>
  <si>
    <t>Raisha Safa Anindya</t>
  </si>
  <si>
    <t>0117803577</t>
  </si>
  <si>
    <t>Razqa Farrell Dainendra Gunawan</t>
  </si>
  <si>
    <t>0119835834</t>
  </si>
  <si>
    <t>Reevan Hafiz Ramayuda</t>
  </si>
  <si>
    <t>0115314215</t>
  </si>
  <si>
    <t>Sativa Azzahra</t>
  </si>
  <si>
    <t>0119547728</t>
  </si>
  <si>
    <t>Tasya Riandra</t>
  </si>
  <si>
    <t>0104412906</t>
  </si>
  <si>
    <t>Zahra Fitriani</t>
  </si>
  <si>
    <t>KELAS X 5</t>
  </si>
  <si>
    <t>Wali Kelas : Syamsi  Jawawi Wahyudi, S.Pd.</t>
  </si>
  <si>
    <t>0116371491</t>
  </si>
  <si>
    <t>Adeline Niesha Arumingratri</t>
  </si>
  <si>
    <t>0112685548</t>
  </si>
  <si>
    <t>Aditya Wijaya Kusumo</t>
  </si>
  <si>
    <t>0109080441</t>
  </si>
  <si>
    <t>Ahmad Fausan Saky</t>
  </si>
  <si>
    <t>0103998123</t>
  </si>
  <si>
    <t>Aisyah El Rahmi Widodo</t>
  </si>
  <si>
    <t>Aisyah Wina Calmya</t>
  </si>
  <si>
    <t>0108297847</t>
  </si>
  <si>
    <t>Akmaludin Zidan Al-Firdaus</t>
  </si>
  <si>
    <t>0109935316</t>
  </si>
  <si>
    <t>Almira Mediana Shafa</t>
  </si>
  <si>
    <t>0117889590</t>
  </si>
  <si>
    <t>Aretha Fadillah Ianthe</t>
  </si>
  <si>
    <t>0116623440</t>
  </si>
  <si>
    <t>Aurantiasya Zhaafirah Putri Atmoko</t>
  </si>
  <si>
    <t>0114847950</t>
  </si>
  <si>
    <t>Azkiya Cahaya Mecca</t>
  </si>
  <si>
    <t>0106511427</t>
  </si>
  <si>
    <t>Bondan Ghalin Rayi Awalia</t>
  </si>
  <si>
    <t>0111961836</t>
  </si>
  <si>
    <t>Fatimathu Zahra An-Nurhafizah Mulyadi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</si>
  <si>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</si>
  <si>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0107266931</t>
  </si>
  <si>
    <t>Frans Hisyam Setiawan</t>
  </si>
  <si>
    <t>0105863328</t>
  </si>
  <si>
    <t>Hafshah Rizkya Agustiantie Syahputri</t>
  </si>
  <si>
    <t>0113518031</t>
  </si>
  <si>
    <t>Kaisan Rievasati</t>
  </si>
  <si>
    <t>KELAS XI A</t>
  </si>
  <si>
    <t>Keona Zaahirah Belva</t>
  </si>
  <si>
    <t>0103975504</t>
  </si>
  <si>
    <t>Khanza Aurelia Mus`Ad</t>
  </si>
  <si>
    <t>Wali Kelas : Teguh Satya Pratama, S.Pd.</t>
  </si>
  <si>
    <t>0101022026</t>
  </si>
  <si>
    <t>Lingga Latifa</t>
  </si>
  <si>
    <t>NISN / NIS</t>
  </si>
  <si>
    <t>L / P</t>
  </si>
  <si>
    <t>0091825991 / 252610009</t>
  </si>
  <si>
    <t>0117065025</t>
  </si>
  <si>
    <t>Mikael Raka Armando Wijaya</t>
  </si>
  <si>
    <t>Adi Pati Jaya Prana</t>
  </si>
  <si>
    <t>0116760194</t>
  </si>
  <si>
    <t>Muhamad Dimas Lukmanul H</t>
  </si>
  <si>
    <t>0105770130 / 252610021</t>
  </si>
  <si>
    <t>Aik Novitasari</t>
  </si>
  <si>
    <t>0117341502</t>
  </si>
  <si>
    <t>Muhammad Afif Kaysan</t>
  </si>
  <si>
    <t>0116554161</t>
  </si>
  <si>
    <t>Muhammad Kenzie Alfarizqi</t>
  </si>
  <si>
    <t>0099540724 / 252610022</t>
  </si>
  <si>
    <t>0115125224</t>
  </si>
  <si>
    <t>Muhammad Miftah Najati</t>
  </si>
  <si>
    <t>0084218795 / 242510016</t>
  </si>
  <si>
    <t>Aisyah Nara Purusa Ningsa</t>
  </si>
  <si>
    <t>0107055406 / 252610032</t>
  </si>
  <si>
    <t>Akram Mubarak</t>
  </si>
  <si>
    <t>0119646271</t>
  </si>
  <si>
    <t>Muhammad Nasrul Arif</t>
  </si>
  <si>
    <t>0101349114</t>
  </si>
  <si>
    <t>Novie Majaya Mufliha</t>
  </si>
  <si>
    <t>0102387971 / 252610059</t>
  </si>
  <si>
    <t>Ananda Bari Al Kausar</t>
  </si>
  <si>
    <t>0106530396</t>
  </si>
  <si>
    <t>Putri Alvina Angraeni</t>
  </si>
  <si>
    <t>0099339799 / 252610060</t>
  </si>
  <si>
    <t>0111422260</t>
  </si>
  <si>
    <t>Anas Legawa Riyadi</t>
  </si>
  <si>
    <t>Raden Raditya Nararya Muharam</t>
  </si>
  <si>
    <t>0115769595</t>
  </si>
  <si>
    <t>Ruby Assyifa Gambaru</t>
  </si>
  <si>
    <t>0098221239 / 252610079</t>
  </si>
  <si>
    <t>Arman Firmansyah</t>
  </si>
  <si>
    <t>0105167574</t>
  </si>
  <si>
    <t>Sayyaf Asy Syadad</t>
  </si>
  <si>
    <t>0101396555 / 252610080</t>
  </si>
  <si>
    <t>0117962502</t>
  </si>
  <si>
    <t>Arsyad Khaerul Izzan</t>
  </si>
  <si>
    <t>Shafira Nisa Maulidya</t>
  </si>
  <si>
    <t>0104963324</t>
  </si>
  <si>
    <t>Sultan Raffi Al Munawar Berutu</t>
  </si>
  <si>
    <t>0102307654 / 252610097</t>
  </si>
  <si>
    <t>Aulia Cinta Divia</t>
  </si>
  <si>
    <t>0117518330</t>
  </si>
  <si>
    <t>Zhafira Azzahra Ramadhani</t>
  </si>
  <si>
    <t>0095522157 / 252610155</t>
  </si>
  <si>
    <t>Dhefa Raditya Putra</t>
  </si>
  <si>
    <t>0105616025 / 252610169</t>
  </si>
  <si>
    <t>Dindin Andini Suryaman</t>
  </si>
  <si>
    <t>0096744611 / 252610176</t>
  </si>
  <si>
    <t>Egi Surjana</t>
  </si>
  <si>
    <t>0091524155 / 252610179</t>
  </si>
  <si>
    <t>Elgiva Damara Sanchia</t>
  </si>
  <si>
    <t>0104532267 / 252610180</t>
  </si>
  <si>
    <t>Elvio Dyahyu Yusanto</t>
  </si>
  <si>
    <t>KELAS X 6</t>
  </si>
  <si>
    <t>0097593921 / 252610181</t>
  </si>
  <si>
    <t>Enisye Putri Zeliawati Limpong</t>
  </si>
  <si>
    <t>Wali Kelas : Ichsan,S.Pd.</t>
  </si>
  <si>
    <t>0099535255 / 252610212</t>
  </si>
  <si>
    <t>Fitri Rahmawati</t>
  </si>
  <si>
    <t>0105177881</t>
  </si>
  <si>
    <t>0107948623 / 252610227</t>
  </si>
  <si>
    <t>Ahmad Rayyan Al Ammar</t>
  </si>
  <si>
    <t>Hasfa Zulfana Nahdah</t>
  </si>
  <si>
    <t>0109171047</t>
  </si>
  <si>
    <t>Aishifa Raina</t>
  </si>
  <si>
    <t>0095064549 / 252610230</t>
  </si>
  <si>
    <t>Hilmi Ardhana Fuady</t>
  </si>
  <si>
    <t>0104616924</t>
  </si>
  <si>
    <t>Almira Aqila</t>
  </si>
  <si>
    <t>0109031862</t>
  </si>
  <si>
    <t>0104595564 / 252610233</t>
  </si>
  <si>
    <t>Anditiansya Verlandi Al Faruq</t>
  </si>
  <si>
    <t>Inaya Janeeta</t>
  </si>
  <si>
    <t>0114761714</t>
  </si>
  <si>
    <t>Aqila Dama Syakira Gusna</t>
  </si>
  <si>
    <t>0104767807 / 252610237</t>
  </si>
  <si>
    <t>Jaenal Ikhwan</t>
  </si>
  <si>
    <t>0104813589</t>
  </si>
  <si>
    <t>Aqilah Noor Ramadhani</t>
  </si>
  <si>
    <t>0107976156</t>
  </si>
  <si>
    <t>Areinta Reisha Anandra Putra</t>
  </si>
  <si>
    <t>0096544983 / 252610268</t>
  </si>
  <si>
    <t>Keisya Andhita Kirana Putri</t>
  </si>
  <si>
    <t>0118185381</t>
  </si>
  <si>
    <t>Baruno Ahnaf Lusnia Aji</t>
  </si>
  <si>
    <t>0109421556</t>
  </si>
  <si>
    <t>0098772505 / 252610274</t>
  </si>
  <si>
    <t>Bintang Sujana</t>
  </si>
  <si>
    <t>Keynia Louis Cristin Harianja</t>
  </si>
  <si>
    <t>0114469690</t>
  </si>
  <si>
    <t>Dasha Zhafirah Pamuktisandi Himawan</t>
  </si>
  <si>
    <t>0107095977 / 252610276</t>
  </si>
  <si>
    <t>Khairani Asri Utami</t>
  </si>
  <si>
    <t>0105587505</t>
  </si>
  <si>
    <t>Dayana Batricia Wildan</t>
  </si>
  <si>
    <t>0113289455</t>
  </si>
  <si>
    <t>Dicka Surya Anugrah</t>
  </si>
  <si>
    <t>0102208567 / 252610283</t>
  </si>
  <si>
    <t>Khanza Aprillia Risyadi</t>
  </si>
  <si>
    <t>0112204265</t>
  </si>
  <si>
    <t>Dinda Aulia Kasih</t>
  </si>
  <si>
    <t>0092212305 / 252610293</t>
  </si>
  <si>
    <t>0112599106</t>
  </si>
  <si>
    <t>Fadlina Nurizma Rahmania</t>
  </si>
  <si>
    <t>0102171522</t>
  </si>
  <si>
    <t>Faith Abbasy Yaqdhan Osman</t>
  </si>
  <si>
    <t>0102015407 / 252610294</t>
  </si>
  <si>
    <t>Lutfi Dwi Melati</t>
  </si>
  <si>
    <t>0103086131</t>
  </si>
  <si>
    <t>Hana Mahira Aziz</t>
  </si>
  <si>
    <t>Ibrahim Al Haraqi</t>
  </si>
  <si>
    <t>0119104898</t>
  </si>
  <si>
    <t>Indra Setyo Hartono</t>
  </si>
  <si>
    <t>0103035193 / 252610298</t>
  </si>
  <si>
    <t>Maheswara Pekik Hanuraga</t>
  </si>
  <si>
    <t>0106875225</t>
  </si>
  <si>
    <t>Junius Kevin Lumbantoruan</t>
  </si>
  <si>
    <t>0103468589 / 252610300</t>
  </si>
  <si>
    <t>0115739800</t>
  </si>
  <si>
    <t>Manar Abbas Bawazir</t>
  </si>
  <si>
    <t>Kavin Nurrahman Hakim</t>
  </si>
  <si>
    <t>0118667158</t>
  </si>
  <si>
    <t>Khansa Ardella Zhafir</t>
  </si>
  <si>
    <t>0092576905 / 252610302</t>
  </si>
  <si>
    <t>Mardiansyah Isman</t>
  </si>
  <si>
    <t>0112466289</t>
  </si>
  <si>
    <t>Lintang Abhinaya Elfatih</t>
  </si>
  <si>
    <t>0109522386 / 252610308</t>
  </si>
  <si>
    <t>Mawar Aprilliana</t>
  </si>
  <si>
    <t>0107878014</t>
  </si>
  <si>
    <t>Mikhael Octorres Sianipar</t>
  </si>
  <si>
    <t>0101298893</t>
  </si>
  <si>
    <t>Muhammad Hauzan Irhab Nabil</t>
  </si>
  <si>
    <t>0098516941 / 252610327</t>
  </si>
  <si>
    <t>Muhamad Raihan Rizqullah</t>
  </si>
  <si>
    <t>0102179262</t>
  </si>
  <si>
    <t>Najla Muthia Nafi`Ah</t>
  </si>
  <si>
    <t>0092600602 / 252610330</t>
  </si>
  <si>
    <t>Muhamad Septian Romadhon</t>
  </si>
  <si>
    <t>0093126257 / 252610343</t>
  </si>
  <si>
    <t>Muhammad Chaerudin Ramdhani</t>
  </si>
  <si>
    <t>0104799894</t>
  </si>
  <si>
    <t>Queeneta Ayra Paramitha</t>
  </si>
  <si>
    <t>3105173369 / 252610378</t>
  </si>
  <si>
    <t>3109348901 / 252610395</t>
  </si>
  <si>
    <t>Namira Nur Azkia</t>
  </si>
  <si>
    <t>0105109705</t>
  </si>
  <si>
    <t>Queenissa Anindya Septiana</t>
  </si>
  <si>
    <t>0111429011</t>
  </si>
  <si>
    <t>0092020564 / 252610449</t>
  </si>
  <si>
    <t>Raasyid Zhariif Santoso</t>
  </si>
  <si>
    <t>Shine Candlesioni Laoli</t>
  </si>
  <si>
    <t>0116766574</t>
  </si>
  <si>
    <t>Sinta Adzra Putri Aurora</t>
  </si>
  <si>
    <t>0097831413 / 252610462</t>
  </si>
  <si>
    <t>Rahmania Azahra</t>
  </si>
  <si>
    <t>0109477263</t>
  </si>
  <si>
    <t>0108390462 / 252610472</t>
  </si>
  <si>
    <t>Randy Adiya Pratama Kouw</t>
  </si>
  <si>
    <t>Syarahil Ashidqi</t>
  </si>
  <si>
    <t>0108451246 / 252610483</t>
  </si>
  <si>
    <t>Reni Apriliani</t>
  </si>
  <si>
    <t>0118982533</t>
  </si>
  <si>
    <t>0108540094 / 252610509</t>
  </si>
  <si>
    <t>Vania Putri Silvia</t>
  </si>
  <si>
    <t>Salsha Aulia Akbar</t>
  </si>
  <si>
    <t>0112130345</t>
  </si>
  <si>
    <t>Zikri Ramadhan</t>
  </si>
  <si>
    <t>3096600612 / 252610517</t>
  </si>
  <si>
    <t>Shalomieta Aira Kinaya</t>
  </si>
  <si>
    <t>0108718382 / 252610521</t>
  </si>
  <si>
    <t>Silvya Sri Aprilianti</t>
  </si>
  <si>
    <t>0094680852 / 252610537</t>
  </si>
  <si>
    <t>Syauqi Anandya Putri</t>
  </si>
  <si>
    <t>0107258754 / 252610551</t>
  </si>
  <si>
    <t>Vilvizeeya Hazira Kurnia</t>
  </si>
  <si>
    <t>0094438921 / 252610558</t>
  </si>
  <si>
    <t>Yuzusie Aida Nenat</t>
  </si>
  <si>
    <t>KELAS X 7</t>
  </si>
  <si>
    <t>0108505453 / 252610566</t>
  </si>
  <si>
    <t>Zhafirah Dwi Fauziah</t>
  </si>
  <si>
    <t>Wali Kelas : Dini Nurhasanah, S.Pd</t>
  </si>
  <si>
    <t>Laki - laki</t>
  </si>
  <si>
    <t>0101873436</t>
  </si>
  <si>
    <t>Adam Garcia Evres Todo</t>
  </si>
  <si>
    <t>0105883723</t>
  </si>
  <si>
    <t>Afiyah Nur Ghaida</t>
  </si>
  <si>
    <t>0104058857</t>
  </si>
  <si>
    <t>Agri Manullang</t>
  </si>
  <si>
    <t>0107311613</t>
  </si>
  <si>
    <t>Aisyah Fitrianisa</t>
  </si>
  <si>
    <t>0119704959</t>
  </si>
  <si>
    <t>Aisyah Nur Romadhoni</t>
  </si>
  <si>
    <t>0109522110</t>
  </si>
  <si>
    <t>Akira Wicaksana</t>
  </si>
  <si>
    <t>0113673227</t>
  </si>
  <si>
    <t>Annisa Fatihah Zhafira</t>
  </si>
  <si>
    <t>0114220072</t>
  </si>
  <si>
    <t>Darrich Eleazar Napitupulu</t>
  </si>
  <si>
    <t>KELAS XI B1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</si>
  <si>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</si>
  <si>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0118383339</t>
  </si>
  <si>
    <t>Fadlan Kharizma Rahman</t>
  </si>
  <si>
    <t>0111111191</t>
  </si>
  <si>
    <t>Fauzan Putra Dafuni</t>
  </si>
  <si>
    <t>Wali Kelas : Hj. Srie Endang Wigati, M.Pd</t>
  </si>
  <si>
    <t>KELAS XII A1</t>
  </si>
  <si>
    <t>Hafiz Alfathdry</t>
  </si>
  <si>
    <t>Wali Kelas : Wawan Kurniawan, S.Sos</t>
  </si>
  <si>
    <t>0115697688</t>
  </si>
  <si>
    <t>Hakam Umar Abdillah</t>
  </si>
  <si>
    <t>0106941398</t>
  </si>
  <si>
    <t>Khalishah Delia Zahara</t>
  </si>
  <si>
    <t>0082590495 / 242510008</t>
  </si>
  <si>
    <t>0105134185</t>
  </si>
  <si>
    <t>Khoiri Bisma Fa`Iki</t>
  </si>
  <si>
    <t>Agil Umar</t>
  </si>
  <si>
    <t>0096128036 / 252610020</t>
  </si>
  <si>
    <t>Ahmad Husein Al Latief</t>
  </si>
  <si>
    <t>0097313548 / 242510011</t>
  </si>
  <si>
    <t>Ahmad Riyad Sugiarto</t>
  </si>
  <si>
    <t>0115501881</t>
  </si>
  <si>
    <t>Maureen Chiara Estelle Ferdinandus</t>
  </si>
  <si>
    <t>0094510551 / 242510025</t>
  </si>
  <si>
    <t>Alifah Khairani Sawaludin</t>
  </si>
  <si>
    <t>0087298416 / 242510031</t>
  </si>
  <si>
    <t>Almira Tungga Dewi</t>
  </si>
  <si>
    <t>Meilita Akila Prabawaningrum</t>
  </si>
  <si>
    <t>3096764634 / 252610025</t>
  </si>
  <si>
    <t>Aira Kirana</t>
  </si>
  <si>
    <t>0115434832</t>
  </si>
  <si>
    <t>Muhammad Zhafran Putra Romli</t>
  </si>
  <si>
    <t>0095546511 / 242510069</t>
  </si>
  <si>
    <t>Aulya Mawal Juniar</t>
  </si>
  <si>
    <t>0087811342 / 252610038</t>
  </si>
  <si>
    <t>0107560609</t>
  </si>
  <si>
    <t>Alfian Chaniago</t>
  </si>
  <si>
    <t>Naquiddin Izur Felhan Khuzairil Zakwan</t>
  </si>
  <si>
    <t>3086190678 / 242510079</t>
  </si>
  <si>
    <t>Bagaskara Arya Perkasa</t>
  </si>
  <si>
    <t>0115206600</t>
  </si>
  <si>
    <t>Naura Chalisa Qiani Soehardi</t>
  </si>
  <si>
    <t>3093210071 / 252610042</t>
  </si>
  <si>
    <t>Alisa Putri</t>
  </si>
  <si>
    <t>0107163370 / 242510095</t>
  </si>
  <si>
    <t>Chiara Nanda Setiyo Fazria</t>
  </si>
  <si>
    <t>0101800920</t>
  </si>
  <si>
    <t>Nayla Putri</t>
  </si>
  <si>
    <t>0094347087 / 252610044</t>
  </si>
  <si>
    <t>Aliya Trianzani Putri</t>
  </si>
  <si>
    <t>3092678408 / 242510108</t>
  </si>
  <si>
    <t>0104189485</t>
  </si>
  <si>
    <t>Devin Anandya Syuja</t>
  </si>
  <si>
    <t>Novarina Manalu</t>
  </si>
  <si>
    <t>0104825356 / 252610057</t>
  </si>
  <si>
    <t>Amirah Khalishah Somoal</t>
  </si>
  <si>
    <t>0107916361</t>
  </si>
  <si>
    <t>Queensha Ayu Afifa</t>
  </si>
  <si>
    <t>0095504110 / 242510111</t>
  </si>
  <si>
    <t>Diaz Pradana Putra</t>
  </si>
  <si>
    <t>0111415891</t>
  </si>
  <si>
    <t>Raffasha Keenan Hidayattullah</t>
  </si>
  <si>
    <t>3081717964 / 242510114</t>
  </si>
  <si>
    <t>0104668456 / 252610061</t>
  </si>
  <si>
    <t>Disha Ramanda Putra</t>
  </si>
  <si>
    <t>Andagita Vilnaira Atha</t>
  </si>
  <si>
    <t>0083076557 / 242510116</t>
  </si>
  <si>
    <t>Donita Aulia Ramadhani</t>
  </si>
  <si>
    <t>0111387316</t>
  </si>
  <si>
    <t>Raissa Kirana Nur Astuti</t>
  </si>
  <si>
    <t>3108667209 / 252610070</t>
  </si>
  <si>
    <t>Aqeela Az Zahra</t>
  </si>
  <si>
    <t>0093137843 / 242510126</t>
  </si>
  <si>
    <t>Evania Sarah Ilmira</t>
  </si>
  <si>
    <t>0106376916 / 252610090</t>
  </si>
  <si>
    <t>Atharrayhan Abimanyu Pratama</t>
  </si>
  <si>
    <t>0113365005</t>
  </si>
  <si>
    <t>Rania Zeta Asrafizaina</t>
  </si>
  <si>
    <t>3090828690 / 242510159</t>
  </si>
  <si>
    <t>Hanan Dzul Hilmi</t>
  </si>
  <si>
    <t>0093343311 / 252610092</t>
  </si>
  <si>
    <t>Attar Palestine Taha</t>
  </si>
  <si>
    <t>0114340920</t>
  </si>
  <si>
    <t>Revano Hose Yalio Gultom</t>
  </si>
  <si>
    <t>0088101729 / 242510173</t>
  </si>
  <si>
    <t>Irsyad Abrian Al-Warid</t>
  </si>
  <si>
    <t>0104895570 / 252610099</t>
  </si>
  <si>
    <t>Aura Nabilah Zahirah</t>
  </si>
  <si>
    <t>0099940887 / 242510183</t>
  </si>
  <si>
    <t>Kamiila Putri Khairunnisa</t>
  </si>
  <si>
    <t>2099366441 / 252610106</t>
  </si>
  <si>
    <t>Ayi Artadinata</t>
  </si>
  <si>
    <t>0114799462</t>
  </si>
  <si>
    <t>Selsha Tities Dewantie</t>
  </si>
  <si>
    <t>0103193565 / 252610116</t>
  </si>
  <si>
    <t>0096213576 / 242510188</t>
  </si>
  <si>
    <t>Keisha Edsel Darmawan</t>
  </si>
  <si>
    <t>0116605435</t>
  </si>
  <si>
    <t>Shameel Ahmad Hanan</t>
  </si>
  <si>
    <t>0114251540</t>
  </si>
  <si>
    <t>0091012038 / 242510189</t>
  </si>
  <si>
    <t>Talita Sakhinaiah Putri Balya</t>
  </si>
  <si>
    <t>Keisha Juan</t>
  </si>
  <si>
    <t>0097202517 / 242510201</t>
  </si>
  <si>
    <t>Khansa Makaila Kayyasah</t>
  </si>
  <si>
    <t>0117625038</t>
  </si>
  <si>
    <t>Umma Malika</t>
  </si>
  <si>
    <t>0108974038 / 252610117</t>
  </si>
  <si>
    <t>0098256549 / 242510206</t>
  </si>
  <si>
    <t>Balqis Luthfiyah Zahra</t>
  </si>
  <si>
    <t>0093623036 / 242510208</t>
  </si>
  <si>
    <t>Kirani Aira Salsabila Permana</t>
  </si>
  <si>
    <t>0103113090</t>
  </si>
  <si>
    <t>Zesky Abdillah Trisnanto</t>
  </si>
  <si>
    <t>0096174502 / 252610118</t>
  </si>
  <si>
    <t>0083667654 / 242510209</t>
  </si>
  <si>
    <t>Belinda Angelica</t>
  </si>
  <si>
    <t>Kireina Zahra Yasmaini</t>
  </si>
  <si>
    <t>3083447726 / 242510257</t>
  </si>
  <si>
    <t>Muhammad Dzaky</t>
  </si>
  <si>
    <t>0105730256</t>
  </si>
  <si>
    <t>0104799326 / 252610134</t>
  </si>
  <si>
    <t>Zevana Leticha Sinulingga</t>
  </si>
  <si>
    <t>0098849381 / 242510281</t>
  </si>
  <si>
    <t>Chempaka Balqist Zavira Mentary Misman</t>
  </si>
  <si>
    <t>Muhammad Zaki Arrahman</t>
  </si>
  <si>
    <t>0097736512 / 242510291</t>
  </si>
  <si>
    <t>Nailatul Ullya</t>
  </si>
  <si>
    <t>0102239764 / 252610140</t>
  </si>
  <si>
    <t>Clara Dwi Cahya</t>
  </si>
  <si>
    <t>0083833819 / 242510323</t>
  </si>
  <si>
    <t>Qatrun Nada Tannaqi</t>
  </si>
  <si>
    <t>0099286083 / 252610157</t>
  </si>
  <si>
    <t>Dhia Salsabila</t>
  </si>
  <si>
    <t>0094989387 / 242510325</t>
  </si>
  <si>
    <t>Queensha Anjani Sudrajat</t>
  </si>
  <si>
    <t>0093281671 / 252610159</t>
  </si>
  <si>
    <t>Diajeng Inggil Lintang Aulia</t>
  </si>
  <si>
    <t>0091033788 / 242510336</t>
  </si>
  <si>
    <t>Raihanna Zahra Aqilah</t>
  </si>
  <si>
    <t>3105062394 / 252610166</t>
  </si>
  <si>
    <t>3098805753 / 242510342</t>
  </si>
  <si>
    <t>Rania Salsabila</t>
  </si>
  <si>
    <t>0092679798 / 252610239</t>
  </si>
  <si>
    <t>0092827580 / 242510388</t>
  </si>
  <si>
    <t>Syahrena Pita Pinasih</t>
  </si>
  <si>
    <t>Jasmine Zahira Ramadhani</t>
  </si>
  <si>
    <t>0083624999 / 242510402</t>
  </si>
  <si>
    <t>Tristan Muhammad Jibril</t>
  </si>
  <si>
    <t>KELAS X 8</t>
  </si>
  <si>
    <t>0084290235 / 242510406</t>
  </si>
  <si>
    <t>Valeta Febiola Irmadani</t>
  </si>
  <si>
    <t>0106443881 / 252610247</t>
  </si>
  <si>
    <t>Jihan Fauziyyah Latifah</t>
  </si>
  <si>
    <t>0093286737 / 242510414</t>
  </si>
  <si>
    <t>Winda Maharani</t>
  </si>
  <si>
    <t>Wali Kelas : Muhamad, S.Pd.</t>
  </si>
  <si>
    <t>0091061057 / 242510416</t>
  </si>
  <si>
    <t>Wintang Hikmah Kusuma Dewi</t>
  </si>
  <si>
    <t>0101976221 / 252610265</t>
  </si>
  <si>
    <t>0095163025 / 242510426</t>
  </si>
  <si>
    <t>Zasqia Aulia Putri</t>
  </si>
  <si>
    <t>0082747470 / 242510430</t>
  </si>
  <si>
    <t>Zhalida Daumixy Mora Siregar</t>
  </si>
  <si>
    <t>0105924759</t>
  </si>
  <si>
    <t>Aisyah Dyani Eka Safitri</t>
  </si>
  <si>
    <t>3091107524 / 252610267</t>
  </si>
  <si>
    <t>Keisha Nurazizah</t>
  </si>
  <si>
    <t>0085011294 / 242510432</t>
  </si>
  <si>
    <t>Zulfa Laila Mashurah</t>
  </si>
  <si>
    <t>0105911437</t>
  </si>
  <si>
    <t>Alvin Arindya Raffa</t>
  </si>
  <si>
    <t>0097372379 / 252610289</t>
  </si>
  <si>
    <t>Linggara Anugrah</t>
  </si>
  <si>
    <t>0104349189</t>
  </si>
  <si>
    <t>Anna Andira Syarifah</t>
  </si>
  <si>
    <t>Ardiman Khiar Anindya Turmudi</t>
  </si>
  <si>
    <t>0102160006 / 252610314</t>
  </si>
  <si>
    <t>0099772945 / 252610324</t>
  </si>
  <si>
    <t>Laki-Laki</t>
  </si>
  <si>
    <t>0113882056</t>
  </si>
  <si>
    <t>Arka Pradipa Atmaja</t>
  </si>
  <si>
    <t>0096882416 / 252610372</t>
  </si>
  <si>
    <t>Muhammad Sayyid Amjad</t>
  </si>
  <si>
    <t>0113062878</t>
  </si>
  <si>
    <t>Ayman Nazhif Suryanegara</t>
  </si>
  <si>
    <t>0105755550 / 252610383</t>
  </si>
  <si>
    <t>Myiesha Lunar Wisesa Putri</t>
  </si>
  <si>
    <t>0107479011</t>
  </si>
  <si>
    <t>Dhea Fitri Rahmadani</t>
  </si>
  <si>
    <t>KELAS XII A2</t>
  </si>
  <si>
    <t>0106828126 / 252610389</t>
  </si>
  <si>
    <t>Nadila Safira</t>
  </si>
  <si>
    <t>Wali Kelas : Rahmalia Dewi, S.Si</t>
  </si>
  <si>
    <t>0119917020</t>
  </si>
  <si>
    <t>Fahra Aqil Sarmilah</t>
  </si>
  <si>
    <t>0102898760 / 252610411</t>
  </si>
  <si>
    <t>0118280047</t>
  </si>
  <si>
    <t>Naywa Dinda Kansana Lubis</t>
  </si>
  <si>
    <t>0092385645 / 242510005</t>
  </si>
  <si>
    <t>Fahry Budiman</t>
  </si>
  <si>
    <t>0116782909</t>
  </si>
  <si>
    <t>0083638898 / 242510007</t>
  </si>
  <si>
    <t>Aditya Narayan</t>
  </si>
  <si>
    <t>Faiza Fahima Khafid</t>
  </si>
  <si>
    <t>0095193509 / 252610421</t>
  </si>
  <si>
    <t>Ni'Matul Aulia Ningtyas</t>
  </si>
  <si>
    <t>0083581318 / 242510018</t>
  </si>
  <si>
    <t>0118199197</t>
  </si>
  <si>
    <t>Aisyah Syuja Larasati Sigit</t>
  </si>
  <si>
    <t>Faizandra Yudhistira Kembaren</t>
  </si>
  <si>
    <t>0086733881 / 242510028</t>
  </si>
  <si>
    <t>Alma Destianti</t>
  </si>
  <si>
    <t>0093105045 / 252610424</t>
  </si>
  <si>
    <t>0112759798</t>
  </si>
  <si>
    <t>Nur Alifah Silvia</t>
  </si>
  <si>
    <t>Grania Kirey Monanda</t>
  </si>
  <si>
    <t>0098621054 / 242510037</t>
  </si>
  <si>
    <t>Alya Mukhbita Hendriana</t>
  </si>
  <si>
    <t>0092707821 / 242510046</t>
  </si>
  <si>
    <t>Anindita Naranisa Jati</t>
  </si>
  <si>
    <t>Hanun Najah Muthi`A Khansa</t>
  </si>
  <si>
    <t>3099045754 / 252610427</t>
  </si>
  <si>
    <t>Nurul Aulia Ramadhani</t>
  </si>
  <si>
    <t>0083016159 / 242510052</t>
  </si>
  <si>
    <t>0107551863</t>
  </si>
  <si>
    <t>Hardiana Diah Ayu Fatmawati</t>
  </si>
  <si>
    <t>0083641645 / 242510064</t>
  </si>
  <si>
    <t>Atma Pertiwi</t>
  </si>
  <si>
    <t>0102495325 / 252610431</t>
  </si>
  <si>
    <t>Oryza Angelina Sitohang</t>
  </si>
  <si>
    <t>Haura Binti Jayadi Hasan</t>
  </si>
  <si>
    <t>0093262366 / 242510104</t>
  </si>
  <si>
    <t>Deivar Brimantara</t>
  </si>
  <si>
    <t>0096851574 / 242510117</t>
  </si>
  <si>
    <t>Dzakia Fitri</t>
  </si>
  <si>
    <t>0114926678</t>
  </si>
  <si>
    <t>0101902217 / 252610460</t>
  </si>
  <si>
    <t>Javas Syandana Nararya Rizki Leputra</t>
  </si>
  <si>
    <t>Rahardian Muhamad Abisiena Koswara</t>
  </si>
  <si>
    <t>0092622229 / 242510129</t>
  </si>
  <si>
    <t>Fadhilah Dwi Sabrina Nugrahaning Putri</t>
  </si>
  <si>
    <t>0117918571</t>
  </si>
  <si>
    <t>Kanaya Zivara Aulia</t>
  </si>
  <si>
    <t>0081916428 / 242510141</t>
  </si>
  <si>
    <t>Fellysia Oktafia Fernanda</t>
  </si>
  <si>
    <t>0093623051 / 252610479</t>
  </si>
  <si>
    <t>Rayyan Wahyu Ramadhan</t>
  </si>
  <si>
    <t>0102089823</t>
  </si>
  <si>
    <t>Kirania Larasati Putri Utomo</t>
  </si>
  <si>
    <t>0095691756 / 242510144</t>
  </si>
  <si>
    <t>Fiquita Napu</t>
  </si>
  <si>
    <t>0103834584</t>
  </si>
  <si>
    <t>0082539116 / 242510153</t>
  </si>
  <si>
    <t>Glenn Hubert Jonathan Haholongan Simanungkalit</t>
  </si>
  <si>
    <t>Muhammad Takeo Gazin Syafaatulloh</t>
  </si>
  <si>
    <t>0092731928 / 252610497</t>
  </si>
  <si>
    <t>Rusvi Putri Ingguan</t>
  </si>
  <si>
    <t>0099310873 / 242510160</t>
  </si>
  <si>
    <t>Hanif Aulia Rifqy</t>
  </si>
  <si>
    <t>0115246657</t>
  </si>
  <si>
    <t>Nail Mutawalli</t>
  </si>
  <si>
    <t>0099954531 / 242510162</t>
  </si>
  <si>
    <t>Haykal Wisnu Bayu Wiemanji</t>
  </si>
  <si>
    <t>0107265003</t>
  </si>
  <si>
    <t>0102698949 / 252610505</t>
  </si>
  <si>
    <t>Najmina Hasan</t>
  </si>
  <si>
    <t>Salsa Kirana Putri</t>
  </si>
  <si>
    <t>0094260903 / 242510227</t>
  </si>
  <si>
    <t>Maulida Az Zahra Nurrayani</t>
  </si>
  <si>
    <t>0111368217</t>
  </si>
  <si>
    <t>0089204896 / 242510238</t>
  </si>
  <si>
    <t>Quinsha Khairunnisa Putri</t>
  </si>
  <si>
    <t>Moehamad Putra Aulia</t>
  </si>
  <si>
    <t>0107182326 / 252610511</t>
  </si>
  <si>
    <t>Sekar Raynaningrum</t>
  </si>
  <si>
    <t>0091447390 / 242510261</t>
  </si>
  <si>
    <t>0105280545</t>
  </si>
  <si>
    <t>Rangga Sakha Nugraha</t>
  </si>
  <si>
    <t>0107731505 / 252610512</t>
  </si>
  <si>
    <t>3092211203 / 242510274</t>
  </si>
  <si>
    <t>Shabira Andiani</t>
  </si>
  <si>
    <t>Muhammad Rizki Salim</t>
  </si>
  <si>
    <t>0109415738</t>
  </si>
  <si>
    <t>Rava Alun Sulaeman</t>
  </si>
  <si>
    <t>0107936085 / 252610525</t>
  </si>
  <si>
    <t>0095657800 / 242510283</t>
  </si>
  <si>
    <t>Sultan Reynard Sabdadika</t>
  </si>
  <si>
    <t>Muthia Jasmine Muthmainnah</t>
  </si>
  <si>
    <t>0103041340</t>
  </si>
  <si>
    <t>Rifqie Farzani</t>
  </si>
  <si>
    <t>0099775444 / 252610526</t>
  </si>
  <si>
    <t>0082650076 / 242510304</t>
  </si>
  <si>
    <t>Ni Made Najela</t>
  </si>
  <si>
    <t>0102783442</t>
  </si>
  <si>
    <t>Rifqy Ahmad Fauzan</t>
  </si>
  <si>
    <t>0095420383 / 242510306</t>
  </si>
  <si>
    <t>Niken Zahrothul Sita</t>
  </si>
  <si>
    <t>0101659072 / 252610531</t>
  </si>
  <si>
    <t>Syahla Salsabila Ramdani</t>
  </si>
  <si>
    <t>0104908719</t>
  </si>
  <si>
    <t>Rindy Azizah Pramudya</t>
  </si>
  <si>
    <t>3097669813 / 242510308</t>
  </si>
  <si>
    <t>0113488666</t>
  </si>
  <si>
    <t>0094714082 / 252610533</t>
  </si>
  <si>
    <t>Shafiyyurrahman Hafiizh Novihamzah</t>
  </si>
  <si>
    <t>0086704012 / 242510310</t>
  </si>
  <si>
    <t>Syahwa Fatmah</t>
  </si>
  <si>
    <t>Nurisya Aulia Shabiira</t>
  </si>
  <si>
    <t>0105717177 / 252610545</t>
  </si>
  <si>
    <t>Tiara Zenobia Nafisa</t>
  </si>
  <si>
    <t>0108152067</t>
  </si>
  <si>
    <t>Sran Sekar Melati Indhiranova</t>
  </si>
  <si>
    <t>0109499801 / 252610559</t>
  </si>
  <si>
    <t>Zafira Salsa Haniah</t>
  </si>
  <si>
    <t>0095788052 / 242510329</t>
  </si>
  <si>
    <t>Rachmat Saidi Koes Mulyana</t>
  </si>
  <si>
    <t>0119973703</t>
  </si>
  <si>
    <t>0094946777 / 242510338</t>
  </si>
  <si>
    <t>Raissa Zahra Hidayat</t>
  </si>
  <si>
    <t>Syifa Nazla Handayani</t>
  </si>
  <si>
    <t>0097830870 / 242510354</t>
  </si>
  <si>
    <t>LAKI - LAKI</t>
  </si>
  <si>
    <t>Rizieq Zidan Rizal</t>
  </si>
  <si>
    <t>0117288295</t>
  </si>
  <si>
    <t>Tristan Satya Nugraha</t>
  </si>
  <si>
    <t>0092343794 / 242510355</t>
  </si>
  <si>
    <t>Rizka Rana Naila</t>
  </si>
  <si>
    <t>0095556013 / 242510366</t>
  </si>
  <si>
    <t>Salsabila Maulani</t>
  </si>
  <si>
    <t>PEREMPUAN</t>
  </si>
  <si>
    <t>Wafie Anisa Aziz</t>
  </si>
  <si>
    <t>0094079262 / 242510374</t>
  </si>
  <si>
    <t>Santika Febyanti</t>
  </si>
  <si>
    <t>0072787144 / 242510377</t>
  </si>
  <si>
    <t>Savira Oktavia Prasetyo</t>
  </si>
  <si>
    <t>0096304229 / 242510387</t>
  </si>
  <si>
    <t>Syadien Kamillia Agustin</t>
  </si>
  <si>
    <t>KELAS XI B2</t>
  </si>
  <si>
    <t>0093907013 / 242510390</t>
  </si>
  <si>
    <t>0084548048 / 242510404</t>
  </si>
  <si>
    <t>Tumpal David Hotbonardo Napitupulu</t>
  </si>
  <si>
    <t>Wali Kelas : Yanti Kurniati, S.Pd</t>
  </si>
  <si>
    <t>0094935892 / 242510412</t>
  </si>
  <si>
    <t>Wanda Zhafirah</t>
  </si>
  <si>
    <t>0107760733 / 252610023</t>
  </si>
  <si>
    <t>Aira Aulia Putri</t>
  </si>
  <si>
    <t>0105339420 / 252610027</t>
  </si>
  <si>
    <t>Aishanna Latifa Harjono</t>
  </si>
  <si>
    <t>0102993208 / 252610043</t>
  </si>
  <si>
    <t>KELAS X 9</t>
  </si>
  <si>
    <t>Alisya Belva Dhio</t>
  </si>
  <si>
    <t>KELAS XII B1</t>
  </si>
  <si>
    <t>0094160993 / 252610045</t>
  </si>
  <si>
    <t>Alleandra Kaif Finandita</t>
  </si>
  <si>
    <t>Wali Kelas : Dwi Rokhmiyatun, S.Pd</t>
  </si>
  <si>
    <t>0108561560 / 252610047</t>
  </si>
  <si>
    <t>Almira Aprilia Putri</t>
  </si>
  <si>
    <t>Wali Kelas : Fatasya Kamal, S.Pd</t>
  </si>
  <si>
    <t>0096963702 / 252610066</t>
  </si>
  <si>
    <t>0085027044 / 242510010</t>
  </si>
  <si>
    <t>Anndita</t>
  </si>
  <si>
    <t>Ahmad Humam Rifqi</t>
  </si>
  <si>
    <t>0107831985 / 252610068</t>
  </si>
  <si>
    <t>Annisa Salsabilla</t>
  </si>
  <si>
    <t>0081265372 / 242510027</t>
  </si>
  <si>
    <t>Allayda Cindy Addrian</t>
  </si>
  <si>
    <t>0108763766 / 252610141</t>
  </si>
  <si>
    <t>Clarisa Meidiana</t>
  </si>
  <si>
    <t>0092697249 / 242510041</t>
  </si>
  <si>
    <t>0091254694 / 252610146</t>
  </si>
  <si>
    <t>Anandio Alfathir Suherman</t>
  </si>
  <si>
    <t>Dahayu Nadhilah Syafa</t>
  </si>
  <si>
    <t>0103966590 / 252610148</t>
  </si>
  <si>
    <t>0085437129 / 242510070</t>
  </si>
  <si>
    <t>Danesh Arrayan Syahreen</t>
  </si>
  <si>
    <t>Aura Humaira Putri Gunawan</t>
  </si>
  <si>
    <t>0113318291</t>
  </si>
  <si>
    <t>Abimanyu Handoyo</t>
  </si>
  <si>
    <t>0103526904 / 252610165</t>
  </si>
  <si>
    <t>Dinara Savina</t>
  </si>
  <si>
    <t>0098656322 / 242510113</t>
  </si>
  <si>
    <t>Dinda Syafana Alfatiha .N .R .K</t>
  </si>
  <si>
    <t>0108673369 / 252610178</t>
  </si>
  <si>
    <t>Elen Vanesyah Wahyudi</t>
  </si>
  <si>
    <t>Adinda Humaira Alyaunnisa</t>
  </si>
  <si>
    <t>0095529275 / 252610184</t>
  </si>
  <si>
    <t>Evan Diaz</t>
  </si>
  <si>
    <t>0096763243 / 242510120</t>
  </si>
  <si>
    <t>Elizabeth Fransiska Siregar</t>
  </si>
  <si>
    <t>0106286844</t>
  </si>
  <si>
    <t>Al Fatih Narendra Rachman</t>
  </si>
  <si>
    <t>0102866245 / 252610188</t>
  </si>
  <si>
    <t>Fahmi Adilla Pasha</t>
  </si>
  <si>
    <t>0098951883 / 242510136</t>
  </si>
  <si>
    <t>Fariha Tiara Jinaani</t>
  </si>
  <si>
    <t>0096185979 / 252610198</t>
  </si>
  <si>
    <t>Farhan Benzema</t>
  </si>
  <si>
    <t>0094722345 / 242510180</t>
  </si>
  <si>
    <t>Juan Tri Alexandro Immanuel</t>
  </si>
  <si>
    <t>0115732116</t>
  </si>
  <si>
    <t>Al Maura Zahira Ismail</t>
  </si>
  <si>
    <t>0103139137 / 252610205</t>
  </si>
  <si>
    <t>Fathimah Septiani Azahra</t>
  </si>
  <si>
    <t>0097193046 / 242510184</t>
  </si>
  <si>
    <t>Karimah Bassam Faris Sawaftah</t>
  </si>
  <si>
    <t>0093505380 / 242510187</t>
  </si>
  <si>
    <t>Kayla Rahmah Mumtazah</t>
  </si>
  <si>
    <t>0101705316 / 252610210</t>
  </si>
  <si>
    <t>0102502013</t>
  </si>
  <si>
    <t>Febri Afriani</t>
  </si>
  <si>
    <t>Andytha Queen</t>
  </si>
  <si>
    <t>0084361496 / 242510193</t>
  </si>
  <si>
    <t>Kesya Rashan Syilbiyy Firdaus</t>
  </si>
  <si>
    <t>0093778675 / 242510197</t>
  </si>
  <si>
    <t>Kezia Feodora Simarnala Ciberro</t>
  </si>
  <si>
    <t>0103695549 / 252610236</t>
  </si>
  <si>
    <t>Izaz Izzatul Islam</t>
  </si>
  <si>
    <t>0115777801</t>
  </si>
  <si>
    <t>Aulia Ainun Khusna</t>
  </si>
  <si>
    <t>0094698679 / 242510213</t>
  </si>
  <si>
    <t>Lina Amelia Dwi Anjani</t>
  </si>
  <si>
    <t>0105606050 / 252610238</t>
  </si>
  <si>
    <t>Jasmine Makayla Putri Arvani</t>
  </si>
  <si>
    <t>3095285309 / 242510216</t>
  </si>
  <si>
    <t>Luviyani</t>
  </si>
  <si>
    <t>0108537666 / 252610250</t>
  </si>
  <si>
    <t>Johanes Satria Yudha</t>
  </si>
  <si>
    <t>0109655049</t>
  </si>
  <si>
    <t>0081476668 / 242510222</t>
  </si>
  <si>
    <t>Malika Nurzahira</t>
  </si>
  <si>
    <t>Brilliant Kaffah Anggrianto</t>
  </si>
  <si>
    <t>0102372511 / 252610263</t>
  </si>
  <si>
    <t>Kayla Tria Fatarani</t>
  </si>
  <si>
    <t>0098908539 / 242510230</t>
  </si>
  <si>
    <t>Maysa Khumaira</t>
  </si>
  <si>
    <t>0097732804 / 252610270</t>
  </si>
  <si>
    <t>Kesyha Ramadhani</t>
  </si>
  <si>
    <t>0099030651 / 242510232</t>
  </si>
  <si>
    <t>Meydina Khaliilah Bramantya</t>
  </si>
  <si>
    <t>0109301227</t>
  </si>
  <si>
    <t>Esther Clarisa L. Toruan</t>
  </si>
  <si>
    <t>3093490279 / 252610271</t>
  </si>
  <si>
    <t>Kevin Septian Ramadhan</t>
  </si>
  <si>
    <t>0098437864 / 242510233</t>
  </si>
  <si>
    <t>Meysa Yosi Salsabila</t>
  </si>
  <si>
    <t>0103261879 / 252610280</t>
  </si>
  <si>
    <t>Khansa Aulia Damtsa Hylmi</t>
  </si>
  <si>
    <t>0118227725</t>
  </si>
  <si>
    <t>0088976294 / 242510244</t>
  </si>
  <si>
    <t>Muhamad Riski Aditiya</t>
  </si>
  <si>
    <t>Fadli Safiy Hikmawan</t>
  </si>
  <si>
    <t>0097535113 / 252610286</t>
  </si>
  <si>
    <t>Lalitya Namu Wangundahina</t>
  </si>
  <si>
    <t>0094412664 / 242510278</t>
  </si>
  <si>
    <t>0091769169 / 252610287</t>
  </si>
  <si>
    <t>Lathika Aulia Althafunnisa</t>
  </si>
  <si>
    <t>0101561912</t>
  </si>
  <si>
    <t>0091524851 / 242510286</t>
  </si>
  <si>
    <t>Nadian Putri Syafina</t>
  </si>
  <si>
    <t>Fathi Rezki Ramadhan</t>
  </si>
  <si>
    <t>0103190164 / 252610301</t>
  </si>
  <si>
    <t>Mandariza Arya Pranata Wijaya</t>
  </si>
  <si>
    <t>3099271994 / 242510297</t>
  </si>
  <si>
    <t>0105348604 / 252610315</t>
  </si>
  <si>
    <t>Misykah Adzra Maulida</t>
  </si>
  <si>
    <t>0112030476</t>
  </si>
  <si>
    <t>0083974334 / 242510298</t>
  </si>
  <si>
    <t>Nazhera Irba Iwel</t>
  </si>
  <si>
    <t>Fatimah Azzahra Iriansar</t>
  </si>
  <si>
    <t>0109769349 / 252610345</t>
  </si>
  <si>
    <t>Muhammad Danish Fathul Ulum</t>
  </si>
  <si>
    <t>0084584228 / 242510313</t>
  </si>
  <si>
    <t>Piona Abigail Zamar Sinaga</t>
  </si>
  <si>
    <t>0107525738 / 252610349</t>
  </si>
  <si>
    <t>Muhammad Faiz Fathian</t>
  </si>
  <si>
    <t>0107355222</t>
  </si>
  <si>
    <t>0093556204 / 242510328</t>
  </si>
  <si>
    <t>Quintania Aura Putri</t>
  </si>
  <si>
    <t>Fredi Jayanaro Sihombing</t>
  </si>
  <si>
    <t>0093629282 / 252610352</t>
  </si>
  <si>
    <t>Muhammad Fathandra Rizki</t>
  </si>
  <si>
    <t>0099332666 / 242510343</t>
  </si>
  <si>
    <t>Rania Salsabilla</t>
  </si>
  <si>
    <t>0092179308 / 252610356</t>
  </si>
  <si>
    <t>0114912622</t>
  </si>
  <si>
    <t>0104716348 / 252610386</t>
  </si>
  <si>
    <t>Nadhifa Farah Falihah</t>
  </si>
  <si>
    <t>0087745551 / 242510350</t>
  </si>
  <si>
    <t>Haikal Levandy</t>
  </si>
  <si>
    <t>Rhaditia Fajar Kasyahvani</t>
  </si>
  <si>
    <t>0085930059 / 242510371</t>
  </si>
  <si>
    <t>0108105659 / 252610396</t>
  </si>
  <si>
    <t>Naqeesyaa Dhanova Al Adzra</t>
  </si>
  <si>
    <t>0096344538 / 242510373</t>
  </si>
  <si>
    <t>0091281050 / 252610399</t>
  </si>
  <si>
    <t>Sanlia Moranda Br Silaban</t>
  </si>
  <si>
    <t>Naswa Ramadhani</t>
  </si>
  <si>
    <t>Hairunnisa Gunawan</t>
  </si>
  <si>
    <t>0096480588 / 242510395</t>
  </si>
  <si>
    <t>0108065698 / 252610410</t>
  </si>
  <si>
    <t>Nayra Putri Sagita</t>
  </si>
  <si>
    <t>Syifa Aprilia</t>
  </si>
  <si>
    <t>0097910400 / 252610425</t>
  </si>
  <si>
    <t>0094958254 / 242510405</t>
  </si>
  <si>
    <t>0119870806</t>
  </si>
  <si>
    <t>Nur Azizah</t>
  </si>
  <si>
    <t>Valentino Azka Febrian Putra</t>
  </si>
  <si>
    <t>Haura Balqis</t>
  </si>
  <si>
    <t>0095438030 / 252610436</t>
  </si>
  <si>
    <t>Pungki Yustisia Pertiwi</t>
  </si>
  <si>
    <t>0085108715 / 242510408</t>
  </si>
  <si>
    <t>Vinny Vionita</t>
  </si>
  <si>
    <t>0109099668</t>
  </si>
  <si>
    <t>0089237233 / 242510409</t>
  </si>
  <si>
    <t>Hibban Abdil Barr</t>
  </si>
  <si>
    <t>Viola Anindita Kurniawan</t>
  </si>
  <si>
    <t>0092103124 / 252610450</t>
  </si>
  <si>
    <t>Raden Chintya Dewi Maharani</t>
  </si>
  <si>
    <t>0098438052 / 242510417</t>
  </si>
  <si>
    <t>Yasmin Diva Nurfiqra</t>
  </si>
  <si>
    <t>0108129059 / 252610464</t>
  </si>
  <si>
    <t>Raihana Humairah Budianto</t>
  </si>
  <si>
    <t>0101037256</t>
  </si>
  <si>
    <t>0082801587 / 242510421</t>
  </si>
  <si>
    <t>Zahisa Raudhatul Jannah</t>
  </si>
  <si>
    <t>Hizkia Natanael Tumanggor</t>
  </si>
  <si>
    <t>0095492963 / 252610467</t>
  </si>
  <si>
    <t>Raisha Puri Lianti</t>
  </si>
  <si>
    <t>0099739465 / 252610470</t>
  </si>
  <si>
    <t>Khanza Mahirra</t>
  </si>
  <si>
    <t>3096816288 / 252610495</t>
  </si>
  <si>
    <t>Rossy Indriyati</t>
  </si>
  <si>
    <t>0092402487 / 252610507</t>
  </si>
  <si>
    <t>Salsabila Kinaya</t>
  </si>
  <si>
    <t>0108642546</t>
  </si>
  <si>
    <t>Lintang Syahrial Akbar</t>
  </si>
  <si>
    <t>0109344308 / 252610516</t>
  </si>
  <si>
    <t>Shahrazad Aulia Handyanto</t>
  </si>
  <si>
    <t>0106219079 / 252610519</t>
  </si>
  <si>
    <t>Sheika Rizki Ramadanti Aurelia</t>
  </si>
  <si>
    <t>0115250448</t>
  </si>
  <si>
    <t>Meyla Enesia Salsabila</t>
  </si>
  <si>
    <t>KELAS XII B2</t>
  </si>
  <si>
    <t>0105183684 / 252610540</t>
  </si>
  <si>
    <t>Tanty Amelia Al Rasyid</t>
  </si>
  <si>
    <t>Wali Kelas : Aripudin, S.Pd.</t>
  </si>
  <si>
    <t>0105818781</t>
  </si>
  <si>
    <t>Muhammad Abid Zufar</t>
  </si>
  <si>
    <t>0091989218 / 242510017</t>
  </si>
  <si>
    <t>Aisyah Nur Izzah</t>
  </si>
  <si>
    <t>Muhammad Fikry Haidar</t>
  </si>
  <si>
    <t>0087766031 / 252611567</t>
  </si>
  <si>
    <t>Alexandria Prameswari Prawiro</t>
  </si>
  <si>
    <t>0098715904 / 242510023</t>
  </si>
  <si>
    <t>Alexia Luigi Lian</t>
  </si>
  <si>
    <t>Muhammad Hafiz Rifai</t>
  </si>
  <si>
    <t>0081501338 / 242510042</t>
  </si>
  <si>
    <t>Andi Almaghfira Shabila Sawerigading</t>
  </si>
  <si>
    <t>0085534034 / 242510086</t>
  </si>
  <si>
    <t>0117862448</t>
  </si>
  <si>
    <t>0084745418 / 242510091</t>
  </si>
  <si>
    <t>Nadine Dania Junaidi</t>
  </si>
  <si>
    <t>Chaerani Yulianti</t>
  </si>
  <si>
    <t>KELAS XI B3</t>
  </si>
  <si>
    <t>0095136014 / 242510102</t>
  </si>
  <si>
    <t>Davina Mutiara Arfi</t>
  </si>
  <si>
    <t>0118166027</t>
  </si>
  <si>
    <t>0098889247 / 242510133</t>
  </si>
  <si>
    <t>Faiza Zalfa Nadifa</t>
  </si>
  <si>
    <t>Qayla Luthfia Ramadhani</t>
  </si>
  <si>
    <t>Wali Kelas : Dwi Lestari, S.Pd</t>
  </si>
  <si>
    <t>0094252138 / 242510134</t>
  </si>
  <si>
    <t>Fajra Aniq Khalisha</t>
  </si>
  <si>
    <t>0086688060 / 242510135</t>
  </si>
  <si>
    <t>0104585579</t>
  </si>
  <si>
    <t>0109542213 / 252610010</t>
  </si>
  <si>
    <t>Raja Muhammad Rahmatullah</t>
  </si>
  <si>
    <t>Adinda Garnetha Prasistha</t>
  </si>
  <si>
    <t>0092223653 / 242510142</t>
  </si>
  <si>
    <t>0104072965 / 252610012</t>
  </si>
  <si>
    <t>Aditya Bayu Sutanto</t>
  </si>
  <si>
    <t>0085278931 / 242510165</t>
  </si>
  <si>
    <t>Hilma Sandria</t>
  </si>
  <si>
    <t>0109933507</t>
  </si>
  <si>
    <t>Rashya Pramudya Mahardika</t>
  </si>
  <si>
    <t>0109597144 / 252610017</t>
  </si>
  <si>
    <t>0084614966 / 242510167</t>
  </si>
  <si>
    <t>Hinezta Nailah Sanmaghfirah</t>
  </si>
  <si>
    <t>Ahmad Fahri Hidayat</t>
  </si>
  <si>
    <t>0097408336 / 242510169</t>
  </si>
  <si>
    <t>0093866965 / 252610029</t>
  </si>
  <si>
    <t>Ilma Nur Agnia</t>
  </si>
  <si>
    <t>Aisyah Aqilah Agni</t>
  </si>
  <si>
    <t>0113446510</t>
  </si>
  <si>
    <t>3094028221 / 242510171</t>
  </si>
  <si>
    <t>Intan Tania</t>
  </si>
  <si>
    <t>0094216872 / 252610036</t>
  </si>
  <si>
    <t>Alfany Himma Roudina</t>
  </si>
  <si>
    <t>Rayyan Nafiz Rahman</t>
  </si>
  <si>
    <t>0094995394 / 242510176</t>
  </si>
  <si>
    <t>Januar Obed Holand Sitopu</t>
  </si>
  <si>
    <t>0101401010 / 252610051</t>
  </si>
  <si>
    <t>Alya Silvana Sarifah</t>
  </si>
  <si>
    <t>0081936585 / 242510185</t>
  </si>
  <si>
    <t>Kayla Dhea Nurma Fauziah</t>
  </si>
  <si>
    <t>0093799489 / 252610071</t>
  </si>
  <si>
    <t>Aqila Elmohri</t>
  </si>
  <si>
    <t>0108032997</t>
  </si>
  <si>
    <t>Reyna Reshma Rozikin</t>
  </si>
  <si>
    <t>0094057771 / 242510199</t>
  </si>
  <si>
    <t>Khairunnisa Rahadatul Aisy</t>
  </si>
  <si>
    <t>0102592413 / 252610078</t>
  </si>
  <si>
    <t>Ariyo Raditya Putra</t>
  </si>
  <si>
    <t>0095872117 / 242510207</t>
  </si>
  <si>
    <t>0105797314 / 252610102</t>
  </si>
  <si>
    <t>Aurelly Diana Zulkarnaen</t>
  </si>
  <si>
    <t>0101120109</t>
  </si>
  <si>
    <t>Shanti Oktaviani</t>
  </si>
  <si>
    <t>Kirana Nur'Aini</t>
  </si>
  <si>
    <t>0099038184 / 252610109</t>
  </si>
  <si>
    <t>Azalia Maheswari Christabel</t>
  </si>
  <si>
    <t>0098268916 / 242510239</t>
  </si>
  <si>
    <t>Mohammed Alvaro Fauzan Purnomo</t>
  </si>
  <si>
    <t>0106995291 / 252610126</t>
  </si>
  <si>
    <t>0086508497 / 242510241</t>
  </si>
  <si>
    <t>Bimo Armani Aulia Putra</t>
  </si>
  <si>
    <t>0119320504</t>
  </si>
  <si>
    <t>Tisha Almira</t>
  </si>
  <si>
    <t>0092794157 / 252610139</t>
  </si>
  <si>
    <t>0091626296 / 242510254</t>
  </si>
  <si>
    <t>Cinta Cludia Putri</t>
  </si>
  <si>
    <t>Muhammad Daffa Khairy Mufid</t>
  </si>
  <si>
    <t>0096201622 / 252610152</t>
  </si>
  <si>
    <t>3092559431 / 242510282</t>
  </si>
  <si>
    <t>Delfa Maharani</t>
  </si>
  <si>
    <t>Musyaffa Nureshan Pahlevi</t>
  </si>
  <si>
    <t>0093558313 / 252610161</t>
  </si>
  <si>
    <t>0083634869 / 242510301</t>
  </si>
  <si>
    <t>Diandra Mentari Fazri</t>
  </si>
  <si>
    <t>0095632017 / 252610174</t>
  </si>
  <si>
    <t>0091257095 / 242510312</t>
  </si>
  <si>
    <t>Dyshan Attaya Haq Triatno</t>
  </si>
  <si>
    <t>0096662016 / 252610187</t>
  </si>
  <si>
    <t>0093570911 / 242510321</t>
  </si>
  <si>
    <t>Fadya Malika</t>
  </si>
  <si>
    <t>Putri Khaila Azzahra</t>
  </si>
  <si>
    <t>3090346201 / 252610214</t>
  </si>
  <si>
    <t>0099524653 / 242510324</t>
  </si>
  <si>
    <t>Freja Aira Anindhita</t>
  </si>
  <si>
    <t>Queen Aqila Althafunnisa</t>
  </si>
  <si>
    <t>0096689975 / 242510341</t>
  </si>
  <si>
    <t>0101801767 / 252610223</t>
  </si>
  <si>
    <t>Ramaditya Tangguh Alfian</t>
  </si>
  <si>
    <t>Gracia Valen Manik</t>
  </si>
  <si>
    <t>0087172262 / 242510346</t>
  </si>
  <si>
    <t>Raya Fitri Anjaini</t>
  </si>
  <si>
    <t>3098845163 / 252610245</t>
  </si>
  <si>
    <t>Jevelin Ambarep Putri</t>
  </si>
  <si>
    <t>0089992734 / 242510348</t>
  </si>
  <si>
    <t>Revalia Sabrina Safa</t>
  </si>
  <si>
    <t>0105199862 / 252610249</t>
  </si>
  <si>
    <t>Joceline Sisca Lumongga Manurung</t>
  </si>
  <si>
    <t>0094272879 / 242510349</t>
  </si>
  <si>
    <t>Reyhan Saputra</t>
  </si>
  <si>
    <t>0094047198 / 252610256</t>
  </si>
  <si>
    <t>Kanza Olivia Ramadhani</t>
  </si>
  <si>
    <t>0094686903 / 242510362</t>
  </si>
  <si>
    <t>Safa Adalia</t>
  </si>
  <si>
    <t>/ 0106754075</t>
  </si>
  <si>
    <t>Keandra Arkana Lingga Huntara</t>
  </si>
  <si>
    <t>0096820534 / 242510382</t>
  </si>
  <si>
    <t>Sheryn Valentia</t>
  </si>
  <si>
    <t>KELAS X 10</t>
  </si>
  <si>
    <t>0094583694 / 252610285</t>
  </si>
  <si>
    <t>0091356987 / 242510392</t>
  </si>
  <si>
    <t>Kharisma Zahra Tiara Putri</t>
  </si>
  <si>
    <t>Syakira</t>
  </si>
  <si>
    <t>0098113225 / 252610297</t>
  </si>
  <si>
    <t>Mahera Raisha Davanita Faizal</t>
  </si>
  <si>
    <t>0084616257 / 242510420</t>
  </si>
  <si>
    <t>Zahara Romadhona</t>
  </si>
  <si>
    <t>0094686372 / 252610299</t>
  </si>
  <si>
    <t>Mahira Aqila Azra</t>
  </si>
  <si>
    <t>0092985486 / 252610311</t>
  </si>
  <si>
    <t>Wali Kelas : Sari Rahayu Hidayat, S.Pd.</t>
  </si>
  <si>
    <t>Melani Putri Triana</t>
  </si>
  <si>
    <t>0099605205 / 252610319</t>
  </si>
  <si>
    <t>Mohammad Haikal</t>
  </si>
  <si>
    <t>0094259451 / 252610326</t>
  </si>
  <si>
    <t>Muhamad Mustakim</t>
  </si>
  <si>
    <t>0103840688</t>
  </si>
  <si>
    <t>Abdullah Azzam Muhtarif</t>
  </si>
  <si>
    <t>0109589144 / 252610375</t>
  </si>
  <si>
    <t>KELAS XII C</t>
  </si>
  <si>
    <t>0102148224 / 252610377</t>
  </si>
  <si>
    <t>0106659670</t>
  </si>
  <si>
    <t>Muhammad Zahran Rifai</t>
  </si>
  <si>
    <t>Alia Zahra Qudsia</t>
  </si>
  <si>
    <t>0107698921 / 252610409</t>
  </si>
  <si>
    <t>Nayla Widya Cakraprawartana</t>
  </si>
  <si>
    <t>0102114748 / 252610426</t>
  </si>
  <si>
    <t>Nursifa Maulidah</t>
  </si>
  <si>
    <t>0097603092 / 252610432</t>
  </si>
  <si>
    <t>Pramudhio Sawergading Ihsan</t>
  </si>
  <si>
    <t>Wali Kelas : Ilmia Fathonah, S.Pd.M.Pd.</t>
  </si>
  <si>
    <t>0091134035 / 252610441</t>
  </si>
  <si>
    <t>Qitrie Anisa Khaeri</t>
  </si>
  <si>
    <t>0105116125</t>
  </si>
  <si>
    <t>0102081772 / 252610451</t>
  </si>
  <si>
    <t>Raden Ciara Za Syahluna</t>
  </si>
  <si>
    <t>Amanda Natasya Putri</t>
  </si>
  <si>
    <t>0092135851 / 252610476</t>
  </si>
  <si>
    <t>Rayhan Ashabi</t>
  </si>
  <si>
    <t>0104171202 / 252610486</t>
  </si>
  <si>
    <t>Revina Apriza</t>
  </si>
  <si>
    <t>0129190611</t>
  </si>
  <si>
    <t>0097029152 / 242510001</t>
  </si>
  <si>
    <t>Abdurrahman Syauqi</t>
  </si>
  <si>
    <t>Ananda Tristan</t>
  </si>
  <si>
    <t>0103151970 / 252610489</t>
  </si>
  <si>
    <t>Riffa Nugraha</t>
  </si>
  <si>
    <t>0096738562 / 242510014</t>
  </si>
  <si>
    <t>Aira Eva Fajarina</t>
  </si>
  <si>
    <t>0096444734 / 252610491</t>
  </si>
  <si>
    <t>Rindu Gatari Asmiladi</t>
  </si>
  <si>
    <t>0115760437</t>
  </si>
  <si>
    <t>Annisa Faza Firdausy Humaira</t>
  </si>
  <si>
    <t>0099375029 / 242510019</t>
  </si>
  <si>
    <t>0098050747 / 252610496</t>
  </si>
  <si>
    <t>Akram Dika Setiawan</t>
  </si>
  <si>
    <t>Ruba Aqeela Hafizha Mecca</t>
  </si>
  <si>
    <t>0085348468 / 242510024</t>
  </si>
  <si>
    <t>Al-Habi Syehar Irawan</t>
  </si>
  <si>
    <t>0091178036 / 252610501</t>
  </si>
  <si>
    <t>0101381683</t>
  </si>
  <si>
    <t>Safa Naya Adristi</t>
  </si>
  <si>
    <t>Brandon Raihan Saputra</t>
  </si>
  <si>
    <t>0095154966 / 242510036</t>
  </si>
  <si>
    <t>Alya Atifa Edfiyanti</t>
  </si>
  <si>
    <t>0096990480 / 242510044</t>
  </si>
  <si>
    <t>Andrea Kaira Nezza</t>
  </si>
  <si>
    <t>0097644165 / 252610508</t>
  </si>
  <si>
    <t>Salsabila Zahwa Mulana</t>
  </si>
  <si>
    <t>0117141500</t>
  </si>
  <si>
    <t>Carissa Adelia Alvis</t>
  </si>
  <si>
    <t>0081271561 / 242510054</t>
  </si>
  <si>
    <t>Ardhito Himawan Dwantara</t>
  </si>
  <si>
    <t>0105775007 / 252610514</t>
  </si>
  <si>
    <t>Shafa Talitha Budiarto</t>
  </si>
  <si>
    <t>0099561898 / 242510071</t>
  </si>
  <si>
    <t>Aureli Valency Achiles</t>
  </si>
  <si>
    <t>0091610224 / 252610518</t>
  </si>
  <si>
    <t>0111590520</t>
  </si>
  <si>
    <t>Shaquille Putra Yudira</t>
  </si>
  <si>
    <t>Carolina Sassi Anindya Pramastri</t>
  </si>
  <si>
    <t>0091681862 / 242510088</t>
  </si>
  <si>
    <t>Caesy Aprilia Bausir</t>
  </si>
  <si>
    <t>0106044416 / 252610553</t>
  </si>
  <si>
    <t>Weny Meylieneke Sianipar</t>
  </si>
  <si>
    <t>0098451979 / 242510161</t>
  </si>
  <si>
    <t>0105455840</t>
  </si>
  <si>
    <t>Hasna Azmalea Radhina Santosa</t>
  </si>
  <si>
    <t>0109721617 / 252610555</t>
  </si>
  <si>
    <t>Yasmin Kirani Affifah</t>
  </si>
  <si>
    <t>Chakra Wishnu Wijaya</t>
  </si>
  <si>
    <t>0084845522 / 242510200</t>
  </si>
  <si>
    <t>Khalista Bisi Elmyra</t>
  </si>
  <si>
    <t>0108569165 / 252610557</t>
  </si>
  <si>
    <t>Yoanne Mulin Averina</t>
  </si>
  <si>
    <t>0117671753</t>
  </si>
  <si>
    <t>0083434779 / 252611571</t>
  </si>
  <si>
    <t>Khanza Nadya Rahman</t>
  </si>
  <si>
    <t>Diandra Olivia Rikmadani</t>
  </si>
  <si>
    <t>0094551974 / 242510212</t>
  </si>
  <si>
    <t>0081855086 / 242510220</t>
  </si>
  <si>
    <t>Madina Silvana Dewi</t>
  </si>
  <si>
    <t>0103673736</t>
  </si>
  <si>
    <t>0083951567 / 242510221</t>
  </si>
  <si>
    <t>Mala Nirmala</t>
  </si>
  <si>
    <t>Diyan Pitaloka Sari</t>
  </si>
  <si>
    <t>0093504759 / 242510251</t>
  </si>
  <si>
    <t>Muhammad Aqila Zhafran Khair</t>
  </si>
  <si>
    <t>0102659611</t>
  </si>
  <si>
    <t>0086270372 / 242510271</t>
  </si>
  <si>
    <t>Muhammad Noval Irfandi</t>
  </si>
  <si>
    <t>Farhan Rafi Ardiansyah</t>
  </si>
  <si>
    <t>0096643467 / 242510272</t>
  </si>
  <si>
    <t>Muhammad Rayza Ijudin</t>
  </si>
  <si>
    <t>KELAS XI C1</t>
  </si>
  <si>
    <t>0109682046</t>
  </si>
  <si>
    <t>0091089933 / 242510284</t>
  </si>
  <si>
    <t>Nabilah Khoirunnisaa</t>
  </si>
  <si>
    <t>Faris Insan Naraya</t>
  </si>
  <si>
    <t>0096304188 / 242510289</t>
  </si>
  <si>
    <t>Nadya Putri</t>
  </si>
  <si>
    <t>Wali Kelas : Dewi Rahmawati, S.Pd</t>
  </si>
  <si>
    <t>0097295872 / 242510292</t>
  </si>
  <si>
    <t>0114159004</t>
  </si>
  <si>
    <t>Nasywa Neno Fauziah</t>
  </si>
  <si>
    <t>Hana Widiani Pramudita</t>
  </si>
  <si>
    <t>0096224183 / 242510299</t>
  </si>
  <si>
    <t>Nazira Meisa</t>
  </si>
  <si>
    <t>0092194625 / 252610004</t>
  </si>
  <si>
    <t>0083048491 / 242510303</t>
  </si>
  <si>
    <t>0107592842</t>
  </si>
  <si>
    <t>Ni Kadek Masayu Savitar Handayani</t>
  </si>
  <si>
    <t>Hapidz Bahrul Ulum</t>
  </si>
  <si>
    <t>0093560012 / 252610007</t>
  </si>
  <si>
    <t>Adelia Niken</t>
  </si>
  <si>
    <t>0094414485 / 242510315</t>
  </si>
  <si>
    <t>Prita Seliana</t>
  </si>
  <si>
    <t>0092626116 / 252610008</t>
  </si>
  <si>
    <t>0095501589 / 242510318</t>
  </si>
  <si>
    <t>Adhie Bramantyo Faqih</t>
  </si>
  <si>
    <t>Putri Allysia Yusup</t>
  </si>
  <si>
    <t>0118984737</t>
  </si>
  <si>
    <t>Karin Istianti</t>
  </si>
  <si>
    <t>0093298242 / 242510319</t>
  </si>
  <si>
    <t>Putri Dita Apriliya</t>
  </si>
  <si>
    <t>0105813396 / 252610052</t>
  </si>
  <si>
    <t>0093266742 / 242510320</t>
  </si>
  <si>
    <t>Putri Keysha M. C</t>
  </si>
  <si>
    <t>0104558747</t>
  </si>
  <si>
    <t>0104459637 / 252610055</t>
  </si>
  <si>
    <t>Kinara Alzena Karima</t>
  </si>
  <si>
    <t>0092205557 / 242510345</t>
  </si>
  <si>
    <t>Ray Anita Natasya</t>
  </si>
  <si>
    <t>0073027831 / 242510356</t>
  </si>
  <si>
    <t>Rizki Maulana Fadillah</t>
  </si>
  <si>
    <t>0118743129</t>
  </si>
  <si>
    <t>Muhamad Revi Pratama</t>
  </si>
  <si>
    <t>0102122161 / 252610096</t>
  </si>
  <si>
    <t>Aulia Azahra</t>
  </si>
  <si>
    <t>0091228007 / 242510363</t>
  </si>
  <si>
    <t>Sakila Nasution</t>
  </si>
  <si>
    <t>0101115125</t>
  </si>
  <si>
    <t>Muhammad Daniswara Hikmat</t>
  </si>
  <si>
    <t xml:space="preserve">0097285374 / 262711382 </t>
  </si>
  <si>
    <t>0089954401 / 242510367</t>
  </si>
  <si>
    <t>Aulia Tristanti</t>
  </si>
  <si>
    <t>Salsabila Putri</t>
  </si>
  <si>
    <t>0115669484</t>
  </si>
  <si>
    <t>Naila Nuriansyah</t>
  </si>
  <si>
    <t>0089191714 / 242510372</t>
  </si>
  <si>
    <t>Sandria Salsalina Sembiring Kembaren</t>
  </si>
  <si>
    <t>0112837741</t>
  </si>
  <si>
    <t>0096394871 / 252610101</t>
  </si>
  <si>
    <t>Naufal Aqila Mulyono</t>
  </si>
  <si>
    <t>0095117423 / 242510380</t>
  </si>
  <si>
    <t>0116209055</t>
  </si>
  <si>
    <t>Naufal Rizqi Maulana</t>
  </si>
  <si>
    <t>0091891047 / 252610114</t>
  </si>
  <si>
    <t>Azzalea Sakinah Ayura Putri</t>
  </si>
  <si>
    <t>0103368175</t>
  </si>
  <si>
    <t>0088535031 / 242510391</t>
  </si>
  <si>
    <t>Nurul Aini</t>
  </si>
  <si>
    <t>Syaira Fakhrudina Putri</t>
  </si>
  <si>
    <t>0092180086 / 252610125</t>
  </si>
  <si>
    <t>0087500688 / 242510399</t>
  </si>
  <si>
    <t>0105031677</t>
  </si>
  <si>
    <t>Tegar Hermawan Anggoro</t>
  </si>
  <si>
    <t>Putu Gauri Mahottama Putri</t>
  </si>
  <si>
    <t>0096103714 / 252610138</t>
  </si>
  <si>
    <t>0092434039 / 242510410</t>
  </si>
  <si>
    <t>Cindy Ramadhani Sinulingga</t>
  </si>
  <si>
    <t>Vira Aprilia Putri</t>
  </si>
  <si>
    <t>0118732765</t>
  </si>
  <si>
    <t>Qonita Najwa Fariha</t>
  </si>
  <si>
    <t>0094286208 / 252610142</t>
  </si>
  <si>
    <t>0118364524</t>
  </si>
  <si>
    <t>Claudia Dominique Gabriella Torus</t>
  </si>
  <si>
    <t>Rafeyfa Durratu Asyila</t>
  </si>
  <si>
    <t>0105106658</t>
  </si>
  <si>
    <t>Rayfal Dzikri Nurkhofi</t>
  </si>
  <si>
    <t>0106545857 / 252610173</t>
  </si>
  <si>
    <t>0101149610</t>
  </si>
  <si>
    <t>0102644442 / 252610193</t>
  </si>
  <si>
    <t>Fakhri Haikal Alvito Rachmat</t>
  </si>
  <si>
    <t>Razita Irdina</t>
  </si>
  <si>
    <t>0094782869 / 252610200</t>
  </si>
  <si>
    <t>Faris Razwa Sambega</t>
  </si>
  <si>
    <t>0104985283 / 252610208</t>
  </si>
  <si>
    <t>0103400078</t>
  </si>
  <si>
    <t>Fauza Nur Aziema</t>
  </si>
  <si>
    <t>Satriyo Jati Pambudi</t>
  </si>
  <si>
    <t>0097946386 / 252610211</t>
  </si>
  <si>
    <t>Fitrah Thirafi</t>
  </si>
  <si>
    <t>0106456234</t>
  </si>
  <si>
    <t>Thariq Dzakwaan Gautama</t>
  </si>
  <si>
    <t>0098064041 / 252610215</t>
  </si>
  <si>
    <t>Fricilia Aprilyani Cardoso</t>
  </si>
  <si>
    <t>Tri Okta Rahmadilah Al Malikh</t>
  </si>
  <si>
    <t>0092709548 / 252610241</t>
  </si>
  <si>
    <t>0107943430 / 252610242</t>
  </si>
  <si>
    <t>Jeremia Geraldo Siregar</t>
  </si>
  <si>
    <t>KELAS XII D1</t>
  </si>
  <si>
    <t>0106852675 / 252610248</t>
  </si>
  <si>
    <t>0106222604 / 252610254</t>
  </si>
  <si>
    <t>Kania Putriana Yaswin</t>
  </si>
  <si>
    <t>0109267722 / 252610260</t>
  </si>
  <si>
    <t>Wali Kelas : Rr. Rara Tatra Sudhawati, M.Pd.</t>
  </si>
  <si>
    <t>0106465537 / 252610295</t>
  </si>
  <si>
    <t>Lutfiana Silva</t>
  </si>
  <si>
    <t>KELAS X 11</t>
  </si>
  <si>
    <t>3101402781 / 252610305</t>
  </si>
  <si>
    <t>Maroen Al-Fatih Ibrahimessi</t>
  </si>
  <si>
    <t>Wali Kelas : Rafika Ziyana Walida, S.Pd</t>
  </si>
  <si>
    <t>0108578906 / 252610322</t>
  </si>
  <si>
    <t>Muhamad Adri Fachry</t>
  </si>
  <si>
    <t>0103777854 / 252610331</t>
  </si>
  <si>
    <t>0098762657 / 242510048</t>
  </si>
  <si>
    <t>Muhamad Subkhi</t>
  </si>
  <si>
    <t>3107499493 / 252610350</t>
  </si>
  <si>
    <t>Muhammad Fariz Nuh</t>
  </si>
  <si>
    <t>Alia Putri Dewanto</t>
  </si>
  <si>
    <t>0111220217 / 252610376</t>
  </si>
  <si>
    <t>0103637213</t>
  </si>
  <si>
    <t>0089202112 / 242510055</t>
  </si>
  <si>
    <t>Andi Queenever Denayutri Ningsih</t>
  </si>
  <si>
    <t>0092479207 / 252610379</t>
  </si>
  <si>
    <t>Muhammad Zaidan Wibowo</t>
  </si>
  <si>
    <t>0119021166</t>
  </si>
  <si>
    <t>Arvan Valdio Muharlan</t>
  </si>
  <si>
    <t>3107700954 / 252610382</t>
  </si>
  <si>
    <t>Mutiara Geisya Nuraini</t>
  </si>
  <si>
    <t>0112433715</t>
  </si>
  <si>
    <t>Belinda Rachma Indria Arachman</t>
  </si>
  <si>
    <t>0088260272 / 242510056</t>
  </si>
  <si>
    <t>0095549480 / 252610394</t>
  </si>
  <si>
    <t>Najwa Citra Lestari</t>
  </si>
  <si>
    <t>Arinda Khalisha Pambudi</t>
  </si>
  <si>
    <t>0119838074</t>
  </si>
  <si>
    <t>Bima Ghofardan Nurbiyanto</t>
  </si>
  <si>
    <t>0105803552 / 252610420</t>
  </si>
  <si>
    <t>Nikesha Nashwa Damara</t>
  </si>
  <si>
    <t>0112002263</t>
  </si>
  <si>
    <t>Callysta Putri Al Quirina</t>
  </si>
  <si>
    <t>0098514088 / 252610428</t>
  </si>
  <si>
    <t>Nydia Aisyah Allifia</t>
  </si>
  <si>
    <t>0097111779 / 242510058</t>
  </si>
  <si>
    <t>Arya Muhammad Raihan</t>
  </si>
  <si>
    <t>0116096459</t>
  </si>
  <si>
    <t>262711390 / 0096242967</t>
  </si>
  <si>
    <t>Daniel Elevando Rabata Saragih</t>
  </si>
  <si>
    <t>Pradipta Arya Hendrayana</t>
  </si>
  <si>
    <t>0108101788</t>
  </si>
  <si>
    <t>Fadila Dania Khairunnisa</t>
  </si>
  <si>
    <t>0093831279 / 242510066</t>
  </si>
  <si>
    <t>0111183999</t>
  </si>
  <si>
    <t>Aulia Erlin Mummaizah</t>
  </si>
  <si>
    <t>Fakhira Azaria Zayan</t>
  </si>
  <si>
    <t>0106276801 / 252610434</t>
  </si>
  <si>
    <t>Priscillia Putri Viona</t>
  </si>
  <si>
    <t>0111826902</t>
  </si>
  <si>
    <t>Fakhri Loudy Alfarizqi</t>
  </si>
  <si>
    <t>0096065165 / 242510072</t>
  </si>
  <si>
    <t>Fatih Ibnu Anam</t>
  </si>
  <si>
    <t>262711392 / 0102392266</t>
  </si>
  <si>
    <t>Raffa Achmad Pranata</t>
  </si>
  <si>
    <t>0094238472 / 252610465</t>
  </si>
  <si>
    <t>Raihana Syafiqah Andyni</t>
  </si>
  <si>
    <t>0099851224 / 242510085</t>
  </si>
  <si>
    <t>Bilqist Ayu Wulandari</t>
  </si>
  <si>
    <t>0097864614 / 252610471</t>
  </si>
  <si>
    <t>Rama Andhika</t>
  </si>
  <si>
    <t>3096149866 / 252610473</t>
  </si>
  <si>
    <t>Rassya Faiq Hibatullah</t>
  </si>
  <si>
    <t>0092348709 / 242510096</t>
  </si>
  <si>
    <t>Cintia Zahfirah Asyiah Siregar</t>
  </si>
  <si>
    <t>0107960365 / 252610475</t>
  </si>
  <si>
    <t>Ravino Abbas Subaga</t>
  </si>
  <si>
    <t>0106462308 / 252610528</t>
  </si>
  <si>
    <t>Syahdan Akbar Mara Putra</t>
  </si>
  <si>
    <t>0099087317 / 242510099</t>
  </si>
  <si>
    <t>Dania Anindita Tunggadewi</t>
  </si>
  <si>
    <t>0092706472 / 252610535</t>
  </si>
  <si>
    <t>Syarafina Nur Alifatuzahro</t>
  </si>
  <si>
    <t>0108996493</t>
  </si>
  <si>
    <t>Fitri Hapizah</t>
  </si>
  <si>
    <t>0098666843 / 242510101</t>
  </si>
  <si>
    <t>0098348385 / 252610542</t>
  </si>
  <si>
    <t>Danisy Nahdhan Pratama</t>
  </si>
  <si>
    <t>Tayya Dzulhijjah Mokodompit</t>
  </si>
  <si>
    <t>0114616867</t>
  </si>
  <si>
    <t>0099429653 / 252610554</t>
  </si>
  <si>
    <t>Yanza Rizkia Salsabillah</t>
  </si>
  <si>
    <t>Ilmirah Khoirunnisa</t>
  </si>
  <si>
    <t>0087242368 / 242510112</t>
  </si>
  <si>
    <t>Dicky Maulana</t>
  </si>
  <si>
    <t>0105748224 / 252610565</t>
  </si>
  <si>
    <t>Zelda Hanifah Zaneta</t>
  </si>
  <si>
    <t>0116141109</t>
  </si>
  <si>
    <t>Jasmine Azzalia Kurniawan</t>
  </si>
  <si>
    <t>0115611420</t>
  </si>
  <si>
    <t>Keira Adjrika Naura</t>
  </si>
  <si>
    <t>0087777223 / 242510130</t>
  </si>
  <si>
    <t>Faida Annaila Zahra</t>
  </si>
  <si>
    <t>0119608712</t>
  </si>
  <si>
    <t>Khansa Khairunnisa</t>
  </si>
  <si>
    <t>0096321568 / 242510148</t>
  </si>
  <si>
    <t>0113242545</t>
  </si>
  <si>
    <t>Gan Muhammad Rizky</t>
  </si>
  <si>
    <t>Khansa Putri Ardiansyah</t>
  </si>
  <si>
    <t>0119426467</t>
  </si>
  <si>
    <t>Moreno Adibrata Jaya</t>
  </si>
  <si>
    <t>0084693493 / 242510158</t>
  </si>
  <si>
    <t>Haidar Al Fathin</t>
  </si>
  <si>
    <t>0109901042</t>
  </si>
  <si>
    <t>Muhamad Faqih Khairy Rahman</t>
  </si>
  <si>
    <t>0088791024 / 242510172</t>
  </si>
  <si>
    <t>Intan Zahira Aulia</t>
  </si>
  <si>
    <t>0094433859</t>
  </si>
  <si>
    <t>Muhamad Ragil Ar Rizky</t>
  </si>
  <si>
    <t>0083440916 / 242510182</t>
  </si>
  <si>
    <t>Kahla Mulia</t>
  </si>
  <si>
    <t>KELAS XI C2</t>
  </si>
  <si>
    <t>0116746340</t>
  </si>
  <si>
    <t>Muhammad Haikal Firdaus Al Mughnii</t>
  </si>
  <si>
    <t>0097101002 / 242510186</t>
  </si>
  <si>
    <t>Kayla Pelangi Harupi</t>
  </si>
  <si>
    <t>Wali Kelas :  Eva Fauziah, S.Pd</t>
  </si>
  <si>
    <t>0105623443</t>
  </si>
  <si>
    <t>Muhammad Irham Arif</t>
  </si>
  <si>
    <t>0083510857 / 242510205</t>
  </si>
  <si>
    <t>Khomairah</t>
  </si>
  <si>
    <t>0108931638</t>
  </si>
  <si>
    <t>0099224342 / 242510214</t>
  </si>
  <si>
    <t>Qiyanu Rifael Al Baraka</t>
  </si>
  <si>
    <t>Lingga Argan Zinggara</t>
  </si>
  <si>
    <t>0096033014 / 252610001</t>
  </si>
  <si>
    <t>0101274388</t>
  </si>
  <si>
    <t>0087441371 / 242510226</t>
  </si>
  <si>
    <t>Maulana Yusuf Purnama</t>
  </si>
  <si>
    <t>Rafassya Syahran Zaydan</t>
  </si>
  <si>
    <t>0096316890 / 252610005</t>
  </si>
  <si>
    <t>Achmad Firza Ghibran</t>
  </si>
  <si>
    <t>0092053150 / 242510248</t>
  </si>
  <si>
    <t>0117305990</t>
  </si>
  <si>
    <t>Muhammad Abidzar</t>
  </si>
  <si>
    <t>Raisya Alifya Nur Afifah</t>
  </si>
  <si>
    <t>0109013664 / 252610033</t>
  </si>
  <si>
    <t>Al Fathdry Rizky Wibowo</t>
  </si>
  <si>
    <t>0099674979 / 242510268</t>
  </si>
  <si>
    <t>Muhammad Irgi Avicenna Fachridho Putra</t>
  </si>
  <si>
    <t>0101321733</t>
  </si>
  <si>
    <t>Rasha Abqari Pratama</t>
  </si>
  <si>
    <t>0094087712 / 242510287</t>
  </si>
  <si>
    <t>0108306222</t>
  </si>
  <si>
    <t>Rasikha Anindya Iskandarsyah</t>
  </si>
  <si>
    <t>0096704827 / 242510295</t>
  </si>
  <si>
    <t>Naura Praprincess Ananda Anbiya</t>
  </si>
  <si>
    <t>0104856949</t>
  </si>
  <si>
    <t>Uziel Rehoboth Parhusip</t>
  </si>
  <si>
    <t>0082766789 / 242510317</t>
  </si>
  <si>
    <t>0116744519</t>
  </si>
  <si>
    <t>Puti Pelangi Maharani</t>
  </si>
  <si>
    <t>Walid Fathan Tsaqib</t>
  </si>
  <si>
    <t>0097211030 / 252610062</t>
  </si>
  <si>
    <t>0087189022 / 242510326</t>
  </si>
  <si>
    <t>Quenna Valencia</t>
  </si>
  <si>
    <t>0102005148</t>
  </si>
  <si>
    <t>Yudhistira Wahyu Anindita Pratama</t>
  </si>
  <si>
    <t>0083216448 / 242510340</t>
  </si>
  <si>
    <t>Rama Ar Rifatul Anbiya</t>
  </si>
  <si>
    <t>0106447864</t>
  </si>
  <si>
    <t>Zahira Puti Giring Giring</t>
  </si>
  <si>
    <t>0081976297 / 242510351</t>
  </si>
  <si>
    <t>0087374524 / 242510358</t>
  </si>
  <si>
    <t>Rizky Baihaqi</t>
  </si>
  <si>
    <t>0109964803 / 252610065</t>
  </si>
  <si>
    <t>Anjani Safira Salma</t>
  </si>
  <si>
    <t>0095610000 / 242510359</t>
  </si>
  <si>
    <t>Rosliani Sarrah</t>
  </si>
  <si>
    <t>3108459157 / 242510368</t>
  </si>
  <si>
    <t>Salwa Aisya Putri</t>
  </si>
  <si>
    <t>0092184814 / 242510369</t>
  </si>
  <si>
    <t>Salwa Amanda Putri</t>
  </si>
  <si>
    <t>0099344894 / 252610072</t>
  </si>
  <si>
    <t>Aqila Noya Faiza</t>
  </si>
  <si>
    <t>0093513380 / 242510383</t>
  </si>
  <si>
    <t>Shinta Aulia</t>
  </si>
  <si>
    <t>KELAS X 12</t>
  </si>
  <si>
    <t>0094484878 / 242510403</t>
  </si>
  <si>
    <t>Troy Rhezky Lembong</t>
  </si>
  <si>
    <t>0099452000 / 252610086</t>
  </si>
  <si>
    <t>Wali Kelas : Shelly Amalia Latifah, M.Pd</t>
  </si>
  <si>
    <t>0094008926 / 242510425</t>
  </si>
  <si>
    <t>Zalfa Anaya Putri</t>
  </si>
  <si>
    <t>0096998389 / 242510428</t>
  </si>
  <si>
    <t>0103657108</t>
  </si>
  <si>
    <t>Adyaksa Yama Sakti</t>
  </si>
  <si>
    <t>0102924778 / 252610095</t>
  </si>
  <si>
    <t>Aufa Khairunnisa</t>
  </si>
  <si>
    <t>0103664200</t>
  </si>
  <si>
    <t>Agung Tri Santoso</t>
  </si>
  <si>
    <t>0106104806</t>
  </si>
  <si>
    <t>Ahmad Zaid Nur Ilmi Jauhari</t>
  </si>
  <si>
    <t>0099138854 / 252610103</t>
  </si>
  <si>
    <t>Aurora Putri Samudra Dwiko</t>
  </si>
  <si>
    <t>0113836871</t>
  </si>
  <si>
    <t>Aina Ummahati</t>
  </si>
  <si>
    <t>0107782768</t>
  </si>
  <si>
    <t>Akbar Zhafir</t>
  </si>
  <si>
    <t>0103047499 / 252610129</t>
  </si>
  <si>
    <t>0114372173</t>
  </si>
  <si>
    <t>Bumi Byakta Alfian</t>
  </si>
  <si>
    <t>Al Maira Safira Ismail</t>
  </si>
  <si>
    <t>KELAS XII D2</t>
  </si>
  <si>
    <t>Aruna Tirta Galuh Maulana</t>
  </si>
  <si>
    <t>0099675945 / 252610164</t>
  </si>
  <si>
    <t>Dimas Putra Pribadi</t>
  </si>
  <si>
    <t>Athifa Aysira Firmansyah</t>
  </si>
  <si>
    <t>Wali Kelas :  Raharjo, S.Pd.</t>
  </si>
  <si>
    <t>0116277676</t>
  </si>
  <si>
    <t>Azwar Raqilla</t>
  </si>
  <si>
    <t>0119138658</t>
  </si>
  <si>
    <t>0093451857 / 252610167</t>
  </si>
  <si>
    <t>0099205215 / 242510002</t>
  </si>
  <si>
    <t>Damia Annisa Maharani</t>
  </si>
  <si>
    <t>Abhipraya Fahim Ghazal Adhiatma</t>
  </si>
  <si>
    <t>0096176025 / 242510004</t>
  </si>
  <si>
    <t>Dio Najib Ashadil</t>
  </si>
  <si>
    <t>Abimanyu Cakraningrat</t>
  </si>
  <si>
    <t>0112894064</t>
  </si>
  <si>
    <t>0083691625 / 242510013</t>
  </si>
  <si>
    <t>Fahri Muhammad Althaf</t>
  </si>
  <si>
    <t>Aini Nur Fauziah Gunawan</t>
  </si>
  <si>
    <t>/ 262711384</t>
  </si>
  <si>
    <t>Fazza Izzuddin Satiri</t>
  </si>
  <si>
    <t>0101478561</t>
  </si>
  <si>
    <t>0093555544 / 242510030</t>
  </si>
  <si>
    <t>Fairuz Qaleesya Athaillah</t>
  </si>
  <si>
    <t>0093240247 / 242510049</t>
  </si>
  <si>
    <t>Anjar Rauf Fahrizal</t>
  </si>
  <si>
    <t>0105560356</t>
  </si>
  <si>
    <t>Fernando Septian Hutasoit</t>
  </si>
  <si>
    <t>3103220251 / 252610225</t>
  </si>
  <si>
    <t>Hafizh Mumtaz</t>
  </si>
  <si>
    <t>0081177343 / 242510057</t>
  </si>
  <si>
    <t>0105159004</t>
  </si>
  <si>
    <t>Given Rutin Kusyanti</t>
  </si>
  <si>
    <t>0097044189 / 242510065</t>
  </si>
  <si>
    <t>Aufa Syafiq Disastra</t>
  </si>
  <si>
    <t>0116361885</t>
  </si>
  <si>
    <t>Janitra Kaina Harsyadi</t>
  </si>
  <si>
    <t>0094015905 / 242510074</t>
  </si>
  <si>
    <t>0094626978 / 252610226</t>
  </si>
  <si>
    <t>Aurellia Syifa Hafianti</t>
  </si>
  <si>
    <t>Haifa Aysha Zahira</t>
  </si>
  <si>
    <t>0117423118</t>
  </si>
  <si>
    <t>0099056940 / 242510077</t>
  </si>
  <si>
    <t>Kayla Hevanthree Adinka</t>
  </si>
  <si>
    <t>0118415302 / 252610253</t>
  </si>
  <si>
    <t>Ayuki Nirwasita Saputro</t>
  </si>
  <si>
    <t>Kaira Fatiya Nurfan</t>
  </si>
  <si>
    <t>0083503418 / 242510092</t>
  </si>
  <si>
    <t>0104630358 / 252610281</t>
  </si>
  <si>
    <t>Chelsy Ashyla Nafiza</t>
  </si>
  <si>
    <t>Khansa Tabita Aura Sakhi</t>
  </si>
  <si>
    <t>0124285273</t>
  </si>
  <si>
    <t>0093335479 / 252610292</t>
  </si>
  <si>
    <t>Keirin Namyla Dzakia Ziyad</t>
  </si>
  <si>
    <t>Luna Majidah Zafira</t>
  </si>
  <si>
    <t>0082910392 / 242510119</t>
  </si>
  <si>
    <t>Echa Putri Ramadhani</t>
  </si>
  <si>
    <t>0112257119</t>
  </si>
  <si>
    <t>0095778047 / 252610307</t>
  </si>
  <si>
    <t>Keisya Zhafira Putri Aliya</t>
  </si>
  <si>
    <t>0092889165 / 242510121</t>
  </si>
  <si>
    <t>Maulida Ainnurahma</t>
  </si>
  <si>
    <t>Ello Sasmitha Jati</t>
  </si>
  <si>
    <t>0108771317</t>
  </si>
  <si>
    <t>0089925170 / 242510124</t>
  </si>
  <si>
    <t>Eskisan Oktri Femista</t>
  </si>
  <si>
    <t>Khumaira Anandita Puteri Saefudin</t>
  </si>
  <si>
    <t>0095079380 / 252610312</t>
  </si>
  <si>
    <t>Mentari Dwi Anggraini</t>
  </si>
  <si>
    <t>0111640921</t>
  </si>
  <si>
    <t>Matthew Anderson Sutono</t>
  </si>
  <si>
    <t>0098345742 / 252610338</t>
  </si>
  <si>
    <t>0097500016 / 242510138</t>
  </si>
  <si>
    <t>Fathan Mubina</t>
  </si>
  <si>
    <t>0111589974</t>
  </si>
  <si>
    <t>Muhamad Farhan Aulia Darmawan</t>
  </si>
  <si>
    <t>3109116422 / 252610339</t>
  </si>
  <si>
    <t>Muhammad Armanugie Saputra</t>
  </si>
  <si>
    <t>0091736459 / 242510143</t>
  </si>
  <si>
    <t>0114153719</t>
  </si>
  <si>
    <t>Muhammad Farhan Al-Fatih</t>
  </si>
  <si>
    <t>0098897790 / 252610347</t>
  </si>
  <si>
    <t>0083473619 / 242510151</t>
  </si>
  <si>
    <t>Muhammad Fadil Ranoval</t>
  </si>
  <si>
    <t>Gian Fabrizio</t>
  </si>
  <si>
    <t>0106876304</t>
  </si>
  <si>
    <t>Muhammad Rizqika Ramadhan</t>
  </si>
  <si>
    <t>0095965332 / 242510202</t>
  </si>
  <si>
    <t>0104064648</t>
  </si>
  <si>
    <t>Khansa Nabilah Fatin</t>
  </si>
  <si>
    <t>Muhammad Sakha Manggala</t>
  </si>
  <si>
    <t>0103242050 / 252610360</t>
  </si>
  <si>
    <t>Muhammad Musyaffa Latief</t>
  </si>
  <si>
    <t>3089802088 / 242510204</t>
  </si>
  <si>
    <t>0112476799</t>
  </si>
  <si>
    <t>Khofifah Asrining Pangastuti</t>
  </si>
  <si>
    <t>Rifqah Raihana Salsabila</t>
  </si>
  <si>
    <t>0105902624 / 252610361</t>
  </si>
  <si>
    <t>0083558880 / 242510215</t>
  </si>
  <si>
    <t>0106015293</t>
  </si>
  <si>
    <t>Lukman Harun Aditya</t>
  </si>
  <si>
    <t>Rizky Ardhana Fadila</t>
  </si>
  <si>
    <t>0092028941 / 252610363</t>
  </si>
  <si>
    <t>Muhammad Rafi Kurniawan</t>
  </si>
  <si>
    <t>0087939718 / 242510217</t>
  </si>
  <si>
    <t>M. Bintang Aliansyah Tukuboya</t>
  </si>
  <si>
    <t>0115041511</t>
  </si>
  <si>
    <t>Sabrina Sami</t>
  </si>
  <si>
    <t>3086429713 / 242510256</t>
  </si>
  <si>
    <t>Muhammad Dalfin Syawaldi Putra Setiawan</t>
  </si>
  <si>
    <t>Selma Zahira Adli</t>
  </si>
  <si>
    <t>0104434944 / 252610401</t>
  </si>
  <si>
    <t>0082222599 / 242510270</t>
  </si>
  <si>
    <t>Muhammad Naufal Suryadi</t>
  </si>
  <si>
    <t>Naufal Aditama</t>
  </si>
  <si>
    <t>0117718363</t>
  </si>
  <si>
    <t>Siti Khayara Putri Rohmana</t>
  </si>
  <si>
    <t>0096947097 / 242510277</t>
  </si>
  <si>
    <t>0093643944 / 252610403</t>
  </si>
  <si>
    <t>Muhammad Salman Iriansar</t>
  </si>
  <si>
    <t>Naura Luvenavita Krisdianto</t>
  </si>
  <si>
    <t>0111909574</t>
  </si>
  <si>
    <t>0088243290 / 242510285</t>
  </si>
  <si>
    <t>Yeran Beneditya Pamuktisandi Himawan</t>
  </si>
  <si>
    <t>Nabilla Alya Rohhadi</t>
  </si>
  <si>
    <t>0097673142 / 252610404</t>
  </si>
  <si>
    <t>Naurah Afifah Amaliyah</t>
  </si>
  <si>
    <t>0083111399 / 242510305</t>
  </si>
  <si>
    <t>Ni Putu Nayaka Prakasayati Pasek</t>
  </si>
  <si>
    <t>0106941532 / 252610406</t>
  </si>
  <si>
    <t>Nava Marietta Siahaan</t>
  </si>
  <si>
    <t>0098495672 / 242510327</t>
  </si>
  <si>
    <t>Quinsha Naura Adity</t>
  </si>
  <si>
    <t>0087033208 / 242510335</t>
  </si>
  <si>
    <t>0107347265 / 252610408</t>
  </si>
  <si>
    <t>Rahel Esra Rotua Manurung</t>
  </si>
  <si>
    <t>Nayla Ulya Taqiyya</t>
  </si>
  <si>
    <t>0087540462 / 242510365</t>
  </si>
  <si>
    <t>Salsabila Alfeeansyah Putri</t>
  </si>
  <si>
    <t>0106380486 / 252610442</t>
  </si>
  <si>
    <t>Queensha Amiradana Putri Hamka</t>
  </si>
  <si>
    <t>0098177122 / 242510370</t>
  </si>
  <si>
    <t>Samuel Sahat Vito Siregar</t>
  </si>
  <si>
    <t>0105462734 / 252610445</t>
  </si>
  <si>
    <t>Quincha Aura Brilliani</t>
  </si>
  <si>
    <t>0084182636 / 242510376</t>
  </si>
  <si>
    <t>0107914534 / 252610452</t>
  </si>
  <si>
    <t>Raden Gathan Azaki Soesilo</t>
  </si>
  <si>
    <t>0097882314 / 252610463</t>
  </si>
  <si>
    <t>0092533632 / 242510397</t>
  </si>
  <si>
    <t>Raihan Farras Sutisna</t>
  </si>
  <si>
    <t>Talita Putria Cahyani</t>
  </si>
  <si>
    <t>0107975513 / 262711393</t>
  </si>
  <si>
    <t>0089659957 / 242510418</t>
  </si>
  <si>
    <t>Rainnar Dharma Harahap</t>
  </si>
  <si>
    <t>Yasmin Sakura Armawan</t>
  </si>
  <si>
    <t>0094494926 / 242510419</t>
  </si>
  <si>
    <t>Zafarani Amalia Putri</t>
  </si>
  <si>
    <t>0094690365 / 252610478</t>
  </si>
  <si>
    <t>Raynar Abiyu Diera</t>
  </si>
  <si>
    <t>0083550559 / 242510422</t>
  </si>
  <si>
    <t>Zahra Talita Dzakira</t>
  </si>
  <si>
    <t>0093563834 / 252610490</t>
  </si>
  <si>
    <t>0086771046 / 242510427</t>
  </si>
  <si>
    <t>Zaskya Risqita Andriani</t>
  </si>
  <si>
    <t>0097303991 / 252610494</t>
  </si>
  <si>
    <t>Roshan Aidan Juro Aprianto</t>
  </si>
  <si>
    <t>0098965422 / 242510431</t>
  </si>
  <si>
    <t>Zikra Arib Rozaan</t>
  </si>
  <si>
    <t>0102414768 / 252610499</t>
  </si>
  <si>
    <t>Ruvita Rinjani</t>
  </si>
  <si>
    <t>094789758 / 262711396</t>
  </si>
  <si>
    <t>Sabrina Ramadhani</t>
  </si>
  <si>
    <t>0106760506 / 252610503</t>
  </si>
  <si>
    <t>Salmaa Saalimah Wibowo</t>
  </si>
  <si>
    <t>0108413702 / 252610510</t>
  </si>
  <si>
    <t>Sashikirana Luvena Maheswari</t>
  </si>
  <si>
    <t>0095899359 / 252610550</t>
  </si>
  <si>
    <t>Velicya Arnelita Zahra Suryana</t>
  </si>
  <si>
    <t>KELAS XII D3</t>
  </si>
  <si>
    <t>0101188685 / 252610556</t>
  </si>
  <si>
    <t>Wali Kelas : Fatmawati, S.Pd.I</t>
  </si>
  <si>
    <t>0096087965 / 252610563</t>
  </si>
  <si>
    <t>Zalikhah Rasikhah Putri</t>
  </si>
  <si>
    <t>0091972857 / 242510003</t>
  </si>
  <si>
    <t>Abhista Anggoro Purnomo</t>
  </si>
  <si>
    <t>0099463036 / 242510012</t>
  </si>
  <si>
    <t>Aina Nisa Asyifa</t>
  </si>
  <si>
    <t>0099704544 / 252611578</t>
  </si>
  <si>
    <t>Aisyah Ratifah Sarjono</t>
  </si>
  <si>
    <t>0084373144 / 242510032</t>
  </si>
  <si>
    <t>Aloysius Arthur Sinurat</t>
  </si>
  <si>
    <t>0092027940 / 242510034</t>
  </si>
  <si>
    <t>Aluna Kalila Fauzan</t>
  </si>
  <si>
    <t>0097798929 / 242510045</t>
  </si>
  <si>
    <t>Anida Dewi Anjani</t>
  </si>
  <si>
    <t>0092388902 / 242510053</t>
  </si>
  <si>
    <t>Aqila Khairunnisa Putri</t>
  </si>
  <si>
    <t>0092260536 / 242510063</t>
  </si>
  <si>
    <t>Athalia Mayrossa Kenzie</t>
  </si>
  <si>
    <t>KELAS XI C3</t>
  </si>
  <si>
    <t>0086475767 / 242510068</t>
  </si>
  <si>
    <t>Aulia Rahmaditia Danang</t>
  </si>
  <si>
    <t>0099130384 / 242510073</t>
  </si>
  <si>
    <t>Wali Kelas :  Margaretha Sumartining, S.Pd</t>
  </si>
  <si>
    <t>Aurellia Odelina Askanah Han</t>
  </si>
  <si>
    <t>0097660827 / 242510081</t>
  </si>
  <si>
    <t>Banuwarman</t>
  </si>
  <si>
    <t>0096109567 / 242510084</t>
  </si>
  <si>
    <t>2107246447 / 252610014</t>
  </si>
  <si>
    <t>Affy Kaew Ni'Mitr Alhanafi</t>
  </si>
  <si>
    <t>Bilqis Khumairah Putri</t>
  </si>
  <si>
    <t>3105167232 / 252610040</t>
  </si>
  <si>
    <t>Alifa Taqqiya Zahwa</t>
  </si>
  <si>
    <t>0095745176 / 242510087</t>
  </si>
  <si>
    <t>0104084075 / 252610076</t>
  </si>
  <si>
    <t>Ario Bimo Wicaksono</t>
  </si>
  <si>
    <t>0091234811 / 242510090</t>
  </si>
  <si>
    <t>Cemara Anggraeny</t>
  </si>
  <si>
    <t>0108675973 / 252610081</t>
  </si>
  <si>
    <t>Aruni Khalila Ayu</t>
  </si>
  <si>
    <t>0091342789 / 242510094</t>
  </si>
  <si>
    <t>Chiara Anggun Dameyanti Sirait</t>
  </si>
  <si>
    <t>0082284975 / 242510115</t>
  </si>
  <si>
    <t>0095992391 / 252610082</t>
  </si>
  <si>
    <t>Disya Cahaya Carrisa</t>
  </si>
  <si>
    <t>Arya Aditya Gunawan</t>
  </si>
  <si>
    <t>0096026876 / 242510137</t>
  </si>
  <si>
    <t>0091952413 / 252610085</t>
  </si>
  <si>
    <t>0097494303 / 242510150</t>
  </si>
  <si>
    <t>Ghina Yumna</t>
  </si>
  <si>
    <t>0108104548 / 252610087</t>
  </si>
  <si>
    <t>Asyifa Diandra Bayu</t>
  </si>
  <si>
    <t>0091325828 / 242510155</t>
  </si>
  <si>
    <t>Grasela Riyanti</t>
  </si>
  <si>
    <t>0097138954 / 252610110</t>
  </si>
  <si>
    <t>Aziz Sakhi Zaidan</t>
  </si>
  <si>
    <t>0099418331 / 242510190</t>
  </si>
  <si>
    <t>Keisya Nurmaulida</t>
  </si>
  <si>
    <t>0101964014 / 252610111</t>
  </si>
  <si>
    <t>Azka Ivano Ananda Hidayat</t>
  </si>
  <si>
    <t>0098415432 / 242510196</t>
  </si>
  <si>
    <t>Kezia Aulia Hattalaibessij</t>
  </si>
  <si>
    <t>0105133490 / 252610119</t>
  </si>
  <si>
    <t>Belva Thalita Ramadhena</t>
  </si>
  <si>
    <t>3082881499 / 242510243</t>
  </si>
  <si>
    <t>Muhamad Ikmal</t>
  </si>
  <si>
    <t>0108329102 / 252610121</t>
  </si>
  <si>
    <t>Bianca Aurelia Putri Asari</t>
  </si>
  <si>
    <t>0084468197 / 242510246</t>
  </si>
  <si>
    <t>Muhamad Zahran Ramadhan</t>
  </si>
  <si>
    <t>0099900563 / 252610123</t>
  </si>
  <si>
    <t>0095554126 / 242510253</t>
  </si>
  <si>
    <t>Bilqis Nikita Aylani</t>
  </si>
  <si>
    <t>Muhammad Bagus Haryo Pratama</t>
  </si>
  <si>
    <t>0095029451 / 242510255</t>
  </si>
  <si>
    <t>Muhammad Daffa Rifai</t>
  </si>
  <si>
    <t>262711383 / 0107070508</t>
  </si>
  <si>
    <t>Bima Fikri Yudha Ardana</t>
  </si>
  <si>
    <t>0084998907 / 242510273</t>
  </si>
  <si>
    <t>0109682985 / 252610127</t>
  </si>
  <si>
    <t>Bintang Jati Pratama</t>
  </si>
  <si>
    <t>3097947979 / 242510280</t>
  </si>
  <si>
    <t>Muhammad Yusril Ihza Bustomi</t>
  </si>
  <si>
    <t>0099153455 / 252610128</t>
  </si>
  <si>
    <t>Bintang Mahardika Abhyoso Ardy</t>
  </si>
  <si>
    <t>0091225757 / 242510288</t>
  </si>
  <si>
    <t>Nadya Fayza Aulia</t>
  </si>
  <si>
    <t>0092725675 / 252610143</t>
  </si>
  <si>
    <t>Daffa Hafizh Firdausi</t>
  </si>
  <si>
    <t>0099551790 / 242510296</t>
  </si>
  <si>
    <t>Naurah Khansa Wibawa</t>
  </si>
  <si>
    <t>0089608543 / 242510309</t>
  </si>
  <si>
    <t>Nuri Sabilatul Aspiya</t>
  </si>
  <si>
    <t>0102221985 / 252610149</t>
  </si>
  <si>
    <t>0098835028 / 242510334</t>
  </si>
  <si>
    <t>Deana Azalea Belva</t>
  </si>
  <si>
    <t>Raffa Meyzaidan</t>
  </si>
  <si>
    <t>0108365392 / 252610217</t>
  </si>
  <si>
    <t>3097356141 / 242510353</t>
  </si>
  <si>
    <t>Galuh Pria Esa</t>
  </si>
  <si>
    <t>Rifzki Yusrin</t>
  </si>
  <si>
    <t>0097311898 / 242510379</t>
  </si>
  <si>
    <t>Shafira Ghassani</t>
  </si>
  <si>
    <t>0113691116 / 252610219</t>
  </si>
  <si>
    <t>Gerald Samuel Sitanggang</t>
  </si>
  <si>
    <t>0099130256 / 242510385</t>
  </si>
  <si>
    <t>Sulaim Apenino Abdulhaq</t>
  </si>
  <si>
    <t>0107335774 / 252610221</t>
  </si>
  <si>
    <t>Ghaniyah Adelia</t>
  </si>
  <si>
    <t>0082646713 / 242510398</t>
  </si>
  <si>
    <t>Talita Shaki Aulia</t>
  </si>
  <si>
    <t>0095770160 / 252610240</t>
  </si>
  <si>
    <t>Jazila Abid Niyaz Chan Lase</t>
  </si>
  <si>
    <t>0091537746 / 242510407</t>
  </si>
  <si>
    <t>0107691976 / 252610255</t>
  </si>
  <si>
    <t>Kania Wismar Adnyana</t>
  </si>
  <si>
    <t>3093288409 / 252610291</t>
  </si>
  <si>
    <t>Livia Vidyadhara</t>
  </si>
  <si>
    <t>0103732986 / 252610310</t>
  </si>
  <si>
    <t>Mazaya Marva Mardyanti</t>
  </si>
  <si>
    <t>0092772943 / 252610344</t>
  </si>
  <si>
    <t>Muhammad Daffa Alfarizki</t>
  </si>
  <si>
    <t>0101059940 / 252610358</t>
  </si>
  <si>
    <t>Muhammad In'Amul Aufa</t>
  </si>
  <si>
    <t>0103172803 / 262711387</t>
  </si>
  <si>
    <t>KELAS XII E1</t>
  </si>
  <si>
    <t>Muhammad Rafi Fadli</t>
  </si>
  <si>
    <t>3094594523 / 252610374</t>
  </si>
  <si>
    <t>Muhammad Tristan Sanjaya</t>
  </si>
  <si>
    <t>Wali Kelas : Artanti, S.Si.</t>
  </si>
  <si>
    <t>0096368920 / 252610387</t>
  </si>
  <si>
    <t>Nadhifa Qeysa Auliani Soehardi</t>
  </si>
  <si>
    <t>0093390743 / 242510006</t>
  </si>
  <si>
    <t>Adinda Queena Maheswari</t>
  </si>
  <si>
    <t xml:space="preserve">0093025696 / 262711388 </t>
  </si>
  <si>
    <t>Nadira Khansa Aulia</t>
  </si>
  <si>
    <t>0102300207 / 252610390</t>
  </si>
  <si>
    <t>Nadya Salwa Altiara</t>
  </si>
  <si>
    <t>0099505768 / 242510022</t>
  </si>
  <si>
    <t>Alex Saputra Suranta Tarigan</t>
  </si>
  <si>
    <t>0093801090 / 242510035</t>
  </si>
  <si>
    <t>0094328074 / 252610391</t>
  </si>
  <si>
    <t>Alwinsa Sugiharto</t>
  </si>
  <si>
    <t>0091758520 / 252610402</t>
  </si>
  <si>
    <t>Naufal Arzharel Ibrahimovic</t>
  </si>
  <si>
    <t>0097959305 / 242510047</t>
  </si>
  <si>
    <t>Anindito Pandu Fahrinugroho</t>
  </si>
  <si>
    <t>0101523916 / 252610414</t>
  </si>
  <si>
    <t>Nazwa Nur Rahmah</t>
  </si>
  <si>
    <t>0104883711 / 252610429</t>
  </si>
  <si>
    <t>Ohan Marhadi Haryono</t>
  </si>
  <si>
    <t>0084789093 / 242510051</t>
  </si>
  <si>
    <t>Annida Khairunnisa</t>
  </si>
  <si>
    <t>0106292164 / 252610438</t>
  </si>
  <si>
    <t>Putri Eisya</t>
  </si>
  <si>
    <t>3104085681 / 252610439</t>
  </si>
  <si>
    <t>Putri Zaqiyah</t>
  </si>
  <si>
    <t>2081404817 / 242510059</t>
  </si>
  <si>
    <t>Aryasatya Tridaya Alam</t>
  </si>
  <si>
    <t>0109464483 / 252610443</t>
  </si>
  <si>
    <t>0098812831 / 242510083</t>
  </si>
  <si>
    <t>Bilal Kaka Pratama Hartoyo</t>
  </si>
  <si>
    <t>0109599363 / 252610444</t>
  </si>
  <si>
    <t>Quensha Rahayu Kusuma Agora</t>
  </si>
  <si>
    <t>0083352872 / 242510098</t>
  </si>
  <si>
    <t>Daffa Iqram Al Fachreza</t>
  </si>
  <si>
    <t>0109551129 / 252610466</t>
  </si>
  <si>
    <t>Raisa Putri Rahima</t>
  </si>
  <si>
    <t>0086078004 / 242510103</t>
  </si>
  <si>
    <t>Deandra Nashwan Danish</t>
  </si>
  <si>
    <t>0091964566 / 252610474</t>
  </si>
  <si>
    <t>Rasya Arkananta Mulya</t>
  </si>
  <si>
    <t>0105816582 / 252610498</t>
  </si>
  <si>
    <t>0098775856 / 242510123</t>
  </si>
  <si>
    <t>Ruth Rafanela Syeby Siregar</t>
  </si>
  <si>
    <t>0093969715 / 242510128</t>
  </si>
  <si>
    <t>0095542022 / 252610506</t>
  </si>
  <si>
    <t>Fadel Maliq Fathani</t>
  </si>
  <si>
    <t>Salsabil Mulki</t>
  </si>
  <si>
    <t>0097062478 / 242510175</t>
  </si>
  <si>
    <t>Islamian Ikhsa Firmawan</t>
  </si>
  <si>
    <t>0082185766 / 242510181</t>
  </si>
  <si>
    <t>Juwinsyah Dwi Arga</t>
  </si>
  <si>
    <t>0087551275 / 242510211</t>
  </si>
  <si>
    <t>0107357472 / 252610522</t>
  </si>
  <si>
    <t>Langlang Syahadat Pulung Jati</t>
  </si>
  <si>
    <t>Sinta Dwi Nuri Widodo</t>
  </si>
  <si>
    <t>0093479168 / 242510225</t>
  </si>
  <si>
    <t>Maritza Alisha Fathi</t>
  </si>
  <si>
    <t>0107096617 / 252610541</t>
  </si>
  <si>
    <t>Taufik Hidayah</t>
  </si>
  <si>
    <t>0092786372 / 242510234</t>
  </si>
  <si>
    <t>Mirza Faiz Al Razak</t>
  </si>
  <si>
    <t>0091530728 / 242510235</t>
  </si>
  <si>
    <t>Mirza Muhammad Rafi Hanifaldin</t>
  </si>
  <si>
    <t>0086404055 / 242510242</t>
  </si>
  <si>
    <t>Muhamad Gatfan Suryabakti</t>
  </si>
  <si>
    <t>0085378932 / 242510240</t>
  </si>
  <si>
    <t>Muhammad Akbar</t>
  </si>
  <si>
    <t>0086360763 / 242510252</t>
  </si>
  <si>
    <t>Muhammad Atha Fauzansyah</t>
  </si>
  <si>
    <t>KELAS XI C4</t>
  </si>
  <si>
    <t>0088924007 / 242510259</t>
  </si>
  <si>
    <t>Muhammad Fairuz Pratama</t>
  </si>
  <si>
    <t>Wali Kelas :  Imania Bidari, S.Pd.</t>
  </si>
  <si>
    <t>0091944011 / 242510260</t>
  </si>
  <si>
    <t>Muhammad Faisal Ghani</t>
  </si>
  <si>
    <t>0094596470 / 242510262</t>
  </si>
  <si>
    <t>Muhammad Fatih Rayyan Niago</t>
  </si>
  <si>
    <t>0101303057 / 252610006</t>
  </si>
  <si>
    <t>Adara Luthfia Putri</t>
  </si>
  <si>
    <t>0092404318 / 242510265</t>
  </si>
  <si>
    <t>Muhammad Ghifaraidosata Suwondo</t>
  </si>
  <si>
    <t>0107122505 / 252610041</t>
  </si>
  <si>
    <t>Alifah Hasanah</t>
  </si>
  <si>
    <t>0095059901 / 242510266</t>
  </si>
  <si>
    <t>Muhammad Habil Mulyana</t>
  </si>
  <si>
    <t>0104406841 / 252610094</t>
  </si>
  <si>
    <t>Attiyah Naila Adza Alifah</t>
  </si>
  <si>
    <t>0098122055 / 242510275</t>
  </si>
  <si>
    <t>0099678017 / 252610098</t>
  </si>
  <si>
    <t>0086863385 / 242510300</t>
  </si>
  <si>
    <t>Nazua Ristiyana Viragupti</t>
  </si>
  <si>
    <t>0109105725 / 252610100</t>
  </si>
  <si>
    <t>0085675402 / 242510302</t>
  </si>
  <si>
    <t>Neisha Arinta Putri Sarjana</t>
  </si>
  <si>
    <t>0109010502 / 252610107</t>
  </si>
  <si>
    <t>Ayra Jauzaa Viranda</t>
  </si>
  <si>
    <t>0096488875 / 242510333</t>
  </si>
  <si>
    <t>Rafa Ibnu Kanaka</t>
  </si>
  <si>
    <t>0092241333 / 252610113</t>
  </si>
  <si>
    <t>Azri Aditya Amada</t>
  </si>
  <si>
    <t>0091126559 / 242510337</t>
  </si>
  <si>
    <t>0092637367 / 252610132</t>
  </si>
  <si>
    <t>Rais Aliyan</t>
  </si>
  <si>
    <t>Chairani Kanza Wulandaputri</t>
  </si>
  <si>
    <t>0109934428 / 252610137</t>
  </si>
  <si>
    <t>0094232336 / 242510347</t>
  </si>
  <si>
    <t>Chintya Serlin Armedta Hia</t>
  </si>
  <si>
    <t>Razan Muhammad Ihsan Solihin</t>
  </si>
  <si>
    <t>0103120702 / 252610144</t>
  </si>
  <si>
    <t>0099920490 / 242510352</t>
  </si>
  <si>
    <t>0081552525 / 252610150</t>
  </si>
  <si>
    <t>Defrino Viernadi Laitnis Yusfa</t>
  </si>
  <si>
    <t>0094865307 / 242510360</t>
  </si>
  <si>
    <t>0103091510 / 252610160</t>
  </si>
  <si>
    <t>Dian Noer Savitri</t>
  </si>
  <si>
    <t>0093523017 / 242510378</t>
  </si>
  <si>
    <t>Savrya Alwi Amani</t>
  </si>
  <si>
    <t>0074430959 / 252610172</t>
  </si>
  <si>
    <t>0094426892 / 242510424</t>
  </si>
  <si>
    <t>0092383688 / 252610195</t>
  </si>
  <si>
    <t>Fanisa Nurkamila Hamdani</t>
  </si>
  <si>
    <t>0082670071 / 242510429</t>
  </si>
  <si>
    <t>0099446424 / 252610199</t>
  </si>
  <si>
    <t>0095023834 / 252610206</t>
  </si>
  <si>
    <t>Fatimah Aszahra</t>
  </si>
  <si>
    <t>0107182013 / 252610228</t>
  </si>
  <si>
    <t>Henokh Prada Dhanendra Prasada</t>
  </si>
  <si>
    <t>0109669821 / 252610232</t>
  </si>
  <si>
    <t>Ilham Rizki Pratama</t>
  </si>
  <si>
    <t>0093634061 / 252610266</t>
  </si>
  <si>
    <t>Keisa Wanda Setiawan</t>
  </si>
  <si>
    <t>KELAS XII E2</t>
  </si>
  <si>
    <t>0094431854 / 252610296</t>
  </si>
  <si>
    <t>Madina Zulfa Aini</t>
  </si>
  <si>
    <t>Wali Kelas : Rudi Zaenudin, S.Kom.</t>
  </si>
  <si>
    <t>0106908655 / 252610306</t>
  </si>
  <si>
    <t>0108384400 / 252610320</t>
  </si>
  <si>
    <t>0098441334 / 242510029</t>
  </si>
  <si>
    <t>Almira Chairunnisa Imawan</t>
  </si>
  <si>
    <t>0108812130 / 252610328</t>
  </si>
  <si>
    <t>Muhamad Reyhan Nurhakim</t>
  </si>
  <si>
    <t>0095916190 / 242510033</t>
  </si>
  <si>
    <t>Althafunisa Radisty Samiadji</t>
  </si>
  <si>
    <t>0093270004 / 242510040</t>
  </si>
  <si>
    <t>0098979111 / 252610329</t>
  </si>
  <si>
    <t>Amora Romadearni Sinaga</t>
  </si>
  <si>
    <t>Muhamad Rizqi Darmawan</t>
  </si>
  <si>
    <t>0081317101 / 242510043</t>
  </si>
  <si>
    <t>Andika Artha Kusuma</t>
  </si>
  <si>
    <t>0093678218 / 252610333</t>
  </si>
  <si>
    <t>Muhamad Yusuf Zarkasi</t>
  </si>
  <si>
    <t>0088625335 / 242510062</t>
  </si>
  <si>
    <t>Atha Rezky Riyansyah</t>
  </si>
  <si>
    <t>0084865750 / 242510075</t>
  </si>
  <si>
    <t>Ayu Widyaningsih</t>
  </si>
  <si>
    <t>0108710844 / 252610355</t>
  </si>
  <si>
    <t>Muhammad Hafizh Arrantisi</t>
  </si>
  <si>
    <t>0089373986 / 242510076</t>
  </si>
  <si>
    <t>Ayudias Raina Zara</t>
  </si>
  <si>
    <t>0095937017 / 252610366</t>
  </si>
  <si>
    <t>Muhammad Raya Al Maghfirah</t>
  </si>
  <si>
    <t>0094394514 / 242510082</t>
  </si>
  <si>
    <t>Barep Agha Rioyo</t>
  </si>
  <si>
    <t>0093640113 / 252610397</t>
  </si>
  <si>
    <t>Nararya Hylmi Kenzie</t>
  </si>
  <si>
    <t>0093616890 / 242510097</t>
  </si>
  <si>
    <t>Daffa Diaz Arsya Bashari</t>
  </si>
  <si>
    <t>0197798879 / 262711389</t>
  </si>
  <si>
    <t>Naufalino Akmal Khairy</t>
  </si>
  <si>
    <t>0092463348 / 242510100</t>
  </si>
  <si>
    <t>0102174126 / 252610415</t>
  </si>
  <si>
    <t>Danish Alghifari</t>
  </si>
  <si>
    <t>Nazwa Savira</t>
  </si>
  <si>
    <t>0087035501 / 242510131</t>
  </si>
  <si>
    <t>Faiz Alfariz</t>
  </si>
  <si>
    <t>0097179421 / 242510163</t>
  </si>
  <si>
    <t>0105612000 / 252610417</t>
  </si>
  <si>
    <t>Neysha Aurelya Azzahra</t>
  </si>
  <si>
    <t>0084853605 / 242510164</t>
  </si>
  <si>
    <t>0103461516 / 252610433</t>
  </si>
  <si>
    <t>3092618789 / 242510170</t>
  </si>
  <si>
    <t>Priscilia Michelle Pasau</t>
  </si>
  <si>
    <t>Imam Al Ashfia Prastomo</t>
  </si>
  <si>
    <t>0092821103 / 242510174</t>
  </si>
  <si>
    <t>0098833541 / 252610440</t>
  </si>
  <si>
    <t>Irsyad Nabihan</t>
  </si>
  <si>
    <t>0095640564 / 262711391</t>
  </si>
  <si>
    <t>Raden Niesha Fitri Anwarudin</t>
  </si>
  <si>
    <t>0082472809 / 242510177</t>
  </si>
  <si>
    <t>Javasanda Putra Perdana</t>
  </si>
  <si>
    <t>3091944997 / 242510210</t>
  </si>
  <si>
    <t>0105994913 / 252610455</t>
  </si>
  <si>
    <t>Lais Yusuf Ghazali</t>
  </si>
  <si>
    <t>Radinka Alano Hamizan Abqari</t>
  </si>
  <si>
    <t>0081087411 / 242510224</t>
  </si>
  <si>
    <t>Marcel Tri Hermawan</t>
  </si>
  <si>
    <t>3103591489 / 252610459</t>
  </si>
  <si>
    <t>Rafael Anhar Armando</t>
  </si>
  <si>
    <t>0094864081 / 242510250</t>
  </si>
  <si>
    <t>Muhammad Ammar Firdaus Putra</t>
  </si>
  <si>
    <t>0105325672 / 262711395</t>
  </si>
  <si>
    <t>Raqilla Almira Fahrudin</t>
  </si>
  <si>
    <t>0095937371 / 242510263</t>
  </si>
  <si>
    <t>Muhammad Fikra Burhamzah</t>
  </si>
  <si>
    <t>0092605198 / 252610477</t>
  </si>
  <si>
    <t>0088807404 / 242510264</t>
  </si>
  <si>
    <t>Muhammad Ghaizyan Athar</t>
  </si>
  <si>
    <t>0085810407 / 242510279</t>
  </si>
  <si>
    <t>Muhammad Syawal</t>
  </si>
  <si>
    <t>0082898817 / 242510293</t>
  </si>
  <si>
    <t>Natanael Nadapdap</t>
  </si>
  <si>
    <t>0101383149 / 252610529</t>
  </si>
  <si>
    <t>Syahla Adzkannisa Vuzela</t>
  </si>
  <si>
    <t>0094465097 / 242510294</t>
  </si>
  <si>
    <t>Naufal Alghifary Zulya</t>
  </si>
  <si>
    <t>0099107315 / 252610530</t>
  </si>
  <si>
    <t>Syahla Nurul Arisma</t>
  </si>
  <si>
    <t>0084114869 / 242510322</t>
  </si>
  <si>
    <t>Putri Wida Az-Zahra</t>
  </si>
  <si>
    <t>0093433461 / 252610536</t>
  </si>
  <si>
    <t>Syarifah Nur Salsabila</t>
  </si>
  <si>
    <t>0092577014 / 242510330</t>
  </si>
  <si>
    <t>Raden Devan Alanzulfian</t>
  </si>
  <si>
    <t>0106490661 / 252610544</t>
  </si>
  <si>
    <t>Tiara Winni Melia</t>
  </si>
  <si>
    <t>3083166460 / 242510344</t>
  </si>
  <si>
    <t>Raufan Nabih Firmansyah</t>
  </si>
  <si>
    <t>0093324313 / 252610552</t>
  </si>
  <si>
    <t>Vincentius Daniel Ornando</t>
  </si>
  <si>
    <t>3094789704 / 242510357</t>
  </si>
  <si>
    <t>Rizky Abdul Bashir Tuharea</t>
  </si>
  <si>
    <t>0089336981 / 242510361</t>
  </si>
  <si>
    <t>Sabrina Firdaus Zahratuz Zakaria</t>
  </si>
  <si>
    <t>0104292767 / 252610560</t>
  </si>
  <si>
    <t>Zaidan Riziq Sakha</t>
  </si>
  <si>
    <t>0093441573 / 242510381</t>
  </si>
  <si>
    <t>Shayang Camila Ahsanie</t>
  </si>
  <si>
    <t>0095810986 / 252610562</t>
  </si>
  <si>
    <t>Zalfa Rizqia Nur Nadhifa</t>
  </si>
  <si>
    <t>0089493881 / 242510384</t>
  </si>
  <si>
    <t>Sila Nur Fauziah</t>
  </si>
  <si>
    <t>0086778655 / 242510386</t>
  </si>
  <si>
    <t>Surya Rangga Wisuta</t>
  </si>
  <si>
    <t>0085904748 / 242510401</t>
  </si>
  <si>
    <t>Tri Andika</t>
  </si>
  <si>
    <t>0084316906 / 242510413</t>
  </si>
  <si>
    <t>Win Mahara Kuswanto</t>
  </si>
  <si>
    <t>0095848946 / 242510423</t>
  </si>
  <si>
    <t>Zaidan Alifahridho Koeswanto</t>
  </si>
  <si>
    <t>0099880719 / 252611576</t>
  </si>
  <si>
    <t>Zihni Falih Safaras</t>
  </si>
  <si>
    <t>KELAS XI D1</t>
  </si>
  <si>
    <t>Wali Kelas :  Ahmad Tirtayasa, M.Pd</t>
  </si>
  <si>
    <t>KELAS XII F1</t>
  </si>
  <si>
    <t>0094216870 / 252610011</t>
  </si>
  <si>
    <t>Adinda Syahira Hariyadi</t>
  </si>
  <si>
    <t>3108509756 / 252610013</t>
  </si>
  <si>
    <t>Wali Kelas : Dra. Kristiana K, M.Pd</t>
  </si>
  <si>
    <t>Adrian Muhammad Fadillah</t>
  </si>
  <si>
    <t>0097950619 / 252610015</t>
  </si>
  <si>
    <t>Afgan Prima Rizkia Iskandar</t>
  </si>
  <si>
    <t>0099988861 / 242510021</t>
  </si>
  <si>
    <t>Aldy Pratama</t>
  </si>
  <si>
    <t>0098009248 / 252610035</t>
  </si>
  <si>
    <t>Alenka Meisyarofa</t>
  </si>
  <si>
    <t>0082151570 / 242510026</t>
  </si>
  <si>
    <t>Alifia Radya Pramesti</t>
  </si>
  <si>
    <t>0108389311 / 252610037</t>
  </si>
  <si>
    <t>Alfi Amalia</t>
  </si>
  <si>
    <t>2093857917 / 242510061</t>
  </si>
  <si>
    <t>Asri Fatima Azzahra</t>
  </si>
  <si>
    <t>3103201253 / 252610048</t>
  </si>
  <si>
    <t>Almira Dwi Safira</t>
  </si>
  <si>
    <t>0087522984 / 252611569</t>
  </si>
  <si>
    <t>Audi Nur Chantikaputri</t>
  </si>
  <si>
    <t>0106941990 / 252610063</t>
  </si>
  <si>
    <t>Andra Rakadityono</t>
  </si>
  <si>
    <t>0091072005 / 242510080</t>
  </si>
  <si>
    <t>Bagus Sugiharto</t>
  </si>
  <si>
    <t>0093123066 / 242510105</t>
  </si>
  <si>
    <t>0102036572 / 252610077</t>
  </si>
  <si>
    <t>Della Widya Wati</t>
  </si>
  <si>
    <t>Ariqah Putri Nasution</t>
  </si>
  <si>
    <t>0097482971 / 242510118</t>
  </si>
  <si>
    <t>Dzakira Aftani Herdianto</t>
  </si>
  <si>
    <t>0103134538 / 252610091</t>
  </si>
  <si>
    <t>Athaya Muhammad Daffa</t>
  </si>
  <si>
    <t>0087551985 / 242510122</t>
  </si>
  <si>
    <t>Elsamonic</t>
  </si>
  <si>
    <t>0093274791 / 252610115</t>
  </si>
  <si>
    <t>Bagaskara Bisma Anoka</t>
  </si>
  <si>
    <t>0095657957 / 242510132</t>
  </si>
  <si>
    <t>Faiza Ramadhani</t>
  </si>
  <si>
    <t>0106384221 / 252610145</t>
  </si>
  <si>
    <t>0083924202 / 242510139</t>
  </si>
  <si>
    <t>Dafsyah Arifa Putra</t>
  </si>
  <si>
    <t>Fauzan Nur Haidar</t>
  </si>
  <si>
    <t>0082690807 / 242510140</t>
  </si>
  <si>
    <t>3106961615 / 252610147</t>
  </si>
  <si>
    <t>Faza Azima Waalidaen</t>
  </si>
  <si>
    <t>Damara Dasha Bahi Utomo</t>
  </si>
  <si>
    <t>0082256467 / 242510145</t>
  </si>
  <si>
    <t>Firas Rizqy Wicaksono</t>
  </si>
  <si>
    <t>0097493642 / 252610158</t>
  </si>
  <si>
    <t>Dhyra Putra Pratama</t>
  </si>
  <si>
    <t>0087408326 / 242510149</t>
  </si>
  <si>
    <t>Gede Aira Sagita Putri Ksy</t>
  </si>
  <si>
    <t>0108696681 / 252610183</t>
  </si>
  <si>
    <t>Erlangga Ardiyanto</t>
  </si>
  <si>
    <t>0096589760 / 242510152</t>
  </si>
  <si>
    <t>Gizella Anggrietta</t>
  </si>
  <si>
    <t>0106157075 / 252610185</t>
  </si>
  <si>
    <t>Fabian Ahza Hidayat</t>
  </si>
  <si>
    <t>3094653721 / 242510157</t>
  </si>
  <si>
    <t>Hafizhoh Maryam Az-Zuhaely</t>
  </si>
  <si>
    <t>0091620147 / 252610189</t>
  </si>
  <si>
    <t>Faiha Raqilla Darmawan</t>
  </si>
  <si>
    <t>0091633107 / 242510168</t>
  </si>
  <si>
    <t>Husna Ila Kamil</t>
  </si>
  <si>
    <t>0094160236 / 252610209</t>
  </si>
  <si>
    <t>Fauzi Castle Satara</t>
  </si>
  <si>
    <t>0088742626 / 252611577</t>
  </si>
  <si>
    <t>Irsan Maulana</t>
  </si>
  <si>
    <t>0109156472 / 252610213</t>
  </si>
  <si>
    <t>Florencia Ivana</t>
  </si>
  <si>
    <t>0092593035 / 242510178</t>
  </si>
  <si>
    <t>Jesika Nain Cahaya Siringo Ringo</t>
  </si>
  <si>
    <t>0107088869 / 262711385</t>
  </si>
  <si>
    <t>Hafizh Ikraam Ghazali</t>
  </si>
  <si>
    <t>3084804073 / 252611570</t>
  </si>
  <si>
    <t>Keizya Zahra Permana</t>
  </si>
  <si>
    <t>0085208150 / 242510192</t>
  </si>
  <si>
    <t>Kesya Larasati</t>
  </si>
  <si>
    <t>0109256207 / 252610244</t>
  </si>
  <si>
    <t>Jesslyn Quinn Gabrielle Sitorus</t>
  </si>
  <si>
    <t>0089115919 / 242510194</t>
  </si>
  <si>
    <t>Kevin Sitanggang</t>
  </si>
  <si>
    <t>0107286739 / 252610258</t>
  </si>
  <si>
    <t>Karnizara Ringga Rabbani</t>
  </si>
  <si>
    <t>0092834368 / 242510198</t>
  </si>
  <si>
    <t>3099484913 / 242510237</t>
  </si>
  <si>
    <t>0103652262 / 252610269</t>
  </si>
  <si>
    <t>Mochamad Lewis Batmomolin</t>
  </si>
  <si>
    <t>Kenzie Dzakwan Ibrahim</t>
  </si>
  <si>
    <t>0087176231 / 242510218</t>
  </si>
  <si>
    <t>Muhammad Fadly Fadillah</t>
  </si>
  <si>
    <t>3097549496 / 242510258</t>
  </si>
  <si>
    <t>Muhammad Faiq Abdurrahman</t>
  </si>
  <si>
    <t>0098409943 / 252610304</t>
  </si>
  <si>
    <t>Maria Rica Stefany Demu</t>
  </si>
  <si>
    <t>0105918833 / 252610321</t>
  </si>
  <si>
    <t>0096931224 / 242510290</t>
  </si>
  <si>
    <t>Mouris Marcha Adisty</t>
  </si>
  <si>
    <t>Nafis Syahri Ramadhan</t>
  </si>
  <si>
    <t>0098087445 / 252610332</t>
  </si>
  <si>
    <t>Muhamad Thoriq Al Rasyad</t>
  </si>
  <si>
    <t>0095386380 / 242510314</t>
  </si>
  <si>
    <t>Pratamayoga Danishwara Lestiyo</t>
  </si>
  <si>
    <t>0094807008 / 242510331</t>
  </si>
  <si>
    <t>0113735828 / 252610335</t>
  </si>
  <si>
    <t>Radhwa Kadzia Salsabila</t>
  </si>
  <si>
    <t>Muhammad Akhtar Arkana Ramadhan</t>
  </si>
  <si>
    <t>0099423367 / 242510332</t>
  </si>
  <si>
    <t>0095243962 / 252610354</t>
  </si>
  <si>
    <t>Radif Ziyan Maryono</t>
  </si>
  <si>
    <t>Muhammad Gabriel</t>
  </si>
  <si>
    <t>0094095735 / 242510339</t>
  </si>
  <si>
    <t>Raisya Maulidhina</t>
  </si>
  <si>
    <t>0091031385 / 252610364</t>
  </si>
  <si>
    <t>Muhammad Rafli Ramsha</t>
  </si>
  <si>
    <t>3087304976 / 242510389</t>
  </si>
  <si>
    <t>Syahrul Ramadhan</t>
  </si>
  <si>
    <t>3107410887 / 252610365</t>
  </si>
  <si>
    <t>Muhammad Rasyad Mahdawi</t>
  </si>
  <si>
    <t>0097734463 / 242510394</t>
  </si>
  <si>
    <t>Syavira Dinar Handayani</t>
  </si>
  <si>
    <t>0094119764 / 252610368</t>
  </si>
  <si>
    <t>Muhammad Reyhan Alfariky</t>
  </si>
  <si>
    <t>0094647744 / 242510396</t>
  </si>
  <si>
    <t>Syifa Septia Putri</t>
  </si>
  <si>
    <t>0084357788 / 242510411</t>
  </si>
  <si>
    <t>Waddia Fazila Permana</t>
  </si>
  <si>
    <t>0092154795 / 252610370</t>
  </si>
  <si>
    <t>0097253280 / 242510415</t>
  </si>
  <si>
    <t>Windy Kenez Ayu Pramesty</t>
  </si>
  <si>
    <t>Muhammad Rizzieq Yusuf Natakusumah</t>
  </si>
  <si>
    <t>3096846304 / 252610381</t>
  </si>
  <si>
    <t>Muhammad Zuhear Alfan</t>
  </si>
  <si>
    <t>0098938532 / 252610392</t>
  </si>
  <si>
    <t>Naila Khansa Rahmawati</t>
  </si>
  <si>
    <t>0097892166 / 252610393</t>
  </si>
  <si>
    <t>Nailah Khoirunisa Arsanti</t>
  </si>
  <si>
    <t>0098429745 / 252610400</t>
  </si>
  <si>
    <t>0097540821 / 252610422</t>
  </si>
  <si>
    <t>Nourman Raditia Putra</t>
  </si>
  <si>
    <t>0108699884 / 252610447</t>
  </si>
  <si>
    <t>Quizal Razky Ahmad</t>
  </si>
  <si>
    <t>KELAS XII F2</t>
  </si>
  <si>
    <t>0107445789 / 252610456</t>
  </si>
  <si>
    <t>Raditya Rafa Abdillah</t>
  </si>
  <si>
    <t>Wali Kelas : Hj. Tintin Sugiharti, S.Pd., M.Pd.</t>
  </si>
  <si>
    <t>0109258787 / 252610458</t>
  </si>
  <si>
    <t>Rafa Farand Pratama</t>
  </si>
  <si>
    <t>0094313180 / 252610469</t>
  </si>
  <si>
    <t>0083949375 / 242510009</t>
  </si>
  <si>
    <t>Agisha Melandri</t>
  </si>
  <si>
    <t>0092263541 / 252610485</t>
  </si>
  <si>
    <t>Revan</t>
  </si>
  <si>
    <t>3091238165 / 242510015</t>
  </si>
  <si>
    <t>Aisha Syakira Putri</t>
  </si>
  <si>
    <t>0106183087 / 252610487</t>
  </si>
  <si>
    <t>Reynaldi</t>
  </si>
  <si>
    <t>0102838068 / 252610500</t>
  </si>
  <si>
    <t>Ryzen Gevandra Wirapratama</t>
  </si>
  <si>
    <t>0098994125 / 252611568</t>
  </si>
  <si>
    <t>Akhmad Kevin Ahdiansyah Lesmana</t>
  </si>
  <si>
    <t>0087718590 / 242510060</t>
  </si>
  <si>
    <t>Ashya Navisha</t>
  </si>
  <si>
    <t>0092524998 / 252610502</t>
  </si>
  <si>
    <t>Sajna Jerrusalem Kharima Sugeng Putri</t>
  </si>
  <si>
    <t>0096418415 / 242510078</t>
  </si>
  <si>
    <t>Azka  Abidah Sukma Cahyani</t>
  </si>
  <si>
    <t>0096383417 / 242510089</t>
  </si>
  <si>
    <t>Callysta Sadira Rizqullah Khaniza</t>
  </si>
  <si>
    <t>0107487290 / 252610504</t>
  </si>
  <si>
    <t>Salman Latif Anshari</t>
  </si>
  <si>
    <t>0093167605 / 242510093</t>
  </si>
  <si>
    <t>Cheysa Dara Maharani</t>
  </si>
  <si>
    <t>0102630183 / 252610534</t>
  </si>
  <si>
    <t>0096872219 / 242510106</t>
  </si>
  <si>
    <t>3094664028 / 252610549</t>
  </si>
  <si>
    <t>Tubagus Mochamad Rizki Fauzan Al Faris</t>
  </si>
  <si>
    <t>0093311941 / 242510107</t>
  </si>
  <si>
    <t>Devi Nuraini</t>
  </si>
  <si>
    <t>0111428850 / 252610564</t>
  </si>
  <si>
    <t>0091519291 / 242510109</t>
  </si>
  <si>
    <t>Zavier Lamya Arkanowinatha</t>
  </si>
  <si>
    <t>Dhiyaul Aqlan Abqory</t>
  </si>
  <si>
    <t>0093772011 / 242510125</t>
  </si>
  <si>
    <t>Evandika Juliandi</t>
  </si>
  <si>
    <t>0083597126 / 242510127</t>
  </si>
  <si>
    <t>Excellita Mayda Nurussyfa</t>
  </si>
  <si>
    <t>0081527579 / 242510147</t>
  </si>
  <si>
    <t>Fx Arya Bima Saputra</t>
  </si>
  <si>
    <t>3088903236 / 242510154</t>
  </si>
  <si>
    <t>Graceya Felisya Sinurat</t>
  </si>
  <si>
    <t>0098700438 / 242510156</t>
  </si>
  <si>
    <t>Hadaya Bassam Faris Sawaftah</t>
  </si>
  <si>
    <t>0095159012 / 242510166</t>
  </si>
  <si>
    <t>Hilwa Zakiyyah</t>
  </si>
  <si>
    <t>0087336074 / 242510195</t>
  </si>
  <si>
    <t>Keysa Novasari</t>
  </si>
  <si>
    <t>0083317171 / 242510203</t>
  </si>
  <si>
    <t>Khansaa Dhiyaa Aqiilaa</t>
  </si>
  <si>
    <t>3081754398 / 242510219</t>
  </si>
  <si>
    <t>M. Fauzan Aifa Hafizh</t>
  </si>
  <si>
    <t>KELAS XI D2</t>
  </si>
  <si>
    <t>0098773886 / 242510223</t>
  </si>
  <si>
    <t>Malikah Putri Rafan</t>
  </si>
  <si>
    <t>0098848130 / 242510228</t>
  </si>
  <si>
    <t>Maulida Maftuhah</t>
  </si>
  <si>
    <t>0088667313 / 242510236</t>
  </si>
  <si>
    <t>Mochamad Farid Reza</t>
  </si>
  <si>
    <t>Wali Kelas :  Dijah Noeringtyas, M.Pd.</t>
  </si>
  <si>
    <t>0093423349 / 242510245</t>
  </si>
  <si>
    <t>Muhamad Rizki Saputra</t>
  </si>
  <si>
    <t>0089737965 / 242510247</t>
  </si>
  <si>
    <t>Muhamad Zidan</t>
  </si>
  <si>
    <t>0094703204 / 252610002</t>
  </si>
  <si>
    <t>Abhinaya Zaidan Akbar</t>
  </si>
  <si>
    <t>0091624427 / 242510249</t>
  </si>
  <si>
    <t>Muhammad Alfiansyah</t>
  </si>
  <si>
    <t>0106681838 / 252610003</t>
  </si>
  <si>
    <t>Abyan Zuka Ibrahim Nasution</t>
  </si>
  <si>
    <t>0083876462 / 242510267</t>
  </si>
  <si>
    <t>0106136353 / 252610016</t>
  </si>
  <si>
    <t>Muhammad Hiroshi Ali Muzaffar</t>
  </si>
  <si>
    <t>Ahmad Azmi Mutaarrofi</t>
  </si>
  <si>
    <t>0082604990 / 242510276</t>
  </si>
  <si>
    <t>0092017710 / 252610028</t>
  </si>
  <si>
    <t>Aisyah Agustiani</t>
  </si>
  <si>
    <t>0087043705 / 242510307</t>
  </si>
  <si>
    <t>Nur Syifa Az Zahra</t>
  </si>
  <si>
    <t>0099668827 / 252610034</t>
  </si>
  <si>
    <t>Al Jadid Syafruddin Lubis</t>
  </si>
  <si>
    <t>0081683598 / 242510316</t>
  </si>
  <si>
    <t>Puteri Kinnayya Saepudin</t>
  </si>
  <si>
    <t>0102149444 / 252610053</t>
  </si>
  <si>
    <t>Alzena Juneeta Talisha Theo</t>
  </si>
  <si>
    <t>0094092301 / 252611573</t>
  </si>
  <si>
    <t>Raja Gilang Faizin</t>
  </si>
  <si>
    <t>0107838813 / 252610056</t>
  </si>
  <si>
    <t>Amira Najwa Fauziyah</t>
  </si>
  <si>
    <t>0092685479 / 252611574</t>
  </si>
  <si>
    <t>Randacaya Hada Sangadji</t>
  </si>
  <si>
    <t>0106758481 / 252610064</t>
  </si>
  <si>
    <t>Anindya Estyana Damayanti</t>
  </si>
  <si>
    <t>0095319720 / 242510364</t>
  </si>
  <si>
    <t>0099883843 / 262711381</t>
  </si>
  <si>
    <t>Sakinah Nasution</t>
  </si>
  <si>
    <t>Aqilah Hanun Khairiyah</t>
  </si>
  <si>
    <t>0106142601 / 252610083</t>
  </si>
  <si>
    <t>Aryasatia Pradipta</t>
  </si>
  <si>
    <t>0084006956 / 242510400</t>
  </si>
  <si>
    <t>0092171774 / 252610089</t>
  </si>
  <si>
    <t>Ataya Arkan Ramadhan</t>
  </si>
  <si>
    <t>0102731314 / 252610124</t>
  </si>
  <si>
    <t>Bima Adyatma Ilmiawan</t>
  </si>
  <si>
    <t>0094126705 / 252610130</t>
  </si>
  <si>
    <t>Callysta Tuchi Solin</t>
  </si>
  <si>
    <t>0099164493 / 252610156</t>
  </si>
  <si>
    <t>Dhia Devita Ramadhani</t>
  </si>
  <si>
    <t>0093242338 / 252610170</t>
  </si>
  <si>
    <t>Divania Kayla Windu Sabrina</t>
  </si>
  <si>
    <t>0105914504 / 252610171</t>
  </si>
  <si>
    <t>Diwangkara Rizki Rabbani</t>
  </si>
  <si>
    <t>0094004131 / 252610182</t>
  </si>
  <si>
    <t>Enzo Asido Rama Raditya</t>
  </si>
  <si>
    <t>0096892367 / 252610190</t>
  </si>
  <si>
    <t>Fajri Pardomuan Pohan</t>
  </si>
  <si>
    <t>0107425879 / 252610191</t>
  </si>
  <si>
    <t>0107657965 / 252610202</t>
  </si>
  <si>
    <t>Fathi Azzam Hawwari</t>
  </si>
  <si>
    <t>0104987304 / 252610216</t>
  </si>
  <si>
    <t>Friska Feby Aulia</t>
  </si>
  <si>
    <t>0102210036 / 252610243</t>
  </si>
  <si>
    <t>Jerry Dwi Cahyono Putro</t>
  </si>
  <si>
    <t>0103648473 / 252610246</t>
  </si>
  <si>
    <t>Jihan Al Hasya</t>
  </si>
  <si>
    <t>3099544859 / 252610251</t>
  </si>
  <si>
    <t>Jovan Khayru Affandi</t>
  </si>
  <si>
    <t>0093078917 / 252610252</t>
  </si>
  <si>
    <t>Juan Pirlo Benzema</t>
  </si>
  <si>
    <t>0104211640 / 252610259</t>
  </si>
  <si>
    <t>Kartika Larasati</t>
  </si>
  <si>
    <t>3091547533 / 252610275</t>
  </si>
  <si>
    <t>0092150853 / 252610278</t>
  </si>
  <si>
    <t>Khalifi Ramadhan Darmawan Anda</t>
  </si>
  <si>
    <t>0097951249 / 252610282</t>
  </si>
  <si>
    <t>0094677765 / 252610313</t>
  </si>
  <si>
    <t>Michael Mazmur Hatorangan Hutabarat</t>
  </si>
  <si>
    <t>0107959828 / 252610316</t>
  </si>
  <si>
    <t>Mochamad Nayaka Tuharea</t>
  </si>
  <si>
    <t>0104328116 / 252610318</t>
  </si>
  <si>
    <t>Mohammad Arsa Dafansyah</t>
  </si>
  <si>
    <t>0108695912 / 252610334</t>
  </si>
  <si>
    <t>3104497802 / 252610351</t>
  </si>
  <si>
    <t>Muhammad Fathan Assidiq</t>
  </si>
  <si>
    <t>3108018555 / 252610353</t>
  </si>
  <si>
    <t>0105497173 / 252610357</t>
  </si>
  <si>
    <t>Muhammad Ihsan Putra Pamungkas</t>
  </si>
  <si>
    <t>0104535464 / 252610362</t>
  </si>
  <si>
    <t>Muhammad Nazam Rizal</t>
  </si>
  <si>
    <t>0097410697 / 252610373</t>
  </si>
  <si>
    <t>Muhammad Sulthon Najib</t>
  </si>
  <si>
    <t>0108592067 / 252610418</t>
  </si>
  <si>
    <t>Ni Putu Anjani Dewi Diningrat</t>
  </si>
  <si>
    <t>0109782055 / 252610435</t>
  </si>
  <si>
    <t>Puffin Rohis Jusup Manurung</t>
  </si>
  <si>
    <t>0104838010 / 252610480</t>
  </si>
  <si>
    <t>Rei Dillan Hartedi</t>
  </si>
  <si>
    <t>3102286552 / 252610523</t>
  </si>
  <si>
    <t>Siti Iklima Sakurani</t>
  </si>
  <si>
    <t>0098052333 / 252610543</t>
  </si>
  <si>
    <t>Teduh Mutiara Hapsari</t>
  </si>
  <si>
    <t>0102751293 / 252610546</t>
  </si>
  <si>
    <t>Titania Dwizita Shahla</t>
  </si>
  <si>
    <t>0105614197 / 252610547</t>
  </si>
  <si>
    <t>Tristan Lovriano Aryasatya</t>
  </si>
  <si>
    <t>0108340159 / 252610548</t>
  </si>
  <si>
    <t>Tsamara Privita Sya'Ban Syahdu</t>
  </si>
  <si>
    <t>0093632849 / 252610561</t>
  </si>
  <si>
    <t>Zaki Arya Wicaksono</t>
  </si>
  <si>
    <t>KELAS XI E1</t>
  </si>
  <si>
    <t>Wali Kelas :  Nur Adillawati, M.Pd</t>
  </si>
  <si>
    <t>0104550133 / 252610039</t>
  </si>
  <si>
    <t>0098197227 / 252610067</t>
  </si>
  <si>
    <t>Annisa Fitriyani</t>
  </si>
  <si>
    <t>0108144208 / 252610069</t>
  </si>
  <si>
    <t>Aphrodyta Aurelia Avrilla</t>
  </si>
  <si>
    <t>3111697965 / 252610073</t>
  </si>
  <si>
    <t>Aqilla Al-Farabi</t>
  </si>
  <si>
    <t>0096853688 / 252610074</t>
  </si>
  <si>
    <t>Aqueena Putri Salimah</t>
  </si>
  <si>
    <t>0096011114 / 252610104</t>
  </si>
  <si>
    <t>Avemarianne Ninetrie Septiane</t>
  </si>
  <si>
    <t>0105089607 / 252610108</t>
  </si>
  <si>
    <t>Aysha Mahira Dewi Tryana</t>
  </si>
  <si>
    <t>3105650741 / 252610112</t>
  </si>
  <si>
    <t>Azkiara Andhita</t>
  </si>
  <si>
    <t>0096477713 / 252610122</t>
  </si>
  <si>
    <t>0096506746 / 252610131</t>
  </si>
  <si>
    <t>Carissa Alia Andinaputri</t>
  </si>
  <si>
    <t>0104378571 / 252610133</t>
  </si>
  <si>
    <t>Chayra Putri Dwinata</t>
  </si>
  <si>
    <t>0107900663 / 252610135</t>
  </si>
  <si>
    <t>Cheryl Anandiora</t>
  </si>
  <si>
    <t>0102794623 / 252610136</t>
  </si>
  <si>
    <t>Cheryl Faiha Al-Tair</t>
  </si>
  <si>
    <t>0104141415 / 252610186</t>
  </si>
  <si>
    <t>Fadhilah Raisa Kamilati</t>
  </si>
  <si>
    <t>0094686377 / 252610201</t>
  </si>
  <si>
    <t>Farras Putra Zema</t>
  </si>
  <si>
    <t>0094573200 / 252610220</t>
  </si>
  <si>
    <t>Ghaniah Aqilah</t>
  </si>
  <si>
    <t>0094631117 / 252610224</t>
  </si>
  <si>
    <t>Gwenna Irene Winata</t>
  </si>
  <si>
    <t>0091763745 / 252610229</t>
  </si>
  <si>
    <t>Hikmah Septiya</t>
  </si>
  <si>
    <t>0102890859 / 252610235</t>
  </si>
  <si>
    <t>0104574006 / 252610262</t>
  </si>
  <si>
    <t>Kayla Althafunnisa Arrasyid</t>
  </si>
  <si>
    <t>0094564578 / 252610277</t>
  </si>
  <si>
    <t>Khalid Ahmad Ghazali</t>
  </si>
  <si>
    <t>0109221606 / 252610279</t>
  </si>
  <si>
    <t>Khalisa Silmi Jovita Warsito</t>
  </si>
  <si>
    <t>0103272603 / 252610288</t>
  </si>
  <si>
    <t>Laura Aubrey Gracia Lubis</t>
  </si>
  <si>
    <t>0109361118 / 252610290</t>
  </si>
  <si>
    <t>Lionel Boanerges Raffles Simangunsong</t>
  </si>
  <si>
    <t>3107979922 / 252610323</t>
  </si>
  <si>
    <t>Muhamad Gaza Al-Mahdi</t>
  </si>
  <si>
    <t>0095022365 / 252610337</t>
  </si>
  <si>
    <t>Muhammad Ariel Setiawan</t>
  </si>
  <si>
    <t>0093828028 / 252610340</t>
  </si>
  <si>
    <t>Muhammad Arsyal Divo Firmansyah</t>
  </si>
  <si>
    <t>0104557332 / 252610341</t>
  </si>
  <si>
    <t>Muhammad Azka Shahizinda</t>
  </si>
  <si>
    <t>0098849299 / 252610342</t>
  </si>
  <si>
    <t>Muhammad Azzam Ananda Fatahilah</t>
  </si>
  <si>
    <t>0103887571 / 252610359</t>
  </si>
  <si>
    <t>Muhammad Javier</t>
  </si>
  <si>
    <t>0092807405 / 252610371</t>
  </si>
  <si>
    <t>Muhammad Rodzul Amrullah</t>
  </si>
  <si>
    <t>0102000943 / 252610388</t>
  </si>
  <si>
    <t>Nadia Delisa Saefani</t>
  </si>
  <si>
    <t>3102974181 / 252610405</t>
  </si>
  <si>
    <t>Naureen Shabiha Zahira</t>
  </si>
  <si>
    <t>0093768427 / 252610416</t>
  </si>
  <si>
    <t>Neng Rahmi Novianti</t>
  </si>
  <si>
    <t>0103404970 / 252610419</t>
  </si>
  <si>
    <t>3099055467 / 252610437</t>
  </si>
  <si>
    <t>Puthik Ramadani</t>
  </si>
  <si>
    <t>0101582567 / 252610446</t>
  </si>
  <si>
    <t>Quinsha Rizkya Irawan</t>
  </si>
  <si>
    <t>0097963483 / 252610454</t>
  </si>
  <si>
    <t>Raden Muhammad Rafi Wiranata</t>
  </si>
  <si>
    <t>0105055522 / 252610461</t>
  </si>
  <si>
    <t>Rahma Marissa</t>
  </si>
  <si>
    <t>/ 262711394</t>
  </si>
  <si>
    <t>Ra'isyah Ra'fa Famawarida Brawijaya</t>
  </si>
  <si>
    <t>0093090773 / 252610481</t>
  </si>
  <si>
    <t>Reisha Azzahra Pramesti</t>
  </si>
  <si>
    <t>0093712588 / 252610482</t>
  </si>
  <si>
    <t>Rendy Gilang Novianto</t>
  </si>
  <si>
    <t>0108406931 / 252610484</t>
  </si>
  <si>
    <t>Reva Aulia Putri</t>
  </si>
  <si>
    <t>0093204066 / 252610493</t>
  </si>
  <si>
    <t>Rizqiyanah Qaysarania Herawan</t>
  </si>
  <si>
    <t>0102657659 / 252610513</t>
  </si>
  <si>
    <t>0106701592 / 252610527</t>
  </si>
  <si>
    <t>Syafiqa Bariq Mahya</t>
  </si>
  <si>
    <t>0104155224 / 252610532</t>
  </si>
  <si>
    <t>Syahluna Ananta Putri</t>
  </si>
  <si>
    <t>KELAS XI E2</t>
  </si>
  <si>
    <t>Wali Kelas :  M. Yusuf, S.Pd.</t>
  </si>
  <si>
    <t>0095491750 / 252610018</t>
  </si>
  <si>
    <t>Ahmad Farely Azriel</t>
  </si>
  <si>
    <t>0108974704 / 252610019</t>
  </si>
  <si>
    <t>Ahmad Hafidz Anwar</t>
  </si>
  <si>
    <t>0107934430 / 252610024</t>
  </si>
  <si>
    <t>Aira Febria Sari</t>
  </si>
  <si>
    <t>3097129671 / 252610030</t>
  </si>
  <si>
    <t>Aisyah Hanifa Redana</t>
  </si>
  <si>
    <t>0103659705 / 252610049</t>
  </si>
  <si>
    <t>Altaira Aqila Myesha Ario</t>
  </si>
  <si>
    <t>0097357764 / 252610054</t>
  </si>
  <si>
    <t>Amelia Nur Zahra</t>
  </si>
  <si>
    <t>0109006152 / 252610058</t>
  </si>
  <si>
    <t>Ammar Raziq Mahdiya</t>
  </si>
  <si>
    <t>0109904498 / 252610075</t>
  </si>
  <si>
    <t>Arfan Kristian Perlindungan Harefa</t>
  </si>
  <si>
    <t>0098513542 / 252610084</t>
  </si>
  <si>
    <t>Ashiila Rindu Dwi Laufli</t>
  </si>
  <si>
    <t>0103045473 / 252610088</t>
  </si>
  <si>
    <t>Asyifa Maulidia Salsabila</t>
  </si>
  <si>
    <t>0104751597 / 252610093</t>
  </si>
  <si>
    <t>Attaya Putri Faslahi</t>
  </si>
  <si>
    <t>0104439014 / 252610105</t>
  </si>
  <si>
    <t>Avrillino Herza Pratama</t>
  </si>
  <si>
    <t>3094942931 / 252610151</t>
  </si>
  <si>
    <t>Dela Ananda Putri</t>
  </si>
  <si>
    <t>3104617391 / 252610153</t>
  </si>
  <si>
    <t>0098157268 / 252610154</t>
  </si>
  <si>
    <t>Devani Keyla Noris</t>
  </si>
  <si>
    <t>0098223677 / 252610162</t>
  </si>
  <si>
    <t>Diaz Syeza Zivanna</t>
  </si>
  <si>
    <t>0092597384 / 252610163</t>
  </si>
  <si>
    <t>0098248691 / 252610168</t>
  </si>
  <si>
    <t>Dinda Syifa Rahmayanti</t>
  </si>
  <si>
    <t>0092097491 / 252610175</t>
  </si>
  <si>
    <t>Dzahra Miftahuljanah</t>
  </si>
  <si>
    <t>0093286261 / 252610194</t>
  </si>
  <si>
    <t>Fanesya Agfrisfidia</t>
  </si>
  <si>
    <t>0103174946 / 252610203</t>
  </si>
  <si>
    <t>Fathia Adilla Ramsha</t>
  </si>
  <si>
    <t>0109768822 / 252610204</t>
  </si>
  <si>
    <t>Fathia Amia Rizqi</t>
  </si>
  <si>
    <t>0102329313 / 252610222</t>
  </si>
  <si>
    <t>Gita Tazkiyatunnisa</t>
  </si>
  <si>
    <t>0105055119 / 252610264</t>
  </si>
  <si>
    <t>Kaysa Maharani Sofyan</t>
  </si>
  <si>
    <t>0094966956 / 252610272</t>
  </si>
  <si>
    <t>Keyla Ananda Safitri</t>
  </si>
  <si>
    <t>0099375007 / 252610273</t>
  </si>
  <si>
    <t>Keyla Putri Saksono</t>
  </si>
  <si>
    <t>0106434110 / 252610303</t>
  </si>
  <si>
    <t>Maria Agatha Cherlin Christiani</t>
  </si>
  <si>
    <t>0092608342 / 252610309</t>
  </si>
  <si>
    <t>Mazaya Aqila Betha Diladena</t>
  </si>
  <si>
    <t>0103979225 / 252610325</t>
  </si>
  <si>
    <t>Muhamad Juan Arkhan</t>
  </si>
  <si>
    <t>0108518402 / 252610336</t>
  </si>
  <si>
    <t>Muhammad Akmaluddin</t>
  </si>
  <si>
    <t>0094912922 / 252610346</t>
  </si>
  <si>
    <t>Muhammad Evan Fadillah</t>
  </si>
  <si>
    <t>0101578446 / 252610348</t>
  </si>
  <si>
    <t>Muhammad Fahry Tyandra</t>
  </si>
  <si>
    <t>0098186648 / 252610367</t>
  </si>
  <si>
    <t>Muhammad Revan Adi Saputra</t>
  </si>
  <si>
    <t>0108107461 / 252610369</t>
  </si>
  <si>
    <t>Muhammad Rizky Aditya Putra Sukmawijayaguna</t>
  </si>
  <si>
    <t>0092223990 / 252610384</t>
  </si>
  <si>
    <t>Nabilah Shakeela Kusuma</t>
  </si>
  <si>
    <t>0096753454 / 252610385</t>
  </si>
  <si>
    <t>Nadhifa Amelia Garjita</t>
  </si>
  <si>
    <t>0108770789 / 252610412</t>
  </si>
  <si>
    <t>Nayyira Ghania Mehnaz</t>
  </si>
  <si>
    <t>0105961239 / 252610413</t>
  </si>
  <si>
    <t>Nazwa Malika Asral</t>
  </si>
  <si>
    <t>0095623487 / 252610430</t>
  </si>
  <si>
    <t>Olivia Desvita Sari</t>
  </si>
  <si>
    <t>0106961567 / 252610448</t>
  </si>
  <si>
    <t>R.A.M. Fakhri Izzuddin Mashur</t>
  </si>
  <si>
    <t>0106245820 / 252610457</t>
  </si>
  <si>
    <t>Radya Camilla Arinda</t>
  </si>
  <si>
    <t>0095160472 / 252610488</t>
  </si>
  <si>
    <t>Rheiska Amelia</t>
  </si>
  <si>
    <t>3104089400 / 252610492</t>
  </si>
  <si>
    <t>Rizky Putra Kunta Ajie</t>
  </si>
  <si>
    <t>0106588309 / 252610515</t>
  </si>
  <si>
    <t>Shahira Hafiza Putri</t>
  </si>
  <si>
    <t>0106930882 / 252610520</t>
  </si>
  <si>
    <t>Shirane Ghaniyya Ramadhani</t>
  </si>
  <si>
    <t>0105010681 / 252610524</t>
  </si>
  <si>
    <t>Siva Muliyanti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</si>
</sst>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8.0"/>
      <color rgb="FFFFFFFF"/>
      <name val="Arial"/>
    </font>
    <font>
      <b/>
      <color theme="1"/>
      <name val="Arial"/>
      <scheme val="minor"/>
    </font>
    <font>
      <b/>
      <sz val="18.0"/>
      <color theme="1"/>
      <name val="Arial"/>
    </font>
    <font>
      <color theme="1"/>
      <name val="Arial Narrow"/>
    </font>
    <font/>
    <font>
      <sz val="11.0"/>
      <color theme="1"/>
      <name val="Calibri"/>
    </font>
    <font>
      <b/>
      <color theme="0"/>
      <name val="Arial"/>
      <scheme val="minor"/>
    </font>
    <font>
      <sz val="12.0"/>
      <color theme="1"/>
      <name val="Calibri"/>
    </font>
    <font>
      <b/>
      <color rgb="FF000000"/>
      <name val="Arial"/>
    </font>
    <font>
      <b/>
      <sz val="12.0"/>
      <color theme="1"/>
      <name val="Arial Narrow"/>
    </font>
    <font>
      <b/>
      <color theme="1"/>
      <name val="Arial"/>
    </font>
    <font>
      <b/>
      <color theme="0"/>
      <name val="Arial"/>
    </font>
    <font>
      <b/>
      <sz val="8.0"/>
      <color theme="0"/>
      <name val="Arial"/>
    </font>
    <font>
      <b/>
      <color rgb="FFFFFFFF"/>
      <name val="Arial"/>
    </font>
    <font>
      <color rgb="FF000000"/>
      <name val="Arial"/>
    </font>
    <font>
      <color rgb="FFFF0000"/>
      <name val="Arial"/>
    </font>
    <font>
      <color theme="1"/>
      <name val="Calibri"/>
    </font>
    <font>
      <color rgb="FF000000"/>
      <name val="Roboto"/>
    </font>
    <font>
      <color theme="1"/>
      <name val="Roboto"/>
    </font>
    <font>
      <b/>
      <sz val="8.0"/>
      <color theme="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9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 vertical="bottom"/>
    </xf>
    <xf borderId="1" fillId="0" fontId="6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right" textRotation="90" vertical="center"/>
    </xf>
    <xf borderId="1" fillId="0" fontId="7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2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right" readingOrder="0" textRotation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2" fillId="2" fontId="9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5" fillId="3" fontId="10" numFmtId="0" xfId="0" applyAlignment="1" applyBorder="1" applyFont="1">
      <alignment horizontal="center" vertical="bottom"/>
    </xf>
    <xf borderId="0" fillId="0" fontId="2" numFmtId="0" xfId="0" applyAlignment="1" applyFont="1">
      <alignment horizontal="left" readingOrder="0" textRotation="0" vertical="center"/>
    </xf>
    <xf borderId="0" fillId="0" fontId="2" numFmtId="164" xfId="0" applyAlignment="1" applyFont="1" applyNumberFormat="1">
      <alignment horizontal="right" readingOrder="0" textRotation="90" vertical="center"/>
    </xf>
    <xf borderId="0" fillId="0" fontId="2" numFmtId="0" xfId="0" applyAlignment="1" applyFont="1">
      <alignment horizontal="left" readingOrder="0"/>
    </xf>
    <xf borderId="5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2" fillId="0" fontId="4" numFmtId="0" xfId="0" applyAlignment="1" applyBorder="1" applyFont="1">
      <alignment horizontal="center" readingOrder="0"/>
    </xf>
    <xf borderId="0" fillId="0" fontId="13" numFmtId="0" xfId="0" applyAlignment="1" applyFont="1">
      <alignment horizontal="left" vertical="bottom"/>
    </xf>
    <xf borderId="5" fillId="0" fontId="8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5" fillId="2" fontId="14" numFmtId="0" xfId="0" applyAlignment="1" applyBorder="1" applyFont="1">
      <alignment horizontal="left" vertical="bottom"/>
    </xf>
    <xf borderId="0" fillId="0" fontId="2" numFmtId="164" xfId="0" applyAlignment="1" applyFont="1" applyNumberFormat="1">
      <alignment horizontal="right" readingOrder="0" shrinkToFit="0" textRotation="90" vertical="center" wrapText="1"/>
    </xf>
    <xf borderId="5" fillId="2" fontId="15" numFmtId="0" xfId="0" applyAlignment="1" applyBorder="1" applyFont="1">
      <alignment horizontal="left" vertical="bottom"/>
    </xf>
    <xf borderId="5" fillId="2" fontId="14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readingOrder="0" vertical="bottom"/>
    </xf>
    <xf borderId="0" fillId="0" fontId="17" numFmtId="0" xfId="0" applyAlignment="1" applyFont="1">
      <alignment horizontal="left" vertical="bottom"/>
    </xf>
    <xf borderId="5" fillId="2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bottom"/>
    </xf>
    <xf borderId="0" fillId="0" fontId="18" numFmtId="0" xfId="0" applyAlignment="1" applyFont="1">
      <alignment horizontal="left" readingOrder="0" vertical="bottom"/>
    </xf>
    <xf borderId="5" fillId="0" fontId="17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5" fillId="0" fontId="19" numFmtId="0" xfId="0" applyAlignment="1" applyBorder="1" applyFont="1">
      <alignment horizontal="center"/>
    </xf>
    <xf borderId="6" fillId="0" fontId="2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vertical="bottom"/>
    </xf>
    <xf borderId="5" fillId="0" fontId="19" numFmtId="0" xfId="0" applyBorder="1" applyFont="1"/>
    <xf quotePrefix="1" borderId="5" fillId="0" fontId="19" numFmtId="0" xfId="0" applyAlignment="1" applyBorder="1" applyFont="1">
      <alignment horizontal="center"/>
    </xf>
    <xf borderId="5" fillId="0" fontId="2" numFmtId="0" xfId="0" applyBorder="1" applyFont="1"/>
    <xf borderId="2" fillId="4" fontId="4" numFmtId="0" xfId="0" applyAlignment="1" applyBorder="1" applyFill="1" applyFont="1">
      <alignment readingOrder="0"/>
    </xf>
    <xf borderId="5" fillId="0" fontId="17" numFmtId="0" xfId="0" applyAlignment="1" applyBorder="1" applyFont="1">
      <alignment horizontal="left" readingOrder="0" vertical="bottom"/>
    </xf>
    <xf borderId="5" fillId="0" fontId="20" numFmtId="0" xfId="0" applyAlignment="1" applyBorder="1" applyFont="1">
      <alignment horizontal="left" readingOrder="0" shrinkToFit="0" vertical="center" wrapText="0"/>
    </xf>
    <xf borderId="5" fillId="4" fontId="1" numFmtId="0" xfId="0" applyAlignment="1" applyBorder="1" applyFont="1">
      <alignment horizontal="left" readingOrder="0" vertical="bottom"/>
    </xf>
    <xf borderId="5" fillId="4" fontId="2" numFmtId="0" xfId="0" applyAlignment="1" applyBorder="1" applyFont="1">
      <alignment readingOrder="0"/>
    </xf>
    <xf borderId="5" fillId="0" fontId="17" numFmtId="0" xfId="0" applyAlignment="1" applyBorder="1" applyFont="1">
      <alignment horizontal="left" readingOrder="0" vertical="center"/>
    </xf>
    <xf borderId="5" fillId="4" fontId="2" numFmtId="0" xfId="0" applyBorder="1" applyFont="1"/>
    <xf borderId="6" fillId="0" fontId="1" numFmtId="0" xfId="0" applyAlignment="1" applyBorder="1" applyFont="1">
      <alignment horizontal="left" readingOrder="0" shrinkToFit="0" vertical="center" wrapText="1"/>
    </xf>
    <xf borderId="5" fillId="5" fontId="8" numFmtId="0" xfId="0" applyAlignment="1" applyBorder="1" applyFill="1" applyFont="1">
      <alignment vertical="bottom"/>
    </xf>
    <xf borderId="5" fillId="6" fontId="2" numFmtId="0" xfId="0" applyAlignment="1" applyBorder="1" applyFill="1" applyFont="1">
      <alignment readingOrder="0"/>
    </xf>
    <xf borderId="5" fillId="4" fontId="2" numFmtId="0" xfId="0" applyAlignment="1" applyBorder="1" applyFont="1">
      <alignment horizontal="left" readingOrder="0"/>
    </xf>
    <xf borderId="5" fillId="7" fontId="8" numFmtId="0" xfId="0" applyAlignment="1" applyBorder="1" applyFill="1" applyFont="1">
      <alignment vertical="bottom"/>
    </xf>
    <xf borderId="5" fillId="0" fontId="17" numFmtId="1" xfId="0" applyAlignment="1" applyBorder="1" applyFont="1" applyNumberFormat="1">
      <alignment horizontal="left" readingOrder="0" vertical="center"/>
    </xf>
    <xf quotePrefix="1" borderId="5" fillId="0" fontId="2" numFmtId="1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vertical="center"/>
    </xf>
    <xf borderId="6" fillId="0" fontId="17" numFmtId="0" xfId="0" applyAlignment="1" applyBorder="1" applyFont="1">
      <alignment horizontal="left" vertical="center"/>
    </xf>
    <xf quotePrefix="1" borderId="5" fillId="5" fontId="8" numFmtId="1" xfId="0" applyAlignment="1" applyBorder="1" applyFont="1" applyNumberFormat="1">
      <alignment vertical="bottom"/>
    </xf>
    <xf borderId="0" fillId="0" fontId="21" numFmtId="0" xfId="0" applyAlignment="1" applyFont="1">
      <alignment horizontal="left" shrinkToFit="0" wrapText="0"/>
    </xf>
    <xf borderId="2" fillId="8" fontId="4" numFmtId="0" xfId="0" applyAlignment="1" applyBorder="1" applyFill="1" applyFont="1">
      <alignment readingOrder="0"/>
    </xf>
    <xf borderId="7" fillId="0" fontId="7" numFmtId="0" xfId="0" applyBorder="1" applyFont="1"/>
    <xf borderId="5" fillId="5" fontId="8" numFmtId="1" xfId="0" applyAlignment="1" applyBorder="1" applyFont="1" applyNumberFormat="1">
      <alignment vertical="bottom"/>
    </xf>
    <xf borderId="5" fillId="0" fontId="2" numFmtId="0" xfId="0" applyAlignment="1" applyBorder="1" applyFont="1">
      <alignment horizontal="left" readingOrder="0" vertical="center"/>
    </xf>
    <xf borderId="5" fillId="8" fontId="1" numFmtId="0" xfId="0" applyAlignment="1" applyBorder="1" applyFont="1">
      <alignment horizontal="left" readingOrder="0" vertical="bottom"/>
    </xf>
    <xf borderId="5" fillId="8" fontId="2" numFmtId="0" xfId="0" applyAlignment="1" applyBorder="1" applyFont="1">
      <alignment readingOrder="0"/>
    </xf>
    <xf borderId="5" fillId="8" fontId="2" numFmtId="0" xfId="0" applyAlignment="1" applyBorder="1" applyFont="1">
      <alignment horizontal="left" readingOrder="0"/>
    </xf>
    <xf quotePrefix="1" borderId="5" fillId="0" fontId="8" numFmtId="1" xfId="0" applyAlignment="1" applyBorder="1" applyFont="1" applyNumberFormat="1">
      <alignment vertical="bottom"/>
    </xf>
    <xf borderId="0" fillId="0" fontId="19" numFmtId="0" xfId="0" applyFont="1"/>
    <xf borderId="0" fillId="0" fontId="19" numFmtId="0" xfId="0" applyAlignment="1" applyFont="1">
      <alignment horizontal="right" vertical="bottom"/>
    </xf>
    <xf borderId="5" fillId="0" fontId="2" numFmtId="0" xfId="0" applyAlignment="1" applyBorder="1" applyFont="1">
      <alignment horizontal="center"/>
    </xf>
    <xf quotePrefix="1" borderId="5" fillId="0" fontId="20" numFmtId="1" xfId="0" applyAlignment="1" applyBorder="1" applyFont="1" applyNumberFormat="1">
      <alignment horizontal="left" shrinkToFit="0" vertical="center" wrapText="0"/>
    </xf>
    <xf quotePrefix="1" borderId="5" fillId="0" fontId="2" numFmtId="1" xfId="0" applyBorder="1" applyFont="1" applyNumberFormat="1"/>
    <xf borderId="0" fillId="0" fontId="17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5" fillId="2" fontId="22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left" vertical="bottom"/>
    </xf>
    <xf borderId="6" fillId="0" fontId="1" numFmtId="0" xfId="0" applyAlignment="1" applyBorder="1" applyFont="1">
      <alignment horizontal="left" readingOrder="0" vertical="center"/>
    </xf>
    <xf borderId="5" fillId="9" fontId="1" numFmtId="0" xfId="0" applyAlignment="1" applyBorder="1" applyFill="1" applyFont="1">
      <alignment horizontal="left" readingOrder="0" vertical="bottom"/>
    </xf>
    <xf borderId="5" fillId="0" fontId="1" numFmtId="0" xfId="0" applyAlignment="1" applyBorder="1" applyFont="1">
      <alignment horizontal="left" vertical="center"/>
    </xf>
    <xf borderId="5" fillId="0" fontId="2" numFmtId="0" xfId="0" applyAlignment="1" applyBorder="1" applyFont="1">
      <alignment readingOrder="0" vertical="center"/>
    </xf>
    <xf borderId="5" fillId="9" fontId="2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left" vertical="center"/>
    </xf>
    <xf borderId="6" fillId="0" fontId="2" numFmtId="0" xfId="0" applyAlignment="1" applyBorder="1" applyFont="1">
      <alignment readingOrder="0" vertical="center"/>
    </xf>
    <xf borderId="6" fillId="9" fontId="2" numFmtId="0" xfId="0" applyAlignment="1" applyBorder="1" applyFont="1">
      <alignment horizontal="left" readingOrder="0" vertical="center"/>
    </xf>
    <xf quotePrefix="1" borderId="5" fillId="4" fontId="2" numFmtId="1" xfId="0" applyBorder="1" applyFont="1" applyNumberFormat="1"/>
    <xf quotePrefix="1" borderId="5" fillId="4" fontId="2" numFmtId="0" xfId="0" applyAlignment="1" applyBorder="1" applyFont="1">
      <alignment readingOrder="0"/>
    </xf>
    <xf borderId="6" fillId="0" fontId="17" numFmtId="0" xfId="0" applyAlignment="1" applyBorder="1" applyFont="1">
      <alignment horizontal="left" readingOrder="0" vertical="center"/>
    </xf>
    <xf borderId="5" fillId="0" fontId="23" numFmtId="0" xfId="0" applyAlignment="1" applyBorder="1" applyFont="1">
      <alignment horizontal="left" readingOrder="0" vertical="center"/>
    </xf>
    <xf borderId="6" fillId="9" fontId="1" numFmtId="0" xfId="0" applyAlignment="1" applyBorder="1" applyFont="1">
      <alignment horizontal="left" readingOrder="0" vertical="center"/>
    </xf>
    <xf borderId="5" fillId="4" fontId="4" numFmtId="0" xfId="0" applyAlignment="1" applyBorder="1" applyFont="1">
      <alignment readingOrder="0"/>
    </xf>
    <xf borderId="8" fillId="0" fontId="7" numFmtId="0" xfId="0" applyBorder="1" applyFont="1"/>
    <xf borderId="5" fillId="9" fontId="1" numFmtId="0" xfId="0" applyAlignment="1" applyBorder="1" applyFont="1">
      <alignment horizontal="left" readingOrder="0" vertical="center"/>
    </xf>
    <xf borderId="0" fillId="0" fontId="24" numFmtId="0" xfId="0" applyAlignment="1" applyFont="1">
      <alignment horizontal="left" readingOrder="0"/>
    </xf>
    <xf borderId="5" fillId="0" fontId="1" numFmtId="0" xfId="0" applyAlignment="1" applyBorder="1" applyFont="1">
      <alignment horizontal="left" readingOrder="0" vertical="center"/>
    </xf>
    <xf borderId="5" fillId="0" fontId="19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vertical="center"/>
    </xf>
    <xf borderId="6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/>
    </xf>
    <xf borderId="0" fillId="0" fontId="24" numFmtId="0" xfId="0" applyAlignment="1" applyFont="1">
      <alignment readingOrder="0"/>
    </xf>
    <xf borderId="2" fillId="9" fontId="13" numFmtId="0" xfId="0" applyAlignment="1" applyBorder="1" applyFont="1">
      <alignment horizontal="left" readingOrder="0" vertical="bottom"/>
    </xf>
    <xf borderId="5" fillId="6" fontId="2" numFmtId="0" xfId="0" applyAlignment="1" applyBorder="1" applyFont="1">
      <alignment horizontal="left" readingOrder="0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bottom"/>
    </xf>
    <xf quotePrefix="1" borderId="5" fillId="0" fontId="19" numFmtId="1" xfId="0" applyAlignment="1" applyBorder="1" applyFont="1" applyNumberFormat="1">
      <alignment horizontal="center" vertical="bottom"/>
    </xf>
    <xf quotePrefix="1" borderId="5" fillId="0" fontId="19" numFmtId="1" xfId="0" applyAlignment="1" applyBorder="1" applyFont="1" applyNumberFormat="1">
      <alignment vertical="bottom"/>
    </xf>
    <xf borderId="7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vertical="bottom"/>
    </xf>
    <xf borderId="0" fillId="0" fontId="8" numFmtId="0" xfId="0" applyFont="1"/>
    <xf borderId="5" fillId="5" fontId="19" numFmtId="0" xfId="0" applyAlignment="1" applyBorder="1" applyFont="1">
      <alignment horizontal="center" vertical="bottom"/>
    </xf>
    <xf borderId="5" fillId="0" fontId="19" numFmtId="1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quotePrefix="1" borderId="5" fillId="0" fontId="8" numFmtId="1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horizontal="center" vertical="top"/>
    </xf>
    <xf borderId="5" fillId="0" fontId="8" numFmtId="1" xfId="0" applyAlignment="1" applyBorder="1" applyFont="1" applyNumberFormat="1">
      <alignment vertical="bottom"/>
    </xf>
    <xf borderId="7" fillId="0" fontId="1" numFmtId="0" xfId="0" applyAlignment="1" applyBorder="1" applyFont="1">
      <alignment horizontal="center" vertical="bottom"/>
    </xf>
    <xf borderId="5" fillId="10" fontId="19" numFmtId="0" xfId="0" applyAlignment="1" applyBorder="1" applyFill="1" applyFont="1">
      <alignment horizontal="center" vertical="bottom"/>
    </xf>
    <xf borderId="5" fillId="10" fontId="19" numFmtId="0" xfId="0" applyAlignment="1" applyBorder="1" applyFont="1">
      <alignment vertical="bottom"/>
    </xf>
    <xf borderId="5" fillId="1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9.38"/>
    <col customWidth="1" min="4" max="4" width="25.13"/>
    <col customWidth="1" min="5" max="5" width="64.5"/>
    <col customWidth="1" min="6" max="6" width="34.0"/>
    <col customWidth="1" min="7" max="7" width="50.88"/>
  </cols>
  <sheetData>
    <row r="1">
      <c r="A1" s="3" t="s">
        <v>0</v>
      </c>
    </row>
    <row r="2">
      <c r="A2" s="7"/>
      <c r="B2" s="2"/>
      <c r="C2" s="11"/>
    </row>
    <row r="3">
      <c r="A3" s="13" t="s">
        <v>5</v>
      </c>
      <c r="C3" s="14" t="s">
        <v>7</v>
      </c>
      <c r="D3" s="14" t="s">
        <v>8</v>
      </c>
      <c r="E3" s="14" t="s">
        <v>9</v>
      </c>
      <c r="F3" s="14" t="s">
        <v>10</v>
      </c>
      <c r="G3" s="14" t="s">
        <v>12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21" t="s">
        <v>14</v>
      </c>
    </row>
    <row r="5">
      <c r="A5" s="22">
        <v>46235.0</v>
      </c>
      <c r="B5" s="23">
        <v>1.0</v>
      </c>
      <c r="C5" s="25" t="s">
        <v>19</v>
      </c>
      <c r="D5" s="28" t="s">
        <v>21</v>
      </c>
      <c r="E5" s="29" t="s">
        <v>22</v>
      </c>
      <c r="G5" s="28"/>
    </row>
    <row r="6">
      <c r="B6" s="23">
        <v>8.0</v>
      </c>
      <c r="C6" s="25" t="s">
        <v>24</v>
      </c>
      <c r="D6" s="28" t="s">
        <v>25</v>
      </c>
      <c r="E6" s="29" t="s">
        <v>26</v>
      </c>
      <c r="G6" s="28"/>
    </row>
    <row r="7">
      <c r="B7" s="23">
        <v>15.0</v>
      </c>
      <c r="C7" s="25" t="s">
        <v>27</v>
      </c>
      <c r="D7" s="28" t="s">
        <v>28</v>
      </c>
      <c r="F7" s="28" t="s">
        <v>29</v>
      </c>
      <c r="G7" s="28"/>
    </row>
    <row r="8">
      <c r="B8" s="23">
        <v>22.0</v>
      </c>
      <c r="C8" s="25" t="s">
        <v>31</v>
      </c>
      <c r="D8" s="28" t="s">
        <v>25</v>
      </c>
      <c r="E8" s="34" t="s">
        <v>32</v>
      </c>
      <c r="G8" s="28"/>
    </row>
    <row r="9">
      <c r="B9" s="23">
        <v>29.0</v>
      </c>
      <c r="C9" s="25" t="s">
        <v>34</v>
      </c>
      <c r="D9" s="28" t="s">
        <v>36</v>
      </c>
    </row>
    <row r="10">
      <c r="A10" s="37">
        <v>46266.0</v>
      </c>
      <c r="B10" s="23">
        <v>5.0</v>
      </c>
      <c r="C10" s="25" t="s">
        <v>39</v>
      </c>
      <c r="D10" s="28" t="s">
        <v>25</v>
      </c>
    </row>
    <row r="11">
      <c r="B11" s="23">
        <v>12.0</v>
      </c>
      <c r="C11" s="25" t="s">
        <v>40</v>
      </c>
      <c r="D11" s="28" t="s">
        <v>25</v>
      </c>
    </row>
    <row r="12">
      <c r="B12" s="23">
        <v>19.0</v>
      </c>
      <c r="C12" s="25" t="s">
        <v>42</v>
      </c>
      <c r="D12" s="28" t="s">
        <v>25</v>
      </c>
    </row>
    <row r="13">
      <c r="B13" s="23">
        <v>26.0</v>
      </c>
      <c r="C13" s="25" t="s">
        <v>44</v>
      </c>
      <c r="D13" s="28" t="s">
        <v>25</v>
      </c>
    </row>
    <row r="14">
      <c r="A14" s="22">
        <v>46296.0</v>
      </c>
      <c r="B14" s="23">
        <v>3.0</v>
      </c>
      <c r="C14" s="25" t="s">
        <v>46</v>
      </c>
      <c r="D14" s="28" t="s">
        <v>25</v>
      </c>
    </row>
    <row r="15">
      <c r="B15" s="23">
        <v>10.0</v>
      </c>
      <c r="C15" s="25" t="s">
        <v>48</v>
      </c>
      <c r="D15" s="28" t="s">
        <v>25</v>
      </c>
    </row>
    <row r="16">
      <c r="B16" s="23">
        <v>17.0</v>
      </c>
      <c r="C16" s="25" t="s">
        <v>49</v>
      </c>
      <c r="D16" s="28" t="s">
        <v>25</v>
      </c>
    </row>
    <row r="17">
      <c r="B17" s="23">
        <v>24.0</v>
      </c>
      <c r="C17" s="25" t="s">
        <v>50</v>
      </c>
      <c r="D17" s="28" t="s">
        <v>25</v>
      </c>
    </row>
    <row r="18">
      <c r="B18" s="23">
        <v>31.0</v>
      </c>
      <c r="C18" s="25" t="s">
        <v>51</v>
      </c>
      <c r="D18" s="28" t="s">
        <v>25</v>
      </c>
      <c r="G18" s="28" t="s">
        <v>52</v>
      </c>
    </row>
    <row r="19">
      <c r="A19" s="37">
        <v>46327.0</v>
      </c>
      <c r="B19" s="23">
        <v>7.0</v>
      </c>
      <c r="C19" s="25" t="s">
        <v>53</v>
      </c>
      <c r="D19" s="28" t="s">
        <v>25</v>
      </c>
      <c r="G19" s="28" t="s">
        <v>52</v>
      </c>
    </row>
    <row r="20">
      <c r="B20" s="23">
        <v>14.0</v>
      </c>
      <c r="C20" s="25" t="s">
        <v>54</v>
      </c>
      <c r="D20" s="28" t="s">
        <v>25</v>
      </c>
    </row>
    <row r="21">
      <c r="B21" s="23">
        <v>21.0</v>
      </c>
      <c r="C21" s="25" t="s">
        <v>56</v>
      </c>
      <c r="D21" s="28" t="s">
        <v>25</v>
      </c>
    </row>
    <row r="22">
      <c r="B22" s="23">
        <v>28.0</v>
      </c>
      <c r="C22" s="25" t="s">
        <v>27</v>
      </c>
      <c r="D22" s="28" t="s">
        <v>57</v>
      </c>
    </row>
    <row r="23">
      <c r="A23" s="7"/>
      <c r="B23" s="2"/>
      <c r="C23" s="11"/>
    </row>
    <row r="24">
      <c r="A24" s="7"/>
      <c r="B24" s="2"/>
      <c r="C24" s="11"/>
    </row>
    <row r="25">
      <c r="A25" s="7"/>
      <c r="B25" s="2"/>
      <c r="C25" s="11"/>
    </row>
    <row r="26">
      <c r="A26" s="7"/>
      <c r="B26" s="2"/>
      <c r="C26" s="11"/>
    </row>
    <row r="27">
      <c r="A27" s="7"/>
      <c r="B27" s="2"/>
      <c r="C27" s="11"/>
    </row>
    <row r="28">
      <c r="A28" s="7"/>
      <c r="B28" s="2"/>
      <c r="C28" s="11"/>
    </row>
    <row r="29">
      <c r="A29" s="7"/>
      <c r="B29" s="2"/>
      <c r="C29" s="11"/>
    </row>
    <row r="30">
      <c r="A30" s="7"/>
      <c r="B30" s="2"/>
      <c r="C30" s="11"/>
    </row>
    <row r="31">
      <c r="A31" s="7"/>
      <c r="B31" s="2"/>
      <c r="C31" s="11"/>
    </row>
    <row r="32">
      <c r="A32" s="7"/>
      <c r="B32" s="2"/>
      <c r="C32" s="11"/>
    </row>
    <row r="33">
      <c r="A33" s="7"/>
      <c r="B33" s="2"/>
      <c r="C33" s="11"/>
    </row>
    <row r="34">
      <c r="A34" s="7"/>
      <c r="B34" s="2"/>
      <c r="C34" s="11"/>
    </row>
    <row r="35">
      <c r="A35" s="7"/>
      <c r="B35" s="2"/>
      <c r="C35" s="11"/>
    </row>
    <row r="36">
      <c r="A36" s="7"/>
      <c r="B36" s="2"/>
      <c r="C36" s="11"/>
    </row>
    <row r="37">
      <c r="A37" s="7"/>
      <c r="B37" s="2"/>
      <c r="C37" s="11"/>
    </row>
    <row r="38">
      <c r="A38" s="7"/>
      <c r="B38" s="2"/>
      <c r="C38" s="11"/>
    </row>
    <row r="39">
      <c r="A39" s="7"/>
      <c r="B39" s="2"/>
      <c r="C39" s="11"/>
    </row>
    <row r="40">
      <c r="A40" s="7"/>
      <c r="B40" s="2"/>
      <c r="C40" s="11"/>
    </row>
    <row r="41">
      <c r="A41" s="7"/>
      <c r="B41" s="2"/>
      <c r="C41" s="11"/>
    </row>
    <row r="42">
      <c r="A42" s="7"/>
      <c r="B42" s="2"/>
      <c r="C42" s="11"/>
    </row>
    <row r="43">
      <c r="A43" s="7"/>
      <c r="B43" s="2"/>
      <c r="C43" s="11"/>
    </row>
    <row r="44">
      <c r="A44" s="7"/>
      <c r="B44" s="2"/>
      <c r="C44" s="11"/>
    </row>
    <row r="45">
      <c r="A45" s="7"/>
      <c r="B45" s="2"/>
      <c r="C45" s="11"/>
    </row>
    <row r="46">
      <c r="A46" s="7"/>
      <c r="B46" s="2"/>
      <c r="C46" s="11"/>
    </row>
    <row r="47">
      <c r="A47" s="7"/>
      <c r="B47" s="2"/>
      <c r="C47" s="11"/>
    </row>
    <row r="48">
      <c r="A48" s="7"/>
      <c r="B48" s="2"/>
      <c r="C48" s="11"/>
    </row>
    <row r="49">
      <c r="A49" s="7"/>
      <c r="B49" s="2"/>
      <c r="C49" s="11"/>
    </row>
    <row r="50">
      <c r="A50" s="7"/>
      <c r="B50" s="2"/>
      <c r="C50" s="11"/>
    </row>
    <row r="51">
      <c r="A51" s="7"/>
      <c r="B51" s="2"/>
      <c r="C51" s="11"/>
    </row>
    <row r="52">
      <c r="A52" s="7"/>
      <c r="B52" s="2"/>
      <c r="C52" s="11"/>
    </row>
    <row r="53">
      <c r="A53" s="7"/>
      <c r="B53" s="2"/>
      <c r="C53" s="11"/>
    </row>
    <row r="54">
      <c r="A54" s="7"/>
      <c r="B54" s="2"/>
      <c r="C54" s="11"/>
    </row>
    <row r="55">
      <c r="A55" s="7"/>
      <c r="B55" s="2"/>
      <c r="C55" s="11"/>
    </row>
    <row r="56">
      <c r="A56" s="7"/>
      <c r="B56" s="2"/>
      <c r="C56" s="11"/>
    </row>
    <row r="57">
      <c r="A57" s="7"/>
      <c r="B57" s="2"/>
      <c r="C57" s="11"/>
    </row>
    <row r="58">
      <c r="A58" s="7"/>
      <c r="B58" s="2"/>
      <c r="C58" s="11"/>
    </row>
    <row r="59">
      <c r="A59" s="7"/>
      <c r="B59" s="2"/>
      <c r="C59" s="11"/>
    </row>
    <row r="60">
      <c r="A60" s="7"/>
      <c r="B60" s="2"/>
      <c r="C60" s="11"/>
    </row>
    <row r="61">
      <c r="A61" s="7"/>
      <c r="B61" s="2"/>
      <c r="C61" s="11"/>
    </row>
    <row r="62">
      <c r="A62" s="7"/>
      <c r="B62" s="2"/>
      <c r="C62" s="11"/>
    </row>
    <row r="63">
      <c r="A63" s="7"/>
      <c r="B63" s="2"/>
      <c r="C63" s="11"/>
    </row>
    <row r="64">
      <c r="A64" s="7"/>
      <c r="B64" s="2"/>
      <c r="C64" s="11"/>
    </row>
    <row r="65">
      <c r="A65" s="7"/>
      <c r="B65" s="2"/>
      <c r="C65" s="11"/>
    </row>
    <row r="66">
      <c r="A66" s="7"/>
      <c r="B66" s="2"/>
      <c r="C66" s="11"/>
    </row>
    <row r="67">
      <c r="A67" s="7"/>
      <c r="B67" s="2"/>
      <c r="C67" s="11"/>
    </row>
    <row r="68">
      <c r="A68" s="7"/>
      <c r="B68" s="2"/>
      <c r="C68" s="11"/>
    </row>
    <row r="69">
      <c r="A69" s="7"/>
      <c r="B69" s="2"/>
      <c r="C69" s="11"/>
    </row>
    <row r="70">
      <c r="A70" s="7"/>
      <c r="B70" s="2"/>
      <c r="C70" s="11"/>
    </row>
    <row r="71">
      <c r="A71" s="7"/>
      <c r="B71" s="2"/>
      <c r="C71" s="11"/>
    </row>
    <row r="72">
      <c r="A72" s="7"/>
      <c r="B72" s="2"/>
      <c r="C72" s="11"/>
    </row>
    <row r="73">
      <c r="A73" s="7"/>
      <c r="B73" s="2"/>
      <c r="C73" s="11"/>
    </row>
    <row r="74">
      <c r="A74" s="7"/>
      <c r="B74" s="2"/>
      <c r="C74" s="11"/>
    </row>
    <row r="75">
      <c r="A75" s="7"/>
      <c r="B75" s="2"/>
      <c r="C75" s="11"/>
    </row>
    <row r="76">
      <c r="A76" s="7"/>
      <c r="B76" s="2"/>
      <c r="C76" s="11"/>
    </row>
    <row r="77">
      <c r="A77" s="7"/>
      <c r="B77" s="2"/>
      <c r="C77" s="11"/>
    </row>
    <row r="78">
      <c r="A78" s="7"/>
      <c r="B78" s="2"/>
      <c r="C78" s="11"/>
    </row>
    <row r="79">
      <c r="A79" s="7"/>
      <c r="B79" s="2"/>
      <c r="C79" s="11"/>
    </row>
    <row r="80">
      <c r="A80" s="7"/>
      <c r="B80" s="2"/>
      <c r="C80" s="11"/>
    </row>
    <row r="81">
      <c r="A81" s="7"/>
      <c r="B81" s="2"/>
      <c r="C81" s="11"/>
    </row>
    <row r="82">
      <c r="A82" s="7"/>
      <c r="B82" s="2"/>
      <c r="C82" s="11"/>
    </row>
    <row r="83">
      <c r="A83" s="7"/>
      <c r="B83" s="2"/>
      <c r="C83" s="11"/>
    </row>
    <row r="84">
      <c r="A84" s="7"/>
      <c r="B84" s="2"/>
      <c r="C84" s="11"/>
    </row>
    <row r="85">
      <c r="A85" s="7"/>
      <c r="B85" s="2"/>
      <c r="C85" s="11"/>
    </row>
    <row r="86">
      <c r="A86" s="7"/>
      <c r="B86" s="2"/>
      <c r="C86" s="11"/>
    </row>
    <row r="87">
      <c r="A87" s="7"/>
      <c r="B87" s="2"/>
      <c r="C87" s="11"/>
    </row>
    <row r="88">
      <c r="A88" s="7"/>
      <c r="B88" s="2"/>
      <c r="C88" s="11"/>
    </row>
    <row r="89">
      <c r="A89" s="7"/>
      <c r="B89" s="2"/>
      <c r="C89" s="11"/>
    </row>
    <row r="90">
      <c r="A90" s="7"/>
      <c r="B90" s="2"/>
      <c r="C90" s="11"/>
    </row>
    <row r="91">
      <c r="A91" s="7"/>
      <c r="B91" s="2"/>
      <c r="C91" s="11"/>
    </row>
    <row r="92">
      <c r="A92" s="7"/>
      <c r="B92" s="2"/>
      <c r="C92" s="11"/>
    </row>
    <row r="93">
      <c r="A93" s="7"/>
      <c r="B93" s="2"/>
      <c r="C93" s="11"/>
    </row>
    <row r="94">
      <c r="A94" s="7"/>
      <c r="B94" s="2"/>
      <c r="C94" s="11"/>
    </row>
    <row r="95">
      <c r="A95" s="7"/>
      <c r="B95" s="2"/>
      <c r="C95" s="11"/>
    </row>
    <row r="96">
      <c r="A96" s="7"/>
      <c r="B96" s="2"/>
      <c r="C96" s="11"/>
    </row>
    <row r="97">
      <c r="A97" s="7"/>
      <c r="B97" s="2"/>
      <c r="C97" s="11"/>
    </row>
    <row r="98">
      <c r="A98" s="7"/>
      <c r="B98" s="2"/>
      <c r="C98" s="11"/>
    </row>
    <row r="99">
      <c r="A99" s="7"/>
      <c r="B99" s="2"/>
      <c r="C99" s="11"/>
    </row>
    <row r="100">
      <c r="A100" s="7"/>
      <c r="B100" s="2"/>
      <c r="C100" s="11"/>
    </row>
    <row r="101">
      <c r="A101" s="7"/>
      <c r="B101" s="2"/>
      <c r="C101" s="11"/>
    </row>
    <row r="102">
      <c r="A102" s="7"/>
      <c r="B102" s="2"/>
      <c r="C102" s="11"/>
    </row>
    <row r="103">
      <c r="A103" s="7"/>
      <c r="B103" s="2"/>
      <c r="C103" s="11"/>
    </row>
    <row r="104">
      <c r="A104" s="7"/>
      <c r="B104" s="2"/>
      <c r="C104" s="11"/>
    </row>
    <row r="105">
      <c r="A105" s="7"/>
      <c r="B105" s="2"/>
      <c r="C105" s="11"/>
    </row>
    <row r="106">
      <c r="A106" s="7"/>
      <c r="B106" s="2"/>
      <c r="C106" s="11"/>
    </row>
    <row r="107">
      <c r="A107" s="7"/>
      <c r="B107" s="2"/>
      <c r="C107" s="11"/>
    </row>
    <row r="108">
      <c r="A108" s="7"/>
      <c r="B108" s="2"/>
      <c r="C108" s="11"/>
    </row>
    <row r="109">
      <c r="A109" s="7"/>
      <c r="B109" s="2"/>
      <c r="C109" s="11"/>
    </row>
    <row r="110">
      <c r="A110" s="7"/>
      <c r="B110" s="2"/>
      <c r="C110" s="11"/>
    </row>
    <row r="111">
      <c r="A111" s="7"/>
      <c r="B111" s="2"/>
      <c r="C111" s="11"/>
    </row>
    <row r="112">
      <c r="A112" s="7"/>
      <c r="B112" s="2"/>
      <c r="C112" s="11"/>
    </row>
    <row r="113">
      <c r="A113" s="7"/>
      <c r="B113" s="2"/>
      <c r="C113" s="11"/>
    </row>
    <row r="114">
      <c r="A114" s="7"/>
      <c r="B114" s="2"/>
      <c r="C114" s="11"/>
    </row>
    <row r="115">
      <c r="A115" s="7"/>
      <c r="B115" s="2"/>
      <c r="C115" s="11"/>
    </row>
    <row r="116">
      <c r="A116" s="7"/>
      <c r="B116" s="2"/>
      <c r="C116" s="11"/>
    </row>
    <row r="117">
      <c r="A117" s="7"/>
      <c r="B117" s="2"/>
      <c r="C117" s="11"/>
    </row>
    <row r="118">
      <c r="A118" s="7"/>
      <c r="B118" s="2"/>
      <c r="C118" s="11"/>
    </row>
    <row r="119">
      <c r="A119" s="7"/>
      <c r="B119" s="2"/>
      <c r="C119" s="11"/>
    </row>
    <row r="120">
      <c r="A120" s="7"/>
      <c r="B120" s="2"/>
      <c r="C120" s="11"/>
    </row>
    <row r="121">
      <c r="A121" s="7"/>
      <c r="B121" s="2"/>
      <c r="C121" s="11"/>
    </row>
    <row r="122">
      <c r="A122" s="7"/>
      <c r="B122" s="2"/>
      <c r="C122" s="11"/>
    </row>
    <row r="123">
      <c r="A123" s="7"/>
      <c r="B123" s="2"/>
      <c r="C123" s="11"/>
    </row>
    <row r="124">
      <c r="A124" s="7"/>
      <c r="B124" s="2"/>
      <c r="C124" s="11"/>
    </row>
    <row r="125">
      <c r="A125" s="7"/>
      <c r="B125" s="2"/>
      <c r="C125" s="11"/>
    </row>
    <row r="126">
      <c r="A126" s="7"/>
      <c r="B126" s="2"/>
      <c r="C126" s="11"/>
    </row>
    <row r="127">
      <c r="A127" s="7"/>
      <c r="B127" s="2"/>
      <c r="C127" s="11"/>
    </row>
    <row r="128">
      <c r="A128" s="7"/>
      <c r="B128" s="2"/>
      <c r="C128" s="11"/>
    </row>
    <row r="129">
      <c r="A129" s="7"/>
      <c r="B129" s="2"/>
      <c r="C129" s="11"/>
    </row>
    <row r="130">
      <c r="A130" s="7"/>
      <c r="B130" s="2"/>
      <c r="C130" s="11"/>
    </row>
    <row r="131">
      <c r="A131" s="7"/>
      <c r="B131" s="2"/>
      <c r="C131" s="11"/>
    </row>
    <row r="132">
      <c r="A132" s="7"/>
      <c r="B132" s="2"/>
      <c r="C132" s="11"/>
    </row>
    <row r="133">
      <c r="A133" s="7"/>
      <c r="B133" s="2"/>
      <c r="C133" s="11"/>
    </row>
    <row r="134">
      <c r="A134" s="7"/>
      <c r="B134" s="2"/>
      <c r="C134" s="11"/>
    </row>
    <row r="135">
      <c r="A135" s="7"/>
      <c r="B135" s="2"/>
      <c r="C135" s="11"/>
    </row>
    <row r="136">
      <c r="A136" s="7"/>
      <c r="B136" s="2"/>
      <c r="C136" s="11"/>
    </row>
    <row r="137">
      <c r="A137" s="7"/>
      <c r="B137" s="2"/>
      <c r="C137" s="11"/>
    </row>
    <row r="138">
      <c r="A138" s="7"/>
      <c r="B138" s="2"/>
      <c r="C138" s="11"/>
    </row>
    <row r="139">
      <c r="A139" s="7"/>
      <c r="B139" s="2"/>
      <c r="C139" s="11"/>
    </row>
    <row r="140">
      <c r="A140" s="7"/>
      <c r="B140" s="2"/>
      <c r="C140" s="11"/>
    </row>
    <row r="141">
      <c r="A141" s="7"/>
      <c r="B141" s="2"/>
      <c r="C141" s="11"/>
    </row>
    <row r="142">
      <c r="A142" s="7"/>
      <c r="B142" s="2"/>
      <c r="C142" s="11"/>
    </row>
    <row r="143">
      <c r="A143" s="7"/>
      <c r="B143" s="2"/>
      <c r="C143" s="11"/>
    </row>
    <row r="144">
      <c r="A144" s="7"/>
      <c r="B144" s="2"/>
      <c r="C144" s="11"/>
    </row>
    <row r="145">
      <c r="A145" s="7"/>
      <c r="B145" s="2"/>
      <c r="C145" s="11"/>
    </row>
    <row r="146">
      <c r="A146" s="7"/>
      <c r="B146" s="2"/>
      <c r="C146" s="11"/>
    </row>
    <row r="147">
      <c r="A147" s="7"/>
      <c r="B147" s="2"/>
      <c r="C147" s="11"/>
    </row>
    <row r="148">
      <c r="A148" s="7"/>
      <c r="B148" s="2"/>
      <c r="C148" s="11"/>
    </row>
    <row r="149">
      <c r="A149" s="7"/>
      <c r="B149" s="2"/>
      <c r="C149" s="11"/>
    </row>
    <row r="150">
      <c r="A150" s="7"/>
      <c r="B150" s="2"/>
      <c r="C150" s="11"/>
    </row>
    <row r="151">
      <c r="A151" s="7"/>
      <c r="B151" s="2"/>
      <c r="C151" s="11"/>
    </row>
    <row r="152">
      <c r="A152" s="7"/>
      <c r="B152" s="2"/>
      <c r="C152" s="11"/>
    </row>
    <row r="153">
      <c r="A153" s="7"/>
      <c r="B153" s="2"/>
      <c r="C153" s="11"/>
    </row>
    <row r="154">
      <c r="A154" s="7"/>
      <c r="B154" s="2"/>
      <c r="C154" s="11"/>
    </row>
    <row r="155">
      <c r="A155" s="7"/>
      <c r="B155" s="2"/>
      <c r="C155" s="11"/>
    </row>
    <row r="156">
      <c r="A156" s="7"/>
      <c r="B156" s="2"/>
      <c r="C156" s="11"/>
    </row>
    <row r="157">
      <c r="A157" s="7"/>
      <c r="B157" s="2"/>
      <c r="C157" s="11"/>
    </row>
    <row r="158">
      <c r="A158" s="7"/>
      <c r="B158" s="2"/>
      <c r="C158" s="11"/>
    </row>
    <row r="159">
      <c r="A159" s="7"/>
      <c r="B159" s="2"/>
      <c r="C159" s="11"/>
    </row>
    <row r="160">
      <c r="A160" s="7"/>
      <c r="B160" s="2"/>
      <c r="C160" s="11"/>
    </row>
    <row r="161">
      <c r="A161" s="7"/>
      <c r="B161" s="2"/>
      <c r="C161" s="11"/>
    </row>
    <row r="162">
      <c r="A162" s="7"/>
      <c r="B162" s="2"/>
      <c r="C162" s="11"/>
    </row>
    <row r="163">
      <c r="A163" s="7"/>
      <c r="B163" s="2"/>
      <c r="C163" s="11"/>
    </row>
    <row r="164">
      <c r="A164" s="7"/>
      <c r="B164" s="2"/>
      <c r="C164" s="11"/>
    </row>
    <row r="165">
      <c r="A165" s="7"/>
      <c r="B165" s="2"/>
      <c r="C165" s="11"/>
    </row>
    <row r="166">
      <c r="A166" s="7"/>
      <c r="B166" s="2"/>
      <c r="C166" s="11"/>
    </row>
    <row r="167">
      <c r="A167" s="7"/>
      <c r="B167" s="2"/>
      <c r="C167" s="11"/>
    </row>
    <row r="168">
      <c r="A168" s="7"/>
      <c r="B168" s="2"/>
      <c r="C168" s="11"/>
    </row>
    <row r="169">
      <c r="A169" s="7"/>
      <c r="B169" s="2"/>
      <c r="C169" s="11"/>
    </row>
    <row r="170">
      <c r="A170" s="7"/>
      <c r="B170" s="2"/>
      <c r="C170" s="11"/>
    </row>
    <row r="171">
      <c r="A171" s="7"/>
      <c r="B171" s="2"/>
      <c r="C171" s="11"/>
    </row>
    <row r="172">
      <c r="A172" s="7"/>
      <c r="B172" s="2"/>
      <c r="C172" s="11"/>
    </row>
    <row r="173">
      <c r="A173" s="7"/>
      <c r="B173" s="2"/>
      <c r="C173" s="11"/>
    </row>
    <row r="174">
      <c r="A174" s="7"/>
      <c r="B174" s="2"/>
      <c r="C174" s="11"/>
    </row>
    <row r="175">
      <c r="A175" s="7"/>
      <c r="B175" s="2"/>
      <c r="C175" s="11"/>
    </row>
    <row r="176">
      <c r="A176" s="7"/>
      <c r="B176" s="2"/>
      <c r="C176" s="11"/>
    </row>
    <row r="177">
      <c r="A177" s="7"/>
      <c r="B177" s="2"/>
      <c r="C177" s="11"/>
    </row>
    <row r="178">
      <c r="A178" s="7"/>
      <c r="B178" s="2"/>
      <c r="C178" s="11"/>
    </row>
    <row r="179">
      <c r="A179" s="7"/>
      <c r="B179" s="2"/>
      <c r="C179" s="11"/>
    </row>
    <row r="180">
      <c r="A180" s="7"/>
      <c r="B180" s="2"/>
      <c r="C180" s="11"/>
    </row>
    <row r="181">
      <c r="A181" s="7"/>
      <c r="B181" s="2"/>
      <c r="C181" s="11"/>
    </row>
    <row r="182">
      <c r="A182" s="7"/>
      <c r="B182" s="2"/>
      <c r="C182" s="11"/>
    </row>
    <row r="183">
      <c r="A183" s="7"/>
      <c r="B183" s="2"/>
      <c r="C183" s="11"/>
    </row>
    <row r="184">
      <c r="A184" s="7"/>
      <c r="B184" s="2"/>
      <c r="C184" s="11"/>
    </row>
    <row r="185">
      <c r="A185" s="7"/>
      <c r="B185" s="2"/>
      <c r="C185" s="11"/>
    </row>
    <row r="186">
      <c r="A186" s="7"/>
      <c r="B186" s="2"/>
      <c r="C186" s="11"/>
    </row>
    <row r="187">
      <c r="A187" s="7"/>
      <c r="B187" s="2"/>
      <c r="C187" s="11"/>
    </row>
    <row r="188">
      <c r="A188" s="7"/>
      <c r="B188" s="2"/>
      <c r="C188" s="11"/>
    </row>
    <row r="189">
      <c r="A189" s="7"/>
      <c r="B189" s="2"/>
      <c r="C189" s="11"/>
    </row>
    <row r="190">
      <c r="A190" s="7"/>
      <c r="B190" s="2"/>
      <c r="C190" s="11"/>
    </row>
    <row r="191">
      <c r="A191" s="7"/>
      <c r="B191" s="2"/>
      <c r="C191" s="11"/>
    </row>
    <row r="192">
      <c r="A192" s="7"/>
      <c r="B192" s="2"/>
      <c r="C192" s="11"/>
    </row>
    <row r="193">
      <c r="A193" s="7"/>
      <c r="B193" s="2"/>
      <c r="C193" s="11"/>
    </row>
    <row r="194">
      <c r="A194" s="7"/>
      <c r="B194" s="2"/>
      <c r="C194" s="11"/>
    </row>
    <row r="195">
      <c r="A195" s="7"/>
      <c r="B195" s="2"/>
      <c r="C195" s="11"/>
    </row>
    <row r="196">
      <c r="A196" s="7"/>
      <c r="B196" s="2"/>
      <c r="C196" s="11"/>
    </row>
    <row r="197">
      <c r="A197" s="7"/>
      <c r="B197" s="2"/>
      <c r="C197" s="11"/>
    </row>
    <row r="198">
      <c r="A198" s="7"/>
      <c r="B198" s="2"/>
      <c r="C198" s="11"/>
    </row>
    <row r="199">
      <c r="A199" s="7"/>
      <c r="B199" s="2"/>
      <c r="C199" s="11"/>
    </row>
    <row r="200">
      <c r="A200" s="7"/>
      <c r="B200" s="2"/>
      <c r="C200" s="11"/>
    </row>
    <row r="201">
      <c r="A201" s="7"/>
      <c r="B201" s="2"/>
      <c r="C201" s="11"/>
    </row>
    <row r="202">
      <c r="A202" s="7"/>
      <c r="B202" s="2"/>
      <c r="C202" s="11"/>
    </row>
    <row r="203">
      <c r="A203" s="7"/>
      <c r="B203" s="2"/>
      <c r="C203" s="11"/>
    </row>
    <row r="204">
      <c r="A204" s="7"/>
      <c r="B204" s="2"/>
      <c r="C204" s="11"/>
    </row>
    <row r="205">
      <c r="A205" s="7"/>
      <c r="B205" s="2"/>
      <c r="C205" s="11"/>
    </row>
    <row r="206">
      <c r="A206" s="7"/>
      <c r="B206" s="2"/>
      <c r="C206" s="11"/>
    </row>
    <row r="207">
      <c r="A207" s="7"/>
      <c r="B207" s="2"/>
      <c r="C207" s="11"/>
    </row>
    <row r="208">
      <c r="A208" s="7"/>
      <c r="B208" s="2"/>
      <c r="C208" s="11"/>
    </row>
    <row r="209">
      <c r="A209" s="7"/>
      <c r="B209" s="2"/>
      <c r="C209" s="11"/>
    </row>
    <row r="210">
      <c r="A210" s="7"/>
      <c r="B210" s="2"/>
      <c r="C210" s="11"/>
    </row>
    <row r="211">
      <c r="A211" s="7"/>
      <c r="B211" s="2"/>
      <c r="C211" s="11"/>
    </row>
    <row r="212">
      <c r="A212" s="7"/>
      <c r="B212" s="2"/>
      <c r="C212" s="11"/>
    </row>
    <row r="213">
      <c r="A213" s="7"/>
      <c r="B213" s="2"/>
      <c r="C213" s="11"/>
    </row>
    <row r="214">
      <c r="A214" s="7"/>
      <c r="B214" s="2"/>
      <c r="C214" s="11"/>
    </row>
    <row r="215">
      <c r="A215" s="7"/>
      <c r="B215" s="2"/>
      <c r="C215" s="11"/>
    </row>
    <row r="216">
      <c r="A216" s="7"/>
      <c r="B216" s="2"/>
      <c r="C216" s="11"/>
    </row>
    <row r="217">
      <c r="A217" s="7"/>
      <c r="B217" s="2"/>
      <c r="C217" s="11"/>
    </row>
    <row r="218">
      <c r="A218" s="7"/>
      <c r="B218" s="2"/>
      <c r="C218" s="11"/>
    </row>
    <row r="219">
      <c r="A219" s="7"/>
      <c r="B219" s="2"/>
      <c r="C219" s="11"/>
    </row>
    <row r="220">
      <c r="A220" s="7"/>
      <c r="B220" s="2"/>
      <c r="C220" s="11"/>
    </row>
    <row r="221">
      <c r="A221" s="7"/>
      <c r="B221" s="2"/>
      <c r="C221" s="11"/>
    </row>
    <row r="222">
      <c r="A222" s="7"/>
      <c r="B222" s="2"/>
      <c r="C222" s="11"/>
    </row>
    <row r="223">
      <c r="A223" s="7"/>
      <c r="B223" s="2"/>
      <c r="C223" s="11"/>
    </row>
    <row r="224">
      <c r="A224" s="7"/>
      <c r="B224" s="2"/>
      <c r="C224" s="11"/>
    </row>
    <row r="225">
      <c r="A225" s="7"/>
      <c r="B225" s="2"/>
      <c r="C225" s="11"/>
    </row>
    <row r="226">
      <c r="A226" s="7"/>
      <c r="B226" s="2"/>
      <c r="C226" s="11"/>
    </row>
    <row r="227">
      <c r="A227" s="7"/>
      <c r="B227" s="2"/>
      <c r="C227" s="11"/>
    </row>
    <row r="228">
      <c r="A228" s="7"/>
      <c r="B228" s="2"/>
      <c r="C228" s="11"/>
    </row>
    <row r="229">
      <c r="A229" s="7"/>
      <c r="B229" s="2"/>
      <c r="C229" s="11"/>
    </row>
    <row r="230">
      <c r="A230" s="7"/>
      <c r="B230" s="2"/>
      <c r="C230" s="11"/>
    </row>
    <row r="231">
      <c r="A231" s="7"/>
      <c r="B231" s="2"/>
      <c r="C231" s="11"/>
    </row>
    <row r="232">
      <c r="A232" s="7"/>
      <c r="B232" s="2"/>
      <c r="C232" s="11"/>
    </row>
    <row r="233">
      <c r="A233" s="7"/>
      <c r="B233" s="2"/>
      <c r="C233" s="11"/>
    </row>
    <row r="234">
      <c r="A234" s="7"/>
      <c r="B234" s="2"/>
      <c r="C234" s="11"/>
    </row>
    <row r="235">
      <c r="A235" s="7"/>
      <c r="B235" s="2"/>
      <c r="C235" s="11"/>
    </row>
    <row r="236">
      <c r="A236" s="7"/>
      <c r="B236" s="2"/>
      <c r="C236" s="11"/>
    </row>
    <row r="237">
      <c r="A237" s="7"/>
      <c r="B237" s="2"/>
      <c r="C237" s="11"/>
    </row>
    <row r="238">
      <c r="A238" s="7"/>
      <c r="B238" s="2"/>
      <c r="C238" s="11"/>
    </row>
    <row r="239">
      <c r="A239" s="7"/>
      <c r="B239" s="2"/>
      <c r="C239" s="11"/>
    </row>
    <row r="240">
      <c r="A240" s="7"/>
      <c r="B240" s="2"/>
      <c r="C240" s="11"/>
    </row>
    <row r="241">
      <c r="A241" s="7"/>
      <c r="B241" s="2"/>
      <c r="C241" s="11"/>
    </row>
    <row r="242">
      <c r="A242" s="7"/>
      <c r="B242" s="2"/>
      <c r="C242" s="11"/>
    </row>
    <row r="243">
      <c r="A243" s="7"/>
      <c r="B243" s="2"/>
      <c r="C243" s="11"/>
    </row>
    <row r="244">
      <c r="A244" s="7"/>
      <c r="B244" s="2"/>
      <c r="C244" s="11"/>
    </row>
    <row r="245">
      <c r="A245" s="7"/>
      <c r="B245" s="2"/>
      <c r="C245" s="11"/>
    </row>
    <row r="246">
      <c r="A246" s="7"/>
      <c r="B246" s="2"/>
      <c r="C246" s="11"/>
    </row>
    <row r="247">
      <c r="A247" s="7"/>
      <c r="B247" s="2"/>
      <c r="C247" s="11"/>
    </row>
    <row r="248">
      <c r="A248" s="7"/>
      <c r="B248" s="2"/>
      <c r="C248" s="11"/>
    </row>
    <row r="249">
      <c r="A249" s="7"/>
      <c r="B249" s="2"/>
      <c r="C249" s="11"/>
    </row>
    <row r="250">
      <c r="A250" s="7"/>
      <c r="B250" s="2"/>
      <c r="C250" s="11"/>
    </row>
    <row r="251">
      <c r="A251" s="7"/>
      <c r="B251" s="2"/>
      <c r="C251" s="11"/>
    </row>
    <row r="252">
      <c r="A252" s="7"/>
      <c r="B252" s="2"/>
      <c r="C252" s="11"/>
    </row>
    <row r="253">
      <c r="A253" s="7"/>
      <c r="B253" s="2"/>
      <c r="C253" s="11"/>
    </row>
    <row r="254">
      <c r="A254" s="7"/>
      <c r="B254" s="2"/>
      <c r="C254" s="11"/>
    </row>
    <row r="255">
      <c r="A255" s="7"/>
      <c r="B255" s="2"/>
      <c r="C255" s="11"/>
    </row>
    <row r="256">
      <c r="A256" s="7"/>
      <c r="B256" s="2"/>
      <c r="C256" s="11"/>
    </row>
    <row r="257">
      <c r="A257" s="7"/>
      <c r="B257" s="2"/>
      <c r="C257" s="11"/>
    </row>
    <row r="258">
      <c r="A258" s="7"/>
      <c r="B258" s="2"/>
      <c r="C258" s="11"/>
    </row>
    <row r="259">
      <c r="A259" s="7"/>
      <c r="B259" s="2"/>
      <c r="C259" s="11"/>
    </row>
    <row r="260">
      <c r="A260" s="7"/>
      <c r="B260" s="2"/>
      <c r="C260" s="11"/>
    </row>
    <row r="261">
      <c r="A261" s="7"/>
      <c r="B261" s="2"/>
      <c r="C261" s="11"/>
    </row>
    <row r="262">
      <c r="A262" s="7"/>
      <c r="B262" s="2"/>
      <c r="C262" s="11"/>
    </row>
    <row r="263">
      <c r="A263" s="7"/>
      <c r="B263" s="2"/>
      <c r="C263" s="11"/>
    </row>
    <row r="264">
      <c r="A264" s="7"/>
      <c r="B264" s="2"/>
      <c r="C264" s="11"/>
    </row>
    <row r="265">
      <c r="A265" s="7"/>
      <c r="B265" s="2"/>
      <c r="C265" s="11"/>
    </row>
    <row r="266">
      <c r="A266" s="7"/>
      <c r="B266" s="2"/>
      <c r="C266" s="11"/>
    </row>
    <row r="267">
      <c r="A267" s="7"/>
      <c r="B267" s="2"/>
      <c r="C267" s="11"/>
    </row>
    <row r="268">
      <c r="A268" s="7"/>
      <c r="B268" s="2"/>
      <c r="C268" s="11"/>
    </row>
    <row r="269">
      <c r="A269" s="7"/>
      <c r="B269" s="2"/>
      <c r="C269" s="11"/>
    </row>
    <row r="270">
      <c r="A270" s="7"/>
      <c r="B270" s="2"/>
      <c r="C270" s="11"/>
    </row>
    <row r="271">
      <c r="A271" s="7"/>
      <c r="B271" s="2"/>
      <c r="C271" s="11"/>
    </row>
    <row r="272">
      <c r="A272" s="7"/>
      <c r="B272" s="2"/>
      <c r="C272" s="11"/>
    </row>
    <row r="273">
      <c r="A273" s="7"/>
      <c r="B273" s="2"/>
      <c r="C273" s="11"/>
    </row>
    <row r="274">
      <c r="A274" s="7"/>
      <c r="B274" s="2"/>
      <c r="C274" s="11"/>
    </row>
    <row r="275">
      <c r="A275" s="7"/>
      <c r="B275" s="2"/>
      <c r="C275" s="11"/>
    </row>
    <row r="276">
      <c r="A276" s="7"/>
      <c r="B276" s="2"/>
      <c r="C276" s="11"/>
    </row>
    <row r="277">
      <c r="A277" s="7"/>
      <c r="B277" s="2"/>
      <c r="C277" s="11"/>
    </row>
    <row r="278">
      <c r="A278" s="7"/>
      <c r="B278" s="2"/>
      <c r="C278" s="11"/>
    </row>
    <row r="279">
      <c r="A279" s="7"/>
      <c r="B279" s="2"/>
      <c r="C279" s="11"/>
    </row>
    <row r="280">
      <c r="A280" s="7"/>
      <c r="B280" s="2"/>
      <c r="C280" s="11"/>
    </row>
    <row r="281">
      <c r="A281" s="7"/>
      <c r="B281" s="2"/>
      <c r="C281" s="11"/>
    </row>
    <row r="282">
      <c r="A282" s="7"/>
      <c r="B282" s="2"/>
      <c r="C282" s="11"/>
    </row>
    <row r="283">
      <c r="A283" s="7"/>
      <c r="B283" s="2"/>
      <c r="C283" s="11"/>
    </row>
    <row r="284">
      <c r="A284" s="7"/>
      <c r="B284" s="2"/>
      <c r="C284" s="11"/>
    </row>
    <row r="285">
      <c r="A285" s="7"/>
      <c r="B285" s="2"/>
      <c r="C285" s="11"/>
    </row>
    <row r="286">
      <c r="A286" s="7"/>
      <c r="B286" s="2"/>
      <c r="C286" s="11"/>
    </row>
    <row r="287">
      <c r="A287" s="7"/>
      <c r="B287" s="2"/>
      <c r="C287" s="11"/>
    </row>
    <row r="288">
      <c r="A288" s="7"/>
      <c r="B288" s="2"/>
      <c r="C288" s="11"/>
    </row>
    <row r="289">
      <c r="A289" s="7"/>
      <c r="B289" s="2"/>
      <c r="C289" s="11"/>
    </row>
    <row r="290">
      <c r="A290" s="7"/>
      <c r="B290" s="2"/>
      <c r="C290" s="11"/>
    </row>
    <row r="291">
      <c r="A291" s="7"/>
      <c r="B291" s="2"/>
      <c r="C291" s="11"/>
    </row>
    <row r="292">
      <c r="A292" s="7"/>
      <c r="B292" s="2"/>
      <c r="C292" s="11"/>
    </row>
    <row r="293">
      <c r="A293" s="7"/>
      <c r="B293" s="2"/>
      <c r="C293" s="11"/>
    </row>
    <row r="294">
      <c r="A294" s="7"/>
      <c r="B294" s="2"/>
      <c r="C294" s="11"/>
    </row>
    <row r="295">
      <c r="A295" s="7"/>
      <c r="B295" s="2"/>
      <c r="C295" s="11"/>
    </row>
    <row r="296">
      <c r="A296" s="7"/>
      <c r="B296" s="2"/>
      <c r="C296" s="11"/>
    </row>
    <row r="297">
      <c r="A297" s="7"/>
      <c r="B297" s="2"/>
      <c r="C297" s="11"/>
    </row>
    <row r="298">
      <c r="A298" s="7"/>
      <c r="B298" s="2"/>
      <c r="C298" s="11"/>
    </row>
    <row r="299">
      <c r="A299" s="7"/>
      <c r="B299" s="2"/>
      <c r="C299" s="11"/>
    </row>
    <row r="300">
      <c r="A300" s="7"/>
      <c r="B300" s="2"/>
      <c r="C300" s="11"/>
    </row>
    <row r="301">
      <c r="A301" s="7"/>
      <c r="B301" s="2"/>
      <c r="C301" s="11"/>
    </row>
    <row r="302">
      <c r="A302" s="7"/>
      <c r="B302" s="2"/>
      <c r="C302" s="11"/>
    </row>
    <row r="303">
      <c r="A303" s="7"/>
      <c r="B303" s="2"/>
      <c r="C303" s="11"/>
    </row>
    <row r="304">
      <c r="A304" s="7"/>
      <c r="B304" s="2"/>
      <c r="C304" s="11"/>
    </row>
    <row r="305">
      <c r="A305" s="7"/>
      <c r="B305" s="2"/>
      <c r="C305" s="11"/>
    </row>
    <row r="306">
      <c r="A306" s="7"/>
      <c r="B306" s="2"/>
      <c r="C306" s="11"/>
    </row>
    <row r="307">
      <c r="A307" s="7"/>
      <c r="B307" s="2"/>
      <c r="C307" s="11"/>
    </row>
    <row r="308">
      <c r="A308" s="7"/>
      <c r="B308" s="2"/>
      <c r="C308" s="11"/>
    </row>
    <row r="309">
      <c r="A309" s="7"/>
      <c r="B309" s="2"/>
      <c r="C309" s="11"/>
    </row>
    <row r="310">
      <c r="A310" s="7"/>
      <c r="B310" s="2"/>
      <c r="C310" s="11"/>
    </row>
    <row r="311">
      <c r="A311" s="7"/>
      <c r="B311" s="2"/>
      <c r="C311" s="11"/>
    </row>
    <row r="312">
      <c r="A312" s="7"/>
      <c r="B312" s="2"/>
      <c r="C312" s="11"/>
    </row>
    <row r="313">
      <c r="A313" s="7"/>
      <c r="B313" s="2"/>
      <c r="C313" s="11"/>
    </row>
    <row r="314">
      <c r="A314" s="7"/>
      <c r="B314" s="2"/>
      <c r="C314" s="11"/>
    </row>
    <row r="315">
      <c r="A315" s="7"/>
      <c r="B315" s="2"/>
      <c r="C315" s="11"/>
    </row>
    <row r="316">
      <c r="A316" s="7"/>
      <c r="B316" s="2"/>
      <c r="C316" s="11"/>
    </row>
    <row r="317">
      <c r="A317" s="7"/>
      <c r="B317" s="2"/>
      <c r="C317" s="11"/>
    </row>
    <row r="318">
      <c r="A318" s="7"/>
      <c r="B318" s="2"/>
      <c r="C318" s="11"/>
    </row>
    <row r="319">
      <c r="A319" s="7"/>
      <c r="B319" s="2"/>
      <c r="C319" s="11"/>
    </row>
    <row r="320">
      <c r="A320" s="7"/>
      <c r="B320" s="2"/>
      <c r="C320" s="11"/>
    </row>
    <row r="321">
      <c r="A321" s="7"/>
      <c r="B321" s="2"/>
      <c r="C321" s="11"/>
    </row>
    <row r="322">
      <c r="A322" s="7"/>
      <c r="B322" s="2"/>
      <c r="C322" s="11"/>
    </row>
    <row r="323">
      <c r="A323" s="7"/>
      <c r="B323" s="2"/>
      <c r="C323" s="11"/>
    </row>
    <row r="324">
      <c r="A324" s="7"/>
      <c r="B324" s="2"/>
      <c r="C324" s="11"/>
    </row>
    <row r="325">
      <c r="A325" s="7"/>
      <c r="B325" s="2"/>
      <c r="C325" s="11"/>
    </row>
    <row r="326">
      <c r="A326" s="7"/>
      <c r="B326" s="2"/>
      <c r="C326" s="11"/>
    </row>
    <row r="327">
      <c r="A327" s="7"/>
      <c r="B327" s="2"/>
      <c r="C327" s="11"/>
    </row>
    <row r="328">
      <c r="A328" s="7"/>
      <c r="B328" s="2"/>
      <c r="C328" s="11"/>
    </row>
    <row r="329">
      <c r="A329" s="7"/>
      <c r="B329" s="2"/>
      <c r="C329" s="11"/>
    </row>
    <row r="330">
      <c r="A330" s="7"/>
      <c r="B330" s="2"/>
      <c r="C330" s="11"/>
    </row>
    <row r="331">
      <c r="A331" s="7"/>
      <c r="B331" s="2"/>
      <c r="C331" s="11"/>
    </row>
    <row r="332">
      <c r="A332" s="7"/>
      <c r="B332" s="2"/>
      <c r="C332" s="11"/>
    </row>
    <row r="333">
      <c r="A333" s="7"/>
      <c r="B333" s="2"/>
      <c r="C333" s="11"/>
    </row>
    <row r="334">
      <c r="A334" s="7"/>
      <c r="B334" s="2"/>
      <c r="C334" s="11"/>
    </row>
    <row r="335">
      <c r="A335" s="7"/>
      <c r="B335" s="2"/>
      <c r="C335" s="11"/>
    </row>
    <row r="336">
      <c r="A336" s="7"/>
      <c r="B336" s="2"/>
      <c r="C336" s="11"/>
    </row>
    <row r="337">
      <c r="A337" s="7"/>
      <c r="B337" s="2"/>
      <c r="C337" s="11"/>
    </row>
    <row r="338">
      <c r="A338" s="7"/>
      <c r="B338" s="2"/>
      <c r="C338" s="11"/>
    </row>
    <row r="339">
      <c r="A339" s="7"/>
      <c r="B339" s="2"/>
      <c r="C339" s="11"/>
    </row>
    <row r="340">
      <c r="A340" s="7"/>
      <c r="B340" s="2"/>
      <c r="C340" s="11"/>
    </row>
    <row r="341">
      <c r="A341" s="7"/>
      <c r="B341" s="2"/>
      <c r="C341" s="11"/>
    </row>
    <row r="342">
      <c r="A342" s="7"/>
      <c r="B342" s="2"/>
      <c r="C342" s="11"/>
    </row>
    <row r="343">
      <c r="A343" s="7"/>
      <c r="B343" s="2"/>
      <c r="C343" s="11"/>
    </row>
    <row r="344">
      <c r="A344" s="7"/>
      <c r="B344" s="2"/>
      <c r="C344" s="11"/>
    </row>
    <row r="345">
      <c r="A345" s="7"/>
      <c r="B345" s="2"/>
      <c r="C345" s="11"/>
    </row>
    <row r="346">
      <c r="A346" s="7"/>
      <c r="B346" s="2"/>
      <c r="C346" s="11"/>
    </row>
    <row r="347">
      <c r="A347" s="7"/>
      <c r="B347" s="2"/>
      <c r="C347" s="11"/>
    </row>
    <row r="348">
      <c r="A348" s="7"/>
      <c r="B348" s="2"/>
      <c r="C348" s="11"/>
    </row>
    <row r="349">
      <c r="A349" s="7"/>
      <c r="B349" s="2"/>
      <c r="C349" s="11"/>
    </row>
    <row r="350">
      <c r="A350" s="7"/>
      <c r="B350" s="2"/>
      <c r="C350" s="11"/>
    </row>
    <row r="351">
      <c r="A351" s="7"/>
      <c r="B351" s="2"/>
      <c r="C351" s="11"/>
    </row>
    <row r="352">
      <c r="A352" s="7"/>
      <c r="B352" s="2"/>
      <c r="C352" s="11"/>
    </row>
    <row r="353">
      <c r="A353" s="7"/>
      <c r="B353" s="2"/>
      <c r="C353" s="11"/>
    </row>
    <row r="354">
      <c r="A354" s="7"/>
      <c r="B354" s="2"/>
      <c r="C354" s="11"/>
    </row>
    <row r="355">
      <c r="A355" s="7"/>
      <c r="B355" s="2"/>
      <c r="C355" s="11"/>
    </row>
    <row r="356">
      <c r="A356" s="7"/>
      <c r="B356" s="2"/>
      <c r="C356" s="11"/>
    </row>
    <row r="357">
      <c r="A357" s="7"/>
      <c r="B357" s="2"/>
      <c r="C357" s="11"/>
    </row>
    <row r="358">
      <c r="A358" s="7"/>
      <c r="B358" s="2"/>
      <c r="C358" s="11"/>
    </row>
    <row r="359">
      <c r="A359" s="7"/>
      <c r="B359" s="2"/>
      <c r="C359" s="11"/>
    </row>
    <row r="360">
      <c r="A360" s="7"/>
      <c r="B360" s="2"/>
      <c r="C360" s="11"/>
    </row>
    <row r="361">
      <c r="A361" s="7"/>
      <c r="B361" s="2"/>
      <c r="C361" s="11"/>
    </row>
    <row r="362">
      <c r="A362" s="7"/>
      <c r="B362" s="2"/>
      <c r="C362" s="11"/>
    </row>
    <row r="363">
      <c r="A363" s="7"/>
      <c r="B363" s="2"/>
      <c r="C363" s="11"/>
    </row>
    <row r="364">
      <c r="A364" s="7"/>
      <c r="B364" s="2"/>
      <c r="C364" s="11"/>
    </row>
    <row r="365">
      <c r="A365" s="7"/>
      <c r="B365" s="2"/>
      <c r="C365" s="11"/>
    </row>
    <row r="366">
      <c r="A366" s="7"/>
      <c r="B366" s="2"/>
      <c r="C366" s="11"/>
    </row>
    <row r="367">
      <c r="A367" s="7"/>
      <c r="B367" s="2"/>
      <c r="C367" s="11"/>
    </row>
    <row r="368">
      <c r="A368" s="7"/>
      <c r="B368" s="2"/>
      <c r="C368" s="11"/>
    </row>
    <row r="369">
      <c r="A369" s="7"/>
      <c r="B369" s="2"/>
      <c r="C369" s="11"/>
    </row>
    <row r="370">
      <c r="A370" s="7"/>
      <c r="B370" s="2"/>
      <c r="C370" s="11"/>
    </row>
    <row r="371">
      <c r="A371" s="7"/>
      <c r="B371" s="2"/>
      <c r="C371" s="11"/>
    </row>
    <row r="372">
      <c r="A372" s="7"/>
      <c r="B372" s="2"/>
      <c r="C372" s="11"/>
    </row>
    <row r="373">
      <c r="A373" s="7"/>
      <c r="B373" s="2"/>
      <c r="C373" s="11"/>
    </row>
    <row r="374">
      <c r="A374" s="7"/>
      <c r="B374" s="2"/>
      <c r="C374" s="11"/>
    </row>
    <row r="375">
      <c r="A375" s="7"/>
      <c r="B375" s="2"/>
      <c r="C375" s="11"/>
    </row>
    <row r="376">
      <c r="A376" s="7"/>
      <c r="B376" s="2"/>
      <c r="C376" s="11"/>
    </row>
    <row r="377">
      <c r="A377" s="7"/>
      <c r="B377" s="2"/>
      <c r="C377" s="11"/>
    </row>
    <row r="378">
      <c r="A378" s="7"/>
      <c r="B378" s="2"/>
      <c r="C378" s="11"/>
    </row>
    <row r="379">
      <c r="A379" s="7"/>
      <c r="B379" s="2"/>
      <c r="C379" s="11"/>
    </row>
    <row r="380">
      <c r="A380" s="7"/>
      <c r="B380" s="2"/>
      <c r="C380" s="11"/>
    </row>
    <row r="381">
      <c r="A381" s="7"/>
      <c r="B381" s="2"/>
      <c r="C381" s="11"/>
    </row>
    <row r="382">
      <c r="A382" s="7"/>
      <c r="B382" s="2"/>
      <c r="C382" s="11"/>
    </row>
    <row r="383">
      <c r="A383" s="7"/>
      <c r="B383" s="2"/>
      <c r="C383" s="11"/>
    </row>
    <row r="384">
      <c r="A384" s="7"/>
      <c r="B384" s="2"/>
      <c r="C384" s="11"/>
    </row>
    <row r="385">
      <c r="A385" s="7"/>
      <c r="B385" s="2"/>
      <c r="C385" s="11"/>
    </row>
    <row r="386">
      <c r="A386" s="7"/>
      <c r="B386" s="2"/>
      <c r="C386" s="11"/>
    </row>
    <row r="387">
      <c r="A387" s="7"/>
      <c r="B387" s="2"/>
      <c r="C387" s="11"/>
    </row>
    <row r="388">
      <c r="A388" s="7"/>
      <c r="B388" s="2"/>
      <c r="C388" s="11"/>
    </row>
    <row r="389">
      <c r="A389" s="7"/>
      <c r="B389" s="2"/>
      <c r="C389" s="11"/>
    </row>
    <row r="390">
      <c r="A390" s="7"/>
      <c r="B390" s="2"/>
      <c r="C390" s="11"/>
    </row>
    <row r="391">
      <c r="A391" s="7"/>
      <c r="B391" s="2"/>
      <c r="C391" s="11"/>
    </row>
    <row r="392">
      <c r="A392" s="7"/>
      <c r="B392" s="2"/>
      <c r="C392" s="11"/>
    </row>
    <row r="393">
      <c r="A393" s="7"/>
      <c r="B393" s="2"/>
      <c r="C393" s="11"/>
    </row>
    <row r="394">
      <c r="A394" s="7"/>
      <c r="B394" s="2"/>
      <c r="C394" s="11"/>
    </row>
    <row r="395">
      <c r="A395" s="7"/>
      <c r="B395" s="2"/>
      <c r="C395" s="11"/>
    </row>
    <row r="396">
      <c r="A396" s="7"/>
      <c r="B396" s="2"/>
      <c r="C396" s="11"/>
    </row>
    <row r="397">
      <c r="A397" s="7"/>
      <c r="B397" s="2"/>
      <c r="C397" s="11"/>
    </row>
    <row r="398">
      <c r="A398" s="7"/>
      <c r="B398" s="2"/>
      <c r="C398" s="11"/>
    </row>
    <row r="399">
      <c r="A399" s="7"/>
      <c r="B399" s="2"/>
      <c r="C399" s="11"/>
    </row>
    <row r="400">
      <c r="A400" s="7"/>
      <c r="B400" s="2"/>
      <c r="C400" s="11"/>
    </row>
    <row r="401">
      <c r="A401" s="7"/>
      <c r="B401" s="2"/>
      <c r="C401" s="11"/>
    </row>
    <row r="402">
      <c r="A402" s="7"/>
      <c r="B402" s="2"/>
      <c r="C402" s="11"/>
    </row>
    <row r="403">
      <c r="A403" s="7"/>
      <c r="B403" s="2"/>
      <c r="C403" s="11"/>
    </row>
    <row r="404">
      <c r="A404" s="7"/>
      <c r="B404" s="2"/>
      <c r="C404" s="11"/>
    </row>
    <row r="405">
      <c r="A405" s="7"/>
      <c r="B405" s="2"/>
      <c r="C405" s="11"/>
    </row>
    <row r="406">
      <c r="A406" s="7"/>
      <c r="B406" s="2"/>
      <c r="C406" s="11"/>
    </row>
    <row r="407">
      <c r="A407" s="7"/>
      <c r="B407" s="2"/>
      <c r="C407" s="11"/>
    </row>
    <row r="408">
      <c r="A408" s="7"/>
      <c r="B408" s="2"/>
      <c r="C408" s="11"/>
    </row>
    <row r="409">
      <c r="A409" s="7"/>
      <c r="B409" s="2"/>
      <c r="C409" s="11"/>
    </row>
    <row r="410">
      <c r="A410" s="7"/>
      <c r="B410" s="2"/>
      <c r="C410" s="11"/>
    </row>
    <row r="411">
      <c r="A411" s="7"/>
      <c r="B411" s="2"/>
      <c r="C411" s="11"/>
    </row>
    <row r="412">
      <c r="A412" s="7"/>
      <c r="B412" s="2"/>
      <c r="C412" s="11"/>
    </row>
    <row r="413">
      <c r="A413" s="7"/>
      <c r="B413" s="2"/>
      <c r="C413" s="11"/>
    </row>
    <row r="414">
      <c r="A414" s="7"/>
      <c r="B414" s="2"/>
      <c r="C414" s="11"/>
    </row>
    <row r="415">
      <c r="A415" s="7"/>
      <c r="B415" s="2"/>
      <c r="C415" s="11"/>
    </row>
    <row r="416">
      <c r="A416" s="7"/>
      <c r="B416" s="2"/>
      <c r="C416" s="11"/>
    </row>
    <row r="417">
      <c r="A417" s="7"/>
      <c r="B417" s="2"/>
      <c r="C417" s="11"/>
    </row>
    <row r="418">
      <c r="A418" s="7"/>
      <c r="B418" s="2"/>
      <c r="C418" s="11"/>
    </row>
    <row r="419">
      <c r="A419" s="7"/>
      <c r="B419" s="2"/>
      <c r="C419" s="11"/>
    </row>
    <row r="420">
      <c r="A420" s="7"/>
      <c r="B420" s="2"/>
      <c r="C420" s="11"/>
    </row>
    <row r="421">
      <c r="A421" s="7"/>
      <c r="B421" s="2"/>
      <c r="C421" s="11"/>
    </row>
    <row r="422">
      <c r="A422" s="7"/>
      <c r="B422" s="2"/>
      <c r="C422" s="11"/>
    </row>
    <row r="423">
      <c r="A423" s="7"/>
      <c r="B423" s="2"/>
      <c r="C423" s="11"/>
    </row>
    <row r="424">
      <c r="A424" s="7"/>
      <c r="B424" s="2"/>
      <c r="C424" s="11"/>
    </row>
    <row r="425">
      <c r="A425" s="7"/>
      <c r="B425" s="2"/>
      <c r="C425" s="11"/>
    </row>
    <row r="426">
      <c r="A426" s="7"/>
      <c r="B426" s="2"/>
      <c r="C426" s="11"/>
    </row>
    <row r="427">
      <c r="A427" s="7"/>
      <c r="B427" s="2"/>
      <c r="C427" s="11"/>
    </row>
    <row r="428">
      <c r="A428" s="7"/>
      <c r="B428" s="2"/>
      <c r="C428" s="11"/>
    </row>
    <row r="429">
      <c r="A429" s="7"/>
      <c r="B429" s="2"/>
      <c r="C429" s="11"/>
    </row>
    <row r="430">
      <c r="A430" s="7"/>
      <c r="B430" s="2"/>
      <c r="C430" s="11"/>
    </row>
    <row r="431">
      <c r="A431" s="7"/>
      <c r="B431" s="2"/>
      <c r="C431" s="11"/>
    </row>
    <row r="432">
      <c r="A432" s="7"/>
      <c r="B432" s="2"/>
      <c r="C432" s="11"/>
    </row>
    <row r="433">
      <c r="A433" s="7"/>
      <c r="B433" s="2"/>
      <c r="C433" s="11"/>
    </row>
    <row r="434">
      <c r="A434" s="7"/>
      <c r="B434" s="2"/>
      <c r="C434" s="11"/>
    </row>
    <row r="435">
      <c r="A435" s="7"/>
      <c r="B435" s="2"/>
      <c r="C435" s="11"/>
    </row>
    <row r="436">
      <c r="A436" s="7"/>
      <c r="B436" s="2"/>
      <c r="C436" s="11"/>
    </row>
    <row r="437">
      <c r="A437" s="7"/>
      <c r="B437" s="2"/>
      <c r="C437" s="11"/>
    </row>
    <row r="438">
      <c r="A438" s="7"/>
      <c r="B438" s="2"/>
      <c r="C438" s="11"/>
    </row>
    <row r="439">
      <c r="A439" s="7"/>
      <c r="B439" s="2"/>
      <c r="C439" s="11"/>
    </row>
    <row r="440">
      <c r="A440" s="7"/>
      <c r="B440" s="2"/>
      <c r="C440" s="11"/>
    </row>
    <row r="441">
      <c r="A441" s="7"/>
      <c r="B441" s="2"/>
      <c r="C441" s="11"/>
    </row>
    <row r="442">
      <c r="A442" s="7"/>
      <c r="B442" s="2"/>
      <c r="C442" s="11"/>
    </row>
    <row r="443">
      <c r="A443" s="7"/>
      <c r="B443" s="2"/>
      <c r="C443" s="11"/>
    </row>
    <row r="444">
      <c r="A444" s="7"/>
      <c r="B444" s="2"/>
      <c r="C444" s="11"/>
    </row>
    <row r="445">
      <c r="A445" s="7"/>
      <c r="B445" s="2"/>
      <c r="C445" s="11"/>
    </row>
    <row r="446">
      <c r="A446" s="7"/>
      <c r="B446" s="2"/>
      <c r="C446" s="11"/>
    </row>
    <row r="447">
      <c r="A447" s="7"/>
      <c r="B447" s="2"/>
      <c r="C447" s="11"/>
    </row>
    <row r="448">
      <c r="A448" s="7"/>
      <c r="B448" s="2"/>
      <c r="C448" s="11"/>
    </row>
    <row r="449">
      <c r="A449" s="7"/>
      <c r="B449" s="2"/>
      <c r="C449" s="11"/>
    </row>
    <row r="450">
      <c r="A450" s="7"/>
      <c r="B450" s="2"/>
      <c r="C450" s="11"/>
    </row>
    <row r="451">
      <c r="A451" s="7"/>
      <c r="B451" s="2"/>
      <c r="C451" s="11"/>
    </row>
    <row r="452">
      <c r="A452" s="7"/>
      <c r="B452" s="2"/>
      <c r="C452" s="11"/>
    </row>
    <row r="453">
      <c r="A453" s="7"/>
      <c r="B453" s="2"/>
      <c r="C453" s="11"/>
    </row>
    <row r="454">
      <c r="A454" s="7"/>
      <c r="B454" s="2"/>
      <c r="C454" s="11"/>
    </row>
    <row r="455">
      <c r="A455" s="7"/>
      <c r="B455" s="2"/>
      <c r="C455" s="11"/>
    </row>
    <row r="456">
      <c r="A456" s="7"/>
      <c r="B456" s="2"/>
      <c r="C456" s="11"/>
    </row>
    <row r="457">
      <c r="A457" s="7"/>
      <c r="B457" s="2"/>
      <c r="C457" s="11"/>
    </row>
    <row r="458">
      <c r="A458" s="7"/>
      <c r="B458" s="2"/>
      <c r="C458" s="11"/>
    </row>
    <row r="459">
      <c r="A459" s="7"/>
      <c r="B459" s="2"/>
      <c r="C459" s="11"/>
    </row>
    <row r="460">
      <c r="A460" s="7"/>
      <c r="B460" s="2"/>
      <c r="C460" s="11"/>
    </row>
    <row r="461">
      <c r="A461" s="7"/>
      <c r="B461" s="2"/>
      <c r="C461" s="11"/>
    </row>
    <row r="462">
      <c r="A462" s="7"/>
      <c r="B462" s="2"/>
      <c r="C462" s="11"/>
    </row>
    <row r="463">
      <c r="A463" s="7"/>
      <c r="B463" s="2"/>
      <c r="C463" s="11"/>
    </row>
    <row r="464">
      <c r="A464" s="7"/>
      <c r="B464" s="2"/>
      <c r="C464" s="11"/>
    </row>
    <row r="465">
      <c r="A465" s="7"/>
      <c r="B465" s="2"/>
      <c r="C465" s="11"/>
    </row>
    <row r="466">
      <c r="A466" s="7"/>
      <c r="B466" s="2"/>
      <c r="C466" s="11"/>
    </row>
    <row r="467">
      <c r="A467" s="7"/>
      <c r="B467" s="2"/>
      <c r="C467" s="11"/>
    </row>
    <row r="468">
      <c r="A468" s="7"/>
      <c r="B468" s="2"/>
      <c r="C468" s="11"/>
    </row>
    <row r="469">
      <c r="A469" s="7"/>
      <c r="B469" s="2"/>
      <c r="C469" s="11"/>
    </row>
    <row r="470">
      <c r="A470" s="7"/>
      <c r="B470" s="2"/>
      <c r="C470" s="11"/>
    </row>
    <row r="471">
      <c r="A471" s="7"/>
      <c r="B471" s="2"/>
      <c r="C471" s="11"/>
    </row>
    <row r="472">
      <c r="A472" s="7"/>
      <c r="B472" s="2"/>
      <c r="C472" s="11"/>
    </row>
    <row r="473">
      <c r="A473" s="7"/>
      <c r="B473" s="2"/>
      <c r="C473" s="11"/>
    </row>
    <row r="474">
      <c r="A474" s="7"/>
      <c r="B474" s="2"/>
      <c r="C474" s="11"/>
    </row>
    <row r="475">
      <c r="A475" s="7"/>
      <c r="B475" s="2"/>
      <c r="C475" s="11"/>
    </row>
    <row r="476">
      <c r="A476" s="7"/>
      <c r="B476" s="2"/>
      <c r="C476" s="11"/>
    </row>
    <row r="477">
      <c r="A477" s="7"/>
      <c r="B477" s="2"/>
      <c r="C477" s="11"/>
    </row>
    <row r="478">
      <c r="A478" s="7"/>
      <c r="B478" s="2"/>
      <c r="C478" s="11"/>
    </row>
    <row r="479">
      <c r="A479" s="7"/>
      <c r="B479" s="2"/>
      <c r="C479" s="11"/>
    </row>
    <row r="480">
      <c r="A480" s="7"/>
      <c r="B480" s="2"/>
      <c r="C480" s="11"/>
    </row>
    <row r="481">
      <c r="A481" s="7"/>
      <c r="B481" s="2"/>
      <c r="C481" s="11"/>
    </row>
    <row r="482">
      <c r="A482" s="7"/>
      <c r="B482" s="2"/>
      <c r="C482" s="11"/>
    </row>
    <row r="483">
      <c r="A483" s="7"/>
      <c r="B483" s="2"/>
      <c r="C483" s="11"/>
    </row>
    <row r="484">
      <c r="A484" s="7"/>
      <c r="B484" s="2"/>
      <c r="C484" s="11"/>
    </row>
    <row r="485">
      <c r="A485" s="7"/>
      <c r="B485" s="2"/>
      <c r="C485" s="11"/>
    </row>
    <row r="486">
      <c r="A486" s="7"/>
      <c r="B486" s="2"/>
      <c r="C486" s="11"/>
    </row>
    <row r="487">
      <c r="A487" s="7"/>
      <c r="B487" s="2"/>
      <c r="C487" s="11"/>
    </row>
    <row r="488">
      <c r="A488" s="7"/>
      <c r="B488" s="2"/>
      <c r="C488" s="11"/>
    </row>
    <row r="489">
      <c r="A489" s="7"/>
      <c r="B489" s="2"/>
      <c r="C489" s="11"/>
    </row>
    <row r="490">
      <c r="A490" s="7"/>
      <c r="B490" s="2"/>
      <c r="C490" s="11"/>
    </row>
    <row r="491">
      <c r="A491" s="7"/>
      <c r="B491" s="2"/>
      <c r="C491" s="11"/>
    </row>
    <row r="492">
      <c r="A492" s="7"/>
      <c r="B492" s="2"/>
      <c r="C492" s="11"/>
    </row>
    <row r="493">
      <c r="A493" s="7"/>
      <c r="B493" s="2"/>
      <c r="C493" s="11"/>
    </row>
    <row r="494">
      <c r="A494" s="7"/>
      <c r="B494" s="2"/>
      <c r="C494" s="11"/>
    </row>
    <row r="495">
      <c r="A495" s="7"/>
      <c r="B495" s="2"/>
      <c r="C495" s="11"/>
    </row>
    <row r="496">
      <c r="A496" s="7"/>
      <c r="B496" s="2"/>
      <c r="C496" s="11"/>
    </row>
    <row r="497">
      <c r="A497" s="7"/>
      <c r="B497" s="2"/>
      <c r="C497" s="11"/>
    </row>
    <row r="498">
      <c r="A498" s="7"/>
      <c r="B498" s="2"/>
      <c r="C498" s="11"/>
    </row>
    <row r="499">
      <c r="A499" s="7"/>
      <c r="B499" s="2"/>
      <c r="C499" s="11"/>
    </row>
    <row r="500">
      <c r="A500" s="7"/>
      <c r="B500" s="2"/>
      <c r="C500" s="11"/>
    </row>
    <row r="501">
      <c r="A501" s="7"/>
      <c r="B501" s="2"/>
      <c r="C501" s="11"/>
    </row>
    <row r="502">
      <c r="A502" s="7"/>
      <c r="B502" s="2"/>
      <c r="C502" s="11"/>
    </row>
    <row r="503">
      <c r="A503" s="7"/>
      <c r="B503" s="2"/>
      <c r="C503" s="11"/>
    </row>
    <row r="504">
      <c r="A504" s="7"/>
      <c r="B504" s="2"/>
      <c r="C504" s="11"/>
    </row>
    <row r="505">
      <c r="A505" s="7"/>
      <c r="B505" s="2"/>
      <c r="C505" s="11"/>
    </row>
    <row r="506">
      <c r="A506" s="7"/>
      <c r="B506" s="2"/>
      <c r="C506" s="11"/>
    </row>
    <row r="507">
      <c r="A507" s="7"/>
      <c r="B507" s="2"/>
      <c r="C507" s="11"/>
    </row>
    <row r="508">
      <c r="A508" s="7"/>
      <c r="B508" s="2"/>
      <c r="C508" s="11"/>
    </row>
    <row r="509">
      <c r="A509" s="7"/>
      <c r="B509" s="2"/>
      <c r="C509" s="11"/>
    </row>
    <row r="510">
      <c r="A510" s="7"/>
      <c r="B510" s="2"/>
      <c r="C510" s="11"/>
    </row>
    <row r="511">
      <c r="A511" s="7"/>
      <c r="B511" s="2"/>
      <c r="C511" s="11"/>
    </row>
    <row r="512">
      <c r="A512" s="7"/>
      <c r="B512" s="2"/>
      <c r="C512" s="11"/>
    </row>
    <row r="513">
      <c r="A513" s="7"/>
      <c r="B513" s="2"/>
      <c r="C513" s="11"/>
    </row>
    <row r="514">
      <c r="A514" s="7"/>
      <c r="B514" s="2"/>
      <c r="C514" s="11"/>
    </row>
    <row r="515">
      <c r="A515" s="7"/>
      <c r="B515" s="2"/>
      <c r="C515" s="11"/>
    </row>
    <row r="516">
      <c r="A516" s="7"/>
      <c r="B516" s="2"/>
      <c r="C516" s="11"/>
    </row>
    <row r="517">
      <c r="A517" s="7"/>
      <c r="B517" s="2"/>
      <c r="C517" s="11"/>
    </row>
    <row r="518">
      <c r="A518" s="7"/>
      <c r="B518" s="2"/>
      <c r="C518" s="11"/>
    </row>
    <row r="519">
      <c r="A519" s="7"/>
      <c r="B519" s="2"/>
      <c r="C519" s="11"/>
    </row>
    <row r="520">
      <c r="A520" s="7"/>
      <c r="B520" s="2"/>
      <c r="C520" s="11"/>
    </row>
    <row r="521">
      <c r="A521" s="7"/>
      <c r="B521" s="2"/>
      <c r="C521" s="11"/>
    </row>
    <row r="522">
      <c r="A522" s="7"/>
      <c r="B522" s="2"/>
      <c r="C522" s="11"/>
    </row>
    <row r="523">
      <c r="A523" s="7"/>
      <c r="B523" s="2"/>
      <c r="C523" s="11"/>
    </row>
    <row r="524">
      <c r="A524" s="7"/>
      <c r="B524" s="2"/>
      <c r="C524" s="11"/>
    </row>
    <row r="525">
      <c r="A525" s="7"/>
      <c r="B525" s="2"/>
      <c r="C525" s="11"/>
    </row>
    <row r="526">
      <c r="A526" s="7"/>
      <c r="B526" s="2"/>
      <c r="C526" s="11"/>
    </row>
    <row r="527">
      <c r="A527" s="7"/>
      <c r="B527" s="2"/>
      <c r="C527" s="11"/>
    </row>
    <row r="528">
      <c r="A528" s="7"/>
      <c r="B528" s="2"/>
      <c r="C528" s="11"/>
    </row>
    <row r="529">
      <c r="A529" s="7"/>
      <c r="B529" s="2"/>
      <c r="C529" s="11"/>
    </row>
    <row r="530">
      <c r="A530" s="7"/>
      <c r="B530" s="2"/>
      <c r="C530" s="11"/>
    </row>
    <row r="531">
      <c r="A531" s="7"/>
      <c r="B531" s="2"/>
      <c r="C531" s="11"/>
    </row>
    <row r="532">
      <c r="A532" s="7"/>
      <c r="B532" s="2"/>
      <c r="C532" s="11"/>
    </row>
    <row r="533">
      <c r="A533" s="7"/>
      <c r="B533" s="2"/>
      <c r="C533" s="11"/>
    </row>
    <row r="534">
      <c r="A534" s="7"/>
      <c r="B534" s="2"/>
      <c r="C534" s="11"/>
    </row>
    <row r="535">
      <c r="A535" s="7"/>
      <c r="B535" s="2"/>
      <c r="C535" s="11"/>
    </row>
    <row r="536">
      <c r="A536" s="7"/>
      <c r="B536" s="2"/>
      <c r="C536" s="11"/>
    </row>
    <row r="537">
      <c r="A537" s="7"/>
      <c r="B537" s="2"/>
      <c r="C537" s="11"/>
    </row>
    <row r="538">
      <c r="A538" s="7"/>
      <c r="B538" s="2"/>
      <c r="C538" s="11"/>
    </row>
    <row r="539">
      <c r="A539" s="7"/>
      <c r="B539" s="2"/>
      <c r="C539" s="11"/>
    </row>
    <row r="540">
      <c r="A540" s="7"/>
      <c r="B540" s="2"/>
      <c r="C540" s="11"/>
    </row>
    <row r="541">
      <c r="A541" s="7"/>
      <c r="B541" s="2"/>
      <c r="C541" s="11"/>
    </row>
    <row r="542">
      <c r="A542" s="7"/>
      <c r="B542" s="2"/>
      <c r="C542" s="11"/>
    </row>
    <row r="543">
      <c r="A543" s="7"/>
      <c r="B543" s="2"/>
      <c r="C543" s="11"/>
    </row>
    <row r="544">
      <c r="A544" s="7"/>
      <c r="B544" s="2"/>
      <c r="C544" s="11"/>
    </row>
    <row r="545">
      <c r="A545" s="7"/>
      <c r="B545" s="2"/>
      <c r="C545" s="11"/>
    </row>
    <row r="546">
      <c r="A546" s="7"/>
      <c r="B546" s="2"/>
      <c r="C546" s="11"/>
    </row>
    <row r="547">
      <c r="A547" s="7"/>
      <c r="B547" s="2"/>
      <c r="C547" s="11"/>
    </row>
    <row r="548">
      <c r="A548" s="7"/>
      <c r="B548" s="2"/>
      <c r="C548" s="11"/>
    </row>
    <row r="549">
      <c r="A549" s="7"/>
      <c r="B549" s="2"/>
      <c r="C549" s="11"/>
    </row>
    <row r="550">
      <c r="A550" s="7"/>
      <c r="B550" s="2"/>
      <c r="C550" s="11"/>
    </row>
    <row r="551">
      <c r="A551" s="7"/>
      <c r="B551" s="2"/>
      <c r="C551" s="11"/>
    </row>
    <row r="552">
      <c r="A552" s="7"/>
      <c r="B552" s="2"/>
      <c r="C552" s="11"/>
    </row>
    <row r="553">
      <c r="A553" s="7"/>
      <c r="B553" s="2"/>
      <c r="C553" s="11"/>
    </row>
    <row r="554">
      <c r="A554" s="7"/>
      <c r="B554" s="2"/>
      <c r="C554" s="11"/>
    </row>
    <row r="555">
      <c r="A555" s="7"/>
      <c r="B555" s="2"/>
      <c r="C555" s="11"/>
    </row>
    <row r="556">
      <c r="A556" s="7"/>
      <c r="B556" s="2"/>
      <c r="C556" s="11"/>
    </row>
    <row r="557">
      <c r="A557" s="7"/>
      <c r="B557" s="2"/>
      <c r="C557" s="11"/>
    </row>
    <row r="558">
      <c r="A558" s="7"/>
      <c r="B558" s="2"/>
      <c r="C558" s="11"/>
    </row>
    <row r="559">
      <c r="A559" s="7"/>
      <c r="B559" s="2"/>
      <c r="C559" s="11"/>
    </row>
    <row r="560">
      <c r="A560" s="7"/>
      <c r="B560" s="2"/>
      <c r="C560" s="11"/>
    </row>
    <row r="561">
      <c r="A561" s="7"/>
      <c r="B561" s="2"/>
      <c r="C561" s="11"/>
    </row>
    <row r="562">
      <c r="A562" s="7"/>
      <c r="B562" s="2"/>
      <c r="C562" s="11"/>
    </row>
    <row r="563">
      <c r="A563" s="7"/>
      <c r="B563" s="2"/>
      <c r="C563" s="11"/>
    </row>
    <row r="564">
      <c r="A564" s="7"/>
      <c r="B564" s="2"/>
      <c r="C564" s="11"/>
    </row>
    <row r="565">
      <c r="A565" s="7"/>
      <c r="B565" s="2"/>
      <c r="C565" s="11"/>
    </row>
    <row r="566">
      <c r="A566" s="7"/>
      <c r="B566" s="2"/>
      <c r="C566" s="11"/>
    </row>
    <row r="567">
      <c r="A567" s="7"/>
      <c r="B567" s="2"/>
      <c r="C567" s="11"/>
    </row>
    <row r="568">
      <c r="A568" s="7"/>
      <c r="B568" s="2"/>
      <c r="C568" s="11"/>
    </row>
    <row r="569">
      <c r="A569" s="7"/>
      <c r="B569" s="2"/>
      <c r="C569" s="11"/>
    </row>
    <row r="570">
      <c r="A570" s="7"/>
      <c r="B570" s="2"/>
      <c r="C570" s="11"/>
    </row>
    <row r="571">
      <c r="A571" s="7"/>
      <c r="B571" s="2"/>
      <c r="C571" s="11"/>
    </row>
    <row r="572">
      <c r="A572" s="7"/>
      <c r="B572" s="2"/>
      <c r="C572" s="11"/>
    </row>
    <row r="573">
      <c r="A573" s="7"/>
      <c r="B573" s="2"/>
      <c r="C573" s="11"/>
    </row>
    <row r="574">
      <c r="A574" s="7"/>
      <c r="B574" s="2"/>
      <c r="C574" s="11"/>
    </row>
    <row r="575">
      <c r="A575" s="7"/>
      <c r="B575" s="2"/>
      <c r="C575" s="11"/>
    </row>
    <row r="576">
      <c r="A576" s="7"/>
      <c r="B576" s="2"/>
      <c r="C576" s="11"/>
    </row>
    <row r="577">
      <c r="A577" s="7"/>
      <c r="B577" s="2"/>
      <c r="C577" s="11"/>
    </row>
    <row r="578">
      <c r="A578" s="7"/>
      <c r="B578" s="2"/>
      <c r="C578" s="11"/>
    </row>
    <row r="579">
      <c r="A579" s="7"/>
      <c r="B579" s="2"/>
      <c r="C579" s="11"/>
    </row>
    <row r="580">
      <c r="A580" s="7"/>
      <c r="B580" s="2"/>
      <c r="C580" s="11"/>
    </row>
    <row r="581">
      <c r="A581" s="7"/>
      <c r="B581" s="2"/>
      <c r="C581" s="11"/>
    </row>
    <row r="582">
      <c r="A582" s="7"/>
      <c r="B582" s="2"/>
      <c r="C582" s="11"/>
    </row>
    <row r="583">
      <c r="A583" s="7"/>
      <c r="B583" s="2"/>
      <c r="C583" s="11"/>
    </row>
    <row r="584">
      <c r="A584" s="7"/>
      <c r="B584" s="2"/>
      <c r="C584" s="11"/>
    </row>
    <row r="585">
      <c r="A585" s="7"/>
      <c r="B585" s="2"/>
      <c r="C585" s="11"/>
    </row>
    <row r="586">
      <c r="A586" s="7"/>
      <c r="B586" s="2"/>
      <c r="C586" s="11"/>
    </row>
    <row r="587">
      <c r="A587" s="7"/>
      <c r="B587" s="2"/>
      <c r="C587" s="11"/>
    </row>
    <row r="588">
      <c r="A588" s="7"/>
      <c r="B588" s="2"/>
      <c r="C588" s="11"/>
    </row>
    <row r="589">
      <c r="A589" s="7"/>
      <c r="B589" s="2"/>
      <c r="C589" s="11"/>
    </row>
    <row r="590">
      <c r="A590" s="7"/>
      <c r="B590" s="2"/>
      <c r="C590" s="11"/>
    </row>
    <row r="591">
      <c r="A591" s="7"/>
      <c r="B591" s="2"/>
      <c r="C591" s="11"/>
    </row>
    <row r="592">
      <c r="A592" s="7"/>
      <c r="B592" s="2"/>
      <c r="C592" s="11"/>
    </row>
    <row r="593">
      <c r="A593" s="7"/>
      <c r="B593" s="2"/>
      <c r="C593" s="11"/>
    </row>
    <row r="594">
      <c r="A594" s="7"/>
      <c r="B594" s="2"/>
      <c r="C594" s="11"/>
    </row>
    <row r="595">
      <c r="A595" s="7"/>
      <c r="B595" s="2"/>
      <c r="C595" s="11"/>
    </row>
    <row r="596">
      <c r="A596" s="7"/>
      <c r="B596" s="2"/>
      <c r="C596" s="11"/>
    </row>
    <row r="597">
      <c r="A597" s="7"/>
      <c r="B597" s="2"/>
      <c r="C597" s="11"/>
    </row>
    <row r="598">
      <c r="A598" s="7"/>
      <c r="B598" s="2"/>
      <c r="C598" s="11"/>
    </row>
    <row r="599">
      <c r="A599" s="7"/>
      <c r="B599" s="2"/>
      <c r="C599" s="11"/>
    </row>
    <row r="600">
      <c r="A600" s="7"/>
      <c r="B600" s="2"/>
      <c r="C600" s="11"/>
    </row>
    <row r="601">
      <c r="A601" s="7"/>
      <c r="B601" s="2"/>
      <c r="C601" s="11"/>
    </row>
    <row r="602">
      <c r="A602" s="7"/>
      <c r="B602" s="2"/>
      <c r="C602" s="11"/>
    </row>
    <row r="603">
      <c r="A603" s="7"/>
      <c r="B603" s="2"/>
      <c r="C603" s="11"/>
    </row>
    <row r="604">
      <c r="A604" s="7"/>
      <c r="B604" s="2"/>
      <c r="C604" s="11"/>
    </row>
    <row r="605">
      <c r="A605" s="7"/>
      <c r="B605" s="2"/>
      <c r="C605" s="11"/>
    </row>
    <row r="606">
      <c r="A606" s="7"/>
      <c r="B606" s="2"/>
      <c r="C606" s="11"/>
    </row>
    <row r="607">
      <c r="A607" s="7"/>
      <c r="B607" s="2"/>
      <c r="C607" s="11"/>
    </row>
    <row r="608">
      <c r="A608" s="7"/>
      <c r="B608" s="2"/>
      <c r="C608" s="11"/>
    </row>
    <row r="609">
      <c r="A609" s="7"/>
      <c r="B609" s="2"/>
      <c r="C609" s="11"/>
    </row>
    <row r="610">
      <c r="A610" s="7"/>
      <c r="B610" s="2"/>
      <c r="C610" s="11"/>
    </row>
    <row r="611">
      <c r="A611" s="7"/>
      <c r="B611" s="2"/>
      <c r="C611" s="11"/>
    </row>
    <row r="612">
      <c r="A612" s="7"/>
      <c r="B612" s="2"/>
      <c r="C612" s="11"/>
    </row>
    <row r="613">
      <c r="A613" s="7"/>
      <c r="B613" s="2"/>
      <c r="C613" s="11"/>
    </row>
    <row r="614">
      <c r="A614" s="7"/>
      <c r="B614" s="2"/>
      <c r="C614" s="11"/>
    </row>
    <row r="615">
      <c r="A615" s="7"/>
      <c r="B615" s="2"/>
      <c r="C615" s="11"/>
    </row>
    <row r="616">
      <c r="A616" s="7"/>
      <c r="B616" s="2"/>
      <c r="C616" s="11"/>
    </row>
    <row r="617">
      <c r="A617" s="7"/>
      <c r="B617" s="2"/>
      <c r="C617" s="11"/>
    </row>
    <row r="618">
      <c r="A618" s="7"/>
      <c r="B618" s="2"/>
      <c r="C618" s="11"/>
    </row>
    <row r="619">
      <c r="A619" s="7"/>
      <c r="B619" s="2"/>
      <c r="C619" s="11"/>
    </row>
    <row r="620">
      <c r="A620" s="7"/>
      <c r="B620" s="2"/>
      <c r="C620" s="11"/>
    </row>
    <row r="621">
      <c r="A621" s="7"/>
      <c r="B621" s="2"/>
      <c r="C621" s="11"/>
    </row>
    <row r="622">
      <c r="A622" s="7"/>
      <c r="B622" s="2"/>
      <c r="C622" s="11"/>
    </row>
    <row r="623">
      <c r="A623" s="7"/>
      <c r="B623" s="2"/>
      <c r="C623" s="11"/>
    </row>
    <row r="624">
      <c r="A624" s="7"/>
      <c r="B624" s="2"/>
      <c r="C624" s="11"/>
    </row>
    <row r="625">
      <c r="A625" s="7"/>
      <c r="B625" s="2"/>
      <c r="C625" s="11"/>
    </row>
    <row r="626">
      <c r="A626" s="7"/>
      <c r="B626" s="2"/>
      <c r="C626" s="11"/>
    </row>
    <row r="627">
      <c r="A627" s="7"/>
      <c r="B627" s="2"/>
      <c r="C627" s="11"/>
    </row>
    <row r="628">
      <c r="A628" s="7"/>
      <c r="B628" s="2"/>
      <c r="C628" s="11"/>
    </row>
    <row r="629">
      <c r="A629" s="7"/>
      <c r="B629" s="2"/>
      <c r="C629" s="11"/>
    </row>
    <row r="630">
      <c r="A630" s="7"/>
      <c r="B630" s="2"/>
      <c r="C630" s="11"/>
    </row>
    <row r="631">
      <c r="A631" s="7"/>
      <c r="B631" s="2"/>
      <c r="C631" s="11"/>
    </row>
    <row r="632">
      <c r="A632" s="7"/>
      <c r="B632" s="2"/>
      <c r="C632" s="11"/>
    </row>
    <row r="633">
      <c r="A633" s="7"/>
      <c r="B633" s="2"/>
      <c r="C633" s="11"/>
    </row>
    <row r="634">
      <c r="A634" s="7"/>
      <c r="B634" s="2"/>
      <c r="C634" s="11"/>
    </row>
    <row r="635">
      <c r="A635" s="7"/>
      <c r="B635" s="2"/>
      <c r="C635" s="11"/>
    </row>
    <row r="636">
      <c r="A636" s="7"/>
      <c r="B636" s="2"/>
      <c r="C636" s="11"/>
    </row>
    <row r="637">
      <c r="A637" s="7"/>
      <c r="B637" s="2"/>
      <c r="C637" s="11"/>
    </row>
    <row r="638">
      <c r="A638" s="7"/>
      <c r="B638" s="2"/>
      <c r="C638" s="11"/>
    </row>
    <row r="639">
      <c r="A639" s="7"/>
      <c r="B639" s="2"/>
      <c r="C639" s="11"/>
    </row>
    <row r="640">
      <c r="A640" s="7"/>
      <c r="B640" s="2"/>
      <c r="C640" s="11"/>
    </row>
    <row r="641">
      <c r="A641" s="7"/>
      <c r="B641" s="2"/>
      <c r="C641" s="11"/>
    </row>
    <row r="642">
      <c r="A642" s="7"/>
      <c r="B642" s="2"/>
      <c r="C642" s="11"/>
    </row>
    <row r="643">
      <c r="A643" s="7"/>
      <c r="B643" s="2"/>
      <c r="C643" s="11"/>
    </row>
    <row r="644">
      <c r="A644" s="7"/>
      <c r="B644" s="2"/>
      <c r="C644" s="11"/>
    </row>
    <row r="645">
      <c r="A645" s="7"/>
      <c r="B645" s="2"/>
      <c r="C645" s="11"/>
    </row>
    <row r="646">
      <c r="A646" s="7"/>
      <c r="B646" s="2"/>
      <c r="C646" s="11"/>
    </row>
    <row r="647">
      <c r="A647" s="7"/>
      <c r="B647" s="2"/>
      <c r="C647" s="11"/>
    </row>
    <row r="648">
      <c r="A648" s="7"/>
      <c r="B648" s="2"/>
      <c r="C648" s="11"/>
    </row>
    <row r="649">
      <c r="A649" s="7"/>
      <c r="B649" s="2"/>
      <c r="C649" s="11"/>
    </row>
    <row r="650">
      <c r="A650" s="7"/>
      <c r="B650" s="2"/>
      <c r="C650" s="11"/>
    </row>
    <row r="651">
      <c r="A651" s="7"/>
      <c r="B651" s="2"/>
      <c r="C651" s="11"/>
    </row>
    <row r="652">
      <c r="A652" s="7"/>
      <c r="B652" s="2"/>
      <c r="C652" s="11"/>
    </row>
    <row r="653">
      <c r="A653" s="7"/>
      <c r="B653" s="2"/>
      <c r="C653" s="11"/>
    </row>
    <row r="654">
      <c r="A654" s="7"/>
      <c r="B654" s="2"/>
      <c r="C654" s="11"/>
    </row>
    <row r="655">
      <c r="A655" s="7"/>
      <c r="B655" s="2"/>
      <c r="C655" s="11"/>
    </row>
    <row r="656">
      <c r="A656" s="7"/>
      <c r="B656" s="2"/>
      <c r="C656" s="11"/>
    </row>
    <row r="657">
      <c r="A657" s="7"/>
      <c r="B657" s="2"/>
      <c r="C657" s="11"/>
    </row>
    <row r="658">
      <c r="A658" s="7"/>
      <c r="B658" s="2"/>
      <c r="C658" s="11"/>
    </row>
    <row r="659">
      <c r="A659" s="7"/>
      <c r="B659" s="2"/>
      <c r="C659" s="11"/>
    </row>
    <row r="660">
      <c r="A660" s="7"/>
      <c r="B660" s="2"/>
      <c r="C660" s="11"/>
    </row>
    <row r="661">
      <c r="A661" s="7"/>
      <c r="B661" s="2"/>
      <c r="C661" s="11"/>
    </row>
    <row r="662">
      <c r="A662" s="7"/>
      <c r="B662" s="2"/>
      <c r="C662" s="11"/>
    </row>
    <row r="663">
      <c r="A663" s="7"/>
      <c r="B663" s="2"/>
      <c r="C663" s="11"/>
    </row>
    <row r="664">
      <c r="A664" s="7"/>
      <c r="B664" s="2"/>
      <c r="C664" s="11"/>
    </row>
    <row r="665">
      <c r="A665" s="7"/>
      <c r="B665" s="2"/>
      <c r="C665" s="11"/>
    </row>
    <row r="666">
      <c r="A666" s="7"/>
      <c r="B666" s="2"/>
      <c r="C666" s="11"/>
    </row>
    <row r="667">
      <c r="A667" s="7"/>
      <c r="B667" s="2"/>
      <c r="C667" s="11"/>
    </row>
    <row r="668">
      <c r="A668" s="7"/>
      <c r="B668" s="2"/>
      <c r="C668" s="11"/>
    </row>
    <row r="669">
      <c r="A669" s="7"/>
      <c r="B669" s="2"/>
      <c r="C669" s="11"/>
    </row>
    <row r="670">
      <c r="A670" s="7"/>
      <c r="B670" s="2"/>
      <c r="C670" s="11"/>
    </row>
    <row r="671">
      <c r="A671" s="7"/>
      <c r="B671" s="2"/>
      <c r="C671" s="11"/>
    </row>
    <row r="672">
      <c r="A672" s="7"/>
      <c r="B672" s="2"/>
      <c r="C672" s="11"/>
    </row>
    <row r="673">
      <c r="A673" s="7"/>
      <c r="B673" s="2"/>
      <c r="C673" s="11"/>
    </row>
    <row r="674">
      <c r="A674" s="7"/>
      <c r="B674" s="2"/>
      <c r="C674" s="11"/>
    </row>
    <row r="675">
      <c r="A675" s="7"/>
      <c r="B675" s="2"/>
      <c r="C675" s="11"/>
    </row>
    <row r="676">
      <c r="A676" s="7"/>
      <c r="B676" s="2"/>
      <c r="C676" s="11"/>
    </row>
    <row r="677">
      <c r="A677" s="7"/>
      <c r="B677" s="2"/>
      <c r="C677" s="11"/>
    </row>
    <row r="678">
      <c r="A678" s="7"/>
      <c r="B678" s="2"/>
      <c r="C678" s="11"/>
    </row>
    <row r="679">
      <c r="A679" s="7"/>
      <c r="B679" s="2"/>
      <c r="C679" s="11"/>
    </row>
    <row r="680">
      <c r="A680" s="7"/>
      <c r="B680" s="2"/>
      <c r="C680" s="11"/>
    </row>
    <row r="681">
      <c r="A681" s="7"/>
      <c r="B681" s="2"/>
      <c r="C681" s="11"/>
    </row>
    <row r="682">
      <c r="A682" s="7"/>
      <c r="B682" s="2"/>
      <c r="C682" s="11"/>
    </row>
    <row r="683">
      <c r="A683" s="7"/>
      <c r="B683" s="2"/>
      <c r="C683" s="11"/>
    </row>
    <row r="684">
      <c r="A684" s="7"/>
      <c r="B684" s="2"/>
      <c r="C684" s="11"/>
    </row>
    <row r="685">
      <c r="A685" s="7"/>
      <c r="B685" s="2"/>
      <c r="C685" s="11"/>
    </row>
    <row r="686">
      <c r="A686" s="7"/>
      <c r="B686" s="2"/>
      <c r="C686" s="11"/>
    </row>
    <row r="687">
      <c r="A687" s="7"/>
      <c r="B687" s="2"/>
      <c r="C687" s="11"/>
    </row>
    <row r="688">
      <c r="A688" s="7"/>
      <c r="B688" s="2"/>
      <c r="C688" s="11"/>
    </row>
    <row r="689">
      <c r="A689" s="7"/>
      <c r="B689" s="2"/>
      <c r="C689" s="11"/>
    </row>
    <row r="690">
      <c r="A690" s="7"/>
      <c r="B690" s="2"/>
      <c r="C690" s="11"/>
    </row>
    <row r="691">
      <c r="A691" s="7"/>
      <c r="B691" s="2"/>
      <c r="C691" s="11"/>
    </row>
    <row r="692">
      <c r="A692" s="7"/>
      <c r="B692" s="2"/>
      <c r="C692" s="11"/>
    </row>
    <row r="693">
      <c r="A693" s="7"/>
      <c r="B693" s="2"/>
      <c r="C693" s="11"/>
    </row>
    <row r="694">
      <c r="A694" s="7"/>
      <c r="B694" s="2"/>
      <c r="C694" s="11"/>
    </row>
    <row r="695">
      <c r="A695" s="7"/>
      <c r="B695" s="2"/>
      <c r="C695" s="11"/>
    </row>
    <row r="696">
      <c r="A696" s="7"/>
      <c r="B696" s="2"/>
      <c r="C696" s="11"/>
    </row>
    <row r="697">
      <c r="A697" s="7"/>
      <c r="B697" s="2"/>
      <c r="C697" s="11"/>
    </row>
    <row r="698">
      <c r="A698" s="7"/>
      <c r="B698" s="2"/>
      <c r="C698" s="11"/>
    </row>
    <row r="699">
      <c r="A699" s="7"/>
      <c r="B699" s="2"/>
      <c r="C699" s="11"/>
    </row>
    <row r="700">
      <c r="A700" s="7"/>
      <c r="B700" s="2"/>
      <c r="C700" s="11"/>
    </row>
    <row r="701">
      <c r="A701" s="7"/>
      <c r="B701" s="2"/>
      <c r="C701" s="11"/>
    </row>
    <row r="702">
      <c r="A702" s="7"/>
      <c r="B702" s="2"/>
      <c r="C702" s="11"/>
    </row>
    <row r="703">
      <c r="A703" s="7"/>
      <c r="B703" s="2"/>
      <c r="C703" s="11"/>
    </row>
    <row r="704">
      <c r="A704" s="7"/>
      <c r="B704" s="2"/>
      <c r="C704" s="11"/>
    </row>
    <row r="705">
      <c r="A705" s="7"/>
      <c r="B705" s="2"/>
      <c r="C705" s="11"/>
    </row>
    <row r="706">
      <c r="A706" s="7"/>
      <c r="B706" s="2"/>
      <c r="C706" s="11"/>
    </row>
    <row r="707">
      <c r="A707" s="7"/>
      <c r="B707" s="2"/>
      <c r="C707" s="11"/>
    </row>
    <row r="708">
      <c r="A708" s="7"/>
      <c r="B708" s="2"/>
      <c r="C708" s="11"/>
    </row>
    <row r="709">
      <c r="A709" s="7"/>
      <c r="B709" s="2"/>
      <c r="C709" s="11"/>
    </row>
    <row r="710">
      <c r="A710" s="7"/>
      <c r="B710" s="2"/>
      <c r="C710" s="11"/>
    </row>
    <row r="711">
      <c r="A711" s="7"/>
      <c r="B711" s="2"/>
      <c r="C711" s="11"/>
    </row>
    <row r="712">
      <c r="A712" s="7"/>
      <c r="B712" s="2"/>
      <c r="C712" s="11"/>
    </row>
    <row r="713">
      <c r="A713" s="7"/>
      <c r="B713" s="2"/>
      <c r="C713" s="11"/>
    </row>
    <row r="714">
      <c r="A714" s="7"/>
      <c r="B714" s="2"/>
      <c r="C714" s="11"/>
    </row>
    <row r="715">
      <c r="A715" s="7"/>
      <c r="B715" s="2"/>
      <c r="C715" s="11"/>
    </row>
    <row r="716">
      <c r="A716" s="7"/>
      <c r="B716" s="2"/>
      <c r="C716" s="11"/>
    </row>
    <row r="717">
      <c r="A717" s="7"/>
      <c r="B717" s="2"/>
      <c r="C717" s="11"/>
    </row>
    <row r="718">
      <c r="A718" s="7"/>
      <c r="B718" s="2"/>
      <c r="C718" s="11"/>
    </row>
    <row r="719">
      <c r="A719" s="7"/>
      <c r="B719" s="2"/>
      <c r="C719" s="11"/>
    </row>
    <row r="720">
      <c r="A720" s="7"/>
      <c r="B720" s="2"/>
      <c r="C720" s="11"/>
    </row>
    <row r="721">
      <c r="A721" s="7"/>
      <c r="B721" s="2"/>
      <c r="C721" s="11"/>
    </row>
    <row r="722">
      <c r="A722" s="7"/>
      <c r="B722" s="2"/>
      <c r="C722" s="11"/>
    </row>
    <row r="723">
      <c r="A723" s="7"/>
      <c r="B723" s="2"/>
      <c r="C723" s="11"/>
    </row>
    <row r="724">
      <c r="A724" s="7"/>
      <c r="B724" s="2"/>
      <c r="C724" s="11"/>
    </row>
    <row r="725">
      <c r="A725" s="7"/>
      <c r="B725" s="2"/>
      <c r="C725" s="11"/>
    </row>
    <row r="726">
      <c r="A726" s="7"/>
      <c r="B726" s="2"/>
      <c r="C726" s="11"/>
    </row>
    <row r="727">
      <c r="A727" s="7"/>
      <c r="B727" s="2"/>
      <c r="C727" s="11"/>
    </row>
    <row r="728">
      <c r="A728" s="7"/>
      <c r="B728" s="2"/>
      <c r="C728" s="11"/>
    </row>
    <row r="729">
      <c r="A729" s="7"/>
      <c r="B729" s="2"/>
      <c r="C729" s="11"/>
    </row>
    <row r="730">
      <c r="A730" s="7"/>
      <c r="B730" s="2"/>
      <c r="C730" s="11"/>
    </row>
    <row r="731">
      <c r="A731" s="7"/>
      <c r="B731" s="2"/>
      <c r="C731" s="11"/>
    </row>
    <row r="732">
      <c r="A732" s="7"/>
      <c r="B732" s="2"/>
      <c r="C732" s="11"/>
    </row>
    <row r="733">
      <c r="A733" s="7"/>
      <c r="B733" s="2"/>
      <c r="C733" s="11"/>
    </row>
    <row r="734">
      <c r="A734" s="7"/>
      <c r="B734" s="2"/>
      <c r="C734" s="11"/>
    </row>
    <row r="735">
      <c r="A735" s="7"/>
      <c r="B735" s="2"/>
      <c r="C735" s="11"/>
    </row>
    <row r="736">
      <c r="A736" s="7"/>
      <c r="B736" s="2"/>
      <c r="C736" s="11"/>
    </row>
    <row r="737">
      <c r="A737" s="7"/>
      <c r="B737" s="2"/>
      <c r="C737" s="11"/>
    </row>
    <row r="738">
      <c r="A738" s="7"/>
      <c r="B738" s="2"/>
      <c r="C738" s="11"/>
    </row>
    <row r="739">
      <c r="A739" s="7"/>
      <c r="B739" s="2"/>
      <c r="C739" s="11"/>
    </row>
    <row r="740">
      <c r="A740" s="7"/>
      <c r="B740" s="2"/>
      <c r="C740" s="11"/>
    </row>
    <row r="741">
      <c r="A741" s="7"/>
      <c r="B741" s="2"/>
      <c r="C741" s="11"/>
    </row>
    <row r="742">
      <c r="A742" s="7"/>
      <c r="B742" s="2"/>
      <c r="C742" s="11"/>
    </row>
    <row r="743">
      <c r="A743" s="7"/>
      <c r="B743" s="2"/>
      <c r="C743" s="11"/>
    </row>
    <row r="744">
      <c r="A744" s="7"/>
      <c r="B744" s="2"/>
      <c r="C744" s="11"/>
    </row>
    <row r="745">
      <c r="A745" s="7"/>
      <c r="B745" s="2"/>
      <c r="C745" s="11"/>
    </row>
    <row r="746">
      <c r="A746" s="7"/>
      <c r="B746" s="2"/>
      <c r="C746" s="11"/>
    </row>
    <row r="747">
      <c r="A747" s="7"/>
      <c r="B747" s="2"/>
      <c r="C747" s="11"/>
    </row>
    <row r="748">
      <c r="A748" s="7"/>
      <c r="B748" s="2"/>
      <c r="C748" s="11"/>
    </row>
    <row r="749">
      <c r="A749" s="7"/>
      <c r="B749" s="2"/>
      <c r="C749" s="11"/>
    </row>
    <row r="750">
      <c r="A750" s="7"/>
      <c r="B750" s="2"/>
      <c r="C750" s="11"/>
    </row>
    <row r="751">
      <c r="A751" s="7"/>
      <c r="B751" s="2"/>
      <c r="C751" s="11"/>
    </row>
    <row r="752">
      <c r="A752" s="7"/>
      <c r="B752" s="2"/>
      <c r="C752" s="11"/>
    </row>
    <row r="753">
      <c r="A753" s="7"/>
      <c r="B753" s="2"/>
      <c r="C753" s="11"/>
    </row>
    <row r="754">
      <c r="A754" s="7"/>
      <c r="B754" s="2"/>
      <c r="C754" s="11"/>
    </row>
    <row r="755">
      <c r="A755" s="7"/>
      <c r="B755" s="2"/>
      <c r="C755" s="11"/>
    </row>
    <row r="756">
      <c r="A756" s="7"/>
      <c r="B756" s="2"/>
      <c r="C756" s="11"/>
    </row>
    <row r="757">
      <c r="A757" s="7"/>
      <c r="B757" s="2"/>
      <c r="C757" s="11"/>
    </row>
    <row r="758">
      <c r="A758" s="7"/>
      <c r="B758" s="2"/>
      <c r="C758" s="11"/>
    </row>
    <row r="759">
      <c r="A759" s="7"/>
      <c r="B759" s="2"/>
      <c r="C759" s="11"/>
    </row>
    <row r="760">
      <c r="A760" s="7"/>
      <c r="B760" s="2"/>
      <c r="C760" s="11"/>
    </row>
    <row r="761">
      <c r="A761" s="7"/>
      <c r="B761" s="2"/>
      <c r="C761" s="11"/>
    </row>
    <row r="762">
      <c r="A762" s="7"/>
      <c r="B762" s="2"/>
      <c r="C762" s="11"/>
    </row>
    <row r="763">
      <c r="A763" s="7"/>
      <c r="B763" s="2"/>
      <c r="C763" s="11"/>
    </row>
    <row r="764">
      <c r="A764" s="7"/>
      <c r="B764" s="2"/>
      <c r="C764" s="11"/>
    </row>
    <row r="765">
      <c r="A765" s="7"/>
      <c r="B765" s="2"/>
      <c r="C765" s="11"/>
    </row>
    <row r="766">
      <c r="A766" s="7"/>
      <c r="B766" s="2"/>
      <c r="C766" s="11"/>
    </row>
    <row r="767">
      <c r="A767" s="7"/>
      <c r="B767" s="2"/>
      <c r="C767" s="11"/>
    </row>
    <row r="768">
      <c r="A768" s="7"/>
      <c r="B768" s="2"/>
      <c r="C768" s="11"/>
    </row>
    <row r="769">
      <c r="A769" s="7"/>
      <c r="B769" s="2"/>
      <c r="C769" s="11"/>
    </row>
    <row r="770">
      <c r="A770" s="7"/>
      <c r="B770" s="2"/>
      <c r="C770" s="11"/>
    </row>
    <row r="771">
      <c r="A771" s="7"/>
      <c r="B771" s="2"/>
      <c r="C771" s="11"/>
    </row>
    <row r="772">
      <c r="A772" s="7"/>
      <c r="B772" s="2"/>
      <c r="C772" s="11"/>
    </row>
    <row r="773">
      <c r="A773" s="7"/>
      <c r="B773" s="2"/>
      <c r="C773" s="11"/>
    </row>
    <row r="774">
      <c r="A774" s="7"/>
      <c r="B774" s="2"/>
      <c r="C774" s="11"/>
    </row>
    <row r="775">
      <c r="A775" s="7"/>
      <c r="B775" s="2"/>
      <c r="C775" s="11"/>
    </row>
    <row r="776">
      <c r="A776" s="7"/>
      <c r="B776" s="2"/>
      <c r="C776" s="11"/>
    </row>
    <row r="777">
      <c r="A777" s="7"/>
      <c r="B777" s="2"/>
      <c r="C777" s="11"/>
    </row>
    <row r="778">
      <c r="A778" s="7"/>
      <c r="B778" s="2"/>
      <c r="C778" s="11"/>
    </row>
    <row r="779">
      <c r="A779" s="7"/>
      <c r="B779" s="2"/>
      <c r="C779" s="11"/>
    </row>
    <row r="780">
      <c r="A780" s="7"/>
      <c r="B780" s="2"/>
      <c r="C780" s="11"/>
    </row>
    <row r="781">
      <c r="A781" s="7"/>
      <c r="B781" s="2"/>
      <c r="C781" s="11"/>
    </row>
    <row r="782">
      <c r="A782" s="7"/>
      <c r="B782" s="2"/>
      <c r="C782" s="11"/>
    </row>
    <row r="783">
      <c r="A783" s="7"/>
      <c r="B783" s="2"/>
      <c r="C783" s="11"/>
    </row>
    <row r="784">
      <c r="A784" s="7"/>
      <c r="B784" s="2"/>
      <c r="C784" s="11"/>
    </row>
    <row r="785">
      <c r="A785" s="7"/>
      <c r="B785" s="2"/>
      <c r="C785" s="11"/>
    </row>
    <row r="786">
      <c r="A786" s="7"/>
      <c r="B786" s="2"/>
      <c r="C786" s="11"/>
    </row>
    <row r="787">
      <c r="A787" s="7"/>
      <c r="B787" s="2"/>
      <c r="C787" s="11"/>
    </row>
    <row r="788">
      <c r="A788" s="7"/>
      <c r="B788" s="2"/>
      <c r="C788" s="11"/>
    </row>
    <row r="789">
      <c r="A789" s="7"/>
      <c r="B789" s="2"/>
      <c r="C789" s="11"/>
    </row>
    <row r="790">
      <c r="A790" s="7"/>
      <c r="B790" s="2"/>
      <c r="C790" s="11"/>
    </row>
    <row r="791">
      <c r="A791" s="7"/>
      <c r="B791" s="2"/>
      <c r="C791" s="11"/>
    </row>
    <row r="792">
      <c r="A792" s="7"/>
      <c r="B792" s="2"/>
      <c r="C792" s="11"/>
    </row>
    <row r="793">
      <c r="A793" s="7"/>
      <c r="B793" s="2"/>
      <c r="C793" s="11"/>
    </row>
    <row r="794">
      <c r="A794" s="7"/>
      <c r="B794" s="2"/>
      <c r="C794" s="11"/>
    </row>
    <row r="795">
      <c r="A795" s="7"/>
      <c r="B795" s="2"/>
      <c r="C795" s="11"/>
    </row>
    <row r="796">
      <c r="A796" s="7"/>
      <c r="B796" s="2"/>
      <c r="C796" s="11"/>
    </row>
    <row r="797">
      <c r="A797" s="7"/>
      <c r="B797" s="2"/>
      <c r="C797" s="11"/>
    </row>
    <row r="798">
      <c r="A798" s="7"/>
      <c r="B798" s="2"/>
      <c r="C798" s="11"/>
    </row>
    <row r="799">
      <c r="A799" s="7"/>
      <c r="B799" s="2"/>
      <c r="C799" s="11"/>
    </row>
    <row r="800">
      <c r="A800" s="7"/>
      <c r="B800" s="2"/>
      <c r="C800" s="11"/>
    </row>
    <row r="801">
      <c r="A801" s="7"/>
      <c r="B801" s="2"/>
      <c r="C801" s="11"/>
    </row>
    <row r="802">
      <c r="A802" s="7"/>
      <c r="B802" s="2"/>
      <c r="C802" s="11"/>
    </row>
    <row r="803">
      <c r="A803" s="7"/>
      <c r="B803" s="2"/>
      <c r="C803" s="11"/>
    </row>
    <row r="804">
      <c r="A804" s="7"/>
      <c r="B804" s="2"/>
      <c r="C804" s="11"/>
    </row>
    <row r="805">
      <c r="A805" s="7"/>
      <c r="B805" s="2"/>
      <c r="C805" s="11"/>
    </row>
    <row r="806">
      <c r="A806" s="7"/>
      <c r="B806" s="2"/>
      <c r="C806" s="11"/>
    </row>
    <row r="807">
      <c r="A807" s="7"/>
      <c r="B807" s="2"/>
      <c r="C807" s="11"/>
    </row>
    <row r="808">
      <c r="A808" s="7"/>
      <c r="B808" s="2"/>
      <c r="C808" s="11"/>
    </row>
    <row r="809">
      <c r="A809" s="7"/>
      <c r="B809" s="2"/>
      <c r="C809" s="11"/>
    </row>
    <row r="810">
      <c r="A810" s="7"/>
      <c r="B810" s="2"/>
      <c r="C810" s="11"/>
    </row>
    <row r="811">
      <c r="A811" s="7"/>
      <c r="B811" s="2"/>
      <c r="C811" s="11"/>
    </row>
    <row r="812">
      <c r="A812" s="7"/>
      <c r="B812" s="2"/>
      <c r="C812" s="11"/>
    </row>
    <row r="813">
      <c r="A813" s="7"/>
      <c r="B813" s="2"/>
      <c r="C813" s="11"/>
    </row>
    <row r="814">
      <c r="A814" s="7"/>
      <c r="B814" s="2"/>
      <c r="C814" s="11"/>
    </row>
    <row r="815">
      <c r="A815" s="7"/>
      <c r="B815" s="2"/>
      <c r="C815" s="11"/>
    </row>
    <row r="816">
      <c r="A816" s="7"/>
      <c r="B816" s="2"/>
      <c r="C816" s="11"/>
    </row>
    <row r="817">
      <c r="A817" s="7"/>
      <c r="B817" s="2"/>
      <c r="C817" s="11"/>
    </row>
    <row r="818">
      <c r="A818" s="7"/>
      <c r="B818" s="2"/>
      <c r="C818" s="11"/>
    </row>
    <row r="819">
      <c r="A819" s="7"/>
      <c r="B819" s="2"/>
      <c r="C819" s="11"/>
    </row>
    <row r="820">
      <c r="A820" s="7"/>
      <c r="B820" s="2"/>
      <c r="C820" s="11"/>
    </row>
    <row r="821">
      <c r="A821" s="7"/>
      <c r="B821" s="2"/>
      <c r="C821" s="11"/>
    </row>
    <row r="822">
      <c r="A822" s="7"/>
      <c r="B822" s="2"/>
      <c r="C822" s="11"/>
    </row>
    <row r="823">
      <c r="A823" s="7"/>
      <c r="B823" s="2"/>
      <c r="C823" s="11"/>
    </row>
    <row r="824">
      <c r="A824" s="7"/>
      <c r="B824" s="2"/>
      <c r="C824" s="11"/>
    </row>
    <row r="825">
      <c r="A825" s="7"/>
      <c r="B825" s="2"/>
      <c r="C825" s="11"/>
    </row>
    <row r="826">
      <c r="A826" s="7"/>
      <c r="B826" s="2"/>
      <c r="C826" s="11"/>
    </row>
    <row r="827">
      <c r="A827" s="7"/>
      <c r="B827" s="2"/>
      <c r="C827" s="11"/>
    </row>
    <row r="828">
      <c r="A828" s="7"/>
      <c r="B828" s="2"/>
      <c r="C828" s="11"/>
    </row>
    <row r="829">
      <c r="A829" s="7"/>
      <c r="B829" s="2"/>
      <c r="C829" s="11"/>
    </row>
    <row r="830">
      <c r="A830" s="7"/>
      <c r="B830" s="2"/>
      <c r="C830" s="11"/>
    </row>
    <row r="831">
      <c r="A831" s="7"/>
      <c r="B831" s="2"/>
      <c r="C831" s="11"/>
    </row>
    <row r="832">
      <c r="A832" s="7"/>
      <c r="B832" s="2"/>
      <c r="C832" s="11"/>
    </row>
    <row r="833">
      <c r="A833" s="7"/>
      <c r="B833" s="2"/>
      <c r="C833" s="11"/>
    </row>
    <row r="834">
      <c r="A834" s="7"/>
      <c r="B834" s="2"/>
      <c r="C834" s="11"/>
    </row>
    <row r="835">
      <c r="A835" s="7"/>
      <c r="B835" s="2"/>
      <c r="C835" s="11"/>
    </row>
    <row r="836">
      <c r="A836" s="7"/>
      <c r="B836" s="2"/>
      <c r="C836" s="11"/>
    </row>
    <row r="837">
      <c r="A837" s="7"/>
      <c r="B837" s="2"/>
      <c r="C837" s="11"/>
    </row>
    <row r="838">
      <c r="A838" s="7"/>
      <c r="B838" s="2"/>
      <c r="C838" s="11"/>
    </row>
    <row r="839">
      <c r="A839" s="7"/>
      <c r="B839" s="2"/>
      <c r="C839" s="11"/>
    </row>
    <row r="840">
      <c r="A840" s="7"/>
      <c r="B840" s="2"/>
      <c r="C840" s="11"/>
    </row>
    <row r="841">
      <c r="A841" s="7"/>
      <c r="B841" s="2"/>
      <c r="C841" s="11"/>
    </row>
    <row r="842">
      <c r="A842" s="7"/>
      <c r="B842" s="2"/>
      <c r="C842" s="11"/>
    </row>
    <row r="843">
      <c r="A843" s="7"/>
      <c r="B843" s="2"/>
      <c r="C843" s="11"/>
    </row>
    <row r="844">
      <c r="A844" s="7"/>
      <c r="B844" s="2"/>
      <c r="C844" s="11"/>
    </row>
    <row r="845">
      <c r="A845" s="7"/>
      <c r="B845" s="2"/>
      <c r="C845" s="11"/>
    </row>
    <row r="846">
      <c r="A846" s="7"/>
      <c r="B846" s="2"/>
      <c r="C846" s="11"/>
    </row>
    <row r="847">
      <c r="A847" s="7"/>
      <c r="B847" s="2"/>
      <c r="C847" s="11"/>
    </row>
    <row r="848">
      <c r="A848" s="7"/>
      <c r="B848" s="2"/>
      <c r="C848" s="11"/>
    </row>
    <row r="849">
      <c r="A849" s="7"/>
      <c r="B849" s="2"/>
      <c r="C849" s="11"/>
    </row>
    <row r="850">
      <c r="A850" s="7"/>
      <c r="B850" s="2"/>
      <c r="C850" s="11"/>
    </row>
    <row r="851">
      <c r="A851" s="7"/>
      <c r="B851" s="2"/>
      <c r="C851" s="11"/>
    </row>
    <row r="852">
      <c r="A852" s="7"/>
      <c r="B852" s="2"/>
      <c r="C852" s="11"/>
    </row>
    <row r="853">
      <c r="A853" s="7"/>
      <c r="B853" s="2"/>
      <c r="C853" s="11"/>
    </row>
    <row r="854">
      <c r="A854" s="7"/>
      <c r="B854" s="2"/>
      <c r="C854" s="11"/>
    </row>
    <row r="855">
      <c r="A855" s="7"/>
      <c r="B855" s="2"/>
      <c r="C855" s="11"/>
    </row>
    <row r="856">
      <c r="A856" s="7"/>
      <c r="B856" s="2"/>
      <c r="C856" s="11"/>
    </row>
    <row r="857">
      <c r="A857" s="7"/>
      <c r="B857" s="2"/>
      <c r="C857" s="11"/>
    </row>
    <row r="858">
      <c r="A858" s="7"/>
      <c r="B858" s="2"/>
      <c r="C858" s="11"/>
    </row>
    <row r="859">
      <c r="A859" s="7"/>
      <c r="B859" s="2"/>
      <c r="C859" s="11"/>
    </row>
    <row r="860">
      <c r="A860" s="7"/>
      <c r="B860" s="2"/>
      <c r="C860" s="11"/>
    </row>
    <row r="861">
      <c r="A861" s="7"/>
      <c r="B861" s="2"/>
      <c r="C861" s="11"/>
    </row>
    <row r="862">
      <c r="A862" s="7"/>
      <c r="B862" s="2"/>
      <c r="C862" s="11"/>
    </row>
    <row r="863">
      <c r="A863" s="7"/>
      <c r="B863" s="2"/>
      <c r="C863" s="11"/>
    </row>
    <row r="864">
      <c r="A864" s="7"/>
      <c r="B864" s="2"/>
      <c r="C864" s="11"/>
    </row>
    <row r="865">
      <c r="A865" s="7"/>
      <c r="B865" s="2"/>
      <c r="C865" s="11"/>
    </row>
    <row r="866">
      <c r="A866" s="7"/>
      <c r="B866" s="2"/>
      <c r="C866" s="11"/>
    </row>
    <row r="867">
      <c r="A867" s="7"/>
      <c r="B867" s="2"/>
      <c r="C867" s="11"/>
    </row>
    <row r="868">
      <c r="A868" s="7"/>
      <c r="B868" s="2"/>
      <c r="C868" s="11"/>
    </row>
    <row r="869">
      <c r="A869" s="7"/>
      <c r="B869" s="2"/>
      <c r="C869" s="11"/>
    </row>
    <row r="870">
      <c r="A870" s="7"/>
      <c r="B870" s="2"/>
      <c r="C870" s="11"/>
    </row>
    <row r="871">
      <c r="A871" s="7"/>
      <c r="B871" s="2"/>
      <c r="C871" s="11"/>
    </row>
    <row r="872">
      <c r="A872" s="7"/>
      <c r="B872" s="2"/>
      <c r="C872" s="11"/>
    </row>
    <row r="873">
      <c r="A873" s="7"/>
      <c r="B873" s="2"/>
      <c r="C873" s="11"/>
    </row>
    <row r="874">
      <c r="A874" s="7"/>
      <c r="B874" s="2"/>
      <c r="C874" s="11"/>
    </row>
    <row r="875">
      <c r="A875" s="7"/>
      <c r="B875" s="2"/>
      <c r="C875" s="11"/>
    </row>
    <row r="876">
      <c r="A876" s="7"/>
      <c r="B876" s="2"/>
      <c r="C876" s="11"/>
    </row>
    <row r="877">
      <c r="A877" s="7"/>
      <c r="B877" s="2"/>
      <c r="C877" s="11"/>
    </row>
    <row r="878">
      <c r="A878" s="7"/>
      <c r="B878" s="2"/>
      <c r="C878" s="11"/>
    </row>
    <row r="879">
      <c r="A879" s="7"/>
      <c r="B879" s="2"/>
      <c r="C879" s="11"/>
    </row>
    <row r="880">
      <c r="A880" s="7"/>
      <c r="B880" s="2"/>
      <c r="C880" s="11"/>
    </row>
    <row r="881">
      <c r="A881" s="7"/>
      <c r="B881" s="2"/>
      <c r="C881" s="11"/>
    </row>
    <row r="882">
      <c r="A882" s="7"/>
      <c r="B882" s="2"/>
      <c r="C882" s="11"/>
    </row>
    <row r="883">
      <c r="A883" s="7"/>
      <c r="B883" s="2"/>
      <c r="C883" s="11"/>
    </row>
    <row r="884">
      <c r="A884" s="7"/>
      <c r="B884" s="2"/>
      <c r="C884" s="11"/>
    </row>
    <row r="885">
      <c r="A885" s="7"/>
      <c r="B885" s="2"/>
      <c r="C885" s="11"/>
    </row>
    <row r="886">
      <c r="A886" s="7"/>
      <c r="B886" s="2"/>
      <c r="C886" s="11"/>
    </row>
    <row r="887">
      <c r="A887" s="7"/>
      <c r="B887" s="2"/>
      <c r="C887" s="11"/>
    </row>
    <row r="888">
      <c r="A888" s="7"/>
      <c r="B888" s="2"/>
      <c r="C888" s="11"/>
    </row>
    <row r="889">
      <c r="A889" s="7"/>
      <c r="B889" s="2"/>
      <c r="C889" s="11"/>
    </row>
    <row r="890">
      <c r="A890" s="7"/>
      <c r="B890" s="2"/>
      <c r="C890" s="11"/>
    </row>
    <row r="891">
      <c r="A891" s="7"/>
      <c r="B891" s="2"/>
      <c r="C891" s="11"/>
    </row>
    <row r="892">
      <c r="A892" s="7"/>
      <c r="B892" s="2"/>
      <c r="C892" s="11"/>
    </row>
    <row r="893">
      <c r="A893" s="7"/>
      <c r="B893" s="2"/>
      <c r="C893" s="11"/>
    </row>
    <row r="894">
      <c r="A894" s="7"/>
      <c r="B894" s="2"/>
      <c r="C894" s="11"/>
    </row>
    <row r="895">
      <c r="A895" s="7"/>
      <c r="B895" s="2"/>
      <c r="C895" s="11"/>
    </row>
    <row r="896">
      <c r="A896" s="7"/>
      <c r="B896" s="2"/>
      <c r="C896" s="11"/>
    </row>
    <row r="897">
      <c r="A897" s="7"/>
      <c r="B897" s="2"/>
      <c r="C897" s="11"/>
    </row>
    <row r="898">
      <c r="A898" s="7"/>
      <c r="B898" s="2"/>
      <c r="C898" s="11"/>
    </row>
    <row r="899">
      <c r="A899" s="7"/>
      <c r="B899" s="2"/>
      <c r="C899" s="11"/>
    </row>
    <row r="900">
      <c r="A900" s="7"/>
      <c r="B900" s="2"/>
      <c r="C900" s="11"/>
    </row>
    <row r="901">
      <c r="A901" s="7"/>
      <c r="B901" s="2"/>
      <c r="C901" s="11"/>
    </row>
    <row r="902">
      <c r="A902" s="7"/>
      <c r="B902" s="2"/>
      <c r="C902" s="11"/>
    </row>
    <row r="903">
      <c r="A903" s="7"/>
      <c r="B903" s="2"/>
      <c r="C903" s="11"/>
    </row>
    <row r="904">
      <c r="A904" s="7"/>
      <c r="B904" s="2"/>
      <c r="C904" s="11"/>
    </row>
    <row r="905">
      <c r="A905" s="7"/>
      <c r="B905" s="2"/>
      <c r="C905" s="11"/>
    </row>
    <row r="906">
      <c r="A906" s="7"/>
      <c r="B906" s="2"/>
      <c r="C906" s="11"/>
    </row>
    <row r="907">
      <c r="A907" s="7"/>
      <c r="B907" s="2"/>
      <c r="C907" s="11"/>
    </row>
    <row r="908">
      <c r="A908" s="7"/>
      <c r="B908" s="2"/>
      <c r="C908" s="11"/>
    </row>
    <row r="909">
      <c r="A909" s="7"/>
      <c r="B909" s="2"/>
      <c r="C909" s="11"/>
    </row>
    <row r="910">
      <c r="A910" s="7"/>
      <c r="B910" s="2"/>
      <c r="C910" s="11"/>
    </row>
    <row r="911">
      <c r="A911" s="7"/>
      <c r="B911" s="2"/>
      <c r="C911" s="11"/>
    </row>
    <row r="912">
      <c r="A912" s="7"/>
      <c r="B912" s="2"/>
      <c r="C912" s="11"/>
    </row>
    <row r="913">
      <c r="A913" s="7"/>
      <c r="B913" s="2"/>
      <c r="C913" s="11"/>
    </row>
    <row r="914">
      <c r="A914" s="7"/>
      <c r="B914" s="2"/>
      <c r="C914" s="11"/>
    </row>
    <row r="915">
      <c r="A915" s="7"/>
      <c r="B915" s="2"/>
      <c r="C915" s="11"/>
    </row>
    <row r="916">
      <c r="A916" s="7"/>
      <c r="B916" s="2"/>
      <c r="C916" s="11"/>
    </row>
    <row r="917">
      <c r="A917" s="7"/>
      <c r="B917" s="2"/>
      <c r="C917" s="11"/>
    </row>
    <row r="918">
      <c r="A918" s="7"/>
      <c r="B918" s="2"/>
      <c r="C918" s="11"/>
    </row>
    <row r="919">
      <c r="A919" s="7"/>
      <c r="B919" s="2"/>
      <c r="C919" s="11"/>
    </row>
    <row r="920">
      <c r="A920" s="7"/>
      <c r="B920" s="2"/>
      <c r="C920" s="11"/>
    </row>
    <row r="921">
      <c r="A921" s="7"/>
      <c r="B921" s="2"/>
      <c r="C921" s="11"/>
    </row>
    <row r="922">
      <c r="A922" s="7"/>
      <c r="B922" s="2"/>
      <c r="C922" s="11"/>
    </row>
    <row r="923">
      <c r="A923" s="7"/>
      <c r="B923" s="2"/>
      <c r="C923" s="11"/>
    </row>
    <row r="924">
      <c r="A924" s="7"/>
      <c r="B924" s="2"/>
      <c r="C924" s="11"/>
    </row>
    <row r="925">
      <c r="A925" s="7"/>
      <c r="B925" s="2"/>
      <c r="C925" s="11"/>
    </row>
    <row r="926">
      <c r="A926" s="7"/>
      <c r="B926" s="2"/>
      <c r="C926" s="11"/>
    </row>
    <row r="927">
      <c r="A927" s="7"/>
      <c r="B927" s="2"/>
      <c r="C927" s="11"/>
    </row>
    <row r="928">
      <c r="A928" s="7"/>
      <c r="B928" s="2"/>
      <c r="C928" s="11"/>
    </row>
    <row r="929">
      <c r="A929" s="7"/>
      <c r="B929" s="2"/>
      <c r="C929" s="11"/>
    </row>
    <row r="930">
      <c r="A930" s="7"/>
      <c r="B930" s="2"/>
      <c r="C930" s="11"/>
    </row>
    <row r="931">
      <c r="A931" s="7"/>
      <c r="B931" s="2"/>
      <c r="C931" s="11"/>
    </row>
    <row r="932">
      <c r="A932" s="7"/>
      <c r="B932" s="2"/>
      <c r="C932" s="11"/>
    </row>
    <row r="933">
      <c r="A933" s="7"/>
      <c r="B933" s="2"/>
      <c r="C933" s="11"/>
    </row>
    <row r="934">
      <c r="A934" s="7"/>
      <c r="B934" s="2"/>
      <c r="C934" s="11"/>
    </row>
    <row r="935">
      <c r="A935" s="7"/>
      <c r="B935" s="2"/>
      <c r="C935" s="11"/>
    </row>
    <row r="936">
      <c r="A936" s="7"/>
      <c r="B936" s="2"/>
      <c r="C936" s="11"/>
    </row>
    <row r="937">
      <c r="A937" s="7"/>
      <c r="B937" s="2"/>
      <c r="C937" s="11"/>
    </row>
    <row r="938">
      <c r="A938" s="7"/>
      <c r="B938" s="2"/>
      <c r="C938" s="11"/>
    </row>
    <row r="939">
      <c r="A939" s="7"/>
      <c r="B939" s="2"/>
      <c r="C939" s="11"/>
    </row>
    <row r="940">
      <c r="A940" s="7"/>
      <c r="B940" s="2"/>
      <c r="C940" s="11"/>
    </row>
    <row r="941">
      <c r="A941" s="7"/>
      <c r="B941" s="2"/>
      <c r="C941" s="11"/>
    </row>
    <row r="942">
      <c r="A942" s="7"/>
      <c r="B942" s="2"/>
      <c r="C942" s="11"/>
    </row>
    <row r="943">
      <c r="A943" s="7"/>
      <c r="B943" s="2"/>
      <c r="C943" s="11"/>
    </row>
    <row r="944">
      <c r="A944" s="7"/>
      <c r="B944" s="2"/>
      <c r="C944" s="11"/>
    </row>
    <row r="945">
      <c r="A945" s="7"/>
      <c r="B945" s="2"/>
      <c r="C945" s="11"/>
    </row>
    <row r="946">
      <c r="A946" s="7"/>
      <c r="B946" s="2"/>
      <c r="C946" s="11"/>
    </row>
    <row r="947">
      <c r="A947" s="7"/>
      <c r="B947" s="2"/>
      <c r="C947" s="11"/>
    </row>
    <row r="948">
      <c r="A948" s="7"/>
      <c r="B948" s="2"/>
      <c r="C948" s="11"/>
    </row>
    <row r="949">
      <c r="A949" s="7"/>
      <c r="B949" s="2"/>
      <c r="C949" s="11"/>
    </row>
    <row r="950">
      <c r="A950" s="7"/>
      <c r="B950" s="2"/>
      <c r="C950" s="11"/>
    </row>
    <row r="951">
      <c r="A951" s="7"/>
      <c r="B951" s="2"/>
      <c r="C951" s="11"/>
    </row>
    <row r="952">
      <c r="A952" s="7"/>
      <c r="B952" s="2"/>
      <c r="C952" s="11"/>
    </row>
    <row r="953">
      <c r="A953" s="7"/>
      <c r="B953" s="2"/>
      <c r="C953" s="11"/>
    </row>
    <row r="954">
      <c r="A954" s="7"/>
      <c r="B954" s="2"/>
      <c r="C954" s="11"/>
    </row>
    <row r="955">
      <c r="A955" s="7"/>
      <c r="B955" s="2"/>
      <c r="C955" s="11"/>
    </row>
    <row r="956">
      <c r="A956" s="7"/>
      <c r="B956" s="2"/>
      <c r="C956" s="11"/>
    </row>
    <row r="957">
      <c r="A957" s="7"/>
      <c r="B957" s="2"/>
      <c r="C957" s="11"/>
    </row>
    <row r="958">
      <c r="A958" s="7"/>
      <c r="B958" s="2"/>
      <c r="C958" s="11"/>
    </row>
    <row r="959">
      <c r="A959" s="7"/>
      <c r="B959" s="2"/>
      <c r="C959" s="11"/>
    </row>
    <row r="960">
      <c r="A960" s="7"/>
      <c r="B960" s="2"/>
      <c r="C960" s="11"/>
    </row>
    <row r="961">
      <c r="A961" s="7"/>
      <c r="B961" s="2"/>
      <c r="C961" s="11"/>
    </row>
    <row r="962">
      <c r="A962" s="7"/>
      <c r="B962" s="2"/>
      <c r="C962" s="11"/>
    </row>
    <row r="963">
      <c r="A963" s="7"/>
      <c r="B963" s="2"/>
      <c r="C963" s="11"/>
    </row>
    <row r="964">
      <c r="A964" s="7"/>
      <c r="B964" s="2"/>
      <c r="C964" s="11"/>
    </row>
    <row r="965">
      <c r="A965" s="7"/>
      <c r="B965" s="2"/>
      <c r="C965" s="11"/>
    </row>
    <row r="966">
      <c r="A966" s="7"/>
      <c r="B966" s="2"/>
      <c r="C966" s="11"/>
    </row>
    <row r="967">
      <c r="A967" s="7"/>
      <c r="B967" s="2"/>
      <c r="C967" s="11"/>
    </row>
    <row r="968">
      <c r="A968" s="7"/>
      <c r="B968" s="2"/>
      <c r="C968" s="11"/>
    </row>
    <row r="969">
      <c r="A969" s="7"/>
      <c r="B969" s="2"/>
      <c r="C969" s="11"/>
    </row>
    <row r="970">
      <c r="A970" s="7"/>
      <c r="B970" s="2"/>
      <c r="C970" s="11"/>
    </row>
    <row r="971">
      <c r="A971" s="7"/>
      <c r="B971" s="2"/>
      <c r="C971" s="11"/>
    </row>
    <row r="972">
      <c r="A972" s="7"/>
      <c r="B972" s="2"/>
      <c r="C972" s="11"/>
    </row>
    <row r="973">
      <c r="A973" s="7"/>
      <c r="B973" s="2"/>
      <c r="C973" s="11"/>
    </row>
    <row r="974">
      <c r="A974" s="7"/>
      <c r="B974" s="2"/>
      <c r="C974" s="11"/>
    </row>
    <row r="975">
      <c r="A975" s="7"/>
      <c r="B975" s="2"/>
      <c r="C975" s="11"/>
    </row>
    <row r="976">
      <c r="A976" s="7"/>
      <c r="B976" s="2"/>
      <c r="C976" s="11"/>
    </row>
    <row r="977">
      <c r="A977" s="7"/>
      <c r="B977" s="2"/>
      <c r="C977" s="11"/>
    </row>
    <row r="978">
      <c r="A978" s="7"/>
      <c r="B978" s="2"/>
      <c r="C978" s="11"/>
    </row>
    <row r="979">
      <c r="A979" s="7"/>
      <c r="B979" s="2"/>
      <c r="C979" s="11"/>
    </row>
    <row r="980">
      <c r="A980" s="7"/>
      <c r="B980" s="2"/>
      <c r="C980" s="11"/>
    </row>
    <row r="981">
      <c r="A981" s="7"/>
      <c r="B981" s="2"/>
      <c r="C981" s="11"/>
    </row>
    <row r="982">
      <c r="A982" s="7"/>
      <c r="B982" s="2"/>
      <c r="C982" s="11"/>
    </row>
    <row r="983">
      <c r="A983" s="7"/>
      <c r="B983" s="2"/>
      <c r="C983" s="11"/>
    </row>
    <row r="984">
      <c r="A984" s="7"/>
      <c r="B984" s="2"/>
      <c r="C984" s="11"/>
    </row>
    <row r="985">
      <c r="A985" s="7"/>
      <c r="B985" s="2"/>
      <c r="C985" s="11"/>
    </row>
    <row r="986">
      <c r="A986" s="7"/>
      <c r="B986" s="2"/>
      <c r="C986" s="11"/>
    </row>
    <row r="987">
      <c r="A987" s="7"/>
      <c r="B987" s="2"/>
      <c r="C987" s="11"/>
    </row>
    <row r="988">
      <c r="A988" s="7"/>
      <c r="B988" s="2"/>
      <c r="C988" s="11"/>
    </row>
    <row r="989">
      <c r="A989" s="7"/>
      <c r="B989" s="2"/>
      <c r="C989" s="11"/>
    </row>
    <row r="990">
      <c r="A990" s="7"/>
      <c r="B990" s="2"/>
      <c r="C990" s="11"/>
    </row>
    <row r="991">
      <c r="A991" s="7"/>
      <c r="B991" s="2"/>
      <c r="C991" s="11"/>
    </row>
    <row r="992">
      <c r="A992" s="7"/>
      <c r="B992" s="2"/>
      <c r="C992" s="11"/>
    </row>
    <row r="993">
      <c r="A993" s="7"/>
      <c r="B993" s="2"/>
      <c r="C993" s="11"/>
    </row>
    <row r="994">
      <c r="A994" s="7"/>
      <c r="B994" s="2"/>
      <c r="C994" s="11"/>
    </row>
    <row r="995">
      <c r="A995" s="7"/>
      <c r="B995" s="2"/>
      <c r="C995" s="11"/>
    </row>
    <row r="996">
      <c r="A996" s="7"/>
      <c r="B996" s="2"/>
      <c r="C996" s="11"/>
    </row>
    <row r="997">
      <c r="A997" s="7"/>
      <c r="B997" s="2"/>
      <c r="C997" s="11"/>
    </row>
    <row r="998">
      <c r="A998" s="7"/>
      <c r="B998" s="2"/>
      <c r="C998" s="11"/>
    </row>
    <row r="999">
      <c r="A999" s="7"/>
      <c r="B999" s="2"/>
      <c r="C999" s="11"/>
    </row>
    <row r="1000">
      <c r="A1000" s="7"/>
      <c r="B1000" s="2"/>
      <c r="C1000" s="11"/>
    </row>
    <row r="1001">
      <c r="A1001" s="7"/>
      <c r="B1001" s="2"/>
      <c r="C1001" s="11"/>
    </row>
  </sheetData>
  <mergeCells count="7">
    <mergeCell ref="A1:G1"/>
    <mergeCell ref="A3:B3"/>
    <mergeCell ref="A4:G4"/>
    <mergeCell ref="A5:A9"/>
    <mergeCell ref="A10:A13"/>
    <mergeCell ref="A14:A18"/>
    <mergeCell ref="A19:A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8.25"/>
    <col customWidth="1" min="4" max="4" width="26.38"/>
    <col customWidth="1" min="5" max="5" width="16.63"/>
    <col customWidth="1" min="6" max="6" width="9.25"/>
    <col customWidth="1" min="7" max="7" width="6.5"/>
    <col customWidth="1" min="9" max="9" width="8.25"/>
    <col customWidth="1" min="10" max="10" width="27.5"/>
    <col customWidth="1" min="11" max="11" width="16.25"/>
    <col customWidth="1" min="12" max="12" width="9.25"/>
    <col customWidth="1" min="14" max="14" width="7.0"/>
    <col customWidth="1" min="15" max="15" width="30.75"/>
  </cols>
  <sheetData>
    <row r="1">
      <c r="A1" s="1"/>
      <c r="B1" s="3" t="s">
        <v>1</v>
      </c>
      <c r="M1" s="5"/>
      <c r="N1" s="5"/>
      <c r="O1" s="5"/>
      <c r="P1" s="5"/>
      <c r="Q1" s="10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6"/>
      <c r="E2" s="1"/>
      <c r="F2" s="1"/>
      <c r="G2" s="1"/>
      <c r="H2" s="1"/>
      <c r="I2" s="1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6" t="s">
        <v>18</v>
      </c>
      <c r="C3" s="26"/>
      <c r="D3" s="26"/>
      <c r="E3" s="26"/>
      <c r="F3" s="26"/>
      <c r="G3" s="26"/>
      <c r="H3" s="26"/>
      <c r="I3" s="26"/>
      <c r="J3" s="26"/>
      <c r="K3" s="30"/>
      <c r="L3" s="1"/>
      <c r="M3" s="1"/>
      <c r="N3" s="1"/>
      <c r="O3" s="1"/>
      <c r="P3" s="1"/>
      <c r="Q3" s="1"/>
      <c r="R3" s="32"/>
      <c r="S3" s="32"/>
      <c r="T3" s="32"/>
      <c r="U3" s="1"/>
      <c r="V3" s="1"/>
      <c r="W3" s="1"/>
      <c r="X3" s="1"/>
      <c r="Y3" s="1"/>
      <c r="Z3" s="1"/>
      <c r="AA3" s="1"/>
    </row>
    <row r="4">
      <c r="A4" s="1"/>
      <c r="B4" s="36" t="s">
        <v>35</v>
      </c>
      <c r="C4" s="38" t="s">
        <v>38</v>
      </c>
      <c r="D4" s="39" t="s">
        <v>41</v>
      </c>
      <c r="E4" s="40" t="s">
        <v>43</v>
      </c>
      <c r="F4" s="41"/>
      <c r="G4" s="30"/>
      <c r="H4" s="36" t="s">
        <v>47</v>
      </c>
      <c r="I4" s="38" t="s">
        <v>38</v>
      </c>
      <c r="J4" s="42" t="s">
        <v>41</v>
      </c>
      <c r="K4" s="40" t="s">
        <v>43</v>
      </c>
      <c r="L4" s="1"/>
      <c r="M4" s="1"/>
      <c r="N4" s="43"/>
      <c r="O4" s="2"/>
      <c r="P4" s="44"/>
      <c r="Q4" s="32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5" t="s">
        <v>55</v>
      </c>
      <c r="C5" s="45">
        <f>'Kelas X Angk.34'!F41</f>
        <v>15</v>
      </c>
      <c r="D5" s="49" t="s">
        <v>58</v>
      </c>
      <c r="E5" s="55" t="str">
        <f t="array" ref="E5">XLOOKUP(TRIM(D5),TRIM('Database CirclePro +Mentor Muri'!B:B),'Database CirclePro +Mentor Muri'!C:C,"")</f>
        <v>XII A2</v>
      </c>
      <c r="F5" s="41"/>
      <c r="G5" s="41"/>
      <c r="H5" s="45" t="s">
        <v>55</v>
      </c>
      <c r="I5" s="45">
        <f>'Kelas X Angk.34'!F40</f>
        <v>17</v>
      </c>
      <c r="J5" s="56" t="s">
        <v>75</v>
      </c>
      <c r="K5" s="55" t="str">
        <f t="array" ref="K5">XLOOKUP(TRIM(J5),TRIM('Database CirclePro +Mentor Muri'!B:B),'Database CirclePro +Mentor Muri'!C:C,"")</f>
        <v>XI C3</v>
      </c>
      <c r="L5" s="1"/>
      <c r="M5" s="1"/>
      <c r="N5" s="43"/>
      <c r="O5" s="43"/>
      <c r="P5" s="43"/>
      <c r="Q5" s="43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5" t="s">
        <v>83</v>
      </c>
      <c r="C6" s="45">
        <f>'Kelas X Angk.34'!F82</f>
        <v>15</v>
      </c>
      <c r="D6" s="59" t="s">
        <v>89</v>
      </c>
      <c r="E6" s="55" t="str">
        <f t="array" ref="E6">XLOOKUP(TRIM(D6),TRIM('Database CirclePro +Mentor Muri'!B:B),'Database CirclePro +Mentor Muri'!C:C,"")</f>
        <v>XII B2</v>
      </c>
      <c r="F6" s="41"/>
      <c r="G6" s="41"/>
      <c r="H6" s="45" t="s">
        <v>83</v>
      </c>
      <c r="I6" s="45">
        <f>'Kelas X Angk.34'!F81</f>
        <v>17</v>
      </c>
      <c r="J6" s="56" t="s">
        <v>96</v>
      </c>
      <c r="K6" s="55" t="str">
        <f t="array" ref="K6">XLOOKUP(TRIM(J6),TRIM('Database CirclePro +Mentor Muri'!B:B),'Database CirclePro +Mentor Muri'!C:C,"")</f>
        <v>XI E1</v>
      </c>
      <c r="L6" s="1"/>
      <c r="M6" s="1"/>
      <c r="N6" s="43"/>
      <c r="O6" s="43"/>
      <c r="P6" s="43"/>
      <c r="Q6" s="43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5" t="s">
        <v>105</v>
      </c>
      <c r="C7" s="45">
        <f>'Kelas X Angk.34'!F123</f>
        <v>14</v>
      </c>
      <c r="D7" s="49" t="s">
        <v>106</v>
      </c>
      <c r="E7" s="55" t="str">
        <f t="array" ref="E7">XLOOKUP(TRIM(D7),TRIM('Database CirclePro +Mentor Muri'!B:B),'Database CirclePro +Mentor Muri'!C:C,"")</f>
        <v>XII D1</v>
      </c>
      <c r="F7" s="41"/>
      <c r="G7" s="41"/>
      <c r="H7" s="45" t="s">
        <v>105</v>
      </c>
      <c r="I7" s="45">
        <f>'Kelas X Angk.34'!F122</f>
        <v>17</v>
      </c>
      <c r="J7" s="56" t="s">
        <v>113</v>
      </c>
      <c r="K7" s="55" t="str">
        <f t="array" ref="K7">XLOOKUP(TRIM(J7),TRIM('Database CirclePro +Mentor Muri'!B:B),'Database CirclePro +Mentor Muri'!C:C,"")</f>
        <v>XI C4</v>
      </c>
      <c r="L7" s="1"/>
      <c r="M7" s="1"/>
      <c r="N7" s="43"/>
      <c r="O7" s="43"/>
      <c r="P7" s="43"/>
      <c r="Q7" s="43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5" t="s">
        <v>119</v>
      </c>
      <c r="C8" s="45">
        <f>'Kelas X Angk.34'!F164</f>
        <v>14</v>
      </c>
      <c r="D8" s="49" t="s">
        <v>122</v>
      </c>
      <c r="E8" s="55" t="str">
        <f t="array" ref="E8">XLOOKUP(TRIM(D8),TRIM('Database CirclePro +Mentor Muri'!B:B),'Database CirclePro +Mentor Muri'!C:C,"")</f>
        <v>XII E1</v>
      </c>
      <c r="F8" s="41"/>
      <c r="G8" s="41"/>
      <c r="H8" s="45" t="s">
        <v>119</v>
      </c>
      <c r="I8" s="45">
        <f>'Kelas X Angk.34'!F163</f>
        <v>17</v>
      </c>
      <c r="J8" s="56" t="s">
        <v>126</v>
      </c>
      <c r="K8" s="55" t="str">
        <f t="array" ref="K8">XLOOKUP(TRIM(J8),TRIM('Database CirclePro +Mentor Muri'!B:B),'Database CirclePro +Mentor Muri'!C:C,"")</f>
        <v>XI C2</v>
      </c>
      <c r="L8" s="1"/>
      <c r="M8" s="1"/>
      <c r="N8" s="43"/>
      <c r="O8" s="43"/>
      <c r="P8" s="43"/>
      <c r="Q8" s="43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45" t="s">
        <v>68</v>
      </c>
      <c r="C9" s="45">
        <f>'Kelas X Angk.34'!F205</f>
        <v>14</v>
      </c>
      <c r="D9" s="61" t="s">
        <v>130</v>
      </c>
      <c r="E9" s="55" t="str">
        <f t="array" ref="E9">XLOOKUP(TRIM(D9),TRIM('Database CirclePro +Mentor Muri'!B:B),'Database CirclePro +Mentor Muri'!C:C,"")</f>
        <v>XII B1</v>
      </c>
      <c r="F9" s="41"/>
      <c r="G9" s="41"/>
      <c r="H9" s="45" t="s">
        <v>68</v>
      </c>
      <c r="I9" s="45">
        <f>'Kelas X Angk.34'!F204</f>
        <v>17</v>
      </c>
      <c r="J9" s="59" t="s">
        <v>118</v>
      </c>
      <c r="K9" s="55" t="str">
        <f t="array" ref="K9">XLOOKUP(TRIM(J9),TRIM('Database CirclePro +Mentor Muri'!B:B),'Database CirclePro +Mentor Muri'!C:C,"")</f>
        <v>XI E1</v>
      </c>
      <c r="L9" s="1"/>
      <c r="M9" s="1"/>
      <c r="N9" s="43"/>
      <c r="O9" s="43"/>
      <c r="P9" s="43"/>
      <c r="Q9" s="43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45" t="s">
        <v>137</v>
      </c>
      <c r="C10" s="45">
        <f>'Kelas X Angk.34'!F246</f>
        <v>14</v>
      </c>
      <c r="D10" s="59" t="s">
        <v>141</v>
      </c>
      <c r="E10" s="55" t="str">
        <f t="array" ref="E10">XLOOKUP(TRIM(D10),TRIM('Database CirclePro +Mentor Muri'!B:B),'Database CirclePro +Mentor Muri'!C:C,"")</f>
        <v>XII E1</v>
      </c>
      <c r="F10" s="41"/>
      <c r="G10" s="41"/>
      <c r="H10" s="45" t="s">
        <v>137</v>
      </c>
      <c r="I10" s="45">
        <f>'Kelas X Angk.34'!F245</f>
        <v>17</v>
      </c>
      <c r="J10" s="66" t="s">
        <v>145</v>
      </c>
      <c r="K10" s="55" t="str">
        <f t="array" ref="K10">XLOOKUP(TRIM(J10),TRIM('Database CirclePro +Mentor Muri'!B:B),'Database CirclePro +Mentor Muri'!C:C,"")</f>
        <v>XI C2</v>
      </c>
      <c r="L10" s="1"/>
      <c r="M10" s="1"/>
      <c r="N10" s="43"/>
      <c r="O10" s="44"/>
      <c r="P10" s="43"/>
      <c r="Q10" s="43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5" t="s">
        <v>152</v>
      </c>
      <c r="C11" s="45">
        <f>'Kelas X Angk.34'!F287</f>
        <v>14</v>
      </c>
      <c r="D11" s="59" t="s">
        <v>139</v>
      </c>
      <c r="E11" s="55" t="str">
        <f t="array" ref="E11">XLOOKUP(TRIM(D11),TRIM('Database CirclePro +Mentor Muri'!B:B),'Database CirclePro +Mentor Muri'!C:C,"")</f>
        <v>XI B1</v>
      </c>
      <c r="F11" s="41"/>
      <c r="G11" s="41"/>
      <c r="H11" s="45" t="s">
        <v>152</v>
      </c>
      <c r="I11" s="45">
        <f>'Kelas X Angk.34'!F286</f>
        <v>17</v>
      </c>
      <c r="J11" s="67" t="s">
        <v>155</v>
      </c>
      <c r="K11" s="55" t="str">
        <f t="array" ref="K11">XLOOKUP(TRIM(J11),TRIM('Database CirclePro +Mentor Muri'!B:B),'Database CirclePro +Mentor Muri'!C:C,"")</f>
        <v>XI E1</v>
      </c>
      <c r="L11" s="1"/>
      <c r="M11" s="1"/>
      <c r="N11" s="43"/>
      <c r="O11" s="43"/>
      <c r="P11" s="43"/>
      <c r="Q11" s="43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5" t="s">
        <v>160</v>
      </c>
      <c r="C12" s="45">
        <f>'Kelas X Angk.34'!F328</f>
        <v>14</v>
      </c>
      <c r="D12" s="68" t="s">
        <v>149</v>
      </c>
      <c r="E12" s="55" t="str">
        <f t="array" ref="E12">XLOOKUP(TRIM(D12),TRIM('Database CirclePro +Mentor Muri'!B:B),'Database CirclePro +Mentor Muri'!C:C,"")</f>
        <v>XI A</v>
      </c>
      <c r="F12" s="41"/>
      <c r="G12" s="69"/>
      <c r="H12" s="59" t="s">
        <v>163</v>
      </c>
      <c r="I12" s="70">
        <f>'Kelas X Angk.34'!F327</f>
        <v>17</v>
      </c>
      <c r="J12" s="23" t="s">
        <v>167</v>
      </c>
      <c r="K12" s="55" t="str">
        <f t="array" ref="K12">XLOOKUP(TRIM(J12),TRIM('Database CirclePro +Mentor Muri'!B:B),'Database CirclePro +Mentor Muri'!C:C,"")</f>
        <v>XI C1</v>
      </c>
      <c r="L12" s="1"/>
      <c r="M12" s="1"/>
      <c r="N12" s="2"/>
      <c r="O12" s="72"/>
      <c r="P12" s="43"/>
      <c r="Q12" s="43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5" t="s">
        <v>173</v>
      </c>
      <c r="C13" s="45">
        <f>'Kelas X Angk.34'!F368</f>
        <v>15</v>
      </c>
      <c r="D13" s="59" t="s">
        <v>158</v>
      </c>
      <c r="E13" s="55" t="str">
        <f t="array" ref="E13">XLOOKUP(TRIM(D13),TRIM('Database CirclePro +Mentor Muri'!B:B),'Database CirclePro +Mentor Muri'!C:C,"")</f>
        <v>XI B1</v>
      </c>
      <c r="F13" s="41"/>
      <c r="G13" s="69"/>
      <c r="H13" s="59" t="s">
        <v>177</v>
      </c>
      <c r="I13" s="74"/>
      <c r="J13" s="76" t="s">
        <v>178</v>
      </c>
      <c r="K13" s="55" t="str">
        <f t="array" ref="K13">XLOOKUP(TRIM(J13),TRIM('Database CirclePro +Mentor Muri'!B:B),'Database CirclePro +Mentor Muri'!C:C,"")</f>
        <v>XI D2</v>
      </c>
      <c r="L13" s="1"/>
      <c r="M13" s="1"/>
      <c r="N13" s="2"/>
      <c r="O13" s="2"/>
      <c r="P13" s="43"/>
      <c r="Q13" s="43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45" t="s">
        <v>123</v>
      </c>
      <c r="C14" s="45">
        <f>'Kelas X Angk.34'!F408</f>
        <v>14</v>
      </c>
      <c r="D14" s="56" t="s">
        <v>86</v>
      </c>
      <c r="E14" s="55" t="str">
        <f t="array" ref="E14">XLOOKUP(TRIM(D14),TRIM('Database CirclePro +Mentor Muri'!B:B),'Database CirclePro +Mentor Muri'!C:C,"")</f>
        <v>XI D2</v>
      </c>
      <c r="F14" s="41"/>
      <c r="G14" s="41"/>
      <c r="H14" s="45" t="s">
        <v>173</v>
      </c>
      <c r="I14" s="45">
        <f>'Kelas X Angk.34'!F367</f>
        <v>15</v>
      </c>
      <c r="J14" s="59" t="s">
        <v>192</v>
      </c>
      <c r="K14" s="55" t="str">
        <f t="array" ref="K14">XLOOKUP(TRIM(J14),TRIM('Database CirclePro +Mentor Muri'!B:B),'Database CirclePro +Mentor Muri'!C:C,"")</f>
        <v>XI B1</v>
      </c>
      <c r="L14" s="1"/>
      <c r="M14" s="1"/>
      <c r="N14" s="43"/>
      <c r="O14" s="4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59" t="s">
        <v>200</v>
      </c>
      <c r="C15" s="70">
        <f>'Kelas X Angk.34'!F448</f>
        <v>16</v>
      </c>
      <c r="D15" s="56" t="s">
        <v>112</v>
      </c>
      <c r="E15" s="55" t="str">
        <f t="array" ref="E15">XLOOKUP(TRIM(D15),TRIM('Database CirclePro +Mentor Muri'!B:B),'Database CirclePro +Mentor Muri'!C:C,"")</f>
        <v>XI C4</v>
      </c>
      <c r="G15" s="41"/>
      <c r="H15" s="45" t="s">
        <v>123</v>
      </c>
      <c r="I15" s="45">
        <f>'Kelas X Angk.34'!F407</f>
        <v>16</v>
      </c>
      <c r="J15" s="59" t="s">
        <v>213</v>
      </c>
      <c r="K15" s="55" t="str">
        <f t="array" ref="K15">XLOOKUP(TRIM(J15),TRIM('Database CirclePro +Mentor Muri'!B:B),'Database CirclePro +Mentor Muri'!C:C,"")</f>
        <v>XI C4</v>
      </c>
      <c r="L15" s="1"/>
      <c r="M15" s="1"/>
      <c r="N15" s="43"/>
      <c r="O15" s="44"/>
      <c r="P15" s="43"/>
      <c r="Q15" s="43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59" t="s">
        <v>219</v>
      </c>
      <c r="C16" s="74"/>
      <c r="D16" s="84" t="s">
        <v>72</v>
      </c>
      <c r="E16" s="55" t="str">
        <f t="array" ref="E16">XLOOKUP(TRIM(D16),TRIM('Database CirclePro +Mentor Muri'!B:B),'Database CirclePro +Mentor Muri'!C:C,"")</f>
        <v>XI C4</v>
      </c>
      <c r="F16" s="41"/>
      <c r="G16" s="41"/>
      <c r="H16" s="45" t="s">
        <v>98</v>
      </c>
      <c r="I16" s="45">
        <f>'Kelas X Angk.34'!F447</f>
        <v>15</v>
      </c>
      <c r="J16" s="59" t="s">
        <v>230</v>
      </c>
      <c r="K16" s="55" t="str">
        <f t="array" ref="K16">XLOOKUP(TRIM(J16),TRIM('Database CirclePro +Mentor Muri'!B:B),'Database CirclePro +Mentor Muri'!C:C,"")</f>
        <v>XI C4</v>
      </c>
      <c r="L16" s="1"/>
      <c r="M16" s="1"/>
      <c r="N16" s="43"/>
      <c r="O16" s="44"/>
      <c r="P16" s="43"/>
      <c r="Q16" s="44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5" t="s">
        <v>129</v>
      </c>
      <c r="C17" s="45">
        <f>'Kelas X Angk.34'!F488</f>
        <v>14</v>
      </c>
      <c r="D17" s="68" t="s">
        <v>100</v>
      </c>
      <c r="E17" s="55" t="str">
        <f t="array" ref="E17">XLOOKUP(TRIM(D17),TRIM('Database CirclePro +Mentor Muri'!B:B),'Database CirclePro +Mentor Muri'!C:C,"")</f>
        <v>XI B3</v>
      </c>
      <c r="F17" s="41"/>
      <c r="G17" s="41"/>
      <c r="H17" s="45" t="s">
        <v>129</v>
      </c>
      <c r="I17" s="45">
        <f>'Kelas X Angk.34'!F487</f>
        <v>16</v>
      </c>
      <c r="J17" s="68" t="s">
        <v>242</v>
      </c>
      <c r="K17" s="55" t="str">
        <f t="array" ref="K17">XLOOKUP(TRIM(J17),TRIM('Database CirclePro +Mentor Muri'!B:B),'Database CirclePro +Mentor Muri'!C:C,"")</f>
        <v>XI D1</v>
      </c>
      <c r="L17" s="1"/>
      <c r="M17" s="1"/>
      <c r="N17" s="43"/>
      <c r="O17" s="43"/>
      <c r="P17" s="43"/>
      <c r="Q17" s="43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55" t="s">
        <v>246</v>
      </c>
      <c r="C18" s="45"/>
      <c r="D18" s="59" t="s">
        <v>247</v>
      </c>
      <c r="E18" s="55" t="s">
        <v>248</v>
      </c>
      <c r="F18" s="41"/>
      <c r="G18" s="86"/>
      <c r="H18" s="55" t="s">
        <v>246</v>
      </c>
      <c r="I18" s="45"/>
      <c r="J18" s="59" t="s">
        <v>250</v>
      </c>
      <c r="K18" s="55" t="s">
        <v>251</v>
      </c>
      <c r="L18" s="1"/>
      <c r="M18" s="1"/>
      <c r="N18" s="43"/>
      <c r="O18" s="43"/>
      <c r="P18" s="23"/>
      <c r="Q18" s="2"/>
      <c r="R18" s="2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1" t="s">
        <v>255</v>
      </c>
      <c r="C19" s="41">
        <f>sum(C5:C17)</f>
        <v>173</v>
      </c>
      <c r="D19" s="69"/>
      <c r="E19" s="69"/>
      <c r="F19" s="41"/>
      <c r="G19" s="41"/>
      <c r="H19" s="41" t="s">
        <v>255</v>
      </c>
      <c r="I19" s="41">
        <f>sum(I5:I17)</f>
        <v>198</v>
      </c>
      <c r="J19" s="69"/>
      <c r="K19" s="41"/>
      <c r="L19" s="1"/>
      <c r="M19" s="1"/>
      <c r="N19" s="43"/>
      <c r="O19" s="43"/>
      <c r="P19" s="23"/>
      <c r="Q19" s="2"/>
      <c r="R19" s="2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F20" s="1"/>
      <c r="G20" s="2"/>
      <c r="H20" s="2"/>
      <c r="I20" s="2"/>
      <c r="J20" s="2"/>
      <c r="K20" s="2"/>
      <c r="L20" s="1"/>
      <c r="M20" s="1"/>
      <c r="N20" s="43"/>
      <c r="O20" s="44"/>
      <c r="P20" s="23"/>
      <c r="Q20" s="2"/>
      <c r="R20" s="2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7" t="s">
        <v>263</v>
      </c>
      <c r="C21" s="87"/>
      <c r="D21" s="87"/>
      <c r="E21" s="87"/>
      <c r="F21" s="87"/>
      <c r="G21" s="87"/>
      <c r="H21" s="87"/>
      <c r="I21" s="87"/>
      <c r="J21" s="87"/>
      <c r="K21" s="87"/>
      <c r="L21" s="2"/>
      <c r="M21" s="2"/>
      <c r="N21" s="1"/>
      <c r="O21" s="1"/>
      <c r="P21" s="23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6" t="s">
        <v>35</v>
      </c>
      <c r="C22" s="38" t="s">
        <v>38</v>
      </c>
      <c r="D22" s="39" t="s">
        <v>41</v>
      </c>
      <c r="E22" s="40" t="s">
        <v>43</v>
      </c>
      <c r="F22" s="88" t="s">
        <v>267</v>
      </c>
      <c r="G22" s="32"/>
      <c r="H22" s="36" t="s">
        <v>47</v>
      </c>
      <c r="I22" s="38" t="s">
        <v>38</v>
      </c>
      <c r="J22" s="42" t="s">
        <v>41</v>
      </c>
      <c r="K22" s="40" t="s">
        <v>43</v>
      </c>
      <c r="L22" s="88" t="s">
        <v>267</v>
      </c>
      <c r="M22" s="2"/>
      <c r="N22" s="2"/>
      <c r="O22" s="2"/>
      <c r="P22" s="23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89" t="s">
        <v>140</v>
      </c>
      <c r="C23" s="90">
        <f>'Kelas XI Angk.33'!D113</f>
        <v>11</v>
      </c>
      <c r="D23" s="59" t="s">
        <v>217</v>
      </c>
      <c r="E23" s="91" t="str">
        <f t="array" ref="E23">XLOOKUP(TRIM(D25),TRIM('Database CirclePro +Mentor Muri'!B:B),'Database CirclePro +Mentor Muri'!C:C,"")</f>
        <v>XII F2</v>
      </c>
      <c r="F23" s="92">
        <v>2.0</v>
      </c>
      <c r="G23" s="43"/>
      <c r="H23" s="68" t="s">
        <v>150</v>
      </c>
      <c r="I23" s="93">
        <f>'Kelas XI Angk.33'!D57</f>
        <v>24</v>
      </c>
      <c r="J23" s="94" t="s">
        <v>282</v>
      </c>
      <c r="K23" s="94" t="s">
        <v>283</v>
      </c>
      <c r="L23" s="95">
        <v>0.0</v>
      </c>
      <c r="M23" s="2"/>
      <c r="N23" s="2"/>
      <c r="O23" s="2"/>
      <c r="P23" s="23"/>
      <c r="Q23" s="2"/>
      <c r="R23" s="2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89" t="s">
        <v>286</v>
      </c>
      <c r="C24" s="90">
        <f>'Kelas XI Angk.33'!D170</f>
        <v>12</v>
      </c>
      <c r="D24" s="76" t="s">
        <v>183</v>
      </c>
      <c r="E24" s="91" t="str">
        <f t="array" ref="E24">XLOOKUP(TRIM(D24),TRIM('Database CirclePro +Mentor Muri'!B:B),'Database CirclePro +Mentor Muri'!C:C,"")</f>
        <v>XII D3</v>
      </c>
      <c r="F24" s="92">
        <v>3.0</v>
      </c>
      <c r="G24" s="43"/>
      <c r="H24" s="68" t="s">
        <v>140</v>
      </c>
      <c r="I24" s="96">
        <f>'Kelas XI Angk.33'!D114</f>
        <v>36</v>
      </c>
      <c r="J24" s="97" t="s">
        <v>295</v>
      </c>
      <c r="K24" s="97" t="s">
        <v>283</v>
      </c>
      <c r="L24" s="98">
        <v>4.0</v>
      </c>
      <c r="N24" s="2"/>
      <c r="O24" s="2"/>
      <c r="P24" s="23"/>
      <c r="Q24" s="2"/>
      <c r="R24" s="2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89" t="s">
        <v>101</v>
      </c>
      <c r="C25" s="90">
        <f>'Kelas XI Angk.33'!D227</f>
        <v>12</v>
      </c>
      <c r="D25" s="59" t="s">
        <v>299</v>
      </c>
      <c r="E25" s="91" t="str">
        <f t="array" ref="E25">XLOOKUP(TRIM(D23),TRIM('Database CirclePro +Mentor Muri'!B:B),'Database CirclePro +Mentor Muri'!C:C,"")</f>
        <v>XII B1</v>
      </c>
      <c r="F25" s="92">
        <v>1.0</v>
      </c>
      <c r="G25" s="43"/>
      <c r="H25" s="68" t="s">
        <v>303</v>
      </c>
      <c r="I25" s="96">
        <f>'Kelas XI Angk.33'!D171</f>
        <v>35</v>
      </c>
      <c r="J25" s="68" t="s">
        <v>304</v>
      </c>
      <c r="K25" s="59" t="str">
        <f t="array" ref="K25">XLOOKUP(TRIM(D5),TRIM('Database CirclePro +Mentor Muri'!B:B),'Database CirclePro +Mentor Muri'!C:C,"")</f>
        <v>XII A2</v>
      </c>
      <c r="L25" s="98">
        <v>0.0</v>
      </c>
      <c r="M25" s="2"/>
      <c r="P25" s="23"/>
      <c r="Q25" s="2"/>
      <c r="R25" s="2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89" t="s">
        <v>150</v>
      </c>
      <c r="C26" s="90">
        <f>'Kelas XI Angk.33'!D56</f>
        <v>23</v>
      </c>
      <c r="D26" s="97" t="s">
        <v>311</v>
      </c>
      <c r="E26" s="101" t="s">
        <v>251</v>
      </c>
      <c r="F26" s="92">
        <v>2.0</v>
      </c>
      <c r="H26" s="68" t="s">
        <v>315</v>
      </c>
      <c r="I26" s="74"/>
      <c r="J26" s="102" t="s">
        <v>316</v>
      </c>
      <c r="K26" s="102" t="s">
        <v>188</v>
      </c>
      <c r="L26" s="74"/>
      <c r="N26" s="2"/>
      <c r="O26" s="2"/>
      <c r="P26" s="23"/>
      <c r="Q26" s="2"/>
      <c r="R26" s="2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89" t="s">
        <v>313</v>
      </c>
      <c r="C27" s="90">
        <f>'Kelas XI Angk.33'!D283</f>
        <v>20</v>
      </c>
      <c r="D27" s="74"/>
      <c r="E27" s="74"/>
      <c r="F27" s="92">
        <v>2.0</v>
      </c>
      <c r="G27" s="43"/>
      <c r="H27" s="68" t="s">
        <v>322</v>
      </c>
      <c r="I27" s="96">
        <f>'Kelas XI Angk.33'!D228</f>
        <v>35</v>
      </c>
      <c r="J27" s="76" t="s">
        <v>324</v>
      </c>
      <c r="K27" s="76" t="s">
        <v>199</v>
      </c>
      <c r="L27" s="103">
        <v>0.0</v>
      </c>
      <c r="M27" s="2"/>
      <c r="N27" s="43"/>
      <c r="O27" s="43"/>
      <c r="P27" s="23"/>
      <c r="Q27" s="2"/>
      <c r="R27" s="2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89" t="s">
        <v>289</v>
      </c>
      <c r="C28" s="90">
        <f>'Kelas XI Angk.33'!D339</f>
        <v>19</v>
      </c>
      <c r="D28" s="61" t="s">
        <v>327</v>
      </c>
      <c r="E28" s="91" t="s">
        <v>330</v>
      </c>
      <c r="F28" s="92">
        <v>5.0</v>
      </c>
      <c r="G28" s="43"/>
      <c r="H28" s="68" t="s">
        <v>333</v>
      </c>
      <c r="I28" s="74"/>
      <c r="J28" s="68" t="s">
        <v>334</v>
      </c>
      <c r="K28" s="59" t="s">
        <v>199</v>
      </c>
      <c r="L28" s="74"/>
      <c r="N28" s="43"/>
      <c r="O28" s="43"/>
      <c r="P28" s="2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89" t="s">
        <v>259</v>
      </c>
      <c r="C29" s="90">
        <f>'Kelas XI Angk.33'!D394</f>
        <v>18</v>
      </c>
      <c r="D29" s="105"/>
      <c r="E29" s="105"/>
      <c r="F29" s="92">
        <v>0.0</v>
      </c>
      <c r="G29" s="43"/>
      <c r="H29" s="68" t="s">
        <v>313</v>
      </c>
      <c r="I29" s="93">
        <f>'Kelas XI Angk.33'!D284</f>
        <v>26</v>
      </c>
      <c r="J29" s="76" t="s">
        <v>341</v>
      </c>
      <c r="K29" s="76" t="s">
        <v>342</v>
      </c>
      <c r="L29" s="106">
        <v>7.0</v>
      </c>
      <c r="M29" s="2"/>
      <c r="N29" s="43"/>
      <c r="O29" s="43"/>
      <c r="P29" s="23"/>
      <c r="Q29" s="2"/>
      <c r="R29" s="2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89" t="s">
        <v>114</v>
      </c>
      <c r="C30" s="90">
        <f>'Kelas XI Angk.33'!D449</f>
        <v>17</v>
      </c>
      <c r="D30" s="74"/>
      <c r="E30" s="74"/>
      <c r="F30" s="92">
        <v>4.0</v>
      </c>
      <c r="G30" s="43"/>
      <c r="H30" s="68" t="s">
        <v>289</v>
      </c>
      <c r="I30" s="93">
        <f>'Kelas XI Angk.33'!D340</f>
        <v>27</v>
      </c>
      <c r="J30" s="97" t="s">
        <v>345</v>
      </c>
      <c r="K30" s="97" t="s">
        <v>348</v>
      </c>
      <c r="L30" s="106">
        <v>5.0</v>
      </c>
      <c r="M30" s="2"/>
      <c r="N30" s="43"/>
      <c r="O30" s="43"/>
      <c r="P30" s="23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89" t="s">
        <v>350</v>
      </c>
      <c r="C31" s="90">
        <f>'Kelas XI Angk.33'!D507</f>
        <v>30</v>
      </c>
      <c r="D31" s="97" t="s">
        <v>353</v>
      </c>
      <c r="E31" s="97" t="s">
        <v>354</v>
      </c>
      <c r="F31" s="92">
        <v>0.0</v>
      </c>
      <c r="G31" s="43"/>
      <c r="H31" s="68" t="s">
        <v>259</v>
      </c>
      <c r="I31" s="93">
        <f>'Kelas XI Angk.33'!D395</f>
        <v>27</v>
      </c>
      <c r="J31" s="74"/>
      <c r="K31" s="74"/>
      <c r="L31" s="106">
        <v>3.0</v>
      </c>
      <c r="M31" s="2"/>
      <c r="N31" s="43"/>
      <c r="O31" s="43"/>
      <c r="P31" s="23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89" t="s">
        <v>270</v>
      </c>
      <c r="C32" s="90">
        <f>'Kelas XI Angk.33'!D621</f>
        <v>14</v>
      </c>
      <c r="D32" s="74"/>
      <c r="E32" s="74"/>
      <c r="F32" s="92">
        <v>1.0</v>
      </c>
      <c r="G32" s="43"/>
      <c r="H32" s="68" t="s">
        <v>114</v>
      </c>
      <c r="I32" s="93">
        <f>'Kelas XI Angk.33'!D450</f>
        <v>28</v>
      </c>
      <c r="J32" s="94" t="s">
        <v>361</v>
      </c>
      <c r="K32" s="94" t="s">
        <v>362</v>
      </c>
      <c r="L32" s="106">
        <v>6.0</v>
      </c>
      <c r="M32" s="2"/>
      <c r="N32" s="1"/>
      <c r="O32" s="1"/>
      <c r="P32" s="23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89" t="s">
        <v>88</v>
      </c>
      <c r="C33" s="90">
        <f>'Kelas XI Angk.33'!D564</f>
        <v>28</v>
      </c>
      <c r="D33" s="97" t="s">
        <v>365</v>
      </c>
      <c r="E33" s="97" t="s">
        <v>366</v>
      </c>
      <c r="F33" s="92">
        <v>0.0</v>
      </c>
      <c r="G33" s="43"/>
      <c r="H33" s="68" t="s">
        <v>350</v>
      </c>
      <c r="I33" s="93">
        <f>'Kelas XI Angk.33'!D508</f>
        <v>18</v>
      </c>
      <c r="J33" s="76" t="s">
        <v>368</v>
      </c>
      <c r="K33" s="102" t="s">
        <v>225</v>
      </c>
      <c r="L33" s="106">
        <v>1.0</v>
      </c>
      <c r="M33" s="2"/>
      <c r="N33" s="2"/>
      <c r="O33" s="2"/>
      <c r="P33" s="23"/>
      <c r="Q33" s="2"/>
      <c r="R33" s="2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89" t="s">
        <v>369</v>
      </c>
      <c r="C34" s="89">
        <f>'Kelas XI Angk.33'!D677</f>
        <v>14</v>
      </c>
      <c r="D34" s="74"/>
      <c r="E34" s="74"/>
      <c r="F34" s="92">
        <v>6.0</v>
      </c>
      <c r="G34" s="43"/>
      <c r="H34" s="68" t="s">
        <v>88</v>
      </c>
      <c r="I34" s="93">
        <f>'Kelas XI Angk.33'!D565</f>
        <v>19</v>
      </c>
      <c r="J34" s="59" t="s">
        <v>371</v>
      </c>
      <c r="K34" s="59" t="str">
        <f t="array" ref="K34">XLOOKUP(TRIM(D7),TRIM('Database CirclePro +Mentor Muri'!B:B),'Database CirclePro +Mentor Muri'!C:C,"")</f>
        <v>XII D1</v>
      </c>
      <c r="L34" s="106">
        <v>0.0</v>
      </c>
      <c r="M34" s="2"/>
      <c r="N34" s="2"/>
      <c r="O34" s="2"/>
      <c r="P34" s="23"/>
      <c r="Q34" s="107"/>
      <c r="R34" s="2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89" t="s">
        <v>373</v>
      </c>
      <c r="C35" s="90">
        <f>'Database CirclePro +Mentor Muri'!E18</f>
        <v>15</v>
      </c>
      <c r="D35" s="108" t="s">
        <v>376</v>
      </c>
      <c r="E35" s="55" t="s">
        <v>377</v>
      </c>
      <c r="F35" s="1"/>
      <c r="G35" s="43"/>
      <c r="H35" s="68" t="s">
        <v>270</v>
      </c>
      <c r="I35" s="93">
        <f>'Kelas XI Angk.33'!D622</f>
        <v>33</v>
      </c>
      <c r="J35" s="94" t="s">
        <v>378</v>
      </c>
      <c r="K35" s="94" t="s">
        <v>379</v>
      </c>
      <c r="L35" s="106">
        <v>5.0</v>
      </c>
      <c r="M35" s="2"/>
      <c r="N35" s="2"/>
      <c r="O35" s="2"/>
      <c r="P35" s="23"/>
      <c r="Q35" s="2"/>
      <c r="R35" s="2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89" t="s">
        <v>382</v>
      </c>
      <c r="C36" s="90">
        <f>'Database CirclePro +Mentor Muri'!E32</f>
        <v>11</v>
      </c>
      <c r="D36" s="108" t="s">
        <v>383</v>
      </c>
      <c r="E36" s="55" t="s">
        <v>384</v>
      </c>
      <c r="F36" s="1"/>
      <c r="G36" s="43"/>
      <c r="H36" s="68" t="s">
        <v>386</v>
      </c>
      <c r="I36" s="91">
        <f>'Kelas XI Angk.33'!D678</f>
        <v>32</v>
      </c>
      <c r="J36" s="102" t="s">
        <v>387</v>
      </c>
      <c r="K36" s="102" t="s">
        <v>195</v>
      </c>
      <c r="L36" s="103">
        <v>2.0</v>
      </c>
      <c r="M36" s="2"/>
      <c r="N36" s="2"/>
      <c r="O36" s="2"/>
      <c r="P36" s="23"/>
      <c r="Q36" s="2"/>
      <c r="R36" s="2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 t="s">
        <v>255</v>
      </c>
      <c r="C37" s="1">
        <f>sum(C23:C33)</f>
        <v>204</v>
      </c>
      <c r="D37" s="16"/>
      <c r="E37" s="1"/>
      <c r="F37" s="1"/>
      <c r="G37" s="43"/>
      <c r="H37" s="68" t="s">
        <v>390</v>
      </c>
      <c r="I37" s="74"/>
      <c r="J37" s="76" t="s">
        <v>392</v>
      </c>
      <c r="K37" s="76" t="s">
        <v>195</v>
      </c>
      <c r="L37" s="74"/>
      <c r="P37" s="23"/>
      <c r="Q37" s="2"/>
      <c r="R37" s="2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G38" s="1"/>
      <c r="H38" s="89" t="s">
        <v>373</v>
      </c>
      <c r="I38" s="90">
        <f>'Database CirclePro +Mentor Muri'!K17</f>
        <v>14</v>
      </c>
      <c r="J38" s="68" t="s">
        <v>396</v>
      </c>
      <c r="K38" s="55" t="s">
        <v>384</v>
      </c>
      <c r="L38" s="1"/>
      <c r="M38" s="2"/>
      <c r="P38" s="43"/>
      <c r="Q38" s="43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G39" s="2"/>
      <c r="H39" s="89" t="s">
        <v>382</v>
      </c>
      <c r="I39" s="90">
        <f>'Database CirclePro +Mentor Muri'!K33</f>
        <v>13</v>
      </c>
      <c r="J39" s="76" t="s">
        <v>400</v>
      </c>
      <c r="K39" s="110" t="s">
        <v>354</v>
      </c>
      <c r="L39" s="1"/>
      <c r="M39" s="1"/>
      <c r="P39" s="43"/>
      <c r="Q39" s="44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2"/>
      <c r="C40" s="2"/>
      <c r="D40" s="111"/>
      <c r="E40" s="2"/>
      <c r="F40" s="2"/>
      <c r="G40" s="2"/>
      <c r="H40" s="89" t="s">
        <v>403</v>
      </c>
      <c r="I40" s="90">
        <f>'Database CirclePro +Mentor Muri'!K49</f>
        <v>13</v>
      </c>
      <c r="J40" s="76" t="s">
        <v>405</v>
      </c>
      <c r="K40" s="89" t="s">
        <v>406</v>
      </c>
      <c r="L40" s="1"/>
      <c r="M40" s="1"/>
      <c r="N40" s="23"/>
      <c r="O40" s="2"/>
      <c r="P40" s="43"/>
      <c r="Q40" s="43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2"/>
      <c r="C41" s="2"/>
      <c r="D41" s="111"/>
      <c r="E41" s="2"/>
      <c r="F41" s="2"/>
      <c r="G41" s="87"/>
      <c r="H41" s="1" t="s">
        <v>255</v>
      </c>
      <c r="I41" s="1">
        <f>sum(I26:I37)</f>
        <v>245</v>
      </c>
      <c r="J41" s="111"/>
      <c r="K41" s="2"/>
      <c r="L41" s="1"/>
      <c r="N41" s="23"/>
      <c r="O41" s="2"/>
      <c r="P41" s="43"/>
      <c r="Q41" s="43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G42" s="32"/>
      <c r="N42" s="23"/>
      <c r="O42" s="2"/>
      <c r="P42" s="23"/>
      <c r="Q42" s="2"/>
      <c r="R42" s="2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87" t="s">
        <v>411</v>
      </c>
      <c r="C43" s="87"/>
      <c r="D43" s="87"/>
      <c r="E43" s="87"/>
      <c r="F43" s="87"/>
      <c r="H43" s="87"/>
      <c r="I43" s="87"/>
      <c r="J43" s="87"/>
      <c r="K43" s="87"/>
      <c r="L43" s="1"/>
      <c r="O43" s="2"/>
      <c r="P43" s="43"/>
      <c r="Q43" s="43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36" t="s">
        <v>35</v>
      </c>
      <c r="C44" s="38" t="s">
        <v>38</v>
      </c>
      <c r="D44" s="39" t="s">
        <v>41</v>
      </c>
      <c r="E44" s="40" t="s">
        <v>43</v>
      </c>
      <c r="F44" s="88" t="s">
        <v>267</v>
      </c>
      <c r="G44" s="87"/>
      <c r="H44" s="36" t="s">
        <v>47</v>
      </c>
      <c r="I44" s="38" t="s">
        <v>38</v>
      </c>
      <c r="J44" s="42" t="s">
        <v>41</v>
      </c>
      <c r="K44" s="40" t="s">
        <v>43</v>
      </c>
      <c r="L44" s="88" t="s">
        <v>267</v>
      </c>
      <c r="M44" s="1"/>
      <c r="N44" s="2"/>
      <c r="O44" s="2"/>
      <c r="P44" s="43"/>
      <c r="Q44" s="44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89" t="s">
        <v>417</v>
      </c>
      <c r="C45" s="89">
        <v>11.0</v>
      </c>
      <c r="D45" s="112" t="s">
        <v>418</v>
      </c>
      <c r="E45" s="101" t="s">
        <v>377</v>
      </c>
      <c r="F45" s="92">
        <v>0.0</v>
      </c>
      <c r="G45" s="43"/>
      <c r="H45" s="89" t="s">
        <v>417</v>
      </c>
      <c r="I45" s="89">
        <v>25.0</v>
      </c>
      <c r="J45" s="91" t="s">
        <v>421</v>
      </c>
      <c r="K45" s="101" t="s">
        <v>384</v>
      </c>
      <c r="L45" s="92">
        <v>1.0</v>
      </c>
      <c r="M45" s="2"/>
      <c r="N45" s="2"/>
      <c r="O45" s="2"/>
      <c r="P45" s="43"/>
      <c r="Q45" s="44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89" t="s">
        <v>188</v>
      </c>
      <c r="C46" s="89">
        <v>11.0</v>
      </c>
      <c r="D46" s="105"/>
      <c r="E46" s="105"/>
      <c r="F46" s="92">
        <v>1.0</v>
      </c>
      <c r="G46" s="43"/>
      <c r="H46" s="89" t="s">
        <v>188</v>
      </c>
      <c r="I46" s="89">
        <v>25.0</v>
      </c>
      <c r="J46" s="105"/>
      <c r="K46" s="105"/>
      <c r="L46" s="92">
        <v>4.0</v>
      </c>
      <c r="M46" s="1"/>
      <c r="N46" s="2"/>
      <c r="O46" s="2"/>
      <c r="P46" s="43"/>
      <c r="Q46" s="44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89" t="s">
        <v>203</v>
      </c>
      <c r="C47" s="89">
        <v>8.0</v>
      </c>
      <c r="D47" s="105"/>
      <c r="E47" s="105"/>
      <c r="F47" s="92">
        <v>2.0</v>
      </c>
      <c r="G47" s="43"/>
      <c r="H47" s="89" t="s">
        <v>203</v>
      </c>
      <c r="I47" s="89">
        <v>27.0</v>
      </c>
      <c r="J47" s="105"/>
      <c r="K47" s="105"/>
      <c r="L47" s="92">
        <v>1.0</v>
      </c>
      <c r="M47" s="1"/>
      <c r="N47" s="2"/>
      <c r="O47" s="2"/>
      <c r="P47" s="43"/>
      <c r="Q47" s="44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89" t="s">
        <v>211</v>
      </c>
      <c r="C48" s="89">
        <v>8.0</v>
      </c>
      <c r="D48" s="105"/>
      <c r="E48" s="105"/>
      <c r="F48" s="92">
        <v>2.0</v>
      </c>
      <c r="G48" s="43"/>
      <c r="H48" s="89" t="s">
        <v>211</v>
      </c>
      <c r="I48" s="89">
        <v>27.0</v>
      </c>
      <c r="J48" s="105"/>
      <c r="K48" s="105"/>
      <c r="L48" s="92">
        <v>4.0</v>
      </c>
      <c r="M48" s="2"/>
      <c r="N48" s="2"/>
      <c r="O48" s="2"/>
      <c r="P48" s="43"/>
      <c r="Q48" s="44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89" t="s">
        <v>199</v>
      </c>
      <c r="C49" s="89">
        <v>13.0</v>
      </c>
      <c r="D49" s="105"/>
      <c r="E49" s="105"/>
      <c r="F49" s="92">
        <v>1.0</v>
      </c>
      <c r="G49" s="43"/>
      <c r="H49" s="89" t="s">
        <v>412</v>
      </c>
      <c r="I49" s="89">
        <v>27.0</v>
      </c>
      <c r="J49" s="105"/>
      <c r="K49" s="105"/>
      <c r="L49" s="92">
        <v>2.0</v>
      </c>
      <c r="M49" s="2"/>
      <c r="N49" s="2"/>
      <c r="O49" s="2"/>
      <c r="P49" s="43"/>
      <c r="Q49" s="44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89" t="s">
        <v>342</v>
      </c>
      <c r="C50" s="89">
        <v>14.0</v>
      </c>
      <c r="D50" s="105"/>
      <c r="E50" s="105"/>
      <c r="F50" s="92">
        <v>1.0</v>
      </c>
      <c r="G50" s="43"/>
      <c r="H50" s="89" t="s">
        <v>199</v>
      </c>
      <c r="I50" s="89">
        <v>23.0</v>
      </c>
      <c r="J50" s="105"/>
      <c r="K50" s="105"/>
      <c r="L50" s="92">
        <v>5.0</v>
      </c>
      <c r="M50" s="2"/>
      <c r="N50" s="2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89" t="s">
        <v>184</v>
      </c>
      <c r="C51" s="89">
        <v>13.0</v>
      </c>
      <c r="D51" s="105"/>
      <c r="E51" s="105"/>
      <c r="F51" s="92">
        <v>2.0</v>
      </c>
      <c r="G51" s="43"/>
      <c r="H51" s="89" t="s">
        <v>342</v>
      </c>
      <c r="I51" s="89">
        <v>22.0</v>
      </c>
      <c r="J51" s="105"/>
      <c r="K51" s="105"/>
      <c r="L51" s="92">
        <v>3.0</v>
      </c>
      <c r="M51" s="2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89" t="s">
        <v>195</v>
      </c>
      <c r="C52" s="89">
        <v>27.0</v>
      </c>
      <c r="D52" s="105"/>
      <c r="E52" s="105"/>
      <c r="F52" s="92">
        <v>4.0</v>
      </c>
      <c r="G52" s="43"/>
      <c r="H52" s="89" t="s">
        <v>184</v>
      </c>
      <c r="I52" s="89">
        <v>23.0</v>
      </c>
      <c r="J52" s="105"/>
      <c r="K52" s="105"/>
      <c r="L52" s="92">
        <v>3.0</v>
      </c>
      <c r="M52" s="2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89" t="s">
        <v>441</v>
      </c>
      <c r="C53" s="89">
        <v>27.0</v>
      </c>
      <c r="D53" s="105"/>
      <c r="E53" s="105"/>
      <c r="F53" s="92">
        <v>2.0</v>
      </c>
      <c r="G53" s="43"/>
      <c r="H53" s="89" t="s">
        <v>195</v>
      </c>
      <c r="I53" s="89">
        <v>9.0</v>
      </c>
      <c r="J53" s="105"/>
      <c r="K53" s="105"/>
      <c r="L53" s="92">
        <v>2.0</v>
      </c>
      <c r="M53" s="2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89" t="s">
        <v>412</v>
      </c>
      <c r="C54" s="89">
        <v>9.0</v>
      </c>
      <c r="D54" s="105"/>
      <c r="E54" s="105"/>
      <c r="F54" s="92">
        <v>0.0</v>
      </c>
      <c r="G54" s="43"/>
      <c r="H54" s="89" t="s">
        <v>441</v>
      </c>
      <c r="I54" s="89">
        <v>9.0</v>
      </c>
      <c r="J54" s="105"/>
      <c r="K54" s="105"/>
      <c r="L54" s="92">
        <v>0.0</v>
      </c>
      <c r="M54" s="2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89" t="s">
        <v>453</v>
      </c>
      <c r="C55" s="89">
        <v>13.0</v>
      </c>
      <c r="D55" s="105"/>
      <c r="E55" s="105"/>
      <c r="F55" s="92">
        <v>0.0</v>
      </c>
      <c r="G55" s="43"/>
      <c r="H55" s="89" t="s">
        <v>453</v>
      </c>
      <c r="I55" s="89">
        <v>22.0</v>
      </c>
      <c r="J55" s="105"/>
      <c r="K55" s="105"/>
      <c r="L55" s="92">
        <v>1.0</v>
      </c>
      <c r="M55" s="2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89" t="s">
        <v>225</v>
      </c>
      <c r="C56" s="89">
        <v>12.0</v>
      </c>
      <c r="D56" s="105"/>
      <c r="E56" s="105"/>
      <c r="F56" s="92">
        <v>1.0</v>
      </c>
      <c r="G56" s="43"/>
      <c r="H56" s="89" t="s">
        <v>225</v>
      </c>
      <c r="I56" s="89">
        <v>22.0</v>
      </c>
      <c r="J56" s="74"/>
      <c r="K56" s="105"/>
      <c r="L56" s="92">
        <v>3.0</v>
      </c>
      <c r="M56" s="2"/>
      <c r="N56" s="2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89" t="s">
        <v>373</v>
      </c>
      <c r="C57" s="90">
        <f>'Database CirclePro +Mentor Muri'!E51</f>
        <v>16</v>
      </c>
      <c r="D57" s="68" t="s">
        <v>464</v>
      </c>
      <c r="E57" s="55" t="s">
        <v>384</v>
      </c>
      <c r="F57" s="1"/>
      <c r="G57" s="43"/>
      <c r="H57" s="89" t="s">
        <v>373</v>
      </c>
      <c r="I57" s="90">
        <f>'Database CirclePro +Mentor Muri'!K68</f>
        <v>16</v>
      </c>
      <c r="J57" s="68" t="s">
        <v>469</v>
      </c>
      <c r="K57" s="55" t="s">
        <v>384</v>
      </c>
      <c r="L57" s="1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 t="s">
        <v>255</v>
      </c>
      <c r="C58" s="1">
        <f>sum(C45:C56)</f>
        <v>166</v>
      </c>
      <c r="D58" s="16"/>
      <c r="E58" s="1"/>
      <c r="F58" s="1"/>
      <c r="G58" s="1"/>
      <c r="H58" s="89" t="s">
        <v>382</v>
      </c>
      <c r="I58" s="90">
        <f>'Database CirclePro +Mentor Muri'!K87</f>
        <v>16</v>
      </c>
      <c r="J58" s="68" t="s">
        <v>477</v>
      </c>
      <c r="K58" s="55" t="s">
        <v>478</v>
      </c>
      <c r="L58" s="1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F59" s="1"/>
      <c r="G59" s="1"/>
      <c r="H59" s="1" t="s">
        <v>255</v>
      </c>
      <c r="I59" s="1">
        <f>sum(I45:I56)</f>
        <v>261</v>
      </c>
      <c r="J59" s="16"/>
      <c r="K59" s="1"/>
      <c r="L59" s="1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H60" s="1"/>
      <c r="I60" s="1"/>
      <c r="J60" s="16"/>
      <c r="K60" s="1"/>
      <c r="L60" s="1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6"/>
      <c r="E61" s="1"/>
      <c r="F61" s="1"/>
      <c r="G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15" t="s">
        <v>497</v>
      </c>
      <c r="C62" s="18"/>
      <c r="D62" s="18"/>
      <c r="E62" s="19"/>
      <c r="G62" s="2"/>
      <c r="H62" s="2"/>
      <c r="I62" s="2"/>
      <c r="J62" s="111"/>
      <c r="K62" s="2"/>
      <c r="L62" s="1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2"/>
      <c r="C63" s="2"/>
      <c r="D63" s="111"/>
      <c r="E63" s="2"/>
      <c r="F63" s="2"/>
      <c r="G63" s="2"/>
      <c r="H63" s="2"/>
      <c r="I63" s="2"/>
      <c r="J63" s="111"/>
      <c r="K63" s="2"/>
      <c r="L63" s="1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2"/>
      <c r="C64" s="2"/>
      <c r="D64" s="111"/>
      <c r="E64" s="2"/>
      <c r="F64" s="2"/>
      <c r="G64" s="2"/>
      <c r="H64" s="2"/>
      <c r="I64" s="2"/>
      <c r="J64" s="111"/>
      <c r="K64" s="2"/>
      <c r="L64" s="1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2"/>
      <c r="C65" s="2"/>
      <c r="D65" s="111"/>
      <c r="E65" s="2"/>
      <c r="F65" s="2"/>
      <c r="G65" s="2"/>
      <c r="H65" s="2"/>
      <c r="I65" s="2"/>
      <c r="J65" s="111"/>
      <c r="K65" s="2"/>
      <c r="L65" s="1"/>
      <c r="M65" s="1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2"/>
      <c r="C66" s="2"/>
      <c r="D66" s="111"/>
      <c r="E66" s="2"/>
      <c r="F66" s="2"/>
      <c r="G66" s="2"/>
      <c r="H66" s="2"/>
      <c r="I66" s="2"/>
      <c r="J66" s="111"/>
      <c r="K66" s="2"/>
      <c r="L66" s="1"/>
      <c r="M66" s="1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2"/>
      <c r="C67" s="2"/>
      <c r="D67" s="111"/>
      <c r="E67" s="2"/>
      <c r="F67" s="2"/>
      <c r="G67" s="2"/>
      <c r="H67" s="2"/>
      <c r="I67" s="2"/>
      <c r="J67" s="111"/>
      <c r="K67" s="2"/>
      <c r="L67" s="1"/>
      <c r="M67" s="1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2"/>
      <c r="C68" s="2"/>
      <c r="D68" s="111"/>
      <c r="E68" s="2"/>
      <c r="F68" s="2"/>
      <c r="G68" s="2"/>
      <c r="H68" s="2"/>
      <c r="I68" s="2"/>
      <c r="J68" s="111"/>
      <c r="K68" s="2"/>
      <c r="L68" s="1"/>
      <c r="M68" s="1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2"/>
      <c r="C69" s="2"/>
      <c r="D69" s="111"/>
      <c r="E69" s="2"/>
      <c r="F69" s="2"/>
      <c r="G69" s="2"/>
      <c r="H69" s="2"/>
      <c r="I69" s="2"/>
      <c r="J69" s="111"/>
      <c r="K69" s="2"/>
      <c r="L69" s="1"/>
      <c r="M69" s="1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2"/>
      <c r="C70" s="2"/>
      <c r="D70" s="111"/>
      <c r="E70" s="2"/>
      <c r="F70" s="2"/>
      <c r="G70" s="2"/>
      <c r="H70" s="2"/>
      <c r="I70" s="2"/>
      <c r="J70" s="111"/>
      <c r="K70" s="2"/>
      <c r="L70" s="1"/>
      <c r="M70" s="1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43"/>
      <c r="C71" s="1"/>
      <c r="D71" s="16"/>
      <c r="E71" s="1"/>
      <c r="F71" s="1"/>
      <c r="G71" s="1"/>
      <c r="H71" s="1"/>
      <c r="I71" s="1"/>
      <c r="J71" s="16"/>
      <c r="K71" s="1"/>
      <c r="L71" s="1"/>
      <c r="M71" s="1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43"/>
      <c r="C72" s="1"/>
      <c r="D72" s="16"/>
      <c r="E72" s="1"/>
      <c r="F72" s="1"/>
      <c r="G72" s="1"/>
      <c r="H72" s="1"/>
      <c r="I72" s="1"/>
      <c r="J72" s="16"/>
      <c r="K72" s="1"/>
      <c r="L72" s="1"/>
      <c r="M72" s="1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43"/>
      <c r="C73" s="1"/>
      <c r="D73" s="16"/>
      <c r="E73" s="1"/>
      <c r="F73" s="1"/>
      <c r="G73" s="1"/>
      <c r="H73" s="1"/>
      <c r="I73" s="1"/>
      <c r="J73" s="16"/>
      <c r="K73" s="1"/>
      <c r="L73" s="1"/>
      <c r="M73" s="1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43"/>
      <c r="C74" s="1"/>
      <c r="D74" s="16"/>
      <c r="E74" s="1"/>
      <c r="F74" s="1"/>
      <c r="G74" s="1"/>
      <c r="H74" s="1"/>
      <c r="I74" s="1"/>
      <c r="J74" s="16"/>
      <c r="K74" s="1"/>
      <c r="L74" s="1"/>
      <c r="M74" s="1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43"/>
      <c r="C75" s="1"/>
      <c r="D75" s="16"/>
      <c r="E75" s="1"/>
      <c r="F75" s="1"/>
      <c r="G75" s="1"/>
      <c r="H75" s="1"/>
      <c r="I75" s="1"/>
      <c r="J75" s="16"/>
      <c r="K75" s="1"/>
      <c r="L75" s="1"/>
      <c r="M75" s="1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43"/>
      <c r="C76" s="1"/>
      <c r="D76" s="16"/>
      <c r="E76" s="1"/>
      <c r="F76" s="1"/>
      <c r="G76" s="1"/>
      <c r="H76" s="1"/>
      <c r="I76" s="1"/>
      <c r="J76" s="16"/>
      <c r="K76" s="1"/>
      <c r="L76" s="1"/>
      <c r="M76" s="1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6"/>
      <c r="E77" s="1"/>
      <c r="F77" s="1"/>
      <c r="G77" s="1"/>
      <c r="H77" s="1"/>
      <c r="I77" s="1"/>
      <c r="J77" s="16"/>
      <c r="K77" s="1"/>
      <c r="L77" s="1"/>
      <c r="M77" s="1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43"/>
      <c r="C78" s="1"/>
      <c r="D78" s="16"/>
      <c r="E78" s="1"/>
      <c r="F78" s="1"/>
      <c r="G78" s="1"/>
      <c r="H78" s="1"/>
      <c r="I78" s="1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43"/>
      <c r="C79" s="1"/>
      <c r="D79" s="16"/>
      <c r="E79" s="1"/>
      <c r="F79" s="1"/>
      <c r="G79" s="1"/>
      <c r="H79" s="1"/>
      <c r="I79" s="1"/>
      <c r="J79" s="1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43"/>
      <c r="C80" s="1"/>
      <c r="D80" s="16"/>
      <c r="E80" s="1"/>
      <c r="F80" s="1"/>
      <c r="G80" s="1"/>
      <c r="H80" s="1"/>
      <c r="I80" s="1"/>
      <c r="J80" s="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43"/>
      <c r="C81" s="1"/>
      <c r="D81" s="16"/>
      <c r="E81" s="1"/>
      <c r="F81" s="1"/>
      <c r="G81" s="1"/>
      <c r="H81" s="1"/>
      <c r="I81" s="1"/>
      <c r="J81" s="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43"/>
      <c r="C82" s="1"/>
      <c r="D82" s="16"/>
      <c r="E82" s="1"/>
      <c r="F82" s="1"/>
      <c r="G82" s="1"/>
      <c r="H82" s="1"/>
      <c r="I82" s="1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43"/>
      <c r="C83" s="1"/>
      <c r="D83" s="16"/>
      <c r="E83" s="1"/>
      <c r="F83" s="1"/>
      <c r="G83" s="1"/>
      <c r="H83" s="1"/>
      <c r="I83" s="1"/>
      <c r="J83" s="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43"/>
      <c r="C84" s="1"/>
      <c r="D84" s="16"/>
      <c r="E84" s="1"/>
      <c r="F84" s="1"/>
      <c r="G84" s="1"/>
      <c r="H84" s="1"/>
      <c r="I84" s="1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43"/>
      <c r="C85" s="1"/>
      <c r="D85" s="16"/>
      <c r="E85" s="1"/>
      <c r="F85" s="1"/>
      <c r="G85" s="1"/>
      <c r="H85" s="1"/>
      <c r="I85" s="1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43"/>
      <c r="C86" s="1"/>
      <c r="D86" s="16"/>
      <c r="E86" s="1"/>
      <c r="F86" s="1"/>
      <c r="G86" s="1"/>
      <c r="H86" s="1"/>
      <c r="I86" s="1"/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43"/>
      <c r="C87" s="1"/>
      <c r="D87" s="16"/>
      <c r="E87" s="1"/>
      <c r="F87" s="1"/>
      <c r="G87" s="1"/>
      <c r="H87" s="1"/>
      <c r="I87" s="1"/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43"/>
      <c r="C88" s="1"/>
      <c r="D88" s="16"/>
      <c r="E88" s="1"/>
      <c r="F88" s="1"/>
      <c r="G88" s="1"/>
      <c r="H88" s="1"/>
      <c r="I88" s="1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43"/>
      <c r="C89" s="1"/>
      <c r="D89" s="16"/>
      <c r="E89" s="1"/>
      <c r="F89" s="1"/>
      <c r="G89" s="1"/>
      <c r="H89" s="1"/>
      <c r="I89" s="1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43"/>
      <c r="C90" s="1"/>
      <c r="D90" s="16"/>
      <c r="E90" s="1"/>
      <c r="F90" s="1"/>
      <c r="G90" s="1"/>
      <c r="H90" s="1"/>
      <c r="I90" s="1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43"/>
      <c r="C91" s="1"/>
      <c r="D91" s="16"/>
      <c r="E91" s="1"/>
      <c r="F91" s="1"/>
      <c r="G91" s="1"/>
      <c r="H91" s="1"/>
      <c r="I91" s="1"/>
      <c r="J91" s="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43"/>
      <c r="C92" s="1"/>
      <c r="D92" s="16"/>
      <c r="E92" s="1"/>
      <c r="F92" s="1"/>
      <c r="G92" s="1"/>
      <c r="H92" s="1"/>
      <c r="I92" s="1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6"/>
      <c r="E93" s="1"/>
      <c r="F93" s="1"/>
      <c r="G93" s="1"/>
      <c r="H93" s="1"/>
      <c r="I93" s="1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43"/>
      <c r="C94" s="1"/>
      <c r="D94" s="16"/>
      <c r="E94" s="1"/>
      <c r="F94" s="1"/>
      <c r="G94" s="1"/>
      <c r="H94" s="1"/>
      <c r="I94" s="1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43"/>
      <c r="C95" s="1"/>
      <c r="D95" s="16"/>
      <c r="E95" s="1"/>
      <c r="F95" s="1"/>
      <c r="G95" s="1"/>
      <c r="H95" s="1"/>
      <c r="I95" s="1"/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43"/>
      <c r="C96" s="1"/>
      <c r="D96" s="16"/>
      <c r="E96" s="1"/>
      <c r="F96" s="1"/>
      <c r="G96" s="1"/>
      <c r="H96" s="1"/>
      <c r="I96" s="1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43"/>
      <c r="C97" s="1"/>
      <c r="D97" s="16"/>
      <c r="E97" s="1"/>
      <c r="F97" s="1"/>
      <c r="G97" s="1"/>
      <c r="H97" s="1"/>
      <c r="I97" s="1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43"/>
      <c r="C98" s="1"/>
      <c r="D98" s="16"/>
      <c r="E98" s="1"/>
      <c r="F98" s="1"/>
      <c r="G98" s="1"/>
      <c r="H98" s="1"/>
      <c r="I98" s="1"/>
      <c r="J98" s="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43"/>
      <c r="C99" s="1"/>
      <c r="D99" s="16"/>
      <c r="E99" s="1"/>
      <c r="F99" s="1"/>
      <c r="G99" s="1"/>
      <c r="H99" s="1"/>
      <c r="I99" s="1"/>
      <c r="J99" s="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43"/>
      <c r="C100" s="1"/>
      <c r="D100" s="16"/>
      <c r="E100" s="1"/>
      <c r="F100" s="1"/>
      <c r="G100" s="1"/>
      <c r="H100" s="1"/>
      <c r="I100" s="1"/>
      <c r="J100" s="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43"/>
      <c r="C101" s="1"/>
      <c r="D101" s="16"/>
      <c r="E101" s="1"/>
      <c r="F101" s="1"/>
      <c r="G101" s="1"/>
      <c r="H101" s="1"/>
      <c r="I101" s="1"/>
      <c r="J101" s="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43"/>
      <c r="C102" s="1"/>
      <c r="D102" s="16"/>
      <c r="E102" s="1"/>
      <c r="F102" s="1"/>
      <c r="G102" s="1"/>
      <c r="H102" s="1"/>
      <c r="I102" s="1"/>
      <c r="J102" s="1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43"/>
      <c r="C103" s="1"/>
      <c r="D103" s="16"/>
      <c r="E103" s="1"/>
      <c r="F103" s="1"/>
      <c r="G103" s="1"/>
      <c r="H103" s="1"/>
      <c r="I103" s="1"/>
      <c r="J103" s="1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43"/>
      <c r="C104" s="1"/>
      <c r="D104" s="16"/>
      <c r="E104" s="1"/>
      <c r="F104" s="1"/>
      <c r="G104" s="1"/>
      <c r="H104" s="1"/>
      <c r="I104" s="1"/>
      <c r="J104" s="1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43"/>
      <c r="C105" s="1"/>
      <c r="D105" s="16"/>
      <c r="E105" s="1"/>
      <c r="F105" s="1"/>
      <c r="G105" s="1"/>
      <c r="H105" s="1"/>
      <c r="I105" s="1"/>
      <c r="J105" s="1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43"/>
      <c r="C106" s="1"/>
      <c r="D106" s="16"/>
      <c r="E106" s="1"/>
      <c r="F106" s="1"/>
      <c r="G106" s="1"/>
      <c r="H106" s="1"/>
      <c r="I106" s="1"/>
      <c r="J106" s="1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43"/>
      <c r="C107" s="1"/>
      <c r="D107" s="16"/>
      <c r="E107" s="1"/>
      <c r="F107" s="1"/>
      <c r="G107" s="1"/>
      <c r="H107" s="1"/>
      <c r="I107" s="1"/>
      <c r="J107" s="1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43"/>
      <c r="C108" s="1"/>
      <c r="D108" s="16"/>
      <c r="E108" s="1"/>
      <c r="F108" s="1"/>
      <c r="G108" s="1"/>
      <c r="H108" s="1"/>
      <c r="I108" s="1"/>
      <c r="J108" s="1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6"/>
      <c r="E109" s="1"/>
      <c r="F109" s="1"/>
      <c r="G109" s="1"/>
      <c r="H109" s="1"/>
      <c r="I109" s="1"/>
      <c r="J109" s="1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6"/>
      <c r="E110" s="1"/>
      <c r="F110" s="1"/>
      <c r="G110" s="1"/>
      <c r="H110" s="1"/>
      <c r="I110" s="1"/>
      <c r="J110" s="1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6"/>
      <c r="E111" s="1"/>
      <c r="F111" s="1"/>
      <c r="G111" s="1"/>
      <c r="H111" s="1"/>
      <c r="I111" s="1"/>
      <c r="J111" s="1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6"/>
      <c r="E112" s="1"/>
      <c r="F112" s="1"/>
      <c r="G112" s="1"/>
      <c r="H112" s="1"/>
      <c r="I112" s="1"/>
      <c r="J112" s="1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6"/>
      <c r="E113" s="1"/>
      <c r="F113" s="1"/>
      <c r="G113" s="1"/>
      <c r="H113" s="1"/>
      <c r="I113" s="1"/>
      <c r="J113" s="1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6"/>
      <c r="E114" s="1"/>
      <c r="F114" s="1"/>
      <c r="G114" s="1"/>
      <c r="H114" s="1"/>
      <c r="I114" s="1"/>
      <c r="J114" s="1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6"/>
      <c r="E115" s="1"/>
      <c r="F115" s="1"/>
      <c r="G115" s="1"/>
      <c r="H115" s="1"/>
      <c r="I115" s="1"/>
      <c r="J115" s="1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6"/>
      <c r="E116" s="1"/>
      <c r="F116" s="1"/>
      <c r="G116" s="1"/>
      <c r="H116" s="1"/>
      <c r="I116" s="1"/>
      <c r="J116" s="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6"/>
      <c r="E117" s="1"/>
      <c r="F117" s="1"/>
      <c r="G117" s="1"/>
      <c r="H117" s="1"/>
      <c r="I117" s="1"/>
      <c r="J117" s="1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6"/>
      <c r="E118" s="1"/>
      <c r="F118" s="1"/>
      <c r="G118" s="1"/>
      <c r="H118" s="1"/>
      <c r="I118" s="1"/>
      <c r="J118" s="1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6"/>
      <c r="E119" s="1"/>
      <c r="F119" s="1"/>
      <c r="G119" s="1"/>
      <c r="H119" s="1"/>
      <c r="I119" s="1"/>
      <c r="J119" s="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6"/>
      <c r="E120" s="1"/>
      <c r="F120" s="1"/>
      <c r="G120" s="1"/>
      <c r="H120" s="1"/>
      <c r="I120" s="1"/>
      <c r="J120" s="1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6"/>
      <c r="E121" s="1"/>
      <c r="F121" s="1"/>
      <c r="G121" s="1"/>
      <c r="H121" s="1"/>
      <c r="I121" s="1"/>
      <c r="J121" s="1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6"/>
      <c r="E122" s="1"/>
      <c r="F122" s="1"/>
      <c r="G122" s="1"/>
      <c r="H122" s="1"/>
      <c r="I122" s="1"/>
      <c r="J122" s="1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6"/>
      <c r="E123" s="1"/>
      <c r="F123" s="1"/>
      <c r="G123" s="1"/>
      <c r="H123" s="1"/>
      <c r="I123" s="1"/>
      <c r="J123" s="1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6"/>
      <c r="E124" s="1"/>
      <c r="F124" s="1"/>
      <c r="G124" s="1"/>
      <c r="H124" s="1"/>
      <c r="I124" s="1"/>
      <c r="J124" s="1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6"/>
      <c r="E125" s="1"/>
      <c r="F125" s="1"/>
      <c r="G125" s="1"/>
      <c r="H125" s="1"/>
      <c r="I125" s="1"/>
      <c r="J125" s="1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6"/>
      <c r="E126" s="1"/>
      <c r="F126" s="1"/>
      <c r="G126" s="1"/>
      <c r="H126" s="1"/>
      <c r="I126" s="1"/>
      <c r="J126" s="1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6"/>
      <c r="E127" s="1"/>
      <c r="F127" s="1"/>
      <c r="G127" s="1"/>
      <c r="H127" s="1"/>
      <c r="I127" s="1"/>
      <c r="J127" s="1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6"/>
      <c r="E128" s="1"/>
      <c r="F128" s="1"/>
      <c r="G128" s="1"/>
      <c r="H128" s="1"/>
      <c r="I128" s="1"/>
      <c r="J128" s="1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6"/>
      <c r="E129" s="1"/>
      <c r="F129" s="1"/>
      <c r="G129" s="1"/>
      <c r="H129" s="1"/>
      <c r="I129" s="1"/>
      <c r="J129" s="1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6"/>
      <c r="E130" s="1"/>
      <c r="F130" s="1"/>
      <c r="G130" s="1"/>
      <c r="H130" s="1"/>
      <c r="I130" s="1"/>
      <c r="J130" s="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6"/>
      <c r="E131" s="1"/>
      <c r="F131" s="1"/>
      <c r="G131" s="1"/>
      <c r="H131" s="1"/>
      <c r="I131" s="1"/>
      <c r="J131" s="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6"/>
      <c r="E132" s="1"/>
      <c r="F132" s="1"/>
      <c r="G132" s="1"/>
      <c r="H132" s="1"/>
      <c r="I132" s="1"/>
      <c r="J132" s="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6"/>
      <c r="E133" s="1"/>
      <c r="F133" s="1"/>
      <c r="G133" s="1"/>
      <c r="H133" s="1"/>
      <c r="I133" s="1"/>
      <c r="J133" s="1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6"/>
      <c r="E134" s="1"/>
      <c r="F134" s="1"/>
      <c r="G134" s="1"/>
      <c r="H134" s="1"/>
      <c r="I134" s="1"/>
      <c r="J134" s="1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6"/>
      <c r="E135" s="1"/>
      <c r="F135" s="1"/>
      <c r="G135" s="1"/>
      <c r="H135" s="1"/>
      <c r="I135" s="1"/>
      <c r="J135" s="1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6"/>
      <c r="E136" s="1"/>
      <c r="F136" s="1"/>
      <c r="G136" s="1"/>
      <c r="H136" s="1"/>
      <c r="I136" s="1"/>
      <c r="J136" s="1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6"/>
      <c r="E137" s="1"/>
      <c r="F137" s="1"/>
      <c r="G137" s="1"/>
      <c r="H137" s="1"/>
      <c r="I137" s="1"/>
      <c r="J137" s="1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6"/>
      <c r="E138" s="1"/>
      <c r="F138" s="1"/>
      <c r="G138" s="1"/>
      <c r="H138" s="1"/>
      <c r="I138" s="1"/>
      <c r="J138" s="1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6"/>
      <c r="E139" s="1"/>
      <c r="F139" s="1"/>
      <c r="G139" s="1"/>
      <c r="H139" s="1"/>
      <c r="I139" s="1"/>
      <c r="J139" s="1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6"/>
      <c r="E140" s="1"/>
      <c r="F140" s="1"/>
      <c r="G140" s="1"/>
      <c r="H140" s="1"/>
      <c r="I140" s="1"/>
      <c r="J140" s="1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6"/>
      <c r="E141" s="1"/>
      <c r="F141" s="1"/>
      <c r="G141" s="1"/>
      <c r="H141" s="1"/>
      <c r="I141" s="1"/>
      <c r="J141" s="1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6"/>
      <c r="E142" s="1"/>
      <c r="F142" s="1"/>
      <c r="G142" s="1"/>
      <c r="H142" s="1"/>
      <c r="I142" s="1"/>
      <c r="J142" s="1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6"/>
      <c r="E143" s="1"/>
      <c r="F143" s="1"/>
      <c r="G143" s="1"/>
      <c r="H143" s="1"/>
      <c r="I143" s="1"/>
      <c r="J143" s="1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6"/>
      <c r="E144" s="1"/>
      <c r="F144" s="1"/>
      <c r="G144" s="1"/>
      <c r="H144" s="1"/>
      <c r="I144" s="1"/>
      <c r="J144" s="1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6"/>
      <c r="E145" s="1"/>
      <c r="F145" s="1"/>
      <c r="G145" s="1"/>
      <c r="H145" s="1"/>
      <c r="I145" s="1"/>
      <c r="J145" s="1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6"/>
      <c r="E146" s="1"/>
      <c r="F146" s="1"/>
      <c r="G146" s="1"/>
      <c r="H146" s="1"/>
      <c r="I146" s="1"/>
      <c r="J146" s="1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6"/>
      <c r="E147" s="1"/>
      <c r="F147" s="1"/>
      <c r="G147" s="1"/>
      <c r="H147" s="1"/>
      <c r="I147" s="1"/>
      <c r="J147" s="1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6"/>
      <c r="E148" s="1"/>
      <c r="F148" s="1"/>
      <c r="G148" s="1"/>
      <c r="H148" s="1"/>
      <c r="I148" s="1"/>
      <c r="J148" s="1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6"/>
      <c r="E149" s="1"/>
      <c r="F149" s="1"/>
      <c r="G149" s="1"/>
      <c r="H149" s="1"/>
      <c r="I149" s="1"/>
      <c r="J149" s="1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6"/>
      <c r="E150" s="1"/>
      <c r="F150" s="1"/>
      <c r="G150" s="1"/>
      <c r="H150" s="1"/>
      <c r="I150" s="1"/>
      <c r="J150" s="1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6"/>
      <c r="E151" s="1"/>
      <c r="F151" s="1"/>
      <c r="G151" s="1"/>
      <c r="H151" s="1"/>
      <c r="I151" s="1"/>
      <c r="J151" s="1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6"/>
      <c r="E152" s="1"/>
      <c r="F152" s="1"/>
      <c r="G152" s="1"/>
      <c r="H152" s="1"/>
      <c r="I152" s="1"/>
      <c r="J152" s="1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6"/>
      <c r="E153" s="1"/>
      <c r="F153" s="1"/>
      <c r="G153" s="1"/>
      <c r="H153" s="1"/>
      <c r="I153" s="1"/>
      <c r="J153" s="1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6"/>
      <c r="E154" s="1"/>
      <c r="F154" s="1"/>
      <c r="G154" s="1"/>
      <c r="H154" s="1"/>
      <c r="I154" s="1"/>
      <c r="J154" s="1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6"/>
      <c r="E155" s="1"/>
      <c r="F155" s="1"/>
      <c r="G155" s="1"/>
      <c r="H155" s="1"/>
      <c r="I155" s="1"/>
      <c r="J155" s="1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6"/>
      <c r="E156" s="1"/>
      <c r="F156" s="1"/>
      <c r="G156" s="1"/>
      <c r="H156" s="1"/>
      <c r="I156" s="1"/>
      <c r="J156" s="1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6"/>
      <c r="E157" s="1"/>
      <c r="F157" s="1"/>
      <c r="G157" s="1"/>
      <c r="H157" s="1"/>
      <c r="I157" s="1"/>
      <c r="J157" s="1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6"/>
      <c r="E158" s="1"/>
      <c r="F158" s="1"/>
      <c r="G158" s="1"/>
      <c r="H158" s="1"/>
      <c r="I158" s="1"/>
      <c r="J158" s="1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6"/>
      <c r="E159" s="1"/>
      <c r="F159" s="1"/>
      <c r="G159" s="1"/>
      <c r="H159" s="1"/>
      <c r="I159" s="1"/>
      <c r="J159" s="1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6"/>
      <c r="E160" s="1"/>
      <c r="F160" s="1"/>
      <c r="G160" s="1"/>
      <c r="H160" s="1"/>
      <c r="I160" s="1"/>
      <c r="J160" s="1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6"/>
      <c r="E161" s="1"/>
      <c r="F161" s="1"/>
      <c r="G161" s="1"/>
      <c r="H161" s="1"/>
      <c r="I161" s="1"/>
      <c r="J161" s="1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6"/>
      <c r="E162" s="1"/>
      <c r="F162" s="1"/>
      <c r="G162" s="1"/>
      <c r="H162" s="1"/>
      <c r="I162" s="1"/>
      <c r="J162" s="1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6"/>
      <c r="E163" s="1"/>
      <c r="F163" s="1"/>
      <c r="G163" s="1"/>
      <c r="H163" s="1"/>
      <c r="I163" s="1"/>
      <c r="J163" s="1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6"/>
      <c r="E164" s="1"/>
      <c r="F164" s="1"/>
      <c r="G164" s="1"/>
      <c r="H164" s="1"/>
      <c r="I164" s="1"/>
      <c r="J164" s="1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6"/>
      <c r="E165" s="1"/>
      <c r="F165" s="1"/>
      <c r="G165" s="1"/>
      <c r="H165" s="1"/>
      <c r="I165" s="1"/>
      <c r="J165" s="1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6"/>
      <c r="E166" s="1"/>
      <c r="F166" s="1"/>
      <c r="G166" s="1"/>
      <c r="H166" s="1"/>
      <c r="I166" s="1"/>
      <c r="J166" s="1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6"/>
      <c r="E167" s="1"/>
      <c r="F167" s="1"/>
      <c r="G167" s="1"/>
      <c r="H167" s="1"/>
      <c r="I167" s="1"/>
      <c r="J167" s="1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6"/>
      <c r="E168" s="1"/>
      <c r="F168" s="1"/>
      <c r="G168" s="1"/>
      <c r="H168" s="1"/>
      <c r="I168" s="1"/>
      <c r="J168" s="1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6"/>
      <c r="E169" s="1"/>
      <c r="F169" s="1"/>
      <c r="G169" s="1"/>
      <c r="H169" s="1"/>
      <c r="I169" s="1"/>
      <c r="J169" s="1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6"/>
      <c r="E170" s="1"/>
      <c r="F170" s="1"/>
      <c r="G170" s="1"/>
      <c r="H170" s="1"/>
      <c r="I170" s="1"/>
      <c r="J170" s="1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6"/>
      <c r="E171" s="1"/>
      <c r="F171" s="1"/>
      <c r="G171" s="1"/>
      <c r="H171" s="1"/>
      <c r="I171" s="1"/>
      <c r="J171" s="1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6"/>
      <c r="E172" s="1"/>
      <c r="F172" s="1"/>
      <c r="G172" s="1"/>
      <c r="H172" s="1"/>
      <c r="I172" s="1"/>
      <c r="J172" s="1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6"/>
      <c r="E173" s="1"/>
      <c r="F173" s="1"/>
      <c r="G173" s="1"/>
      <c r="H173" s="1"/>
      <c r="I173" s="1"/>
      <c r="J173" s="1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6"/>
      <c r="E174" s="1"/>
      <c r="F174" s="1"/>
      <c r="G174" s="1"/>
      <c r="H174" s="1"/>
      <c r="I174" s="1"/>
      <c r="J174" s="1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6"/>
      <c r="E175" s="1"/>
      <c r="F175" s="1"/>
      <c r="G175" s="1"/>
      <c r="H175" s="1"/>
      <c r="I175" s="1"/>
      <c r="J175" s="1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6"/>
      <c r="E176" s="1"/>
      <c r="F176" s="1"/>
      <c r="G176" s="1"/>
      <c r="H176" s="1"/>
      <c r="I176" s="1"/>
      <c r="J176" s="1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6"/>
      <c r="E177" s="1"/>
      <c r="F177" s="1"/>
      <c r="G177" s="1"/>
      <c r="H177" s="1"/>
      <c r="I177" s="1"/>
      <c r="J177" s="1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6"/>
      <c r="E178" s="1"/>
      <c r="F178" s="1"/>
      <c r="G178" s="1"/>
      <c r="H178" s="1"/>
      <c r="I178" s="1"/>
      <c r="J178" s="1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6"/>
      <c r="E179" s="1"/>
      <c r="F179" s="1"/>
      <c r="G179" s="1"/>
      <c r="H179" s="1"/>
      <c r="I179" s="1"/>
      <c r="J179" s="1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6"/>
      <c r="E180" s="1"/>
      <c r="F180" s="1"/>
      <c r="G180" s="1"/>
      <c r="H180" s="1"/>
      <c r="I180" s="1"/>
      <c r="J180" s="1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6"/>
      <c r="E181" s="1"/>
      <c r="F181" s="1"/>
      <c r="G181" s="1"/>
      <c r="H181" s="1"/>
      <c r="I181" s="1"/>
      <c r="J181" s="1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6"/>
      <c r="E182" s="1"/>
      <c r="F182" s="1"/>
      <c r="G182" s="1"/>
      <c r="H182" s="1"/>
      <c r="I182" s="1"/>
      <c r="J182" s="1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6"/>
      <c r="E183" s="1"/>
      <c r="F183" s="1"/>
      <c r="G183" s="1"/>
      <c r="H183" s="1"/>
      <c r="I183" s="1"/>
      <c r="J183" s="1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6"/>
      <c r="E184" s="1"/>
      <c r="F184" s="1"/>
      <c r="G184" s="1"/>
      <c r="H184" s="1"/>
      <c r="I184" s="1"/>
      <c r="J184" s="1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6"/>
      <c r="E185" s="1"/>
      <c r="F185" s="1"/>
      <c r="G185" s="1"/>
      <c r="H185" s="1"/>
      <c r="I185" s="1"/>
      <c r="J185" s="1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6"/>
      <c r="E186" s="1"/>
      <c r="F186" s="1"/>
      <c r="G186" s="1"/>
      <c r="H186" s="1"/>
      <c r="I186" s="1"/>
      <c r="J186" s="1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6"/>
      <c r="E187" s="1"/>
      <c r="F187" s="1"/>
      <c r="G187" s="1"/>
      <c r="H187" s="1"/>
      <c r="I187" s="1"/>
      <c r="J187" s="1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6"/>
      <c r="E188" s="1"/>
      <c r="F188" s="1"/>
      <c r="G188" s="1"/>
      <c r="H188" s="1"/>
      <c r="I188" s="1"/>
      <c r="J188" s="1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6"/>
      <c r="E189" s="1"/>
      <c r="F189" s="1"/>
      <c r="G189" s="1"/>
      <c r="H189" s="1"/>
      <c r="I189" s="1"/>
      <c r="J189" s="1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6"/>
      <c r="E190" s="1"/>
      <c r="F190" s="1"/>
      <c r="G190" s="1"/>
      <c r="H190" s="1"/>
      <c r="I190" s="1"/>
      <c r="J190" s="1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6"/>
      <c r="E191" s="1"/>
      <c r="F191" s="1"/>
      <c r="G191" s="1"/>
      <c r="H191" s="1"/>
      <c r="I191" s="1"/>
      <c r="J191" s="1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6"/>
      <c r="E192" s="1"/>
      <c r="F192" s="1"/>
      <c r="G192" s="1"/>
      <c r="H192" s="1"/>
      <c r="I192" s="1"/>
      <c r="J192" s="1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6"/>
      <c r="E193" s="1"/>
      <c r="F193" s="1"/>
      <c r="G193" s="1"/>
      <c r="H193" s="1"/>
      <c r="I193" s="1"/>
      <c r="J193" s="1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6"/>
      <c r="E194" s="1"/>
      <c r="F194" s="1"/>
      <c r="G194" s="1"/>
      <c r="H194" s="1"/>
      <c r="I194" s="1"/>
      <c r="J194" s="1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6"/>
      <c r="E195" s="1"/>
      <c r="F195" s="1"/>
      <c r="G195" s="1"/>
      <c r="H195" s="1"/>
      <c r="I195" s="1"/>
      <c r="J195" s="1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6"/>
      <c r="E196" s="1"/>
      <c r="F196" s="1"/>
      <c r="G196" s="1"/>
      <c r="H196" s="1"/>
      <c r="I196" s="1"/>
      <c r="J196" s="1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6"/>
      <c r="E197" s="1"/>
      <c r="F197" s="1"/>
      <c r="G197" s="1"/>
      <c r="H197" s="1"/>
      <c r="I197" s="1"/>
      <c r="J197" s="1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6"/>
      <c r="E198" s="1"/>
      <c r="F198" s="1"/>
      <c r="G198" s="1"/>
      <c r="H198" s="1"/>
      <c r="I198" s="1"/>
      <c r="J198" s="1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6"/>
      <c r="E199" s="1"/>
      <c r="F199" s="1"/>
      <c r="G199" s="1"/>
      <c r="H199" s="1"/>
      <c r="I199" s="1"/>
      <c r="J199" s="1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6"/>
      <c r="E200" s="1"/>
      <c r="F200" s="1"/>
      <c r="G200" s="1"/>
      <c r="H200" s="1"/>
      <c r="I200" s="1"/>
      <c r="J200" s="1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6"/>
      <c r="E201" s="1"/>
      <c r="F201" s="1"/>
      <c r="G201" s="1"/>
      <c r="H201" s="1"/>
      <c r="I201" s="1"/>
      <c r="J201" s="1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6"/>
      <c r="E202" s="1"/>
      <c r="F202" s="1"/>
      <c r="G202" s="1"/>
      <c r="H202" s="1"/>
      <c r="I202" s="1"/>
      <c r="J202" s="1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6"/>
      <c r="E203" s="1"/>
      <c r="F203" s="1"/>
      <c r="G203" s="1"/>
      <c r="H203" s="1"/>
      <c r="I203" s="1"/>
      <c r="J203" s="1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6"/>
      <c r="E204" s="1"/>
      <c r="F204" s="1"/>
      <c r="G204" s="1"/>
      <c r="H204" s="1"/>
      <c r="I204" s="1"/>
      <c r="J204" s="1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6"/>
      <c r="E205" s="1"/>
      <c r="F205" s="1"/>
      <c r="G205" s="1"/>
      <c r="H205" s="1"/>
      <c r="I205" s="1"/>
      <c r="J205" s="1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6"/>
      <c r="E206" s="1"/>
      <c r="F206" s="1"/>
      <c r="G206" s="1"/>
      <c r="H206" s="1"/>
      <c r="I206" s="1"/>
      <c r="J206" s="1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6"/>
      <c r="E207" s="1"/>
      <c r="F207" s="1"/>
      <c r="G207" s="1"/>
      <c r="H207" s="1"/>
      <c r="I207" s="1"/>
      <c r="J207" s="1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6"/>
      <c r="E208" s="1"/>
      <c r="F208" s="1"/>
      <c r="G208" s="1"/>
      <c r="H208" s="1"/>
      <c r="I208" s="1"/>
      <c r="J208" s="1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6"/>
      <c r="E209" s="1"/>
      <c r="F209" s="1"/>
      <c r="G209" s="1"/>
      <c r="H209" s="1"/>
      <c r="I209" s="1"/>
      <c r="J209" s="1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6"/>
      <c r="E210" s="1"/>
      <c r="F210" s="1"/>
      <c r="G210" s="1"/>
      <c r="H210" s="1"/>
      <c r="I210" s="1"/>
      <c r="J210" s="1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6"/>
      <c r="E211" s="1"/>
      <c r="F211" s="1"/>
      <c r="G211" s="1"/>
      <c r="H211" s="1"/>
      <c r="I211" s="1"/>
      <c r="J211" s="1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6"/>
      <c r="E212" s="1"/>
      <c r="F212" s="1"/>
      <c r="G212" s="1"/>
      <c r="H212" s="1"/>
      <c r="I212" s="1"/>
      <c r="J212" s="1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6"/>
      <c r="E213" s="1"/>
      <c r="F213" s="1"/>
      <c r="G213" s="1"/>
      <c r="H213" s="1"/>
      <c r="I213" s="1"/>
      <c r="J213" s="1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6"/>
      <c r="E214" s="1"/>
      <c r="F214" s="1"/>
      <c r="G214" s="1"/>
      <c r="H214" s="1"/>
      <c r="I214" s="1"/>
      <c r="J214" s="1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6"/>
      <c r="E215" s="1"/>
      <c r="F215" s="1"/>
      <c r="G215" s="1"/>
      <c r="H215" s="1"/>
      <c r="I215" s="1"/>
      <c r="J215" s="1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6"/>
      <c r="E216" s="1"/>
      <c r="F216" s="1"/>
      <c r="G216" s="1"/>
      <c r="H216" s="1"/>
      <c r="I216" s="1"/>
      <c r="J216" s="1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6"/>
      <c r="E217" s="1"/>
      <c r="F217" s="1"/>
      <c r="G217" s="1"/>
      <c r="H217" s="1"/>
      <c r="I217" s="1"/>
      <c r="J217" s="1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6"/>
      <c r="E218" s="1"/>
      <c r="F218" s="1"/>
      <c r="G218" s="1"/>
      <c r="H218" s="1"/>
      <c r="I218" s="1"/>
      <c r="J218" s="1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6"/>
      <c r="E219" s="1"/>
      <c r="F219" s="1"/>
      <c r="G219" s="1"/>
      <c r="H219" s="1"/>
      <c r="I219" s="1"/>
      <c r="J219" s="1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6"/>
      <c r="E220" s="1"/>
      <c r="F220" s="1"/>
      <c r="G220" s="1"/>
      <c r="H220" s="1"/>
      <c r="I220" s="1"/>
      <c r="J220" s="1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6"/>
      <c r="E221" s="1"/>
      <c r="F221" s="1"/>
      <c r="G221" s="1"/>
      <c r="H221" s="1"/>
      <c r="I221" s="1"/>
      <c r="J221" s="1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6"/>
      <c r="E222" s="1"/>
      <c r="F222" s="1"/>
      <c r="G222" s="1"/>
      <c r="H222" s="1"/>
      <c r="I222" s="1"/>
      <c r="J222" s="1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6"/>
      <c r="E223" s="1"/>
      <c r="F223" s="1"/>
      <c r="G223" s="1"/>
      <c r="H223" s="1"/>
      <c r="I223" s="1"/>
      <c r="J223" s="1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6"/>
      <c r="E224" s="1"/>
      <c r="F224" s="1"/>
      <c r="G224" s="1"/>
      <c r="H224" s="1"/>
      <c r="I224" s="1"/>
      <c r="J224" s="1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6"/>
      <c r="E225" s="1"/>
      <c r="F225" s="1"/>
      <c r="G225" s="1"/>
      <c r="H225" s="1"/>
      <c r="I225" s="1"/>
      <c r="J225" s="1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6"/>
      <c r="E226" s="1"/>
      <c r="F226" s="1"/>
      <c r="G226" s="1"/>
      <c r="H226" s="1"/>
      <c r="I226" s="1"/>
      <c r="J226" s="1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6"/>
      <c r="E227" s="1"/>
      <c r="F227" s="1"/>
      <c r="G227" s="1"/>
      <c r="H227" s="1"/>
      <c r="I227" s="1"/>
      <c r="J227" s="1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6"/>
      <c r="E228" s="1"/>
      <c r="F228" s="1"/>
      <c r="G228" s="1"/>
      <c r="H228" s="1"/>
      <c r="I228" s="1"/>
      <c r="J228" s="1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6"/>
      <c r="E229" s="1"/>
      <c r="F229" s="1"/>
      <c r="G229" s="1"/>
      <c r="H229" s="1"/>
      <c r="I229" s="1"/>
      <c r="J229" s="1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6"/>
      <c r="E230" s="1"/>
      <c r="F230" s="1"/>
      <c r="G230" s="1"/>
      <c r="H230" s="1"/>
      <c r="I230" s="1"/>
      <c r="J230" s="1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6"/>
      <c r="E231" s="1"/>
      <c r="F231" s="1"/>
      <c r="G231" s="1"/>
      <c r="H231" s="1"/>
      <c r="I231" s="1"/>
      <c r="J231" s="1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6"/>
      <c r="E232" s="1"/>
      <c r="F232" s="1"/>
      <c r="G232" s="1"/>
      <c r="H232" s="1"/>
      <c r="I232" s="1"/>
      <c r="J232" s="1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6"/>
      <c r="E233" s="1"/>
      <c r="F233" s="1"/>
      <c r="G233" s="1"/>
      <c r="H233" s="1"/>
      <c r="I233" s="1"/>
      <c r="J233" s="1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6"/>
      <c r="E234" s="1"/>
      <c r="F234" s="1"/>
      <c r="G234" s="1"/>
      <c r="H234" s="1"/>
      <c r="I234" s="1"/>
      <c r="J234" s="1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6"/>
      <c r="E235" s="1"/>
      <c r="F235" s="1"/>
      <c r="G235" s="1"/>
      <c r="H235" s="1"/>
      <c r="I235" s="1"/>
      <c r="J235" s="1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6"/>
      <c r="E236" s="1"/>
      <c r="F236" s="1"/>
      <c r="G236" s="1"/>
      <c r="H236" s="1"/>
      <c r="I236" s="1"/>
      <c r="J236" s="1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6"/>
      <c r="E237" s="1"/>
      <c r="F237" s="1"/>
      <c r="G237" s="1"/>
      <c r="H237" s="1"/>
      <c r="I237" s="1"/>
      <c r="J237" s="1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6"/>
      <c r="E238" s="1"/>
      <c r="F238" s="1"/>
      <c r="G238" s="1"/>
      <c r="H238" s="1"/>
      <c r="I238" s="1"/>
      <c r="J238" s="1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6"/>
      <c r="E239" s="1"/>
      <c r="F239" s="1"/>
      <c r="G239" s="1"/>
      <c r="H239" s="1"/>
      <c r="I239" s="1"/>
      <c r="J239" s="1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6"/>
      <c r="E240" s="1"/>
      <c r="F240" s="1"/>
      <c r="G240" s="1"/>
      <c r="H240" s="1"/>
      <c r="I240" s="1"/>
      <c r="J240" s="1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6"/>
      <c r="E241" s="1"/>
      <c r="F241" s="1"/>
      <c r="G241" s="1"/>
      <c r="H241" s="1"/>
      <c r="I241" s="1"/>
      <c r="J241" s="1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6"/>
      <c r="E242" s="1"/>
      <c r="F242" s="1"/>
      <c r="G242" s="1"/>
      <c r="H242" s="1"/>
      <c r="I242" s="1"/>
      <c r="J242" s="1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6"/>
      <c r="E243" s="1"/>
      <c r="F243" s="1"/>
      <c r="G243" s="1"/>
      <c r="H243" s="1"/>
      <c r="I243" s="1"/>
      <c r="J243" s="1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6"/>
      <c r="E244" s="1"/>
      <c r="F244" s="1"/>
      <c r="G244" s="1"/>
      <c r="H244" s="1"/>
      <c r="I244" s="1"/>
      <c r="J244" s="1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6"/>
      <c r="E245" s="1"/>
      <c r="F245" s="1"/>
      <c r="G245" s="1"/>
      <c r="H245" s="1"/>
      <c r="I245" s="1"/>
      <c r="J245" s="1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6"/>
      <c r="E246" s="1"/>
      <c r="F246" s="1"/>
      <c r="G246" s="1"/>
      <c r="H246" s="1"/>
      <c r="I246" s="1"/>
      <c r="J246" s="1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6"/>
      <c r="E247" s="1"/>
      <c r="F247" s="1"/>
      <c r="G247" s="1"/>
      <c r="H247" s="1"/>
      <c r="I247" s="1"/>
      <c r="J247" s="1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6"/>
      <c r="E248" s="1"/>
      <c r="F248" s="1"/>
      <c r="G248" s="1"/>
      <c r="H248" s="1"/>
      <c r="I248" s="1"/>
      <c r="J248" s="1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6"/>
      <c r="E249" s="1"/>
      <c r="F249" s="1"/>
      <c r="G249" s="1"/>
      <c r="H249" s="1"/>
      <c r="I249" s="1"/>
      <c r="J249" s="1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6"/>
      <c r="E250" s="1"/>
      <c r="F250" s="1"/>
      <c r="G250" s="1"/>
      <c r="H250" s="1"/>
      <c r="I250" s="1"/>
      <c r="J250" s="1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6"/>
      <c r="E251" s="1"/>
      <c r="F251" s="1"/>
      <c r="G251" s="1"/>
      <c r="H251" s="1"/>
      <c r="I251" s="1"/>
      <c r="J251" s="1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6"/>
      <c r="E252" s="1"/>
      <c r="F252" s="1"/>
      <c r="G252" s="1"/>
      <c r="H252" s="1"/>
      <c r="I252" s="1"/>
      <c r="J252" s="1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6"/>
      <c r="E253" s="1"/>
      <c r="F253" s="1"/>
      <c r="G253" s="1"/>
      <c r="H253" s="1"/>
      <c r="I253" s="1"/>
      <c r="J253" s="1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6"/>
      <c r="E254" s="1"/>
      <c r="F254" s="1"/>
      <c r="G254" s="1"/>
      <c r="H254" s="1"/>
      <c r="I254" s="1"/>
      <c r="J254" s="1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6"/>
      <c r="E255" s="1"/>
      <c r="F255" s="1"/>
      <c r="G255" s="1"/>
      <c r="H255" s="1"/>
      <c r="I255" s="1"/>
      <c r="J255" s="1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6"/>
      <c r="E256" s="1"/>
      <c r="F256" s="1"/>
      <c r="G256" s="1"/>
      <c r="H256" s="1"/>
      <c r="I256" s="1"/>
      <c r="J256" s="1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6"/>
      <c r="E257" s="1"/>
      <c r="F257" s="1"/>
      <c r="G257" s="1"/>
      <c r="H257" s="1"/>
      <c r="I257" s="1"/>
      <c r="J257" s="1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6"/>
      <c r="E258" s="1"/>
      <c r="F258" s="1"/>
      <c r="G258" s="1"/>
      <c r="H258" s="1"/>
      <c r="I258" s="1"/>
      <c r="J258" s="1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6"/>
      <c r="E259" s="1"/>
      <c r="F259" s="1"/>
      <c r="G259" s="1"/>
      <c r="H259" s="1"/>
      <c r="I259" s="1"/>
      <c r="J259" s="1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6"/>
      <c r="E260" s="1"/>
      <c r="F260" s="1"/>
      <c r="G260" s="1"/>
      <c r="H260" s="1"/>
      <c r="I260" s="1"/>
      <c r="J260" s="1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6"/>
      <c r="E261" s="1"/>
      <c r="F261" s="1"/>
      <c r="G261" s="1"/>
      <c r="H261" s="1"/>
      <c r="I261" s="1"/>
      <c r="J261" s="1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6"/>
      <c r="E262" s="1"/>
      <c r="F262" s="1"/>
      <c r="G262" s="1"/>
      <c r="H262" s="1"/>
      <c r="I262" s="1"/>
      <c r="J262" s="1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6"/>
      <c r="E263" s="1"/>
      <c r="F263" s="1"/>
      <c r="G263" s="1"/>
      <c r="H263" s="1"/>
      <c r="I263" s="1"/>
      <c r="J263" s="1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6"/>
      <c r="E264" s="1"/>
      <c r="F264" s="1"/>
      <c r="G264" s="1"/>
      <c r="H264" s="1"/>
      <c r="I264" s="1"/>
      <c r="J264" s="1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6"/>
      <c r="E265" s="1"/>
      <c r="F265" s="1"/>
      <c r="G265" s="1"/>
      <c r="H265" s="1"/>
      <c r="I265" s="1"/>
      <c r="J265" s="1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6"/>
      <c r="E266" s="1"/>
      <c r="F266" s="1"/>
      <c r="G266" s="1"/>
      <c r="H266" s="1"/>
      <c r="I266" s="1"/>
      <c r="J266" s="1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6"/>
      <c r="E267" s="1"/>
      <c r="F267" s="1"/>
      <c r="G267" s="1"/>
      <c r="H267" s="1"/>
      <c r="I267" s="1"/>
      <c r="J267" s="1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6"/>
      <c r="E268" s="1"/>
      <c r="F268" s="1"/>
      <c r="G268" s="1"/>
      <c r="H268" s="1"/>
      <c r="I268" s="1"/>
      <c r="J268" s="1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6"/>
      <c r="E269" s="1"/>
      <c r="F269" s="1"/>
      <c r="G269" s="1"/>
      <c r="H269" s="1"/>
      <c r="I269" s="1"/>
      <c r="J269" s="1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6"/>
      <c r="E270" s="1"/>
      <c r="F270" s="1"/>
      <c r="G270" s="1"/>
      <c r="H270" s="1"/>
      <c r="I270" s="1"/>
      <c r="J270" s="1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6"/>
      <c r="E271" s="1"/>
      <c r="F271" s="1"/>
      <c r="G271" s="1"/>
      <c r="H271" s="1"/>
      <c r="I271" s="1"/>
      <c r="J271" s="1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6"/>
      <c r="E272" s="1"/>
      <c r="F272" s="1"/>
      <c r="G272" s="1"/>
      <c r="H272" s="1"/>
      <c r="I272" s="1"/>
      <c r="J272" s="1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6"/>
      <c r="E273" s="1"/>
      <c r="F273" s="1"/>
      <c r="G273" s="1"/>
      <c r="H273" s="1"/>
      <c r="I273" s="1"/>
      <c r="J273" s="1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6"/>
      <c r="E274" s="1"/>
      <c r="F274" s="1"/>
      <c r="G274" s="1"/>
      <c r="H274" s="1"/>
      <c r="I274" s="1"/>
      <c r="J274" s="1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6"/>
      <c r="E275" s="1"/>
      <c r="F275" s="1"/>
      <c r="G275" s="1"/>
      <c r="H275" s="1"/>
      <c r="I275" s="1"/>
      <c r="J275" s="1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6"/>
      <c r="E276" s="1"/>
      <c r="F276" s="1"/>
      <c r="G276" s="1"/>
      <c r="H276" s="1"/>
      <c r="I276" s="1"/>
      <c r="J276" s="1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6"/>
      <c r="E277" s="1"/>
      <c r="F277" s="1"/>
      <c r="G277" s="1"/>
      <c r="H277" s="1"/>
      <c r="I277" s="1"/>
      <c r="J277" s="1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6"/>
      <c r="E278" s="1"/>
      <c r="F278" s="1"/>
      <c r="G278" s="1"/>
      <c r="H278" s="1"/>
      <c r="I278" s="1"/>
      <c r="J278" s="1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6"/>
      <c r="E279" s="1"/>
      <c r="F279" s="1"/>
      <c r="G279" s="1"/>
      <c r="H279" s="1"/>
      <c r="I279" s="1"/>
      <c r="J279" s="1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6"/>
      <c r="E280" s="1"/>
      <c r="F280" s="1"/>
      <c r="G280" s="1"/>
      <c r="H280" s="1"/>
      <c r="I280" s="1"/>
      <c r="J280" s="1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6"/>
      <c r="E281" s="1"/>
      <c r="F281" s="1"/>
      <c r="G281" s="1"/>
      <c r="H281" s="1"/>
      <c r="I281" s="1"/>
      <c r="J281" s="1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6"/>
      <c r="E282" s="1"/>
      <c r="F282" s="1"/>
      <c r="G282" s="1"/>
      <c r="H282" s="1"/>
      <c r="I282" s="1"/>
      <c r="J282" s="1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6"/>
      <c r="E283" s="1"/>
      <c r="F283" s="1"/>
      <c r="G283" s="1"/>
      <c r="H283" s="1"/>
      <c r="I283" s="1"/>
      <c r="J283" s="1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6"/>
      <c r="E284" s="1"/>
      <c r="F284" s="1"/>
      <c r="G284" s="1"/>
      <c r="H284" s="1"/>
      <c r="I284" s="1"/>
      <c r="J284" s="1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6"/>
      <c r="E285" s="1"/>
      <c r="F285" s="1"/>
      <c r="G285" s="1"/>
      <c r="H285" s="1"/>
      <c r="I285" s="1"/>
      <c r="J285" s="1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6"/>
      <c r="E286" s="1"/>
      <c r="F286" s="1"/>
      <c r="G286" s="1"/>
      <c r="H286" s="1"/>
      <c r="I286" s="1"/>
      <c r="J286" s="1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6"/>
      <c r="E287" s="1"/>
      <c r="F287" s="1"/>
      <c r="G287" s="1"/>
      <c r="H287" s="1"/>
      <c r="I287" s="1"/>
      <c r="J287" s="1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6"/>
      <c r="E288" s="1"/>
      <c r="F288" s="1"/>
      <c r="G288" s="1"/>
      <c r="H288" s="1"/>
      <c r="I288" s="1"/>
      <c r="J288" s="1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6"/>
      <c r="E289" s="1"/>
      <c r="F289" s="1"/>
      <c r="G289" s="1"/>
      <c r="H289" s="1"/>
      <c r="I289" s="1"/>
      <c r="J289" s="1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6"/>
      <c r="E290" s="1"/>
      <c r="F290" s="1"/>
      <c r="G290" s="1"/>
      <c r="H290" s="1"/>
      <c r="I290" s="1"/>
      <c r="J290" s="1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6"/>
      <c r="E291" s="1"/>
      <c r="F291" s="1"/>
      <c r="G291" s="1"/>
      <c r="H291" s="1"/>
      <c r="I291" s="1"/>
      <c r="J291" s="1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6"/>
      <c r="E292" s="1"/>
      <c r="F292" s="1"/>
      <c r="G292" s="1"/>
      <c r="H292" s="1"/>
      <c r="I292" s="1"/>
      <c r="J292" s="1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6"/>
      <c r="E293" s="1"/>
      <c r="F293" s="1"/>
      <c r="G293" s="1"/>
      <c r="H293" s="1"/>
      <c r="I293" s="1"/>
      <c r="J293" s="1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6"/>
      <c r="E294" s="1"/>
      <c r="F294" s="1"/>
      <c r="G294" s="1"/>
      <c r="H294" s="1"/>
      <c r="I294" s="1"/>
      <c r="J294" s="1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6"/>
      <c r="E295" s="1"/>
      <c r="F295" s="1"/>
      <c r="G295" s="1"/>
      <c r="H295" s="1"/>
      <c r="I295" s="1"/>
      <c r="J295" s="1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6"/>
      <c r="E296" s="1"/>
      <c r="F296" s="1"/>
      <c r="G296" s="1"/>
      <c r="H296" s="1"/>
      <c r="I296" s="1"/>
      <c r="J296" s="1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6"/>
      <c r="E297" s="1"/>
      <c r="F297" s="1"/>
      <c r="G297" s="1"/>
      <c r="H297" s="1"/>
      <c r="I297" s="1"/>
      <c r="J297" s="1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6"/>
      <c r="E298" s="1"/>
      <c r="F298" s="1"/>
      <c r="G298" s="1"/>
      <c r="H298" s="1"/>
      <c r="I298" s="1"/>
      <c r="J298" s="1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6"/>
      <c r="E299" s="1"/>
      <c r="F299" s="1"/>
      <c r="G299" s="1"/>
      <c r="H299" s="1"/>
      <c r="I299" s="1"/>
      <c r="J299" s="1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6"/>
      <c r="E300" s="1"/>
      <c r="F300" s="1"/>
      <c r="G300" s="1"/>
      <c r="H300" s="1"/>
      <c r="I300" s="1"/>
      <c r="J300" s="1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6"/>
      <c r="E301" s="1"/>
      <c r="F301" s="1"/>
      <c r="G301" s="1"/>
      <c r="H301" s="1"/>
      <c r="I301" s="1"/>
      <c r="J301" s="1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6"/>
      <c r="E302" s="1"/>
      <c r="F302" s="1"/>
      <c r="G302" s="1"/>
      <c r="H302" s="1"/>
      <c r="I302" s="1"/>
      <c r="J302" s="1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6"/>
      <c r="E303" s="1"/>
      <c r="F303" s="1"/>
      <c r="G303" s="1"/>
      <c r="H303" s="1"/>
      <c r="I303" s="1"/>
      <c r="J303" s="1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6"/>
      <c r="E304" s="1"/>
      <c r="F304" s="1"/>
      <c r="G304" s="1"/>
      <c r="H304" s="1"/>
      <c r="I304" s="1"/>
      <c r="J304" s="1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6"/>
      <c r="E305" s="1"/>
      <c r="F305" s="1"/>
      <c r="G305" s="1"/>
      <c r="H305" s="1"/>
      <c r="I305" s="1"/>
      <c r="J305" s="1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6"/>
      <c r="E306" s="1"/>
      <c r="F306" s="1"/>
      <c r="G306" s="1"/>
      <c r="H306" s="1"/>
      <c r="I306" s="1"/>
      <c r="J306" s="1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6"/>
      <c r="E307" s="1"/>
      <c r="F307" s="1"/>
      <c r="G307" s="1"/>
      <c r="H307" s="1"/>
      <c r="I307" s="1"/>
      <c r="J307" s="1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6"/>
      <c r="E308" s="1"/>
      <c r="F308" s="1"/>
      <c r="G308" s="1"/>
      <c r="H308" s="1"/>
      <c r="I308" s="1"/>
      <c r="J308" s="1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6"/>
      <c r="E309" s="1"/>
      <c r="F309" s="1"/>
      <c r="G309" s="1"/>
      <c r="H309" s="1"/>
      <c r="I309" s="1"/>
      <c r="J309" s="1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6"/>
      <c r="E310" s="1"/>
      <c r="F310" s="1"/>
      <c r="G310" s="1"/>
      <c r="H310" s="1"/>
      <c r="I310" s="1"/>
      <c r="J310" s="1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6"/>
      <c r="E311" s="1"/>
      <c r="F311" s="1"/>
      <c r="G311" s="1"/>
      <c r="H311" s="1"/>
      <c r="I311" s="1"/>
      <c r="J311" s="1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6"/>
      <c r="E312" s="1"/>
      <c r="F312" s="1"/>
      <c r="G312" s="1"/>
      <c r="H312" s="1"/>
      <c r="I312" s="1"/>
      <c r="J312" s="1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6"/>
      <c r="E313" s="1"/>
      <c r="F313" s="1"/>
      <c r="G313" s="1"/>
      <c r="H313" s="1"/>
      <c r="I313" s="1"/>
      <c r="J313" s="1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6"/>
      <c r="E314" s="1"/>
      <c r="F314" s="1"/>
      <c r="G314" s="1"/>
      <c r="H314" s="1"/>
      <c r="I314" s="1"/>
      <c r="J314" s="1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6"/>
      <c r="E315" s="1"/>
      <c r="F315" s="1"/>
      <c r="G315" s="1"/>
      <c r="H315" s="1"/>
      <c r="I315" s="1"/>
      <c r="J315" s="1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6"/>
      <c r="E316" s="1"/>
      <c r="F316" s="1"/>
      <c r="G316" s="1"/>
      <c r="H316" s="1"/>
      <c r="I316" s="1"/>
      <c r="J316" s="1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6"/>
      <c r="E317" s="1"/>
      <c r="F317" s="1"/>
      <c r="G317" s="1"/>
      <c r="H317" s="1"/>
      <c r="I317" s="1"/>
      <c r="J317" s="1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6"/>
      <c r="E318" s="1"/>
      <c r="F318" s="1"/>
      <c r="G318" s="1"/>
      <c r="H318" s="1"/>
      <c r="I318" s="1"/>
      <c r="J318" s="1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6"/>
      <c r="E319" s="1"/>
      <c r="F319" s="1"/>
      <c r="G319" s="1"/>
      <c r="H319" s="1"/>
      <c r="I319" s="1"/>
      <c r="J319" s="1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6"/>
      <c r="E320" s="1"/>
      <c r="F320" s="1"/>
      <c r="G320" s="1"/>
      <c r="H320" s="1"/>
      <c r="I320" s="1"/>
      <c r="J320" s="1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6"/>
      <c r="E321" s="1"/>
      <c r="F321" s="1"/>
      <c r="G321" s="1"/>
      <c r="H321" s="1"/>
      <c r="I321" s="1"/>
      <c r="J321" s="1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6"/>
      <c r="E322" s="1"/>
      <c r="F322" s="1"/>
      <c r="G322" s="1"/>
      <c r="H322" s="1"/>
      <c r="I322" s="1"/>
      <c r="J322" s="1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6"/>
      <c r="E323" s="1"/>
      <c r="F323" s="1"/>
      <c r="G323" s="1"/>
      <c r="H323" s="1"/>
      <c r="I323" s="1"/>
      <c r="J323" s="1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6"/>
      <c r="E324" s="1"/>
      <c r="F324" s="1"/>
      <c r="G324" s="1"/>
      <c r="H324" s="1"/>
      <c r="I324" s="1"/>
      <c r="J324" s="1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6"/>
      <c r="E325" s="1"/>
      <c r="F325" s="1"/>
      <c r="G325" s="1"/>
      <c r="H325" s="1"/>
      <c r="I325" s="1"/>
      <c r="J325" s="1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6"/>
      <c r="E326" s="1"/>
      <c r="F326" s="1"/>
      <c r="G326" s="1"/>
      <c r="H326" s="1"/>
      <c r="I326" s="1"/>
      <c r="J326" s="1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6"/>
      <c r="E327" s="1"/>
      <c r="F327" s="1"/>
      <c r="G327" s="1"/>
      <c r="H327" s="1"/>
      <c r="I327" s="1"/>
      <c r="J327" s="1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6"/>
      <c r="E328" s="1"/>
      <c r="F328" s="1"/>
      <c r="G328" s="1"/>
      <c r="H328" s="1"/>
      <c r="I328" s="1"/>
      <c r="J328" s="1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6"/>
      <c r="E329" s="1"/>
      <c r="F329" s="1"/>
      <c r="G329" s="1"/>
      <c r="H329" s="1"/>
      <c r="I329" s="1"/>
      <c r="J329" s="1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6"/>
      <c r="E330" s="1"/>
      <c r="F330" s="1"/>
      <c r="G330" s="1"/>
      <c r="H330" s="1"/>
      <c r="I330" s="1"/>
      <c r="J330" s="1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6"/>
      <c r="E331" s="1"/>
      <c r="F331" s="1"/>
      <c r="G331" s="1"/>
      <c r="H331" s="1"/>
      <c r="I331" s="1"/>
      <c r="J331" s="1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6"/>
      <c r="E332" s="1"/>
      <c r="F332" s="1"/>
      <c r="G332" s="1"/>
      <c r="H332" s="1"/>
      <c r="I332" s="1"/>
      <c r="J332" s="1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6"/>
      <c r="E333" s="1"/>
      <c r="F333" s="1"/>
      <c r="G333" s="1"/>
      <c r="H333" s="1"/>
      <c r="I333" s="1"/>
      <c r="J333" s="1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6"/>
      <c r="E334" s="1"/>
      <c r="F334" s="1"/>
      <c r="G334" s="1"/>
      <c r="H334" s="1"/>
      <c r="I334" s="1"/>
      <c r="J334" s="1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6"/>
      <c r="E335" s="1"/>
      <c r="F335" s="1"/>
      <c r="G335" s="1"/>
      <c r="H335" s="1"/>
      <c r="I335" s="1"/>
      <c r="J335" s="1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6"/>
      <c r="E336" s="1"/>
      <c r="F336" s="1"/>
      <c r="G336" s="1"/>
      <c r="H336" s="1"/>
      <c r="I336" s="1"/>
      <c r="J336" s="1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6"/>
      <c r="E337" s="1"/>
      <c r="F337" s="1"/>
      <c r="G337" s="1"/>
      <c r="H337" s="1"/>
      <c r="I337" s="1"/>
      <c r="J337" s="1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6"/>
      <c r="E338" s="1"/>
      <c r="F338" s="1"/>
      <c r="G338" s="1"/>
      <c r="H338" s="1"/>
      <c r="I338" s="1"/>
      <c r="J338" s="1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6"/>
      <c r="E339" s="1"/>
      <c r="F339" s="1"/>
      <c r="G339" s="1"/>
      <c r="H339" s="1"/>
      <c r="I339" s="1"/>
      <c r="J339" s="1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6"/>
      <c r="E340" s="1"/>
      <c r="F340" s="1"/>
      <c r="G340" s="1"/>
      <c r="H340" s="1"/>
      <c r="I340" s="1"/>
      <c r="J340" s="1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6"/>
      <c r="E341" s="1"/>
      <c r="F341" s="1"/>
      <c r="G341" s="1"/>
      <c r="H341" s="1"/>
      <c r="I341" s="1"/>
      <c r="J341" s="1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6"/>
      <c r="E342" s="1"/>
      <c r="F342" s="1"/>
      <c r="G342" s="1"/>
      <c r="H342" s="1"/>
      <c r="I342" s="1"/>
      <c r="J342" s="1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6"/>
      <c r="E343" s="1"/>
      <c r="F343" s="1"/>
      <c r="G343" s="1"/>
      <c r="H343" s="1"/>
      <c r="I343" s="1"/>
      <c r="J343" s="1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6"/>
      <c r="E344" s="1"/>
      <c r="F344" s="1"/>
      <c r="G344" s="1"/>
      <c r="H344" s="1"/>
      <c r="I344" s="1"/>
      <c r="J344" s="1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6"/>
      <c r="E345" s="1"/>
      <c r="F345" s="1"/>
      <c r="G345" s="1"/>
      <c r="H345" s="1"/>
      <c r="I345" s="1"/>
      <c r="J345" s="1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6"/>
      <c r="E346" s="1"/>
      <c r="F346" s="1"/>
      <c r="G346" s="1"/>
      <c r="H346" s="1"/>
      <c r="I346" s="1"/>
      <c r="J346" s="1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6"/>
      <c r="E347" s="1"/>
      <c r="F347" s="1"/>
      <c r="G347" s="1"/>
      <c r="H347" s="1"/>
      <c r="I347" s="1"/>
      <c r="J347" s="1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6"/>
      <c r="E348" s="1"/>
      <c r="F348" s="1"/>
      <c r="G348" s="1"/>
      <c r="H348" s="1"/>
      <c r="I348" s="1"/>
      <c r="J348" s="1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6"/>
      <c r="E349" s="1"/>
      <c r="F349" s="1"/>
      <c r="G349" s="1"/>
      <c r="H349" s="1"/>
      <c r="I349" s="1"/>
      <c r="J349" s="1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6"/>
      <c r="E350" s="1"/>
      <c r="F350" s="1"/>
      <c r="G350" s="1"/>
      <c r="H350" s="1"/>
      <c r="I350" s="1"/>
      <c r="J350" s="1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6"/>
      <c r="E351" s="1"/>
      <c r="F351" s="1"/>
      <c r="G351" s="1"/>
      <c r="H351" s="1"/>
      <c r="I351" s="1"/>
      <c r="J351" s="1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6"/>
      <c r="E352" s="1"/>
      <c r="F352" s="1"/>
      <c r="G352" s="1"/>
      <c r="H352" s="1"/>
      <c r="I352" s="1"/>
      <c r="J352" s="1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6"/>
      <c r="E353" s="1"/>
      <c r="F353" s="1"/>
      <c r="G353" s="1"/>
      <c r="H353" s="1"/>
      <c r="I353" s="1"/>
      <c r="J353" s="1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6"/>
      <c r="E354" s="1"/>
      <c r="F354" s="1"/>
      <c r="G354" s="1"/>
      <c r="H354" s="1"/>
      <c r="I354" s="1"/>
      <c r="J354" s="1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6"/>
      <c r="E355" s="1"/>
      <c r="F355" s="1"/>
      <c r="G355" s="1"/>
      <c r="H355" s="1"/>
      <c r="I355" s="1"/>
      <c r="J355" s="1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6"/>
      <c r="E356" s="1"/>
      <c r="F356" s="1"/>
      <c r="G356" s="1"/>
      <c r="H356" s="1"/>
      <c r="I356" s="1"/>
      <c r="J356" s="1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6"/>
      <c r="E357" s="1"/>
      <c r="F357" s="1"/>
      <c r="G357" s="1"/>
      <c r="H357" s="1"/>
      <c r="I357" s="1"/>
      <c r="J357" s="1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6"/>
      <c r="E358" s="1"/>
      <c r="F358" s="1"/>
      <c r="G358" s="1"/>
      <c r="H358" s="1"/>
      <c r="I358" s="1"/>
      <c r="J358" s="1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6"/>
      <c r="E359" s="1"/>
      <c r="F359" s="1"/>
      <c r="G359" s="1"/>
      <c r="H359" s="1"/>
      <c r="I359" s="1"/>
      <c r="J359" s="1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6"/>
      <c r="E360" s="1"/>
      <c r="F360" s="1"/>
      <c r="G360" s="1"/>
      <c r="H360" s="1"/>
      <c r="I360" s="1"/>
      <c r="J360" s="1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6"/>
      <c r="E361" s="1"/>
      <c r="F361" s="1"/>
      <c r="G361" s="1"/>
      <c r="H361" s="1"/>
      <c r="I361" s="1"/>
      <c r="J361" s="1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6"/>
      <c r="E362" s="1"/>
      <c r="F362" s="1"/>
      <c r="G362" s="1"/>
      <c r="H362" s="1"/>
      <c r="I362" s="1"/>
      <c r="J362" s="1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6"/>
      <c r="E363" s="1"/>
      <c r="F363" s="1"/>
      <c r="G363" s="1"/>
      <c r="H363" s="1"/>
      <c r="I363" s="1"/>
      <c r="J363" s="1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6"/>
      <c r="E364" s="1"/>
      <c r="F364" s="1"/>
      <c r="G364" s="1"/>
      <c r="H364" s="1"/>
      <c r="I364" s="1"/>
      <c r="J364" s="1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6"/>
      <c r="E365" s="1"/>
      <c r="F365" s="1"/>
      <c r="G365" s="1"/>
      <c r="H365" s="1"/>
      <c r="I365" s="1"/>
      <c r="J365" s="1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6"/>
      <c r="E366" s="1"/>
      <c r="F366" s="1"/>
      <c r="G366" s="1"/>
      <c r="H366" s="1"/>
      <c r="I366" s="1"/>
      <c r="J366" s="1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6"/>
      <c r="E367" s="1"/>
      <c r="F367" s="1"/>
      <c r="G367" s="1"/>
      <c r="H367" s="1"/>
      <c r="I367" s="1"/>
      <c r="J367" s="1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6"/>
      <c r="E368" s="1"/>
      <c r="F368" s="1"/>
      <c r="G368" s="1"/>
      <c r="H368" s="1"/>
      <c r="I368" s="1"/>
      <c r="J368" s="1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6"/>
      <c r="E369" s="1"/>
      <c r="F369" s="1"/>
      <c r="G369" s="1"/>
      <c r="H369" s="1"/>
      <c r="I369" s="1"/>
      <c r="J369" s="1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6"/>
      <c r="E370" s="1"/>
      <c r="F370" s="1"/>
      <c r="G370" s="1"/>
      <c r="H370" s="1"/>
      <c r="I370" s="1"/>
      <c r="J370" s="1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6"/>
      <c r="E371" s="1"/>
      <c r="F371" s="1"/>
      <c r="G371" s="1"/>
      <c r="H371" s="1"/>
      <c r="I371" s="1"/>
      <c r="J371" s="1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6"/>
      <c r="E372" s="1"/>
      <c r="F372" s="1"/>
      <c r="G372" s="1"/>
      <c r="H372" s="1"/>
      <c r="I372" s="1"/>
      <c r="J372" s="1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6"/>
      <c r="E373" s="1"/>
      <c r="F373" s="1"/>
      <c r="G373" s="1"/>
      <c r="H373" s="1"/>
      <c r="I373" s="1"/>
      <c r="J373" s="1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6"/>
      <c r="E374" s="1"/>
      <c r="F374" s="1"/>
      <c r="G374" s="1"/>
      <c r="H374" s="1"/>
      <c r="I374" s="1"/>
      <c r="J374" s="1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6"/>
      <c r="E375" s="1"/>
      <c r="F375" s="1"/>
      <c r="G375" s="1"/>
      <c r="H375" s="1"/>
      <c r="I375" s="1"/>
      <c r="J375" s="1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6"/>
      <c r="E376" s="1"/>
      <c r="F376" s="1"/>
      <c r="G376" s="1"/>
      <c r="H376" s="1"/>
      <c r="I376" s="1"/>
      <c r="J376" s="1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6"/>
      <c r="E377" s="1"/>
      <c r="F377" s="1"/>
      <c r="G377" s="1"/>
      <c r="H377" s="1"/>
      <c r="I377" s="1"/>
      <c r="J377" s="1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6"/>
      <c r="E378" s="1"/>
      <c r="F378" s="1"/>
      <c r="G378" s="1"/>
      <c r="H378" s="1"/>
      <c r="I378" s="1"/>
      <c r="J378" s="1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6"/>
      <c r="E379" s="1"/>
      <c r="F379" s="1"/>
      <c r="G379" s="1"/>
      <c r="H379" s="1"/>
      <c r="I379" s="1"/>
      <c r="J379" s="1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6"/>
      <c r="E380" s="1"/>
      <c r="F380" s="1"/>
      <c r="G380" s="1"/>
      <c r="H380" s="1"/>
      <c r="I380" s="1"/>
      <c r="J380" s="1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6"/>
      <c r="E381" s="1"/>
      <c r="F381" s="1"/>
      <c r="G381" s="1"/>
      <c r="H381" s="1"/>
      <c r="I381" s="1"/>
      <c r="J381" s="1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6"/>
      <c r="E382" s="1"/>
      <c r="F382" s="1"/>
      <c r="G382" s="1"/>
      <c r="H382" s="1"/>
      <c r="I382" s="1"/>
      <c r="J382" s="1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6"/>
      <c r="E383" s="1"/>
      <c r="F383" s="1"/>
      <c r="G383" s="1"/>
      <c r="H383" s="1"/>
      <c r="I383" s="1"/>
      <c r="J383" s="1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6"/>
      <c r="E384" s="1"/>
      <c r="F384" s="1"/>
      <c r="G384" s="1"/>
      <c r="H384" s="1"/>
      <c r="I384" s="1"/>
      <c r="J384" s="1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6"/>
      <c r="E385" s="1"/>
      <c r="F385" s="1"/>
      <c r="G385" s="1"/>
      <c r="H385" s="1"/>
      <c r="I385" s="1"/>
      <c r="J385" s="1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6"/>
      <c r="E386" s="1"/>
      <c r="F386" s="1"/>
      <c r="G386" s="1"/>
      <c r="H386" s="1"/>
      <c r="I386" s="1"/>
      <c r="J386" s="1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6"/>
      <c r="E387" s="1"/>
      <c r="F387" s="1"/>
      <c r="G387" s="1"/>
      <c r="H387" s="1"/>
      <c r="I387" s="1"/>
      <c r="J387" s="1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6"/>
      <c r="E388" s="1"/>
      <c r="F388" s="1"/>
      <c r="G388" s="1"/>
      <c r="H388" s="1"/>
      <c r="I388" s="1"/>
      <c r="J388" s="1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6"/>
      <c r="E389" s="1"/>
      <c r="F389" s="1"/>
      <c r="G389" s="1"/>
      <c r="H389" s="1"/>
      <c r="I389" s="1"/>
      <c r="J389" s="1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6"/>
      <c r="E390" s="1"/>
      <c r="F390" s="1"/>
      <c r="G390" s="1"/>
      <c r="H390" s="1"/>
      <c r="I390" s="1"/>
      <c r="J390" s="1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6"/>
      <c r="E391" s="1"/>
      <c r="F391" s="1"/>
      <c r="G391" s="1"/>
      <c r="H391" s="1"/>
      <c r="I391" s="1"/>
      <c r="J391" s="1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6"/>
      <c r="E392" s="1"/>
      <c r="F392" s="1"/>
      <c r="G392" s="1"/>
      <c r="H392" s="1"/>
      <c r="I392" s="1"/>
      <c r="J392" s="1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6"/>
      <c r="E393" s="1"/>
      <c r="F393" s="1"/>
      <c r="G393" s="1"/>
      <c r="H393" s="1"/>
      <c r="I393" s="1"/>
      <c r="J393" s="1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6"/>
      <c r="E394" s="1"/>
      <c r="F394" s="1"/>
      <c r="G394" s="1"/>
      <c r="H394" s="1"/>
      <c r="I394" s="1"/>
      <c r="J394" s="1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6"/>
      <c r="E395" s="1"/>
      <c r="F395" s="1"/>
      <c r="G395" s="1"/>
      <c r="H395" s="1"/>
      <c r="I395" s="1"/>
      <c r="J395" s="1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6"/>
      <c r="E396" s="1"/>
      <c r="F396" s="1"/>
      <c r="G396" s="1"/>
      <c r="H396" s="1"/>
      <c r="I396" s="1"/>
      <c r="J396" s="1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6"/>
      <c r="E397" s="1"/>
      <c r="F397" s="1"/>
      <c r="G397" s="1"/>
      <c r="H397" s="1"/>
      <c r="I397" s="1"/>
      <c r="J397" s="1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6"/>
      <c r="E398" s="1"/>
      <c r="F398" s="1"/>
      <c r="G398" s="1"/>
      <c r="H398" s="1"/>
      <c r="I398" s="1"/>
      <c r="J398" s="1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6"/>
      <c r="E399" s="1"/>
      <c r="F399" s="1"/>
      <c r="G399" s="1"/>
      <c r="H399" s="1"/>
      <c r="I399" s="1"/>
      <c r="J399" s="1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6"/>
      <c r="E400" s="1"/>
      <c r="F400" s="1"/>
      <c r="G400" s="1"/>
      <c r="H400" s="1"/>
      <c r="I400" s="1"/>
      <c r="J400" s="1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6"/>
      <c r="E401" s="1"/>
      <c r="F401" s="1"/>
      <c r="G401" s="1"/>
      <c r="H401" s="1"/>
      <c r="I401" s="1"/>
      <c r="J401" s="1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6"/>
      <c r="E402" s="1"/>
      <c r="F402" s="1"/>
      <c r="G402" s="1"/>
      <c r="H402" s="1"/>
      <c r="I402" s="1"/>
      <c r="J402" s="1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6"/>
      <c r="E403" s="1"/>
      <c r="F403" s="1"/>
      <c r="G403" s="1"/>
      <c r="H403" s="1"/>
      <c r="I403" s="1"/>
      <c r="J403" s="1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6"/>
      <c r="E404" s="1"/>
      <c r="F404" s="1"/>
      <c r="G404" s="1"/>
      <c r="H404" s="1"/>
      <c r="I404" s="1"/>
      <c r="J404" s="1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6"/>
      <c r="E405" s="1"/>
      <c r="F405" s="1"/>
      <c r="G405" s="1"/>
      <c r="H405" s="1"/>
      <c r="I405" s="1"/>
      <c r="J405" s="1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6"/>
      <c r="E406" s="1"/>
      <c r="F406" s="1"/>
      <c r="G406" s="1"/>
      <c r="H406" s="1"/>
      <c r="I406" s="1"/>
      <c r="J406" s="1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6"/>
      <c r="E407" s="1"/>
      <c r="F407" s="1"/>
      <c r="G407" s="1"/>
      <c r="H407" s="1"/>
      <c r="I407" s="1"/>
      <c r="J407" s="1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6"/>
      <c r="E408" s="1"/>
      <c r="F408" s="1"/>
      <c r="G408" s="1"/>
      <c r="H408" s="1"/>
      <c r="I408" s="1"/>
      <c r="J408" s="1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6"/>
      <c r="E409" s="1"/>
      <c r="F409" s="1"/>
      <c r="G409" s="1"/>
      <c r="H409" s="1"/>
      <c r="I409" s="1"/>
      <c r="J409" s="1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6"/>
      <c r="E410" s="1"/>
      <c r="F410" s="1"/>
      <c r="G410" s="1"/>
      <c r="H410" s="1"/>
      <c r="I410" s="1"/>
      <c r="J410" s="1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6"/>
      <c r="E411" s="1"/>
      <c r="F411" s="1"/>
      <c r="G411" s="1"/>
      <c r="H411" s="1"/>
      <c r="I411" s="1"/>
      <c r="J411" s="1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6"/>
      <c r="E412" s="1"/>
      <c r="F412" s="1"/>
      <c r="G412" s="1"/>
      <c r="H412" s="1"/>
      <c r="I412" s="1"/>
      <c r="J412" s="1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6"/>
      <c r="E413" s="1"/>
      <c r="F413" s="1"/>
      <c r="G413" s="1"/>
      <c r="H413" s="1"/>
      <c r="I413" s="1"/>
      <c r="J413" s="1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6"/>
      <c r="E414" s="1"/>
      <c r="F414" s="1"/>
      <c r="G414" s="1"/>
      <c r="H414" s="1"/>
      <c r="I414" s="1"/>
      <c r="J414" s="1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6"/>
      <c r="E415" s="1"/>
      <c r="F415" s="1"/>
      <c r="G415" s="1"/>
      <c r="H415" s="1"/>
      <c r="I415" s="1"/>
      <c r="J415" s="1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6"/>
      <c r="E416" s="1"/>
      <c r="F416" s="1"/>
      <c r="G416" s="1"/>
      <c r="H416" s="1"/>
      <c r="I416" s="1"/>
      <c r="J416" s="1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6"/>
      <c r="E417" s="1"/>
      <c r="F417" s="1"/>
      <c r="G417" s="1"/>
      <c r="H417" s="1"/>
      <c r="I417" s="1"/>
      <c r="J417" s="1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6"/>
      <c r="E418" s="1"/>
      <c r="F418" s="1"/>
      <c r="G418" s="1"/>
      <c r="H418" s="1"/>
      <c r="I418" s="1"/>
      <c r="J418" s="1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6"/>
      <c r="E419" s="1"/>
      <c r="F419" s="1"/>
      <c r="G419" s="1"/>
      <c r="H419" s="1"/>
      <c r="I419" s="1"/>
      <c r="J419" s="1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6"/>
      <c r="E420" s="1"/>
      <c r="F420" s="1"/>
      <c r="G420" s="1"/>
      <c r="H420" s="1"/>
      <c r="I420" s="1"/>
      <c r="J420" s="1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6"/>
      <c r="E421" s="1"/>
      <c r="F421" s="1"/>
      <c r="G421" s="1"/>
      <c r="H421" s="1"/>
      <c r="I421" s="1"/>
      <c r="J421" s="1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6"/>
      <c r="E422" s="1"/>
      <c r="F422" s="1"/>
      <c r="G422" s="1"/>
      <c r="H422" s="1"/>
      <c r="I422" s="1"/>
      <c r="J422" s="1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6"/>
      <c r="E423" s="1"/>
      <c r="F423" s="1"/>
      <c r="G423" s="1"/>
      <c r="H423" s="1"/>
      <c r="I423" s="1"/>
      <c r="J423" s="1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6"/>
      <c r="E424" s="1"/>
      <c r="F424" s="1"/>
      <c r="G424" s="1"/>
      <c r="H424" s="1"/>
      <c r="I424" s="1"/>
      <c r="J424" s="1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6"/>
      <c r="E425" s="1"/>
      <c r="F425" s="1"/>
      <c r="G425" s="1"/>
      <c r="H425" s="1"/>
      <c r="I425" s="1"/>
      <c r="J425" s="1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6"/>
      <c r="E426" s="1"/>
      <c r="F426" s="1"/>
      <c r="G426" s="1"/>
      <c r="H426" s="1"/>
      <c r="I426" s="1"/>
      <c r="J426" s="1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6"/>
      <c r="E427" s="1"/>
      <c r="F427" s="1"/>
      <c r="G427" s="1"/>
      <c r="H427" s="1"/>
      <c r="I427" s="1"/>
      <c r="J427" s="1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6"/>
      <c r="E428" s="1"/>
      <c r="F428" s="1"/>
      <c r="G428" s="1"/>
      <c r="H428" s="1"/>
      <c r="I428" s="1"/>
      <c r="J428" s="1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6"/>
      <c r="E429" s="1"/>
      <c r="F429" s="1"/>
      <c r="G429" s="1"/>
      <c r="H429" s="1"/>
      <c r="I429" s="1"/>
      <c r="J429" s="1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6"/>
      <c r="E430" s="1"/>
      <c r="F430" s="1"/>
      <c r="G430" s="1"/>
      <c r="H430" s="1"/>
      <c r="I430" s="1"/>
      <c r="J430" s="1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6"/>
      <c r="E431" s="1"/>
      <c r="F431" s="1"/>
      <c r="G431" s="1"/>
      <c r="H431" s="1"/>
      <c r="I431" s="1"/>
      <c r="J431" s="1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6"/>
      <c r="E432" s="1"/>
      <c r="F432" s="1"/>
      <c r="G432" s="1"/>
      <c r="H432" s="1"/>
      <c r="I432" s="1"/>
      <c r="J432" s="1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6"/>
      <c r="E433" s="1"/>
      <c r="F433" s="1"/>
      <c r="G433" s="1"/>
      <c r="H433" s="1"/>
      <c r="I433" s="1"/>
      <c r="J433" s="1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6"/>
      <c r="E434" s="1"/>
      <c r="F434" s="1"/>
      <c r="G434" s="1"/>
      <c r="H434" s="1"/>
      <c r="I434" s="1"/>
      <c r="J434" s="1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6"/>
      <c r="E435" s="1"/>
      <c r="F435" s="1"/>
      <c r="G435" s="1"/>
      <c r="H435" s="1"/>
      <c r="I435" s="1"/>
      <c r="J435" s="1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6"/>
      <c r="E436" s="1"/>
      <c r="F436" s="1"/>
      <c r="G436" s="1"/>
      <c r="H436" s="1"/>
      <c r="I436" s="1"/>
      <c r="J436" s="1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6"/>
      <c r="E437" s="1"/>
      <c r="F437" s="1"/>
      <c r="G437" s="1"/>
      <c r="H437" s="1"/>
      <c r="I437" s="1"/>
      <c r="J437" s="1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6"/>
      <c r="E438" s="1"/>
      <c r="F438" s="1"/>
      <c r="G438" s="1"/>
      <c r="H438" s="1"/>
      <c r="I438" s="1"/>
      <c r="J438" s="1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6"/>
      <c r="E439" s="1"/>
      <c r="F439" s="1"/>
      <c r="G439" s="1"/>
      <c r="H439" s="1"/>
      <c r="I439" s="1"/>
      <c r="J439" s="1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6"/>
      <c r="E440" s="1"/>
      <c r="F440" s="1"/>
      <c r="G440" s="1"/>
      <c r="H440" s="1"/>
      <c r="I440" s="1"/>
      <c r="J440" s="1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6"/>
      <c r="E441" s="1"/>
      <c r="F441" s="1"/>
      <c r="G441" s="1"/>
      <c r="H441" s="1"/>
      <c r="I441" s="1"/>
      <c r="J441" s="1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6"/>
      <c r="E442" s="1"/>
      <c r="F442" s="1"/>
      <c r="G442" s="1"/>
      <c r="H442" s="1"/>
      <c r="I442" s="1"/>
      <c r="J442" s="1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6"/>
      <c r="E443" s="1"/>
      <c r="F443" s="1"/>
      <c r="G443" s="1"/>
      <c r="H443" s="1"/>
      <c r="I443" s="1"/>
      <c r="J443" s="1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6"/>
      <c r="E444" s="1"/>
      <c r="F444" s="1"/>
      <c r="G444" s="1"/>
      <c r="H444" s="1"/>
      <c r="I444" s="1"/>
      <c r="J444" s="1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6"/>
      <c r="E445" s="1"/>
      <c r="F445" s="1"/>
      <c r="G445" s="1"/>
      <c r="H445" s="1"/>
      <c r="I445" s="1"/>
      <c r="J445" s="1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6"/>
      <c r="E446" s="1"/>
      <c r="F446" s="1"/>
      <c r="G446" s="1"/>
      <c r="H446" s="1"/>
      <c r="I446" s="1"/>
      <c r="J446" s="1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6"/>
      <c r="E447" s="1"/>
      <c r="F447" s="1"/>
      <c r="G447" s="1"/>
      <c r="H447" s="1"/>
      <c r="I447" s="1"/>
      <c r="J447" s="1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6"/>
      <c r="E448" s="1"/>
      <c r="F448" s="1"/>
      <c r="G448" s="1"/>
      <c r="H448" s="1"/>
      <c r="I448" s="1"/>
      <c r="J448" s="1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6"/>
      <c r="E449" s="1"/>
      <c r="F449" s="1"/>
      <c r="G449" s="1"/>
      <c r="H449" s="1"/>
      <c r="I449" s="1"/>
      <c r="J449" s="1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6"/>
      <c r="E450" s="1"/>
      <c r="F450" s="1"/>
      <c r="G450" s="1"/>
      <c r="H450" s="1"/>
      <c r="I450" s="1"/>
      <c r="J450" s="1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6"/>
      <c r="E451" s="1"/>
      <c r="F451" s="1"/>
      <c r="G451" s="1"/>
      <c r="H451" s="1"/>
      <c r="I451" s="1"/>
      <c r="J451" s="1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6"/>
      <c r="E452" s="1"/>
      <c r="F452" s="1"/>
      <c r="G452" s="1"/>
      <c r="H452" s="1"/>
      <c r="I452" s="1"/>
      <c r="J452" s="1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6"/>
      <c r="E453" s="1"/>
      <c r="F453" s="1"/>
      <c r="G453" s="1"/>
      <c r="H453" s="1"/>
      <c r="I453" s="1"/>
      <c r="J453" s="1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6"/>
      <c r="E454" s="1"/>
      <c r="F454" s="1"/>
      <c r="G454" s="1"/>
      <c r="H454" s="1"/>
      <c r="I454" s="1"/>
      <c r="J454" s="1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6"/>
      <c r="E455" s="1"/>
      <c r="F455" s="1"/>
      <c r="G455" s="1"/>
      <c r="H455" s="1"/>
      <c r="I455" s="1"/>
      <c r="J455" s="1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6"/>
      <c r="E456" s="1"/>
      <c r="F456" s="1"/>
      <c r="G456" s="1"/>
      <c r="H456" s="1"/>
      <c r="I456" s="1"/>
      <c r="J456" s="1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6"/>
      <c r="E457" s="1"/>
      <c r="F457" s="1"/>
      <c r="G457" s="1"/>
      <c r="H457" s="1"/>
      <c r="I457" s="1"/>
      <c r="J457" s="1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6"/>
      <c r="E458" s="1"/>
      <c r="F458" s="1"/>
      <c r="G458" s="1"/>
      <c r="H458" s="1"/>
      <c r="I458" s="1"/>
      <c r="J458" s="1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6"/>
      <c r="E459" s="1"/>
      <c r="F459" s="1"/>
      <c r="G459" s="1"/>
      <c r="H459" s="1"/>
      <c r="I459" s="1"/>
      <c r="J459" s="1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6"/>
      <c r="E460" s="1"/>
      <c r="F460" s="1"/>
      <c r="G460" s="1"/>
      <c r="H460" s="1"/>
      <c r="I460" s="1"/>
      <c r="J460" s="1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6"/>
      <c r="E461" s="1"/>
      <c r="F461" s="1"/>
      <c r="G461" s="1"/>
      <c r="H461" s="1"/>
      <c r="I461" s="1"/>
      <c r="J461" s="1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6"/>
      <c r="E462" s="1"/>
      <c r="F462" s="1"/>
      <c r="G462" s="1"/>
      <c r="H462" s="1"/>
      <c r="I462" s="1"/>
      <c r="J462" s="1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6"/>
      <c r="E463" s="1"/>
      <c r="F463" s="1"/>
      <c r="G463" s="1"/>
      <c r="H463" s="1"/>
      <c r="I463" s="1"/>
      <c r="J463" s="1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6"/>
      <c r="E464" s="1"/>
      <c r="F464" s="1"/>
      <c r="G464" s="1"/>
      <c r="H464" s="1"/>
      <c r="I464" s="1"/>
      <c r="J464" s="1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6"/>
      <c r="E465" s="1"/>
      <c r="F465" s="1"/>
      <c r="G465" s="1"/>
      <c r="H465" s="1"/>
      <c r="I465" s="1"/>
      <c r="J465" s="1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6"/>
      <c r="E466" s="1"/>
      <c r="F466" s="1"/>
      <c r="G466" s="1"/>
      <c r="H466" s="1"/>
      <c r="I466" s="1"/>
      <c r="J466" s="1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6"/>
      <c r="E467" s="1"/>
      <c r="F467" s="1"/>
      <c r="G467" s="1"/>
      <c r="H467" s="1"/>
      <c r="I467" s="1"/>
      <c r="J467" s="1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6"/>
      <c r="E468" s="1"/>
      <c r="F468" s="1"/>
      <c r="G468" s="1"/>
      <c r="H468" s="1"/>
      <c r="I468" s="1"/>
      <c r="J468" s="1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6"/>
      <c r="E469" s="1"/>
      <c r="F469" s="1"/>
      <c r="G469" s="1"/>
      <c r="H469" s="1"/>
      <c r="I469" s="1"/>
      <c r="J469" s="1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6"/>
      <c r="E470" s="1"/>
      <c r="F470" s="1"/>
      <c r="G470" s="1"/>
      <c r="H470" s="1"/>
      <c r="I470" s="1"/>
      <c r="J470" s="1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6"/>
      <c r="E471" s="1"/>
      <c r="F471" s="1"/>
      <c r="G471" s="1"/>
      <c r="H471" s="1"/>
      <c r="I471" s="1"/>
      <c r="J471" s="1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6"/>
      <c r="E472" s="1"/>
      <c r="F472" s="1"/>
      <c r="G472" s="1"/>
      <c r="H472" s="1"/>
      <c r="I472" s="1"/>
      <c r="J472" s="1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6"/>
      <c r="E473" s="1"/>
      <c r="F473" s="1"/>
      <c r="G473" s="1"/>
      <c r="H473" s="1"/>
      <c r="I473" s="1"/>
      <c r="J473" s="1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6"/>
      <c r="E474" s="1"/>
      <c r="F474" s="1"/>
      <c r="G474" s="1"/>
      <c r="H474" s="1"/>
      <c r="I474" s="1"/>
      <c r="J474" s="1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6"/>
      <c r="E475" s="1"/>
      <c r="F475" s="1"/>
      <c r="G475" s="1"/>
      <c r="H475" s="1"/>
      <c r="I475" s="1"/>
      <c r="J475" s="1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6"/>
      <c r="E476" s="1"/>
      <c r="F476" s="1"/>
      <c r="G476" s="1"/>
      <c r="H476" s="1"/>
      <c r="I476" s="1"/>
      <c r="J476" s="1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6"/>
      <c r="E477" s="1"/>
      <c r="F477" s="1"/>
      <c r="G477" s="1"/>
      <c r="H477" s="1"/>
      <c r="I477" s="1"/>
      <c r="J477" s="1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6"/>
      <c r="E478" s="1"/>
      <c r="F478" s="1"/>
      <c r="G478" s="1"/>
      <c r="H478" s="1"/>
      <c r="I478" s="1"/>
      <c r="J478" s="1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6"/>
      <c r="E479" s="1"/>
      <c r="F479" s="1"/>
      <c r="G479" s="1"/>
      <c r="H479" s="1"/>
      <c r="I479" s="1"/>
      <c r="J479" s="1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6"/>
      <c r="E480" s="1"/>
      <c r="F480" s="1"/>
      <c r="G480" s="1"/>
      <c r="H480" s="1"/>
      <c r="I480" s="1"/>
      <c r="J480" s="1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6"/>
      <c r="E481" s="1"/>
      <c r="F481" s="1"/>
      <c r="G481" s="1"/>
      <c r="H481" s="1"/>
      <c r="I481" s="1"/>
      <c r="J481" s="1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6"/>
      <c r="E482" s="1"/>
      <c r="F482" s="1"/>
      <c r="G482" s="1"/>
      <c r="H482" s="1"/>
      <c r="I482" s="1"/>
      <c r="J482" s="1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6"/>
      <c r="E483" s="1"/>
      <c r="F483" s="1"/>
      <c r="G483" s="1"/>
      <c r="H483" s="1"/>
      <c r="I483" s="1"/>
      <c r="J483" s="1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6"/>
      <c r="E484" s="1"/>
      <c r="F484" s="1"/>
      <c r="G484" s="1"/>
      <c r="H484" s="1"/>
      <c r="I484" s="1"/>
      <c r="J484" s="1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6"/>
      <c r="E485" s="1"/>
      <c r="F485" s="1"/>
      <c r="G485" s="1"/>
      <c r="H485" s="1"/>
      <c r="I485" s="1"/>
      <c r="J485" s="1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6"/>
      <c r="E486" s="1"/>
      <c r="F486" s="1"/>
      <c r="G486" s="1"/>
      <c r="H486" s="1"/>
      <c r="I486" s="1"/>
      <c r="J486" s="1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6"/>
      <c r="E487" s="1"/>
      <c r="F487" s="1"/>
      <c r="G487" s="1"/>
      <c r="H487" s="1"/>
      <c r="I487" s="1"/>
      <c r="J487" s="1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6"/>
      <c r="E488" s="1"/>
      <c r="F488" s="1"/>
      <c r="G488" s="1"/>
      <c r="H488" s="1"/>
      <c r="I488" s="1"/>
      <c r="J488" s="1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6"/>
      <c r="E489" s="1"/>
      <c r="F489" s="1"/>
      <c r="G489" s="1"/>
      <c r="H489" s="1"/>
      <c r="I489" s="1"/>
      <c r="J489" s="1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6"/>
      <c r="E490" s="1"/>
      <c r="F490" s="1"/>
      <c r="G490" s="1"/>
      <c r="H490" s="1"/>
      <c r="I490" s="1"/>
      <c r="J490" s="1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6"/>
      <c r="E491" s="1"/>
      <c r="F491" s="1"/>
      <c r="G491" s="1"/>
      <c r="H491" s="1"/>
      <c r="I491" s="1"/>
      <c r="J491" s="1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6"/>
      <c r="E492" s="1"/>
      <c r="F492" s="1"/>
      <c r="G492" s="1"/>
      <c r="H492" s="1"/>
      <c r="I492" s="1"/>
      <c r="J492" s="1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6"/>
      <c r="E493" s="1"/>
      <c r="F493" s="1"/>
      <c r="G493" s="1"/>
      <c r="H493" s="1"/>
      <c r="I493" s="1"/>
      <c r="J493" s="1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6"/>
      <c r="E494" s="1"/>
      <c r="F494" s="1"/>
      <c r="G494" s="1"/>
      <c r="H494" s="1"/>
      <c r="I494" s="1"/>
      <c r="J494" s="1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6"/>
      <c r="E495" s="1"/>
      <c r="F495" s="1"/>
      <c r="G495" s="1"/>
      <c r="H495" s="1"/>
      <c r="I495" s="1"/>
      <c r="J495" s="1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6"/>
      <c r="E496" s="1"/>
      <c r="F496" s="1"/>
      <c r="G496" s="1"/>
      <c r="H496" s="1"/>
      <c r="I496" s="1"/>
      <c r="J496" s="1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6"/>
      <c r="E497" s="1"/>
      <c r="F497" s="1"/>
      <c r="G497" s="1"/>
      <c r="H497" s="1"/>
      <c r="I497" s="1"/>
      <c r="J497" s="1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6"/>
      <c r="E498" s="1"/>
      <c r="F498" s="1"/>
      <c r="G498" s="1"/>
      <c r="H498" s="1"/>
      <c r="I498" s="1"/>
      <c r="J498" s="1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6"/>
      <c r="E499" s="1"/>
      <c r="F499" s="1"/>
      <c r="G499" s="1"/>
      <c r="H499" s="1"/>
      <c r="I499" s="1"/>
      <c r="J499" s="1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6"/>
      <c r="E500" s="1"/>
      <c r="F500" s="1"/>
      <c r="G500" s="1"/>
      <c r="H500" s="1"/>
      <c r="I500" s="1"/>
      <c r="J500" s="1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6"/>
      <c r="E501" s="1"/>
      <c r="F501" s="1"/>
      <c r="G501" s="1"/>
      <c r="H501" s="1"/>
      <c r="I501" s="1"/>
      <c r="J501" s="1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6"/>
      <c r="E502" s="1"/>
      <c r="F502" s="1"/>
      <c r="G502" s="1"/>
      <c r="H502" s="1"/>
      <c r="I502" s="1"/>
      <c r="J502" s="1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6"/>
      <c r="E503" s="1"/>
      <c r="F503" s="1"/>
      <c r="G503" s="1"/>
      <c r="H503" s="1"/>
      <c r="I503" s="1"/>
      <c r="J503" s="1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6"/>
      <c r="E504" s="1"/>
      <c r="F504" s="1"/>
      <c r="G504" s="1"/>
      <c r="H504" s="1"/>
      <c r="I504" s="1"/>
      <c r="J504" s="1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6"/>
      <c r="E505" s="1"/>
      <c r="F505" s="1"/>
      <c r="G505" s="1"/>
      <c r="H505" s="1"/>
      <c r="I505" s="1"/>
      <c r="J505" s="1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6"/>
      <c r="E506" s="1"/>
      <c r="F506" s="1"/>
      <c r="G506" s="1"/>
      <c r="H506" s="1"/>
      <c r="I506" s="1"/>
      <c r="J506" s="1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6"/>
      <c r="E507" s="1"/>
      <c r="F507" s="1"/>
      <c r="G507" s="1"/>
      <c r="H507" s="1"/>
      <c r="I507" s="1"/>
      <c r="J507" s="1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6"/>
      <c r="E508" s="1"/>
      <c r="F508" s="1"/>
      <c r="G508" s="1"/>
      <c r="H508" s="1"/>
      <c r="I508" s="1"/>
      <c r="J508" s="1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6"/>
      <c r="E509" s="1"/>
      <c r="F509" s="1"/>
      <c r="G509" s="1"/>
      <c r="H509" s="1"/>
      <c r="I509" s="1"/>
      <c r="J509" s="1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6"/>
      <c r="E510" s="1"/>
      <c r="F510" s="1"/>
      <c r="G510" s="1"/>
      <c r="H510" s="1"/>
      <c r="I510" s="1"/>
      <c r="J510" s="1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6"/>
      <c r="E511" s="1"/>
      <c r="F511" s="1"/>
      <c r="G511" s="1"/>
      <c r="H511" s="1"/>
      <c r="I511" s="1"/>
      <c r="J511" s="1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6"/>
      <c r="E512" s="1"/>
      <c r="F512" s="1"/>
      <c r="G512" s="1"/>
      <c r="H512" s="1"/>
      <c r="I512" s="1"/>
      <c r="J512" s="1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6"/>
      <c r="E513" s="1"/>
      <c r="F513" s="1"/>
      <c r="G513" s="1"/>
      <c r="H513" s="1"/>
      <c r="I513" s="1"/>
      <c r="J513" s="1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6"/>
      <c r="E514" s="1"/>
      <c r="F514" s="1"/>
      <c r="G514" s="1"/>
      <c r="H514" s="1"/>
      <c r="I514" s="1"/>
      <c r="J514" s="1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6"/>
      <c r="E515" s="1"/>
      <c r="F515" s="1"/>
      <c r="G515" s="1"/>
      <c r="H515" s="1"/>
      <c r="I515" s="1"/>
      <c r="J515" s="1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6"/>
      <c r="E516" s="1"/>
      <c r="F516" s="1"/>
      <c r="G516" s="1"/>
      <c r="H516" s="1"/>
      <c r="I516" s="1"/>
      <c r="J516" s="1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6"/>
      <c r="E517" s="1"/>
      <c r="F517" s="1"/>
      <c r="G517" s="1"/>
      <c r="H517" s="1"/>
      <c r="I517" s="1"/>
      <c r="J517" s="1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6"/>
      <c r="E518" s="1"/>
      <c r="F518" s="1"/>
      <c r="G518" s="1"/>
      <c r="H518" s="1"/>
      <c r="I518" s="1"/>
      <c r="J518" s="1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6"/>
      <c r="E519" s="1"/>
      <c r="F519" s="1"/>
      <c r="G519" s="1"/>
      <c r="H519" s="1"/>
      <c r="I519" s="1"/>
      <c r="J519" s="1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6"/>
      <c r="E520" s="1"/>
      <c r="F520" s="1"/>
      <c r="G520" s="1"/>
      <c r="H520" s="1"/>
      <c r="I520" s="1"/>
      <c r="J520" s="1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6"/>
      <c r="E521" s="1"/>
      <c r="F521" s="1"/>
      <c r="G521" s="1"/>
      <c r="H521" s="1"/>
      <c r="I521" s="1"/>
      <c r="J521" s="1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6"/>
      <c r="E522" s="1"/>
      <c r="F522" s="1"/>
      <c r="G522" s="1"/>
      <c r="H522" s="1"/>
      <c r="I522" s="1"/>
      <c r="J522" s="1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6"/>
      <c r="E523" s="1"/>
      <c r="F523" s="1"/>
      <c r="G523" s="1"/>
      <c r="H523" s="1"/>
      <c r="I523" s="1"/>
      <c r="J523" s="1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6"/>
      <c r="E524" s="1"/>
      <c r="F524" s="1"/>
      <c r="G524" s="1"/>
      <c r="H524" s="1"/>
      <c r="I524" s="1"/>
      <c r="J524" s="1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6"/>
      <c r="E525" s="1"/>
      <c r="F525" s="1"/>
      <c r="G525" s="1"/>
      <c r="H525" s="1"/>
      <c r="I525" s="1"/>
      <c r="J525" s="1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6"/>
      <c r="E526" s="1"/>
      <c r="F526" s="1"/>
      <c r="G526" s="1"/>
      <c r="H526" s="1"/>
      <c r="I526" s="1"/>
      <c r="J526" s="1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6"/>
      <c r="E527" s="1"/>
      <c r="F527" s="1"/>
      <c r="G527" s="1"/>
      <c r="H527" s="1"/>
      <c r="I527" s="1"/>
      <c r="J527" s="1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6"/>
      <c r="E528" s="1"/>
      <c r="F528" s="1"/>
      <c r="G528" s="1"/>
      <c r="H528" s="1"/>
      <c r="I528" s="1"/>
      <c r="J528" s="1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6"/>
      <c r="E529" s="1"/>
      <c r="F529" s="1"/>
      <c r="G529" s="1"/>
      <c r="H529" s="1"/>
      <c r="I529" s="1"/>
      <c r="J529" s="1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6"/>
      <c r="E530" s="1"/>
      <c r="F530" s="1"/>
      <c r="G530" s="1"/>
      <c r="H530" s="1"/>
      <c r="I530" s="1"/>
      <c r="J530" s="1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6"/>
      <c r="E531" s="1"/>
      <c r="F531" s="1"/>
      <c r="G531" s="1"/>
      <c r="H531" s="1"/>
      <c r="I531" s="1"/>
      <c r="J531" s="1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6"/>
      <c r="E532" s="1"/>
      <c r="F532" s="1"/>
      <c r="G532" s="1"/>
      <c r="H532" s="1"/>
      <c r="I532" s="1"/>
      <c r="J532" s="1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6"/>
      <c r="E533" s="1"/>
      <c r="F533" s="1"/>
      <c r="G533" s="1"/>
      <c r="H533" s="1"/>
      <c r="I533" s="1"/>
      <c r="J533" s="1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6"/>
      <c r="E534" s="1"/>
      <c r="F534" s="1"/>
      <c r="G534" s="1"/>
      <c r="H534" s="1"/>
      <c r="I534" s="1"/>
      <c r="J534" s="1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6"/>
      <c r="E535" s="1"/>
      <c r="F535" s="1"/>
      <c r="G535" s="1"/>
      <c r="H535" s="1"/>
      <c r="I535" s="1"/>
      <c r="J535" s="1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6"/>
      <c r="E536" s="1"/>
      <c r="F536" s="1"/>
      <c r="G536" s="1"/>
      <c r="H536" s="1"/>
      <c r="I536" s="1"/>
      <c r="J536" s="1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6"/>
      <c r="E537" s="1"/>
      <c r="F537" s="1"/>
      <c r="G537" s="1"/>
      <c r="H537" s="1"/>
      <c r="I537" s="1"/>
      <c r="J537" s="1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6"/>
      <c r="E538" s="1"/>
      <c r="F538" s="1"/>
      <c r="G538" s="1"/>
      <c r="H538" s="1"/>
      <c r="I538" s="1"/>
      <c r="J538" s="1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6"/>
      <c r="E539" s="1"/>
      <c r="F539" s="1"/>
      <c r="G539" s="1"/>
      <c r="H539" s="1"/>
      <c r="I539" s="1"/>
      <c r="J539" s="1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6"/>
      <c r="E540" s="1"/>
      <c r="F540" s="1"/>
      <c r="G540" s="1"/>
      <c r="H540" s="1"/>
      <c r="I540" s="1"/>
      <c r="J540" s="1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6"/>
      <c r="E541" s="1"/>
      <c r="F541" s="1"/>
      <c r="G541" s="1"/>
      <c r="H541" s="1"/>
      <c r="I541" s="1"/>
      <c r="J541" s="1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6"/>
      <c r="E542" s="1"/>
      <c r="F542" s="1"/>
      <c r="G542" s="1"/>
      <c r="H542" s="1"/>
      <c r="I542" s="1"/>
      <c r="J542" s="1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6"/>
      <c r="E543" s="1"/>
      <c r="F543" s="1"/>
      <c r="G543" s="1"/>
      <c r="H543" s="1"/>
      <c r="I543" s="1"/>
      <c r="J543" s="1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6"/>
      <c r="E544" s="1"/>
      <c r="F544" s="1"/>
      <c r="G544" s="1"/>
      <c r="H544" s="1"/>
      <c r="I544" s="1"/>
      <c r="J544" s="1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6"/>
      <c r="E545" s="1"/>
      <c r="F545" s="1"/>
      <c r="G545" s="1"/>
      <c r="H545" s="1"/>
      <c r="I545" s="1"/>
      <c r="J545" s="1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6"/>
      <c r="E546" s="1"/>
      <c r="F546" s="1"/>
      <c r="G546" s="1"/>
      <c r="H546" s="1"/>
      <c r="I546" s="1"/>
      <c r="J546" s="1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6"/>
      <c r="E547" s="1"/>
      <c r="F547" s="1"/>
      <c r="G547" s="1"/>
      <c r="H547" s="1"/>
      <c r="I547" s="1"/>
      <c r="J547" s="1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6"/>
      <c r="E548" s="1"/>
      <c r="F548" s="1"/>
      <c r="G548" s="1"/>
      <c r="H548" s="1"/>
      <c r="I548" s="1"/>
      <c r="J548" s="1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6"/>
      <c r="E549" s="1"/>
      <c r="F549" s="1"/>
      <c r="G549" s="1"/>
      <c r="H549" s="1"/>
      <c r="I549" s="1"/>
      <c r="J549" s="1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6"/>
      <c r="E550" s="1"/>
      <c r="F550" s="1"/>
      <c r="G550" s="1"/>
      <c r="H550" s="1"/>
      <c r="I550" s="1"/>
      <c r="J550" s="1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6"/>
      <c r="E551" s="1"/>
      <c r="F551" s="1"/>
      <c r="G551" s="1"/>
      <c r="H551" s="1"/>
      <c r="I551" s="1"/>
      <c r="J551" s="1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6"/>
      <c r="E552" s="1"/>
      <c r="F552" s="1"/>
      <c r="G552" s="1"/>
      <c r="H552" s="1"/>
      <c r="I552" s="1"/>
      <c r="J552" s="1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6"/>
      <c r="E553" s="1"/>
      <c r="F553" s="1"/>
      <c r="G553" s="1"/>
      <c r="H553" s="1"/>
      <c r="I553" s="1"/>
      <c r="J553" s="1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6"/>
      <c r="E554" s="1"/>
      <c r="F554" s="1"/>
      <c r="G554" s="1"/>
      <c r="H554" s="1"/>
      <c r="I554" s="1"/>
      <c r="J554" s="1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6"/>
      <c r="E555" s="1"/>
      <c r="F555" s="1"/>
      <c r="G555" s="1"/>
      <c r="H555" s="1"/>
      <c r="I555" s="1"/>
      <c r="J555" s="1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6"/>
      <c r="E556" s="1"/>
      <c r="F556" s="1"/>
      <c r="G556" s="1"/>
      <c r="H556" s="1"/>
      <c r="I556" s="1"/>
      <c r="J556" s="1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6"/>
      <c r="E557" s="1"/>
      <c r="F557" s="1"/>
      <c r="G557" s="1"/>
      <c r="H557" s="1"/>
      <c r="I557" s="1"/>
      <c r="J557" s="1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6"/>
      <c r="E558" s="1"/>
      <c r="F558" s="1"/>
      <c r="G558" s="1"/>
      <c r="H558" s="1"/>
      <c r="I558" s="1"/>
      <c r="J558" s="1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6"/>
      <c r="E559" s="1"/>
      <c r="F559" s="1"/>
      <c r="G559" s="1"/>
      <c r="H559" s="1"/>
      <c r="I559" s="1"/>
      <c r="J559" s="1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6"/>
      <c r="E560" s="1"/>
      <c r="F560" s="1"/>
      <c r="G560" s="1"/>
      <c r="H560" s="1"/>
      <c r="I560" s="1"/>
      <c r="J560" s="1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6"/>
      <c r="E561" s="1"/>
      <c r="F561" s="1"/>
      <c r="G561" s="1"/>
      <c r="H561" s="1"/>
      <c r="I561" s="1"/>
      <c r="J561" s="1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6"/>
      <c r="E562" s="1"/>
      <c r="F562" s="1"/>
      <c r="G562" s="1"/>
      <c r="H562" s="1"/>
      <c r="I562" s="1"/>
      <c r="J562" s="1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6"/>
      <c r="E563" s="1"/>
      <c r="F563" s="1"/>
      <c r="G563" s="1"/>
      <c r="H563" s="1"/>
      <c r="I563" s="1"/>
      <c r="J563" s="1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6"/>
      <c r="E564" s="1"/>
      <c r="F564" s="1"/>
      <c r="G564" s="1"/>
      <c r="H564" s="1"/>
      <c r="I564" s="1"/>
      <c r="J564" s="1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6"/>
      <c r="E565" s="1"/>
      <c r="F565" s="1"/>
      <c r="G565" s="1"/>
      <c r="H565" s="1"/>
      <c r="I565" s="1"/>
      <c r="J565" s="1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6"/>
      <c r="E566" s="1"/>
      <c r="F566" s="1"/>
      <c r="G566" s="1"/>
      <c r="H566" s="1"/>
      <c r="I566" s="1"/>
      <c r="J566" s="1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6"/>
      <c r="E567" s="1"/>
      <c r="F567" s="1"/>
      <c r="G567" s="1"/>
      <c r="H567" s="1"/>
      <c r="I567" s="1"/>
      <c r="J567" s="1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6"/>
      <c r="E568" s="1"/>
      <c r="F568" s="1"/>
      <c r="G568" s="1"/>
      <c r="H568" s="1"/>
      <c r="I568" s="1"/>
      <c r="J568" s="1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6"/>
      <c r="E569" s="1"/>
      <c r="F569" s="1"/>
      <c r="G569" s="1"/>
      <c r="H569" s="1"/>
      <c r="I569" s="1"/>
      <c r="J569" s="1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6"/>
      <c r="E570" s="1"/>
      <c r="F570" s="1"/>
      <c r="G570" s="1"/>
      <c r="H570" s="1"/>
      <c r="I570" s="1"/>
      <c r="J570" s="1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6"/>
      <c r="E571" s="1"/>
      <c r="F571" s="1"/>
      <c r="G571" s="1"/>
      <c r="H571" s="1"/>
      <c r="I571" s="1"/>
      <c r="J571" s="1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6"/>
      <c r="E572" s="1"/>
      <c r="F572" s="1"/>
      <c r="G572" s="1"/>
      <c r="H572" s="1"/>
      <c r="I572" s="1"/>
      <c r="J572" s="1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6"/>
      <c r="E573" s="1"/>
      <c r="F573" s="1"/>
      <c r="G573" s="1"/>
      <c r="H573" s="1"/>
      <c r="I573" s="1"/>
      <c r="J573" s="1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6"/>
      <c r="E574" s="1"/>
      <c r="F574" s="1"/>
      <c r="G574" s="1"/>
      <c r="H574" s="1"/>
      <c r="I574" s="1"/>
      <c r="J574" s="1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6"/>
      <c r="E575" s="1"/>
      <c r="F575" s="1"/>
      <c r="G575" s="1"/>
      <c r="H575" s="1"/>
      <c r="I575" s="1"/>
      <c r="J575" s="1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6"/>
      <c r="E576" s="1"/>
      <c r="F576" s="1"/>
      <c r="G576" s="1"/>
      <c r="H576" s="1"/>
      <c r="I576" s="1"/>
      <c r="J576" s="1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6"/>
      <c r="E577" s="1"/>
      <c r="F577" s="1"/>
      <c r="G577" s="1"/>
      <c r="H577" s="1"/>
      <c r="I577" s="1"/>
      <c r="J577" s="1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6"/>
      <c r="E578" s="1"/>
      <c r="F578" s="1"/>
      <c r="G578" s="1"/>
      <c r="H578" s="1"/>
      <c r="I578" s="1"/>
      <c r="J578" s="1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6"/>
      <c r="E579" s="1"/>
      <c r="F579" s="1"/>
      <c r="G579" s="1"/>
      <c r="H579" s="1"/>
      <c r="I579" s="1"/>
      <c r="J579" s="1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6"/>
      <c r="E580" s="1"/>
      <c r="F580" s="1"/>
      <c r="G580" s="1"/>
      <c r="H580" s="1"/>
      <c r="I580" s="1"/>
      <c r="J580" s="1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6"/>
      <c r="E581" s="1"/>
      <c r="F581" s="1"/>
      <c r="G581" s="1"/>
      <c r="H581" s="1"/>
      <c r="I581" s="1"/>
      <c r="J581" s="1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6"/>
      <c r="E582" s="1"/>
      <c r="F582" s="1"/>
      <c r="G582" s="1"/>
      <c r="H582" s="1"/>
      <c r="I582" s="1"/>
      <c r="J582" s="1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6"/>
      <c r="E583" s="1"/>
      <c r="F583" s="1"/>
      <c r="G583" s="1"/>
      <c r="H583" s="1"/>
      <c r="I583" s="1"/>
      <c r="J583" s="1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6"/>
      <c r="E584" s="1"/>
      <c r="F584" s="1"/>
      <c r="G584" s="1"/>
      <c r="H584" s="1"/>
      <c r="I584" s="1"/>
      <c r="J584" s="1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6"/>
      <c r="E585" s="1"/>
      <c r="F585" s="1"/>
      <c r="G585" s="1"/>
      <c r="H585" s="1"/>
      <c r="I585" s="1"/>
      <c r="J585" s="1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6"/>
      <c r="E586" s="1"/>
      <c r="F586" s="1"/>
      <c r="G586" s="1"/>
      <c r="H586" s="1"/>
      <c r="I586" s="1"/>
      <c r="J586" s="1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6"/>
      <c r="E587" s="1"/>
      <c r="F587" s="1"/>
      <c r="G587" s="1"/>
      <c r="H587" s="1"/>
      <c r="I587" s="1"/>
      <c r="J587" s="1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6"/>
      <c r="E588" s="1"/>
      <c r="F588" s="1"/>
      <c r="G588" s="1"/>
      <c r="H588" s="1"/>
      <c r="I588" s="1"/>
      <c r="J588" s="1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6"/>
      <c r="E589" s="1"/>
      <c r="F589" s="1"/>
      <c r="G589" s="1"/>
      <c r="H589" s="1"/>
      <c r="I589" s="1"/>
      <c r="J589" s="1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6"/>
      <c r="E590" s="1"/>
      <c r="F590" s="1"/>
      <c r="G590" s="1"/>
      <c r="H590" s="1"/>
      <c r="I590" s="1"/>
      <c r="J590" s="1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6"/>
      <c r="E591" s="1"/>
      <c r="F591" s="1"/>
      <c r="G591" s="1"/>
      <c r="H591" s="1"/>
      <c r="I591" s="1"/>
      <c r="J591" s="1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6"/>
      <c r="E592" s="1"/>
      <c r="F592" s="1"/>
      <c r="G592" s="1"/>
      <c r="H592" s="1"/>
      <c r="I592" s="1"/>
      <c r="J592" s="1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6"/>
      <c r="E593" s="1"/>
      <c r="F593" s="1"/>
      <c r="G593" s="1"/>
      <c r="H593" s="1"/>
      <c r="I593" s="1"/>
      <c r="J593" s="1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6"/>
      <c r="E594" s="1"/>
      <c r="F594" s="1"/>
      <c r="G594" s="1"/>
      <c r="H594" s="1"/>
      <c r="I594" s="1"/>
      <c r="J594" s="1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6"/>
      <c r="E595" s="1"/>
      <c r="F595" s="1"/>
      <c r="G595" s="1"/>
      <c r="H595" s="1"/>
      <c r="I595" s="1"/>
      <c r="J595" s="1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6"/>
      <c r="E596" s="1"/>
      <c r="F596" s="1"/>
      <c r="G596" s="1"/>
      <c r="H596" s="1"/>
      <c r="I596" s="1"/>
      <c r="J596" s="1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6"/>
      <c r="E597" s="1"/>
      <c r="F597" s="1"/>
      <c r="G597" s="1"/>
      <c r="H597" s="1"/>
      <c r="I597" s="1"/>
      <c r="J597" s="1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6"/>
      <c r="E598" s="1"/>
      <c r="F598" s="1"/>
      <c r="G598" s="1"/>
      <c r="H598" s="1"/>
      <c r="I598" s="1"/>
      <c r="J598" s="1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6"/>
      <c r="E599" s="1"/>
      <c r="F599" s="1"/>
      <c r="G599" s="1"/>
      <c r="H599" s="1"/>
      <c r="I599" s="1"/>
      <c r="J599" s="1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6"/>
      <c r="E600" s="1"/>
      <c r="F600" s="1"/>
      <c r="G600" s="1"/>
      <c r="H600" s="1"/>
      <c r="I600" s="1"/>
      <c r="J600" s="1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6"/>
      <c r="E601" s="1"/>
      <c r="F601" s="1"/>
      <c r="G601" s="1"/>
      <c r="H601" s="1"/>
      <c r="I601" s="1"/>
      <c r="J601" s="1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6"/>
      <c r="E602" s="1"/>
      <c r="F602" s="1"/>
      <c r="G602" s="1"/>
      <c r="H602" s="1"/>
      <c r="I602" s="1"/>
      <c r="J602" s="1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6"/>
      <c r="E603" s="1"/>
      <c r="F603" s="1"/>
      <c r="G603" s="1"/>
      <c r="H603" s="1"/>
      <c r="I603" s="1"/>
      <c r="J603" s="1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6"/>
      <c r="E604" s="1"/>
      <c r="F604" s="1"/>
      <c r="G604" s="1"/>
      <c r="H604" s="1"/>
      <c r="I604" s="1"/>
      <c r="J604" s="1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6"/>
      <c r="E605" s="1"/>
      <c r="F605" s="1"/>
      <c r="G605" s="1"/>
      <c r="H605" s="1"/>
      <c r="I605" s="1"/>
      <c r="J605" s="1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6"/>
      <c r="E606" s="1"/>
      <c r="F606" s="1"/>
      <c r="G606" s="1"/>
      <c r="H606" s="1"/>
      <c r="I606" s="1"/>
      <c r="J606" s="1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6"/>
      <c r="E607" s="1"/>
      <c r="F607" s="1"/>
      <c r="G607" s="1"/>
      <c r="H607" s="1"/>
      <c r="I607" s="1"/>
      <c r="J607" s="1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6"/>
      <c r="E608" s="1"/>
      <c r="F608" s="1"/>
      <c r="G608" s="1"/>
      <c r="H608" s="1"/>
      <c r="I608" s="1"/>
      <c r="J608" s="1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6"/>
      <c r="E609" s="1"/>
      <c r="F609" s="1"/>
      <c r="G609" s="1"/>
      <c r="H609" s="1"/>
      <c r="I609" s="1"/>
      <c r="J609" s="1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6"/>
      <c r="E610" s="1"/>
      <c r="F610" s="1"/>
      <c r="G610" s="1"/>
      <c r="H610" s="1"/>
      <c r="I610" s="1"/>
      <c r="J610" s="1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6"/>
      <c r="E611" s="1"/>
      <c r="F611" s="1"/>
      <c r="G611" s="1"/>
      <c r="H611" s="1"/>
      <c r="I611" s="1"/>
      <c r="J611" s="1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6"/>
      <c r="E612" s="1"/>
      <c r="F612" s="1"/>
      <c r="G612" s="1"/>
      <c r="H612" s="1"/>
      <c r="I612" s="1"/>
      <c r="J612" s="1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6"/>
      <c r="E613" s="1"/>
      <c r="F613" s="1"/>
      <c r="G613" s="1"/>
      <c r="H613" s="1"/>
      <c r="I613" s="1"/>
      <c r="J613" s="1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6"/>
      <c r="E614" s="1"/>
      <c r="F614" s="1"/>
      <c r="G614" s="1"/>
      <c r="H614" s="1"/>
      <c r="I614" s="1"/>
      <c r="J614" s="1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6"/>
      <c r="E615" s="1"/>
      <c r="F615" s="1"/>
      <c r="G615" s="1"/>
      <c r="H615" s="1"/>
      <c r="I615" s="1"/>
      <c r="J615" s="1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6"/>
      <c r="E616" s="1"/>
      <c r="F616" s="1"/>
      <c r="G616" s="1"/>
      <c r="H616" s="1"/>
      <c r="I616" s="1"/>
      <c r="J616" s="1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6"/>
      <c r="E617" s="1"/>
      <c r="F617" s="1"/>
      <c r="G617" s="1"/>
      <c r="H617" s="1"/>
      <c r="I617" s="1"/>
      <c r="J617" s="1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6"/>
      <c r="E618" s="1"/>
      <c r="F618" s="1"/>
      <c r="G618" s="1"/>
      <c r="H618" s="1"/>
      <c r="I618" s="1"/>
      <c r="J618" s="1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6"/>
      <c r="E619" s="1"/>
      <c r="F619" s="1"/>
      <c r="G619" s="1"/>
      <c r="H619" s="1"/>
      <c r="I619" s="1"/>
      <c r="J619" s="1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6"/>
      <c r="E620" s="1"/>
      <c r="F620" s="1"/>
      <c r="G620" s="1"/>
      <c r="H620" s="1"/>
      <c r="I620" s="1"/>
      <c r="J620" s="1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6"/>
      <c r="E621" s="1"/>
      <c r="F621" s="1"/>
      <c r="G621" s="1"/>
      <c r="H621" s="1"/>
      <c r="I621" s="1"/>
      <c r="J621" s="1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6"/>
      <c r="E622" s="1"/>
      <c r="F622" s="1"/>
      <c r="G622" s="1"/>
      <c r="H622" s="1"/>
      <c r="I622" s="1"/>
      <c r="J622" s="1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6"/>
      <c r="E623" s="1"/>
      <c r="F623" s="1"/>
      <c r="G623" s="1"/>
      <c r="H623" s="1"/>
      <c r="I623" s="1"/>
      <c r="J623" s="1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6"/>
      <c r="E624" s="1"/>
      <c r="F624" s="1"/>
      <c r="G624" s="1"/>
      <c r="H624" s="1"/>
      <c r="I624" s="1"/>
      <c r="J624" s="1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6"/>
      <c r="E625" s="1"/>
      <c r="F625" s="1"/>
      <c r="G625" s="1"/>
      <c r="H625" s="1"/>
      <c r="I625" s="1"/>
      <c r="J625" s="1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6"/>
      <c r="E626" s="1"/>
      <c r="F626" s="1"/>
      <c r="G626" s="1"/>
      <c r="H626" s="1"/>
      <c r="I626" s="1"/>
      <c r="J626" s="1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6"/>
      <c r="E627" s="1"/>
      <c r="F627" s="1"/>
      <c r="G627" s="1"/>
      <c r="H627" s="1"/>
      <c r="I627" s="1"/>
      <c r="J627" s="1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6"/>
      <c r="E628" s="1"/>
      <c r="F628" s="1"/>
      <c r="G628" s="1"/>
      <c r="H628" s="1"/>
      <c r="I628" s="1"/>
      <c r="J628" s="1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6"/>
      <c r="E629" s="1"/>
      <c r="F629" s="1"/>
      <c r="G629" s="1"/>
      <c r="H629" s="1"/>
      <c r="I629" s="1"/>
      <c r="J629" s="1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6"/>
      <c r="E630" s="1"/>
      <c r="F630" s="1"/>
      <c r="G630" s="1"/>
      <c r="H630" s="1"/>
      <c r="I630" s="1"/>
      <c r="J630" s="1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6"/>
      <c r="E631" s="1"/>
      <c r="F631" s="1"/>
      <c r="G631" s="1"/>
      <c r="H631" s="1"/>
      <c r="I631" s="1"/>
      <c r="J631" s="1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6"/>
      <c r="E632" s="1"/>
      <c r="F632" s="1"/>
      <c r="G632" s="1"/>
      <c r="H632" s="1"/>
      <c r="I632" s="1"/>
      <c r="J632" s="1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6"/>
      <c r="E633" s="1"/>
      <c r="F633" s="1"/>
      <c r="G633" s="1"/>
      <c r="H633" s="1"/>
      <c r="I633" s="1"/>
      <c r="J633" s="1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6"/>
      <c r="E634" s="1"/>
      <c r="F634" s="1"/>
      <c r="G634" s="1"/>
      <c r="H634" s="1"/>
      <c r="I634" s="1"/>
      <c r="J634" s="1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6"/>
      <c r="E635" s="1"/>
      <c r="F635" s="1"/>
      <c r="G635" s="1"/>
      <c r="H635" s="1"/>
      <c r="I635" s="1"/>
      <c r="J635" s="1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6"/>
      <c r="E636" s="1"/>
      <c r="F636" s="1"/>
      <c r="G636" s="1"/>
      <c r="H636" s="1"/>
      <c r="I636" s="1"/>
      <c r="J636" s="1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6"/>
      <c r="E637" s="1"/>
      <c r="F637" s="1"/>
      <c r="G637" s="1"/>
      <c r="H637" s="1"/>
      <c r="I637" s="1"/>
      <c r="J637" s="1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6"/>
      <c r="E638" s="1"/>
      <c r="F638" s="1"/>
      <c r="G638" s="1"/>
      <c r="H638" s="1"/>
      <c r="I638" s="1"/>
      <c r="J638" s="1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6"/>
      <c r="E639" s="1"/>
      <c r="F639" s="1"/>
      <c r="G639" s="1"/>
      <c r="H639" s="1"/>
      <c r="I639" s="1"/>
      <c r="J639" s="1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6"/>
      <c r="E640" s="1"/>
      <c r="F640" s="1"/>
      <c r="G640" s="1"/>
      <c r="H640" s="1"/>
      <c r="I640" s="1"/>
      <c r="J640" s="1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6"/>
      <c r="E641" s="1"/>
      <c r="F641" s="1"/>
      <c r="G641" s="1"/>
      <c r="H641" s="1"/>
      <c r="I641" s="1"/>
      <c r="J641" s="1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6"/>
      <c r="E642" s="1"/>
      <c r="F642" s="1"/>
      <c r="G642" s="1"/>
      <c r="H642" s="1"/>
      <c r="I642" s="1"/>
      <c r="J642" s="1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6"/>
      <c r="E643" s="1"/>
      <c r="F643" s="1"/>
      <c r="G643" s="1"/>
      <c r="H643" s="1"/>
      <c r="I643" s="1"/>
      <c r="J643" s="1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6"/>
      <c r="E644" s="1"/>
      <c r="F644" s="1"/>
      <c r="G644" s="1"/>
      <c r="H644" s="1"/>
      <c r="I644" s="1"/>
      <c r="J644" s="1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6"/>
      <c r="E645" s="1"/>
      <c r="F645" s="1"/>
      <c r="G645" s="1"/>
      <c r="H645" s="1"/>
      <c r="I645" s="1"/>
      <c r="J645" s="1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6"/>
      <c r="E646" s="1"/>
      <c r="F646" s="1"/>
      <c r="G646" s="1"/>
      <c r="H646" s="1"/>
      <c r="I646" s="1"/>
      <c r="J646" s="1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6"/>
      <c r="E647" s="1"/>
      <c r="F647" s="1"/>
      <c r="G647" s="1"/>
      <c r="H647" s="1"/>
      <c r="I647" s="1"/>
      <c r="J647" s="1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6"/>
      <c r="E648" s="1"/>
      <c r="F648" s="1"/>
      <c r="G648" s="1"/>
      <c r="H648" s="1"/>
      <c r="I648" s="1"/>
      <c r="J648" s="1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6"/>
      <c r="E649" s="1"/>
      <c r="F649" s="1"/>
      <c r="G649" s="1"/>
      <c r="H649" s="1"/>
      <c r="I649" s="1"/>
      <c r="J649" s="1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6"/>
      <c r="E650" s="1"/>
      <c r="F650" s="1"/>
      <c r="G650" s="1"/>
      <c r="H650" s="1"/>
      <c r="I650" s="1"/>
      <c r="J650" s="1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6"/>
      <c r="E651" s="1"/>
      <c r="F651" s="1"/>
      <c r="G651" s="1"/>
      <c r="H651" s="1"/>
      <c r="I651" s="1"/>
      <c r="J651" s="1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6"/>
      <c r="E652" s="1"/>
      <c r="F652" s="1"/>
      <c r="G652" s="1"/>
      <c r="H652" s="1"/>
      <c r="I652" s="1"/>
      <c r="J652" s="1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6"/>
      <c r="E653" s="1"/>
      <c r="F653" s="1"/>
      <c r="G653" s="1"/>
      <c r="H653" s="1"/>
      <c r="I653" s="1"/>
      <c r="J653" s="1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6"/>
      <c r="E654" s="1"/>
      <c r="F654" s="1"/>
      <c r="G654" s="1"/>
      <c r="H654" s="1"/>
      <c r="I654" s="1"/>
      <c r="J654" s="1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6"/>
      <c r="E655" s="1"/>
      <c r="F655" s="1"/>
      <c r="G655" s="1"/>
      <c r="H655" s="1"/>
      <c r="I655" s="1"/>
      <c r="J655" s="1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6"/>
      <c r="E656" s="1"/>
      <c r="F656" s="1"/>
      <c r="G656" s="1"/>
      <c r="H656" s="1"/>
      <c r="I656" s="1"/>
      <c r="J656" s="1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6"/>
      <c r="E657" s="1"/>
      <c r="F657" s="1"/>
      <c r="G657" s="1"/>
      <c r="H657" s="1"/>
      <c r="I657" s="1"/>
      <c r="J657" s="1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6"/>
      <c r="E658" s="1"/>
      <c r="F658" s="1"/>
      <c r="G658" s="1"/>
      <c r="H658" s="1"/>
      <c r="I658" s="1"/>
      <c r="J658" s="1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6"/>
      <c r="E659" s="1"/>
      <c r="F659" s="1"/>
      <c r="G659" s="1"/>
      <c r="H659" s="1"/>
      <c r="I659" s="1"/>
      <c r="J659" s="1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6"/>
      <c r="E660" s="1"/>
      <c r="F660" s="1"/>
      <c r="G660" s="1"/>
      <c r="H660" s="1"/>
      <c r="I660" s="1"/>
      <c r="J660" s="1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6"/>
      <c r="E661" s="1"/>
      <c r="F661" s="1"/>
      <c r="G661" s="1"/>
      <c r="H661" s="1"/>
      <c r="I661" s="1"/>
      <c r="J661" s="1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6"/>
      <c r="E662" s="1"/>
      <c r="F662" s="1"/>
      <c r="G662" s="1"/>
      <c r="H662" s="1"/>
      <c r="I662" s="1"/>
      <c r="J662" s="1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6"/>
      <c r="E663" s="1"/>
      <c r="F663" s="1"/>
      <c r="G663" s="1"/>
      <c r="H663" s="1"/>
      <c r="I663" s="1"/>
      <c r="J663" s="1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6"/>
      <c r="E664" s="1"/>
      <c r="F664" s="1"/>
      <c r="G664" s="1"/>
      <c r="H664" s="1"/>
      <c r="I664" s="1"/>
      <c r="J664" s="1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6"/>
      <c r="E665" s="1"/>
      <c r="F665" s="1"/>
      <c r="G665" s="1"/>
      <c r="H665" s="1"/>
      <c r="I665" s="1"/>
      <c r="J665" s="1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6"/>
      <c r="E666" s="1"/>
      <c r="F666" s="1"/>
      <c r="G666" s="1"/>
      <c r="H666" s="1"/>
      <c r="I666" s="1"/>
      <c r="J666" s="1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6"/>
      <c r="E667" s="1"/>
      <c r="F667" s="1"/>
      <c r="G667" s="1"/>
      <c r="H667" s="1"/>
      <c r="I667" s="1"/>
      <c r="J667" s="1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6"/>
      <c r="E668" s="1"/>
      <c r="F668" s="1"/>
      <c r="G668" s="1"/>
      <c r="H668" s="1"/>
      <c r="I668" s="1"/>
      <c r="J668" s="1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6"/>
      <c r="E669" s="1"/>
      <c r="F669" s="1"/>
      <c r="G669" s="1"/>
      <c r="H669" s="1"/>
      <c r="I669" s="1"/>
      <c r="J669" s="1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6"/>
      <c r="E670" s="1"/>
      <c r="F670" s="1"/>
      <c r="G670" s="1"/>
      <c r="H670" s="1"/>
      <c r="I670" s="1"/>
      <c r="J670" s="1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6"/>
      <c r="E671" s="1"/>
      <c r="F671" s="1"/>
      <c r="G671" s="1"/>
      <c r="H671" s="1"/>
      <c r="I671" s="1"/>
      <c r="J671" s="1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6"/>
      <c r="E672" s="1"/>
      <c r="F672" s="1"/>
      <c r="G672" s="1"/>
      <c r="H672" s="1"/>
      <c r="I672" s="1"/>
      <c r="J672" s="1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6"/>
      <c r="E673" s="1"/>
      <c r="F673" s="1"/>
      <c r="G673" s="1"/>
      <c r="H673" s="1"/>
      <c r="I673" s="1"/>
      <c r="J673" s="1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6"/>
      <c r="E674" s="1"/>
      <c r="F674" s="1"/>
      <c r="G674" s="1"/>
      <c r="H674" s="1"/>
      <c r="I674" s="1"/>
      <c r="J674" s="1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6"/>
      <c r="E675" s="1"/>
      <c r="F675" s="1"/>
      <c r="G675" s="1"/>
      <c r="H675" s="1"/>
      <c r="I675" s="1"/>
      <c r="J675" s="1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6"/>
      <c r="E676" s="1"/>
      <c r="F676" s="1"/>
      <c r="G676" s="1"/>
      <c r="H676" s="1"/>
      <c r="I676" s="1"/>
      <c r="J676" s="1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6"/>
      <c r="E677" s="1"/>
      <c r="F677" s="1"/>
      <c r="G677" s="1"/>
      <c r="H677" s="1"/>
      <c r="I677" s="1"/>
      <c r="J677" s="1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6"/>
      <c r="E678" s="1"/>
      <c r="F678" s="1"/>
      <c r="G678" s="1"/>
      <c r="H678" s="1"/>
      <c r="I678" s="1"/>
      <c r="J678" s="1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6"/>
      <c r="E679" s="1"/>
      <c r="F679" s="1"/>
      <c r="G679" s="1"/>
      <c r="H679" s="1"/>
      <c r="I679" s="1"/>
      <c r="J679" s="1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6"/>
      <c r="E680" s="1"/>
      <c r="F680" s="1"/>
      <c r="G680" s="1"/>
      <c r="H680" s="1"/>
      <c r="I680" s="1"/>
      <c r="J680" s="1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6"/>
      <c r="E681" s="1"/>
      <c r="F681" s="1"/>
      <c r="G681" s="1"/>
      <c r="H681" s="1"/>
      <c r="I681" s="1"/>
      <c r="J681" s="1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6"/>
      <c r="E682" s="1"/>
      <c r="F682" s="1"/>
      <c r="G682" s="1"/>
      <c r="H682" s="1"/>
      <c r="I682" s="1"/>
      <c r="J682" s="1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6"/>
      <c r="E683" s="1"/>
      <c r="F683" s="1"/>
      <c r="G683" s="1"/>
      <c r="H683" s="1"/>
      <c r="I683" s="1"/>
      <c r="J683" s="1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6"/>
      <c r="E684" s="1"/>
      <c r="F684" s="1"/>
      <c r="G684" s="1"/>
      <c r="H684" s="1"/>
      <c r="I684" s="1"/>
      <c r="J684" s="1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6"/>
      <c r="E685" s="1"/>
      <c r="F685" s="1"/>
      <c r="G685" s="1"/>
      <c r="H685" s="1"/>
      <c r="I685" s="1"/>
      <c r="J685" s="1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6"/>
      <c r="E686" s="1"/>
      <c r="F686" s="1"/>
      <c r="G686" s="1"/>
      <c r="H686" s="1"/>
      <c r="I686" s="1"/>
      <c r="J686" s="1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6"/>
      <c r="E687" s="1"/>
      <c r="F687" s="1"/>
      <c r="G687" s="1"/>
      <c r="H687" s="1"/>
      <c r="I687" s="1"/>
      <c r="J687" s="1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6"/>
      <c r="E688" s="1"/>
      <c r="F688" s="1"/>
      <c r="G688" s="1"/>
      <c r="H688" s="1"/>
      <c r="I688" s="1"/>
      <c r="J688" s="1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6"/>
      <c r="E689" s="1"/>
      <c r="F689" s="1"/>
      <c r="G689" s="1"/>
      <c r="H689" s="1"/>
      <c r="I689" s="1"/>
      <c r="J689" s="1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6"/>
      <c r="E690" s="1"/>
      <c r="F690" s="1"/>
      <c r="G690" s="1"/>
      <c r="H690" s="1"/>
      <c r="I690" s="1"/>
      <c r="J690" s="1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6"/>
      <c r="E691" s="1"/>
      <c r="F691" s="1"/>
      <c r="G691" s="1"/>
      <c r="H691" s="1"/>
      <c r="I691" s="1"/>
      <c r="J691" s="1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6"/>
      <c r="E692" s="1"/>
      <c r="F692" s="1"/>
      <c r="G692" s="1"/>
      <c r="H692" s="1"/>
      <c r="I692" s="1"/>
      <c r="J692" s="1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6"/>
      <c r="E693" s="1"/>
      <c r="F693" s="1"/>
      <c r="G693" s="1"/>
      <c r="H693" s="1"/>
      <c r="I693" s="1"/>
      <c r="J693" s="1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6"/>
      <c r="E694" s="1"/>
      <c r="F694" s="1"/>
      <c r="G694" s="1"/>
      <c r="H694" s="1"/>
      <c r="I694" s="1"/>
      <c r="J694" s="1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6"/>
      <c r="E695" s="1"/>
      <c r="F695" s="1"/>
      <c r="G695" s="1"/>
      <c r="H695" s="1"/>
      <c r="I695" s="1"/>
      <c r="J695" s="1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6"/>
      <c r="E696" s="1"/>
      <c r="F696" s="1"/>
      <c r="G696" s="1"/>
      <c r="H696" s="1"/>
      <c r="I696" s="1"/>
      <c r="J696" s="1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6"/>
      <c r="E697" s="1"/>
      <c r="F697" s="1"/>
      <c r="G697" s="1"/>
      <c r="H697" s="1"/>
      <c r="I697" s="1"/>
      <c r="J697" s="1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6"/>
      <c r="E698" s="1"/>
      <c r="F698" s="1"/>
      <c r="G698" s="1"/>
      <c r="H698" s="1"/>
      <c r="I698" s="1"/>
      <c r="J698" s="1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6"/>
      <c r="E699" s="1"/>
      <c r="F699" s="1"/>
      <c r="G699" s="1"/>
      <c r="H699" s="1"/>
      <c r="I699" s="1"/>
      <c r="J699" s="1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6"/>
      <c r="E700" s="1"/>
      <c r="F700" s="1"/>
      <c r="G700" s="1"/>
      <c r="H700" s="1"/>
      <c r="I700" s="1"/>
      <c r="J700" s="1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6"/>
      <c r="E701" s="1"/>
      <c r="F701" s="1"/>
      <c r="G701" s="1"/>
      <c r="H701" s="1"/>
      <c r="I701" s="1"/>
      <c r="J701" s="1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6"/>
      <c r="E702" s="1"/>
      <c r="F702" s="1"/>
      <c r="G702" s="1"/>
      <c r="H702" s="1"/>
      <c r="I702" s="1"/>
      <c r="J702" s="1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6"/>
      <c r="E703" s="1"/>
      <c r="F703" s="1"/>
      <c r="G703" s="1"/>
      <c r="H703" s="1"/>
      <c r="I703" s="1"/>
      <c r="J703" s="1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6"/>
      <c r="E704" s="1"/>
      <c r="F704" s="1"/>
      <c r="G704" s="1"/>
      <c r="H704" s="1"/>
      <c r="I704" s="1"/>
      <c r="J704" s="1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6"/>
      <c r="E705" s="1"/>
      <c r="F705" s="1"/>
      <c r="G705" s="1"/>
      <c r="H705" s="1"/>
      <c r="I705" s="1"/>
      <c r="J705" s="1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6"/>
      <c r="E706" s="1"/>
      <c r="F706" s="1"/>
      <c r="G706" s="1"/>
      <c r="H706" s="1"/>
      <c r="I706" s="1"/>
      <c r="J706" s="1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6"/>
      <c r="E707" s="1"/>
      <c r="F707" s="1"/>
      <c r="G707" s="1"/>
      <c r="H707" s="1"/>
      <c r="I707" s="1"/>
      <c r="J707" s="1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6"/>
      <c r="E708" s="1"/>
      <c r="F708" s="1"/>
      <c r="G708" s="1"/>
      <c r="H708" s="1"/>
      <c r="I708" s="1"/>
      <c r="J708" s="1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6"/>
      <c r="E709" s="1"/>
      <c r="F709" s="1"/>
      <c r="G709" s="1"/>
      <c r="H709" s="1"/>
      <c r="I709" s="1"/>
      <c r="J709" s="1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6"/>
      <c r="E710" s="1"/>
      <c r="F710" s="1"/>
      <c r="G710" s="1"/>
      <c r="H710" s="1"/>
      <c r="I710" s="1"/>
      <c r="J710" s="1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6"/>
      <c r="E711" s="1"/>
      <c r="F711" s="1"/>
      <c r="G711" s="1"/>
      <c r="H711" s="1"/>
      <c r="I711" s="1"/>
      <c r="J711" s="1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6"/>
      <c r="E712" s="1"/>
      <c r="F712" s="1"/>
      <c r="G712" s="1"/>
      <c r="H712" s="1"/>
      <c r="I712" s="1"/>
      <c r="J712" s="1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6"/>
      <c r="E713" s="1"/>
      <c r="F713" s="1"/>
      <c r="G713" s="1"/>
      <c r="H713" s="1"/>
      <c r="I713" s="1"/>
      <c r="J713" s="1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6"/>
      <c r="E714" s="1"/>
      <c r="F714" s="1"/>
      <c r="G714" s="1"/>
      <c r="H714" s="1"/>
      <c r="I714" s="1"/>
      <c r="J714" s="1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6"/>
      <c r="E715" s="1"/>
      <c r="F715" s="1"/>
      <c r="G715" s="1"/>
      <c r="H715" s="1"/>
      <c r="I715" s="1"/>
      <c r="J715" s="1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6"/>
      <c r="E716" s="1"/>
      <c r="F716" s="1"/>
      <c r="G716" s="1"/>
      <c r="H716" s="1"/>
      <c r="I716" s="1"/>
      <c r="J716" s="1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6"/>
      <c r="E717" s="1"/>
      <c r="F717" s="1"/>
      <c r="G717" s="1"/>
      <c r="H717" s="1"/>
      <c r="I717" s="1"/>
      <c r="J717" s="1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6"/>
      <c r="E718" s="1"/>
      <c r="F718" s="1"/>
      <c r="G718" s="1"/>
      <c r="H718" s="1"/>
      <c r="I718" s="1"/>
      <c r="J718" s="1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6"/>
      <c r="E719" s="1"/>
      <c r="F719" s="1"/>
      <c r="G719" s="1"/>
      <c r="H719" s="1"/>
      <c r="I719" s="1"/>
      <c r="J719" s="1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6"/>
      <c r="E720" s="1"/>
      <c r="F720" s="1"/>
      <c r="G720" s="1"/>
      <c r="H720" s="1"/>
      <c r="I720" s="1"/>
      <c r="J720" s="1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6"/>
      <c r="E721" s="1"/>
      <c r="F721" s="1"/>
      <c r="G721" s="1"/>
      <c r="H721" s="1"/>
      <c r="I721" s="1"/>
      <c r="J721" s="1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6"/>
      <c r="E722" s="1"/>
      <c r="F722" s="1"/>
      <c r="G722" s="1"/>
      <c r="H722" s="1"/>
      <c r="I722" s="1"/>
      <c r="J722" s="1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6"/>
      <c r="E723" s="1"/>
      <c r="F723" s="1"/>
      <c r="G723" s="1"/>
      <c r="H723" s="1"/>
      <c r="I723" s="1"/>
      <c r="J723" s="1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6"/>
      <c r="E724" s="1"/>
      <c r="F724" s="1"/>
      <c r="G724" s="1"/>
      <c r="H724" s="1"/>
      <c r="I724" s="1"/>
      <c r="J724" s="1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6"/>
      <c r="E725" s="1"/>
      <c r="F725" s="1"/>
      <c r="G725" s="1"/>
      <c r="H725" s="1"/>
      <c r="I725" s="1"/>
      <c r="J725" s="1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6"/>
      <c r="E726" s="1"/>
      <c r="F726" s="1"/>
      <c r="G726" s="1"/>
      <c r="H726" s="1"/>
      <c r="I726" s="1"/>
      <c r="J726" s="1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6"/>
      <c r="E727" s="1"/>
      <c r="F727" s="1"/>
      <c r="G727" s="1"/>
      <c r="H727" s="1"/>
      <c r="I727" s="1"/>
      <c r="J727" s="1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6"/>
      <c r="E728" s="1"/>
      <c r="F728" s="1"/>
      <c r="G728" s="1"/>
      <c r="H728" s="1"/>
      <c r="I728" s="1"/>
      <c r="J728" s="1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6"/>
      <c r="E729" s="1"/>
      <c r="F729" s="1"/>
      <c r="G729" s="1"/>
      <c r="H729" s="1"/>
      <c r="I729" s="1"/>
      <c r="J729" s="1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6"/>
      <c r="E730" s="1"/>
      <c r="F730" s="1"/>
      <c r="G730" s="1"/>
      <c r="H730" s="1"/>
      <c r="I730" s="1"/>
      <c r="J730" s="1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6"/>
      <c r="E731" s="1"/>
      <c r="F731" s="1"/>
      <c r="G731" s="1"/>
      <c r="H731" s="1"/>
      <c r="I731" s="1"/>
      <c r="J731" s="1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6"/>
      <c r="E732" s="1"/>
      <c r="F732" s="1"/>
      <c r="G732" s="1"/>
      <c r="H732" s="1"/>
      <c r="I732" s="1"/>
      <c r="J732" s="1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6"/>
      <c r="E733" s="1"/>
      <c r="F733" s="1"/>
      <c r="G733" s="1"/>
      <c r="H733" s="1"/>
      <c r="I733" s="1"/>
      <c r="J733" s="1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6"/>
      <c r="E734" s="1"/>
      <c r="F734" s="1"/>
      <c r="G734" s="1"/>
      <c r="H734" s="1"/>
      <c r="I734" s="1"/>
      <c r="J734" s="1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6"/>
      <c r="E735" s="1"/>
      <c r="F735" s="1"/>
      <c r="G735" s="1"/>
      <c r="H735" s="1"/>
      <c r="I735" s="1"/>
      <c r="J735" s="1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6"/>
      <c r="E736" s="1"/>
      <c r="F736" s="1"/>
      <c r="G736" s="1"/>
      <c r="H736" s="1"/>
      <c r="I736" s="1"/>
      <c r="J736" s="1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6"/>
      <c r="E737" s="1"/>
      <c r="F737" s="1"/>
      <c r="G737" s="1"/>
      <c r="H737" s="1"/>
      <c r="I737" s="1"/>
      <c r="J737" s="1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6"/>
      <c r="E738" s="1"/>
      <c r="F738" s="1"/>
      <c r="G738" s="1"/>
      <c r="H738" s="1"/>
      <c r="I738" s="1"/>
      <c r="J738" s="1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6"/>
      <c r="E739" s="1"/>
      <c r="F739" s="1"/>
      <c r="G739" s="1"/>
      <c r="H739" s="1"/>
      <c r="I739" s="1"/>
      <c r="J739" s="1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6"/>
      <c r="E740" s="1"/>
      <c r="F740" s="1"/>
      <c r="G740" s="1"/>
      <c r="H740" s="1"/>
      <c r="I740" s="1"/>
      <c r="J740" s="1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6"/>
      <c r="E741" s="1"/>
      <c r="F741" s="1"/>
      <c r="G741" s="1"/>
      <c r="H741" s="1"/>
      <c r="I741" s="1"/>
      <c r="J741" s="1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6"/>
      <c r="E742" s="1"/>
      <c r="F742" s="1"/>
      <c r="G742" s="1"/>
      <c r="H742" s="1"/>
      <c r="I742" s="1"/>
      <c r="J742" s="1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6"/>
      <c r="E743" s="1"/>
      <c r="F743" s="1"/>
      <c r="G743" s="1"/>
      <c r="H743" s="1"/>
      <c r="I743" s="1"/>
      <c r="J743" s="1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6"/>
      <c r="E744" s="1"/>
      <c r="F744" s="1"/>
      <c r="G744" s="1"/>
      <c r="H744" s="1"/>
      <c r="I744" s="1"/>
      <c r="J744" s="1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6"/>
      <c r="E745" s="1"/>
      <c r="F745" s="1"/>
      <c r="G745" s="1"/>
      <c r="H745" s="1"/>
      <c r="I745" s="1"/>
      <c r="J745" s="1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6"/>
      <c r="E746" s="1"/>
      <c r="F746" s="1"/>
      <c r="G746" s="1"/>
      <c r="H746" s="1"/>
      <c r="I746" s="1"/>
      <c r="J746" s="1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6"/>
      <c r="E747" s="1"/>
      <c r="F747" s="1"/>
      <c r="G747" s="1"/>
      <c r="H747" s="1"/>
      <c r="I747" s="1"/>
      <c r="J747" s="1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6"/>
      <c r="E748" s="1"/>
      <c r="F748" s="1"/>
      <c r="G748" s="1"/>
      <c r="H748" s="1"/>
      <c r="I748" s="1"/>
      <c r="J748" s="1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6"/>
      <c r="E749" s="1"/>
      <c r="F749" s="1"/>
      <c r="G749" s="1"/>
      <c r="H749" s="1"/>
      <c r="I749" s="1"/>
      <c r="J749" s="1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6"/>
      <c r="E750" s="1"/>
      <c r="F750" s="1"/>
      <c r="G750" s="1"/>
      <c r="H750" s="1"/>
      <c r="I750" s="1"/>
      <c r="J750" s="1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6"/>
      <c r="E751" s="1"/>
      <c r="F751" s="1"/>
      <c r="G751" s="1"/>
      <c r="H751" s="1"/>
      <c r="I751" s="1"/>
      <c r="J751" s="1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6"/>
      <c r="E752" s="1"/>
      <c r="F752" s="1"/>
      <c r="G752" s="1"/>
      <c r="H752" s="1"/>
      <c r="I752" s="1"/>
      <c r="J752" s="1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6"/>
      <c r="E753" s="1"/>
      <c r="F753" s="1"/>
      <c r="G753" s="1"/>
      <c r="H753" s="1"/>
      <c r="I753" s="1"/>
      <c r="J753" s="1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6"/>
      <c r="E754" s="1"/>
      <c r="F754" s="1"/>
      <c r="G754" s="1"/>
      <c r="H754" s="1"/>
      <c r="I754" s="1"/>
      <c r="J754" s="1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6"/>
      <c r="E755" s="1"/>
      <c r="F755" s="1"/>
      <c r="G755" s="1"/>
      <c r="H755" s="1"/>
      <c r="I755" s="1"/>
      <c r="J755" s="1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6"/>
      <c r="E756" s="1"/>
      <c r="F756" s="1"/>
      <c r="G756" s="1"/>
      <c r="H756" s="1"/>
      <c r="I756" s="1"/>
      <c r="J756" s="1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6"/>
      <c r="E757" s="1"/>
      <c r="F757" s="1"/>
      <c r="G757" s="1"/>
      <c r="H757" s="1"/>
      <c r="I757" s="1"/>
      <c r="J757" s="1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6"/>
      <c r="E758" s="1"/>
      <c r="F758" s="1"/>
      <c r="G758" s="1"/>
      <c r="H758" s="1"/>
      <c r="I758" s="1"/>
      <c r="J758" s="1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6"/>
      <c r="E759" s="1"/>
      <c r="F759" s="1"/>
      <c r="G759" s="1"/>
      <c r="H759" s="1"/>
      <c r="I759" s="1"/>
      <c r="J759" s="1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6"/>
      <c r="E760" s="1"/>
      <c r="F760" s="1"/>
      <c r="G760" s="1"/>
      <c r="H760" s="1"/>
      <c r="I760" s="1"/>
      <c r="J760" s="1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6"/>
      <c r="E761" s="1"/>
      <c r="F761" s="1"/>
      <c r="G761" s="1"/>
      <c r="H761" s="1"/>
      <c r="I761" s="1"/>
      <c r="J761" s="1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6"/>
      <c r="E762" s="1"/>
      <c r="F762" s="1"/>
      <c r="G762" s="1"/>
      <c r="H762" s="1"/>
      <c r="I762" s="1"/>
      <c r="J762" s="1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6"/>
      <c r="E763" s="1"/>
      <c r="F763" s="1"/>
      <c r="G763" s="1"/>
      <c r="H763" s="1"/>
      <c r="I763" s="1"/>
      <c r="J763" s="1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6"/>
      <c r="E764" s="1"/>
      <c r="F764" s="1"/>
      <c r="G764" s="1"/>
      <c r="H764" s="1"/>
      <c r="I764" s="1"/>
      <c r="J764" s="1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6"/>
      <c r="E765" s="1"/>
      <c r="F765" s="1"/>
      <c r="G765" s="1"/>
      <c r="H765" s="1"/>
      <c r="I765" s="1"/>
      <c r="J765" s="1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6"/>
      <c r="E766" s="1"/>
      <c r="F766" s="1"/>
      <c r="G766" s="1"/>
      <c r="H766" s="1"/>
      <c r="I766" s="1"/>
      <c r="J766" s="1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6"/>
      <c r="E767" s="1"/>
      <c r="F767" s="1"/>
      <c r="G767" s="1"/>
      <c r="H767" s="1"/>
      <c r="I767" s="1"/>
      <c r="J767" s="1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6"/>
      <c r="E768" s="1"/>
      <c r="F768" s="1"/>
      <c r="G768" s="1"/>
      <c r="H768" s="1"/>
      <c r="I768" s="1"/>
      <c r="J768" s="1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6"/>
      <c r="E769" s="1"/>
      <c r="F769" s="1"/>
      <c r="G769" s="1"/>
      <c r="H769" s="1"/>
      <c r="I769" s="1"/>
      <c r="J769" s="1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6"/>
      <c r="E770" s="1"/>
      <c r="F770" s="1"/>
      <c r="G770" s="1"/>
      <c r="H770" s="1"/>
      <c r="I770" s="1"/>
      <c r="J770" s="1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6"/>
      <c r="E771" s="1"/>
      <c r="F771" s="1"/>
      <c r="G771" s="1"/>
      <c r="H771" s="1"/>
      <c r="I771" s="1"/>
      <c r="J771" s="1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6"/>
      <c r="E772" s="1"/>
      <c r="F772" s="1"/>
      <c r="G772" s="1"/>
      <c r="H772" s="1"/>
      <c r="I772" s="1"/>
      <c r="J772" s="1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6"/>
      <c r="E773" s="1"/>
      <c r="F773" s="1"/>
      <c r="G773" s="1"/>
      <c r="H773" s="1"/>
      <c r="I773" s="1"/>
      <c r="J773" s="1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6"/>
      <c r="E774" s="1"/>
      <c r="F774" s="1"/>
      <c r="G774" s="1"/>
      <c r="H774" s="1"/>
      <c r="I774" s="1"/>
      <c r="J774" s="1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6"/>
      <c r="E775" s="1"/>
      <c r="F775" s="1"/>
      <c r="G775" s="1"/>
      <c r="H775" s="1"/>
      <c r="I775" s="1"/>
      <c r="J775" s="1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6"/>
      <c r="E776" s="1"/>
      <c r="F776" s="1"/>
      <c r="G776" s="1"/>
      <c r="H776" s="1"/>
      <c r="I776" s="1"/>
      <c r="J776" s="1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6"/>
      <c r="E777" s="1"/>
      <c r="F777" s="1"/>
      <c r="G777" s="1"/>
      <c r="H777" s="1"/>
      <c r="I777" s="1"/>
      <c r="J777" s="1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6"/>
      <c r="E778" s="1"/>
      <c r="F778" s="1"/>
      <c r="G778" s="1"/>
      <c r="H778" s="1"/>
      <c r="I778" s="1"/>
      <c r="J778" s="1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6"/>
      <c r="E779" s="1"/>
      <c r="F779" s="1"/>
      <c r="G779" s="1"/>
      <c r="H779" s="1"/>
      <c r="I779" s="1"/>
      <c r="J779" s="1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6"/>
      <c r="E780" s="1"/>
      <c r="F780" s="1"/>
      <c r="G780" s="1"/>
      <c r="H780" s="1"/>
      <c r="I780" s="1"/>
      <c r="J780" s="1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6"/>
      <c r="E781" s="1"/>
      <c r="F781" s="1"/>
      <c r="G781" s="1"/>
      <c r="H781" s="1"/>
      <c r="I781" s="1"/>
      <c r="J781" s="1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6"/>
      <c r="E782" s="1"/>
      <c r="F782" s="1"/>
      <c r="G782" s="1"/>
      <c r="H782" s="1"/>
      <c r="I782" s="1"/>
      <c r="J782" s="1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6"/>
      <c r="E783" s="1"/>
      <c r="F783" s="1"/>
      <c r="G783" s="1"/>
      <c r="H783" s="1"/>
      <c r="I783" s="1"/>
      <c r="J783" s="1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6"/>
      <c r="E784" s="1"/>
      <c r="F784" s="1"/>
      <c r="G784" s="1"/>
      <c r="H784" s="1"/>
      <c r="I784" s="1"/>
      <c r="J784" s="1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6"/>
      <c r="E785" s="1"/>
      <c r="F785" s="1"/>
      <c r="G785" s="1"/>
      <c r="H785" s="1"/>
      <c r="I785" s="1"/>
      <c r="J785" s="1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6"/>
      <c r="E786" s="1"/>
      <c r="F786" s="1"/>
      <c r="G786" s="1"/>
      <c r="H786" s="1"/>
      <c r="I786" s="1"/>
      <c r="J786" s="1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6"/>
      <c r="E787" s="1"/>
      <c r="F787" s="1"/>
      <c r="G787" s="1"/>
      <c r="H787" s="1"/>
      <c r="I787" s="1"/>
      <c r="J787" s="1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6"/>
      <c r="E788" s="1"/>
      <c r="F788" s="1"/>
      <c r="G788" s="1"/>
      <c r="H788" s="1"/>
      <c r="I788" s="1"/>
      <c r="J788" s="1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6"/>
      <c r="E789" s="1"/>
      <c r="F789" s="1"/>
      <c r="G789" s="1"/>
      <c r="H789" s="1"/>
      <c r="I789" s="1"/>
      <c r="J789" s="1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6"/>
      <c r="E790" s="1"/>
      <c r="F790" s="1"/>
      <c r="G790" s="1"/>
      <c r="H790" s="1"/>
      <c r="I790" s="1"/>
      <c r="J790" s="1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6"/>
      <c r="E791" s="1"/>
      <c r="F791" s="1"/>
      <c r="G791" s="1"/>
      <c r="H791" s="1"/>
      <c r="I791" s="1"/>
      <c r="J791" s="1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6"/>
      <c r="E792" s="1"/>
      <c r="F792" s="1"/>
      <c r="G792" s="1"/>
      <c r="H792" s="1"/>
      <c r="I792" s="1"/>
      <c r="J792" s="1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6"/>
      <c r="E793" s="1"/>
      <c r="F793" s="1"/>
      <c r="G793" s="1"/>
      <c r="H793" s="1"/>
      <c r="I793" s="1"/>
      <c r="J793" s="1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6"/>
      <c r="E794" s="1"/>
      <c r="F794" s="1"/>
      <c r="G794" s="1"/>
      <c r="H794" s="1"/>
      <c r="I794" s="1"/>
      <c r="J794" s="1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6"/>
      <c r="E795" s="1"/>
      <c r="F795" s="1"/>
      <c r="G795" s="1"/>
      <c r="H795" s="1"/>
      <c r="I795" s="1"/>
      <c r="J795" s="1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6"/>
      <c r="E796" s="1"/>
      <c r="F796" s="1"/>
      <c r="G796" s="1"/>
      <c r="H796" s="1"/>
      <c r="I796" s="1"/>
      <c r="J796" s="1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6"/>
      <c r="E797" s="1"/>
      <c r="F797" s="1"/>
      <c r="G797" s="1"/>
      <c r="H797" s="1"/>
      <c r="I797" s="1"/>
      <c r="J797" s="1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6"/>
      <c r="E798" s="1"/>
      <c r="F798" s="1"/>
      <c r="G798" s="1"/>
      <c r="H798" s="1"/>
      <c r="I798" s="1"/>
      <c r="J798" s="1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6"/>
      <c r="E799" s="1"/>
      <c r="F799" s="1"/>
      <c r="G799" s="1"/>
      <c r="H799" s="1"/>
      <c r="I799" s="1"/>
      <c r="J799" s="1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6"/>
      <c r="E800" s="1"/>
      <c r="F800" s="1"/>
      <c r="G800" s="1"/>
      <c r="H800" s="1"/>
      <c r="I800" s="1"/>
      <c r="J800" s="1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6"/>
      <c r="E801" s="1"/>
      <c r="F801" s="1"/>
      <c r="G801" s="1"/>
      <c r="H801" s="1"/>
      <c r="I801" s="1"/>
      <c r="J801" s="1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6"/>
      <c r="E802" s="1"/>
      <c r="F802" s="1"/>
      <c r="G802" s="1"/>
      <c r="H802" s="1"/>
      <c r="I802" s="1"/>
      <c r="J802" s="1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6"/>
      <c r="E803" s="1"/>
      <c r="F803" s="1"/>
      <c r="G803" s="1"/>
      <c r="H803" s="1"/>
      <c r="I803" s="1"/>
      <c r="J803" s="1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6"/>
      <c r="E804" s="1"/>
      <c r="F804" s="1"/>
      <c r="G804" s="1"/>
      <c r="H804" s="1"/>
      <c r="I804" s="1"/>
      <c r="J804" s="1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6"/>
      <c r="E805" s="1"/>
      <c r="F805" s="1"/>
      <c r="G805" s="1"/>
      <c r="H805" s="1"/>
      <c r="I805" s="1"/>
      <c r="J805" s="1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6"/>
      <c r="E806" s="1"/>
      <c r="F806" s="1"/>
      <c r="G806" s="1"/>
      <c r="H806" s="1"/>
      <c r="I806" s="1"/>
      <c r="J806" s="1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6"/>
      <c r="E807" s="1"/>
      <c r="F807" s="1"/>
      <c r="G807" s="1"/>
      <c r="H807" s="1"/>
      <c r="I807" s="1"/>
      <c r="J807" s="1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6"/>
      <c r="E808" s="1"/>
      <c r="F808" s="1"/>
      <c r="G808" s="1"/>
      <c r="H808" s="1"/>
      <c r="I808" s="1"/>
      <c r="J808" s="1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6"/>
      <c r="E809" s="1"/>
      <c r="F809" s="1"/>
      <c r="G809" s="1"/>
      <c r="H809" s="1"/>
      <c r="I809" s="1"/>
      <c r="J809" s="1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6"/>
      <c r="E810" s="1"/>
      <c r="F810" s="1"/>
      <c r="G810" s="1"/>
      <c r="H810" s="1"/>
      <c r="I810" s="1"/>
      <c r="J810" s="1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6"/>
      <c r="E811" s="1"/>
      <c r="F811" s="1"/>
      <c r="G811" s="1"/>
      <c r="H811" s="1"/>
      <c r="I811" s="1"/>
      <c r="J811" s="1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6"/>
      <c r="E812" s="1"/>
      <c r="F812" s="1"/>
      <c r="G812" s="1"/>
      <c r="H812" s="1"/>
      <c r="I812" s="1"/>
      <c r="J812" s="1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6"/>
      <c r="E813" s="1"/>
      <c r="F813" s="1"/>
      <c r="G813" s="1"/>
      <c r="H813" s="1"/>
      <c r="I813" s="1"/>
      <c r="J813" s="1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6"/>
      <c r="E814" s="1"/>
      <c r="F814" s="1"/>
      <c r="G814" s="1"/>
      <c r="H814" s="1"/>
      <c r="I814" s="1"/>
      <c r="J814" s="1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6"/>
      <c r="E815" s="1"/>
      <c r="F815" s="1"/>
      <c r="G815" s="1"/>
      <c r="H815" s="1"/>
      <c r="I815" s="1"/>
      <c r="J815" s="1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6"/>
      <c r="E816" s="1"/>
      <c r="F816" s="1"/>
      <c r="G816" s="1"/>
      <c r="H816" s="1"/>
      <c r="I816" s="1"/>
      <c r="J816" s="1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6"/>
      <c r="E817" s="1"/>
      <c r="F817" s="1"/>
      <c r="G817" s="1"/>
      <c r="H817" s="1"/>
      <c r="I817" s="1"/>
      <c r="J817" s="1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6"/>
      <c r="E818" s="1"/>
      <c r="F818" s="1"/>
      <c r="G818" s="1"/>
      <c r="H818" s="1"/>
      <c r="I818" s="1"/>
      <c r="J818" s="1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6"/>
      <c r="E819" s="1"/>
      <c r="F819" s="1"/>
      <c r="G819" s="1"/>
      <c r="H819" s="1"/>
      <c r="I819" s="1"/>
      <c r="J819" s="1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6"/>
      <c r="E820" s="1"/>
      <c r="F820" s="1"/>
      <c r="G820" s="1"/>
      <c r="H820" s="1"/>
      <c r="I820" s="1"/>
      <c r="J820" s="1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6"/>
      <c r="E821" s="1"/>
      <c r="F821" s="1"/>
      <c r="G821" s="1"/>
      <c r="H821" s="1"/>
      <c r="I821" s="1"/>
      <c r="J821" s="1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6"/>
      <c r="E822" s="1"/>
      <c r="F822" s="1"/>
      <c r="G822" s="1"/>
      <c r="H822" s="1"/>
      <c r="I822" s="1"/>
      <c r="J822" s="1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6"/>
      <c r="E823" s="1"/>
      <c r="F823" s="1"/>
      <c r="G823" s="1"/>
      <c r="H823" s="1"/>
      <c r="I823" s="1"/>
      <c r="J823" s="1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6"/>
      <c r="E824" s="1"/>
      <c r="F824" s="1"/>
      <c r="G824" s="1"/>
      <c r="H824" s="1"/>
      <c r="I824" s="1"/>
      <c r="J824" s="1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6"/>
      <c r="E825" s="1"/>
      <c r="F825" s="1"/>
      <c r="G825" s="1"/>
      <c r="H825" s="1"/>
      <c r="I825" s="1"/>
      <c r="J825" s="1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6"/>
      <c r="E826" s="1"/>
      <c r="F826" s="1"/>
      <c r="G826" s="1"/>
      <c r="H826" s="1"/>
      <c r="I826" s="1"/>
      <c r="J826" s="1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6"/>
      <c r="E827" s="1"/>
      <c r="F827" s="1"/>
      <c r="G827" s="1"/>
      <c r="H827" s="1"/>
      <c r="I827" s="1"/>
      <c r="J827" s="1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6"/>
      <c r="E828" s="1"/>
      <c r="F828" s="1"/>
      <c r="G828" s="1"/>
      <c r="H828" s="1"/>
      <c r="I828" s="1"/>
      <c r="J828" s="1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6"/>
      <c r="E829" s="1"/>
      <c r="F829" s="1"/>
      <c r="G829" s="1"/>
      <c r="H829" s="1"/>
      <c r="I829" s="1"/>
      <c r="J829" s="1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6"/>
      <c r="E830" s="1"/>
      <c r="F830" s="1"/>
      <c r="G830" s="1"/>
      <c r="H830" s="1"/>
      <c r="I830" s="1"/>
      <c r="J830" s="1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6"/>
      <c r="E831" s="1"/>
      <c r="F831" s="1"/>
      <c r="G831" s="1"/>
      <c r="H831" s="1"/>
      <c r="I831" s="1"/>
      <c r="J831" s="1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6"/>
      <c r="E832" s="1"/>
      <c r="F832" s="1"/>
      <c r="G832" s="1"/>
      <c r="H832" s="1"/>
      <c r="I832" s="1"/>
      <c r="J832" s="1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6"/>
      <c r="E833" s="1"/>
      <c r="F833" s="1"/>
      <c r="G833" s="1"/>
      <c r="H833" s="1"/>
      <c r="I833" s="1"/>
      <c r="J833" s="1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6"/>
      <c r="E834" s="1"/>
      <c r="F834" s="1"/>
      <c r="G834" s="1"/>
      <c r="H834" s="1"/>
      <c r="I834" s="1"/>
      <c r="J834" s="1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6"/>
      <c r="E835" s="1"/>
      <c r="F835" s="1"/>
      <c r="G835" s="1"/>
      <c r="H835" s="1"/>
      <c r="I835" s="1"/>
      <c r="J835" s="1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6"/>
      <c r="E836" s="1"/>
      <c r="F836" s="1"/>
      <c r="G836" s="1"/>
      <c r="H836" s="1"/>
      <c r="I836" s="1"/>
      <c r="J836" s="1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6"/>
      <c r="E837" s="1"/>
      <c r="F837" s="1"/>
      <c r="G837" s="1"/>
      <c r="H837" s="1"/>
      <c r="I837" s="1"/>
      <c r="J837" s="1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6"/>
      <c r="E838" s="1"/>
      <c r="F838" s="1"/>
      <c r="G838" s="1"/>
      <c r="H838" s="1"/>
      <c r="I838" s="1"/>
      <c r="J838" s="1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6"/>
      <c r="E839" s="1"/>
      <c r="F839" s="1"/>
      <c r="G839" s="1"/>
      <c r="H839" s="1"/>
      <c r="I839" s="1"/>
      <c r="J839" s="1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6"/>
      <c r="E840" s="1"/>
      <c r="F840" s="1"/>
      <c r="G840" s="1"/>
      <c r="H840" s="1"/>
      <c r="I840" s="1"/>
      <c r="J840" s="1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6"/>
      <c r="E841" s="1"/>
      <c r="F841" s="1"/>
      <c r="G841" s="1"/>
      <c r="H841" s="1"/>
      <c r="I841" s="1"/>
      <c r="J841" s="1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6"/>
      <c r="E842" s="1"/>
      <c r="F842" s="1"/>
      <c r="G842" s="1"/>
      <c r="H842" s="1"/>
      <c r="I842" s="1"/>
      <c r="J842" s="1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6"/>
      <c r="E843" s="1"/>
      <c r="F843" s="1"/>
      <c r="G843" s="1"/>
      <c r="H843" s="1"/>
      <c r="I843" s="1"/>
      <c r="J843" s="1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6"/>
      <c r="E844" s="1"/>
      <c r="F844" s="1"/>
      <c r="G844" s="1"/>
      <c r="H844" s="1"/>
      <c r="I844" s="1"/>
      <c r="J844" s="1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6"/>
      <c r="E845" s="1"/>
      <c r="F845" s="1"/>
      <c r="G845" s="1"/>
      <c r="H845" s="1"/>
      <c r="I845" s="1"/>
      <c r="J845" s="1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6"/>
      <c r="E846" s="1"/>
      <c r="F846" s="1"/>
      <c r="G846" s="1"/>
      <c r="H846" s="1"/>
      <c r="I846" s="1"/>
      <c r="J846" s="1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6"/>
      <c r="E847" s="1"/>
      <c r="F847" s="1"/>
      <c r="G847" s="1"/>
      <c r="H847" s="1"/>
      <c r="I847" s="1"/>
      <c r="J847" s="1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6"/>
      <c r="E848" s="1"/>
      <c r="F848" s="1"/>
      <c r="G848" s="1"/>
      <c r="H848" s="1"/>
      <c r="I848" s="1"/>
      <c r="J848" s="1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6"/>
      <c r="E849" s="1"/>
      <c r="F849" s="1"/>
      <c r="G849" s="1"/>
      <c r="H849" s="1"/>
      <c r="I849" s="1"/>
      <c r="J849" s="1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6"/>
      <c r="E850" s="1"/>
      <c r="F850" s="1"/>
      <c r="G850" s="1"/>
      <c r="H850" s="1"/>
      <c r="I850" s="1"/>
      <c r="J850" s="1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6"/>
      <c r="E851" s="1"/>
      <c r="F851" s="1"/>
      <c r="G851" s="1"/>
      <c r="H851" s="1"/>
      <c r="I851" s="1"/>
      <c r="J851" s="1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6"/>
      <c r="E852" s="1"/>
      <c r="F852" s="1"/>
      <c r="G852" s="1"/>
      <c r="H852" s="1"/>
      <c r="I852" s="1"/>
      <c r="J852" s="1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6"/>
      <c r="E853" s="1"/>
      <c r="F853" s="1"/>
      <c r="G853" s="1"/>
      <c r="H853" s="1"/>
      <c r="I853" s="1"/>
      <c r="J853" s="1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6"/>
      <c r="E854" s="1"/>
      <c r="F854" s="1"/>
      <c r="G854" s="1"/>
      <c r="H854" s="1"/>
      <c r="I854" s="1"/>
      <c r="J854" s="1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6"/>
      <c r="E855" s="1"/>
      <c r="F855" s="1"/>
      <c r="G855" s="1"/>
      <c r="H855" s="1"/>
      <c r="I855" s="1"/>
      <c r="J855" s="1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6"/>
      <c r="E856" s="1"/>
      <c r="F856" s="1"/>
      <c r="G856" s="1"/>
      <c r="H856" s="1"/>
      <c r="I856" s="1"/>
      <c r="J856" s="1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6"/>
      <c r="E857" s="1"/>
      <c r="F857" s="1"/>
      <c r="G857" s="1"/>
      <c r="H857" s="1"/>
      <c r="I857" s="1"/>
      <c r="J857" s="1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6"/>
      <c r="E858" s="1"/>
      <c r="F858" s="1"/>
      <c r="G858" s="1"/>
      <c r="H858" s="1"/>
      <c r="I858" s="1"/>
      <c r="J858" s="1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6"/>
      <c r="E859" s="1"/>
      <c r="F859" s="1"/>
      <c r="G859" s="1"/>
      <c r="H859" s="1"/>
      <c r="I859" s="1"/>
      <c r="J859" s="1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6"/>
      <c r="E860" s="1"/>
      <c r="F860" s="1"/>
      <c r="G860" s="1"/>
      <c r="H860" s="1"/>
      <c r="I860" s="1"/>
      <c r="J860" s="1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6"/>
      <c r="E861" s="1"/>
      <c r="F861" s="1"/>
      <c r="G861" s="1"/>
      <c r="H861" s="1"/>
      <c r="I861" s="1"/>
      <c r="J861" s="1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6"/>
      <c r="E862" s="1"/>
      <c r="F862" s="1"/>
      <c r="G862" s="1"/>
      <c r="H862" s="1"/>
      <c r="I862" s="1"/>
      <c r="J862" s="1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6"/>
      <c r="E863" s="1"/>
      <c r="F863" s="1"/>
      <c r="G863" s="1"/>
      <c r="H863" s="1"/>
      <c r="I863" s="1"/>
      <c r="J863" s="1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6"/>
      <c r="E864" s="1"/>
      <c r="F864" s="1"/>
      <c r="G864" s="1"/>
      <c r="H864" s="1"/>
      <c r="I864" s="1"/>
      <c r="J864" s="1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6"/>
      <c r="E865" s="1"/>
      <c r="F865" s="1"/>
      <c r="G865" s="1"/>
      <c r="H865" s="1"/>
      <c r="I865" s="1"/>
      <c r="J865" s="1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6"/>
      <c r="E866" s="1"/>
      <c r="F866" s="1"/>
      <c r="G866" s="1"/>
      <c r="H866" s="1"/>
      <c r="I866" s="1"/>
      <c r="J866" s="1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6"/>
      <c r="E867" s="1"/>
      <c r="F867" s="1"/>
      <c r="G867" s="1"/>
      <c r="H867" s="1"/>
      <c r="I867" s="1"/>
      <c r="J867" s="1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6"/>
      <c r="E868" s="1"/>
      <c r="F868" s="1"/>
      <c r="G868" s="1"/>
      <c r="H868" s="1"/>
      <c r="I868" s="1"/>
      <c r="J868" s="1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6"/>
      <c r="E869" s="1"/>
      <c r="F869" s="1"/>
      <c r="G869" s="1"/>
      <c r="H869" s="1"/>
      <c r="I869" s="1"/>
      <c r="J869" s="1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6"/>
      <c r="E870" s="1"/>
      <c r="F870" s="1"/>
      <c r="G870" s="1"/>
      <c r="H870" s="1"/>
      <c r="I870" s="1"/>
      <c r="J870" s="1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6"/>
      <c r="E871" s="1"/>
      <c r="F871" s="1"/>
      <c r="G871" s="1"/>
      <c r="H871" s="1"/>
      <c r="I871" s="1"/>
      <c r="J871" s="1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6"/>
      <c r="E872" s="1"/>
      <c r="F872" s="1"/>
      <c r="G872" s="1"/>
      <c r="H872" s="1"/>
      <c r="I872" s="1"/>
      <c r="J872" s="1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6"/>
      <c r="E873" s="1"/>
      <c r="F873" s="1"/>
      <c r="G873" s="1"/>
      <c r="H873" s="1"/>
      <c r="I873" s="1"/>
      <c r="J873" s="1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6"/>
      <c r="E874" s="1"/>
      <c r="F874" s="1"/>
      <c r="G874" s="1"/>
      <c r="H874" s="1"/>
      <c r="I874" s="1"/>
      <c r="J874" s="1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6"/>
      <c r="E875" s="1"/>
      <c r="F875" s="1"/>
      <c r="G875" s="1"/>
      <c r="H875" s="1"/>
      <c r="I875" s="1"/>
      <c r="J875" s="1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6"/>
      <c r="E876" s="1"/>
      <c r="F876" s="1"/>
      <c r="G876" s="1"/>
      <c r="H876" s="1"/>
      <c r="I876" s="1"/>
      <c r="J876" s="1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6"/>
      <c r="E877" s="1"/>
      <c r="F877" s="1"/>
      <c r="G877" s="1"/>
      <c r="H877" s="1"/>
      <c r="I877" s="1"/>
      <c r="J877" s="1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6"/>
      <c r="E878" s="1"/>
      <c r="F878" s="1"/>
      <c r="G878" s="1"/>
      <c r="H878" s="1"/>
      <c r="I878" s="1"/>
      <c r="J878" s="1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6"/>
      <c r="E879" s="1"/>
      <c r="F879" s="1"/>
      <c r="G879" s="1"/>
      <c r="H879" s="1"/>
      <c r="I879" s="1"/>
      <c r="J879" s="1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6"/>
      <c r="E880" s="1"/>
      <c r="F880" s="1"/>
      <c r="G880" s="1"/>
      <c r="H880" s="1"/>
      <c r="I880" s="1"/>
      <c r="J880" s="1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6"/>
      <c r="E881" s="1"/>
      <c r="F881" s="1"/>
      <c r="G881" s="1"/>
      <c r="H881" s="1"/>
      <c r="I881" s="1"/>
      <c r="J881" s="1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6"/>
      <c r="E882" s="1"/>
      <c r="F882" s="1"/>
      <c r="G882" s="1"/>
      <c r="H882" s="1"/>
      <c r="I882" s="1"/>
      <c r="J882" s="1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6"/>
      <c r="E883" s="1"/>
      <c r="F883" s="1"/>
      <c r="G883" s="1"/>
      <c r="H883" s="1"/>
      <c r="I883" s="1"/>
      <c r="J883" s="1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6"/>
      <c r="E884" s="1"/>
      <c r="F884" s="1"/>
      <c r="G884" s="1"/>
      <c r="H884" s="1"/>
      <c r="I884" s="1"/>
      <c r="J884" s="1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6"/>
      <c r="E885" s="1"/>
      <c r="F885" s="1"/>
      <c r="G885" s="1"/>
      <c r="H885" s="1"/>
      <c r="I885" s="1"/>
      <c r="J885" s="1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6"/>
      <c r="E886" s="1"/>
      <c r="F886" s="1"/>
      <c r="G886" s="1"/>
      <c r="H886" s="1"/>
      <c r="I886" s="1"/>
      <c r="J886" s="1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6"/>
      <c r="E887" s="1"/>
      <c r="F887" s="1"/>
      <c r="G887" s="1"/>
      <c r="H887" s="1"/>
      <c r="I887" s="1"/>
      <c r="J887" s="1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6"/>
      <c r="E888" s="1"/>
      <c r="F888" s="1"/>
      <c r="G888" s="1"/>
      <c r="H888" s="1"/>
      <c r="I888" s="1"/>
      <c r="J888" s="1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6"/>
      <c r="E889" s="1"/>
      <c r="F889" s="1"/>
      <c r="G889" s="1"/>
      <c r="H889" s="1"/>
      <c r="I889" s="1"/>
      <c r="J889" s="1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6"/>
      <c r="E890" s="1"/>
      <c r="F890" s="1"/>
      <c r="G890" s="1"/>
      <c r="H890" s="1"/>
      <c r="I890" s="1"/>
      <c r="J890" s="1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6"/>
      <c r="E891" s="1"/>
      <c r="F891" s="1"/>
      <c r="G891" s="1"/>
      <c r="H891" s="1"/>
      <c r="I891" s="1"/>
      <c r="J891" s="1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6"/>
      <c r="E892" s="1"/>
      <c r="F892" s="1"/>
      <c r="G892" s="1"/>
      <c r="H892" s="1"/>
      <c r="I892" s="1"/>
      <c r="J892" s="1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6"/>
      <c r="E893" s="1"/>
      <c r="F893" s="1"/>
      <c r="G893" s="1"/>
      <c r="H893" s="1"/>
      <c r="I893" s="1"/>
      <c r="J893" s="1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6"/>
      <c r="E894" s="1"/>
      <c r="F894" s="1"/>
      <c r="G894" s="1"/>
      <c r="H894" s="1"/>
      <c r="I894" s="1"/>
      <c r="J894" s="1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6"/>
      <c r="E895" s="1"/>
      <c r="F895" s="1"/>
      <c r="G895" s="1"/>
      <c r="H895" s="1"/>
      <c r="I895" s="1"/>
      <c r="J895" s="1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6"/>
      <c r="E896" s="1"/>
      <c r="F896" s="1"/>
      <c r="G896" s="1"/>
      <c r="H896" s="1"/>
      <c r="I896" s="1"/>
      <c r="J896" s="1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6"/>
      <c r="E897" s="1"/>
      <c r="F897" s="1"/>
      <c r="G897" s="1"/>
      <c r="H897" s="1"/>
      <c r="I897" s="1"/>
      <c r="J897" s="1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6"/>
      <c r="E898" s="1"/>
      <c r="F898" s="1"/>
      <c r="G898" s="1"/>
      <c r="H898" s="1"/>
      <c r="I898" s="1"/>
      <c r="J898" s="1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6"/>
      <c r="E899" s="1"/>
      <c r="F899" s="1"/>
      <c r="G899" s="1"/>
      <c r="H899" s="1"/>
      <c r="I899" s="1"/>
      <c r="J899" s="1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6"/>
      <c r="E900" s="1"/>
      <c r="F900" s="1"/>
      <c r="G900" s="1"/>
      <c r="H900" s="1"/>
      <c r="I900" s="1"/>
      <c r="J900" s="1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6"/>
      <c r="E901" s="1"/>
      <c r="F901" s="1"/>
      <c r="G901" s="1"/>
      <c r="H901" s="1"/>
      <c r="I901" s="1"/>
      <c r="J901" s="1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6"/>
      <c r="E902" s="1"/>
      <c r="F902" s="1"/>
      <c r="G902" s="1"/>
      <c r="H902" s="1"/>
      <c r="I902" s="1"/>
      <c r="J902" s="1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6"/>
      <c r="E903" s="1"/>
      <c r="F903" s="1"/>
      <c r="G903" s="1"/>
      <c r="H903" s="1"/>
      <c r="I903" s="1"/>
      <c r="J903" s="1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6"/>
      <c r="E904" s="1"/>
      <c r="F904" s="1"/>
      <c r="G904" s="1"/>
      <c r="H904" s="1"/>
      <c r="I904" s="1"/>
      <c r="J904" s="1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6"/>
      <c r="E905" s="1"/>
      <c r="F905" s="1"/>
      <c r="G905" s="1"/>
      <c r="H905" s="1"/>
      <c r="I905" s="1"/>
      <c r="J905" s="1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6"/>
      <c r="E906" s="1"/>
      <c r="F906" s="1"/>
      <c r="G906" s="1"/>
      <c r="H906" s="1"/>
      <c r="I906" s="1"/>
      <c r="J906" s="1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6"/>
      <c r="E907" s="1"/>
      <c r="F907" s="1"/>
      <c r="G907" s="1"/>
      <c r="H907" s="1"/>
      <c r="I907" s="1"/>
      <c r="J907" s="1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6"/>
      <c r="E908" s="1"/>
      <c r="F908" s="1"/>
      <c r="G908" s="1"/>
      <c r="H908" s="1"/>
      <c r="I908" s="1"/>
      <c r="J908" s="1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6"/>
      <c r="E909" s="1"/>
      <c r="F909" s="1"/>
      <c r="G909" s="1"/>
      <c r="H909" s="1"/>
      <c r="I909" s="1"/>
      <c r="J909" s="1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6"/>
      <c r="E910" s="1"/>
      <c r="F910" s="1"/>
      <c r="G910" s="1"/>
      <c r="H910" s="1"/>
      <c r="I910" s="1"/>
      <c r="J910" s="1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6"/>
      <c r="E911" s="1"/>
      <c r="F911" s="1"/>
      <c r="G911" s="1"/>
      <c r="H911" s="1"/>
      <c r="I911" s="1"/>
      <c r="J911" s="1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6"/>
      <c r="E912" s="1"/>
      <c r="F912" s="1"/>
      <c r="G912" s="1"/>
      <c r="H912" s="1"/>
      <c r="I912" s="1"/>
      <c r="J912" s="1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6"/>
      <c r="E913" s="1"/>
      <c r="F913" s="1"/>
      <c r="G913" s="1"/>
      <c r="H913" s="1"/>
      <c r="I913" s="1"/>
      <c r="J913" s="1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6"/>
      <c r="E914" s="1"/>
      <c r="F914" s="1"/>
      <c r="G914" s="1"/>
      <c r="H914" s="1"/>
      <c r="I914" s="1"/>
      <c r="J914" s="1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6"/>
      <c r="E915" s="1"/>
      <c r="F915" s="1"/>
      <c r="G915" s="1"/>
      <c r="H915" s="1"/>
      <c r="I915" s="1"/>
      <c r="J915" s="1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6"/>
      <c r="E916" s="1"/>
      <c r="F916" s="1"/>
      <c r="G916" s="1"/>
      <c r="H916" s="1"/>
      <c r="I916" s="1"/>
      <c r="J916" s="1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6"/>
      <c r="E917" s="1"/>
      <c r="F917" s="1"/>
      <c r="G917" s="1"/>
      <c r="H917" s="1"/>
      <c r="I917" s="1"/>
      <c r="J917" s="1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6"/>
      <c r="E918" s="1"/>
      <c r="F918" s="1"/>
      <c r="G918" s="1"/>
      <c r="H918" s="1"/>
      <c r="I918" s="1"/>
      <c r="J918" s="1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6"/>
      <c r="E919" s="1"/>
      <c r="F919" s="1"/>
      <c r="G919" s="1"/>
      <c r="H919" s="1"/>
      <c r="I919" s="1"/>
      <c r="J919" s="1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6"/>
      <c r="E920" s="1"/>
      <c r="F920" s="1"/>
      <c r="G920" s="1"/>
      <c r="H920" s="1"/>
      <c r="I920" s="1"/>
      <c r="J920" s="1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6"/>
      <c r="E921" s="1"/>
      <c r="F921" s="1"/>
      <c r="G921" s="1"/>
      <c r="H921" s="1"/>
      <c r="I921" s="1"/>
      <c r="J921" s="1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6"/>
      <c r="E922" s="1"/>
      <c r="F922" s="1"/>
      <c r="G922" s="1"/>
      <c r="H922" s="1"/>
      <c r="I922" s="1"/>
      <c r="J922" s="1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6"/>
      <c r="E923" s="1"/>
      <c r="F923" s="1"/>
      <c r="G923" s="1"/>
      <c r="H923" s="1"/>
      <c r="I923" s="1"/>
      <c r="J923" s="1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6"/>
      <c r="E924" s="1"/>
      <c r="F924" s="1"/>
      <c r="G924" s="1"/>
      <c r="H924" s="1"/>
      <c r="I924" s="1"/>
      <c r="J924" s="1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6"/>
      <c r="E925" s="1"/>
      <c r="F925" s="1"/>
      <c r="G925" s="1"/>
      <c r="H925" s="1"/>
      <c r="I925" s="1"/>
      <c r="J925" s="1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6"/>
      <c r="E926" s="1"/>
      <c r="F926" s="1"/>
      <c r="G926" s="1"/>
      <c r="H926" s="1"/>
      <c r="I926" s="1"/>
      <c r="J926" s="1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6"/>
      <c r="E927" s="1"/>
      <c r="F927" s="1"/>
      <c r="G927" s="1"/>
      <c r="H927" s="1"/>
      <c r="I927" s="1"/>
      <c r="J927" s="1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6"/>
      <c r="E928" s="1"/>
      <c r="F928" s="1"/>
      <c r="G928" s="1"/>
      <c r="H928" s="1"/>
      <c r="I928" s="1"/>
      <c r="J928" s="1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6"/>
      <c r="E929" s="1"/>
      <c r="F929" s="1"/>
      <c r="G929" s="1"/>
      <c r="H929" s="1"/>
      <c r="I929" s="1"/>
      <c r="J929" s="1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6"/>
      <c r="E930" s="1"/>
      <c r="F930" s="1"/>
      <c r="G930" s="1"/>
      <c r="H930" s="1"/>
      <c r="I930" s="1"/>
      <c r="J930" s="1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6"/>
      <c r="E931" s="1"/>
      <c r="F931" s="1"/>
      <c r="G931" s="1"/>
      <c r="H931" s="1"/>
      <c r="I931" s="1"/>
      <c r="J931" s="1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6"/>
      <c r="E932" s="1"/>
      <c r="F932" s="1"/>
      <c r="G932" s="1"/>
      <c r="H932" s="1"/>
      <c r="I932" s="1"/>
      <c r="J932" s="1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6"/>
      <c r="E933" s="1"/>
      <c r="F933" s="1"/>
      <c r="G933" s="1"/>
      <c r="H933" s="1"/>
      <c r="I933" s="1"/>
      <c r="J933" s="1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6"/>
      <c r="E934" s="1"/>
      <c r="F934" s="1"/>
      <c r="G934" s="1"/>
      <c r="H934" s="1"/>
      <c r="I934" s="1"/>
      <c r="J934" s="1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6"/>
      <c r="E935" s="1"/>
      <c r="F935" s="1"/>
      <c r="G935" s="1"/>
      <c r="H935" s="1"/>
      <c r="I935" s="1"/>
      <c r="J935" s="1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6"/>
      <c r="E936" s="1"/>
      <c r="F936" s="1"/>
      <c r="G936" s="1"/>
      <c r="H936" s="1"/>
      <c r="I936" s="1"/>
      <c r="J936" s="1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6"/>
      <c r="E937" s="1"/>
      <c r="F937" s="1"/>
      <c r="G937" s="1"/>
      <c r="H937" s="1"/>
      <c r="I937" s="1"/>
      <c r="J937" s="1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6"/>
      <c r="E938" s="1"/>
      <c r="F938" s="1"/>
      <c r="G938" s="1"/>
      <c r="H938" s="1"/>
      <c r="I938" s="1"/>
      <c r="J938" s="1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6"/>
      <c r="E939" s="1"/>
      <c r="F939" s="1"/>
      <c r="G939" s="1"/>
      <c r="H939" s="1"/>
      <c r="I939" s="1"/>
      <c r="J939" s="1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6"/>
      <c r="E940" s="1"/>
      <c r="F940" s="1"/>
      <c r="G940" s="1"/>
      <c r="H940" s="1"/>
      <c r="I940" s="1"/>
      <c r="J940" s="1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6"/>
      <c r="E941" s="1"/>
      <c r="F941" s="1"/>
      <c r="G941" s="1"/>
      <c r="H941" s="1"/>
      <c r="I941" s="1"/>
      <c r="J941" s="1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6"/>
      <c r="E942" s="1"/>
      <c r="F942" s="1"/>
      <c r="G942" s="1"/>
      <c r="H942" s="1"/>
      <c r="I942" s="1"/>
      <c r="J942" s="1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6"/>
      <c r="E943" s="1"/>
      <c r="F943" s="1"/>
      <c r="G943" s="1"/>
      <c r="H943" s="1"/>
      <c r="I943" s="1"/>
      <c r="J943" s="1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6"/>
      <c r="E944" s="1"/>
      <c r="F944" s="1"/>
      <c r="G944" s="1"/>
      <c r="H944" s="1"/>
      <c r="I944" s="1"/>
      <c r="J944" s="1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6"/>
      <c r="E945" s="1"/>
      <c r="F945" s="1"/>
      <c r="G945" s="1"/>
      <c r="H945" s="1"/>
      <c r="I945" s="1"/>
      <c r="J945" s="1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6"/>
      <c r="E946" s="1"/>
      <c r="F946" s="1"/>
      <c r="G946" s="1"/>
      <c r="H946" s="1"/>
      <c r="I946" s="1"/>
      <c r="J946" s="1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6"/>
      <c r="E947" s="1"/>
      <c r="F947" s="1"/>
      <c r="G947" s="1"/>
      <c r="H947" s="1"/>
      <c r="I947" s="1"/>
      <c r="J947" s="1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6"/>
      <c r="E948" s="1"/>
      <c r="F948" s="1"/>
      <c r="G948" s="1"/>
      <c r="H948" s="1"/>
      <c r="I948" s="1"/>
      <c r="J948" s="1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6"/>
      <c r="E949" s="1"/>
      <c r="F949" s="1"/>
      <c r="G949" s="1"/>
      <c r="H949" s="1"/>
      <c r="I949" s="1"/>
      <c r="J949" s="1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6"/>
      <c r="E950" s="1"/>
      <c r="F950" s="1"/>
      <c r="G950" s="1"/>
      <c r="H950" s="1"/>
      <c r="I950" s="1"/>
      <c r="J950" s="1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6"/>
      <c r="E951" s="1"/>
      <c r="F951" s="1"/>
      <c r="G951" s="1"/>
      <c r="H951" s="1"/>
      <c r="I951" s="1"/>
      <c r="J951" s="1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6"/>
      <c r="E952" s="1"/>
      <c r="F952" s="1"/>
      <c r="G952" s="1"/>
      <c r="H952" s="1"/>
      <c r="I952" s="1"/>
      <c r="J952" s="1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6"/>
      <c r="E953" s="1"/>
      <c r="F953" s="1"/>
      <c r="G953" s="1"/>
      <c r="H953" s="1"/>
      <c r="I953" s="1"/>
      <c r="J953" s="1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6"/>
      <c r="E954" s="1"/>
      <c r="F954" s="1"/>
      <c r="G954" s="1"/>
      <c r="H954" s="1"/>
      <c r="I954" s="1"/>
      <c r="J954" s="1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6"/>
      <c r="E955" s="1"/>
      <c r="F955" s="1"/>
      <c r="G955" s="1"/>
      <c r="H955" s="1"/>
      <c r="I955" s="1"/>
      <c r="J955" s="1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6"/>
      <c r="E956" s="1"/>
      <c r="F956" s="1"/>
      <c r="G956" s="1"/>
      <c r="H956" s="1"/>
      <c r="I956" s="1"/>
      <c r="J956" s="1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6"/>
      <c r="E957" s="1"/>
      <c r="F957" s="1"/>
      <c r="G957" s="1"/>
      <c r="H957" s="1"/>
      <c r="I957" s="1"/>
      <c r="J957" s="1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6"/>
      <c r="E958" s="1"/>
      <c r="F958" s="1"/>
      <c r="G958" s="1"/>
      <c r="H958" s="1"/>
      <c r="I958" s="1"/>
      <c r="J958" s="1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6"/>
      <c r="E959" s="1"/>
      <c r="F959" s="1"/>
      <c r="G959" s="1"/>
      <c r="H959" s="1"/>
      <c r="I959" s="1"/>
      <c r="J959" s="1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6"/>
      <c r="E960" s="1"/>
      <c r="F960" s="1"/>
      <c r="G960" s="1"/>
      <c r="H960" s="1"/>
      <c r="I960" s="1"/>
      <c r="J960" s="1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6"/>
      <c r="E961" s="1"/>
      <c r="F961" s="1"/>
      <c r="G961" s="1"/>
      <c r="H961" s="1"/>
      <c r="I961" s="1"/>
      <c r="J961" s="1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6"/>
      <c r="E962" s="1"/>
      <c r="F962" s="1"/>
      <c r="G962" s="1"/>
      <c r="H962" s="1"/>
      <c r="I962" s="1"/>
      <c r="J962" s="1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6"/>
      <c r="E963" s="1"/>
      <c r="F963" s="1"/>
      <c r="G963" s="1"/>
      <c r="H963" s="1"/>
      <c r="I963" s="1"/>
      <c r="J963" s="1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6"/>
      <c r="E964" s="1"/>
      <c r="F964" s="1"/>
      <c r="G964" s="1"/>
      <c r="H964" s="1"/>
      <c r="I964" s="1"/>
      <c r="J964" s="1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6"/>
      <c r="E965" s="1"/>
      <c r="F965" s="1"/>
      <c r="G965" s="1"/>
      <c r="H965" s="1"/>
      <c r="I965" s="1"/>
      <c r="J965" s="1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6"/>
      <c r="E966" s="1"/>
      <c r="F966" s="1"/>
      <c r="G966" s="1"/>
      <c r="H966" s="1"/>
      <c r="I966" s="1"/>
      <c r="J966" s="1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6"/>
      <c r="E967" s="1"/>
      <c r="F967" s="1"/>
      <c r="G967" s="1"/>
      <c r="H967" s="1"/>
      <c r="I967" s="1"/>
      <c r="J967" s="1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6"/>
      <c r="E968" s="1"/>
      <c r="F968" s="1"/>
      <c r="G968" s="1"/>
      <c r="H968" s="1"/>
      <c r="I968" s="1"/>
      <c r="J968" s="1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6"/>
      <c r="E969" s="1"/>
      <c r="F969" s="1"/>
      <c r="G969" s="1"/>
      <c r="H969" s="1"/>
      <c r="I969" s="1"/>
      <c r="J969" s="1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6"/>
      <c r="E970" s="1"/>
      <c r="F970" s="1"/>
      <c r="G970" s="1"/>
      <c r="H970" s="1"/>
      <c r="I970" s="1"/>
      <c r="J970" s="1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6"/>
      <c r="E971" s="1"/>
      <c r="F971" s="1"/>
      <c r="G971" s="1"/>
      <c r="H971" s="1"/>
      <c r="I971" s="1"/>
      <c r="J971" s="1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6"/>
      <c r="E972" s="1"/>
      <c r="F972" s="1"/>
      <c r="G972" s="1"/>
      <c r="H972" s="1"/>
      <c r="I972" s="1"/>
      <c r="J972" s="1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6"/>
      <c r="E973" s="1"/>
      <c r="F973" s="1"/>
      <c r="G973" s="1"/>
      <c r="H973" s="1"/>
      <c r="I973" s="1"/>
      <c r="J973" s="1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6"/>
      <c r="E974" s="1"/>
      <c r="F974" s="1"/>
      <c r="G974" s="1"/>
      <c r="H974" s="1"/>
      <c r="I974" s="1"/>
      <c r="J974" s="1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6"/>
      <c r="E975" s="1"/>
      <c r="F975" s="1"/>
      <c r="G975" s="1"/>
      <c r="H975" s="1"/>
      <c r="I975" s="1"/>
      <c r="J975" s="1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6"/>
      <c r="E976" s="1"/>
      <c r="F976" s="1"/>
      <c r="G976" s="1"/>
      <c r="H976" s="1"/>
      <c r="I976" s="1"/>
      <c r="J976" s="1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6"/>
      <c r="E977" s="1"/>
      <c r="F977" s="1"/>
      <c r="G977" s="1"/>
      <c r="H977" s="1"/>
      <c r="I977" s="1"/>
      <c r="J977" s="1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6"/>
      <c r="E978" s="1"/>
      <c r="F978" s="1"/>
      <c r="G978" s="1"/>
      <c r="H978" s="1"/>
      <c r="I978" s="1"/>
      <c r="J978" s="1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6"/>
      <c r="E979" s="1"/>
      <c r="F979" s="1"/>
      <c r="G979" s="1"/>
      <c r="H979" s="1"/>
      <c r="I979" s="1"/>
      <c r="J979" s="1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6"/>
      <c r="E980" s="1"/>
      <c r="F980" s="1"/>
      <c r="G980" s="1"/>
      <c r="H980" s="1"/>
      <c r="I980" s="1"/>
      <c r="J980" s="1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6"/>
      <c r="E981" s="1"/>
      <c r="F981" s="1"/>
      <c r="G981" s="1"/>
      <c r="H981" s="1"/>
      <c r="I981" s="1"/>
      <c r="J981" s="1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6"/>
      <c r="E982" s="1"/>
      <c r="F982" s="1"/>
      <c r="G982" s="1"/>
      <c r="H982" s="1"/>
      <c r="I982" s="1"/>
      <c r="J982" s="1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6"/>
      <c r="E983" s="1"/>
      <c r="F983" s="1"/>
      <c r="G983" s="1"/>
      <c r="H983" s="1"/>
      <c r="I983" s="1"/>
      <c r="J983" s="1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6"/>
      <c r="E984" s="1"/>
      <c r="F984" s="1"/>
      <c r="G984" s="1"/>
      <c r="H984" s="1"/>
      <c r="I984" s="1"/>
      <c r="J984" s="1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6"/>
      <c r="E985" s="1"/>
      <c r="F985" s="1"/>
      <c r="G985" s="1"/>
      <c r="H985" s="1"/>
      <c r="I985" s="1"/>
      <c r="J985" s="1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6"/>
      <c r="E986" s="1"/>
      <c r="F986" s="1"/>
      <c r="G986" s="1"/>
      <c r="H986" s="1"/>
      <c r="I986" s="1"/>
      <c r="J986" s="1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6"/>
      <c r="E987" s="1"/>
      <c r="F987" s="1"/>
      <c r="G987" s="1"/>
      <c r="H987" s="1"/>
      <c r="I987" s="1"/>
      <c r="J987" s="1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6"/>
      <c r="E988" s="1"/>
      <c r="F988" s="1"/>
      <c r="G988" s="1"/>
      <c r="H988" s="1"/>
      <c r="I988" s="1"/>
      <c r="J988" s="1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6"/>
      <c r="E989" s="1"/>
      <c r="F989" s="1"/>
      <c r="G989" s="1"/>
      <c r="H989" s="1"/>
      <c r="I989" s="1"/>
      <c r="J989" s="1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6"/>
      <c r="E990" s="1"/>
      <c r="F990" s="1"/>
      <c r="G990" s="1"/>
      <c r="H990" s="1"/>
      <c r="I990" s="1"/>
      <c r="J990" s="1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6"/>
      <c r="E991" s="1"/>
      <c r="F991" s="1"/>
      <c r="G991" s="1"/>
      <c r="H991" s="1"/>
      <c r="I991" s="1"/>
      <c r="J991" s="1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6"/>
      <c r="E992" s="1"/>
      <c r="F992" s="1"/>
      <c r="G992" s="1"/>
      <c r="H992" s="1"/>
      <c r="I992" s="1"/>
      <c r="J992" s="1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6"/>
      <c r="E993" s="1"/>
      <c r="F993" s="1"/>
      <c r="G993" s="1"/>
      <c r="H993" s="1"/>
      <c r="I993" s="1"/>
      <c r="J993" s="1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6"/>
      <c r="E994" s="1"/>
      <c r="F994" s="1"/>
      <c r="G994" s="1"/>
      <c r="H994" s="1"/>
      <c r="I994" s="1"/>
      <c r="J994" s="1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6"/>
      <c r="E995" s="1"/>
      <c r="F995" s="1"/>
      <c r="G995" s="1"/>
      <c r="H995" s="1"/>
      <c r="I995" s="1"/>
      <c r="J995" s="1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6"/>
      <c r="E996" s="1"/>
      <c r="F996" s="1"/>
      <c r="G996" s="1"/>
      <c r="H996" s="1"/>
      <c r="I996" s="1"/>
      <c r="J996" s="1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6"/>
      <c r="E997" s="1"/>
      <c r="F997" s="1"/>
      <c r="G997" s="1"/>
      <c r="H997" s="1"/>
      <c r="I997" s="1"/>
      <c r="J997" s="1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6"/>
      <c r="E998" s="1"/>
      <c r="F998" s="1"/>
      <c r="G998" s="1"/>
      <c r="H998" s="1"/>
      <c r="I998" s="1"/>
      <c r="J998" s="1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6"/>
      <c r="E999" s="1"/>
      <c r="F999" s="1"/>
      <c r="G999" s="1"/>
      <c r="H999" s="1"/>
      <c r="I999" s="1"/>
      <c r="J999" s="1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6"/>
      <c r="E1000" s="1"/>
      <c r="F1000" s="1"/>
      <c r="G1000" s="1"/>
      <c r="H1000" s="1"/>
      <c r="I1000" s="1"/>
      <c r="J1000" s="1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6"/>
      <c r="E1001" s="1"/>
      <c r="F1001" s="1"/>
      <c r="G1001" s="1"/>
      <c r="H1001" s="1"/>
      <c r="I1001" s="1"/>
      <c r="J1001" s="1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24">
    <mergeCell ref="L25:L26"/>
    <mergeCell ref="L27:L28"/>
    <mergeCell ref="J30:J31"/>
    <mergeCell ref="K30:K31"/>
    <mergeCell ref="I36:I37"/>
    <mergeCell ref="L36:L37"/>
    <mergeCell ref="J45:J56"/>
    <mergeCell ref="K45:K56"/>
    <mergeCell ref="B1:L1"/>
    <mergeCell ref="I12:I13"/>
    <mergeCell ref="C15:C16"/>
    <mergeCell ref="I25:I26"/>
    <mergeCell ref="D26:D27"/>
    <mergeCell ref="E26:E27"/>
    <mergeCell ref="I27:I28"/>
    <mergeCell ref="E45:E56"/>
    <mergeCell ref="B62:E62"/>
    <mergeCell ref="D28:D30"/>
    <mergeCell ref="E28:E30"/>
    <mergeCell ref="D31:D32"/>
    <mergeCell ref="E31:E32"/>
    <mergeCell ref="D33:D34"/>
    <mergeCell ref="E33:E34"/>
    <mergeCell ref="D45:D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3.63"/>
    <col customWidth="1" min="3" max="3" width="8.25"/>
    <col customWidth="1" min="4" max="4" width="4.0"/>
    <col customWidth="1" min="5" max="5" width="7.88"/>
    <col customWidth="1" min="6" max="6" width="28.75"/>
    <col customWidth="1" min="7" max="7" width="9.25"/>
    <col customWidth="1" min="8" max="8" width="14.5"/>
    <col customWidth="1" min="9" max="9" width="7.5"/>
    <col customWidth="1" min="10" max="10" width="6.75"/>
    <col customWidth="1" min="12" max="12" width="25.88"/>
    <col customWidth="1" min="13" max="13" width="9.88"/>
    <col customWidth="1" min="14" max="14" width="14.63"/>
    <col customWidth="1" min="15" max="15" width="8.88"/>
  </cols>
  <sheetData>
    <row r="1">
      <c r="A1" s="2"/>
      <c r="C1" s="2"/>
      <c r="E1" s="4" t="s">
        <v>2</v>
      </c>
    </row>
    <row r="2">
      <c r="A2" s="2"/>
      <c r="C2" s="2"/>
      <c r="E2" s="9" t="s">
        <v>4</v>
      </c>
      <c r="G2" s="11"/>
      <c r="K2" s="9" t="s">
        <v>6</v>
      </c>
    </row>
    <row r="3">
      <c r="A3" s="17" t="s">
        <v>11</v>
      </c>
      <c r="B3" s="18"/>
      <c r="C3" s="19"/>
      <c r="E3" s="20" t="s">
        <v>13</v>
      </c>
      <c r="F3" s="20" t="s">
        <v>15</v>
      </c>
      <c r="G3" s="20" t="s">
        <v>16</v>
      </c>
      <c r="H3" s="24" t="s">
        <v>17</v>
      </c>
      <c r="K3" s="20" t="s">
        <v>13</v>
      </c>
      <c r="L3" s="20" t="s">
        <v>15</v>
      </c>
      <c r="M3" s="20" t="s">
        <v>16</v>
      </c>
      <c r="N3" s="24" t="s">
        <v>17</v>
      </c>
      <c r="O3" s="28" t="s">
        <v>23</v>
      </c>
    </row>
    <row r="4">
      <c r="A4" s="31">
        <v>33.0</v>
      </c>
      <c r="B4" s="18"/>
      <c r="C4" s="19"/>
      <c r="E4" s="33">
        <v>1.0</v>
      </c>
      <c r="F4" s="35" t="s">
        <v>33</v>
      </c>
      <c r="G4" s="46" t="str">
        <f t="array" ref="G4">XLOOKUP(TRIM(F4),TRIM('Kelas XI Angk.33'!C:C),'Kelas XI Angk.33'!E:E,"")</f>
        <v>XI C2</v>
      </c>
      <c r="H4" s="47"/>
      <c r="K4" s="50">
        <v>1.0</v>
      </c>
      <c r="L4" s="35" t="s">
        <v>62</v>
      </c>
      <c r="M4" s="47" t="str">
        <f t="array" ref="M4">XLOOKUP(TRIM(L4),TRIM('Kelas XI Angk.33'!C:C),'Kelas XI Angk.33'!E:E,"")</f>
        <v>XI A</v>
      </c>
      <c r="N4" s="53"/>
      <c r="O4" s="28" t="s">
        <v>68</v>
      </c>
    </row>
    <row r="5">
      <c r="A5" s="54" t="s">
        <v>70</v>
      </c>
      <c r="B5" s="18"/>
      <c r="C5" s="19"/>
      <c r="E5" s="33">
        <v>2.0</v>
      </c>
      <c r="F5" s="35" t="s">
        <v>72</v>
      </c>
      <c r="G5" s="46" t="str">
        <f t="array" ref="G5">XLOOKUP(TRIM(F5),TRIM('Kelas XI Angk.33'!C:C),'Kelas XI Angk.33'!E:E,"")</f>
        <v>XI C4</v>
      </c>
      <c r="H5" s="47"/>
      <c r="K5" s="50">
        <v>2.0</v>
      </c>
      <c r="L5" s="35" t="s">
        <v>79</v>
      </c>
      <c r="M5" s="47" t="str">
        <f t="array" ref="M5">XLOOKUP(TRIM(L5),TRIM('Kelas XI Angk.33'!C:C),'Kelas XI Angk.33'!E:E,"")</f>
        <v>XI C1</v>
      </c>
      <c r="N5" s="53"/>
      <c r="O5" s="28" t="s">
        <v>83</v>
      </c>
    </row>
    <row r="6">
      <c r="A6" s="57" t="s">
        <v>84</v>
      </c>
      <c r="B6" s="58" t="s">
        <v>86</v>
      </c>
      <c r="C6" s="57" t="s">
        <v>88</v>
      </c>
      <c r="E6" s="33">
        <v>3.0</v>
      </c>
      <c r="F6" s="35" t="s">
        <v>86</v>
      </c>
      <c r="G6" s="46" t="str">
        <f t="array" ref="G6">XLOOKUP(TRIM(F6),TRIM('Kelas XI Angk.33'!C:C),'Kelas XI Angk.33'!E:E,"")</f>
        <v>XI D2</v>
      </c>
      <c r="H6" s="47"/>
      <c r="K6" s="50">
        <v>3.0</v>
      </c>
      <c r="L6" s="35" t="s">
        <v>95</v>
      </c>
      <c r="M6" s="47" t="str">
        <f t="array" ref="M6">XLOOKUP(TRIM(L6),TRIM('Kelas XI Angk.33'!C:C),'Kelas XI Angk.33'!E:E,"")</f>
        <v>XI C4</v>
      </c>
      <c r="N6" s="53"/>
      <c r="O6" s="28" t="s">
        <v>98</v>
      </c>
    </row>
    <row r="7">
      <c r="A7" s="57" t="s">
        <v>99</v>
      </c>
      <c r="B7" s="58" t="s">
        <v>100</v>
      </c>
      <c r="C7" s="57" t="s">
        <v>101</v>
      </c>
      <c r="E7" s="33">
        <v>4.0</v>
      </c>
      <c r="F7" s="35" t="s">
        <v>102</v>
      </c>
      <c r="G7" s="46" t="str">
        <f t="array" ref="G7">XLOOKUP(TRIM(F7),TRIM('Kelas XI Angk.33'!C:C),'Kelas XI Angk.33'!E:E,"")</f>
        <v>XI A</v>
      </c>
      <c r="H7" s="47"/>
      <c r="K7" s="50">
        <v>4.0</v>
      </c>
      <c r="L7" s="35" t="s">
        <v>96</v>
      </c>
      <c r="M7" s="47" t="str">
        <f t="array" ref="M7">XLOOKUP(TRIM(L7),TRIM('Kelas XI Angk.33'!C:C),'Kelas XI Angk.33'!E:E,"")</f>
        <v>XI E1</v>
      </c>
      <c r="N7" s="53"/>
      <c r="O7" s="28" t="s">
        <v>55</v>
      </c>
    </row>
    <row r="8">
      <c r="A8" s="57" t="s">
        <v>110</v>
      </c>
      <c r="B8" s="58" t="s">
        <v>112</v>
      </c>
      <c r="C8" s="57" t="s">
        <v>114</v>
      </c>
      <c r="E8" s="33">
        <v>5.0</v>
      </c>
      <c r="F8" s="35" t="s">
        <v>115</v>
      </c>
      <c r="G8" s="46" t="str">
        <f t="array" ref="G8">XLOOKUP(TRIM(F8),TRIM('Kelas XI Angk.33'!C:C),'Kelas XI Angk.33'!E:E,"")</f>
        <v>XI C1</v>
      </c>
      <c r="H8" s="47"/>
      <c r="K8" s="50">
        <v>5.0</v>
      </c>
      <c r="L8" s="35" t="s">
        <v>118</v>
      </c>
      <c r="M8" s="47" t="str">
        <f t="array" ref="M8">XLOOKUP(TRIM(L8),TRIM('Kelas XI Angk.33'!C:C),'Kelas XI Angk.33'!E:E,"")</f>
        <v>XI E1</v>
      </c>
      <c r="N8" s="53"/>
      <c r="O8" s="28" t="s">
        <v>123</v>
      </c>
    </row>
    <row r="9">
      <c r="A9" s="57" t="s">
        <v>124</v>
      </c>
      <c r="B9" s="60" t="s">
        <v>72</v>
      </c>
      <c r="C9" s="58" t="s">
        <v>114</v>
      </c>
      <c r="E9" s="33">
        <v>6.0</v>
      </c>
      <c r="F9" s="35" t="s">
        <v>125</v>
      </c>
      <c r="G9" s="46" t="str">
        <f t="array" ref="G9">XLOOKUP(TRIM(F9),TRIM('Kelas XI Angk.33'!C:C),'Kelas XI Angk.33'!E:E,"")</f>
        <v>XI C2</v>
      </c>
      <c r="H9" s="47"/>
      <c r="K9" s="50">
        <v>6.0</v>
      </c>
      <c r="L9" s="35" t="s">
        <v>75</v>
      </c>
      <c r="M9" s="47" t="str">
        <f t="array" ref="M9">XLOOKUP(TRIM(L9),TRIM('Kelas XI Angk.33'!C:C),'Kelas XI Angk.33'!E:E,"")</f>
        <v>XI C3</v>
      </c>
      <c r="N9" s="53"/>
      <c r="O9" s="28" t="s">
        <v>129</v>
      </c>
    </row>
    <row r="10">
      <c r="A10" s="54" t="s">
        <v>131</v>
      </c>
      <c r="B10" s="18"/>
      <c r="C10" s="19"/>
      <c r="E10" s="33">
        <v>7.0</v>
      </c>
      <c r="F10" s="35" t="s">
        <v>112</v>
      </c>
      <c r="G10" s="46" t="str">
        <f t="array" ref="G10">XLOOKUP(TRIM(F10),TRIM('Kelas XI Angk.33'!C:C),'Kelas XI Angk.33'!E:E,"")</f>
        <v>XI C4</v>
      </c>
      <c r="H10" s="47"/>
      <c r="K10" s="50">
        <v>7.0</v>
      </c>
      <c r="L10" s="62" t="s">
        <v>134</v>
      </c>
      <c r="M10" s="63" t="str">
        <f t="array" ref="M10">XLOOKUP(TRIM(L10),TRIM('Kelas XI Angk.33'!C:C),'Kelas XI Angk.33'!E:E,"")</f>
        <v/>
      </c>
      <c r="N10" s="53"/>
      <c r="O10" s="28" t="s">
        <v>138</v>
      </c>
    </row>
    <row r="11">
      <c r="A11" s="57" t="s">
        <v>84</v>
      </c>
      <c r="B11" s="58" t="s">
        <v>139</v>
      </c>
      <c r="C11" s="64" t="s">
        <v>140</v>
      </c>
      <c r="E11" s="33">
        <v>8.0</v>
      </c>
      <c r="F11" s="35" t="s">
        <v>142</v>
      </c>
      <c r="G11" s="46" t="str">
        <f t="array" ref="G11">XLOOKUP(TRIM(F11),TRIM('Kelas XI Angk.33'!C:C),'Kelas XI Angk.33'!E:E,"")</f>
        <v>XI B1</v>
      </c>
      <c r="H11" s="47"/>
      <c r="K11" s="50">
        <v>8.0</v>
      </c>
      <c r="L11" s="65" t="s">
        <v>145</v>
      </c>
      <c r="M11" s="47" t="str">
        <f t="array" ref="M11">XLOOKUP(TRIM(L11),TRIM('Kelas XI Angk.33'!C:C),'Kelas XI Angk.33'!E:E,"")</f>
        <v>XI C3</v>
      </c>
      <c r="N11" s="53"/>
      <c r="O11" s="28" t="s">
        <v>148</v>
      </c>
    </row>
    <row r="12">
      <c r="A12" s="57" t="s">
        <v>99</v>
      </c>
      <c r="B12" s="58" t="s">
        <v>149</v>
      </c>
      <c r="C12" s="64" t="s">
        <v>150</v>
      </c>
      <c r="E12" s="33">
        <v>9.0</v>
      </c>
      <c r="F12" s="35" t="s">
        <v>151</v>
      </c>
      <c r="G12" s="46" t="str">
        <f t="array" ref="G12">XLOOKUP(TRIM(F12),TRIM('Kelas XI Angk.33'!C:C),'Kelas XI Angk.33'!E:E,"")</f>
        <v>XI D2</v>
      </c>
      <c r="H12" s="47"/>
      <c r="K12" s="50">
        <v>9.0</v>
      </c>
      <c r="L12" s="35" t="s">
        <v>113</v>
      </c>
      <c r="M12" s="47" t="str">
        <f t="array" ref="M12">XLOOKUP(TRIM(L12),TRIM('Kelas XI Angk.33'!C:C),'Kelas XI Angk.33'!E:E,"")</f>
        <v>XI C4</v>
      </c>
      <c r="N12" s="53"/>
      <c r="O12" s="28" t="s">
        <v>55</v>
      </c>
    </row>
    <row r="13">
      <c r="A13" s="57" t="s">
        <v>110</v>
      </c>
      <c r="B13" s="58" t="s">
        <v>158</v>
      </c>
      <c r="C13" s="64" t="s">
        <v>140</v>
      </c>
      <c r="E13" s="33">
        <v>10.0</v>
      </c>
      <c r="F13" s="35" t="s">
        <v>159</v>
      </c>
      <c r="G13" s="46" t="str">
        <f t="array" ref="G13">XLOOKUP(TRIM(F13),TRIM('Kelas XI Angk.33'!C:C),'Kelas XI Angk.33'!E:E,"")</f>
        <v>XI B2</v>
      </c>
      <c r="H13" s="47"/>
      <c r="K13" s="50">
        <v>10.0</v>
      </c>
      <c r="L13" s="35" t="s">
        <v>126</v>
      </c>
      <c r="M13" s="47" t="str">
        <f t="array" ref="M13">XLOOKUP(TRIM(L13),TRIM('Kelas XI Angk.33'!C:C),'Kelas XI Angk.33'!E:E,"")</f>
        <v>XI C2</v>
      </c>
      <c r="N13" s="53"/>
      <c r="O13" s="28" t="s">
        <v>129</v>
      </c>
    </row>
    <row r="14">
      <c r="A14" s="31">
        <v>32.0</v>
      </c>
      <c r="B14" s="18"/>
      <c r="C14" s="19"/>
      <c r="E14" s="33">
        <v>11.0</v>
      </c>
      <c r="F14" s="35" t="s">
        <v>166</v>
      </c>
      <c r="G14" s="46" t="str">
        <f t="array" ref="G14">XLOOKUP(TRIM(F14),TRIM('Kelas XI Angk.33'!C:C),'Kelas XI Angk.33'!E:E,"")</f>
        <v>XI C2</v>
      </c>
      <c r="H14" s="47"/>
      <c r="K14" s="50">
        <v>11.0</v>
      </c>
      <c r="L14" s="71" t="s">
        <v>170</v>
      </c>
      <c r="M14" s="47" t="str">
        <f t="array" ref="M14">XLOOKUP(TRIM(L14),TRIM('Kelas XI Angk.33'!C:C),'Kelas XI Angk.33'!E:E,"")</f>
        <v>XI B1</v>
      </c>
      <c r="N14" s="53"/>
      <c r="O14" s="28" t="s">
        <v>148</v>
      </c>
    </row>
    <row r="15">
      <c r="A15" s="73" t="s">
        <v>175</v>
      </c>
      <c r="B15" s="18"/>
      <c r="C15" s="19"/>
      <c r="E15" s="33">
        <v>12.0</v>
      </c>
      <c r="F15" s="35" t="s">
        <v>100</v>
      </c>
      <c r="G15" s="46" t="str">
        <f t="array" ref="G15">XLOOKUP(TRIM(F15),TRIM('Kelas XI Angk.33'!C:C),'Kelas XI Angk.33'!E:E,"")</f>
        <v>XI B3</v>
      </c>
      <c r="H15" s="47"/>
      <c r="K15" s="50">
        <v>12.0</v>
      </c>
      <c r="L15" s="75"/>
      <c r="M15" s="63" t="str">
        <f t="array" ref="M15">XLOOKUP(TRIM(L15),TRIM('Kelas XI Angk.33'!C:C),'Kelas XI Angk.33'!E:E,"")</f>
        <v/>
      </c>
      <c r="N15" s="53"/>
    </row>
    <row r="16">
      <c r="A16" s="77" t="s">
        <v>84</v>
      </c>
      <c r="B16" s="78" t="s">
        <v>183</v>
      </c>
      <c r="C16" s="79" t="s">
        <v>184</v>
      </c>
      <c r="E16" s="33">
        <v>13.0</v>
      </c>
      <c r="F16" s="35" t="s">
        <v>185</v>
      </c>
      <c r="G16" s="46" t="str">
        <f t="array" ref="G16">XLOOKUP(TRIM(F16),TRIM('Kelas XI Angk.33'!C:C),'Kelas XI Angk.33'!E:E,"")</f>
        <v>XI B2</v>
      </c>
      <c r="H16" s="47"/>
      <c r="K16" s="50">
        <v>13.0</v>
      </c>
      <c r="L16" s="75"/>
      <c r="M16" s="63" t="str">
        <f t="array" ref="M16">XLOOKUP(TRIM(L16),TRIM('Kelas XI Angk.33'!C:C),'Kelas XI Angk.33'!E:E,"")</f>
        <v/>
      </c>
      <c r="N16" s="53"/>
    </row>
    <row r="17">
      <c r="A17" s="77" t="s">
        <v>99</v>
      </c>
      <c r="B17" s="78" t="s">
        <v>58</v>
      </c>
      <c r="C17" s="79" t="s">
        <v>188</v>
      </c>
      <c r="E17" s="33">
        <v>14.0</v>
      </c>
      <c r="F17" s="35" t="s">
        <v>190</v>
      </c>
      <c r="G17" s="46" t="str">
        <f t="array" ref="G17">XLOOKUP(TRIM(F17),TRIM('Kelas XI Angk.33'!C:C),'Kelas XI Angk.33'!E:E,"")</f>
        <v>XI D1</v>
      </c>
      <c r="H17" s="47"/>
      <c r="K17" s="50">
        <v>14.0</v>
      </c>
      <c r="L17" s="75"/>
      <c r="M17" s="63" t="str">
        <f t="array" ref="M17">XLOOKUP(TRIM(L17),TRIM('Kelas XI Angk.33'!C:C),'Kelas XI Angk.33'!E:E,"")</f>
        <v/>
      </c>
      <c r="N17" s="53"/>
    </row>
    <row r="18">
      <c r="A18" s="77" t="s">
        <v>110</v>
      </c>
      <c r="B18" s="78" t="s">
        <v>122</v>
      </c>
      <c r="C18" s="79" t="s">
        <v>195</v>
      </c>
      <c r="E18" s="33">
        <v>15.0</v>
      </c>
      <c r="F18" s="80" t="s">
        <v>196</v>
      </c>
      <c r="G18" s="46" t="str">
        <f t="array" ref="G18">XLOOKUP(TRIM(F18),TRIM('Kelas XI Angk.33'!C:C),'Kelas XI Angk.33'!E:E,"")</f>
        <v>XI D2</v>
      </c>
      <c r="H18" s="47"/>
    </row>
    <row r="19">
      <c r="A19" s="77" t="s">
        <v>124</v>
      </c>
      <c r="B19" s="78" t="s">
        <v>106</v>
      </c>
      <c r="C19" s="79" t="s">
        <v>199</v>
      </c>
      <c r="G19" s="11"/>
      <c r="K19" s="9" t="s">
        <v>201</v>
      </c>
    </row>
    <row r="20">
      <c r="A20" s="77" t="s">
        <v>202</v>
      </c>
      <c r="B20" s="78" t="s">
        <v>130</v>
      </c>
      <c r="C20" s="79" t="s">
        <v>203</v>
      </c>
      <c r="E20" s="9" t="s">
        <v>204</v>
      </c>
      <c r="G20" s="11"/>
      <c r="K20" s="20" t="s">
        <v>13</v>
      </c>
      <c r="L20" s="20" t="s">
        <v>15</v>
      </c>
      <c r="M20" s="20" t="s">
        <v>16</v>
      </c>
      <c r="N20" s="24" t="s">
        <v>17</v>
      </c>
      <c r="O20" s="28" t="s">
        <v>206</v>
      </c>
    </row>
    <row r="21">
      <c r="A21" s="77" t="s">
        <v>207</v>
      </c>
      <c r="B21" s="78" t="s">
        <v>208</v>
      </c>
      <c r="C21" s="79" t="s">
        <v>195</v>
      </c>
      <c r="E21" s="20" t="s">
        <v>13</v>
      </c>
      <c r="F21" s="20" t="s">
        <v>15</v>
      </c>
      <c r="G21" s="20" t="s">
        <v>16</v>
      </c>
      <c r="H21" s="24" t="s">
        <v>17</v>
      </c>
      <c r="I21" s="28" t="s">
        <v>206</v>
      </c>
      <c r="K21" s="50">
        <v>1.0</v>
      </c>
      <c r="L21" s="47" t="s">
        <v>209</v>
      </c>
      <c r="M21" s="47" t="str">
        <f t="array" ref="M21">XLOOKUP(TRIM(L21),TRIM('Kelas XI Angk.33'!C:C),'Kelas XI Angk.33'!E:E,"")</f>
        <v>XI C1</v>
      </c>
      <c r="N21" s="47">
        <v>8.997074777E9</v>
      </c>
      <c r="O21" s="28" t="s">
        <v>55</v>
      </c>
    </row>
    <row r="22">
      <c r="A22" s="77" t="s">
        <v>210</v>
      </c>
      <c r="B22" s="78" t="s">
        <v>89</v>
      </c>
      <c r="C22" s="79" t="s">
        <v>211</v>
      </c>
      <c r="E22" s="33">
        <v>1.0</v>
      </c>
      <c r="F22" s="47" t="s">
        <v>212</v>
      </c>
      <c r="G22" s="83" t="str">
        <f t="array" ref="G22">XLOOKUP(TRIM(F5),TRIM('Kelas XI Angk.33'!C:C),'Kelas XI Angk.33'!E:E,"")</f>
        <v>XI C4</v>
      </c>
      <c r="H22" s="47">
        <v>8.5817652799E10</v>
      </c>
      <c r="I22" s="28" t="s">
        <v>123</v>
      </c>
      <c r="K22" s="50">
        <v>2.0</v>
      </c>
      <c r="L22" s="47" t="s">
        <v>215</v>
      </c>
      <c r="M22" s="47" t="str">
        <f t="array" ref="M22">XLOOKUP(TRIM(L22),TRIM('Kelas XI Angk.33'!C:C),'Kelas XI Angk.33'!E:E,"")</f>
        <v>XI C4</v>
      </c>
      <c r="N22" s="47">
        <v>8.1323955089E10</v>
      </c>
      <c r="O22" s="28" t="s">
        <v>55</v>
      </c>
    </row>
    <row r="23">
      <c r="A23" s="77" t="s">
        <v>216</v>
      </c>
      <c r="B23" s="78" t="s">
        <v>217</v>
      </c>
      <c r="C23" s="79" t="s">
        <v>203</v>
      </c>
      <c r="E23" s="33">
        <v>2.0</v>
      </c>
      <c r="F23" s="47" t="s">
        <v>218</v>
      </c>
      <c r="G23" s="83" t="str">
        <f t="array" ref="G23">XLOOKUP(TRIM(F6),TRIM('Kelas XI Angk.33'!C:C),'Kelas XI Angk.33'!E:E,"")</f>
        <v>XI D2</v>
      </c>
      <c r="H23" s="47" t="s">
        <v>220</v>
      </c>
      <c r="I23" s="28" t="s">
        <v>129</v>
      </c>
      <c r="K23" s="50">
        <v>3.0</v>
      </c>
      <c r="L23" s="47" t="s">
        <v>155</v>
      </c>
      <c r="M23" s="47" t="str">
        <f t="array" ref="M23">XLOOKUP(TRIM(L23),TRIM('Kelas XI Angk.33'!C:C),'Kelas XI Angk.33'!E:E,"")</f>
        <v>XI E1</v>
      </c>
      <c r="N23" s="47" t="s">
        <v>222</v>
      </c>
      <c r="O23" s="28" t="s">
        <v>55</v>
      </c>
    </row>
    <row r="24">
      <c r="A24" s="77" t="s">
        <v>223</v>
      </c>
      <c r="B24" s="78" t="s">
        <v>224</v>
      </c>
      <c r="C24" s="79" t="s">
        <v>225</v>
      </c>
      <c r="E24" s="33">
        <v>3.0</v>
      </c>
      <c r="F24" s="47" t="s">
        <v>226</v>
      </c>
      <c r="G24" s="83" t="str">
        <f t="array" ref="G24">XLOOKUP(TRIM(F7),TRIM('Kelas XI Angk.33'!C:C),'Kelas XI Angk.33'!E:E,"")</f>
        <v>XI A</v>
      </c>
      <c r="H24" s="47" t="s">
        <v>228</v>
      </c>
      <c r="I24" s="28" t="s">
        <v>160</v>
      </c>
      <c r="K24" s="50">
        <v>4.0</v>
      </c>
      <c r="L24" s="47" t="s">
        <v>229</v>
      </c>
      <c r="M24" s="47" t="str">
        <f t="array" ref="M24">XLOOKUP(TRIM(L24),TRIM('Kelas XI Angk.33'!C:C),'Kelas XI Angk.33'!E:E,"")</f>
        <v>XI E1</v>
      </c>
      <c r="N24" s="47" t="s">
        <v>231</v>
      </c>
      <c r="O24" s="28" t="s">
        <v>83</v>
      </c>
    </row>
    <row r="25">
      <c r="A25" s="17" t="s">
        <v>232</v>
      </c>
      <c r="B25" s="18"/>
      <c r="C25" s="19"/>
      <c r="E25" s="33">
        <v>4.0</v>
      </c>
      <c r="F25" s="47" t="s">
        <v>139</v>
      </c>
      <c r="G25" s="83" t="str">
        <f t="array" ref="G25">XLOOKUP(TRIM(F8),TRIM('Kelas XI Angk.33'!C:C),'Kelas XI Angk.33'!E:E,"")</f>
        <v>XI C1</v>
      </c>
      <c r="H25" s="47" t="s">
        <v>233</v>
      </c>
      <c r="I25" s="28" t="s">
        <v>160</v>
      </c>
      <c r="K25" s="50">
        <v>5.0</v>
      </c>
      <c r="L25" s="47" t="s">
        <v>234</v>
      </c>
      <c r="M25" s="47" t="str">
        <f t="array" ref="M25">XLOOKUP(TRIM(L25),TRIM('Kelas XI Angk.33'!C:C),'Kelas XI Angk.33'!E:E,"")</f>
        <v>XI E2</v>
      </c>
      <c r="N25" s="47">
        <v>8.787429201E10</v>
      </c>
      <c r="O25" s="28" t="s">
        <v>83</v>
      </c>
    </row>
    <row r="26">
      <c r="A26" s="31">
        <v>33.0</v>
      </c>
      <c r="B26" s="18"/>
      <c r="C26" s="19"/>
      <c r="E26" s="33">
        <v>5.0</v>
      </c>
      <c r="F26" s="47" t="s">
        <v>149</v>
      </c>
      <c r="G26" s="83" t="str">
        <f t="array" ref="G26">XLOOKUP(TRIM(F9),TRIM('Kelas XI Angk.33'!C:C),'Kelas XI Angk.33'!E:E,"")</f>
        <v>XI C2</v>
      </c>
      <c r="H26" s="47" t="s">
        <v>238</v>
      </c>
      <c r="I26" s="28" t="s">
        <v>160</v>
      </c>
      <c r="K26" s="50">
        <v>6.0</v>
      </c>
      <c r="L26" s="85" t="s">
        <v>239</v>
      </c>
      <c r="M26" s="47" t="str">
        <f t="array" ref="M26">XLOOKUP(TRIM(L26),TRIM('Kelas XI Angk.33'!C:C),'Kelas XI Angk.33'!E:E,"")</f>
        <v>XI C2</v>
      </c>
      <c r="N26" s="53"/>
      <c r="O26" s="28" t="s">
        <v>83</v>
      </c>
    </row>
    <row r="27">
      <c r="A27" s="54" t="s">
        <v>243</v>
      </c>
      <c r="B27" s="18"/>
      <c r="C27" s="19"/>
      <c r="E27" s="33">
        <v>6.0</v>
      </c>
      <c r="F27" s="47" t="s">
        <v>158</v>
      </c>
      <c r="G27" s="83" t="str">
        <f t="array" ref="G27">XLOOKUP(TRIM(F10),TRIM('Kelas XI Angk.33'!C:C),'Kelas XI Angk.33'!E:E,"")</f>
        <v>XI C4</v>
      </c>
      <c r="H27" s="47" t="s">
        <v>249</v>
      </c>
      <c r="I27" s="28" t="s">
        <v>160</v>
      </c>
      <c r="K27" s="50">
        <v>7.0</v>
      </c>
      <c r="L27" s="47" t="s">
        <v>252</v>
      </c>
      <c r="M27" s="47" t="str">
        <f t="array" ref="M27">XLOOKUP(TRIM(L27),TRIM('Kelas XI Angk.33'!C:C),'Kelas XI Angk.33'!E:E,"")</f>
        <v>XI C4</v>
      </c>
      <c r="N27" s="47" t="s">
        <v>257</v>
      </c>
      <c r="O27" s="28" t="s">
        <v>83</v>
      </c>
    </row>
    <row r="28">
      <c r="A28" s="57" t="s">
        <v>84</v>
      </c>
      <c r="B28" s="58" t="s">
        <v>75</v>
      </c>
      <c r="C28" s="64" t="s">
        <v>259</v>
      </c>
      <c r="E28" s="33">
        <v>7.0</v>
      </c>
      <c r="F28" s="85" t="s">
        <v>260</v>
      </c>
      <c r="G28" s="83" t="str">
        <f t="array" ref="G28">XLOOKUP(TRIM(F11),TRIM('Kelas XI Angk.33'!C:C),'Kelas XI Angk.33'!E:E,"")</f>
        <v>XI B1</v>
      </c>
      <c r="H28" s="47" t="s">
        <v>264</v>
      </c>
      <c r="I28" s="28" t="s">
        <v>160</v>
      </c>
      <c r="K28" s="50">
        <v>8.0</v>
      </c>
      <c r="L28" s="47" t="s">
        <v>265</v>
      </c>
      <c r="M28" s="47" t="str">
        <f t="array" ref="M28">XLOOKUP(TRIM(L28),TRIM('Kelas XI Angk.33'!C:C),'Kelas XI Angk.33'!E:E,"")</f>
        <v>XI E1</v>
      </c>
      <c r="N28" s="47" t="s">
        <v>269</v>
      </c>
      <c r="O28" s="28" t="s">
        <v>83</v>
      </c>
    </row>
    <row r="29">
      <c r="A29" s="57" t="s">
        <v>99</v>
      </c>
      <c r="B29" s="58" t="s">
        <v>96</v>
      </c>
      <c r="C29" s="64" t="s">
        <v>270</v>
      </c>
      <c r="E29" s="33">
        <v>8.0</v>
      </c>
      <c r="F29" s="47" t="s">
        <v>272</v>
      </c>
      <c r="G29" s="83" t="str">
        <f t="array" ref="G29">XLOOKUP(TRIM(F12),TRIM('Kelas XI Angk.33'!C:C),'Kelas XI Angk.33'!E:E,"")</f>
        <v>XI D2</v>
      </c>
      <c r="H29" s="47" t="s">
        <v>274</v>
      </c>
      <c r="I29" s="28" t="s">
        <v>160</v>
      </c>
      <c r="K29" s="50">
        <v>9.0</v>
      </c>
      <c r="L29" s="47" t="s">
        <v>275</v>
      </c>
      <c r="M29" s="47" t="str">
        <f t="array" ref="M29">XLOOKUP(TRIM(L29),TRIM('Kelas XI Angk.33'!C:C),'Kelas XI Angk.33'!E:E,"")</f>
        <v>XI C2</v>
      </c>
      <c r="N29" s="47" t="s">
        <v>278</v>
      </c>
      <c r="O29" s="28" t="s">
        <v>105</v>
      </c>
    </row>
    <row r="30">
      <c r="A30" s="57" t="s">
        <v>110</v>
      </c>
      <c r="B30" s="58" t="s">
        <v>113</v>
      </c>
      <c r="C30" s="64" t="s">
        <v>114</v>
      </c>
      <c r="E30" s="33">
        <v>9.0</v>
      </c>
      <c r="F30" s="47" t="s">
        <v>280</v>
      </c>
      <c r="G30" s="83" t="str">
        <f t="array" ref="G30">XLOOKUP(TRIM(F12),TRIM('Kelas XI Angk.33'!C:C),'Kelas XI Angk.33'!E:E,"")</f>
        <v>XI D2</v>
      </c>
      <c r="H30" s="47">
        <v>8.1284517061E10</v>
      </c>
      <c r="I30" s="28" t="s">
        <v>105</v>
      </c>
      <c r="K30" s="50">
        <v>10.0</v>
      </c>
      <c r="L30" s="47" t="s">
        <v>285</v>
      </c>
      <c r="M30" s="47" t="str">
        <f t="array" ref="M30">XLOOKUP(TRIM(L30),TRIM('Kelas XI Angk.33'!C:C),'Kelas XI Angk.33'!E:E,"")</f>
        <v>XI B1</v>
      </c>
      <c r="N30" s="53"/>
    </row>
    <row r="31">
      <c r="A31" s="57" t="s">
        <v>124</v>
      </c>
      <c r="B31" s="58" t="s">
        <v>126</v>
      </c>
      <c r="C31" s="64" t="s">
        <v>289</v>
      </c>
      <c r="E31" s="33">
        <v>10.0</v>
      </c>
      <c r="F31" s="47" t="s">
        <v>290</v>
      </c>
      <c r="G31" s="83" t="str">
        <f t="array" ref="G31">XLOOKUP(TRIM(F13),TRIM('Kelas XI Angk.33'!C:C),'Kelas XI Angk.33'!E:E,"")</f>
        <v>XI B2</v>
      </c>
      <c r="H31" s="47">
        <v>8.95330590233E11</v>
      </c>
      <c r="I31" s="28" t="s">
        <v>105</v>
      </c>
      <c r="K31" s="50">
        <v>11.0</v>
      </c>
      <c r="L31" s="47" t="s">
        <v>167</v>
      </c>
      <c r="M31" s="47" t="str">
        <f t="array" ref="M31">XLOOKUP(TRIM(L31),TRIM('Kelas XI Angk.33'!C:C),'Kelas XI Angk.33'!E:E,"")</f>
        <v>XI C1</v>
      </c>
      <c r="N31" s="53"/>
    </row>
    <row r="32">
      <c r="A32" s="57" t="s">
        <v>202</v>
      </c>
      <c r="B32" s="99" t="s">
        <v>118</v>
      </c>
      <c r="C32" s="64" t="s">
        <v>270</v>
      </c>
      <c r="E32" s="33">
        <v>11.0</v>
      </c>
      <c r="F32" s="47" t="s">
        <v>298</v>
      </c>
      <c r="G32" s="83" t="str">
        <f t="array" ref="G32">XLOOKUP(TRIM(F14),TRIM('Kelas XI Angk.33'!C:C),'Kelas XI Angk.33'!E:E,"")</f>
        <v>XI C2</v>
      </c>
      <c r="H32" s="47">
        <v>8.95320471747E11</v>
      </c>
      <c r="I32" s="28" t="s">
        <v>105</v>
      </c>
      <c r="K32" s="50">
        <v>12.0</v>
      </c>
      <c r="L32" s="47" t="s">
        <v>301</v>
      </c>
      <c r="M32" s="47" t="str">
        <f t="array" ref="M32">XLOOKUP(TRIM(L32),TRIM('Kelas XI Angk.33'!C:C),'Kelas XI Angk.33'!E:E,"")</f>
        <v>XI C3</v>
      </c>
      <c r="N32" s="53"/>
    </row>
    <row r="33">
      <c r="A33" s="58" t="s">
        <v>207</v>
      </c>
      <c r="B33" s="100" t="s">
        <v>145</v>
      </c>
      <c r="C33" s="64" t="s">
        <v>289</v>
      </c>
      <c r="G33" s="11"/>
      <c r="K33" s="50">
        <v>13.0</v>
      </c>
      <c r="L33" s="85" t="s">
        <v>170</v>
      </c>
      <c r="M33" s="47" t="str">
        <f t="array" ref="M33">XLOOKUP(TRIM(L33),TRIM('Kelas XI Angk.33'!C:C),'Kelas XI Angk.33'!E:E,"")</f>
        <v>XI B1</v>
      </c>
      <c r="N33" s="53"/>
    </row>
    <row r="34">
      <c r="A34" s="54" t="s">
        <v>309</v>
      </c>
      <c r="B34" s="18"/>
      <c r="C34" s="19"/>
      <c r="E34" s="9" t="s">
        <v>310</v>
      </c>
      <c r="G34" s="11"/>
    </row>
    <row r="35">
      <c r="A35" s="58" t="s">
        <v>84</v>
      </c>
      <c r="B35" s="58" t="s">
        <v>167</v>
      </c>
      <c r="C35" s="58" t="s">
        <v>313</v>
      </c>
      <c r="E35" s="20" t="s">
        <v>13</v>
      </c>
      <c r="F35" s="20" t="s">
        <v>15</v>
      </c>
      <c r="G35" s="20" t="s">
        <v>16</v>
      </c>
      <c r="H35" s="24" t="s">
        <v>17</v>
      </c>
      <c r="I35" s="28" t="s">
        <v>23</v>
      </c>
      <c r="K35" s="9" t="s">
        <v>317</v>
      </c>
    </row>
    <row r="36">
      <c r="A36" s="58" t="s">
        <v>99</v>
      </c>
      <c r="B36" s="99" t="s">
        <v>155</v>
      </c>
      <c r="C36" s="58" t="s">
        <v>270</v>
      </c>
      <c r="E36" s="50">
        <v>1.0</v>
      </c>
      <c r="F36" s="53" t="s">
        <v>319</v>
      </c>
      <c r="G36" s="46" t="str">
        <f t="array" ref="G36">XLOOKUP(TRIM(F36),TRIM('Kelas XII Angk.32'!C:C),'Kelas XII Angk.32'!E:E,"")</f>
        <v>XII D3</v>
      </c>
      <c r="H36" s="47">
        <v>8.5697065033E10</v>
      </c>
      <c r="I36" s="28" t="s">
        <v>119</v>
      </c>
      <c r="K36" s="20" t="s">
        <v>13</v>
      </c>
      <c r="L36" s="20" t="s">
        <v>15</v>
      </c>
      <c r="M36" s="20" t="s">
        <v>16</v>
      </c>
      <c r="N36" s="24" t="s">
        <v>17</v>
      </c>
      <c r="O36" s="28" t="s">
        <v>206</v>
      </c>
    </row>
    <row r="37">
      <c r="A37" s="104" t="s">
        <v>329</v>
      </c>
      <c r="B37" s="54" t="s">
        <v>332</v>
      </c>
      <c r="C37" s="19"/>
      <c r="E37" s="50">
        <v>2.0</v>
      </c>
      <c r="F37" s="53" t="s">
        <v>335</v>
      </c>
      <c r="G37" s="46" t="str">
        <f t="array" ref="G37">XLOOKUP(TRIM(F37),TRIM('Kelas XII Angk.32'!C:C),'Kelas XII Angk.32'!E:E,"")</f>
        <v>XII A2</v>
      </c>
      <c r="H37" s="47">
        <v>8.952633651E10</v>
      </c>
      <c r="I37" s="28" t="s">
        <v>119</v>
      </c>
      <c r="K37" s="50">
        <v>1.0</v>
      </c>
      <c r="L37" s="85" t="s">
        <v>339</v>
      </c>
      <c r="M37" s="47" t="str">
        <f t="array" ref="M37">XLOOKUP(TRIM(L37),TRIM('Kelas XI Angk.33'!C:C),'Kelas XI Angk.33'!E:E,"")</f>
        <v>XI C4</v>
      </c>
      <c r="N37" s="47">
        <v>8.977432121E9</v>
      </c>
      <c r="O37" s="28" t="s">
        <v>119</v>
      </c>
    </row>
    <row r="38">
      <c r="A38" s="57" t="s">
        <v>84</v>
      </c>
      <c r="B38" s="58" t="s">
        <v>192</v>
      </c>
      <c r="C38" s="64" t="s">
        <v>140</v>
      </c>
      <c r="E38" s="50">
        <v>3.0</v>
      </c>
      <c r="F38" s="53" t="s">
        <v>346</v>
      </c>
      <c r="G38" s="46" t="str">
        <f t="array" ref="G38">XLOOKUP(TRIM(F38),TRIM('Kelas XII Angk.32'!C:C),'Kelas XII Angk.32'!E:E,"")</f>
        <v>XII E1</v>
      </c>
      <c r="H38" s="47">
        <v>8.118126863E9</v>
      </c>
      <c r="I38" s="28" t="s">
        <v>55</v>
      </c>
      <c r="K38" s="50">
        <v>2.0</v>
      </c>
      <c r="L38" s="85" t="s">
        <v>355</v>
      </c>
      <c r="M38" s="47" t="str">
        <f t="array" ref="M38">XLOOKUP(TRIM(L38),TRIM('Kelas XI Angk.33'!C:C),'Kelas XI Angk.33'!E:E,"")</f>
        <v>XI D2</v>
      </c>
      <c r="N38" s="47">
        <v>8.1318560921E10</v>
      </c>
      <c r="O38" s="28" t="s">
        <v>119</v>
      </c>
    </row>
    <row r="39">
      <c r="A39" s="57" t="s">
        <v>99</v>
      </c>
      <c r="B39" s="58" t="s">
        <v>178</v>
      </c>
      <c r="C39" s="64" t="s">
        <v>88</v>
      </c>
      <c r="E39" s="50">
        <v>4.0</v>
      </c>
      <c r="F39" s="53" t="s">
        <v>358</v>
      </c>
      <c r="G39" s="46" t="str">
        <f t="array" ref="G39">XLOOKUP(TRIM(F39),TRIM('Kelas XII Angk.32'!C:C),'Kelas XII Angk.32'!E:E,"")</f>
        <v>XII D1</v>
      </c>
      <c r="H39" s="47">
        <v>8.1386755883E10</v>
      </c>
      <c r="I39" s="28" t="s">
        <v>119</v>
      </c>
      <c r="K39" s="50">
        <v>3.0</v>
      </c>
      <c r="L39" s="47" t="s">
        <v>242</v>
      </c>
      <c r="M39" s="47" t="str">
        <f t="array" ref="M39">XLOOKUP(TRIM(L39),TRIM('Kelas XI Angk.33'!C:C),'Kelas XI Angk.33'!E:E,"")</f>
        <v>XI D1</v>
      </c>
      <c r="N39" s="47">
        <v>8.2322189618E10</v>
      </c>
      <c r="O39" s="28" t="s">
        <v>119</v>
      </c>
    </row>
    <row r="40">
      <c r="A40" s="57" t="s">
        <v>110</v>
      </c>
      <c r="B40" s="58" t="s">
        <v>213</v>
      </c>
      <c r="C40" s="64" t="s">
        <v>114</v>
      </c>
      <c r="E40" s="50">
        <v>5.0</v>
      </c>
      <c r="F40" s="53" t="s">
        <v>367</v>
      </c>
      <c r="G40" s="46" t="str">
        <f t="array" ref="G40">XLOOKUP(TRIM(F40),TRIM('Kelas XII Angk.32'!C:C),'Kelas XII Angk.32'!E:E,"")</f>
        <v>XII E2</v>
      </c>
      <c r="H40" s="53"/>
      <c r="K40" s="50">
        <v>4.0</v>
      </c>
      <c r="L40" s="85" t="s">
        <v>370</v>
      </c>
      <c r="M40" s="47" t="str">
        <f t="array" ref="M40">XLOOKUP(TRIM(L40),TRIM('Kelas XI Angk.33'!C:C),'Kelas XI Angk.33'!E:E,"")</f>
        <v>XI D2</v>
      </c>
      <c r="N40" s="47">
        <v>8.1257384837E10</v>
      </c>
      <c r="O40" s="28" t="s">
        <v>119</v>
      </c>
    </row>
    <row r="41">
      <c r="A41" s="57" t="s">
        <v>124</v>
      </c>
      <c r="B41" s="58" t="s">
        <v>230</v>
      </c>
      <c r="C41" s="64" t="s">
        <v>114</v>
      </c>
      <c r="E41" s="50">
        <v>6.0</v>
      </c>
      <c r="F41" s="47" t="s">
        <v>130</v>
      </c>
      <c r="G41" s="46" t="str">
        <f t="array" ref="G41">XLOOKUP(TRIM(F41),TRIM('Kelas XII Angk.32'!C:C),'Kelas XII Angk.32'!E:E,"")</f>
        <v>XII B1</v>
      </c>
      <c r="H41" s="47">
        <v>8.9562962506E11</v>
      </c>
      <c r="I41" s="28" t="s">
        <v>152</v>
      </c>
      <c r="K41" s="50">
        <v>5.0</v>
      </c>
      <c r="L41" s="47" t="s">
        <v>372</v>
      </c>
      <c r="M41" s="47" t="str">
        <f t="array" ref="M41">XLOOKUP(TRIM(L41),TRIM('Kelas XI Angk.33'!C:C),'Kelas XI Angk.33'!E:E,"")</f>
        <v>XI C1</v>
      </c>
      <c r="N41" s="47">
        <v>8.5172338263E10</v>
      </c>
      <c r="O41" s="28" t="s">
        <v>119</v>
      </c>
    </row>
    <row r="42">
      <c r="A42" s="57" t="s">
        <v>202</v>
      </c>
      <c r="B42" s="58" t="s">
        <v>242</v>
      </c>
      <c r="C42" s="64" t="s">
        <v>350</v>
      </c>
      <c r="E42" s="50">
        <v>7.0</v>
      </c>
      <c r="F42" s="47" t="s">
        <v>375</v>
      </c>
      <c r="G42" s="46" t="str">
        <f t="array" ref="G42">XLOOKUP(TRIM(F42),TRIM('Kelas XII Angk.32'!C:C),'Kelas XII Angk.32'!E:E,"")</f>
        <v>XII E2</v>
      </c>
      <c r="H42" s="47">
        <v>8.5171114628E10</v>
      </c>
      <c r="I42" s="28" t="s">
        <v>129</v>
      </c>
      <c r="K42" s="50">
        <v>6.0</v>
      </c>
      <c r="L42" s="47" t="s">
        <v>380</v>
      </c>
      <c r="M42" s="47" t="str">
        <f t="array" ref="M42">XLOOKUP(TRIM(L42),TRIM('Kelas XI Angk.33'!C:C),'Kelas XI Angk.33'!E:E,"")</f>
        <v>XI C1</v>
      </c>
      <c r="N42" s="47">
        <v>8.2299928547E10</v>
      </c>
      <c r="O42" s="28" t="s">
        <v>119</v>
      </c>
    </row>
    <row r="43">
      <c r="A43" s="31">
        <v>32.0</v>
      </c>
      <c r="B43" s="18"/>
      <c r="C43" s="19"/>
      <c r="E43" s="50">
        <v>8.0</v>
      </c>
      <c r="F43" s="47" t="s">
        <v>385</v>
      </c>
      <c r="G43" s="46" t="str">
        <f t="array" ref="G43">XLOOKUP(TRIM(F43),TRIM('Kelas XII Angk.32'!C:C),'Kelas XII Angk.32'!E:E,"")</f>
        <v>XII B2</v>
      </c>
      <c r="H43" s="47">
        <v>8.7767532443E10</v>
      </c>
      <c r="I43" s="28" t="s">
        <v>123</v>
      </c>
      <c r="K43" s="50">
        <v>7.0</v>
      </c>
      <c r="L43" s="47" t="s">
        <v>213</v>
      </c>
      <c r="M43" s="47" t="str">
        <f t="array" ref="M43">XLOOKUP(TRIM(L43),TRIM('Kelas XI Angk.33'!C:C),'Kelas XI Angk.33'!E:E,"")</f>
        <v>XI C4</v>
      </c>
      <c r="N43" s="47">
        <v>8.5880856708E10</v>
      </c>
      <c r="O43" s="28" t="s">
        <v>137</v>
      </c>
    </row>
    <row r="44">
      <c r="A44" s="73" t="s">
        <v>391</v>
      </c>
      <c r="B44" s="18"/>
      <c r="C44" s="19"/>
      <c r="E44" s="50">
        <v>9.0</v>
      </c>
      <c r="F44" s="47" t="s">
        <v>393</v>
      </c>
      <c r="G44" s="46" t="str">
        <f t="array" ref="G44">XLOOKUP(TRIM(F44),TRIM('Kelas XII Angk.32'!C:C),'Kelas XII Angk.32'!E:E,"")</f>
        <v>XII D2</v>
      </c>
      <c r="H44" s="47">
        <v>8.1280155739E10</v>
      </c>
      <c r="I44" s="28" t="s">
        <v>123</v>
      </c>
      <c r="K44" s="50">
        <v>8.0</v>
      </c>
      <c r="L44" s="47" t="s">
        <v>399</v>
      </c>
      <c r="M44" s="47" t="str">
        <f t="array" ref="M44">XLOOKUP(TRIM(L44),TRIM('Kelas XI Angk.33'!C:C),'Kelas XI Angk.33'!E:E,"")</f>
        <v>XI C2</v>
      </c>
      <c r="N44" s="47">
        <v>8.881531539E9</v>
      </c>
      <c r="O44" s="28" t="s">
        <v>137</v>
      </c>
    </row>
    <row r="45">
      <c r="A45" s="77" t="s">
        <v>84</v>
      </c>
      <c r="B45" s="78" t="s">
        <v>304</v>
      </c>
      <c r="C45" s="79" t="s">
        <v>211</v>
      </c>
      <c r="E45" s="50">
        <v>10.0</v>
      </c>
      <c r="F45" s="47" t="s">
        <v>208</v>
      </c>
      <c r="G45" s="46" t="str">
        <f t="array" ref="G45">XLOOKUP(TRIM(F45),TRIM('Kelas XII Angk.32'!C:C),'Kelas XII Angk.32'!E:E,"")</f>
        <v>XII E1</v>
      </c>
      <c r="H45" s="47">
        <v>8.1213080541E10</v>
      </c>
      <c r="I45" s="28" t="s">
        <v>83</v>
      </c>
      <c r="K45" s="50">
        <v>9.0</v>
      </c>
      <c r="L45" s="47" t="s">
        <v>408</v>
      </c>
      <c r="M45" s="47" t="str">
        <f t="array" ref="M45">XLOOKUP(TRIM(L45),TRIM('Kelas XI Angk.33'!C:C),'Kelas XI Angk.33'!E:E,"")</f>
        <v>XI C2</v>
      </c>
      <c r="N45" s="47">
        <v>8.1290850902E10</v>
      </c>
      <c r="O45" s="28" t="s">
        <v>173</v>
      </c>
    </row>
    <row r="46">
      <c r="A46" s="77" t="s">
        <v>99</v>
      </c>
      <c r="B46" s="78" t="s">
        <v>341</v>
      </c>
      <c r="C46" s="79" t="s">
        <v>412</v>
      </c>
      <c r="E46" s="50">
        <v>11.0</v>
      </c>
      <c r="F46" s="53" t="s">
        <v>413</v>
      </c>
      <c r="G46" s="46" t="str">
        <f t="array" ref="G46">XLOOKUP(TRIM(F46),TRIM('Kelas XII Angk.32'!C:C),'Kelas XII Angk.32'!E:E,"")</f>
        <v>XII B2</v>
      </c>
      <c r="H46" s="47">
        <v>8.979556056E9</v>
      </c>
      <c r="I46" s="28" t="s">
        <v>160</v>
      </c>
      <c r="K46" s="50">
        <v>10.0</v>
      </c>
      <c r="L46" s="47" t="s">
        <v>416</v>
      </c>
      <c r="M46" s="47" t="str">
        <f t="array" ref="M46">XLOOKUP(TRIM(L46),TRIM('Kelas XI Angk.33'!C:C),'Kelas XI Angk.33'!E:E,"")</f>
        <v>XI C1</v>
      </c>
      <c r="N46" s="47">
        <v>8.5813993861E10</v>
      </c>
      <c r="O46" s="28" t="s">
        <v>173</v>
      </c>
    </row>
    <row r="47">
      <c r="A47" s="77" t="s">
        <v>110</v>
      </c>
      <c r="B47" s="78" t="s">
        <v>324</v>
      </c>
      <c r="C47" s="79" t="s">
        <v>342</v>
      </c>
      <c r="E47" s="50">
        <v>12.0</v>
      </c>
      <c r="F47" s="47" t="s">
        <v>217</v>
      </c>
      <c r="G47" s="46" t="str">
        <f t="array" ref="G47">XLOOKUP(TRIM(F47),TRIM('Kelas XII Angk.32'!C:C),'Kelas XII Angk.32'!E:E,"")</f>
        <v>XII B1</v>
      </c>
      <c r="H47" s="47">
        <v>8.7888847534E10</v>
      </c>
      <c r="I47" s="28" t="s">
        <v>160</v>
      </c>
      <c r="K47" s="50">
        <v>11.0</v>
      </c>
      <c r="L47" s="47" t="s">
        <v>425</v>
      </c>
      <c r="M47" s="47" t="str">
        <f t="array" ref="M47">XLOOKUP(TRIM(L47),TRIM('Kelas XI Angk.33'!C:C),'Kelas XI Angk.33'!E:E,"")</f>
        <v>XI C1</v>
      </c>
      <c r="N47" s="47" t="s">
        <v>426</v>
      </c>
      <c r="O47" s="28" t="s">
        <v>427</v>
      </c>
    </row>
    <row r="48">
      <c r="A48" s="77" t="s">
        <v>124</v>
      </c>
      <c r="B48" s="78" t="s">
        <v>334</v>
      </c>
      <c r="C48" s="79" t="s">
        <v>199</v>
      </c>
      <c r="E48" s="50">
        <v>13.0</v>
      </c>
      <c r="F48" s="47" t="s">
        <v>429</v>
      </c>
      <c r="G48" s="46" t="str">
        <f t="array" ref="G48">XLOOKUP(TRIM(F48),TRIM('Kelas XII Angk.32'!C:C),'Kelas XII Angk.32'!E:E,"")</f>
        <v>XII E1</v>
      </c>
      <c r="H48" s="47">
        <v>8.111913761E9</v>
      </c>
      <c r="I48" s="28" t="s">
        <v>160</v>
      </c>
      <c r="K48" s="50">
        <v>12.0</v>
      </c>
      <c r="L48" s="47" t="s">
        <v>192</v>
      </c>
      <c r="M48" s="47" t="str">
        <f t="array" ref="M48">XLOOKUP(TRIM(L48),TRIM('Kelas XI Angk.33'!C:C),'Kelas XI Angk.33'!E:E,"")</f>
        <v>XI B1</v>
      </c>
      <c r="N48" s="47" t="s">
        <v>433</v>
      </c>
      <c r="O48" s="28" t="s">
        <v>427</v>
      </c>
    </row>
    <row r="49">
      <c r="A49" s="77" t="s">
        <v>202</v>
      </c>
      <c r="B49" s="78" t="s">
        <v>392</v>
      </c>
      <c r="C49" s="79" t="s">
        <v>225</v>
      </c>
      <c r="E49" s="50">
        <v>14.0</v>
      </c>
      <c r="F49" s="47" t="s">
        <v>434</v>
      </c>
      <c r="G49" s="46" t="str">
        <f t="array" ref="G49">XLOOKUP(TRIM(F49),TRIM('Kelas XII Angk.32'!C:C),'Kelas XII Angk.32'!E:E,"")</f>
        <v>XII E1</v>
      </c>
      <c r="H49" s="47" t="s">
        <v>436</v>
      </c>
      <c r="I49" s="28" t="s">
        <v>98</v>
      </c>
      <c r="K49" s="50">
        <v>13.0</v>
      </c>
      <c r="L49" s="47" t="s">
        <v>437</v>
      </c>
      <c r="M49" s="47" t="str">
        <f t="array" ref="M49">XLOOKUP(TRIM(L49),TRIM('Kelas XI Angk.33'!C:C),'Kelas XI Angk.33'!E:E,"")</f>
        <v>XI E2</v>
      </c>
      <c r="N49" s="47" t="s">
        <v>440</v>
      </c>
      <c r="O49" s="28" t="s">
        <v>427</v>
      </c>
    </row>
    <row r="50">
      <c r="A50" s="77" t="s">
        <v>207</v>
      </c>
      <c r="B50" s="78" t="s">
        <v>387</v>
      </c>
      <c r="C50" s="79" t="s">
        <v>195</v>
      </c>
      <c r="E50" s="50">
        <v>15.0</v>
      </c>
      <c r="F50" s="47" t="s">
        <v>442</v>
      </c>
      <c r="G50" s="46" t="str">
        <f t="array" ref="G50">XLOOKUP(TRIM(F50),TRIM('Kelas XII Angk.32'!C:C),'Kelas XII Angk.32'!E:E,"")</f>
        <v>XII D3</v>
      </c>
      <c r="H50" s="47" t="s">
        <v>445</v>
      </c>
      <c r="I50" s="28" t="s">
        <v>98</v>
      </c>
    </row>
    <row r="51">
      <c r="A51" s="77" t="s">
        <v>210</v>
      </c>
      <c r="B51" s="78" t="s">
        <v>371</v>
      </c>
      <c r="C51" s="79" t="s">
        <v>195</v>
      </c>
      <c r="E51" s="50">
        <v>16.0</v>
      </c>
      <c r="F51" s="53" t="s">
        <v>448</v>
      </c>
      <c r="G51" s="46" t="str">
        <f t="array" ref="G51">XLOOKUP(TRIM(F51),TRIM('Kelas XII Angk.32'!C:C),'Kelas XII Angk.32'!E:E,"")</f>
        <v>XII F2</v>
      </c>
      <c r="H51" s="53"/>
      <c r="K51" s="9" t="s">
        <v>451</v>
      </c>
    </row>
    <row r="52">
      <c r="A52" s="77" t="s">
        <v>216</v>
      </c>
      <c r="B52" s="78" t="s">
        <v>316</v>
      </c>
      <c r="C52" s="79" t="s">
        <v>188</v>
      </c>
      <c r="G52" s="11"/>
      <c r="K52" s="20" t="s">
        <v>13</v>
      </c>
      <c r="L52" s="20" t="s">
        <v>15</v>
      </c>
      <c r="M52" s="20" t="s">
        <v>16</v>
      </c>
      <c r="N52" s="24" t="s">
        <v>17</v>
      </c>
      <c r="O52" s="28" t="s">
        <v>206</v>
      </c>
    </row>
    <row r="53">
      <c r="A53" s="77" t="s">
        <v>223</v>
      </c>
      <c r="B53" s="78" t="s">
        <v>368</v>
      </c>
      <c r="C53" s="79" t="s">
        <v>188</v>
      </c>
      <c r="G53" s="11"/>
      <c r="K53" s="50">
        <v>1.0</v>
      </c>
      <c r="L53" s="47" t="s">
        <v>304</v>
      </c>
      <c r="M53" s="113" t="str">
        <f t="array" ref="M53">XLOOKUP(TRIM(L53),TRIM('Kelas XII Angk.32'!C:C),'Kelas XII Angk.32'!E:E,"")</f>
        <v>XII B2</v>
      </c>
      <c r="N53" s="47" t="s">
        <v>457</v>
      </c>
    </row>
    <row r="54">
      <c r="A54" s="43"/>
      <c r="G54" s="11"/>
      <c r="K54" s="50">
        <v>2.0</v>
      </c>
      <c r="L54" s="47" t="s">
        <v>341</v>
      </c>
      <c r="M54" s="113" t="str">
        <f t="array" ref="M54">XLOOKUP(TRIM(L54),TRIM('Kelas XII Angk.32'!C:C),'Kelas XII Angk.32'!E:E,"")</f>
        <v>XII C</v>
      </c>
      <c r="N54" s="47" t="s">
        <v>460</v>
      </c>
      <c r="P54" s="43"/>
    </row>
    <row r="55">
      <c r="A55" s="43"/>
      <c r="G55" s="11"/>
      <c r="K55" s="50">
        <v>3.0</v>
      </c>
      <c r="L55" s="53" t="s">
        <v>462</v>
      </c>
      <c r="M55" s="113" t="str">
        <f t="array" ref="M55">XLOOKUP(TRIM(L55),TRIM('Kelas XII Angk.32'!C:C),'Kelas XII Angk.32'!E:E,"")</f>
        <v>XII D2</v>
      </c>
      <c r="N55" s="47" t="s">
        <v>465</v>
      </c>
      <c r="P55" s="43"/>
    </row>
    <row r="56">
      <c r="A56" s="43"/>
      <c r="G56" s="11"/>
      <c r="K56" s="50">
        <v>4.0</v>
      </c>
      <c r="L56" s="47" t="s">
        <v>466</v>
      </c>
      <c r="M56" s="113" t="str">
        <f t="array" ref="M56">XLOOKUP(TRIM(L56),TRIM('Kelas XII Angk.32'!C:C),'Kelas XII Angk.32'!E:E,"")</f>
        <v>XII D1</v>
      </c>
      <c r="N56" s="47" t="s">
        <v>470</v>
      </c>
      <c r="P56" s="43"/>
    </row>
    <row r="57">
      <c r="A57" s="43"/>
      <c r="G57" s="11"/>
      <c r="K57" s="50">
        <v>5.0</v>
      </c>
      <c r="L57" s="47" t="s">
        <v>472</v>
      </c>
      <c r="M57" s="113" t="str">
        <f t="array" ref="M57">XLOOKUP(TRIM(L57),TRIM('Kelas XII Angk.32'!C:C),'Kelas XII Angk.32'!E:E,"")</f>
        <v>XII D1</v>
      </c>
      <c r="N57" s="47" t="s">
        <v>475</v>
      </c>
      <c r="P57" s="43"/>
    </row>
    <row r="58">
      <c r="A58" s="43"/>
      <c r="G58" s="11"/>
      <c r="K58" s="50">
        <v>6.0</v>
      </c>
      <c r="L58" s="47" t="s">
        <v>334</v>
      </c>
      <c r="M58" s="113" t="str">
        <f t="array" ref="M58">XLOOKUP(TRIM(L58),TRIM('Kelas XII Angk.32'!C:C),'Kelas XII Angk.32'!E:E,"")</f>
        <v>XII D1</v>
      </c>
      <c r="N58" s="47" t="s">
        <v>479</v>
      </c>
      <c r="P58" s="43"/>
    </row>
    <row r="59">
      <c r="G59" s="11"/>
      <c r="K59" s="50">
        <v>7.0</v>
      </c>
      <c r="L59" s="47" t="s">
        <v>481</v>
      </c>
      <c r="M59" s="113" t="str">
        <f t="array" ref="M59">XLOOKUP(TRIM(L59),TRIM('Kelas XII Angk.32'!C:C),'Kelas XII Angk.32'!E:E,"")</f>
        <v>XII C</v>
      </c>
      <c r="N59" s="47" t="s">
        <v>482</v>
      </c>
      <c r="P59" s="43"/>
    </row>
    <row r="60">
      <c r="A60" s="43"/>
      <c r="G60" s="11"/>
      <c r="K60" s="50">
        <v>8.0</v>
      </c>
      <c r="L60" s="47" t="s">
        <v>392</v>
      </c>
      <c r="M60" s="113" t="str">
        <f t="array" ref="M60">XLOOKUP(TRIM(L60),TRIM('Kelas XII Angk.32'!C:C),'Kelas XII Angk.32'!E:E,"")</f>
        <v>XII F2</v>
      </c>
      <c r="N60" s="47" t="s">
        <v>485</v>
      </c>
      <c r="P60" s="43"/>
    </row>
    <row r="61">
      <c r="A61" s="43"/>
      <c r="G61" s="11"/>
      <c r="K61" s="50">
        <v>9.0</v>
      </c>
      <c r="L61" s="47" t="s">
        <v>387</v>
      </c>
      <c r="M61" s="113" t="str">
        <f t="array" ref="M61">XLOOKUP(TRIM(L61),TRIM('Kelas XII Angk.32'!C:C),'Kelas XII Angk.32'!E:E,"")</f>
        <v>XII E1</v>
      </c>
      <c r="N61" s="47" t="s">
        <v>488</v>
      </c>
      <c r="P61" s="43"/>
    </row>
    <row r="62">
      <c r="A62" s="43"/>
      <c r="G62" s="11"/>
      <c r="K62" s="50">
        <v>10.0</v>
      </c>
      <c r="L62" s="47" t="s">
        <v>371</v>
      </c>
      <c r="M62" s="113" t="str">
        <f t="array" ref="M62">XLOOKUP(TRIM(L62),TRIM('Kelas XII Angk.32'!C:C),'Kelas XII Angk.32'!E:E,"")</f>
        <v>XII E1</v>
      </c>
      <c r="N62" s="47" t="s">
        <v>491</v>
      </c>
      <c r="P62" s="43"/>
    </row>
    <row r="63">
      <c r="A63" s="43"/>
      <c r="G63" s="11"/>
      <c r="K63" s="50">
        <v>11.0</v>
      </c>
      <c r="L63" s="47" t="s">
        <v>492</v>
      </c>
      <c r="M63" s="113" t="str">
        <f t="array" ref="M63">XLOOKUP(TRIM(L63),TRIM('Kelas XII Angk.32'!C:C),'Kelas XII Angk.32'!E:E,"")</f>
        <v>XII F1</v>
      </c>
      <c r="N63" s="53"/>
      <c r="P63" s="43"/>
    </row>
    <row r="64">
      <c r="A64" s="23"/>
      <c r="B64" s="114"/>
      <c r="C64" s="107"/>
      <c r="G64" s="11"/>
      <c r="K64" s="50">
        <v>12.0</v>
      </c>
      <c r="L64" s="47" t="s">
        <v>316</v>
      </c>
      <c r="M64" s="113" t="str">
        <f t="array" ref="M64">XLOOKUP(TRIM(L64),TRIM('Kelas XII Angk.32'!C:C),'Kelas XII Angk.32'!E:E,"")</f>
        <v>XII A2</v>
      </c>
      <c r="N64" s="53"/>
      <c r="P64" s="43"/>
    </row>
    <row r="65">
      <c r="A65" s="23"/>
      <c r="G65" s="11"/>
      <c r="K65" s="50">
        <v>13.0</v>
      </c>
      <c r="L65" s="47" t="s">
        <v>500</v>
      </c>
      <c r="M65" s="113" t="str">
        <f t="array" ref="M65">XLOOKUP(TRIM(L65),TRIM('Kelas XII Angk.32'!C:C),'Kelas XII Angk.32'!E:E,"")</f>
        <v>XII A1</v>
      </c>
      <c r="N65" s="53"/>
      <c r="P65" s="43"/>
    </row>
    <row r="66">
      <c r="A66" s="23"/>
      <c r="G66" s="11"/>
      <c r="K66" s="50">
        <v>14.0</v>
      </c>
      <c r="L66" s="53" t="s">
        <v>501</v>
      </c>
      <c r="M66" s="113" t="str">
        <f t="array" ref="M66">XLOOKUP(TRIM(L66),TRIM('Kelas XII Angk.32'!C:C),'Kelas XII Angk.32'!E:E,"")</f>
        <v>XII A2</v>
      </c>
      <c r="N66" s="53"/>
    </row>
    <row r="67">
      <c r="A67" s="23"/>
      <c r="B67" s="114"/>
      <c r="C67" s="107"/>
      <c r="G67" s="11"/>
      <c r="K67" s="50">
        <v>15.0</v>
      </c>
      <c r="L67" s="47" t="s">
        <v>368</v>
      </c>
      <c r="M67" s="113" t="str">
        <f t="array" ref="M67">XLOOKUP(TRIM(L67),TRIM('Kelas XII Angk.32'!C:C),'Kelas XII Angk.32'!E:E,"")</f>
        <v>XII A2</v>
      </c>
      <c r="N67" s="53"/>
    </row>
    <row r="68">
      <c r="G68" s="11"/>
      <c r="K68" s="50">
        <v>16.0</v>
      </c>
      <c r="L68" s="53" t="s">
        <v>502</v>
      </c>
      <c r="M68" s="113" t="str">
        <f t="array" ref="M68">XLOOKUP(TRIM(L68),TRIM('Kelas XII Angk.32'!C:C),'Kelas XII Angk.32'!E:E,"")</f>
        <v>XII F2</v>
      </c>
      <c r="N68" s="47">
        <v>8.5774022391E10</v>
      </c>
    </row>
    <row r="69">
      <c r="A69" s="43"/>
      <c r="B69" s="114"/>
      <c r="C69" s="107"/>
      <c r="G69" s="11"/>
    </row>
    <row r="70">
      <c r="A70" s="43"/>
      <c r="B70" s="114"/>
      <c r="C70" s="107"/>
      <c r="G70" s="11"/>
      <c r="K70" s="9" t="s">
        <v>504</v>
      </c>
    </row>
    <row r="71">
      <c r="A71" s="43"/>
      <c r="B71" s="114"/>
      <c r="C71" s="107"/>
      <c r="K71" s="20" t="s">
        <v>13</v>
      </c>
      <c r="L71" s="20" t="s">
        <v>15</v>
      </c>
      <c r="M71" s="20" t="s">
        <v>16</v>
      </c>
      <c r="N71" s="24" t="s">
        <v>17</v>
      </c>
    </row>
    <row r="72">
      <c r="A72" s="43"/>
      <c r="B72" s="114"/>
      <c r="C72" s="107"/>
      <c r="G72" s="11"/>
      <c r="K72" s="50">
        <v>1.0</v>
      </c>
      <c r="L72" s="47" t="s">
        <v>505</v>
      </c>
      <c r="M72" s="113" t="str">
        <f t="array" ref="M72">XLOOKUP(TRIM(L72),TRIM('Kelas XII Angk.32'!C:C),'Kelas XII Angk.32'!E:E,"")</f>
        <v>XII B2</v>
      </c>
      <c r="N72" s="47" t="s">
        <v>507</v>
      </c>
    </row>
    <row r="73">
      <c r="A73" s="43"/>
      <c r="B73" s="114"/>
      <c r="C73" s="107"/>
      <c r="G73" s="11"/>
      <c r="K73" s="50">
        <v>2.0</v>
      </c>
      <c r="L73" s="47" t="s">
        <v>508</v>
      </c>
      <c r="M73" s="113" t="str">
        <f t="array" ref="M73">XLOOKUP(TRIM(L73),TRIM('Kelas XII Angk.32'!C:C),'Kelas XII Angk.32'!E:E,"")</f>
        <v>XII F2</v>
      </c>
      <c r="N73" s="47" t="s">
        <v>509</v>
      </c>
    </row>
    <row r="74">
      <c r="A74" s="23"/>
      <c r="B74" s="114"/>
      <c r="C74" s="107"/>
      <c r="G74" s="11"/>
      <c r="K74" s="50">
        <v>3.0</v>
      </c>
      <c r="L74" s="47" t="s">
        <v>510</v>
      </c>
      <c r="M74" s="113" t="str">
        <f t="array" ref="M74">XLOOKUP(TRIM(L74),TRIM('Kelas XII Angk.32'!C:C),'Kelas XII Angk.32'!E:E,"")</f>
        <v>XII D3</v>
      </c>
      <c r="N74" s="47" t="s">
        <v>513</v>
      </c>
    </row>
    <row r="75">
      <c r="A75" s="23"/>
      <c r="C75" s="23"/>
      <c r="G75" s="11"/>
      <c r="K75" s="50">
        <v>4.0</v>
      </c>
      <c r="L75" s="53" t="s">
        <v>516</v>
      </c>
      <c r="M75" s="113" t="str">
        <f t="array" ref="M75">XLOOKUP(TRIM(L75),TRIM('Kelas XII Angk.32'!C:C),'Kelas XII Angk.32'!E:E,"")</f>
        <v>XII D1</v>
      </c>
      <c r="N75" s="47" t="s">
        <v>517</v>
      </c>
    </row>
    <row r="76">
      <c r="A76" s="23"/>
      <c r="C76" s="23"/>
      <c r="G76" s="11"/>
      <c r="K76" s="50">
        <v>5.0</v>
      </c>
      <c r="L76" s="53" t="s">
        <v>519</v>
      </c>
      <c r="M76" s="113" t="str">
        <f t="array" ref="M76">XLOOKUP(TRIM(L76),TRIM('Kelas XII Angk.32'!C:C),'Kelas XII Angk.32'!E:E,"")</f>
        <v>XII B2</v>
      </c>
      <c r="N76" s="47" t="s">
        <v>522</v>
      </c>
    </row>
    <row r="77">
      <c r="A77" s="23"/>
      <c r="C77" s="23"/>
      <c r="G77" s="11"/>
      <c r="K77" s="50">
        <v>6.0</v>
      </c>
      <c r="L77" s="53" t="s">
        <v>524</v>
      </c>
      <c r="M77" s="113" t="str">
        <f t="array" ref="M77">XLOOKUP(TRIM(L77),TRIM('Kelas XII Angk.32'!C:C),'Kelas XII Angk.32'!E:E,"")</f>
        <v>XII B1</v>
      </c>
      <c r="N77" s="47" t="s">
        <v>526</v>
      </c>
    </row>
    <row r="78">
      <c r="A78" s="23"/>
      <c r="C78" s="23"/>
      <c r="G78" s="11"/>
      <c r="K78" s="50">
        <v>7.0</v>
      </c>
      <c r="L78" s="47" t="s">
        <v>528</v>
      </c>
      <c r="M78" s="116" t="str">
        <f t="array" ref="M78">XLOOKUP(TRIM(L78),TRIM('Kelas XII Angk.32'!C:C),'Kelas XII Angk.32'!E:E,"")</f>
        <v/>
      </c>
      <c r="N78" s="47">
        <v>8.9638418478E10</v>
      </c>
    </row>
    <row r="79">
      <c r="A79" s="23"/>
      <c r="C79" s="23"/>
      <c r="G79" s="11"/>
      <c r="K79" s="50">
        <v>8.0</v>
      </c>
      <c r="L79" s="47" t="s">
        <v>531</v>
      </c>
      <c r="M79" s="116" t="str">
        <f t="array" ref="M79">XLOOKUP(TRIM(L79),TRIM('Kelas XII Angk.32'!C:C),'Kelas XII Angk.32'!E:E,"")</f>
        <v/>
      </c>
      <c r="N79" s="47">
        <v>8.1915851142E10</v>
      </c>
    </row>
    <row r="80">
      <c r="A80" s="23"/>
      <c r="C80" s="23"/>
      <c r="G80" s="11"/>
      <c r="K80" s="50">
        <v>9.0</v>
      </c>
      <c r="L80" s="47" t="s">
        <v>534</v>
      </c>
      <c r="M80" s="116" t="str">
        <f t="array" ref="M80">XLOOKUP(TRIM(L80),TRIM('Kelas XII Angk.32'!C:C),'Kelas XII Angk.32'!E:E,"")</f>
        <v/>
      </c>
      <c r="N80" s="47">
        <v>8.1515081284E10</v>
      </c>
    </row>
    <row r="81">
      <c r="A81" s="23"/>
      <c r="C81" s="23"/>
      <c r="G81" s="11"/>
      <c r="K81" s="50">
        <v>10.0</v>
      </c>
      <c r="L81" s="47" t="s">
        <v>537</v>
      </c>
      <c r="M81" s="113" t="str">
        <f t="array" ref="M81">XLOOKUP(TRIM(L81),TRIM('Kelas XII Angk.32'!C:C),'Kelas XII Angk.32'!E:E,"")</f>
        <v>XII A2</v>
      </c>
      <c r="N81" s="47">
        <v>8.561920801E9</v>
      </c>
    </row>
    <row r="82">
      <c r="A82" s="2"/>
      <c r="C82" s="2"/>
      <c r="G82" s="11"/>
      <c r="K82" s="50">
        <v>11.0</v>
      </c>
      <c r="L82" s="47" t="s">
        <v>540</v>
      </c>
      <c r="M82" s="113" t="str">
        <f t="array" ref="M82">XLOOKUP(TRIM(L82),TRIM('Kelas XII Angk.32'!C:C),'Kelas XII Angk.32'!E:E,"")</f>
        <v>XII D3</v>
      </c>
      <c r="N82" s="47">
        <v>8.5215674347E10</v>
      </c>
    </row>
    <row r="83">
      <c r="A83" s="2"/>
      <c r="C83" s="2"/>
      <c r="G83" s="11"/>
      <c r="K83" s="50">
        <v>12.0</v>
      </c>
      <c r="L83" s="47" t="s">
        <v>543</v>
      </c>
      <c r="M83" s="113" t="str">
        <f t="array" ref="M83">XLOOKUP(TRIM(L83),TRIM('Kelas XII Angk.32'!C:C),'Kelas XII Angk.32'!E:E,"")</f>
        <v>XII D3</v>
      </c>
      <c r="N83" s="47">
        <v>8.95622985077E11</v>
      </c>
    </row>
    <row r="84">
      <c r="A84" s="2"/>
      <c r="C84" s="2"/>
      <c r="G84" s="11"/>
      <c r="K84" s="50">
        <v>13.0</v>
      </c>
      <c r="L84" s="47" t="s">
        <v>546</v>
      </c>
      <c r="M84" s="113" t="str">
        <f t="array" ref="M84">XLOOKUP(TRIM(L84),TRIM('Kelas XII Angk.32'!C:C),'Kelas XII Angk.32'!E:E,"")</f>
        <v>XII D2</v>
      </c>
      <c r="N84" s="47">
        <v>8.1295943498E10</v>
      </c>
    </row>
    <row r="85">
      <c r="A85" s="2"/>
      <c r="C85" s="2"/>
      <c r="G85" s="11"/>
      <c r="K85" s="50">
        <v>14.0</v>
      </c>
      <c r="L85" s="47" t="s">
        <v>549</v>
      </c>
      <c r="M85" s="113" t="str">
        <f t="array" ref="M85">XLOOKUP(TRIM(L85),TRIM('Kelas XII Angk.32'!C:C),'Kelas XII Angk.32'!E:E,"")</f>
        <v>XII B2</v>
      </c>
      <c r="N85" s="47">
        <v>8.3895122123E10</v>
      </c>
    </row>
    <row r="86">
      <c r="A86" s="2"/>
      <c r="C86" s="2"/>
      <c r="G86" s="11"/>
      <c r="K86" s="50">
        <v>15.0</v>
      </c>
      <c r="L86" s="47" t="s">
        <v>553</v>
      </c>
      <c r="M86" s="113" t="str">
        <f t="array" ref="M86">XLOOKUP(TRIM(L86),TRIM('Kelas XII Angk.32'!C:C),'Kelas XII Angk.32'!E:E,"")</f>
        <v>XII D1</v>
      </c>
      <c r="N86" s="47" t="s">
        <v>556</v>
      </c>
    </row>
    <row r="87">
      <c r="A87" s="2"/>
      <c r="C87" s="2"/>
      <c r="G87" s="11"/>
      <c r="K87" s="50">
        <v>16.0</v>
      </c>
      <c r="L87" s="47" t="s">
        <v>558</v>
      </c>
      <c r="M87" s="113" t="str">
        <f t="array" ref="M87">XLOOKUP(TRIM(L87),TRIM('Kelas XII Angk.32'!C:C),'Kelas XII Angk.32'!E:E,"")</f>
        <v>XII D2</v>
      </c>
      <c r="N87" s="47" t="s">
        <v>560</v>
      </c>
    </row>
    <row r="88">
      <c r="A88" s="2"/>
      <c r="C88" s="2"/>
      <c r="G88" s="11"/>
    </row>
    <row r="89">
      <c r="A89" s="2"/>
      <c r="C89" s="2"/>
      <c r="G89" s="11"/>
    </row>
    <row r="90">
      <c r="A90" s="2"/>
      <c r="C90" s="2"/>
      <c r="G90" s="11"/>
    </row>
    <row r="91">
      <c r="A91" s="2"/>
      <c r="C91" s="2"/>
      <c r="G91" s="11"/>
    </row>
    <row r="92">
      <c r="A92" s="2"/>
      <c r="C92" s="2"/>
      <c r="G92" s="11"/>
    </row>
    <row r="93">
      <c r="A93" s="2"/>
      <c r="C93" s="2"/>
      <c r="G93" s="11"/>
    </row>
    <row r="94">
      <c r="A94" s="2"/>
      <c r="C94" s="2"/>
      <c r="G94" s="11"/>
    </row>
    <row r="95">
      <c r="A95" s="2"/>
      <c r="C95" s="2"/>
      <c r="G95" s="11"/>
    </row>
    <row r="96">
      <c r="A96" s="2"/>
      <c r="C96" s="2"/>
      <c r="G96" s="11"/>
    </row>
    <row r="97">
      <c r="A97" s="2"/>
      <c r="C97" s="2"/>
      <c r="G97" s="11"/>
    </row>
    <row r="98">
      <c r="A98" s="2"/>
      <c r="C98" s="2"/>
      <c r="G98" s="11"/>
    </row>
    <row r="99">
      <c r="A99" s="2"/>
      <c r="C99" s="2"/>
      <c r="G99" s="11"/>
    </row>
    <row r="100">
      <c r="A100" s="2"/>
      <c r="C100" s="2"/>
      <c r="G100" s="11"/>
    </row>
    <row r="101">
      <c r="A101" s="2"/>
      <c r="C101" s="2"/>
      <c r="G101" s="11"/>
    </row>
    <row r="102">
      <c r="A102" s="2"/>
      <c r="C102" s="2"/>
      <c r="G102" s="11"/>
    </row>
    <row r="103">
      <c r="A103" s="2"/>
      <c r="C103" s="2"/>
      <c r="G103" s="11"/>
    </row>
    <row r="104">
      <c r="A104" s="2"/>
      <c r="C104" s="2"/>
      <c r="G104" s="11"/>
    </row>
    <row r="105">
      <c r="A105" s="2"/>
      <c r="C105" s="2"/>
      <c r="G105" s="11"/>
    </row>
    <row r="106">
      <c r="A106" s="2"/>
      <c r="C106" s="2"/>
      <c r="G106" s="11"/>
    </row>
    <row r="107">
      <c r="A107" s="2"/>
      <c r="C107" s="2"/>
      <c r="G107" s="11"/>
    </row>
    <row r="108">
      <c r="A108" s="2"/>
      <c r="C108" s="2"/>
      <c r="G108" s="11"/>
    </row>
    <row r="109">
      <c r="A109" s="2"/>
      <c r="C109" s="2"/>
      <c r="G109" s="11"/>
    </row>
    <row r="110">
      <c r="A110" s="2"/>
      <c r="C110" s="2"/>
      <c r="G110" s="11"/>
    </row>
    <row r="111">
      <c r="A111" s="2"/>
      <c r="C111" s="2"/>
      <c r="G111" s="11"/>
    </row>
    <row r="112">
      <c r="A112" s="2"/>
      <c r="C112" s="2"/>
      <c r="G112" s="11"/>
    </row>
    <row r="113">
      <c r="A113" s="2"/>
      <c r="C113" s="2"/>
      <c r="G113" s="11"/>
    </row>
    <row r="114">
      <c r="A114" s="2"/>
      <c r="C114" s="2"/>
      <c r="G114" s="11"/>
    </row>
    <row r="115">
      <c r="A115" s="2"/>
      <c r="C115" s="2"/>
      <c r="G115" s="11"/>
    </row>
    <row r="116">
      <c r="A116" s="2"/>
      <c r="C116" s="2"/>
      <c r="G116" s="11"/>
    </row>
    <row r="117">
      <c r="A117" s="2"/>
      <c r="C117" s="2"/>
      <c r="G117" s="11"/>
    </row>
    <row r="118">
      <c r="A118" s="2"/>
      <c r="C118" s="2"/>
      <c r="G118" s="11"/>
    </row>
    <row r="119">
      <c r="A119" s="2"/>
      <c r="C119" s="2"/>
      <c r="G119" s="11"/>
    </row>
    <row r="120">
      <c r="A120" s="2"/>
      <c r="C120" s="2"/>
      <c r="G120" s="11"/>
    </row>
    <row r="121">
      <c r="A121" s="2"/>
      <c r="C121" s="2"/>
      <c r="G121" s="11"/>
    </row>
    <row r="122">
      <c r="A122" s="2"/>
      <c r="C122" s="2"/>
      <c r="G122" s="11"/>
    </row>
    <row r="123">
      <c r="A123" s="2"/>
      <c r="C123" s="2"/>
      <c r="G123" s="11"/>
    </row>
    <row r="124">
      <c r="A124" s="2"/>
      <c r="C124" s="2"/>
      <c r="G124" s="11"/>
    </row>
    <row r="125">
      <c r="A125" s="2"/>
      <c r="C125" s="2"/>
      <c r="G125" s="11"/>
    </row>
    <row r="126">
      <c r="A126" s="2"/>
      <c r="C126" s="2"/>
      <c r="G126" s="11"/>
    </row>
    <row r="127">
      <c r="A127" s="2"/>
      <c r="C127" s="2"/>
      <c r="G127" s="11"/>
    </row>
    <row r="128">
      <c r="A128" s="2"/>
      <c r="C128" s="2"/>
      <c r="G128" s="11"/>
    </row>
    <row r="129">
      <c r="A129" s="2"/>
      <c r="C129" s="2"/>
      <c r="G129" s="11"/>
    </row>
    <row r="130">
      <c r="A130" s="2"/>
      <c r="C130" s="2"/>
      <c r="G130" s="11"/>
    </row>
    <row r="131">
      <c r="A131" s="2"/>
      <c r="C131" s="2"/>
      <c r="G131" s="11"/>
    </row>
    <row r="132">
      <c r="A132" s="2"/>
      <c r="C132" s="2"/>
      <c r="G132" s="11"/>
    </row>
    <row r="133">
      <c r="A133" s="2"/>
      <c r="C133" s="2"/>
      <c r="G133" s="11"/>
    </row>
    <row r="134">
      <c r="A134" s="2"/>
      <c r="C134" s="2"/>
      <c r="G134" s="11"/>
    </row>
    <row r="135">
      <c r="A135" s="2"/>
      <c r="C135" s="2"/>
      <c r="G135" s="11"/>
    </row>
    <row r="136">
      <c r="A136" s="2"/>
      <c r="C136" s="2"/>
      <c r="G136" s="11"/>
    </row>
    <row r="137">
      <c r="A137" s="2"/>
      <c r="C137" s="2"/>
      <c r="G137" s="11"/>
    </row>
    <row r="138">
      <c r="A138" s="2"/>
      <c r="C138" s="2"/>
      <c r="G138" s="11"/>
    </row>
    <row r="139">
      <c r="A139" s="2"/>
      <c r="C139" s="2"/>
      <c r="G139" s="11"/>
    </row>
    <row r="140">
      <c r="A140" s="2"/>
      <c r="C140" s="2"/>
      <c r="G140" s="11"/>
    </row>
    <row r="141">
      <c r="A141" s="2"/>
      <c r="C141" s="2"/>
      <c r="G141" s="11"/>
    </row>
    <row r="142">
      <c r="A142" s="2"/>
      <c r="C142" s="2"/>
      <c r="G142" s="11"/>
    </row>
    <row r="143">
      <c r="A143" s="2"/>
      <c r="C143" s="2"/>
      <c r="G143" s="11"/>
    </row>
    <row r="144">
      <c r="A144" s="2"/>
      <c r="C144" s="2"/>
      <c r="G144" s="11"/>
    </row>
    <row r="145">
      <c r="A145" s="2"/>
      <c r="C145" s="2"/>
      <c r="G145" s="11"/>
    </row>
    <row r="146">
      <c r="A146" s="2"/>
      <c r="C146" s="2"/>
      <c r="G146" s="11"/>
    </row>
    <row r="147">
      <c r="A147" s="2"/>
      <c r="C147" s="2"/>
      <c r="G147" s="11"/>
    </row>
    <row r="148">
      <c r="A148" s="2"/>
      <c r="C148" s="2"/>
      <c r="G148" s="11"/>
    </row>
    <row r="149">
      <c r="A149" s="2"/>
      <c r="C149" s="2"/>
      <c r="G149" s="11"/>
    </row>
    <row r="150">
      <c r="A150" s="2"/>
      <c r="C150" s="2"/>
      <c r="G150" s="11"/>
    </row>
    <row r="151">
      <c r="A151" s="2"/>
      <c r="C151" s="2"/>
      <c r="G151" s="11"/>
    </row>
    <row r="152">
      <c r="A152" s="2"/>
      <c r="C152" s="2"/>
      <c r="G152" s="11"/>
    </row>
    <row r="153">
      <c r="A153" s="2"/>
      <c r="C153" s="2"/>
      <c r="G153" s="11"/>
    </row>
    <row r="154">
      <c r="A154" s="2"/>
      <c r="C154" s="2"/>
      <c r="G154" s="11"/>
    </row>
    <row r="155">
      <c r="A155" s="2"/>
      <c r="C155" s="2"/>
      <c r="G155" s="11"/>
    </row>
    <row r="156">
      <c r="A156" s="2"/>
      <c r="C156" s="2"/>
      <c r="G156" s="11"/>
    </row>
    <row r="157">
      <c r="A157" s="2"/>
      <c r="C157" s="2"/>
      <c r="G157" s="11"/>
    </row>
    <row r="158">
      <c r="A158" s="2"/>
      <c r="C158" s="2"/>
      <c r="G158" s="11"/>
    </row>
    <row r="159">
      <c r="A159" s="2"/>
      <c r="C159" s="2"/>
      <c r="G159" s="11"/>
    </row>
    <row r="160">
      <c r="A160" s="2"/>
      <c r="C160" s="2"/>
      <c r="G160" s="11"/>
    </row>
    <row r="161">
      <c r="A161" s="2"/>
      <c r="C161" s="2"/>
      <c r="G161" s="11"/>
    </row>
    <row r="162">
      <c r="A162" s="2"/>
      <c r="C162" s="2"/>
      <c r="G162" s="11"/>
    </row>
    <row r="163">
      <c r="A163" s="2"/>
      <c r="C163" s="2"/>
      <c r="G163" s="11"/>
    </row>
    <row r="164">
      <c r="A164" s="2"/>
      <c r="C164" s="2"/>
      <c r="G164" s="11"/>
    </row>
    <row r="165">
      <c r="A165" s="2"/>
      <c r="C165" s="2"/>
      <c r="G165" s="11"/>
    </row>
    <row r="166">
      <c r="A166" s="2"/>
      <c r="C166" s="2"/>
      <c r="G166" s="11"/>
    </row>
    <row r="167">
      <c r="A167" s="2"/>
      <c r="C167" s="2"/>
      <c r="G167" s="11"/>
    </row>
    <row r="168">
      <c r="A168" s="2"/>
      <c r="C168" s="2"/>
      <c r="G168" s="11"/>
    </row>
    <row r="169">
      <c r="A169" s="2"/>
      <c r="C169" s="2"/>
      <c r="G169" s="11"/>
    </row>
    <row r="170">
      <c r="A170" s="2"/>
      <c r="C170" s="2"/>
      <c r="G170" s="11"/>
    </row>
    <row r="171">
      <c r="A171" s="2"/>
      <c r="C171" s="2"/>
      <c r="G171" s="11"/>
    </row>
    <row r="172">
      <c r="A172" s="2"/>
      <c r="C172" s="2"/>
      <c r="G172" s="11"/>
    </row>
    <row r="173">
      <c r="A173" s="2"/>
      <c r="C173" s="2"/>
      <c r="G173" s="11"/>
    </row>
    <row r="174">
      <c r="A174" s="2"/>
      <c r="C174" s="2"/>
      <c r="G174" s="11"/>
    </row>
    <row r="175">
      <c r="A175" s="2"/>
      <c r="C175" s="2"/>
      <c r="G175" s="11"/>
    </row>
    <row r="176">
      <c r="A176" s="2"/>
      <c r="C176" s="2"/>
      <c r="G176" s="11"/>
    </row>
    <row r="177">
      <c r="A177" s="2"/>
      <c r="C177" s="2"/>
      <c r="G177" s="11"/>
    </row>
    <row r="178">
      <c r="A178" s="2"/>
      <c r="C178" s="2"/>
      <c r="G178" s="11"/>
    </row>
    <row r="179">
      <c r="A179" s="2"/>
      <c r="C179" s="2"/>
      <c r="G179" s="11"/>
    </row>
    <row r="180">
      <c r="A180" s="2"/>
      <c r="C180" s="2"/>
      <c r="G180" s="11"/>
    </row>
    <row r="181">
      <c r="A181" s="2"/>
      <c r="C181" s="2"/>
      <c r="G181" s="11"/>
    </row>
    <row r="182">
      <c r="A182" s="2"/>
      <c r="C182" s="2"/>
      <c r="G182" s="11"/>
    </row>
    <row r="183">
      <c r="A183" s="2"/>
      <c r="C183" s="2"/>
      <c r="G183" s="11"/>
    </row>
    <row r="184">
      <c r="A184" s="2"/>
      <c r="C184" s="2"/>
      <c r="G184" s="11"/>
    </row>
    <row r="185">
      <c r="A185" s="2"/>
      <c r="C185" s="2"/>
      <c r="G185" s="11"/>
    </row>
    <row r="186">
      <c r="A186" s="2"/>
      <c r="C186" s="2"/>
      <c r="G186" s="11"/>
    </row>
    <row r="187">
      <c r="A187" s="2"/>
      <c r="C187" s="2"/>
      <c r="G187" s="11"/>
    </row>
    <row r="188">
      <c r="A188" s="2"/>
      <c r="C188" s="2"/>
      <c r="G188" s="11"/>
    </row>
    <row r="189">
      <c r="A189" s="2"/>
      <c r="C189" s="2"/>
      <c r="G189" s="11"/>
    </row>
    <row r="190">
      <c r="A190" s="2"/>
      <c r="C190" s="2"/>
      <c r="G190" s="11"/>
    </row>
    <row r="191">
      <c r="A191" s="2"/>
      <c r="C191" s="2"/>
      <c r="G191" s="11"/>
    </row>
    <row r="192">
      <c r="A192" s="2"/>
      <c r="C192" s="2"/>
      <c r="G192" s="11"/>
    </row>
    <row r="193">
      <c r="A193" s="2"/>
      <c r="C193" s="2"/>
      <c r="G193" s="11"/>
    </row>
    <row r="194">
      <c r="A194" s="2"/>
      <c r="C194" s="2"/>
      <c r="G194" s="11"/>
    </row>
    <row r="195">
      <c r="A195" s="2"/>
      <c r="C195" s="2"/>
      <c r="G195" s="11"/>
    </row>
    <row r="196">
      <c r="A196" s="2"/>
      <c r="C196" s="2"/>
      <c r="G196" s="11"/>
    </row>
    <row r="197">
      <c r="A197" s="2"/>
      <c r="C197" s="2"/>
      <c r="G197" s="11"/>
    </row>
    <row r="198">
      <c r="A198" s="2"/>
      <c r="C198" s="2"/>
      <c r="G198" s="11"/>
    </row>
    <row r="199">
      <c r="A199" s="2"/>
      <c r="C199" s="2"/>
      <c r="G199" s="11"/>
    </row>
    <row r="200">
      <c r="A200" s="2"/>
      <c r="C200" s="2"/>
      <c r="G200" s="11"/>
    </row>
    <row r="201">
      <c r="A201" s="2"/>
      <c r="C201" s="2"/>
      <c r="G201" s="11"/>
    </row>
    <row r="202">
      <c r="A202" s="2"/>
      <c r="C202" s="2"/>
      <c r="G202" s="11"/>
    </row>
    <row r="203">
      <c r="A203" s="2"/>
      <c r="C203" s="2"/>
      <c r="G203" s="11"/>
    </row>
    <row r="204">
      <c r="A204" s="2"/>
      <c r="C204" s="2"/>
      <c r="G204" s="11"/>
    </row>
    <row r="205">
      <c r="A205" s="2"/>
      <c r="C205" s="2"/>
      <c r="G205" s="11"/>
    </row>
    <row r="206">
      <c r="A206" s="2"/>
      <c r="C206" s="2"/>
      <c r="G206" s="11"/>
    </row>
    <row r="207">
      <c r="A207" s="2"/>
      <c r="C207" s="2"/>
      <c r="G207" s="11"/>
    </row>
    <row r="208">
      <c r="A208" s="2"/>
      <c r="C208" s="2"/>
      <c r="G208" s="11"/>
    </row>
    <row r="209">
      <c r="A209" s="2"/>
      <c r="C209" s="2"/>
      <c r="G209" s="11"/>
    </row>
    <row r="210">
      <c r="A210" s="2"/>
      <c r="C210" s="2"/>
      <c r="G210" s="11"/>
    </row>
    <row r="211">
      <c r="A211" s="2"/>
      <c r="C211" s="2"/>
      <c r="G211" s="11"/>
    </row>
    <row r="212">
      <c r="A212" s="2"/>
      <c r="C212" s="2"/>
      <c r="G212" s="11"/>
    </row>
    <row r="213">
      <c r="A213" s="2"/>
      <c r="C213" s="2"/>
      <c r="G213" s="11"/>
    </row>
    <row r="214">
      <c r="A214" s="2"/>
      <c r="C214" s="2"/>
      <c r="G214" s="11"/>
    </row>
    <row r="215">
      <c r="A215" s="2"/>
      <c r="C215" s="2"/>
      <c r="G215" s="11"/>
    </row>
    <row r="216">
      <c r="A216" s="2"/>
      <c r="C216" s="2"/>
      <c r="G216" s="11"/>
    </row>
    <row r="217">
      <c r="A217" s="2"/>
      <c r="C217" s="2"/>
      <c r="G217" s="11"/>
    </row>
    <row r="218">
      <c r="A218" s="2"/>
      <c r="C218" s="2"/>
      <c r="G218" s="11"/>
    </row>
    <row r="219">
      <c r="A219" s="2"/>
      <c r="C219" s="2"/>
      <c r="G219" s="11"/>
    </row>
    <row r="220">
      <c r="A220" s="2"/>
      <c r="C220" s="2"/>
      <c r="G220" s="11"/>
    </row>
    <row r="221">
      <c r="A221" s="2"/>
      <c r="C221" s="2"/>
      <c r="G221" s="11"/>
    </row>
    <row r="222">
      <c r="A222" s="2"/>
      <c r="C222" s="2"/>
      <c r="G222" s="11"/>
    </row>
    <row r="223">
      <c r="A223" s="2"/>
      <c r="C223" s="2"/>
      <c r="G223" s="11"/>
    </row>
    <row r="224">
      <c r="A224" s="2"/>
      <c r="C224" s="2"/>
      <c r="G224" s="11"/>
    </row>
    <row r="225">
      <c r="A225" s="2"/>
      <c r="C225" s="2"/>
      <c r="G225" s="11"/>
    </row>
    <row r="226">
      <c r="A226" s="2"/>
      <c r="C226" s="2"/>
      <c r="G226" s="11"/>
    </row>
    <row r="227">
      <c r="A227" s="2"/>
      <c r="C227" s="2"/>
      <c r="G227" s="11"/>
    </row>
    <row r="228">
      <c r="A228" s="2"/>
      <c r="C228" s="2"/>
      <c r="G228" s="11"/>
    </row>
    <row r="229">
      <c r="A229" s="2"/>
      <c r="C229" s="2"/>
      <c r="G229" s="11"/>
    </row>
    <row r="230">
      <c r="A230" s="2"/>
      <c r="C230" s="2"/>
      <c r="G230" s="11"/>
    </row>
    <row r="231">
      <c r="A231" s="2"/>
      <c r="C231" s="2"/>
      <c r="G231" s="11"/>
    </row>
    <row r="232">
      <c r="A232" s="2"/>
      <c r="C232" s="2"/>
      <c r="G232" s="11"/>
    </row>
    <row r="233">
      <c r="A233" s="2"/>
      <c r="C233" s="2"/>
      <c r="G233" s="11"/>
    </row>
    <row r="234">
      <c r="A234" s="2"/>
      <c r="C234" s="2"/>
      <c r="G234" s="11"/>
    </row>
    <row r="235">
      <c r="A235" s="2"/>
      <c r="C235" s="2"/>
      <c r="G235" s="11"/>
    </row>
    <row r="236">
      <c r="A236" s="2"/>
      <c r="C236" s="2"/>
      <c r="G236" s="11"/>
    </row>
    <row r="237">
      <c r="A237" s="2"/>
      <c r="C237" s="2"/>
      <c r="G237" s="11"/>
    </row>
    <row r="238">
      <c r="A238" s="2"/>
      <c r="C238" s="2"/>
      <c r="G238" s="11"/>
    </row>
    <row r="239">
      <c r="A239" s="2"/>
      <c r="C239" s="2"/>
      <c r="G239" s="11"/>
    </row>
    <row r="240">
      <c r="A240" s="2"/>
      <c r="C240" s="2"/>
      <c r="G240" s="11"/>
    </row>
    <row r="241">
      <c r="A241" s="2"/>
      <c r="C241" s="2"/>
      <c r="G241" s="11"/>
    </row>
    <row r="242">
      <c r="A242" s="2"/>
      <c r="C242" s="2"/>
      <c r="G242" s="11"/>
    </row>
    <row r="243">
      <c r="A243" s="2"/>
      <c r="C243" s="2"/>
      <c r="G243" s="11"/>
    </row>
    <row r="244">
      <c r="A244" s="2"/>
      <c r="C244" s="2"/>
      <c r="G244" s="11"/>
    </row>
    <row r="245">
      <c r="A245" s="2"/>
      <c r="C245" s="2"/>
      <c r="G245" s="11"/>
    </row>
    <row r="246">
      <c r="A246" s="2"/>
      <c r="C246" s="2"/>
      <c r="G246" s="11"/>
    </row>
    <row r="247">
      <c r="A247" s="2"/>
      <c r="C247" s="2"/>
      <c r="G247" s="11"/>
    </row>
    <row r="248">
      <c r="A248" s="2"/>
      <c r="C248" s="2"/>
      <c r="G248" s="11"/>
    </row>
    <row r="249">
      <c r="A249" s="2"/>
      <c r="C249" s="2"/>
      <c r="G249" s="11"/>
    </row>
    <row r="250">
      <c r="A250" s="2"/>
      <c r="C250" s="2"/>
      <c r="G250" s="11"/>
    </row>
    <row r="251">
      <c r="A251" s="2"/>
      <c r="C251" s="2"/>
      <c r="G251" s="11"/>
    </row>
    <row r="252">
      <c r="A252" s="2"/>
      <c r="C252" s="2"/>
      <c r="G252" s="11"/>
    </row>
    <row r="253">
      <c r="A253" s="2"/>
      <c r="C253" s="2"/>
      <c r="G253" s="11"/>
    </row>
    <row r="254">
      <c r="A254" s="2"/>
      <c r="C254" s="2"/>
      <c r="G254" s="11"/>
    </row>
    <row r="255">
      <c r="A255" s="2"/>
      <c r="C255" s="2"/>
      <c r="G255" s="11"/>
    </row>
    <row r="256">
      <c r="A256" s="2"/>
      <c r="C256" s="2"/>
      <c r="G256" s="11"/>
    </row>
    <row r="257">
      <c r="A257" s="2"/>
      <c r="C257" s="2"/>
      <c r="G257" s="11"/>
    </row>
    <row r="258">
      <c r="A258" s="2"/>
      <c r="C258" s="2"/>
      <c r="G258" s="11"/>
    </row>
    <row r="259">
      <c r="A259" s="2"/>
      <c r="C259" s="2"/>
      <c r="G259" s="11"/>
    </row>
    <row r="260">
      <c r="A260" s="2"/>
      <c r="C260" s="2"/>
      <c r="G260" s="11"/>
    </row>
    <row r="261">
      <c r="A261" s="2"/>
      <c r="C261" s="2"/>
      <c r="G261" s="11"/>
    </row>
    <row r="262">
      <c r="A262" s="2"/>
      <c r="C262" s="2"/>
      <c r="G262" s="11"/>
    </row>
    <row r="263">
      <c r="A263" s="2"/>
      <c r="C263" s="2"/>
      <c r="G263" s="11"/>
    </row>
    <row r="264">
      <c r="A264" s="2"/>
      <c r="C264" s="2"/>
      <c r="G264" s="11"/>
    </row>
    <row r="265">
      <c r="A265" s="2"/>
      <c r="C265" s="2"/>
      <c r="G265" s="11"/>
    </row>
    <row r="266">
      <c r="A266" s="2"/>
      <c r="C266" s="2"/>
      <c r="G266" s="11"/>
    </row>
    <row r="267">
      <c r="A267" s="2"/>
      <c r="C267" s="2"/>
      <c r="G267" s="11"/>
    </row>
    <row r="268">
      <c r="A268" s="2"/>
      <c r="C268" s="2"/>
      <c r="G268" s="11"/>
    </row>
    <row r="269">
      <c r="A269" s="2"/>
      <c r="C269" s="2"/>
      <c r="G269" s="11"/>
    </row>
    <row r="270">
      <c r="A270" s="2"/>
      <c r="C270" s="2"/>
      <c r="G270" s="11"/>
    </row>
    <row r="271">
      <c r="A271" s="2"/>
      <c r="C271" s="2"/>
      <c r="G271" s="11"/>
    </row>
    <row r="272">
      <c r="A272" s="2"/>
      <c r="C272" s="2"/>
      <c r="G272" s="11"/>
    </row>
    <row r="273">
      <c r="A273" s="2"/>
      <c r="C273" s="2"/>
      <c r="G273" s="11"/>
    </row>
    <row r="274">
      <c r="A274" s="2"/>
      <c r="C274" s="2"/>
      <c r="G274" s="11"/>
    </row>
    <row r="275">
      <c r="A275" s="2"/>
      <c r="C275" s="2"/>
      <c r="G275" s="11"/>
    </row>
    <row r="276">
      <c r="A276" s="2"/>
      <c r="C276" s="2"/>
      <c r="G276" s="11"/>
    </row>
    <row r="277">
      <c r="A277" s="2"/>
      <c r="C277" s="2"/>
      <c r="G277" s="11"/>
    </row>
    <row r="278">
      <c r="A278" s="2"/>
      <c r="C278" s="2"/>
      <c r="G278" s="11"/>
    </row>
    <row r="279">
      <c r="A279" s="2"/>
      <c r="C279" s="2"/>
      <c r="G279" s="11"/>
    </row>
    <row r="280">
      <c r="A280" s="2"/>
      <c r="C280" s="2"/>
      <c r="G280" s="11"/>
    </row>
    <row r="281">
      <c r="A281" s="2"/>
      <c r="C281" s="2"/>
      <c r="G281" s="11"/>
    </row>
    <row r="282">
      <c r="A282" s="2"/>
      <c r="C282" s="2"/>
      <c r="G282" s="11"/>
    </row>
    <row r="283">
      <c r="A283" s="2"/>
      <c r="C283" s="2"/>
      <c r="G283" s="11"/>
    </row>
    <row r="284">
      <c r="A284" s="2"/>
      <c r="C284" s="2"/>
      <c r="G284" s="11"/>
    </row>
    <row r="285">
      <c r="A285" s="2"/>
      <c r="C285" s="2"/>
      <c r="G285" s="11"/>
    </row>
    <row r="286">
      <c r="A286" s="2"/>
      <c r="C286" s="2"/>
      <c r="G286" s="11"/>
    </row>
    <row r="287">
      <c r="A287" s="2"/>
      <c r="C287" s="2"/>
      <c r="G287" s="11"/>
    </row>
    <row r="288">
      <c r="A288" s="2"/>
      <c r="C288" s="2"/>
      <c r="G288" s="11"/>
    </row>
    <row r="289">
      <c r="A289" s="2"/>
      <c r="C289" s="2"/>
      <c r="G289" s="11"/>
    </row>
    <row r="290">
      <c r="A290" s="2"/>
      <c r="C290" s="2"/>
      <c r="G290" s="11"/>
    </row>
    <row r="291">
      <c r="A291" s="2"/>
      <c r="C291" s="2"/>
      <c r="G291" s="11"/>
    </row>
    <row r="292">
      <c r="A292" s="2"/>
      <c r="C292" s="2"/>
      <c r="G292" s="11"/>
    </row>
    <row r="293">
      <c r="A293" s="2"/>
      <c r="C293" s="2"/>
      <c r="G293" s="11"/>
    </row>
    <row r="294">
      <c r="A294" s="2"/>
      <c r="C294" s="2"/>
      <c r="G294" s="11"/>
    </row>
    <row r="295">
      <c r="A295" s="2"/>
      <c r="C295" s="2"/>
      <c r="G295" s="11"/>
    </row>
    <row r="296">
      <c r="A296" s="2"/>
      <c r="C296" s="2"/>
      <c r="G296" s="11"/>
    </row>
    <row r="297">
      <c r="A297" s="2"/>
      <c r="C297" s="2"/>
      <c r="G297" s="11"/>
    </row>
    <row r="298">
      <c r="A298" s="2"/>
      <c r="C298" s="2"/>
      <c r="G298" s="11"/>
    </row>
    <row r="299">
      <c r="A299" s="2"/>
      <c r="C299" s="2"/>
      <c r="G299" s="11"/>
    </row>
    <row r="300">
      <c r="A300" s="2"/>
      <c r="C300" s="2"/>
      <c r="G300" s="11"/>
    </row>
    <row r="301">
      <c r="A301" s="2"/>
      <c r="C301" s="2"/>
      <c r="G301" s="11"/>
    </row>
    <row r="302">
      <c r="A302" s="2"/>
      <c r="C302" s="2"/>
      <c r="G302" s="11"/>
    </row>
    <row r="303">
      <c r="A303" s="2"/>
      <c r="C303" s="2"/>
      <c r="G303" s="11"/>
    </row>
    <row r="304">
      <c r="A304" s="2"/>
      <c r="C304" s="2"/>
      <c r="G304" s="11"/>
    </row>
    <row r="305">
      <c r="A305" s="2"/>
      <c r="C305" s="2"/>
      <c r="G305" s="11"/>
    </row>
    <row r="306">
      <c r="A306" s="2"/>
      <c r="C306" s="2"/>
      <c r="G306" s="11"/>
    </row>
    <row r="307">
      <c r="A307" s="2"/>
      <c r="C307" s="2"/>
      <c r="G307" s="11"/>
    </row>
    <row r="308">
      <c r="A308" s="2"/>
      <c r="C308" s="2"/>
      <c r="G308" s="11"/>
    </row>
    <row r="309">
      <c r="A309" s="2"/>
      <c r="C309" s="2"/>
      <c r="G309" s="11"/>
    </row>
    <row r="310">
      <c r="A310" s="2"/>
      <c r="C310" s="2"/>
      <c r="G310" s="11"/>
    </row>
    <row r="311">
      <c r="A311" s="2"/>
      <c r="C311" s="2"/>
      <c r="G311" s="11"/>
    </row>
    <row r="312">
      <c r="A312" s="2"/>
      <c r="C312" s="2"/>
      <c r="G312" s="11"/>
    </row>
    <row r="313">
      <c r="A313" s="2"/>
      <c r="C313" s="2"/>
      <c r="G313" s="11"/>
    </row>
    <row r="314">
      <c r="A314" s="2"/>
      <c r="C314" s="2"/>
      <c r="G314" s="11"/>
    </row>
    <row r="315">
      <c r="A315" s="2"/>
      <c r="C315" s="2"/>
      <c r="G315" s="11"/>
    </row>
    <row r="316">
      <c r="A316" s="2"/>
      <c r="C316" s="2"/>
      <c r="G316" s="11"/>
    </row>
    <row r="317">
      <c r="A317" s="2"/>
      <c r="C317" s="2"/>
      <c r="G317" s="11"/>
    </row>
    <row r="318">
      <c r="A318" s="2"/>
      <c r="C318" s="2"/>
      <c r="G318" s="11"/>
    </row>
    <row r="319">
      <c r="A319" s="2"/>
      <c r="C319" s="2"/>
      <c r="G319" s="11"/>
    </row>
    <row r="320">
      <c r="A320" s="2"/>
      <c r="C320" s="2"/>
      <c r="G320" s="11"/>
    </row>
    <row r="321">
      <c r="A321" s="2"/>
      <c r="C321" s="2"/>
      <c r="G321" s="11"/>
    </row>
    <row r="322">
      <c r="A322" s="2"/>
      <c r="C322" s="2"/>
      <c r="G322" s="11"/>
    </row>
    <row r="323">
      <c r="A323" s="2"/>
      <c r="C323" s="2"/>
      <c r="G323" s="11"/>
    </row>
    <row r="324">
      <c r="A324" s="2"/>
      <c r="C324" s="2"/>
      <c r="G324" s="11"/>
    </row>
    <row r="325">
      <c r="A325" s="2"/>
      <c r="C325" s="2"/>
      <c r="G325" s="11"/>
    </row>
    <row r="326">
      <c r="A326" s="2"/>
      <c r="C326" s="2"/>
      <c r="G326" s="11"/>
    </row>
    <row r="327">
      <c r="A327" s="2"/>
      <c r="C327" s="2"/>
      <c r="G327" s="11"/>
    </row>
    <row r="328">
      <c r="A328" s="2"/>
      <c r="C328" s="2"/>
      <c r="G328" s="11"/>
    </row>
    <row r="329">
      <c r="A329" s="2"/>
      <c r="C329" s="2"/>
      <c r="G329" s="11"/>
    </row>
    <row r="330">
      <c r="A330" s="2"/>
      <c r="C330" s="2"/>
      <c r="G330" s="11"/>
    </row>
    <row r="331">
      <c r="A331" s="2"/>
      <c r="C331" s="2"/>
      <c r="G331" s="11"/>
    </row>
    <row r="332">
      <c r="A332" s="2"/>
      <c r="C332" s="2"/>
      <c r="G332" s="11"/>
    </row>
    <row r="333">
      <c r="A333" s="2"/>
      <c r="C333" s="2"/>
      <c r="G333" s="11"/>
    </row>
    <row r="334">
      <c r="A334" s="2"/>
      <c r="C334" s="2"/>
      <c r="G334" s="11"/>
    </row>
    <row r="335">
      <c r="A335" s="2"/>
      <c r="C335" s="2"/>
      <c r="G335" s="11"/>
    </row>
    <row r="336">
      <c r="A336" s="2"/>
      <c r="C336" s="2"/>
      <c r="G336" s="11"/>
    </row>
    <row r="337">
      <c r="A337" s="2"/>
      <c r="C337" s="2"/>
      <c r="G337" s="11"/>
    </row>
    <row r="338">
      <c r="A338" s="2"/>
      <c r="C338" s="2"/>
      <c r="G338" s="11"/>
    </row>
    <row r="339">
      <c r="A339" s="2"/>
      <c r="C339" s="2"/>
      <c r="G339" s="11"/>
    </row>
    <row r="340">
      <c r="A340" s="2"/>
      <c r="C340" s="2"/>
      <c r="G340" s="11"/>
    </row>
    <row r="341">
      <c r="A341" s="2"/>
      <c r="C341" s="2"/>
      <c r="G341" s="11"/>
    </row>
    <row r="342">
      <c r="A342" s="2"/>
      <c r="C342" s="2"/>
      <c r="G342" s="11"/>
    </row>
    <row r="343">
      <c r="A343" s="2"/>
      <c r="C343" s="2"/>
      <c r="G343" s="11"/>
    </row>
    <row r="344">
      <c r="A344" s="2"/>
      <c r="C344" s="2"/>
      <c r="G344" s="11"/>
    </row>
    <row r="345">
      <c r="A345" s="2"/>
      <c r="C345" s="2"/>
      <c r="G345" s="11"/>
    </row>
    <row r="346">
      <c r="A346" s="2"/>
      <c r="C346" s="2"/>
      <c r="G346" s="11"/>
    </row>
    <row r="347">
      <c r="A347" s="2"/>
      <c r="C347" s="2"/>
      <c r="G347" s="11"/>
    </row>
    <row r="348">
      <c r="A348" s="2"/>
      <c r="C348" s="2"/>
      <c r="G348" s="11"/>
    </row>
    <row r="349">
      <c r="A349" s="2"/>
      <c r="C349" s="2"/>
      <c r="G349" s="11"/>
    </row>
    <row r="350">
      <c r="A350" s="2"/>
      <c r="C350" s="2"/>
      <c r="G350" s="11"/>
    </row>
    <row r="351">
      <c r="A351" s="2"/>
      <c r="C351" s="2"/>
      <c r="G351" s="11"/>
    </row>
    <row r="352">
      <c r="A352" s="2"/>
      <c r="C352" s="2"/>
      <c r="G352" s="11"/>
    </row>
    <row r="353">
      <c r="A353" s="2"/>
      <c r="C353" s="2"/>
      <c r="G353" s="11"/>
    </row>
    <row r="354">
      <c r="A354" s="2"/>
      <c r="C354" s="2"/>
      <c r="G354" s="11"/>
    </row>
    <row r="355">
      <c r="A355" s="2"/>
      <c r="C355" s="2"/>
      <c r="G355" s="11"/>
    </row>
    <row r="356">
      <c r="A356" s="2"/>
      <c r="C356" s="2"/>
      <c r="G356" s="11"/>
    </row>
    <row r="357">
      <c r="A357" s="2"/>
      <c r="C357" s="2"/>
      <c r="G357" s="11"/>
    </row>
    <row r="358">
      <c r="A358" s="2"/>
      <c r="C358" s="2"/>
      <c r="G358" s="11"/>
    </row>
    <row r="359">
      <c r="A359" s="2"/>
      <c r="C359" s="2"/>
      <c r="G359" s="11"/>
    </row>
    <row r="360">
      <c r="A360" s="2"/>
      <c r="C360" s="2"/>
      <c r="G360" s="11"/>
    </row>
    <row r="361">
      <c r="A361" s="2"/>
      <c r="C361" s="2"/>
      <c r="G361" s="11"/>
    </row>
    <row r="362">
      <c r="A362" s="2"/>
      <c r="C362" s="2"/>
      <c r="G362" s="11"/>
    </row>
    <row r="363">
      <c r="A363" s="2"/>
      <c r="C363" s="2"/>
      <c r="G363" s="11"/>
    </row>
    <row r="364">
      <c r="A364" s="2"/>
      <c r="C364" s="2"/>
      <c r="G364" s="11"/>
    </row>
    <row r="365">
      <c r="A365" s="2"/>
      <c r="C365" s="2"/>
      <c r="G365" s="11"/>
    </row>
    <row r="366">
      <c r="A366" s="2"/>
      <c r="C366" s="2"/>
      <c r="G366" s="11"/>
    </row>
    <row r="367">
      <c r="A367" s="2"/>
      <c r="C367" s="2"/>
      <c r="G367" s="11"/>
    </row>
    <row r="368">
      <c r="A368" s="2"/>
      <c r="C368" s="2"/>
      <c r="G368" s="11"/>
    </row>
    <row r="369">
      <c r="A369" s="2"/>
      <c r="C369" s="2"/>
      <c r="G369" s="11"/>
    </row>
    <row r="370">
      <c r="A370" s="2"/>
      <c r="C370" s="2"/>
      <c r="G370" s="11"/>
    </row>
    <row r="371">
      <c r="A371" s="2"/>
      <c r="C371" s="2"/>
      <c r="G371" s="11"/>
    </row>
    <row r="372">
      <c r="A372" s="2"/>
      <c r="C372" s="2"/>
      <c r="G372" s="11"/>
    </row>
    <row r="373">
      <c r="A373" s="2"/>
      <c r="C373" s="2"/>
      <c r="G373" s="11"/>
    </row>
    <row r="374">
      <c r="A374" s="2"/>
      <c r="C374" s="2"/>
      <c r="G374" s="11"/>
    </row>
    <row r="375">
      <c r="A375" s="2"/>
      <c r="C375" s="2"/>
      <c r="G375" s="11"/>
    </row>
    <row r="376">
      <c r="A376" s="2"/>
      <c r="C376" s="2"/>
      <c r="G376" s="11"/>
    </row>
    <row r="377">
      <c r="A377" s="2"/>
      <c r="C377" s="2"/>
      <c r="G377" s="11"/>
    </row>
    <row r="378">
      <c r="A378" s="2"/>
      <c r="C378" s="2"/>
      <c r="G378" s="11"/>
    </row>
    <row r="379">
      <c r="A379" s="2"/>
      <c r="C379" s="2"/>
      <c r="G379" s="11"/>
    </row>
    <row r="380">
      <c r="A380" s="2"/>
      <c r="C380" s="2"/>
      <c r="G380" s="11"/>
    </row>
    <row r="381">
      <c r="A381" s="2"/>
      <c r="C381" s="2"/>
      <c r="G381" s="11"/>
    </row>
    <row r="382">
      <c r="A382" s="2"/>
      <c r="C382" s="2"/>
      <c r="G382" s="11"/>
    </row>
    <row r="383">
      <c r="A383" s="2"/>
      <c r="C383" s="2"/>
      <c r="G383" s="11"/>
    </row>
    <row r="384">
      <c r="A384" s="2"/>
      <c r="C384" s="2"/>
      <c r="G384" s="11"/>
    </row>
    <row r="385">
      <c r="A385" s="2"/>
      <c r="C385" s="2"/>
      <c r="G385" s="11"/>
    </row>
    <row r="386">
      <c r="A386" s="2"/>
      <c r="C386" s="2"/>
      <c r="G386" s="11"/>
    </row>
    <row r="387">
      <c r="A387" s="2"/>
      <c r="C387" s="2"/>
      <c r="G387" s="11"/>
    </row>
    <row r="388">
      <c r="A388" s="2"/>
      <c r="C388" s="2"/>
      <c r="G388" s="11"/>
    </row>
    <row r="389">
      <c r="A389" s="2"/>
      <c r="C389" s="2"/>
      <c r="G389" s="11"/>
    </row>
    <row r="390">
      <c r="A390" s="2"/>
      <c r="C390" s="2"/>
      <c r="G390" s="11"/>
    </row>
    <row r="391">
      <c r="A391" s="2"/>
      <c r="C391" s="2"/>
      <c r="G391" s="11"/>
    </row>
    <row r="392">
      <c r="A392" s="2"/>
      <c r="C392" s="2"/>
      <c r="G392" s="11"/>
    </row>
    <row r="393">
      <c r="A393" s="2"/>
      <c r="C393" s="2"/>
      <c r="G393" s="11"/>
    </row>
    <row r="394">
      <c r="A394" s="2"/>
      <c r="C394" s="2"/>
      <c r="G394" s="11"/>
    </row>
    <row r="395">
      <c r="A395" s="2"/>
      <c r="C395" s="2"/>
      <c r="G395" s="11"/>
    </row>
    <row r="396">
      <c r="A396" s="2"/>
      <c r="C396" s="2"/>
      <c r="G396" s="11"/>
    </row>
    <row r="397">
      <c r="A397" s="2"/>
      <c r="C397" s="2"/>
      <c r="G397" s="11"/>
    </row>
    <row r="398">
      <c r="A398" s="2"/>
      <c r="C398" s="2"/>
      <c r="G398" s="11"/>
    </row>
    <row r="399">
      <c r="A399" s="2"/>
      <c r="C399" s="2"/>
      <c r="G399" s="11"/>
    </row>
    <row r="400">
      <c r="A400" s="2"/>
      <c r="C400" s="2"/>
      <c r="G400" s="11"/>
    </row>
    <row r="401">
      <c r="A401" s="2"/>
      <c r="C401" s="2"/>
      <c r="G401" s="11"/>
    </row>
    <row r="402">
      <c r="A402" s="2"/>
      <c r="C402" s="2"/>
      <c r="G402" s="11"/>
    </row>
    <row r="403">
      <c r="A403" s="2"/>
      <c r="C403" s="2"/>
      <c r="G403" s="11"/>
    </row>
    <row r="404">
      <c r="A404" s="2"/>
      <c r="C404" s="2"/>
      <c r="G404" s="11"/>
    </row>
    <row r="405">
      <c r="A405" s="2"/>
      <c r="C405" s="2"/>
      <c r="G405" s="11"/>
    </row>
    <row r="406">
      <c r="A406" s="2"/>
      <c r="C406" s="2"/>
      <c r="G406" s="11"/>
    </row>
    <row r="407">
      <c r="A407" s="2"/>
      <c r="C407" s="2"/>
      <c r="G407" s="11"/>
    </row>
    <row r="408">
      <c r="A408" s="2"/>
      <c r="C408" s="2"/>
      <c r="G408" s="11"/>
    </row>
    <row r="409">
      <c r="A409" s="2"/>
      <c r="C409" s="2"/>
      <c r="G409" s="11"/>
    </row>
    <row r="410">
      <c r="A410" s="2"/>
      <c r="C410" s="2"/>
      <c r="G410" s="11"/>
    </row>
    <row r="411">
      <c r="A411" s="2"/>
      <c r="C411" s="2"/>
      <c r="G411" s="11"/>
    </row>
    <row r="412">
      <c r="A412" s="2"/>
      <c r="C412" s="2"/>
      <c r="G412" s="11"/>
    </row>
    <row r="413">
      <c r="A413" s="2"/>
      <c r="C413" s="2"/>
      <c r="G413" s="11"/>
    </row>
    <row r="414">
      <c r="A414" s="2"/>
      <c r="C414" s="2"/>
      <c r="G414" s="11"/>
    </row>
    <row r="415">
      <c r="A415" s="2"/>
      <c r="C415" s="2"/>
      <c r="G415" s="11"/>
    </row>
    <row r="416">
      <c r="A416" s="2"/>
      <c r="C416" s="2"/>
      <c r="G416" s="11"/>
    </row>
    <row r="417">
      <c r="A417" s="2"/>
      <c r="C417" s="2"/>
      <c r="G417" s="11"/>
    </row>
    <row r="418">
      <c r="A418" s="2"/>
      <c r="C418" s="2"/>
      <c r="G418" s="11"/>
    </row>
    <row r="419">
      <c r="A419" s="2"/>
      <c r="C419" s="2"/>
      <c r="G419" s="11"/>
    </row>
    <row r="420">
      <c r="A420" s="2"/>
      <c r="C420" s="2"/>
      <c r="G420" s="11"/>
    </row>
    <row r="421">
      <c r="A421" s="2"/>
      <c r="C421" s="2"/>
      <c r="G421" s="11"/>
    </row>
    <row r="422">
      <c r="A422" s="2"/>
      <c r="C422" s="2"/>
      <c r="G422" s="11"/>
    </row>
    <row r="423">
      <c r="A423" s="2"/>
      <c r="C423" s="2"/>
      <c r="G423" s="11"/>
    </row>
    <row r="424">
      <c r="A424" s="2"/>
      <c r="C424" s="2"/>
      <c r="G424" s="11"/>
    </row>
    <row r="425">
      <c r="A425" s="2"/>
      <c r="C425" s="2"/>
      <c r="G425" s="11"/>
    </row>
    <row r="426">
      <c r="A426" s="2"/>
      <c r="C426" s="2"/>
      <c r="G426" s="11"/>
    </row>
    <row r="427">
      <c r="A427" s="2"/>
      <c r="C427" s="2"/>
      <c r="G427" s="11"/>
    </row>
    <row r="428">
      <c r="A428" s="2"/>
      <c r="C428" s="2"/>
      <c r="G428" s="11"/>
    </row>
    <row r="429">
      <c r="A429" s="2"/>
      <c r="C429" s="2"/>
      <c r="G429" s="11"/>
    </row>
    <row r="430">
      <c r="A430" s="2"/>
      <c r="C430" s="2"/>
      <c r="G430" s="11"/>
    </row>
    <row r="431">
      <c r="A431" s="2"/>
      <c r="C431" s="2"/>
      <c r="G431" s="11"/>
    </row>
    <row r="432">
      <c r="A432" s="2"/>
      <c r="C432" s="2"/>
      <c r="G432" s="11"/>
    </row>
    <row r="433">
      <c r="A433" s="2"/>
      <c r="C433" s="2"/>
      <c r="G433" s="11"/>
    </row>
    <row r="434">
      <c r="A434" s="2"/>
      <c r="C434" s="2"/>
      <c r="G434" s="11"/>
    </row>
    <row r="435">
      <c r="A435" s="2"/>
      <c r="C435" s="2"/>
      <c r="G435" s="11"/>
    </row>
    <row r="436">
      <c r="A436" s="2"/>
      <c r="C436" s="2"/>
      <c r="G436" s="11"/>
    </row>
    <row r="437">
      <c r="A437" s="2"/>
      <c r="C437" s="2"/>
      <c r="G437" s="11"/>
    </row>
    <row r="438">
      <c r="A438" s="2"/>
      <c r="C438" s="2"/>
      <c r="G438" s="11"/>
    </row>
    <row r="439">
      <c r="A439" s="2"/>
      <c r="C439" s="2"/>
      <c r="G439" s="11"/>
    </row>
    <row r="440">
      <c r="A440" s="2"/>
      <c r="C440" s="2"/>
      <c r="G440" s="11"/>
    </row>
    <row r="441">
      <c r="A441" s="2"/>
      <c r="C441" s="2"/>
      <c r="G441" s="11"/>
    </row>
    <row r="442">
      <c r="A442" s="2"/>
      <c r="C442" s="2"/>
      <c r="G442" s="11"/>
    </row>
    <row r="443">
      <c r="A443" s="2"/>
      <c r="C443" s="2"/>
      <c r="G443" s="11"/>
    </row>
    <row r="444">
      <c r="A444" s="2"/>
      <c r="C444" s="2"/>
      <c r="G444" s="11"/>
    </row>
    <row r="445">
      <c r="A445" s="2"/>
      <c r="C445" s="2"/>
      <c r="G445" s="11"/>
    </row>
    <row r="446">
      <c r="A446" s="2"/>
      <c r="C446" s="2"/>
      <c r="G446" s="11"/>
    </row>
    <row r="447">
      <c r="A447" s="2"/>
      <c r="C447" s="2"/>
      <c r="G447" s="11"/>
    </row>
    <row r="448">
      <c r="A448" s="2"/>
      <c r="C448" s="2"/>
      <c r="G448" s="11"/>
    </row>
    <row r="449">
      <c r="A449" s="2"/>
      <c r="C449" s="2"/>
      <c r="G449" s="11"/>
    </row>
    <row r="450">
      <c r="A450" s="2"/>
      <c r="C450" s="2"/>
      <c r="G450" s="11"/>
    </row>
    <row r="451">
      <c r="A451" s="2"/>
      <c r="C451" s="2"/>
      <c r="G451" s="11"/>
    </row>
    <row r="452">
      <c r="A452" s="2"/>
      <c r="C452" s="2"/>
      <c r="G452" s="11"/>
    </row>
    <row r="453">
      <c r="A453" s="2"/>
      <c r="C453" s="2"/>
      <c r="G453" s="11"/>
    </row>
    <row r="454">
      <c r="A454" s="2"/>
      <c r="C454" s="2"/>
      <c r="G454" s="11"/>
    </row>
    <row r="455">
      <c r="A455" s="2"/>
      <c r="C455" s="2"/>
      <c r="G455" s="11"/>
    </row>
    <row r="456">
      <c r="A456" s="2"/>
      <c r="C456" s="2"/>
      <c r="G456" s="11"/>
    </row>
    <row r="457">
      <c r="A457" s="2"/>
      <c r="C457" s="2"/>
      <c r="G457" s="11"/>
    </row>
    <row r="458">
      <c r="A458" s="2"/>
      <c r="C458" s="2"/>
      <c r="G458" s="11"/>
    </row>
    <row r="459">
      <c r="A459" s="2"/>
      <c r="C459" s="2"/>
      <c r="G459" s="11"/>
    </row>
    <row r="460">
      <c r="A460" s="2"/>
      <c r="C460" s="2"/>
      <c r="G460" s="11"/>
    </row>
    <row r="461">
      <c r="A461" s="2"/>
      <c r="C461" s="2"/>
      <c r="G461" s="11"/>
    </row>
    <row r="462">
      <c r="A462" s="2"/>
      <c r="C462" s="2"/>
      <c r="G462" s="11"/>
    </row>
    <row r="463">
      <c r="A463" s="2"/>
      <c r="C463" s="2"/>
      <c r="G463" s="11"/>
    </row>
    <row r="464">
      <c r="A464" s="2"/>
      <c r="C464" s="2"/>
      <c r="G464" s="11"/>
    </row>
    <row r="465">
      <c r="A465" s="2"/>
      <c r="C465" s="2"/>
      <c r="G465" s="11"/>
    </row>
    <row r="466">
      <c r="A466" s="2"/>
      <c r="C466" s="2"/>
      <c r="G466" s="11"/>
    </row>
    <row r="467">
      <c r="A467" s="2"/>
      <c r="C467" s="2"/>
      <c r="G467" s="11"/>
    </row>
    <row r="468">
      <c r="A468" s="2"/>
      <c r="C468" s="2"/>
      <c r="G468" s="11"/>
    </row>
    <row r="469">
      <c r="A469" s="2"/>
      <c r="C469" s="2"/>
      <c r="G469" s="11"/>
    </row>
    <row r="470">
      <c r="A470" s="2"/>
      <c r="C470" s="2"/>
      <c r="G470" s="11"/>
    </row>
    <row r="471">
      <c r="A471" s="2"/>
      <c r="C471" s="2"/>
      <c r="G471" s="11"/>
    </row>
    <row r="472">
      <c r="A472" s="2"/>
      <c r="C472" s="2"/>
      <c r="G472" s="11"/>
    </row>
    <row r="473">
      <c r="A473" s="2"/>
      <c r="C473" s="2"/>
      <c r="G473" s="11"/>
    </row>
    <row r="474">
      <c r="A474" s="2"/>
      <c r="C474" s="2"/>
      <c r="G474" s="11"/>
    </row>
    <row r="475">
      <c r="A475" s="2"/>
      <c r="C475" s="2"/>
      <c r="G475" s="11"/>
    </row>
    <row r="476">
      <c r="A476" s="2"/>
      <c r="C476" s="2"/>
      <c r="G476" s="11"/>
    </row>
    <row r="477">
      <c r="A477" s="2"/>
      <c r="C477" s="2"/>
      <c r="G477" s="11"/>
    </row>
    <row r="478">
      <c r="A478" s="2"/>
      <c r="C478" s="2"/>
      <c r="G478" s="11"/>
    </row>
    <row r="479">
      <c r="A479" s="2"/>
      <c r="C479" s="2"/>
      <c r="G479" s="11"/>
    </row>
    <row r="480">
      <c r="A480" s="2"/>
      <c r="C480" s="2"/>
      <c r="G480" s="11"/>
    </row>
    <row r="481">
      <c r="A481" s="2"/>
      <c r="C481" s="2"/>
      <c r="G481" s="11"/>
    </row>
    <row r="482">
      <c r="A482" s="2"/>
      <c r="C482" s="2"/>
      <c r="G482" s="11"/>
    </row>
    <row r="483">
      <c r="A483" s="2"/>
      <c r="C483" s="2"/>
      <c r="G483" s="11"/>
    </row>
    <row r="484">
      <c r="A484" s="2"/>
      <c r="C484" s="2"/>
      <c r="G484" s="11"/>
    </row>
    <row r="485">
      <c r="A485" s="2"/>
      <c r="C485" s="2"/>
      <c r="G485" s="11"/>
    </row>
    <row r="486">
      <c r="A486" s="2"/>
      <c r="C486" s="2"/>
      <c r="G486" s="11"/>
    </row>
    <row r="487">
      <c r="A487" s="2"/>
      <c r="C487" s="2"/>
      <c r="G487" s="11"/>
    </row>
    <row r="488">
      <c r="A488" s="2"/>
      <c r="C488" s="2"/>
      <c r="G488" s="11"/>
    </row>
    <row r="489">
      <c r="A489" s="2"/>
      <c r="C489" s="2"/>
      <c r="G489" s="11"/>
    </row>
    <row r="490">
      <c r="A490" s="2"/>
      <c r="C490" s="2"/>
      <c r="G490" s="11"/>
    </row>
    <row r="491">
      <c r="A491" s="2"/>
      <c r="C491" s="2"/>
      <c r="G491" s="11"/>
    </row>
    <row r="492">
      <c r="A492" s="2"/>
      <c r="C492" s="2"/>
      <c r="G492" s="11"/>
    </row>
    <row r="493">
      <c r="A493" s="2"/>
      <c r="C493" s="2"/>
      <c r="G493" s="11"/>
    </row>
    <row r="494">
      <c r="A494" s="2"/>
      <c r="C494" s="2"/>
      <c r="G494" s="11"/>
    </row>
    <row r="495">
      <c r="A495" s="2"/>
      <c r="C495" s="2"/>
      <c r="G495" s="11"/>
    </row>
    <row r="496">
      <c r="A496" s="2"/>
      <c r="C496" s="2"/>
      <c r="G496" s="11"/>
    </row>
    <row r="497">
      <c r="A497" s="2"/>
      <c r="C497" s="2"/>
      <c r="G497" s="11"/>
    </row>
    <row r="498">
      <c r="A498" s="2"/>
      <c r="C498" s="2"/>
      <c r="G498" s="11"/>
    </row>
    <row r="499">
      <c r="A499" s="2"/>
      <c r="C499" s="2"/>
      <c r="G499" s="11"/>
    </row>
    <row r="500">
      <c r="A500" s="2"/>
      <c r="C500" s="2"/>
      <c r="G500" s="11"/>
    </row>
    <row r="501">
      <c r="A501" s="2"/>
      <c r="C501" s="2"/>
      <c r="G501" s="11"/>
    </row>
    <row r="502">
      <c r="A502" s="2"/>
      <c r="C502" s="2"/>
      <c r="G502" s="11"/>
    </row>
    <row r="503">
      <c r="A503" s="2"/>
      <c r="C503" s="2"/>
      <c r="G503" s="11"/>
    </row>
    <row r="504">
      <c r="A504" s="2"/>
      <c r="C504" s="2"/>
      <c r="G504" s="11"/>
    </row>
    <row r="505">
      <c r="A505" s="2"/>
      <c r="C505" s="2"/>
      <c r="G505" s="11"/>
    </row>
    <row r="506">
      <c r="A506" s="2"/>
      <c r="C506" s="2"/>
      <c r="G506" s="11"/>
    </row>
    <row r="507">
      <c r="A507" s="2"/>
      <c r="C507" s="2"/>
      <c r="G507" s="11"/>
    </row>
    <row r="508">
      <c r="A508" s="2"/>
      <c r="C508" s="2"/>
      <c r="G508" s="11"/>
    </row>
    <row r="509">
      <c r="A509" s="2"/>
      <c r="C509" s="2"/>
      <c r="G509" s="11"/>
    </row>
    <row r="510">
      <c r="A510" s="2"/>
      <c r="C510" s="2"/>
      <c r="G510" s="11"/>
    </row>
    <row r="511">
      <c r="A511" s="2"/>
      <c r="C511" s="2"/>
      <c r="G511" s="11"/>
    </row>
    <row r="512">
      <c r="A512" s="2"/>
      <c r="C512" s="2"/>
      <c r="G512" s="11"/>
    </row>
    <row r="513">
      <c r="A513" s="2"/>
      <c r="C513" s="2"/>
      <c r="G513" s="11"/>
    </row>
    <row r="514">
      <c r="A514" s="2"/>
      <c r="C514" s="2"/>
      <c r="G514" s="11"/>
    </row>
    <row r="515">
      <c r="A515" s="2"/>
      <c r="C515" s="2"/>
      <c r="G515" s="11"/>
    </row>
    <row r="516">
      <c r="A516" s="2"/>
      <c r="C516" s="2"/>
      <c r="G516" s="11"/>
    </row>
    <row r="517">
      <c r="A517" s="2"/>
      <c r="C517" s="2"/>
      <c r="G517" s="11"/>
    </row>
    <row r="518">
      <c r="A518" s="2"/>
      <c r="C518" s="2"/>
      <c r="G518" s="11"/>
    </row>
    <row r="519">
      <c r="A519" s="2"/>
      <c r="C519" s="2"/>
      <c r="G519" s="11"/>
    </row>
    <row r="520">
      <c r="A520" s="2"/>
      <c r="C520" s="2"/>
      <c r="G520" s="11"/>
    </row>
    <row r="521">
      <c r="A521" s="2"/>
      <c r="C521" s="2"/>
      <c r="G521" s="11"/>
    </row>
    <row r="522">
      <c r="A522" s="2"/>
      <c r="C522" s="2"/>
      <c r="G522" s="11"/>
    </row>
    <row r="523">
      <c r="A523" s="2"/>
      <c r="C523" s="2"/>
      <c r="G523" s="11"/>
    </row>
    <row r="524">
      <c r="A524" s="2"/>
      <c r="C524" s="2"/>
      <c r="G524" s="11"/>
    </row>
    <row r="525">
      <c r="A525" s="2"/>
      <c r="C525" s="2"/>
      <c r="G525" s="11"/>
    </row>
    <row r="526">
      <c r="A526" s="2"/>
      <c r="C526" s="2"/>
      <c r="G526" s="11"/>
    </row>
    <row r="527">
      <c r="A527" s="2"/>
      <c r="C527" s="2"/>
      <c r="G527" s="11"/>
    </row>
    <row r="528">
      <c r="A528" s="2"/>
      <c r="C528" s="2"/>
      <c r="G528" s="11"/>
    </row>
    <row r="529">
      <c r="A529" s="2"/>
      <c r="C529" s="2"/>
      <c r="G529" s="11"/>
    </row>
    <row r="530">
      <c r="A530" s="2"/>
      <c r="C530" s="2"/>
      <c r="G530" s="11"/>
    </row>
    <row r="531">
      <c r="A531" s="2"/>
      <c r="C531" s="2"/>
      <c r="G531" s="11"/>
    </row>
    <row r="532">
      <c r="A532" s="2"/>
      <c r="C532" s="2"/>
      <c r="G532" s="11"/>
    </row>
    <row r="533">
      <c r="A533" s="2"/>
      <c r="C533" s="2"/>
      <c r="G533" s="11"/>
    </row>
    <row r="534">
      <c r="A534" s="2"/>
      <c r="C534" s="2"/>
      <c r="G534" s="11"/>
    </row>
    <row r="535">
      <c r="A535" s="2"/>
      <c r="C535" s="2"/>
      <c r="G535" s="11"/>
    </row>
    <row r="536">
      <c r="A536" s="2"/>
      <c r="C536" s="2"/>
      <c r="G536" s="11"/>
    </row>
    <row r="537">
      <c r="A537" s="2"/>
      <c r="C537" s="2"/>
      <c r="G537" s="11"/>
    </row>
    <row r="538">
      <c r="A538" s="2"/>
      <c r="C538" s="2"/>
      <c r="G538" s="11"/>
    </row>
    <row r="539">
      <c r="A539" s="2"/>
      <c r="C539" s="2"/>
      <c r="G539" s="11"/>
    </row>
    <row r="540">
      <c r="A540" s="2"/>
      <c r="C540" s="2"/>
      <c r="G540" s="11"/>
    </row>
    <row r="541">
      <c r="A541" s="2"/>
      <c r="C541" s="2"/>
      <c r="G541" s="11"/>
    </row>
    <row r="542">
      <c r="A542" s="2"/>
      <c r="C542" s="2"/>
      <c r="G542" s="11"/>
    </row>
    <row r="543">
      <c r="A543" s="2"/>
      <c r="C543" s="2"/>
      <c r="G543" s="11"/>
    </row>
    <row r="544">
      <c r="A544" s="2"/>
      <c r="C544" s="2"/>
      <c r="G544" s="11"/>
    </row>
    <row r="545">
      <c r="A545" s="2"/>
      <c r="C545" s="2"/>
      <c r="G545" s="11"/>
    </row>
    <row r="546">
      <c r="A546" s="2"/>
      <c r="C546" s="2"/>
      <c r="G546" s="11"/>
    </row>
    <row r="547">
      <c r="A547" s="2"/>
      <c r="C547" s="2"/>
      <c r="G547" s="11"/>
    </row>
    <row r="548">
      <c r="A548" s="2"/>
      <c r="C548" s="2"/>
      <c r="G548" s="11"/>
    </row>
    <row r="549">
      <c r="A549" s="2"/>
      <c r="C549" s="2"/>
      <c r="G549" s="11"/>
    </row>
    <row r="550">
      <c r="A550" s="2"/>
      <c r="C550" s="2"/>
      <c r="G550" s="11"/>
    </row>
    <row r="551">
      <c r="A551" s="2"/>
      <c r="C551" s="2"/>
      <c r="G551" s="11"/>
    </row>
    <row r="552">
      <c r="A552" s="2"/>
      <c r="C552" s="2"/>
      <c r="G552" s="11"/>
    </row>
    <row r="553">
      <c r="A553" s="2"/>
      <c r="C553" s="2"/>
      <c r="G553" s="11"/>
    </row>
    <row r="554">
      <c r="A554" s="2"/>
      <c r="C554" s="2"/>
      <c r="G554" s="11"/>
    </row>
    <row r="555">
      <c r="A555" s="2"/>
      <c r="C555" s="2"/>
      <c r="G555" s="11"/>
    </row>
    <row r="556">
      <c r="A556" s="2"/>
      <c r="C556" s="2"/>
      <c r="G556" s="11"/>
    </row>
    <row r="557">
      <c r="A557" s="2"/>
      <c r="C557" s="2"/>
      <c r="G557" s="11"/>
    </row>
    <row r="558">
      <c r="A558" s="2"/>
      <c r="C558" s="2"/>
      <c r="G558" s="11"/>
    </row>
    <row r="559">
      <c r="A559" s="2"/>
      <c r="C559" s="2"/>
      <c r="G559" s="11"/>
    </row>
    <row r="560">
      <c r="A560" s="2"/>
      <c r="C560" s="2"/>
      <c r="G560" s="11"/>
    </row>
    <row r="561">
      <c r="A561" s="2"/>
      <c r="C561" s="2"/>
      <c r="G561" s="11"/>
    </row>
    <row r="562">
      <c r="A562" s="2"/>
      <c r="C562" s="2"/>
      <c r="G562" s="11"/>
    </row>
    <row r="563">
      <c r="A563" s="2"/>
      <c r="C563" s="2"/>
      <c r="G563" s="11"/>
    </row>
    <row r="564">
      <c r="A564" s="2"/>
      <c r="C564" s="2"/>
      <c r="G564" s="11"/>
    </row>
    <row r="565">
      <c r="A565" s="2"/>
      <c r="C565" s="2"/>
      <c r="G565" s="11"/>
    </row>
    <row r="566">
      <c r="A566" s="2"/>
      <c r="C566" s="2"/>
      <c r="G566" s="11"/>
    </row>
    <row r="567">
      <c r="A567" s="2"/>
      <c r="C567" s="2"/>
      <c r="G567" s="11"/>
    </row>
    <row r="568">
      <c r="A568" s="2"/>
      <c r="C568" s="2"/>
      <c r="G568" s="11"/>
    </row>
    <row r="569">
      <c r="A569" s="2"/>
      <c r="C569" s="2"/>
      <c r="G569" s="11"/>
    </row>
    <row r="570">
      <c r="A570" s="2"/>
      <c r="C570" s="2"/>
      <c r="G570" s="11"/>
    </row>
    <row r="571">
      <c r="A571" s="2"/>
      <c r="C571" s="2"/>
      <c r="G571" s="11"/>
    </row>
    <row r="572">
      <c r="A572" s="2"/>
      <c r="C572" s="2"/>
      <c r="G572" s="11"/>
    </row>
    <row r="573">
      <c r="A573" s="2"/>
      <c r="C573" s="2"/>
      <c r="G573" s="11"/>
    </row>
    <row r="574">
      <c r="A574" s="2"/>
      <c r="C574" s="2"/>
      <c r="G574" s="11"/>
    </row>
    <row r="575">
      <c r="A575" s="2"/>
      <c r="C575" s="2"/>
      <c r="G575" s="11"/>
    </row>
    <row r="576">
      <c r="A576" s="2"/>
      <c r="C576" s="2"/>
      <c r="G576" s="11"/>
    </row>
    <row r="577">
      <c r="A577" s="2"/>
      <c r="C577" s="2"/>
      <c r="G577" s="11"/>
    </row>
    <row r="578">
      <c r="A578" s="2"/>
      <c r="C578" s="2"/>
      <c r="G578" s="11"/>
    </row>
    <row r="579">
      <c r="A579" s="2"/>
      <c r="C579" s="2"/>
      <c r="G579" s="11"/>
    </row>
    <row r="580">
      <c r="A580" s="2"/>
      <c r="C580" s="2"/>
      <c r="G580" s="11"/>
    </row>
    <row r="581">
      <c r="A581" s="2"/>
      <c r="C581" s="2"/>
      <c r="G581" s="11"/>
    </row>
    <row r="582">
      <c r="A582" s="2"/>
      <c r="C582" s="2"/>
      <c r="G582" s="11"/>
    </row>
    <row r="583">
      <c r="A583" s="2"/>
      <c r="C583" s="2"/>
      <c r="G583" s="11"/>
    </row>
    <row r="584">
      <c r="A584" s="2"/>
      <c r="C584" s="2"/>
      <c r="G584" s="11"/>
    </row>
    <row r="585">
      <c r="A585" s="2"/>
      <c r="C585" s="2"/>
      <c r="G585" s="11"/>
    </row>
    <row r="586">
      <c r="A586" s="2"/>
      <c r="C586" s="2"/>
      <c r="G586" s="11"/>
    </row>
    <row r="587">
      <c r="A587" s="2"/>
      <c r="C587" s="2"/>
      <c r="G587" s="11"/>
    </row>
    <row r="588">
      <c r="A588" s="2"/>
      <c r="C588" s="2"/>
      <c r="G588" s="11"/>
    </row>
    <row r="589">
      <c r="A589" s="2"/>
      <c r="C589" s="2"/>
      <c r="G589" s="11"/>
    </row>
    <row r="590">
      <c r="A590" s="2"/>
      <c r="C590" s="2"/>
      <c r="G590" s="11"/>
    </row>
    <row r="591">
      <c r="A591" s="2"/>
      <c r="C591" s="2"/>
      <c r="G591" s="11"/>
    </row>
    <row r="592">
      <c r="A592" s="2"/>
      <c r="C592" s="2"/>
      <c r="G592" s="11"/>
    </row>
    <row r="593">
      <c r="A593" s="2"/>
      <c r="C593" s="2"/>
      <c r="G593" s="11"/>
    </row>
    <row r="594">
      <c r="A594" s="2"/>
      <c r="C594" s="2"/>
      <c r="G594" s="11"/>
    </row>
    <row r="595">
      <c r="A595" s="2"/>
      <c r="C595" s="2"/>
      <c r="G595" s="11"/>
    </row>
    <row r="596">
      <c r="A596" s="2"/>
      <c r="C596" s="2"/>
      <c r="G596" s="11"/>
    </row>
    <row r="597">
      <c r="A597" s="2"/>
      <c r="C597" s="2"/>
      <c r="G597" s="11"/>
    </row>
    <row r="598">
      <c r="A598" s="2"/>
      <c r="C598" s="2"/>
      <c r="G598" s="11"/>
    </row>
    <row r="599">
      <c r="A599" s="2"/>
      <c r="C599" s="2"/>
      <c r="G599" s="11"/>
    </row>
    <row r="600">
      <c r="A600" s="2"/>
      <c r="C600" s="2"/>
      <c r="G600" s="11"/>
    </row>
    <row r="601">
      <c r="A601" s="2"/>
      <c r="C601" s="2"/>
      <c r="G601" s="11"/>
    </row>
    <row r="602">
      <c r="A602" s="2"/>
      <c r="C602" s="2"/>
      <c r="G602" s="11"/>
    </row>
    <row r="603">
      <c r="A603" s="2"/>
      <c r="C603" s="2"/>
      <c r="G603" s="11"/>
    </row>
    <row r="604">
      <c r="A604" s="2"/>
      <c r="C604" s="2"/>
      <c r="G604" s="11"/>
    </row>
    <row r="605">
      <c r="A605" s="2"/>
      <c r="C605" s="2"/>
      <c r="G605" s="11"/>
    </row>
    <row r="606">
      <c r="A606" s="2"/>
      <c r="C606" s="2"/>
      <c r="G606" s="11"/>
    </row>
    <row r="607">
      <c r="A607" s="2"/>
      <c r="C607" s="2"/>
      <c r="G607" s="11"/>
    </row>
    <row r="608">
      <c r="A608" s="2"/>
      <c r="C608" s="2"/>
      <c r="G608" s="11"/>
    </row>
    <row r="609">
      <c r="A609" s="2"/>
      <c r="C609" s="2"/>
      <c r="G609" s="11"/>
    </row>
    <row r="610">
      <c r="A610" s="2"/>
      <c r="C610" s="2"/>
      <c r="G610" s="11"/>
    </row>
    <row r="611">
      <c r="A611" s="2"/>
      <c r="C611" s="2"/>
      <c r="G611" s="11"/>
    </row>
    <row r="612">
      <c r="A612" s="2"/>
      <c r="C612" s="2"/>
      <c r="G612" s="11"/>
    </row>
    <row r="613">
      <c r="A613" s="2"/>
      <c r="C613" s="2"/>
      <c r="G613" s="11"/>
    </row>
    <row r="614">
      <c r="A614" s="2"/>
      <c r="C614" s="2"/>
      <c r="G614" s="11"/>
    </row>
    <row r="615">
      <c r="A615" s="2"/>
      <c r="C615" s="2"/>
      <c r="G615" s="11"/>
    </row>
    <row r="616">
      <c r="A616" s="2"/>
      <c r="C616" s="2"/>
      <c r="G616" s="11"/>
    </row>
    <row r="617">
      <c r="A617" s="2"/>
      <c r="C617" s="2"/>
      <c r="G617" s="11"/>
    </row>
    <row r="618">
      <c r="A618" s="2"/>
      <c r="C618" s="2"/>
      <c r="G618" s="11"/>
    </row>
    <row r="619">
      <c r="A619" s="2"/>
      <c r="C619" s="2"/>
      <c r="G619" s="11"/>
    </row>
    <row r="620">
      <c r="A620" s="2"/>
      <c r="C620" s="2"/>
      <c r="G620" s="11"/>
    </row>
    <row r="621">
      <c r="A621" s="2"/>
      <c r="C621" s="2"/>
      <c r="G621" s="11"/>
    </row>
    <row r="622">
      <c r="A622" s="2"/>
      <c r="C622" s="2"/>
      <c r="G622" s="11"/>
    </row>
    <row r="623">
      <c r="A623" s="2"/>
      <c r="C623" s="2"/>
      <c r="G623" s="11"/>
    </row>
    <row r="624">
      <c r="A624" s="2"/>
      <c r="C624" s="2"/>
      <c r="G624" s="11"/>
    </row>
    <row r="625">
      <c r="A625" s="2"/>
      <c r="C625" s="2"/>
      <c r="G625" s="11"/>
    </row>
    <row r="626">
      <c r="A626" s="2"/>
      <c r="C626" s="2"/>
      <c r="G626" s="11"/>
    </row>
    <row r="627">
      <c r="A627" s="2"/>
      <c r="C627" s="2"/>
      <c r="G627" s="11"/>
    </row>
    <row r="628">
      <c r="A628" s="2"/>
      <c r="C628" s="2"/>
      <c r="G628" s="11"/>
    </row>
    <row r="629">
      <c r="A629" s="2"/>
      <c r="C629" s="2"/>
      <c r="G629" s="11"/>
    </row>
    <row r="630">
      <c r="A630" s="2"/>
      <c r="C630" s="2"/>
      <c r="G630" s="11"/>
    </row>
    <row r="631">
      <c r="A631" s="2"/>
      <c r="C631" s="2"/>
      <c r="G631" s="11"/>
    </row>
    <row r="632">
      <c r="A632" s="2"/>
      <c r="C632" s="2"/>
      <c r="G632" s="11"/>
    </row>
    <row r="633">
      <c r="A633" s="2"/>
      <c r="C633" s="2"/>
      <c r="G633" s="11"/>
    </row>
    <row r="634">
      <c r="A634" s="2"/>
      <c r="C634" s="2"/>
      <c r="G634" s="11"/>
    </row>
    <row r="635">
      <c r="A635" s="2"/>
      <c r="C635" s="2"/>
      <c r="G635" s="11"/>
    </row>
    <row r="636">
      <c r="A636" s="2"/>
      <c r="C636" s="2"/>
      <c r="G636" s="11"/>
    </row>
    <row r="637">
      <c r="A637" s="2"/>
      <c r="C637" s="2"/>
      <c r="G637" s="11"/>
    </row>
    <row r="638">
      <c r="A638" s="2"/>
      <c r="C638" s="2"/>
      <c r="G638" s="11"/>
    </row>
    <row r="639">
      <c r="A639" s="2"/>
      <c r="C639" s="2"/>
      <c r="G639" s="11"/>
    </row>
    <row r="640">
      <c r="A640" s="2"/>
      <c r="C640" s="2"/>
      <c r="G640" s="11"/>
    </row>
    <row r="641">
      <c r="A641" s="2"/>
      <c r="C641" s="2"/>
      <c r="G641" s="11"/>
    </row>
    <row r="642">
      <c r="A642" s="2"/>
      <c r="C642" s="2"/>
      <c r="G642" s="11"/>
    </row>
    <row r="643">
      <c r="A643" s="2"/>
      <c r="C643" s="2"/>
      <c r="G643" s="11"/>
    </row>
    <row r="644">
      <c r="A644" s="2"/>
      <c r="C644" s="2"/>
      <c r="G644" s="11"/>
    </row>
    <row r="645">
      <c r="A645" s="2"/>
      <c r="C645" s="2"/>
      <c r="G645" s="11"/>
    </row>
    <row r="646">
      <c r="A646" s="2"/>
      <c r="C646" s="2"/>
      <c r="G646" s="11"/>
    </row>
    <row r="647">
      <c r="A647" s="2"/>
      <c r="C647" s="2"/>
      <c r="G647" s="11"/>
    </row>
    <row r="648">
      <c r="A648" s="2"/>
      <c r="C648" s="2"/>
      <c r="G648" s="11"/>
    </row>
    <row r="649">
      <c r="A649" s="2"/>
      <c r="C649" s="2"/>
      <c r="G649" s="11"/>
    </row>
    <row r="650">
      <c r="A650" s="2"/>
      <c r="C650" s="2"/>
      <c r="G650" s="11"/>
    </row>
    <row r="651">
      <c r="A651" s="2"/>
      <c r="C651" s="2"/>
      <c r="G651" s="11"/>
    </row>
    <row r="652">
      <c r="A652" s="2"/>
      <c r="C652" s="2"/>
      <c r="G652" s="11"/>
    </row>
    <row r="653">
      <c r="A653" s="2"/>
      <c r="C653" s="2"/>
      <c r="G653" s="11"/>
    </row>
    <row r="654">
      <c r="A654" s="2"/>
      <c r="C654" s="2"/>
      <c r="G654" s="11"/>
    </row>
    <row r="655">
      <c r="A655" s="2"/>
      <c r="C655" s="2"/>
      <c r="G655" s="11"/>
    </row>
    <row r="656">
      <c r="A656" s="2"/>
      <c r="C656" s="2"/>
      <c r="G656" s="11"/>
    </row>
    <row r="657">
      <c r="A657" s="2"/>
      <c r="C657" s="2"/>
      <c r="G657" s="11"/>
    </row>
    <row r="658">
      <c r="A658" s="2"/>
      <c r="C658" s="2"/>
      <c r="G658" s="11"/>
    </row>
    <row r="659">
      <c r="A659" s="2"/>
      <c r="C659" s="2"/>
      <c r="G659" s="11"/>
    </row>
    <row r="660">
      <c r="A660" s="2"/>
      <c r="C660" s="2"/>
      <c r="G660" s="11"/>
    </row>
    <row r="661">
      <c r="A661" s="2"/>
      <c r="C661" s="2"/>
      <c r="G661" s="11"/>
    </row>
    <row r="662">
      <c r="A662" s="2"/>
      <c r="C662" s="2"/>
      <c r="G662" s="11"/>
    </row>
    <row r="663">
      <c r="A663" s="2"/>
      <c r="C663" s="2"/>
      <c r="G663" s="11"/>
    </row>
    <row r="664">
      <c r="A664" s="2"/>
      <c r="C664" s="2"/>
      <c r="G664" s="11"/>
    </row>
    <row r="665">
      <c r="A665" s="2"/>
      <c r="C665" s="2"/>
      <c r="G665" s="11"/>
    </row>
    <row r="666">
      <c r="A666" s="2"/>
      <c r="C666" s="2"/>
      <c r="G666" s="11"/>
    </row>
    <row r="667">
      <c r="A667" s="2"/>
      <c r="C667" s="2"/>
      <c r="G667" s="11"/>
    </row>
    <row r="668">
      <c r="A668" s="2"/>
      <c r="C668" s="2"/>
      <c r="G668" s="11"/>
    </row>
    <row r="669">
      <c r="A669" s="2"/>
      <c r="C669" s="2"/>
      <c r="G669" s="11"/>
    </row>
    <row r="670">
      <c r="A670" s="2"/>
      <c r="C670" s="2"/>
      <c r="G670" s="11"/>
    </row>
    <row r="671">
      <c r="A671" s="2"/>
      <c r="C671" s="2"/>
      <c r="G671" s="11"/>
    </row>
    <row r="672">
      <c r="A672" s="2"/>
      <c r="C672" s="2"/>
      <c r="G672" s="11"/>
    </row>
    <row r="673">
      <c r="A673" s="2"/>
      <c r="C673" s="2"/>
      <c r="G673" s="11"/>
    </row>
    <row r="674">
      <c r="A674" s="2"/>
      <c r="C674" s="2"/>
      <c r="G674" s="11"/>
    </row>
    <row r="675">
      <c r="A675" s="2"/>
      <c r="C675" s="2"/>
      <c r="G675" s="11"/>
    </row>
    <row r="676">
      <c r="A676" s="2"/>
      <c r="C676" s="2"/>
      <c r="G676" s="11"/>
    </row>
    <row r="677">
      <c r="A677" s="2"/>
      <c r="C677" s="2"/>
      <c r="G677" s="11"/>
    </row>
    <row r="678">
      <c r="A678" s="2"/>
      <c r="C678" s="2"/>
      <c r="G678" s="11"/>
    </row>
    <row r="679">
      <c r="A679" s="2"/>
      <c r="C679" s="2"/>
      <c r="G679" s="11"/>
    </row>
    <row r="680">
      <c r="A680" s="2"/>
      <c r="C680" s="2"/>
      <c r="G680" s="11"/>
    </row>
    <row r="681">
      <c r="A681" s="2"/>
      <c r="C681" s="2"/>
      <c r="G681" s="11"/>
    </row>
    <row r="682">
      <c r="A682" s="2"/>
      <c r="C682" s="2"/>
      <c r="G682" s="11"/>
    </row>
    <row r="683">
      <c r="A683" s="2"/>
      <c r="C683" s="2"/>
      <c r="G683" s="11"/>
    </row>
    <row r="684">
      <c r="A684" s="2"/>
      <c r="C684" s="2"/>
      <c r="G684" s="11"/>
    </row>
    <row r="685">
      <c r="A685" s="2"/>
      <c r="C685" s="2"/>
      <c r="G685" s="11"/>
    </row>
    <row r="686">
      <c r="A686" s="2"/>
      <c r="C686" s="2"/>
      <c r="G686" s="11"/>
    </row>
    <row r="687">
      <c r="A687" s="2"/>
      <c r="C687" s="2"/>
      <c r="G687" s="11"/>
    </row>
    <row r="688">
      <c r="A688" s="2"/>
      <c r="C688" s="2"/>
      <c r="G688" s="11"/>
    </row>
    <row r="689">
      <c r="A689" s="2"/>
      <c r="C689" s="2"/>
      <c r="G689" s="11"/>
    </row>
    <row r="690">
      <c r="A690" s="2"/>
      <c r="C690" s="2"/>
      <c r="G690" s="11"/>
    </row>
    <row r="691">
      <c r="A691" s="2"/>
      <c r="C691" s="2"/>
      <c r="G691" s="11"/>
    </row>
    <row r="692">
      <c r="A692" s="2"/>
      <c r="C692" s="2"/>
      <c r="G692" s="11"/>
    </row>
    <row r="693">
      <c r="A693" s="2"/>
      <c r="C693" s="2"/>
      <c r="G693" s="11"/>
    </row>
    <row r="694">
      <c r="A694" s="2"/>
      <c r="C694" s="2"/>
      <c r="G694" s="11"/>
    </row>
    <row r="695">
      <c r="A695" s="2"/>
      <c r="C695" s="2"/>
      <c r="G695" s="11"/>
    </row>
    <row r="696">
      <c r="A696" s="2"/>
      <c r="C696" s="2"/>
      <c r="G696" s="11"/>
    </row>
    <row r="697">
      <c r="A697" s="2"/>
      <c r="C697" s="2"/>
      <c r="G697" s="11"/>
    </row>
    <row r="698">
      <c r="A698" s="2"/>
      <c r="C698" s="2"/>
      <c r="G698" s="11"/>
    </row>
    <row r="699">
      <c r="A699" s="2"/>
      <c r="C699" s="2"/>
      <c r="G699" s="11"/>
    </row>
    <row r="700">
      <c r="A700" s="2"/>
      <c r="C700" s="2"/>
      <c r="G700" s="11"/>
    </row>
    <row r="701">
      <c r="A701" s="2"/>
      <c r="C701" s="2"/>
      <c r="G701" s="11"/>
    </row>
    <row r="702">
      <c r="A702" s="2"/>
      <c r="C702" s="2"/>
      <c r="G702" s="11"/>
    </row>
    <row r="703">
      <c r="A703" s="2"/>
      <c r="C703" s="2"/>
      <c r="G703" s="11"/>
    </row>
    <row r="704">
      <c r="A704" s="2"/>
      <c r="C704" s="2"/>
      <c r="G704" s="11"/>
    </row>
    <row r="705">
      <c r="A705" s="2"/>
      <c r="C705" s="2"/>
      <c r="G705" s="11"/>
    </row>
    <row r="706">
      <c r="A706" s="2"/>
      <c r="C706" s="2"/>
      <c r="G706" s="11"/>
    </row>
    <row r="707">
      <c r="A707" s="2"/>
      <c r="C707" s="2"/>
      <c r="G707" s="11"/>
    </row>
    <row r="708">
      <c r="A708" s="2"/>
      <c r="C708" s="2"/>
      <c r="G708" s="11"/>
    </row>
    <row r="709">
      <c r="A709" s="2"/>
      <c r="C709" s="2"/>
      <c r="G709" s="11"/>
    </row>
    <row r="710">
      <c r="A710" s="2"/>
      <c r="C710" s="2"/>
      <c r="G710" s="11"/>
    </row>
    <row r="711">
      <c r="A711" s="2"/>
      <c r="C711" s="2"/>
      <c r="G711" s="11"/>
    </row>
    <row r="712">
      <c r="A712" s="2"/>
      <c r="C712" s="2"/>
      <c r="G712" s="11"/>
    </row>
    <row r="713">
      <c r="A713" s="2"/>
      <c r="C713" s="2"/>
      <c r="G713" s="11"/>
    </row>
    <row r="714">
      <c r="A714" s="2"/>
      <c r="C714" s="2"/>
      <c r="G714" s="11"/>
    </row>
    <row r="715">
      <c r="A715" s="2"/>
      <c r="C715" s="2"/>
      <c r="G715" s="11"/>
    </row>
    <row r="716">
      <c r="A716" s="2"/>
      <c r="C716" s="2"/>
      <c r="G716" s="11"/>
    </row>
    <row r="717">
      <c r="A717" s="2"/>
      <c r="C717" s="2"/>
      <c r="G717" s="11"/>
    </row>
    <row r="718">
      <c r="A718" s="2"/>
      <c r="C718" s="2"/>
      <c r="G718" s="11"/>
    </row>
    <row r="719">
      <c r="A719" s="2"/>
      <c r="C719" s="2"/>
      <c r="G719" s="11"/>
    </row>
    <row r="720">
      <c r="A720" s="2"/>
      <c r="C720" s="2"/>
      <c r="G720" s="11"/>
    </row>
    <row r="721">
      <c r="A721" s="2"/>
      <c r="C721" s="2"/>
      <c r="G721" s="11"/>
    </row>
    <row r="722">
      <c r="A722" s="2"/>
      <c r="C722" s="2"/>
      <c r="G722" s="11"/>
    </row>
    <row r="723">
      <c r="A723" s="2"/>
      <c r="C723" s="2"/>
      <c r="G723" s="11"/>
    </row>
    <row r="724">
      <c r="A724" s="2"/>
      <c r="C724" s="2"/>
      <c r="G724" s="11"/>
    </row>
    <row r="725">
      <c r="A725" s="2"/>
      <c r="C725" s="2"/>
      <c r="G725" s="11"/>
    </row>
    <row r="726">
      <c r="A726" s="2"/>
      <c r="C726" s="2"/>
      <c r="G726" s="11"/>
    </row>
    <row r="727">
      <c r="A727" s="2"/>
      <c r="C727" s="2"/>
      <c r="G727" s="11"/>
    </row>
    <row r="728">
      <c r="A728" s="2"/>
      <c r="C728" s="2"/>
      <c r="G728" s="11"/>
    </row>
    <row r="729">
      <c r="A729" s="2"/>
      <c r="C729" s="2"/>
      <c r="G729" s="11"/>
    </row>
    <row r="730">
      <c r="A730" s="2"/>
      <c r="C730" s="2"/>
      <c r="G730" s="11"/>
    </row>
    <row r="731">
      <c r="A731" s="2"/>
      <c r="C731" s="2"/>
      <c r="G731" s="11"/>
    </row>
    <row r="732">
      <c r="A732" s="2"/>
      <c r="C732" s="2"/>
      <c r="G732" s="11"/>
    </row>
    <row r="733">
      <c r="A733" s="2"/>
      <c r="C733" s="2"/>
      <c r="G733" s="11"/>
    </row>
    <row r="734">
      <c r="A734" s="2"/>
      <c r="C734" s="2"/>
      <c r="G734" s="11"/>
    </row>
    <row r="735">
      <c r="A735" s="2"/>
      <c r="C735" s="2"/>
      <c r="G735" s="11"/>
    </row>
    <row r="736">
      <c r="A736" s="2"/>
      <c r="C736" s="2"/>
      <c r="G736" s="11"/>
    </row>
    <row r="737">
      <c r="A737" s="2"/>
      <c r="C737" s="2"/>
      <c r="G737" s="11"/>
    </row>
    <row r="738">
      <c r="A738" s="2"/>
      <c r="C738" s="2"/>
      <c r="G738" s="11"/>
    </row>
    <row r="739">
      <c r="A739" s="2"/>
      <c r="C739" s="2"/>
      <c r="G739" s="11"/>
    </row>
    <row r="740">
      <c r="A740" s="2"/>
      <c r="C740" s="2"/>
      <c r="G740" s="11"/>
    </row>
    <row r="741">
      <c r="A741" s="2"/>
      <c r="C741" s="2"/>
      <c r="G741" s="11"/>
    </row>
    <row r="742">
      <c r="A742" s="2"/>
      <c r="C742" s="2"/>
      <c r="G742" s="11"/>
    </row>
    <row r="743">
      <c r="A743" s="2"/>
      <c r="C743" s="2"/>
      <c r="G743" s="11"/>
    </row>
    <row r="744">
      <c r="A744" s="2"/>
      <c r="C744" s="2"/>
      <c r="G744" s="11"/>
    </row>
    <row r="745">
      <c r="A745" s="2"/>
      <c r="C745" s="2"/>
      <c r="G745" s="11"/>
    </row>
    <row r="746">
      <c r="A746" s="2"/>
      <c r="C746" s="2"/>
      <c r="G746" s="11"/>
    </row>
    <row r="747">
      <c r="A747" s="2"/>
      <c r="C747" s="2"/>
      <c r="G747" s="11"/>
    </row>
    <row r="748">
      <c r="A748" s="2"/>
      <c r="C748" s="2"/>
      <c r="G748" s="11"/>
    </row>
    <row r="749">
      <c r="A749" s="2"/>
      <c r="C749" s="2"/>
      <c r="G749" s="11"/>
    </row>
    <row r="750">
      <c r="A750" s="2"/>
      <c r="C750" s="2"/>
      <c r="G750" s="11"/>
    </row>
    <row r="751">
      <c r="A751" s="2"/>
      <c r="C751" s="2"/>
      <c r="G751" s="11"/>
    </row>
    <row r="752">
      <c r="A752" s="2"/>
      <c r="C752" s="2"/>
      <c r="G752" s="11"/>
    </row>
    <row r="753">
      <c r="A753" s="2"/>
      <c r="C753" s="2"/>
      <c r="G753" s="11"/>
    </row>
    <row r="754">
      <c r="A754" s="2"/>
      <c r="C754" s="2"/>
      <c r="G754" s="11"/>
    </row>
    <row r="755">
      <c r="A755" s="2"/>
      <c r="C755" s="2"/>
      <c r="G755" s="11"/>
    </row>
    <row r="756">
      <c r="A756" s="2"/>
      <c r="C756" s="2"/>
      <c r="G756" s="11"/>
    </row>
    <row r="757">
      <c r="A757" s="2"/>
      <c r="C757" s="2"/>
      <c r="G757" s="11"/>
    </row>
    <row r="758">
      <c r="A758" s="2"/>
      <c r="C758" s="2"/>
      <c r="G758" s="11"/>
    </row>
    <row r="759">
      <c r="A759" s="2"/>
      <c r="C759" s="2"/>
      <c r="G759" s="11"/>
    </row>
    <row r="760">
      <c r="A760" s="2"/>
      <c r="C760" s="2"/>
      <c r="G760" s="11"/>
    </row>
    <row r="761">
      <c r="A761" s="2"/>
      <c r="C761" s="2"/>
      <c r="G761" s="11"/>
    </row>
    <row r="762">
      <c r="A762" s="2"/>
      <c r="C762" s="2"/>
      <c r="G762" s="11"/>
    </row>
    <row r="763">
      <c r="A763" s="2"/>
      <c r="C763" s="2"/>
      <c r="G763" s="11"/>
    </row>
    <row r="764">
      <c r="A764" s="2"/>
      <c r="C764" s="2"/>
      <c r="G764" s="11"/>
    </row>
    <row r="765">
      <c r="A765" s="2"/>
      <c r="C765" s="2"/>
      <c r="G765" s="11"/>
    </row>
    <row r="766">
      <c r="A766" s="2"/>
      <c r="C766" s="2"/>
      <c r="G766" s="11"/>
    </row>
    <row r="767">
      <c r="A767" s="2"/>
      <c r="C767" s="2"/>
      <c r="G767" s="11"/>
    </row>
    <row r="768">
      <c r="A768" s="2"/>
      <c r="C768" s="2"/>
      <c r="G768" s="11"/>
    </row>
    <row r="769">
      <c r="A769" s="2"/>
      <c r="C769" s="2"/>
      <c r="G769" s="11"/>
    </row>
    <row r="770">
      <c r="A770" s="2"/>
      <c r="C770" s="2"/>
      <c r="G770" s="11"/>
    </row>
    <row r="771">
      <c r="A771" s="2"/>
      <c r="C771" s="2"/>
      <c r="G771" s="11"/>
    </row>
    <row r="772">
      <c r="A772" s="2"/>
      <c r="C772" s="2"/>
      <c r="G772" s="11"/>
    </row>
    <row r="773">
      <c r="A773" s="2"/>
      <c r="C773" s="2"/>
      <c r="G773" s="11"/>
    </row>
    <row r="774">
      <c r="A774" s="2"/>
      <c r="C774" s="2"/>
      <c r="G774" s="11"/>
    </row>
    <row r="775">
      <c r="A775" s="2"/>
      <c r="C775" s="2"/>
      <c r="G775" s="11"/>
    </row>
    <row r="776">
      <c r="A776" s="2"/>
      <c r="C776" s="2"/>
      <c r="G776" s="11"/>
    </row>
    <row r="777">
      <c r="A777" s="2"/>
      <c r="C777" s="2"/>
      <c r="G777" s="11"/>
    </row>
    <row r="778">
      <c r="A778" s="2"/>
      <c r="C778" s="2"/>
      <c r="G778" s="11"/>
    </row>
    <row r="779">
      <c r="A779" s="2"/>
      <c r="C779" s="2"/>
      <c r="G779" s="11"/>
    </row>
    <row r="780">
      <c r="A780" s="2"/>
      <c r="C780" s="2"/>
      <c r="G780" s="11"/>
    </row>
    <row r="781">
      <c r="A781" s="2"/>
      <c r="C781" s="2"/>
      <c r="G781" s="11"/>
    </row>
    <row r="782">
      <c r="A782" s="2"/>
      <c r="C782" s="2"/>
      <c r="G782" s="11"/>
    </row>
    <row r="783">
      <c r="A783" s="2"/>
      <c r="C783" s="2"/>
      <c r="G783" s="11"/>
    </row>
    <row r="784">
      <c r="A784" s="2"/>
      <c r="C784" s="2"/>
      <c r="G784" s="11"/>
    </row>
    <row r="785">
      <c r="A785" s="2"/>
      <c r="C785" s="2"/>
      <c r="G785" s="11"/>
    </row>
    <row r="786">
      <c r="A786" s="2"/>
      <c r="C786" s="2"/>
      <c r="G786" s="11"/>
    </row>
    <row r="787">
      <c r="A787" s="2"/>
      <c r="C787" s="2"/>
      <c r="G787" s="11"/>
    </row>
    <row r="788">
      <c r="A788" s="2"/>
      <c r="C788" s="2"/>
      <c r="G788" s="11"/>
    </row>
    <row r="789">
      <c r="A789" s="2"/>
      <c r="C789" s="2"/>
      <c r="G789" s="11"/>
    </row>
    <row r="790">
      <c r="A790" s="2"/>
      <c r="C790" s="2"/>
      <c r="G790" s="11"/>
    </row>
    <row r="791">
      <c r="A791" s="2"/>
      <c r="C791" s="2"/>
      <c r="G791" s="11"/>
    </row>
    <row r="792">
      <c r="A792" s="2"/>
      <c r="C792" s="2"/>
      <c r="G792" s="11"/>
    </row>
    <row r="793">
      <c r="A793" s="2"/>
      <c r="C793" s="2"/>
      <c r="G793" s="11"/>
    </row>
    <row r="794">
      <c r="A794" s="2"/>
      <c r="C794" s="2"/>
      <c r="G794" s="11"/>
    </row>
    <row r="795">
      <c r="A795" s="2"/>
      <c r="C795" s="2"/>
      <c r="G795" s="11"/>
    </row>
    <row r="796">
      <c r="A796" s="2"/>
      <c r="C796" s="2"/>
      <c r="G796" s="11"/>
    </row>
    <row r="797">
      <c r="A797" s="2"/>
      <c r="C797" s="2"/>
      <c r="G797" s="11"/>
    </row>
    <row r="798">
      <c r="A798" s="2"/>
      <c r="C798" s="2"/>
      <c r="G798" s="11"/>
    </row>
    <row r="799">
      <c r="A799" s="2"/>
      <c r="C799" s="2"/>
      <c r="G799" s="11"/>
    </row>
    <row r="800">
      <c r="A800" s="2"/>
      <c r="C800" s="2"/>
      <c r="G800" s="11"/>
    </row>
    <row r="801">
      <c r="A801" s="2"/>
      <c r="C801" s="2"/>
      <c r="G801" s="11"/>
    </row>
    <row r="802">
      <c r="A802" s="2"/>
      <c r="C802" s="2"/>
      <c r="G802" s="11"/>
    </row>
    <row r="803">
      <c r="A803" s="2"/>
      <c r="C803" s="2"/>
      <c r="G803" s="11"/>
    </row>
    <row r="804">
      <c r="A804" s="2"/>
      <c r="C804" s="2"/>
      <c r="G804" s="11"/>
    </row>
    <row r="805">
      <c r="A805" s="2"/>
      <c r="C805" s="2"/>
      <c r="G805" s="11"/>
    </row>
    <row r="806">
      <c r="A806" s="2"/>
      <c r="C806" s="2"/>
      <c r="G806" s="11"/>
    </row>
    <row r="807">
      <c r="A807" s="2"/>
      <c r="C807" s="2"/>
      <c r="G807" s="11"/>
    </row>
    <row r="808">
      <c r="A808" s="2"/>
      <c r="C808" s="2"/>
      <c r="G808" s="11"/>
    </row>
    <row r="809">
      <c r="A809" s="2"/>
      <c r="C809" s="2"/>
      <c r="G809" s="11"/>
    </row>
    <row r="810">
      <c r="A810" s="2"/>
      <c r="C810" s="2"/>
      <c r="G810" s="11"/>
    </row>
    <row r="811">
      <c r="A811" s="2"/>
      <c r="C811" s="2"/>
      <c r="G811" s="11"/>
    </row>
    <row r="812">
      <c r="A812" s="2"/>
      <c r="C812" s="2"/>
      <c r="G812" s="11"/>
    </row>
    <row r="813">
      <c r="A813" s="2"/>
      <c r="C813" s="2"/>
      <c r="G813" s="11"/>
    </row>
    <row r="814">
      <c r="A814" s="2"/>
      <c r="C814" s="2"/>
      <c r="G814" s="11"/>
    </row>
    <row r="815">
      <c r="A815" s="2"/>
      <c r="C815" s="2"/>
      <c r="G815" s="11"/>
    </row>
    <row r="816">
      <c r="A816" s="2"/>
      <c r="C816" s="2"/>
      <c r="G816" s="11"/>
    </row>
    <row r="817">
      <c r="A817" s="2"/>
      <c r="C817" s="2"/>
      <c r="G817" s="11"/>
    </row>
    <row r="818">
      <c r="A818" s="2"/>
      <c r="C818" s="2"/>
      <c r="G818" s="11"/>
    </row>
    <row r="819">
      <c r="A819" s="2"/>
      <c r="C819" s="2"/>
      <c r="G819" s="11"/>
    </row>
    <row r="820">
      <c r="A820" s="2"/>
      <c r="C820" s="2"/>
      <c r="G820" s="11"/>
    </row>
    <row r="821">
      <c r="A821" s="2"/>
      <c r="C821" s="2"/>
      <c r="G821" s="11"/>
    </row>
    <row r="822">
      <c r="A822" s="2"/>
      <c r="C822" s="2"/>
      <c r="G822" s="11"/>
    </row>
    <row r="823">
      <c r="A823" s="2"/>
      <c r="C823" s="2"/>
      <c r="G823" s="11"/>
    </row>
    <row r="824">
      <c r="A824" s="2"/>
      <c r="C824" s="2"/>
      <c r="G824" s="11"/>
    </row>
    <row r="825">
      <c r="A825" s="2"/>
      <c r="C825" s="2"/>
      <c r="G825" s="11"/>
    </row>
    <row r="826">
      <c r="A826" s="2"/>
      <c r="C826" s="2"/>
      <c r="G826" s="11"/>
    </row>
    <row r="827">
      <c r="A827" s="2"/>
      <c r="C827" s="2"/>
      <c r="G827" s="11"/>
    </row>
    <row r="828">
      <c r="A828" s="2"/>
      <c r="C828" s="2"/>
      <c r="G828" s="11"/>
    </row>
    <row r="829">
      <c r="A829" s="2"/>
      <c r="C829" s="2"/>
      <c r="G829" s="11"/>
    </row>
    <row r="830">
      <c r="A830" s="2"/>
      <c r="C830" s="2"/>
      <c r="G830" s="11"/>
    </row>
    <row r="831">
      <c r="A831" s="2"/>
      <c r="C831" s="2"/>
      <c r="G831" s="11"/>
    </row>
    <row r="832">
      <c r="A832" s="2"/>
      <c r="C832" s="2"/>
      <c r="G832" s="11"/>
    </row>
    <row r="833">
      <c r="A833" s="2"/>
      <c r="C833" s="2"/>
      <c r="G833" s="11"/>
    </row>
    <row r="834">
      <c r="A834" s="2"/>
      <c r="C834" s="2"/>
      <c r="G834" s="11"/>
    </row>
    <row r="835">
      <c r="A835" s="2"/>
      <c r="C835" s="2"/>
      <c r="G835" s="11"/>
    </row>
    <row r="836">
      <c r="A836" s="2"/>
      <c r="C836" s="2"/>
      <c r="G836" s="11"/>
    </row>
    <row r="837">
      <c r="A837" s="2"/>
      <c r="C837" s="2"/>
      <c r="G837" s="11"/>
    </row>
    <row r="838">
      <c r="A838" s="2"/>
      <c r="C838" s="2"/>
      <c r="G838" s="11"/>
    </row>
    <row r="839">
      <c r="A839" s="2"/>
      <c r="C839" s="2"/>
      <c r="G839" s="11"/>
    </row>
    <row r="840">
      <c r="A840" s="2"/>
      <c r="C840" s="2"/>
      <c r="G840" s="11"/>
    </row>
    <row r="841">
      <c r="A841" s="2"/>
      <c r="C841" s="2"/>
      <c r="G841" s="11"/>
    </row>
    <row r="842">
      <c r="A842" s="2"/>
      <c r="C842" s="2"/>
      <c r="G842" s="11"/>
    </row>
    <row r="843">
      <c r="A843" s="2"/>
      <c r="C843" s="2"/>
      <c r="G843" s="11"/>
    </row>
    <row r="844">
      <c r="A844" s="2"/>
      <c r="C844" s="2"/>
      <c r="G844" s="11"/>
    </row>
    <row r="845">
      <c r="A845" s="2"/>
      <c r="C845" s="2"/>
      <c r="G845" s="11"/>
    </row>
    <row r="846">
      <c r="A846" s="2"/>
      <c r="C846" s="2"/>
      <c r="G846" s="11"/>
    </row>
    <row r="847">
      <c r="A847" s="2"/>
      <c r="C847" s="2"/>
      <c r="G847" s="11"/>
    </row>
    <row r="848">
      <c r="A848" s="2"/>
      <c r="C848" s="2"/>
      <c r="G848" s="11"/>
    </row>
    <row r="849">
      <c r="A849" s="2"/>
      <c r="C849" s="2"/>
      <c r="G849" s="11"/>
    </row>
    <row r="850">
      <c r="A850" s="2"/>
      <c r="C850" s="2"/>
      <c r="G850" s="11"/>
    </row>
    <row r="851">
      <c r="A851" s="2"/>
      <c r="C851" s="2"/>
      <c r="G851" s="11"/>
    </row>
    <row r="852">
      <c r="A852" s="2"/>
      <c r="C852" s="2"/>
      <c r="G852" s="11"/>
    </row>
    <row r="853">
      <c r="A853" s="2"/>
      <c r="C853" s="2"/>
      <c r="G853" s="11"/>
    </row>
    <row r="854">
      <c r="A854" s="2"/>
      <c r="C854" s="2"/>
      <c r="G854" s="11"/>
    </row>
    <row r="855">
      <c r="A855" s="2"/>
      <c r="C855" s="2"/>
      <c r="G855" s="11"/>
    </row>
    <row r="856">
      <c r="A856" s="2"/>
      <c r="C856" s="2"/>
      <c r="G856" s="11"/>
    </row>
    <row r="857">
      <c r="A857" s="2"/>
      <c r="C857" s="2"/>
      <c r="G857" s="11"/>
    </row>
    <row r="858">
      <c r="A858" s="2"/>
      <c r="C858" s="2"/>
      <c r="G858" s="11"/>
    </row>
    <row r="859">
      <c r="A859" s="2"/>
      <c r="C859" s="2"/>
      <c r="G859" s="11"/>
    </row>
    <row r="860">
      <c r="A860" s="2"/>
      <c r="C860" s="2"/>
      <c r="G860" s="11"/>
    </row>
    <row r="861">
      <c r="A861" s="2"/>
      <c r="C861" s="2"/>
      <c r="G861" s="11"/>
    </row>
    <row r="862">
      <c r="A862" s="2"/>
      <c r="C862" s="2"/>
      <c r="G862" s="11"/>
    </row>
    <row r="863">
      <c r="A863" s="2"/>
      <c r="C863" s="2"/>
      <c r="G863" s="11"/>
    </row>
    <row r="864">
      <c r="A864" s="2"/>
      <c r="C864" s="2"/>
      <c r="G864" s="11"/>
    </row>
    <row r="865">
      <c r="A865" s="2"/>
      <c r="C865" s="2"/>
      <c r="G865" s="11"/>
    </row>
    <row r="866">
      <c r="A866" s="2"/>
      <c r="C866" s="2"/>
      <c r="G866" s="11"/>
    </row>
    <row r="867">
      <c r="A867" s="2"/>
      <c r="C867" s="2"/>
      <c r="G867" s="11"/>
    </row>
    <row r="868">
      <c r="A868" s="2"/>
      <c r="C868" s="2"/>
      <c r="G868" s="11"/>
    </row>
    <row r="869">
      <c r="A869" s="2"/>
      <c r="C869" s="2"/>
      <c r="G869" s="11"/>
    </row>
    <row r="870">
      <c r="A870" s="2"/>
      <c r="C870" s="2"/>
      <c r="G870" s="11"/>
    </row>
    <row r="871">
      <c r="A871" s="2"/>
      <c r="C871" s="2"/>
      <c r="G871" s="11"/>
    </row>
    <row r="872">
      <c r="A872" s="2"/>
      <c r="C872" s="2"/>
      <c r="G872" s="11"/>
    </row>
    <row r="873">
      <c r="A873" s="2"/>
      <c r="C873" s="2"/>
      <c r="G873" s="11"/>
    </row>
    <row r="874">
      <c r="A874" s="2"/>
      <c r="C874" s="2"/>
      <c r="G874" s="11"/>
    </row>
    <row r="875">
      <c r="A875" s="2"/>
      <c r="C875" s="2"/>
      <c r="G875" s="11"/>
    </row>
    <row r="876">
      <c r="A876" s="2"/>
      <c r="C876" s="2"/>
      <c r="G876" s="11"/>
    </row>
    <row r="877">
      <c r="A877" s="2"/>
      <c r="C877" s="2"/>
      <c r="G877" s="11"/>
    </row>
    <row r="878">
      <c r="A878" s="2"/>
      <c r="C878" s="2"/>
      <c r="G878" s="11"/>
    </row>
    <row r="879">
      <c r="A879" s="2"/>
      <c r="C879" s="2"/>
      <c r="G879" s="11"/>
    </row>
    <row r="880">
      <c r="A880" s="2"/>
      <c r="C880" s="2"/>
      <c r="G880" s="11"/>
    </row>
    <row r="881">
      <c r="A881" s="2"/>
      <c r="C881" s="2"/>
      <c r="G881" s="11"/>
    </row>
    <row r="882">
      <c r="A882" s="2"/>
      <c r="C882" s="2"/>
      <c r="G882" s="11"/>
    </row>
    <row r="883">
      <c r="A883" s="2"/>
      <c r="C883" s="2"/>
      <c r="G883" s="11"/>
    </row>
    <row r="884">
      <c r="A884" s="2"/>
      <c r="C884" s="2"/>
      <c r="G884" s="11"/>
    </row>
    <row r="885">
      <c r="A885" s="2"/>
      <c r="C885" s="2"/>
      <c r="G885" s="11"/>
    </row>
    <row r="886">
      <c r="A886" s="2"/>
      <c r="C886" s="2"/>
      <c r="G886" s="11"/>
    </row>
    <row r="887">
      <c r="A887" s="2"/>
      <c r="C887" s="2"/>
      <c r="G887" s="11"/>
    </row>
    <row r="888">
      <c r="A888" s="2"/>
      <c r="C888" s="2"/>
      <c r="G888" s="11"/>
    </row>
    <row r="889">
      <c r="A889" s="2"/>
      <c r="C889" s="2"/>
      <c r="G889" s="11"/>
    </row>
    <row r="890">
      <c r="A890" s="2"/>
      <c r="C890" s="2"/>
      <c r="G890" s="11"/>
    </row>
    <row r="891">
      <c r="A891" s="2"/>
      <c r="C891" s="2"/>
      <c r="G891" s="11"/>
    </row>
    <row r="892">
      <c r="A892" s="2"/>
      <c r="C892" s="2"/>
      <c r="G892" s="11"/>
    </row>
    <row r="893">
      <c r="A893" s="2"/>
      <c r="C893" s="2"/>
      <c r="G893" s="11"/>
    </row>
    <row r="894">
      <c r="A894" s="2"/>
      <c r="C894" s="2"/>
      <c r="G894" s="11"/>
    </row>
    <row r="895">
      <c r="A895" s="2"/>
      <c r="C895" s="2"/>
      <c r="G895" s="11"/>
    </row>
    <row r="896">
      <c r="A896" s="2"/>
      <c r="C896" s="2"/>
      <c r="G896" s="11"/>
    </row>
    <row r="897">
      <c r="A897" s="2"/>
      <c r="C897" s="2"/>
      <c r="G897" s="11"/>
    </row>
    <row r="898">
      <c r="A898" s="2"/>
      <c r="C898" s="2"/>
      <c r="G898" s="11"/>
    </row>
    <row r="899">
      <c r="A899" s="2"/>
      <c r="C899" s="2"/>
      <c r="G899" s="11"/>
    </row>
    <row r="900">
      <c r="A900" s="2"/>
      <c r="C900" s="2"/>
      <c r="G900" s="11"/>
    </row>
    <row r="901">
      <c r="A901" s="2"/>
      <c r="C901" s="2"/>
      <c r="G901" s="11"/>
    </row>
    <row r="902">
      <c r="A902" s="2"/>
      <c r="C902" s="2"/>
      <c r="G902" s="11"/>
    </row>
    <row r="903">
      <c r="A903" s="2"/>
      <c r="C903" s="2"/>
      <c r="G903" s="11"/>
    </row>
    <row r="904">
      <c r="A904" s="2"/>
      <c r="C904" s="2"/>
      <c r="G904" s="11"/>
    </row>
    <row r="905">
      <c r="A905" s="2"/>
      <c r="C905" s="2"/>
      <c r="G905" s="11"/>
    </row>
    <row r="906">
      <c r="A906" s="2"/>
      <c r="C906" s="2"/>
      <c r="G906" s="11"/>
    </row>
    <row r="907">
      <c r="A907" s="2"/>
      <c r="C907" s="2"/>
      <c r="G907" s="11"/>
    </row>
    <row r="908">
      <c r="A908" s="2"/>
      <c r="C908" s="2"/>
      <c r="G908" s="11"/>
    </row>
    <row r="909">
      <c r="A909" s="2"/>
      <c r="C909" s="2"/>
      <c r="G909" s="11"/>
    </row>
    <row r="910">
      <c r="A910" s="2"/>
      <c r="C910" s="2"/>
      <c r="G910" s="11"/>
    </row>
    <row r="911">
      <c r="A911" s="2"/>
      <c r="C911" s="2"/>
      <c r="G911" s="11"/>
    </row>
    <row r="912">
      <c r="A912" s="2"/>
      <c r="C912" s="2"/>
      <c r="G912" s="11"/>
    </row>
    <row r="913">
      <c r="A913" s="2"/>
      <c r="C913" s="2"/>
      <c r="G913" s="11"/>
    </row>
    <row r="914">
      <c r="A914" s="2"/>
      <c r="C914" s="2"/>
      <c r="G914" s="11"/>
    </row>
    <row r="915">
      <c r="A915" s="2"/>
      <c r="C915" s="2"/>
      <c r="G915" s="11"/>
    </row>
    <row r="916">
      <c r="A916" s="2"/>
      <c r="C916" s="2"/>
      <c r="G916" s="11"/>
    </row>
    <row r="917">
      <c r="A917" s="2"/>
      <c r="C917" s="2"/>
      <c r="G917" s="11"/>
    </row>
    <row r="918">
      <c r="A918" s="2"/>
      <c r="C918" s="2"/>
      <c r="G918" s="11"/>
    </row>
    <row r="919">
      <c r="A919" s="2"/>
      <c r="C919" s="2"/>
      <c r="G919" s="11"/>
    </row>
    <row r="920">
      <c r="A920" s="2"/>
      <c r="C920" s="2"/>
      <c r="G920" s="11"/>
    </row>
    <row r="921">
      <c r="A921" s="2"/>
      <c r="C921" s="2"/>
      <c r="G921" s="11"/>
    </row>
    <row r="922">
      <c r="A922" s="2"/>
      <c r="C922" s="2"/>
      <c r="G922" s="11"/>
    </row>
    <row r="923">
      <c r="A923" s="2"/>
      <c r="C923" s="2"/>
      <c r="G923" s="11"/>
    </row>
    <row r="924">
      <c r="A924" s="2"/>
      <c r="C924" s="2"/>
      <c r="G924" s="11"/>
    </row>
    <row r="925">
      <c r="A925" s="2"/>
      <c r="C925" s="2"/>
      <c r="G925" s="11"/>
    </row>
    <row r="926">
      <c r="A926" s="2"/>
      <c r="C926" s="2"/>
      <c r="G926" s="11"/>
    </row>
    <row r="927">
      <c r="A927" s="2"/>
      <c r="C927" s="2"/>
      <c r="G927" s="11"/>
    </row>
    <row r="928">
      <c r="A928" s="2"/>
      <c r="C928" s="2"/>
      <c r="G928" s="11"/>
    </row>
    <row r="929">
      <c r="A929" s="2"/>
      <c r="C929" s="2"/>
      <c r="G929" s="11"/>
    </row>
    <row r="930">
      <c r="A930" s="2"/>
      <c r="C930" s="2"/>
      <c r="G930" s="11"/>
    </row>
    <row r="931">
      <c r="A931" s="2"/>
      <c r="C931" s="2"/>
      <c r="G931" s="11"/>
    </row>
    <row r="932">
      <c r="A932" s="2"/>
      <c r="C932" s="2"/>
      <c r="G932" s="11"/>
    </row>
    <row r="933">
      <c r="A933" s="2"/>
      <c r="C933" s="2"/>
      <c r="G933" s="11"/>
    </row>
    <row r="934">
      <c r="A934" s="2"/>
      <c r="C934" s="2"/>
      <c r="G934" s="11"/>
    </row>
    <row r="935">
      <c r="A935" s="2"/>
      <c r="C935" s="2"/>
      <c r="G935" s="11"/>
    </row>
    <row r="936">
      <c r="A936" s="2"/>
      <c r="C936" s="2"/>
      <c r="G936" s="11"/>
    </row>
    <row r="937">
      <c r="A937" s="2"/>
      <c r="C937" s="2"/>
      <c r="G937" s="11"/>
    </row>
    <row r="938">
      <c r="A938" s="2"/>
      <c r="C938" s="2"/>
      <c r="G938" s="11"/>
    </row>
    <row r="939">
      <c r="A939" s="2"/>
      <c r="C939" s="2"/>
      <c r="G939" s="11"/>
    </row>
    <row r="940">
      <c r="A940" s="2"/>
      <c r="C940" s="2"/>
      <c r="G940" s="11"/>
    </row>
    <row r="941">
      <c r="A941" s="2"/>
      <c r="C941" s="2"/>
      <c r="G941" s="11"/>
    </row>
    <row r="942">
      <c r="A942" s="2"/>
      <c r="C942" s="2"/>
      <c r="G942" s="11"/>
    </row>
    <row r="943">
      <c r="A943" s="2"/>
      <c r="C943" s="2"/>
      <c r="G943" s="11"/>
    </row>
    <row r="944">
      <c r="A944" s="2"/>
      <c r="C944" s="2"/>
      <c r="G944" s="11"/>
    </row>
    <row r="945">
      <c r="A945" s="2"/>
      <c r="C945" s="2"/>
      <c r="G945" s="11"/>
    </row>
    <row r="946">
      <c r="A946" s="2"/>
      <c r="C946" s="2"/>
      <c r="G946" s="11"/>
    </row>
    <row r="947">
      <c r="A947" s="2"/>
      <c r="C947" s="2"/>
      <c r="G947" s="11"/>
    </row>
    <row r="948">
      <c r="A948" s="2"/>
      <c r="C948" s="2"/>
      <c r="G948" s="11"/>
    </row>
    <row r="949">
      <c r="A949" s="2"/>
      <c r="C949" s="2"/>
      <c r="G949" s="11"/>
    </row>
    <row r="950">
      <c r="A950" s="2"/>
      <c r="C950" s="2"/>
      <c r="G950" s="11"/>
    </row>
    <row r="951">
      <c r="A951" s="2"/>
      <c r="C951" s="2"/>
      <c r="G951" s="11"/>
    </row>
    <row r="952">
      <c r="A952" s="2"/>
      <c r="C952" s="2"/>
      <c r="G952" s="11"/>
    </row>
    <row r="953">
      <c r="A953" s="2"/>
      <c r="C953" s="2"/>
      <c r="G953" s="11"/>
    </row>
    <row r="954">
      <c r="A954" s="2"/>
      <c r="C954" s="2"/>
      <c r="G954" s="11"/>
    </row>
    <row r="955">
      <c r="A955" s="2"/>
      <c r="C955" s="2"/>
      <c r="G955" s="11"/>
    </row>
    <row r="956">
      <c r="A956" s="2"/>
      <c r="C956" s="2"/>
      <c r="G956" s="11"/>
    </row>
    <row r="957">
      <c r="A957" s="2"/>
      <c r="C957" s="2"/>
      <c r="G957" s="11"/>
    </row>
    <row r="958">
      <c r="A958" s="2"/>
      <c r="C958" s="2"/>
      <c r="G958" s="11"/>
    </row>
    <row r="959">
      <c r="A959" s="2"/>
      <c r="C959" s="2"/>
      <c r="G959" s="11"/>
    </row>
    <row r="960">
      <c r="A960" s="2"/>
      <c r="C960" s="2"/>
      <c r="G960" s="11"/>
    </row>
    <row r="961">
      <c r="A961" s="2"/>
      <c r="C961" s="2"/>
      <c r="G961" s="11"/>
    </row>
    <row r="962">
      <c r="A962" s="2"/>
      <c r="C962" s="2"/>
      <c r="G962" s="11"/>
    </row>
    <row r="963">
      <c r="A963" s="2"/>
      <c r="C963" s="2"/>
      <c r="G963" s="11"/>
    </row>
    <row r="964">
      <c r="A964" s="2"/>
      <c r="C964" s="2"/>
      <c r="G964" s="11"/>
    </row>
    <row r="965">
      <c r="A965" s="2"/>
      <c r="C965" s="2"/>
      <c r="G965" s="11"/>
    </row>
    <row r="966">
      <c r="A966" s="2"/>
      <c r="C966" s="2"/>
      <c r="G966" s="11"/>
    </row>
    <row r="967">
      <c r="A967" s="2"/>
      <c r="C967" s="2"/>
      <c r="G967" s="11"/>
    </row>
    <row r="968">
      <c r="A968" s="2"/>
      <c r="C968" s="2"/>
      <c r="G968" s="11"/>
    </row>
    <row r="969">
      <c r="A969" s="2"/>
      <c r="C969" s="2"/>
      <c r="G969" s="11"/>
    </row>
    <row r="970">
      <c r="A970" s="2"/>
      <c r="C970" s="2"/>
      <c r="G970" s="11"/>
    </row>
    <row r="971">
      <c r="A971" s="2"/>
      <c r="C971" s="2"/>
      <c r="G971" s="11"/>
    </row>
    <row r="972">
      <c r="A972" s="2"/>
      <c r="C972" s="2"/>
      <c r="G972" s="11"/>
    </row>
    <row r="973">
      <c r="A973" s="2"/>
      <c r="C973" s="2"/>
      <c r="G973" s="11"/>
    </row>
    <row r="974">
      <c r="A974" s="2"/>
      <c r="C974" s="2"/>
      <c r="G974" s="11"/>
    </row>
    <row r="975">
      <c r="A975" s="2"/>
      <c r="C975" s="2"/>
      <c r="G975" s="11"/>
    </row>
    <row r="976">
      <c r="A976" s="2"/>
      <c r="C976" s="2"/>
      <c r="G976" s="11"/>
    </row>
    <row r="977">
      <c r="A977" s="2"/>
      <c r="C977" s="2"/>
      <c r="G977" s="11"/>
    </row>
    <row r="978">
      <c r="A978" s="2"/>
      <c r="C978" s="2"/>
      <c r="G978" s="11"/>
    </row>
    <row r="979">
      <c r="A979" s="2"/>
      <c r="C979" s="2"/>
      <c r="G979" s="11"/>
    </row>
    <row r="980">
      <c r="A980" s="2"/>
      <c r="C980" s="2"/>
      <c r="G980" s="11"/>
    </row>
    <row r="981">
      <c r="A981" s="2"/>
      <c r="C981" s="2"/>
      <c r="G981" s="11"/>
    </row>
    <row r="982">
      <c r="A982" s="2"/>
      <c r="C982" s="2"/>
      <c r="G982" s="11"/>
    </row>
    <row r="983">
      <c r="A983" s="2"/>
      <c r="C983" s="2"/>
      <c r="G983" s="11"/>
    </row>
    <row r="984">
      <c r="A984" s="2"/>
      <c r="C984" s="2"/>
      <c r="G984" s="11"/>
    </row>
    <row r="985">
      <c r="A985" s="2"/>
      <c r="C985" s="2"/>
      <c r="G985" s="11"/>
    </row>
    <row r="986">
      <c r="A986" s="2"/>
      <c r="C986" s="2"/>
      <c r="G986" s="11"/>
    </row>
    <row r="987">
      <c r="A987" s="2"/>
      <c r="C987" s="2"/>
      <c r="G987" s="11"/>
    </row>
    <row r="988">
      <c r="A988" s="2"/>
      <c r="C988" s="2"/>
      <c r="G988" s="11"/>
    </row>
    <row r="989">
      <c r="A989" s="2"/>
      <c r="C989" s="2"/>
      <c r="G989" s="11"/>
    </row>
    <row r="990">
      <c r="A990" s="2"/>
      <c r="C990" s="2"/>
      <c r="G990" s="11"/>
    </row>
    <row r="991">
      <c r="A991" s="2"/>
      <c r="C991" s="2"/>
      <c r="G991" s="11"/>
    </row>
    <row r="992">
      <c r="A992" s="2"/>
      <c r="C992" s="2"/>
      <c r="G992" s="11"/>
    </row>
    <row r="993">
      <c r="A993" s="2"/>
      <c r="C993" s="2"/>
      <c r="G993" s="11"/>
    </row>
    <row r="994">
      <c r="A994" s="2"/>
      <c r="C994" s="2"/>
      <c r="G994" s="11"/>
    </row>
    <row r="995">
      <c r="A995" s="2"/>
      <c r="C995" s="2"/>
      <c r="G995" s="11"/>
    </row>
    <row r="996">
      <c r="A996" s="2"/>
      <c r="C996" s="2"/>
      <c r="G996" s="11"/>
    </row>
    <row r="997">
      <c r="A997" s="2"/>
      <c r="C997" s="2"/>
      <c r="G997" s="11"/>
    </row>
    <row r="998">
      <c r="A998" s="2"/>
      <c r="C998" s="2"/>
      <c r="G998" s="11"/>
    </row>
    <row r="999">
      <c r="A999" s="2"/>
      <c r="C999" s="2"/>
      <c r="G999" s="11"/>
    </row>
    <row r="1000">
      <c r="A1000" s="2"/>
      <c r="C1000" s="2"/>
      <c r="G1000" s="11"/>
    </row>
    <row r="1001">
      <c r="A1001" s="2"/>
      <c r="C1001" s="2"/>
      <c r="G1001" s="11"/>
    </row>
  </sheetData>
  <mergeCells count="14">
    <mergeCell ref="A25:C25"/>
    <mergeCell ref="A26:C26"/>
    <mergeCell ref="A27:C27"/>
    <mergeCell ref="A34:C34"/>
    <mergeCell ref="B37:C37"/>
    <mergeCell ref="A43:C43"/>
    <mergeCell ref="A44:C44"/>
    <mergeCell ref="E1:N1"/>
    <mergeCell ref="A3:C3"/>
    <mergeCell ref="A4:C4"/>
    <mergeCell ref="A5:C5"/>
    <mergeCell ref="A10:C10"/>
    <mergeCell ref="A14:C14"/>
    <mergeCell ref="A15:C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5" max="5" width="25.5"/>
    <col customWidth="1" min="6" max="6" width="7.5"/>
  </cols>
  <sheetData>
    <row r="1">
      <c r="A1" s="6" t="s">
        <v>3</v>
      </c>
      <c r="B1" s="8"/>
      <c r="C1" s="8"/>
      <c r="D1" s="8"/>
      <c r="E1" s="8"/>
      <c r="F1" s="8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27" t="s">
        <v>20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27" t="s">
        <v>30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7" t="s">
        <v>37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2" t="s">
        <v>45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48" t="s">
        <v>13</v>
      </c>
      <c r="B7" s="48" t="s">
        <v>59</v>
      </c>
      <c r="C7" s="48" t="s">
        <v>60</v>
      </c>
      <c r="D7" s="48" t="s">
        <v>61</v>
      </c>
      <c r="E7" s="48" t="s">
        <v>63</v>
      </c>
      <c r="F7" s="48" t="s">
        <v>64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48">
        <v>1.0</v>
      </c>
      <c r="B8" s="51" t="s">
        <v>65</v>
      </c>
      <c r="C8" s="52" t="s">
        <v>66</v>
      </c>
      <c r="D8" s="48">
        <v>2.62710018E8</v>
      </c>
      <c r="E8" s="51" t="s">
        <v>67</v>
      </c>
      <c r="F8" s="48" t="s">
        <v>69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48">
        <v>2.0</v>
      </c>
      <c r="B9" s="51" t="s">
        <v>71</v>
      </c>
      <c r="C9" s="52" t="s">
        <v>73</v>
      </c>
      <c r="D9" s="48">
        <v>2.62710036E8</v>
      </c>
      <c r="E9" s="51" t="s">
        <v>74</v>
      </c>
      <c r="F9" s="48" t="s">
        <v>69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48">
        <v>3.0</v>
      </c>
      <c r="B10" s="51" t="s">
        <v>76</v>
      </c>
      <c r="C10" s="52" t="s">
        <v>77</v>
      </c>
      <c r="D10" s="48">
        <v>2.62710051E8</v>
      </c>
      <c r="E10" s="51" t="s">
        <v>78</v>
      </c>
      <c r="F10" s="48" t="s">
        <v>69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48">
        <v>4.0</v>
      </c>
      <c r="B11" s="51" t="s">
        <v>76</v>
      </c>
      <c r="C11" s="52" t="s">
        <v>80</v>
      </c>
      <c r="D11" s="48">
        <v>2.62710056E8</v>
      </c>
      <c r="E11" s="51" t="s">
        <v>81</v>
      </c>
      <c r="F11" s="48" t="s">
        <v>69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48">
        <v>5.0</v>
      </c>
      <c r="B12" s="51" t="s">
        <v>65</v>
      </c>
      <c r="C12" s="48">
        <v>3.104861688E9</v>
      </c>
      <c r="D12" s="48">
        <v>2.62710068E8</v>
      </c>
      <c r="E12" s="51" t="s">
        <v>82</v>
      </c>
      <c r="F12" s="48" t="s">
        <v>69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48">
        <v>6.0</v>
      </c>
      <c r="B13" s="51" t="s">
        <v>76</v>
      </c>
      <c r="C13" s="52" t="s">
        <v>85</v>
      </c>
      <c r="D13" s="48">
        <v>2.62710078E8</v>
      </c>
      <c r="E13" s="51" t="s">
        <v>87</v>
      </c>
      <c r="F13" s="48" t="s">
        <v>69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48">
        <v>7.0</v>
      </c>
      <c r="B14" s="51" t="s">
        <v>76</v>
      </c>
      <c r="C14" s="52" t="s">
        <v>90</v>
      </c>
      <c r="D14" s="48">
        <v>2.62710092E8</v>
      </c>
      <c r="E14" s="51" t="s">
        <v>91</v>
      </c>
      <c r="F14" s="48" t="s">
        <v>92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48">
        <v>8.0</v>
      </c>
      <c r="B15" s="51" t="s">
        <v>76</v>
      </c>
      <c r="C15" s="52" t="s">
        <v>93</v>
      </c>
      <c r="D15" s="48">
        <v>2.62710093E8</v>
      </c>
      <c r="E15" s="51" t="s">
        <v>94</v>
      </c>
      <c r="F15" s="48" t="s">
        <v>92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48">
        <v>9.0</v>
      </c>
      <c r="B16" s="51" t="s">
        <v>65</v>
      </c>
      <c r="C16" s="48">
        <v>3.108124049E9</v>
      </c>
      <c r="D16" s="48">
        <v>2.62710112E8</v>
      </c>
      <c r="E16" s="51" t="s">
        <v>97</v>
      </c>
      <c r="F16" s="48" t="s">
        <v>92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48">
        <v>10.0</v>
      </c>
      <c r="B17" s="51" t="s">
        <v>76</v>
      </c>
      <c r="C17" s="52" t="s">
        <v>103</v>
      </c>
      <c r="D17" s="48">
        <v>2.62710136E8</v>
      </c>
      <c r="E17" s="51" t="s">
        <v>104</v>
      </c>
      <c r="F17" s="48" t="s">
        <v>92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48">
        <v>11.0</v>
      </c>
      <c r="B18" s="51" t="s">
        <v>76</v>
      </c>
      <c r="C18" s="52" t="s">
        <v>107</v>
      </c>
      <c r="D18" s="48">
        <v>2.62710138E8</v>
      </c>
      <c r="E18" s="51" t="s">
        <v>108</v>
      </c>
      <c r="F18" s="48" t="s">
        <v>92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48">
        <v>12.0</v>
      </c>
      <c r="B19" s="51" t="s">
        <v>76</v>
      </c>
      <c r="C19" s="52" t="s">
        <v>109</v>
      </c>
      <c r="D19" s="48">
        <v>2.6271015E8</v>
      </c>
      <c r="E19" s="51" t="s">
        <v>111</v>
      </c>
      <c r="F19" s="48" t="s">
        <v>92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48">
        <v>13.0</v>
      </c>
      <c r="B20" s="51" t="s">
        <v>65</v>
      </c>
      <c r="C20" s="52" t="s">
        <v>116</v>
      </c>
      <c r="D20" s="48">
        <v>2.62710155E8</v>
      </c>
      <c r="E20" s="51" t="s">
        <v>117</v>
      </c>
      <c r="F20" s="48" t="s">
        <v>92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48">
        <v>14.0</v>
      </c>
      <c r="B21" s="51" t="s">
        <v>71</v>
      </c>
      <c r="C21" s="52" t="s">
        <v>120</v>
      </c>
      <c r="D21" s="48">
        <v>2.62710164E8</v>
      </c>
      <c r="E21" s="51" t="s">
        <v>121</v>
      </c>
      <c r="F21" s="48" t="s">
        <v>69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48">
        <v>15.0</v>
      </c>
      <c r="B22" s="51" t="s">
        <v>76</v>
      </c>
      <c r="C22" s="52" t="s">
        <v>127</v>
      </c>
      <c r="D22" s="48">
        <v>2.62710171E8</v>
      </c>
      <c r="E22" s="51" t="s">
        <v>128</v>
      </c>
      <c r="F22" s="48" t="s">
        <v>92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48">
        <v>16.0</v>
      </c>
      <c r="B23" s="51" t="s">
        <v>76</v>
      </c>
      <c r="C23" s="52" t="s">
        <v>132</v>
      </c>
      <c r="D23" s="48">
        <v>2.62710181E8</v>
      </c>
      <c r="E23" s="51" t="s">
        <v>133</v>
      </c>
      <c r="F23" s="48" t="s">
        <v>69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48">
        <v>17.0</v>
      </c>
      <c r="B24" s="51" t="s">
        <v>65</v>
      </c>
      <c r="C24" s="52" t="s">
        <v>135</v>
      </c>
      <c r="D24" s="48">
        <v>2.62710194E8</v>
      </c>
      <c r="E24" s="51" t="s">
        <v>136</v>
      </c>
      <c r="F24" s="48" t="s">
        <v>92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48">
        <v>18.0</v>
      </c>
      <c r="B25" s="51" t="s">
        <v>76</v>
      </c>
      <c r="C25" s="52" t="s">
        <v>143</v>
      </c>
      <c r="D25" s="48">
        <v>2.62710205E8</v>
      </c>
      <c r="E25" s="51" t="s">
        <v>144</v>
      </c>
      <c r="F25" s="48" t="s">
        <v>69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48">
        <v>19.0</v>
      </c>
      <c r="B26" s="51" t="s">
        <v>76</v>
      </c>
      <c r="C26" s="52" t="s">
        <v>146</v>
      </c>
      <c r="D26" s="48">
        <v>2.6271021E8</v>
      </c>
      <c r="E26" s="51" t="s">
        <v>147</v>
      </c>
      <c r="F26" s="48" t="s">
        <v>69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48">
        <v>20.0</v>
      </c>
      <c r="B27" s="51" t="s">
        <v>76</v>
      </c>
      <c r="C27" s="52" t="s">
        <v>153</v>
      </c>
      <c r="D27" s="48">
        <v>2.62710259E8</v>
      </c>
      <c r="E27" s="51" t="s">
        <v>154</v>
      </c>
      <c r="F27" s="48" t="s">
        <v>69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48">
        <v>21.0</v>
      </c>
      <c r="B28" s="51" t="s">
        <v>65</v>
      </c>
      <c r="C28" s="52" t="s">
        <v>156</v>
      </c>
      <c r="D28" s="48">
        <v>2.6271026E8</v>
      </c>
      <c r="E28" s="51" t="s">
        <v>157</v>
      </c>
      <c r="F28" s="48" t="s">
        <v>92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48">
        <v>22.0</v>
      </c>
      <c r="B29" s="51" t="s">
        <v>76</v>
      </c>
      <c r="C29" s="52" t="s">
        <v>161</v>
      </c>
      <c r="D29" s="48">
        <v>2.62710263E8</v>
      </c>
      <c r="E29" s="51" t="s">
        <v>162</v>
      </c>
      <c r="F29" s="48" t="s">
        <v>69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48">
        <v>23.0</v>
      </c>
      <c r="B30" s="51" t="s">
        <v>65</v>
      </c>
      <c r="C30" s="52" t="s">
        <v>164</v>
      </c>
      <c r="D30" s="48">
        <v>2.62710298E8</v>
      </c>
      <c r="E30" s="51" t="s">
        <v>165</v>
      </c>
      <c r="F30" s="48" t="s">
        <v>92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48">
        <v>24.0</v>
      </c>
      <c r="B31" s="51" t="s">
        <v>76</v>
      </c>
      <c r="C31" s="52" t="s">
        <v>168</v>
      </c>
      <c r="D31" s="48">
        <v>2.62710307E8</v>
      </c>
      <c r="E31" s="51" t="s">
        <v>169</v>
      </c>
      <c r="F31" s="48" t="s">
        <v>69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48">
        <v>25.0</v>
      </c>
      <c r="B32" s="51" t="s">
        <v>171</v>
      </c>
      <c r="C32" s="52" t="s">
        <v>172</v>
      </c>
      <c r="D32" s="48">
        <v>2.62710316E8</v>
      </c>
      <c r="E32" s="51" t="s">
        <v>174</v>
      </c>
      <c r="F32" s="48" t="s">
        <v>92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48">
        <v>26.0</v>
      </c>
      <c r="B33" s="51" t="s">
        <v>76</v>
      </c>
      <c r="C33" s="48">
        <v>3.117777065E9</v>
      </c>
      <c r="D33" s="48">
        <v>2.62710342E8</v>
      </c>
      <c r="E33" s="51" t="s">
        <v>176</v>
      </c>
      <c r="F33" s="48" t="s">
        <v>69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48">
        <v>27.0</v>
      </c>
      <c r="B34" s="51" t="s">
        <v>76</v>
      </c>
      <c r="C34" s="52" t="s">
        <v>179</v>
      </c>
      <c r="D34" s="48">
        <v>2.62710351E8</v>
      </c>
      <c r="E34" s="51" t="s">
        <v>180</v>
      </c>
      <c r="F34" s="48" t="s">
        <v>69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48">
        <v>28.0</v>
      </c>
      <c r="B35" s="51" t="s">
        <v>76</v>
      </c>
      <c r="C35" s="52" t="s">
        <v>181</v>
      </c>
      <c r="D35" s="48">
        <v>2.62710362E8</v>
      </c>
      <c r="E35" s="51" t="s">
        <v>182</v>
      </c>
      <c r="F35" s="48" t="s">
        <v>92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48">
        <v>29.0</v>
      </c>
      <c r="B36" s="51" t="s">
        <v>76</v>
      </c>
      <c r="C36" s="52" t="s">
        <v>186</v>
      </c>
      <c r="D36" s="48">
        <v>2.62710365E8</v>
      </c>
      <c r="E36" s="51" t="s">
        <v>187</v>
      </c>
      <c r="F36" s="48" t="s">
        <v>69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48">
        <v>30.0</v>
      </c>
      <c r="B37" s="51" t="s">
        <v>76</v>
      </c>
      <c r="C37" s="52" t="s">
        <v>189</v>
      </c>
      <c r="D37" s="48">
        <v>2.62710367E8</v>
      </c>
      <c r="E37" s="51" t="s">
        <v>191</v>
      </c>
      <c r="F37" s="48" t="s">
        <v>69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48">
        <v>31.0</v>
      </c>
      <c r="B38" s="51" t="s">
        <v>71</v>
      </c>
      <c r="C38" s="52" t="s">
        <v>193</v>
      </c>
      <c r="D38" s="48">
        <v>2.62710372E8</v>
      </c>
      <c r="E38" s="51" t="s">
        <v>194</v>
      </c>
      <c r="F38" s="48" t="s">
        <v>92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48">
        <v>32.0</v>
      </c>
      <c r="B39" s="51" t="s">
        <v>76</v>
      </c>
      <c r="C39" s="52" t="s">
        <v>197</v>
      </c>
      <c r="D39" s="48">
        <v>2.62710375E8</v>
      </c>
      <c r="E39" s="51" t="s">
        <v>198</v>
      </c>
      <c r="F39" s="48" t="s">
        <v>92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81" t="s">
        <v>205</v>
      </c>
      <c r="F40" s="82">
        <f>COUNTIF(F8:F39,"P")</f>
        <v>17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81" t="s">
        <v>214</v>
      </c>
      <c r="F41" s="82">
        <f>COUNTIF(F10:F40,"L")</f>
        <v>15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27" t="s">
        <v>20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27" t="s">
        <v>221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27" t="s">
        <v>37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 t="s">
        <v>227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48" t="s">
        <v>13</v>
      </c>
      <c r="B48" s="48" t="s">
        <v>59</v>
      </c>
      <c r="C48" s="48" t="s">
        <v>60</v>
      </c>
      <c r="D48" s="48" t="s">
        <v>61</v>
      </c>
      <c r="E48" s="48" t="s">
        <v>63</v>
      </c>
      <c r="F48" s="48" t="s">
        <v>64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48">
        <v>1.0</v>
      </c>
      <c r="B49" s="51" t="s">
        <v>65</v>
      </c>
      <c r="C49" s="48">
        <v>3.116120949E9</v>
      </c>
      <c r="D49" s="48">
        <v>2.62710002E8</v>
      </c>
      <c r="E49" s="51" t="s">
        <v>235</v>
      </c>
      <c r="F49" s="48" t="s">
        <v>69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48">
        <v>2.0</v>
      </c>
      <c r="B50" s="51" t="s">
        <v>76</v>
      </c>
      <c r="C50" s="52" t="s">
        <v>236</v>
      </c>
      <c r="D50" s="48">
        <v>2.62710004E8</v>
      </c>
      <c r="E50" s="51" t="s">
        <v>237</v>
      </c>
      <c r="F50" s="48" t="s">
        <v>69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48">
        <v>3.0</v>
      </c>
      <c r="B51" s="51" t="s">
        <v>76</v>
      </c>
      <c r="C51" s="52" t="s">
        <v>240</v>
      </c>
      <c r="D51" s="48">
        <v>2.6271002E8</v>
      </c>
      <c r="E51" s="51" t="s">
        <v>241</v>
      </c>
      <c r="F51" s="48" t="s">
        <v>69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48">
        <v>4.0</v>
      </c>
      <c r="B52" s="51" t="s">
        <v>65</v>
      </c>
      <c r="C52" s="52" t="s">
        <v>244</v>
      </c>
      <c r="D52" s="48">
        <v>2.62710034E8</v>
      </c>
      <c r="E52" s="51" t="s">
        <v>245</v>
      </c>
      <c r="F52" s="48" t="s">
        <v>92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48">
        <v>5.0</v>
      </c>
      <c r="B53" s="51" t="s">
        <v>65</v>
      </c>
      <c r="C53" s="52" t="s">
        <v>253</v>
      </c>
      <c r="D53" s="48">
        <v>2.62710039E8</v>
      </c>
      <c r="E53" s="51" t="s">
        <v>254</v>
      </c>
      <c r="F53" s="48" t="s">
        <v>92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48">
        <v>6.0</v>
      </c>
      <c r="B54" s="51" t="s">
        <v>65</v>
      </c>
      <c r="C54" s="52" t="s">
        <v>256</v>
      </c>
      <c r="D54" s="48">
        <v>2.62710044E8</v>
      </c>
      <c r="E54" s="51" t="s">
        <v>258</v>
      </c>
      <c r="F54" s="48" t="s">
        <v>69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48">
        <v>7.0</v>
      </c>
      <c r="B55" s="51" t="s">
        <v>65</v>
      </c>
      <c r="C55" s="52" t="s">
        <v>261</v>
      </c>
      <c r="D55" s="48">
        <v>2.62710055E8</v>
      </c>
      <c r="E55" s="51" t="s">
        <v>262</v>
      </c>
      <c r="F55" s="48" t="s">
        <v>69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48">
        <v>8.0</v>
      </c>
      <c r="B56" s="51" t="s">
        <v>76</v>
      </c>
      <c r="C56" s="52" t="s">
        <v>266</v>
      </c>
      <c r="D56" s="48">
        <v>2.62710064E8</v>
      </c>
      <c r="E56" s="51" t="s">
        <v>268</v>
      </c>
      <c r="F56" s="48" t="s">
        <v>92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48">
        <v>9.0</v>
      </c>
      <c r="B57" s="51" t="s">
        <v>76</v>
      </c>
      <c r="C57" s="52" t="s">
        <v>271</v>
      </c>
      <c r="D57" s="48">
        <v>2.62710067E8</v>
      </c>
      <c r="E57" s="51" t="s">
        <v>273</v>
      </c>
      <c r="F57" s="48" t="s">
        <v>92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48">
        <v>10.0</v>
      </c>
      <c r="B58" s="51" t="s">
        <v>76</v>
      </c>
      <c r="C58" s="48">
        <v>3.104125624E9</v>
      </c>
      <c r="D58" s="48">
        <v>2.62710073E8</v>
      </c>
      <c r="E58" s="51" t="s">
        <v>276</v>
      </c>
      <c r="F58" s="48" t="s">
        <v>69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48">
        <v>11.0</v>
      </c>
      <c r="B59" s="51" t="s">
        <v>76</v>
      </c>
      <c r="C59" s="52" t="s">
        <v>277</v>
      </c>
      <c r="D59" s="48">
        <v>2.62710089E8</v>
      </c>
      <c r="E59" s="51" t="s">
        <v>279</v>
      </c>
      <c r="F59" s="48" t="s">
        <v>69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48">
        <v>12.0</v>
      </c>
      <c r="B60" s="51" t="s">
        <v>76</v>
      </c>
      <c r="C60" s="52" t="s">
        <v>281</v>
      </c>
      <c r="D60" s="48">
        <v>2.62710095E8</v>
      </c>
      <c r="E60" s="51" t="s">
        <v>284</v>
      </c>
      <c r="F60" s="48" t="s">
        <v>92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48">
        <v>13.0</v>
      </c>
      <c r="B61" s="51" t="s">
        <v>71</v>
      </c>
      <c r="C61" s="52" t="s">
        <v>287</v>
      </c>
      <c r="D61" s="48">
        <v>2.62710109E8</v>
      </c>
      <c r="E61" s="51" t="s">
        <v>288</v>
      </c>
      <c r="F61" s="48" t="s">
        <v>92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48">
        <v>14.0</v>
      </c>
      <c r="B62" s="51" t="s">
        <v>76</v>
      </c>
      <c r="C62" s="52" t="s">
        <v>291</v>
      </c>
      <c r="D62" s="48">
        <v>2.6271011E8</v>
      </c>
      <c r="E62" s="51" t="s">
        <v>292</v>
      </c>
      <c r="F62" s="48" t="s">
        <v>69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48">
        <v>15.0</v>
      </c>
      <c r="B63" s="51" t="s">
        <v>76</v>
      </c>
      <c r="C63" s="52" t="s">
        <v>293</v>
      </c>
      <c r="D63" s="48">
        <v>2.62710113E8</v>
      </c>
      <c r="E63" s="51" t="s">
        <v>294</v>
      </c>
      <c r="F63" s="48" t="s">
        <v>69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48">
        <v>16.0</v>
      </c>
      <c r="B64" s="51" t="s">
        <v>65</v>
      </c>
      <c r="C64" s="52" t="s">
        <v>296</v>
      </c>
      <c r="D64" s="48">
        <v>2.62710132E8</v>
      </c>
      <c r="E64" s="51" t="s">
        <v>297</v>
      </c>
      <c r="F64" s="48" t="s">
        <v>92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48">
        <v>17.0</v>
      </c>
      <c r="B65" s="51" t="s">
        <v>65</v>
      </c>
      <c r="C65" s="52" t="s">
        <v>300</v>
      </c>
      <c r="D65" s="48">
        <v>2.62710149E8</v>
      </c>
      <c r="E65" s="51" t="s">
        <v>302</v>
      </c>
      <c r="F65" s="48" t="s">
        <v>69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48">
        <v>18.0</v>
      </c>
      <c r="B66" s="51" t="s">
        <v>76</v>
      </c>
      <c r="C66" s="52" t="s">
        <v>305</v>
      </c>
      <c r="D66" s="48">
        <v>2.62710153E8</v>
      </c>
      <c r="E66" s="51" t="s">
        <v>306</v>
      </c>
      <c r="F66" s="48" t="s">
        <v>69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48">
        <v>19.0</v>
      </c>
      <c r="B67" s="51" t="s">
        <v>76</v>
      </c>
      <c r="C67" s="52" t="s">
        <v>307</v>
      </c>
      <c r="D67" s="48">
        <v>2.62710159E8</v>
      </c>
      <c r="E67" s="51" t="s">
        <v>308</v>
      </c>
      <c r="F67" s="48" t="s">
        <v>92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48">
        <v>20.0</v>
      </c>
      <c r="B68" s="51" t="s">
        <v>71</v>
      </c>
      <c r="C68" s="52" t="s">
        <v>312</v>
      </c>
      <c r="D68" s="48">
        <v>2.62710177E8</v>
      </c>
      <c r="E68" s="51" t="s">
        <v>314</v>
      </c>
      <c r="F68" s="48" t="s">
        <v>69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48">
        <v>21.0</v>
      </c>
      <c r="B69" s="51" t="s">
        <v>76</v>
      </c>
      <c r="C69" s="52" t="s">
        <v>318</v>
      </c>
      <c r="D69" s="48">
        <v>2.62710214E8</v>
      </c>
      <c r="E69" s="51" t="s">
        <v>320</v>
      </c>
      <c r="F69" s="48" t="s">
        <v>69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48">
        <v>22.0</v>
      </c>
      <c r="B70" s="51" t="s">
        <v>76</v>
      </c>
      <c r="C70" s="52" t="s">
        <v>321</v>
      </c>
      <c r="D70" s="48">
        <v>2.62710217E8</v>
      </c>
      <c r="E70" s="51" t="s">
        <v>323</v>
      </c>
      <c r="F70" s="48" t="s">
        <v>92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48">
        <v>23.0</v>
      </c>
      <c r="B71" s="51" t="s">
        <v>76</v>
      </c>
      <c r="C71" s="52" t="s">
        <v>325</v>
      </c>
      <c r="D71" s="48">
        <v>2.62710235E8</v>
      </c>
      <c r="E71" s="51" t="s">
        <v>326</v>
      </c>
      <c r="F71" s="48" t="s">
        <v>92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48">
        <v>24.0</v>
      </c>
      <c r="B72" s="51" t="s">
        <v>76</v>
      </c>
      <c r="C72" s="52" t="s">
        <v>328</v>
      </c>
      <c r="D72" s="48">
        <v>2.62710241E8</v>
      </c>
      <c r="E72" s="51" t="s">
        <v>331</v>
      </c>
      <c r="F72" s="48" t="s">
        <v>92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48">
        <v>25.0</v>
      </c>
      <c r="B73" s="51" t="s">
        <v>171</v>
      </c>
      <c r="C73" s="52" t="s">
        <v>336</v>
      </c>
      <c r="D73" s="48">
        <v>2.62710248E8</v>
      </c>
      <c r="E73" s="51" t="s">
        <v>337</v>
      </c>
      <c r="F73" s="48" t="s">
        <v>92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48">
        <v>26.0</v>
      </c>
      <c r="B74" s="51" t="s">
        <v>71</v>
      </c>
      <c r="C74" s="52" t="s">
        <v>338</v>
      </c>
      <c r="D74" s="48">
        <v>2.62710256E8</v>
      </c>
      <c r="E74" s="51" t="s">
        <v>340</v>
      </c>
      <c r="F74" s="48" t="s">
        <v>92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48">
        <v>27.0</v>
      </c>
      <c r="B75" s="51" t="s">
        <v>76</v>
      </c>
      <c r="C75" s="52" t="s">
        <v>343</v>
      </c>
      <c r="D75" s="48">
        <v>2.62710267E8</v>
      </c>
      <c r="E75" s="51" t="s">
        <v>344</v>
      </c>
      <c r="F75" s="48" t="s">
        <v>92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48">
        <v>28.0</v>
      </c>
      <c r="B76" s="51" t="s">
        <v>76</v>
      </c>
      <c r="C76" s="52" t="s">
        <v>347</v>
      </c>
      <c r="D76" s="48">
        <v>2.6271028E8</v>
      </c>
      <c r="E76" s="51" t="s">
        <v>349</v>
      </c>
      <c r="F76" s="48" t="s">
        <v>69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48">
        <v>29.0</v>
      </c>
      <c r="B77" s="51" t="s">
        <v>76</v>
      </c>
      <c r="C77" s="52" t="s">
        <v>351</v>
      </c>
      <c r="D77" s="48">
        <v>2.62710284E8</v>
      </c>
      <c r="E77" s="51" t="s">
        <v>352</v>
      </c>
      <c r="F77" s="48" t="s">
        <v>69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48">
        <v>30.0</v>
      </c>
      <c r="B78" s="51" t="s">
        <v>76</v>
      </c>
      <c r="C78" s="52" t="s">
        <v>356</v>
      </c>
      <c r="D78" s="48">
        <v>2.62710327E8</v>
      </c>
      <c r="E78" s="51" t="s">
        <v>357</v>
      </c>
      <c r="F78" s="48" t="s">
        <v>92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48">
        <v>31.0</v>
      </c>
      <c r="B79" s="51" t="s">
        <v>76</v>
      </c>
      <c r="C79" s="52" t="s">
        <v>359</v>
      </c>
      <c r="D79" s="48">
        <v>2.62710361E8</v>
      </c>
      <c r="E79" s="51" t="s">
        <v>360</v>
      </c>
      <c r="F79" s="48" t="s">
        <v>69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48">
        <v>32.0</v>
      </c>
      <c r="B80" s="51" t="s">
        <v>76</v>
      </c>
      <c r="C80" s="52" t="s">
        <v>363</v>
      </c>
      <c r="D80" s="48">
        <v>2.62710376E8</v>
      </c>
      <c r="E80" s="51" t="s">
        <v>364</v>
      </c>
      <c r="F80" s="48" t="s">
        <v>69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81" t="s">
        <v>205</v>
      </c>
      <c r="F81" s="82">
        <f>COUNTIF(F49:F80,"P")</f>
        <v>17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81" t="s">
        <v>214</v>
      </c>
      <c r="F82" s="82">
        <f>COUNTIF(F51:F81,"L")</f>
        <v>15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27" t="s">
        <v>20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27" t="s">
        <v>374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27" t="s">
        <v>37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 t="s">
        <v>381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48" t="s">
        <v>13</v>
      </c>
      <c r="B89" s="48" t="s">
        <v>59</v>
      </c>
      <c r="C89" s="48" t="s">
        <v>60</v>
      </c>
      <c r="D89" s="48" t="s">
        <v>61</v>
      </c>
      <c r="E89" s="48" t="s">
        <v>63</v>
      </c>
      <c r="F89" s="48" t="s">
        <v>64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09">
        <v>1.0</v>
      </c>
      <c r="B90" s="51" t="s">
        <v>76</v>
      </c>
      <c r="C90" s="52" t="s">
        <v>388</v>
      </c>
      <c r="D90" s="48">
        <v>2.62710041E8</v>
      </c>
      <c r="E90" s="51" t="s">
        <v>389</v>
      </c>
      <c r="F90" s="48" t="s">
        <v>92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09">
        <v>2.0</v>
      </c>
      <c r="B91" s="51" t="s">
        <v>76</v>
      </c>
      <c r="C91" s="52" t="s">
        <v>394</v>
      </c>
      <c r="D91" s="48">
        <v>2.62710042E8</v>
      </c>
      <c r="E91" s="51" t="s">
        <v>395</v>
      </c>
      <c r="F91" s="48" t="s">
        <v>69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09">
        <v>3.0</v>
      </c>
      <c r="B92" s="51" t="s">
        <v>76</v>
      </c>
      <c r="C92" s="52" t="s">
        <v>397</v>
      </c>
      <c r="D92" s="48">
        <v>2.62710049E8</v>
      </c>
      <c r="E92" s="51" t="s">
        <v>398</v>
      </c>
      <c r="F92" s="48" t="s">
        <v>69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09">
        <v>4.0</v>
      </c>
      <c r="B93" s="51" t="s">
        <v>76</v>
      </c>
      <c r="C93" s="52" t="s">
        <v>401</v>
      </c>
      <c r="D93" s="48">
        <v>2.62710062E8</v>
      </c>
      <c r="E93" s="51" t="s">
        <v>402</v>
      </c>
      <c r="F93" s="48" t="s">
        <v>69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09">
        <v>5.0</v>
      </c>
      <c r="B94" s="51" t="s">
        <v>65</v>
      </c>
      <c r="C94" s="48">
        <v>3.106293994E9</v>
      </c>
      <c r="D94" s="48">
        <v>2.62710081E8</v>
      </c>
      <c r="E94" s="51" t="s">
        <v>404</v>
      </c>
      <c r="F94" s="48" t="s">
        <v>92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09">
        <v>6.0</v>
      </c>
      <c r="B95" s="51" t="s">
        <v>65</v>
      </c>
      <c r="C95" s="48">
        <v>3.107068805E9</v>
      </c>
      <c r="D95" s="48">
        <v>2.62710098E8</v>
      </c>
      <c r="E95" s="51" t="s">
        <v>407</v>
      </c>
      <c r="F95" s="48" t="s">
        <v>92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09">
        <v>7.0</v>
      </c>
      <c r="B96" s="51" t="s">
        <v>65</v>
      </c>
      <c r="C96" s="52" t="s">
        <v>409</v>
      </c>
      <c r="D96" s="48">
        <v>2.62710101E8</v>
      </c>
      <c r="E96" s="51" t="s">
        <v>410</v>
      </c>
      <c r="F96" s="48" t="s">
        <v>92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09">
        <v>8.0</v>
      </c>
      <c r="B97" s="51" t="s">
        <v>76</v>
      </c>
      <c r="C97" s="52" t="s">
        <v>414</v>
      </c>
      <c r="D97" s="48">
        <v>2.62710125E8</v>
      </c>
      <c r="E97" s="51" t="s">
        <v>415</v>
      </c>
      <c r="F97" s="48" t="s">
        <v>92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09">
        <v>9.0</v>
      </c>
      <c r="B98" s="51" t="s">
        <v>76</v>
      </c>
      <c r="C98" s="52" t="s">
        <v>419</v>
      </c>
      <c r="D98" s="48">
        <v>2.62710129E8</v>
      </c>
      <c r="E98" s="51" t="s">
        <v>420</v>
      </c>
      <c r="F98" s="48" t="s">
        <v>92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09">
        <v>10.0</v>
      </c>
      <c r="B99" s="51" t="s">
        <v>76</v>
      </c>
      <c r="C99" s="52" t="s">
        <v>422</v>
      </c>
      <c r="D99" s="48">
        <v>2.62710161E8</v>
      </c>
      <c r="E99" s="51" t="s">
        <v>423</v>
      </c>
      <c r="F99" s="48" t="s">
        <v>92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09">
        <v>11.0</v>
      </c>
      <c r="B100" s="51" t="s">
        <v>76</v>
      </c>
      <c r="C100" s="48">
        <v>3.100181427E9</v>
      </c>
      <c r="D100" s="48">
        <v>2.62710174E8</v>
      </c>
      <c r="E100" s="51" t="s">
        <v>424</v>
      </c>
      <c r="F100" s="48" t="s">
        <v>92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09">
        <v>12.0</v>
      </c>
      <c r="B101" s="51" t="s">
        <v>76</v>
      </c>
      <c r="C101" s="52" t="s">
        <v>428</v>
      </c>
      <c r="D101" s="48">
        <v>2.62710182E8</v>
      </c>
      <c r="E101" s="51" t="s">
        <v>430</v>
      </c>
      <c r="F101" s="48" t="s">
        <v>69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09">
        <v>13.0</v>
      </c>
      <c r="B102" s="51" t="s">
        <v>76</v>
      </c>
      <c r="C102" s="52" t="s">
        <v>431</v>
      </c>
      <c r="D102" s="48">
        <v>2.62710184E8</v>
      </c>
      <c r="E102" s="51" t="s">
        <v>432</v>
      </c>
      <c r="F102" s="48" t="s">
        <v>69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09">
        <v>14.0</v>
      </c>
      <c r="B103" s="51" t="s">
        <v>76</v>
      </c>
      <c r="C103" s="48">
        <v>3.11866335E9</v>
      </c>
      <c r="D103" s="48">
        <v>2.62710186E8</v>
      </c>
      <c r="E103" s="51" t="s">
        <v>435</v>
      </c>
      <c r="F103" s="48" t="s">
        <v>69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09">
        <v>15.0</v>
      </c>
      <c r="B104" s="51" t="s">
        <v>76</v>
      </c>
      <c r="C104" s="52" t="s">
        <v>438</v>
      </c>
      <c r="D104" s="48">
        <v>2.62710209E8</v>
      </c>
      <c r="E104" s="51" t="s">
        <v>439</v>
      </c>
      <c r="F104" s="48" t="s">
        <v>69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09">
        <v>16.0</v>
      </c>
      <c r="B105" s="51" t="s">
        <v>65</v>
      </c>
      <c r="C105" s="52" t="s">
        <v>443</v>
      </c>
      <c r="D105" s="48">
        <v>2.62710216E8</v>
      </c>
      <c r="E105" s="51" t="s">
        <v>444</v>
      </c>
      <c r="F105" s="48" t="s">
        <v>92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09">
        <v>17.0</v>
      </c>
      <c r="B106" s="51" t="s">
        <v>76</v>
      </c>
      <c r="C106" s="52" t="s">
        <v>446</v>
      </c>
      <c r="D106" s="48">
        <v>2.62710233E8</v>
      </c>
      <c r="E106" s="51" t="s">
        <v>447</v>
      </c>
      <c r="F106" s="48" t="s">
        <v>92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09">
        <v>18.0</v>
      </c>
      <c r="B107" s="51" t="s">
        <v>65</v>
      </c>
      <c r="C107" s="52" t="s">
        <v>449</v>
      </c>
      <c r="D107" s="48">
        <v>2.62710234E8</v>
      </c>
      <c r="E107" s="51" t="s">
        <v>450</v>
      </c>
      <c r="F107" s="48" t="s">
        <v>92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09">
        <v>19.0</v>
      </c>
      <c r="B108" s="51" t="s">
        <v>65</v>
      </c>
      <c r="C108" s="52" t="s">
        <v>452</v>
      </c>
      <c r="D108" s="48">
        <v>2.62710236E8</v>
      </c>
      <c r="E108" s="51" t="s">
        <v>454</v>
      </c>
      <c r="F108" s="48" t="s">
        <v>92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09">
        <v>20.0</v>
      </c>
      <c r="B109" s="51" t="s">
        <v>171</v>
      </c>
      <c r="C109" s="52" t="s">
        <v>455</v>
      </c>
      <c r="D109" s="48">
        <v>2.62710246E8</v>
      </c>
      <c r="E109" s="51" t="s">
        <v>456</v>
      </c>
      <c r="F109" s="48" t="s">
        <v>92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09">
        <v>21.0</v>
      </c>
      <c r="B110" s="51" t="s">
        <v>65</v>
      </c>
      <c r="C110" s="52" t="s">
        <v>458</v>
      </c>
      <c r="D110" s="48">
        <v>2.62710252E8</v>
      </c>
      <c r="E110" s="51" t="s">
        <v>459</v>
      </c>
      <c r="F110" s="48" t="s">
        <v>92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09">
        <v>22.0</v>
      </c>
      <c r="B111" s="51" t="s">
        <v>71</v>
      </c>
      <c r="C111" s="52" t="s">
        <v>461</v>
      </c>
      <c r="D111" s="48">
        <v>2.62710265E8</v>
      </c>
      <c r="E111" s="51" t="s">
        <v>463</v>
      </c>
      <c r="F111" s="48" t="s">
        <v>69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09">
        <v>23.0</v>
      </c>
      <c r="B112" s="51" t="s">
        <v>76</v>
      </c>
      <c r="C112" s="52" t="s">
        <v>467</v>
      </c>
      <c r="D112" s="48">
        <v>2.62710266E8</v>
      </c>
      <c r="E112" s="51" t="s">
        <v>468</v>
      </c>
      <c r="F112" s="48" t="s">
        <v>69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09">
        <v>24.0</v>
      </c>
      <c r="B113" s="51" t="s">
        <v>76</v>
      </c>
      <c r="C113" s="52" t="s">
        <v>471</v>
      </c>
      <c r="D113" s="48">
        <v>2.62710286E8</v>
      </c>
      <c r="E113" s="51" t="s">
        <v>473</v>
      </c>
      <c r="F113" s="48" t="s">
        <v>69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09">
        <v>25.0</v>
      </c>
      <c r="B114" s="51" t="s">
        <v>76</v>
      </c>
      <c r="C114" s="52" t="s">
        <v>474</v>
      </c>
      <c r="D114" s="48">
        <v>2.62710295E8</v>
      </c>
      <c r="E114" s="51" t="s">
        <v>476</v>
      </c>
      <c r="F114" s="48" t="s">
        <v>69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09">
        <v>26.0</v>
      </c>
      <c r="B115" s="51" t="s">
        <v>65</v>
      </c>
      <c r="C115" s="48">
        <v>3.102558665E9</v>
      </c>
      <c r="D115" s="48">
        <v>2.62710303E8</v>
      </c>
      <c r="E115" s="51" t="s">
        <v>480</v>
      </c>
      <c r="F115" s="48" t="s">
        <v>92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09">
        <v>27.0</v>
      </c>
      <c r="B116" s="51" t="s">
        <v>76</v>
      </c>
      <c r="C116" s="52" t="s">
        <v>483</v>
      </c>
      <c r="D116" s="48">
        <v>2.62710331E8</v>
      </c>
      <c r="E116" s="51" t="s">
        <v>484</v>
      </c>
      <c r="F116" s="48" t="s">
        <v>69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09">
        <v>28.0</v>
      </c>
      <c r="B117" s="51" t="s">
        <v>76</v>
      </c>
      <c r="C117" s="52" t="s">
        <v>486</v>
      </c>
      <c r="D117" s="48">
        <v>2.62710332E8</v>
      </c>
      <c r="E117" s="51" t="s">
        <v>487</v>
      </c>
      <c r="F117" s="48" t="s">
        <v>69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09">
        <v>29.0</v>
      </c>
      <c r="B118" s="51" t="s">
        <v>71</v>
      </c>
      <c r="C118" s="52" t="s">
        <v>489</v>
      </c>
      <c r="D118" s="48">
        <v>2.62710336E8</v>
      </c>
      <c r="E118" s="51" t="s">
        <v>490</v>
      </c>
      <c r="F118" s="48" t="s">
        <v>69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09">
        <v>30.0</v>
      </c>
      <c r="B119" s="51" t="s">
        <v>76</v>
      </c>
      <c r="C119" s="52" t="s">
        <v>493</v>
      </c>
      <c r="D119" s="48">
        <v>2.62710339E8</v>
      </c>
      <c r="E119" s="51" t="s">
        <v>494</v>
      </c>
      <c r="F119" s="48" t="s">
        <v>69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09">
        <v>31.0</v>
      </c>
      <c r="B120" s="51" t="s">
        <v>76</v>
      </c>
      <c r="C120" s="52" t="s">
        <v>495</v>
      </c>
      <c r="D120" s="48">
        <v>2.6271035E8</v>
      </c>
      <c r="E120" s="51" t="s">
        <v>496</v>
      </c>
      <c r="F120" s="48" t="s">
        <v>69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09">
        <v>32.0</v>
      </c>
      <c r="B121" s="51" t="s">
        <v>76</v>
      </c>
      <c r="C121" s="52" t="s">
        <v>498</v>
      </c>
      <c r="D121" s="48">
        <v>2.62710357E8</v>
      </c>
      <c r="E121" s="51" t="s">
        <v>499</v>
      </c>
      <c r="F121" s="48" t="s">
        <v>69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81" t="s">
        <v>205</v>
      </c>
      <c r="F122" s="82">
        <f>COUNTIF(F90:F121,"P")</f>
        <v>17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81" t="s">
        <v>214</v>
      </c>
      <c r="F123" s="82">
        <f>COUNTIF(F92:F122,"L")</f>
        <v>14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27" t="s">
        <v>20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27" t="s">
        <v>503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27" t="s">
        <v>37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 t="s">
        <v>506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48" t="s">
        <v>13</v>
      </c>
      <c r="B130" s="48" t="s">
        <v>59</v>
      </c>
      <c r="C130" s="48" t="s">
        <v>60</v>
      </c>
      <c r="D130" s="48" t="s">
        <v>61</v>
      </c>
      <c r="E130" s="48" t="s">
        <v>63</v>
      </c>
      <c r="F130" s="48" t="s">
        <v>64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09">
        <v>1.0</v>
      </c>
      <c r="B131" s="51" t="s">
        <v>76</v>
      </c>
      <c r="C131" s="52" t="s">
        <v>511</v>
      </c>
      <c r="D131" s="48">
        <v>2.62710017E8</v>
      </c>
      <c r="E131" s="51" t="s">
        <v>512</v>
      </c>
      <c r="F131" s="48" t="s">
        <v>69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09">
        <v>2.0</v>
      </c>
      <c r="B132" s="51" t="s">
        <v>71</v>
      </c>
      <c r="C132" s="52" t="s">
        <v>514</v>
      </c>
      <c r="D132" s="48">
        <v>2.62710035E8</v>
      </c>
      <c r="E132" s="51" t="s">
        <v>515</v>
      </c>
      <c r="F132" s="48" t="s">
        <v>92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09">
        <v>3.0</v>
      </c>
      <c r="B133" s="51" t="s">
        <v>76</v>
      </c>
      <c r="C133" s="52" t="s">
        <v>518</v>
      </c>
      <c r="D133" s="48">
        <v>2.6271005E8</v>
      </c>
      <c r="E133" s="51" t="s">
        <v>520</v>
      </c>
      <c r="F133" s="48" t="s">
        <v>69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09">
        <v>4.0</v>
      </c>
      <c r="B134" s="51" t="s">
        <v>71</v>
      </c>
      <c r="C134" s="52" t="s">
        <v>521</v>
      </c>
      <c r="D134" s="48">
        <v>2.62710088E8</v>
      </c>
      <c r="E134" s="51" t="s">
        <v>523</v>
      </c>
      <c r="F134" s="48" t="s">
        <v>92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09">
        <v>5.0</v>
      </c>
      <c r="B135" s="51" t="s">
        <v>76</v>
      </c>
      <c r="C135" s="52" t="s">
        <v>525</v>
      </c>
      <c r="D135" s="48">
        <v>2.62710091E8</v>
      </c>
      <c r="E135" s="51" t="s">
        <v>527</v>
      </c>
      <c r="F135" s="48" t="s">
        <v>69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09">
        <v>6.0</v>
      </c>
      <c r="B136" s="51" t="s">
        <v>76</v>
      </c>
      <c r="C136" s="52" t="s">
        <v>529</v>
      </c>
      <c r="D136" s="48">
        <v>2.62710102E8</v>
      </c>
      <c r="E136" s="51" t="s">
        <v>530</v>
      </c>
      <c r="F136" s="48" t="s">
        <v>92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09">
        <v>7.0</v>
      </c>
      <c r="B137" s="51" t="s">
        <v>65</v>
      </c>
      <c r="C137" s="52" t="s">
        <v>532</v>
      </c>
      <c r="D137" s="48">
        <v>2.62710105E8</v>
      </c>
      <c r="E137" s="51" t="s">
        <v>533</v>
      </c>
      <c r="F137" s="48" t="s">
        <v>69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09">
        <v>8.0</v>
      </c>
      <c r="B138" s="51" t="s">
        <v>76</v>
      </c>
      <c r="C138" s="52" t="s">
        <v>535</v>
      </c>
      <c r="D138" s="48">
        <v>2.62710124E8</v>
      </c>
      <c r="E138" s="51" t="s">
        <v>536</v>
      </c>
      <c r="F138" s="48" t="s">
        <v>92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09">
        <v>9.0</v>
      </c>
      <c r="B139" s="51" t="s">
        <v>76</v>
      </c>
      <c r="C139" s="52" t="s">
        <v>538</v>
      </c>
      <c r="D139" s="48">
        <v>2.62710131E8</v>
      </c>
      <c r="E139" s="51" t="s">
        <v>539</v>
      </c>
      <c r="F139" s="48" t="s">
        <v>69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09">
        <v>10.0</v>
      </c>
      <c r="B140" s="51" t="s">
        <v>76</v>
      </c>
      <c r="C140" s="52" t="s">
        <v>541</v>
      </c>
      <c r="D140" s="48">
        <v>2.62710133E8</v>
      </c>
      <c r="E140" s="51" t="s">
        <v>542</v>
      </c>
      <c r="F140" s="48" t="s">
        <v>69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09">
        <v>11.0</v>
      </c>
      <c r="B141" s="51" t="s">
        <v>76</v>
      </c>
      <c r="C141" s="52" t="s">
        <v>544</v>
      </c>
      <c r="D141" s="48">
        <v>2.62710142E8</v>
      </c>
      <c r="E141" s="51" t="s">
        <v>545</v>
      </c>
      <c r="F141" s="48" t="s">
        <v>69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09">
        <v>12.0</v>
      </c>
      <c r="B142" s="51" t="s">
        <v>76</v>
      </c>
      <c r="C142" s="52" t="s">
        <v>547</v>
      </c>
      <c r="D142" s="48">
        <v>2.62710146E8</v>
      </c>
      <c r="E142" s="51" t="s">
        <v>548</v>
      </c>
      <c r="F142" s="48" t="s">
        <v>92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09">
        <v>13.0</v>
      </c>
      <c r="B143" s="51" t="s">
        <v>76</v>
      </c>
      <c r="C143" s="52" t="s">
        <v>550</v>
      </c>
      <c r="D143" s="48">
        <v>2.62710196E8</v>
      </c>
      <c r="E143" s="51" t="s">
        <v>551</v>
      </c>
      <c r="F143" s="48" t="s">
        <v>92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09">
        <v>14.0</v>
      </c>
      <c r="B144" s="51" t="s">
        <v>65</v>
      </c>
      <c r="C144" s="52" t="s">
        <v>552</v>
      </c>
      <c r="D144" s="48">
        <v>2.62710207E8</v>
      </c>
      <c r="E144" s="51" t="s">
        <v>554</v>
      </c>
      <c r="F144" s="48" t="s">
        <v>69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09">
        <v>15.0</v>
      </c>
      <c r="B145" s="51" t="s">
        <v>76</v>
      </c>
      <c r="C145" s="52" t="s">
        <v>555</v>
      </c>
      <c r="D145" s="48">
        <v>2.62710215E8</v>
      </c>
      <c r="E145" s="51" t="s">
        <v>557</v>
      </c>
      <c r="F145" s="48" t="s">
        <v>92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09">
        <v>16.0</v>
      </c>
      <c r="B146" s="51" t="s">
        <v>76</v>
      </c>
      <c r="C146" s="48">
        <v>3.123005921E9</v>
      </c>
      <c r="D146" s="48">
        <v>2.62710222E8</v>
      </c>
      <c r="E146" s="51" t="s">
        <v>559</v>
      </c>
      <c r="F146" s="48" t="s">
        <v>92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09">
        <v>17.0</v>
      </c>
      <c r="B147" s="51" t="s">
        <v>76</v>
      </c>
      <c r="C147" s="52" t="s">
        <v>561</v>
      </c>
      <c r="D147" s="48">
        <v>2.62710238E8</v>
      </c>
      <c r="E147" s="51" t="s">
        <v>562</v>
      </c>
      <c r="F147" s="48" t="s">
        <v>92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09">
        <v>18.0</v>
      </c>
      <c r="B148" s="51" t="s">
        <v>171</v>
      </c>
      <c r="C148" s="52" t="s">
        <v>563</v>
      </c>
      <c r="D148" s="48">
        <v>2.62710239E8</v>
      </c>
      <c r="E148" s="51" t="s">
        <v>564</v>
      </c>
      <c r="F148" s="48" t="s">
        <v>92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09">
        <v>19.0</v>
      </c>
      <c r="B149" s="51" t="s">
        <v>65</v>
      </c>
      <c r="C149" s="52" t="s">
        <v>565</v>
      </c>
      <c r="D149" s="48">
        <v>2.62710258E8</v>
      </c>
      <c r="E149" s="51" t="s">
        <v>566</v>
      </c>
      <c r="F149" s="48" t="s">
        <v>92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09">
        <v>20.0</v>
      </c>
      <c r="B150" s="51" t="s">
        <v>65</v>
      </c>
      <c r="C150" s="52" t="s">
        <v>567</v>
      </c>
      <c r="D150" s="48">
        <v>2.62710261E8</v>
      </c>
      <c r="E150" s="51" t="s">
        <v>568</v>
      </c>
      <c r="F150" s="48" t="s">
        <v>92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09">
        <v>21.0</v>
      </c>
      <c r="B151" s="51" t="s">
        <v>65</v>
      </c>
      <c r="C151" s="52" t="s">
        <v>569</v>
      </c>
      <c r="D151" s="48">
        <v>2.62710262E8</v>
      </c>
      <c r="E151" s="51" t="s">
        <v>570</v>
      </c>
      <c r="F151" s="48" t="s">
        <v>69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09">
        <v>22.0</v>
      </c>
      <c r="B152" s="51" t="s">
        <v>76</v>
      </c>
      <c r="C152" s="52" t="s">
        <v>571</v>
      </c>
      <c r="D152" s="48">
        <v>2.6271027E8</v>
      </c>
      <c r="E152" s="51" t="s">
        <v>572</v>
      </c>
      <c r="F152" s="48" t="s">
        <v>69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09">
        <v>23.0</v>
      </c>
      <c r="B153" s="51" t="s">
        <v>76</v>
      </c>
      <c r="C153" s="48">
        <v>3.109970039E9</v>
      </c>
      <c r="D153" s="48">
        <v>2.62710272E8</v>
      </c>
      <c r="E153" s="51" t="s">
        <v>573</v>
      </c>
      <c r="F153" s="48" t="s">
        <v>69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09">
        <v>24.0</v>
      </c>
      <c r="B154" s="51" t="s">
        <v>65</v>
      </c>
      <c r="C154" s="52" t="s">
        <v>574</v>
      </c>
      <c r="D154" s="48">
        <v>2.62710274E8</v>
      </c>
      <c r="E154" s="51" t="s">
        <v>575</v>
      </c>
      <c r="F154" s="48" t="s">
        <v>69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09">
        <v>25.0</v>
      </c>
      <c r="B155" s="51" t="s">
        <v>76</v>
      </c>
      <c r="C155" s="48">
        <v>3.111418227E9</v>
      </c>
      <c r="D155" s="48">
        <v>2.62710285E8</v>
      </c>
      <c r="E155" s="51" t="s">
        <v>576</v>
      </c>
      <c r="F155" s="48" t="s">
        <v>69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09">
        <v>26.0</v>
      </c>
      <c r="B156" s="51" t="s">
        <v>76</v>
      </c>
      <c r="C156" s="52" t="s">
        <v>577</v>
      </c>
      <c r="D156" s="48">
        <v>2.62710299E8</v>
      </c>
      <c r="E156" s="51" t="s">
        <v>578</v>
      </c>
      <c r="F156" s="48" t="s">
        <v>92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09">
        <v>27.0</v>
      </c>
      <c r="B157" s="51" t="s">
        <v>76</v>
      </c>
      <c r="C157" s="52" t="s">
        <v>579</v>
      </c>
      <c r="D157" s="48">
        <v>2.62710304E8</v>
      </c>
      <c r="E157" s="51" t="s">
        <v>580</v>
      </c>
      <c r="F157" s="48" t="s">
        <v>69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09">
        <v>28.0</v>
      </c>
      <c r="B158" s="51" t="s">
        <v>65</v>
      </c>
      <c r="C158" s="52" t="s">
        <v>581</v>
      </c>
      <c r="D158" s="48">
        <v>2.62710319E8</v>
      </c>
      <c r="E158" s="51" t="s">
        <v>582</v>
      </c>
      <c r="F158" s="48" t="s">
        <v>92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09">
        <v>29.0</v>
      </c>
      <c r="B159" s="51" t="s">
        <v>76</v>
      </c>
      <c r="C159" s="52" t="s">
        <v>583</v>
      </c>
      <c r="D159" s="48">
        <v>2.6271032E8</v>
      </c>
      <c r="E159" s="51" t="s">
        <v>584</v>
      </c>
      <c r="F159" s="48" t="s">
        <v>92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09">
        <v>30.0</v>
      </c>
      <c r="B160" s="51" t="s">
        <v>76</v>
      </c>
      <c r="C160" s="52" t="s">
        <v>585</v>
      </c>
      <c r="D160" s="48">
        <v>2.62710333E8</v>
      </c>
      <c r="E160" s="51" t="s">
        <v>586</v>
      </c>
      <c r="F160" s="48" t="s">
        <v>69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09">
        <v>31.0</v>
      </c>
      <c r="B161" s="51" t="s">
        <v>76</v>
      </c>
      <c r="C161" s="52" t="s">
        <v>587</v>
      </c>
      <c r="D161" s="48">
        <v>2.62710355E8</v>
      </c>
      <c r="E161" s="51" t="s">
        <v>588</v>
      </c>
      <c r="F161" s="48" t="s">
        <v>69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09">
        <v>32.0</v>
      </c>
      <c r="B162" s="51" t="s">
        <v>76</v>
      </c>
      <c r="C162" s="52" t="s">
        <v>589</v>
      </c>
      <c r="D162" s="48">
        <v>2.62710374E8</v>
      </c>
      <c r="E162" s="51" t="s">
        <v>590</v>
      </c>
      <c r="F162" s="48" t="s">
        <v>69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81" t="s">
        <v>205</v>
      </c>
      <c r="F163" s="82">
        <f>COUNTIF(F131:F162,"P")</f>
        <v>17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81" t="s">
        <v>214</v>
      </c>
      <c r="F164" s="82">
        <f>COUNTIF(F133:F163,"L")</f>
        <v>14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27" t="s">
        <v>20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27" t="s">
        <v>591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27" t="s">
        <v>37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 t="s">
        <v>592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48" t="s">
        <v>13</v>
      </c>
      <c r="B171" s="48" t="s">
        <v>59</v>
      </c>
      <c r="C171" s="48" t="s">
        <v>60</v>
      </c>
      <c r="D171" s="48" t="s">
        <v>61</v>
      </c>
      <c r="E171" s="48" t="s">
        <v>63</v>
      </c>
      <c r="F171" s="48" t="s">
        <v>64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09">
        <v>1.0</v>
      </c>
      <c r="B172" s="51" t="s">
        <v>76</v>
      </c>
      <c r="C172" s="52" t="s">
        <v>593</v>
      </c>
      <c r="D172" s="48">
        <v>2.62710006E8</v>
      </c>
      <c r="E172" s="51" t="s">
        <v>594</v>
      </c>
      <c r="F172" s="48" t="s">
        <v>69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09">
        <v>2.0</v>
      </c>
      <c r="B173" s="51" t="s">
        <v>71</v>
      </c>
      <c r="C173" s="52" t="s">
        <v>595</v>
      </c>
      <c r="D173" s="48">
        <v>2.62710008E8</v>
      </c>
      <c r="E173" s="51" t="s">
        <v>596</v>
      </c>
      <c r="F173" s="48" t="s">
        <v>92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09">
        <v>3.0</v>
      </c>
      <c r="B174" s="51" t="s">
        <v>65</v>
      </c>
      <c r="C174" s="52" t="s">
        <v>597</v>
      </c>
      <c r="D174" s="48">
        <v>2.62710013E8</v>
      </c>
      <c r="E174" s="51" t="s">
        <v>598</v>
      </c>
      <c r="F174" s="48" t="s">
        <v>92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09">
        <v>4.0</v>
      </c>
      <c r="B175" s="51" t="s">
        <v>76</v>
      </c>
      <c r="C175" s="52" t="s">
        <v>599</v>
      </c>
      <c r="D175" s="48">
        <v>2.62710022E8</v>
      </c>
      <c r="E175" s="51" t="s">
        <v>600</v>
      </c>
      <c r="F175" s="48" t="s">
        <v>69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09">
        <v>5.0</v>
      </c>
      <c r="B176" s="51" t="s">
        <v>65</v>
      </c>
      <c r="C176" s="48">
        <v>3.102856019E9</v>
      </c>
      <c r="D176" s="48">
        <v>2.62710025E8</v>
      </c>
      <c r="E176" s="51" t="s">
        <v>601</v>
      </c>
      <c r="F176" s="48" t="s">
        <v>69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09">
        <v>6.0</v>
      </c>
      <c r="B177" s="51" t="s">
        <v>65</v>
      </c>
      <c r="C177" s="52" t="s">
        <v>602</v>
      </c>
      <c r="D177" s="48">
        <v>2.62710028E8</v>
      </c>
      <c r="E177" s="51" t="s">
        <v>603</v>
      </c>
      <c r="F177" s="48" t="s">
        <v>92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09">
        <v>7.0</v>
      </c>
      <c r="B178" s="51" t="s">
        <v>76</v>
      </c>
      <c r="C178" s="52" t="s">
        <v>604</v>
      </c>
      <c r="D178" s="48">
        <v>2.62710038E8</v>
      </c>
      <c r="E178" s="51" t="s">
        <v>605</v>
      </c>
      <c r="F178" s="48" t="s">
        <v>69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09">
        <v>8.0</v>
      </c>
      <c r="B179" s="51" t="s">
        <v>71</v>
      </c>
      <c r="C179" s="52" t="s">
        <v>606</v>
      </c>
      <c r="D179" s="48">
        <v>2.62710061E8</v>
      </c>
      <c r="E179" s="51" t="s">
        <v>607</v>
      </c>
      <c r="F179" s="48" t="s">
        <v>69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09">
        <v>9.0</v>
      </c>
      <c r="B180" s="51" t="s">
        <v>76</v>
      </c>
      <c r="C180" s="52" t="s">
        <v>608</v>
      </c>
      <c r="D180" s="48">
        <v>2.62710071E8</v>
      </c>
      <c r="E180" s="51" t="s">
        <v>609</v>
      </c>
      <c r="F180" s="48" t="s">
        <v>69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09">
        <v>10.0</v>
      </c>
      <c r="B181" s="51" t="s">
        <v>76</v>
      </c>
      <c r="C181" s="52" t="s">
        <v>610</v>
      </c>
      <c r="D181" s="48">
        <v>2.62710074E8</v>
      </c>
      <c r="E181" s="51" t="s">
        <v>611</v>
      </c>
      <c r="F181" s="48" t="s">
        <v>69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09">
        <v>11.0</v>
      </c>
      <c r="B182" s="51" t="s">
        <v>76</v>
      </c>
      <c r="C182" s="52" t="s">
        <v>612</v>
      </c>
      <c r="D182" s="48">
        <v>2.62710082E8</v>
      </c>
      <c r="E182" s="51" t="s">
        <v>613</v>
      </c>
      <c r="F182" s="48" t="s">
        <v>92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09">
        <v>12.0</v>
      </c>
      <c r="B183" s="51" t="s">
        <v>76</v>
      </c>
      <c r="C183" s="52" t="s">
        <v>614</v>
      </c>
      <c r="D183" s="48">
        <v>2.62710141E8</v>
      </c>
      <c r="E183" s="51" t="s">
        <v>615</v>
      </c>
      <c r="F183" s="48" t="s">
        <v>69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09">
        <v>13.0</v>
      </c>
      <c r="B184" s="51" t="s">
        <v>76</v>
      </c>
      <c r="C184" s="52" t="s">
        <v>617</v>
      </c>
      <c r="D184" s="48">
        <v>2.62710147E8</v>
      </c>
      <c r="E184" s="51" t="s">
        <v>618</v>
      </c>
      <c r="F184" s="48" t="s">
        <v>92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09">
        <v>14.0</v>
      </c>
      <c r="B185" s="51" t="s">
        <v>76</v>
      </c>
      <c r="C185" s="52" t="s">
        <v>619</v>
      </c>
      <c r="D185" s="48">
        <v>2.62710156E8</v>
      </c>
      <c r="E185" s="51" t="s">
        <v>620</v>
      </c>
      <c r="F185" s="48" t="s">
        <v>69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09">
        <v>15.0</v>
      </c>
      <c r="B186" s="51" t="s">
        <v>65</v>
      </c>
      <c r="C186" s="52" t="s">
        <v>621</v>
      </c>
      <c r="D186" s="48">
        <v>2.62710185E8</v>
      </c>
      <c r="E186" s="51" t="s">
        <v>622</v>
      </c>
      <c r="F186" s="48" t="s">
        <v>92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09">
        <v>16.0</v>
      </c>
      <c r="B187" s="51" t="s">
        <v>76</v>
      </c>
      <c r="C187" s="48">
        <v>3.102016994E9</v>
      </c>
      <c r="D187" s="48">
        <v>2.62710195E8</v>
      </c>
      <c r="E187" s="51" t="s">
        <v>624</v>
      </c>
      <c r="F187" s="48" t="s">
        <v>69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09">
        <v>17.0</v>
      </c>
      <c r="B188" s="51" t="s">
        <v>76</v>
      </c>
      <c r="C188" s="52" t="s">
        <v>625</v>
      </c>
      <c r="D188" s="48">
        <v>2.62710201E8</v>
      </c>
      <c r="E188" s="51" t="s">
        <v>626</v>
      </c>
      <c r="F188" s="48" t="s">
        <v>69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09">
        <v>18.0</v>
      </c>
      <c r="B189" s="51" t="s">
        <v>76</v>
      </c>
      <c r="C189" s="52" t="s">
        <v>628</v>
      </c>
      <c r="D189" s="48">
        <v>2.62710211E8</v>
      </c>
      <c r="E189" s="51" t="s">
        <v>629</v>
      </c>
      <c r="F189" s="48" t="s">
        <v>69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09">
        <v>19.0</v>
      </c>
      <c r="B190" s="51" t="s">
        <v>76</v>
      </c>
      <c r="C190" s="52" t="s">
        <v>633</v>
      </c>
      <c r="D190" s="48">
        <v>2.62710223E8</v>
      </c>
      <c r="E190" s="51" t="s">
        <v>634</v>
      </c>
      <c r="F190" s="48" t="s">
        <v>92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09">
        <v>20.0</v>
      </c>
      <c r="B191" s="51" t="s">
        <v>76</v>
      </c>
      <c r="C191" s="52" t="s">
        <v>636</v>
      </c>
      <c r="D191" s="48">
        <v>2.62710226E8</v>
      </c>
      <c r="E191" s="51" t="s">
        <v>637</v>
      </c>
      <c r="F191" s="48" t="s">
        <v>92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09">
        <v>21.0</v>
      </c>
      <c r="B192" s="51" t="s">
        <v>76</v>
      </c>
      <c r="C192" s="52" t="s">
        <v>640</v>
      </c>
      <c r="D192" s="48">
        <v>2.62710232E8</v>
      </c>
      <c r="E192" s="51" t="s">
        <v>641</v>
      </c>
      <c r="F192" s="48" t="s">
        <v>92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09">
        <v>22.0</v>
      </c>
      <c r="B193" s="51" t="s">
        <v>76</v>
      </c>
      <c r="C193" s="52" t="s">
        <v>642</v>
      </c>
      <c r="D193" s="48">
        <v>2.62710249E8</v>
      </c>
      <c r="E193" s="51" t="s">
        <v>643</v>
      </c>
      <c r="F193" s="48" t="s">
        <v>92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09">
        <v>23.0</v>
      </c>
      <c r="B194" s="51" t="s">
        <v>76</v>
      </c>
      <c r="C194" s="52" t="s">
        <v>645</v>
      </c>
      <c r="D194" s="48">
        <v>2.6271025E8</v>
      </c>
      <c r="E194" s="51" t="s">
        <v>646</v>
      </c>
      <c r="F194" s="48" t="s">
        <v>92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09">
        <v>24.0</v>
      </c>
      <c r="B195" s="51" t="s">
        <v>65</v>
      </c>
      <c r="C195" s="52" t="s">
        <v>651</v>
      </c>
      <c r="D195" s="48">
        <v>2.62710251E8</v>
      </c>
      <c r="E195" s="51" t="s">
        <v>652</v>
      </c>
      <c r="F195" s="48" t="s">
        <v>92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09">
        <v>25.0</v>
      </c>
      <c r="B196" s="51" t="s">
        <v>76</v>
      </c>
      <c r="C196" s="52" t="s">
        <v>653</v>
      </c>
      <c r="D196" s="48">
        <v>2.62710282E8</v>
      </c>
      <c r="E196" s="51" t="s">
        <v>654</v>
      </c>
      <c r="F196" s="48" t="s">
        <v>69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09">
        <v>26.0</v>
      </c>
      <c r="B197" s="51" t="s">
        <v>65</v>
      </c>
      <c r="C197" s="52" t="s">
        <v>657</v>
      </c>
      <c r="D197" s="48">
        <v>2.62710287E8</v>
      </c>
      <c r="E197" s="51" t="s">
        <v>658</v>
      </c>
      <c r="F197" s="48" t="s">
        <v>69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09">
        <v>27.0</v>
      </c>
      <c r="B198" s="51" t="s">
        <v>76</v>
      </c>
      <c r="C198" s="52" t="s">
        <v>660</v>
      </c>
      <c r="D198" s="48">
        <v>2.62710297E8</v>
      </c>
      <c r="E198" s="51" t="s">
        <v>662</v>
      </c>
      <c r="F198" s="48" t="s">
        <v>92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09">
        <v>28.0</v>
      </c>
      <c r="B199" s="51" t="s">
        <v>76</v>
      </c>
      <c r="C199" s="52" t="s">
        <v>663</v>
      </c>
      <c r="D199" s="48">
        <v>2.62710329E8</v>
      </c>
      <c r="E199" s="51" t="s">
        <v>664</v>
      </c>
      <c r="F199" s="48" t="s">
        <v>69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09">
        <v>29.0</v>
      </c>
      <c r="B200" s="51" t="s">
        <v>76</v>
      </c>
      <c r="C200" s="52" t="s">
        <v>667</v>
      </c>
      <c r="D200" s="48">
        <v>2.62710335E8</v>
      </c>
      <c r="E200" s="51" t="s">
        <v>668</v>
      </c>
      <c r="F200" s="48" t="s">
        <v>92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09">
        <v>30.0</v>
      </c>
      <c r="B201" s="51" t="s">
        <v>76</v>
      </c>
      <c r="C201" s="52" t="s">
        <v>670</v>
      </c>
      <c r="D201" s="48">
        <v>2.6271034E8</v>
      </c>
      <c r="E201" s="51" t="s">
        <v>672</v>
      </c>
      <c r="F201" s="48" t="s">
        <v>69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09">
        <v>31.0</v>
      </c>
      <c r="B202" s="51" t="s">
        <v>76</v>
      </c>
      <c r="C202" s="52" t="s">
        <v>673</v>
      </c>
      <c r="D202" s="48">
        <v>2.62710349E8</v>
      </c>
      <c r="E202" s="51" t="s">
        <v>674</v>
      </c>
      <c r="F202" s="48" t="s">
        <v>92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09">
        <v>32.0</v>
      </c>
      <c r="B203" s="51" t="s">
        <v>171</v>
      </c>
      <c r="C203" s="52" t="s">
        <v>677</v>
      </c>
      <c r="D203" s="48">
        <v>2.62710379E8</v>
      </c>
      <c r="E203" s="51" t="s">
        <v>678</v>
      </c>
      <c r="F203" s="48" t="s">
        <v>69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4" t="s">
        <v>205</v>
      </c>
      <c r="F204" s="82">
        <f>COUNTIF(F172:F203,"P")</f>
        <v>17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4" t="s">
        <v>214</v>
      </c>
      <c r="F205" s="82">
        <f>COUNTIF(F174:F204,"L")</f>
        <v>14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27" t="s">
        <v>20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27" t="s">
        <v>689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27" t="s">
        <v>37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 t="s">
        <v>692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48" t="s">
        <v>13</v>
      </c>
      <c r="B212" s="48" t="s">
        <v>59</v>
      </c>
      <c r="C212" s="48" t="s">
        <v>60</v>
      </c>
      <c r="D212" s="48" t="s">
        <v>61</v>
      </c>
      <c r="E212" s="48" t="s">
        <v>63</v>
      </c>
      <c r="F212" s="48" t="s">
        <v>64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09">
        <v>1.0</v>
      </c>
      <c r="B213" s="51" t="s">
        <v>71</v>
      </c>
      <c r="C213" s="52" t="s">
        <v>695</v>
      </c>
      <c r="D213" s="48">
        <v>2.62710014E8</v>
      </c>
      <c r="E213" s="51" t="s">
        <v>697</v>
      </c>
      <c r="F213" s="48" t="s">
        <v>92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09">
        <v>2.0</v>
      </c>
      <c r="B214" s="51" t="s">
        <v>76</v>
      </c>
      <c r="C214" s="52" t="s">
        <v>699</v>
      </c>
      <c r="D214" s="48">
        <v>2.62710019E8</v>
      </c>
      <c r="E214" s="51" t="s">
        <v>700</v>
      </c>
      <c r="F214" s="48" t="s">
        <v>69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09">
        <v>3.0</v>
      </c>
      <c r="B215" s="51" t="s">
        <v>76</v>
      </c>
      <c r="C215" s="52" t="s">
        <v>703</v>
      </c>
      <c r="D215" s="48">
        <v>2.62710037E8</v>
      </c>
      <c r="E215" s="51" t="s">
        <v>704</v>
      </c>
      <c r="F215" s="48" t="s">
        <v>69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09">
        <v>4.0</v>
      </c>
      <c r="B216" s="51" t="s">
        <v>65</v>
      </c>
      <c r="C216" s="52" t="s">
        <v>705</v>
      </c>
      <c r="D216" s="48">
        <v>2.62710047E8</v>
      </c>
      <c r="E216" s="51" t="s">
        <v>707</v>
      </c>
      <c r="F216" s="48" t="s">
        <v>92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09">
        <v>5.0</v>
      </c>
      <c r="B217" s="51" t="s">
        <v>76</v>
      </c>
      <c r="C217" s="52" t="s">
        <v>709</v>
      </c>
      <c r="D217" s="48">
        <v>2.62710057E8</v>
      </c>
      <c r="E217" s="51" t="s">
        <v>710</v>
      </c>
      <c r="F217" s="48" t="s">
        <v>69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09">
        <v>6.0</v>
      </c>
      <c r="B218" s="51" t="s">
        <v>76</v>
      </c>
      <c r="C218" s="52" t="s">
        <v>713</v>
      </c>
      <c r="D218" s="48">
        <v>2.62710058E8</v>
      </c>
      <c r="E218" s="51" t="s">
        <v>714</v>
      </c>
      <c r="F218" s="48" t="s">
        <v>69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09">
        <v>7.0</v>
      </c>
      <c r="B219" s="51" t="s">
        <v>65</v>
      </c>
      <c r="C219" s="52" t="s">
        <v>715</v>
      </c>
      <c r="D219" s="48">
        <v>2.6271006E8</v>
      </c>
      <c r="E219" s="51" t="s">
        <v>716</v>
      </c>
      <c r="F219" s="48" t="s">
        <v>92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09">
        <v>8.0</v>
      </c>
      <c r="B220" s="51" t="s">
        <v>76</v>
      </c>
      <c r="C220" s="52" t="s">
        <v>719</v>
      </c>
      <c r="D220" s="48">
        <v>2.62710076E8</v>
      </c>
      <c r="E220" s="51" t="s">
        <v>720</v>
      </c>
      <c r="F220" s="48" t="s">
        <v>92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09">
        <v>9.0</v>
      </c>
      <c r="B221" s="51" t="s">
        <v>65</v>
      </c>
      <c r="C221" s="52" t="s">
        <v>721</v>
      </c>
      <c r="D221" s="48">
        <v>2.6271008E8</v>
      </c>
      <c r="E221" s="51" t="s">
        <v>723</v>
      </c>
      <c r="F221" s="48" t="s">
        <v>69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09">
        <v>10.0</v>
      </c>
      <c r="B222" s="51" t="s">
        <v>171</v>
      </c>
      <c r="C222" s="52" t="s">
        <v>725</v>
      </c>
      <c r="D222" s="48">
        <v>2.62710099E8</v>
      </c>
      <c r="E222" s="51" t="s">
        <v>726</v>
      </c>
      <c r="F222" s="48" t="s">
        <v>69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09">
        <v>11.0</v>
      </c>
      <c r="B223" s="51" t="s">
        <v>171</v>
      </c>
      <c r="C223" s="52" t="s">
        <v>729</v>
      </c>
      <c r="D223" s="48">
        <v>2.627101E8</v>
      </c>
      <c r="E223" s="51" t="s">
        <v>730</v>
      </c>
      <c r="F223" s="48" t="s">
        <v>69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09">
        <v>12.0</v>
      </c>
      <c r="B224" s="51" t="s">
        <v>76</v>
      </c>
      <c r="C224" s="52" t="s">
        <v>731</v>
      </c>
      <c r="D224" s="48">
        <v>2.62710106E8</v>
      </c>
      <c r="E224" s="51" t="s">
        <v>732</v>
      </c>
      <c r="F224" s="48" t="s">
        <v>92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09">
        <v>13.0</v>
      </c>
      <c r="B225" s="51" t="s">
        <v>76</v>
      </c>
      <c r="C225" s="52" t="s">
        <v>735</v>
      </c>
      <c r="D225" s="48">
        <v>2.62710107E8</v>
      </c>
      <c r="E225" s="51" t="s">
        <v>736</v>
      </c>
      <c r="F225" s="48" t="s">
        <v>69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09">
        <v>14.0</v>
      </c>
      <c r="B226" s="51" t="s">
        <v>65</v>
      </c>
      <c r="C226" s="52" t="s">
        <v>738</v>
      </c>
      <c r="D226" s="48">
        <v>2.62710118E8</v>
      </c>
      <c r="E226" s="51" t="s">
        <v>739</v>
      </c>
      <c r="F226" s="48" t="s">
        <v>69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09">
        <v>15.0</v>
      </c>
      <c r="B227" s="51" t="s">
        <v>65</v>
      </c>
      <c r="C227" s="52" t="s">
        <v>740</v>
      </c>
      <c r="D227" s="48">
        <v>2.62710123E8</v>
      </c>
      <c r="E227" s="51" t="s">
        <v>741</v>
      </c>
      <c r="F227" s="48" t="s">
        <v>92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09">
        <v>16.0</v>
      </c>
      <c r="B228" s="51" t="s">
        <v>76</v>
      </c>
      <c r="C228" s="52" t="s">
        <v>744</v>
      </c>
      <c r="D228" s="48">
        <v>2.62710162E8</v>
      </c>
      <c r="E228" s="51" t="s">
        <v>745</v>
      </c>
      <c r="F228" s="48" t="s">
        <v>69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09">
        <v>17.0</v>
      </c>
      <c r="B229" s="51" t="s">
        <v>76</v>
      </c>
      <c r="C229" s="48">
        <v>3.10759354E9</v>
      </c>
      <c r="D229" s="48">
        <v>2.62710173E8</v>
      </c>
      <c r="E229" s="51" t="s">
        <v>746</v>
      </c>
      <c r="F229" s="48" t="s">
        <v>92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09">
        <v>18.0</v>
      </c>
      <c r="B230" s="51" t="s">
        <v>76</v>
      </c>
      <c r="C230" s="52" t="s">
        <v>747</v>
      </c>
      <c r="D230" s="48">
        <v>2.62710176E8</v>
      </c>
      <c r="E230" s="51" t="s">
        <v>748</v>
      </c>
      <c r="F230" s="48" t="s">
        <v>92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09">
        <v>19.0</v>
      </c>
      <c r="B231" s="51" t="s">
        <v>76</v>
      </c>
      <c r="C231" s="52" t="s">
        <v>751</v>
      </c>
      <c r="D231" s="48">
        <v>2.62710183E8</v>
      </c>
      <c r="E231" s="51" t="s">
        <v>752</v>
      </c>
      <c r="F231" s="48" t="s">
        <v>92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09">
        <v>20.0</v>
      </c>
      <c r="B232" s="51" t="s">
        <v>76</v>
      </c>
      <c r="C232" s="52" t="s">
        <v>754</v>
      </c>
      <c r="D232" s="48">
        <v>2.62710189E8</v>
      </c>
      <c r="E232" s="51" t="s">
        <v>756</v>
      </c>
      <c r="F232" s="48" t="s">
        <v>92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09">
        <v>21.0</v>
      </c>
      <c r="B233" s="51" t="s">
        <v>76</v>
      </c>
      <c r="C233" s="52" t="s">
        <v>757</v>
      </c>
      <c r="D233" s="48">
        <v>2.62710198E8</v>
      </c>
      <c r="E233" s="51" t="s">
        <v>758</v>
      </c>
      <c r="F233" s="48" t="s">
        <v>69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09">
        <v>22.0</v>
      </c>
      <c r="B234" s="51" t="s">
        <v>71</v>
      </c>
      <c r="C234" s="52" t="s">
        <v>761</v>
      </c>
      <c r="D234" s="48">
        <v>2.62710212E8</v>
      </c>
      <c r="E234" s="51" t="s">
        <v>762</v>
      </c>
      <c r="F234" s="48" t="s">
        <v>92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09">
        <v>23.0</v>
      </c>
      <c r="B235" s="51" t="s">
        <v>76</v>
      </c>
      <c r="C235" s="52" t="s">
        <v>765</v>
      </c>
      <c r="D235" s="48">
        <v>2.62710224E8</v>
      </c>
      <c r="E235" s="51" t="s">
        <v>766</v>
      </c>
      <c r="F235" s="48" t="s">
        <v>92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09">
        <v>24.0</v>
      </c>
      <c r="B236" s="51" t="s">
        <v>76</v>
      </c>
      <c r="C236" s="52" t="s">
        <v>767</v>
      </c>
      <c r="D236" s="48">
        <v>2.62710245E8</v>
      </c>
      <c r="E236" s="51" t="s">
        <v>768</v>
      </c>
      <c r="F236" s="48" t="s">
        <v>92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09">
        <v>25.0</v>
      </c>
      <c r="B237" s="51" t="s">
        <v>65</v>
      </c>
      <c r="C237" s="52" t="s">
        <v>771</v>
      </c>
      <c r="D237" s="48">
        <v>2.62710271E8</v>
      </c>
      <c r="E237" s="51" t="s">
        <v>772</v>
      </c>
      <c r="F237" s="48" t="s">
        <v>69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09">
        <v>26.0</v>
      </c>
      <c r="B238" s="51" t="s">
        <v>76</v>
      </c>
      <c r="C238" s="52" t="s">
        <v>777</v>
      </c>
      <c r="D238" s="48">
        <v>2.62710292E8</v>
      </c>
      <c r="E238" s="51" t="s">
        <v>778</v>
      </c>
      <c r="F238" s="48" t="s">
        <v>69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09">
        <v>27.0</v>
      </c>
      <c r="B239" s="51" t="s">
        <v>76</v>
      </c>
      <c r="C239" s="52" t="s">
        <v>782</v>
      </c>
      <c r="D239" s="48">
        <v>2.62710293E8</v>
      </c>
      <c r="E239" s="51" t="s">
        <v>783</v>
      </c>
      <c r="F239" s="48" t="s">
        <v>69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09">
        <v>28.0</v>
      </c>
      <c r="B240" s="51" t="s">
        <v>76</v>
      </c>
      <c r="C240" s="52" t="s">
        <v>784</v>
      </c>
      <c r="D240" s="48">
        <v>2.62710345E8</v>
      </c>
      <c r="E240" s="51" t="s">
        <v>787</v>
      </c>
      <c r="F240" s="48" t="s">
        <v>69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09">
        <v>29.0</v>
      </c>
      <c r="B241" s="51" t="s">
        <v>76</v>
      </c>
      <c r="C241" s="52" t="s">
        <v>788</v>
      </c>
      <c r="D241" s="48">
        <v>2.62710346E8</v>
      </c>
      <c r="E241" s="51" t="s">
        <v>789</v>
      </c>
      <c r="F241" s="48" t="s">
        <v>69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09">
        <v>30.0</v>
      </c>
      <c r="B242" s="51" t="s">
        <v>76</v>
      </c>
      <c r="C242" s="52" t="s">
        <v>792</v>
      </c>
      <c r="D242" s="48">
        <v>2.62710352E8</v>
      </c>
      <c r="E242" s="51" t="s">
        <v>795</v>
      </c>
      <c r="F242" s="48" t="s">
        <v>92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09">
        <v>31.0</v>
      </c>
      <c r="B243" s="51" t="s">
        <v>76</v>
      </c>
      <c r="C243" s="52" t="s">
        <v>798</v>
      </c>
      <c r="D243" s="48">
        <v>2.62710366E8</v>
      </c>
      <c r="E243" s="51" t="s">
        <v>800</v>
      </c>
      <c r="F243" s="48" t="s">
        <v>69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09">
        <v>32.0</v>
      </c>
      <c r="B244" s="51" t="s">
        <v>76</v>
      </c>
      <c r="C244" s="52" t="s">
        <v>802</v>
      </c>
      <c r="D244" s="48">
        <v>2.6271038E8</v>
      </c>
      <c r="E244" s="51" t="s">
        <v>803</v>
      </c>
      <c r="F244" s="48" t="s">
        <v>92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81" t="s">
        <v>205</v>
      </c>
      <c r="F245" s="82">
        <f>COUNTIF(F213:F244,"P")</f>
        <v>17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81" t="s">
        <v>214</v>
      </c>
      <c r="F246" s="82">
        <f>COUNTIF(F215:F245,"L")</f>
        <v>14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27" t="s">
        <v>20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27" t="s">
        <v>814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27" t="s">
        <v>37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 t="s">
        <v>817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48" t="s">
        <v>13</v>
      </c>
      <c r="B253" s="48" t="s">
        <v>59</v>
      </c>
      <c r="C253" s="48" t="s">
        <v>60</v>
      </c>
      <c r="D253" s="48" t="s">
        <v>61</v>
      </c>
      <c r="E253" s="48" t="s">
        <v>63</v>
      </c>
      <c r="F253" s="48" t="s">
        <v>64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09">
        <v>1.0</v>
      </c>
      <c r="B254" s="51" t="s">
        <v>65</v>
      </c>
      <c r="C254" s="52" t="s">
        <v>819</v>
      </c>
      <c r="D254" s="48">
        <v>2.62710005E8</v>
      </c>
      <c r="E254" s="51" t="s">
        <v>820</v>
      </c>
      <c r="F254" s="48" t="s">
        <v>92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09">
        <v>2.0</v>
      </c>
      <c r="B255" s="51" t="s">
        <v>76</v>
      </c>
      <c r="C255" s="52" t="s">
        <v>821</v>
      </c>
      <c r="D255" s="48">
        <v>2.6271001E8</v>
      </c>
      <c r="E255" s="51" t="s">
        <v>822</v>
      </c>
      <c r="F255" s="48" t="s">
        <v>69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09">
        <v>3.0</v>
      </c>
      <c r="B256" s="51" t="s">
        <v>76</v>
      </c>
      <c r="C256" s="52" t="s">
        <v>823</v>
      </c>
      <c r="D256" s="48">
        <v>2.62710011E8</v>
      </c>
      <c r="E256" s="51" t="s">
        <v>824</v>
      </c>
      <c r="F256" s="48" t="s">
        <v>92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09">
        <v>4.0</v>
      </c>
      <c r="B257" s="51" t="s">
        <v>76</v>
      </c>
      <c r="C257" s="52" t="s">
        <v>825</v>
      </c>
      <c r="D257" s="48">
        <v>2.62710023E8</v>
      </c>
      <c r="E257" s="51" t="s">
        <v>826</v>
      </c>
      <c r="F257" s="48" t="s">
        <v>69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09">
        <v>5.0</v>
      </c>
      <c r="B258" s="51" t="s">
        <v>76</v>
      </c>
      <c r="C258" s="52" t="s">
        <v>827</v>
      </c>
      <c r="D258" s="48">
        <v>2.62710024E8</v>
      </c>
      <c r="E258" s="51" t="s">
        <v>828</v>
      </c>
      <c r="F258" s="48" t="s">
        <v>69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09">
        <v>6.0</v>
      </c>
      <c r="B259" s="51" t="s">
        <v>76</v>
      </c>
      <c r="C259" s="52" t="s">
        <v>829</v>
      </c>
      <c r="D259" s="48">
        <v>2.62710027E8</v>
      </c>
      <c r="E259" s="51" t="s">
        <v>830</v>
      </c>
      <c r="F259" s="48" t="s">
        <v>92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09">
        <v>7.0</v>
      </c>
      <c r="B260" s="51" t="s">
        <v>65</v>
      </c>
      <c r="C260" s="52" t="s">
        <v>831</v>
      </c>
      <c r="D260" s="48">
        <v>2.62710053E8</v>
      </c>
      <c r="E260" s="51" t="s">
        <v>832</v>
      </c>
      <c r="F260" s="48" t="s">
        <v>69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09">
        <v>8.0</v>
      </c>
      <c r="B261" s="51" t="s">
        <v>65</v>
      </c>
      <c r="C261" s="52" t="s">
        <v>833</v>
      </c>
      <c r="D261" s="48">
        <v>2.62710097E8</v>
      </c>
      <c r="E261" s="51" t="s">
        <v>834</v>
      </c>
      <c r="F261" s="48" t="s">
        <v>92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09">
        <v>9.0</v>
      </c>
      <c r="B262" s="51" t="s">
        <v>65</v>
      </c>
      <c r="C262" s="52" t="s">
        <v>837</v>
      </c>
      <c r="D262" s="48">
        <v>2.62710116E8</v>
      </c>
      <c r="E262" s="51" t="s">
        <v>838</v>
      </c>
      <c r="F262" s="48" t="s">
        <v>92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09">
        <v>10.0</v>
      </c>
      <c r="B263" s="51" t="s">
        <v>76</v>
      </c>
      <c r="C263" s="52" t="s">
        <v>839</v>
      </c>
      <c r="D263" s="48">
        <v>2.62710143E8</v>
      </c>
      <c r="E263" s="51" t="s">
        <v>840</v>
      </c>
      <c r="F263" s="48" t="s">
        <v>92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09">
        <v>11.0</v>
      </c>
      <c r="B264" s="51" t="s">
        <v>76</v>
      </c>
      <c r="C264" s="48">
        <v>3.103178547E9</v>
      </c>
      <c r="D264" s="48">
        <v>2.62710154E8</v>
      </c>
      <c r="E264" s="51" t="s">
        <v>843</v>
      </c>
      <c r="F264" s="48" t="s">
        <v>92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09">
        <v>12.0</v>
      </c>
      <c r="B265" s="51" t="s">
        <v>76</v>
      </c>
      <c r="C265" s="52" t="s">
        <v>845</v>
      </c>
      <c r="D265" s="48">
        <v>2.6271016E8</v>
      </c>
      <c r="E265" s="51" t="s">
        <v>846</v>
      </c>
      <c r="F265" s="48" t="s">
        <v>92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09">
        <v>13.0</v>
      </c>
      <c r="B266" s="51" t="s">
        <v>65</v>
      </c>
      <c r="C266" s="52" t="s">
        <v>847</v>
      </c>
      <c r="D266" s="48">
        <v>2.62710197E8</v>
      </c>
      <c r="E266" s="51" t="s">
        <v>848</v>
      </c>
      <c r="F266" s="48" t="s">
        <v>69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09">
        <v>14.0</v>
      </c>
      <c r="B267" s="51" t="s">
        <v>76</v>
      </c>
      <c r="C267" s="52" t="s">
        <v>850</v>
      </c>
      <c r="D267" s="48">
        <v>2.62710203E8</v>
      </c>
      <c r="E267" s="51" t="s">
        <v>851</v>
      </c>
      <c r="F267" s="48" t="s">
        <v>92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09">
        <v>15.0</v>
      </c>
      <c r="B268" s="51" t="s">
        <v>76</v>
      </c>
      <c r="C268" s="52" t="s">
        <v>857</v>
      </c>
      <c r="D268" s="48">
        <v>2.62710219E8</v>
      </c>
      <c r="E268" s="51" t="s">
        <v>858</v>
      </c>
      <c r="F268" s="48" t="s">
        <v>69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09">
        <v>16.0</v>
      </c>
      <c r="B269" s="51" t="s">
        <v>65</v>
      </c>
      <c r="C269" s="48">
        <v>3.112621962E9</v>
      </c>
      <c r="D269" s="48">
        <v>2.6271022E8</v>
      </c>
      <c r="E269" s="51" t="s">
        <v>863</v>
      </c>
      <c r="F269" s="48" t="s">
        <v>69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09">
        <v>17.0</v>
      </c>
      <c r="B270" s="51" t="s">
        <v>76</v>
      </c>
      <c r="C270" s="52" t="s">
        <v>866</v>
      </c>
      <c r="D270" s="48">
        <v>2.62710257E8</v>
      </c>
      <c r="E270" s="51" t="s">
        <v>867</v>
      </c>
      <c r="F270" s="48" t="s">
        <v>92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09">
        <v>18.0</v>
      </c>
      <c r="B271" s="51" t="s">
        <v>76</v>
      </c>
      <c r="C271" s="52" t="s">
        <v>871</v>
      </c>
      <c r="D271" s="48">
        <v>2.62710275E8</v>
      </c>
      <c r="E271" s="51" t="s">
        <v>873</v>
      </c>
      <c r="F271" s="48" t="s">
        <v>92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09">
        <v>19.0</v>
      </c>
      <c r="B272" s="51" t="s">
        <v>76</v>
      </c>
      <c r="C272" s="52" t="s">
        <v>876</v>
      </c>
      <c r="D272" s="48">
        <v>2.62710278E8</v>
      </c>
      <c r="E272" s="51" t="s">
        <v>877</v>
      </c>
      <c r="F272" s="48" t="s">
        <v>69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09">
        <v>20.0</v>
      </c>
      <c r="B273" s="51" t="s">
        <v>76</v>
      </c>
      <c r="C273" s="52" t="s">
        <v>882</v>
      </c>
      <c r="D273" s="48">
        <v>2.62710279E8</v>
      </c>
      <c r="E273" s="51" t="s">
        <v>883</v>
      </c>
      <c r="F273" s="48" t="s">
        <v>69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09">
        <v>21.0</v>
      </c>
      <c r="B274" s="51" t="s">
        <v>65</v>
      </c>
      <c r="C274" s="52" t="s">
        <v>887</v>
      </c>
      <c r="D274" s="48">
        <v>2.62710281E8</v>
      </c>
      <c r="E274" s="51" t="s">
        <v>889</v>
      </c>
      <c r="F274" s="48" t="s">
        <v>69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09">
        <v>22.0</v>
      </c>
      <c r="B275" s="51" t="s">
        <v>76</v>
      </c>
      <c r="C275" s="52" t="s">
        <v>892</v>
      </c>
      <c r="D275" s="48">
        <v>2.62710294E8</v>
      </c>
      <c r="E275" s="51" t="s">
        <v>893</v>
      </c>
      <c r="F275" s="48" t="s">
        <v>69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09">
        <v>23.0</v>
      </c>
      <c r="B276" s="51" t="s">
        <v>76</v>
      </c>
      <c r="C276" s="52" t="s">
        <v>896</v>
      </c>
      <c r="D276" s="48">
        <v>2.62710302E8</v>
      </c>
      <c r="E276" s="51" t="s">
        <v>897</v>
      </c>
      <c r="F276" s="48" t="s">
        <v>92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09">
        <v>24.0</v>
      </c>
      <c r="B277" s="51" t="s">
        <v>171</v>
      </c>
      <c r="C277" s="52" t="s">
        <v>904</v>
      </c>
      <c r="D277" s="48">
        <v>2.62710305E8</v>
      </c>
      <c r="E277" s="51" t="s">
        <v>905</v>
      </c>
      <c r="F277" s="48" t="s">
        <v>69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09">
        <v>25.0</v>
      </c>
      <c r="B278" s="51" t="s">
        <v>171</v>
      </c>
      <c r="C278" s="52" t="s">
        <v>912</v>
      </c>
      <c r="D278" s="48">
        <v>2.6271031E8</v>
      </c>
      <c r="E278" s="51" t="s">
        <v>913</v>
      </c>
      <c r="F278" s="48" t="s">
        <v>69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09">
        <v>26.0</v>
      </c>
      <c r="B279" s="51" t="s">
        <v>76</v>
      </c>
      <c r="C279" s="52" t="s">
        <v>918</v>
      </c>
      <c r="D279" s="48">
        <v>2.62710321E8</v>
      </c>
      <c r="E279" s="51" t="s">
        <v>919</v>
      </c>
      <c r="F279" s="48" t="s">
        <v>92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09">
        <v>27.0</v>
      </c>
      <c r="B280" s="51" t="s">
        <v>76</v>
      </c>
      <c r="C280" s="52" t="s">
        <v>928</v>
      </c>
      <c r="D280" s="48">
        <v>2.62710338E8</v>
      </c>
      <c r="E280" s="51" t="s">
        <v>929</v>
      </c>
      <c r="F280" s="48" t="s">
        <v>69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09">
        <v>28.0</v>
      </c>
      <c r="B281" s="51" t="s">
        <v>76</v>
      </c>
      <c r="C281" s="52" t="s">
        <v>933</v>
      </c>
      <c r="D281" s="48">
        <v>2.62710343E8</v>
      </c>
      <c r="E281" s="51" t="s">
        <v>934</v>
      </c>
      <c r="F281" s="48" t="s">
        <v>92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09">
        <v>29.0</v>
      </c>
      <c r="B282" s="51" t="s">
        <v>71</v>
      </c>
      <c r="C282" s="52" t="s">
        <v>935</v>
      </c>
      <c r="D282" s="48">
        <v>2.62710354E8</v>
      </c>
      <c r="E282" s="51" t="s">
        <v>937</v>
      </c>
      <c r="F282" s="48" t="s">
        <v>69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09">
        <v>30.0</v>
      </c>
      <c r="B283" s="51" t="s">
        <v>71</v>
      </c>
      <c r="C283" s="52" t="s">
        <v>941</v>
      </c>
      <c r="D283" s="48">
        <v>2.62710363E8</v>
      </c>
      <c r="E283" s="51" t="s">
        <v>942</v>
      </c>
      <c r="F283" s="48" t="s">
        <v>69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09">
        <v>31.0</v>
      </c>
      <c r="B284" s="51" t="s">
        <v>76</v>
      </c>
      <c r="C284" s="52" t="s">
        <v>948</v>
      </c>
      <c r="D284" s="48">
        <v>2.62710377E8</v>
      </c>
      <c r="E284" s="51" t="s">
        <v>949</v>
      </c>
      <c r="F284" s="48" t="s">
        <v>92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09">
        <v>32.0</v>
      </c>
      <c r="B285" s="51" t="s">
        <v>76</v>
      </c>
      <c r="C285" s="52" t="s">
        <v>956</v>
      </c>
      <c r="D285" s="48">
        <v>2.62710378E8</v>
      </c>
      <c r="E285" s="51" t="s">
        <v>958</v>
      </c>
      <c r="F285" s="48" t="s">
        <v>69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81" t="s">
        <v>205</v>
      </c>
      <c r="F286" s="82">
        <f>COUNTIF(F254:F285,"P")</f>
        <v>17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81" t="s">
        <v>214</v>
      </c>
      <c r="F287" s="82">
        <f>COUNTIF(F256:F286,"L")</f>
        <v>14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27" t="s">
        <v>20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27" t="s">
        <v>985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27" t="s">
        <v>37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 t="s">
        <v>992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48" t="s">
        <v>13</v>
      </c>
      <c r="B294" s="48" t="s">
        <v>59</v>
      </c>
      <c r="C294" s="48" t="s">
        <v>60</v>
      </c>
      <c r="D294" s="48" t="s">
        <v>61</v>
      </c>
      <c r="E294" s="48" t="s">
        <v>63</v>
      </c>
      <c r="F294" s="48" t="s">
        <v>64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09">
        <v>1.0</v>
      </c>
      <c r="B295" s="51" t="s">
        <v>65</v>
      </c>
      <c r="C295" s="52" t="s">
        <v>1000</v>
      </c>
      <c r="D295" s="48">
        <v>2.62710021E8</v>
      </c>
      <c r="E295" s="51" t="s">
        <v>1001</v>
      </c>
      <c r="F295" s="48" t="s">
        <v>69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09">
        <v>2.0</v>
      </c>
      <c r="B296" s="51" t="s">
        <v>76</v>
      </c>
      <c r="C296" s="52" t="s">
        <v>1006</v>
      </c>
      <c r="D296" s="48">
        <v>2.6271004E8</v>
      </c>
      <c r="E296" s="51" t="s">
        <v>1007</v>
      </c>
      <c r="F296" s="48" t="s">
        <v>92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09">
        <v>3.0</v>
      </c>
      <c r="B297" s="51" t="s">
        <v>65</v>
      </c>
      <c r="C297" s="52" t="s">
        <v>1010</v>
      </c>
      <c r="D297" s="48">
        <v>2.62710052E8</v>
      </c>
      <c r="E297" s="51" t="s">
        <v>1011</v>
      </c>
      <c r="F297" s="48" t="s">
        <v>69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09">
        <v>4.0</v>
      </c>
      <c r="B298" s="51" t="s">
        <v>76</v>
      </c>
      <c r="C298" s="48">
        <v>3.100046769E9</v>
      </c>
      <c r="D298" s="48">
        <v>2.62710059E8</v>
      </c>
      <c r="E298" s="51" t="s">
        <v>1012</v>
      </c>
      <c r="F298" s="48" t="s">
        <v>92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09">
        <v>5.0</v>
      </c>
      <c r="B299" s="51" t="s">
        <v>76</v>
      </c>
      <c r="C299" s="52" t="s">
        <v>1016</v>
      </c>
      <c r="D299" s="48">
        <v>2.62710063E8</v>
      </c>
      <c r="E299" s="51" t="s">
        <v>1017</v>
      </c>
      <c r="F299" s="48" t="s">
        <v>92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09">
        <v>6.0</v>
      </c>
      <c r="B300" s="51" t="s">
        <v>76</v>
      </c>
      <c r="C300" s="52" t="s">
        <v>1020</v>
      </c>
      <c r="D300" s="48">
        <v>2.62710072E8</v>
      </c>
      <c r="E300" s="51" t="s">
        <v>1021</v>
      </c>
      <c r="F300" s="48" t="s">
        <v>92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09">
        <v>7.0</v>
      </c>
      <c r="B301" s="51" t="s">
        <v>76</v>
      </c>
      <c r="C301" s="52" t="s">
        <v>1024</v>
      </c>
      <c r="D301" s="48">
        <v>2.62710103E8</v>
      </c>
      <c r="E301" s="51" t="s">
        <v>1025</v>
      </c>
      <c r="F301" s="48" t="s">
        <v>69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09">
        <v>8.0</v>
      </c>
      <c r="B302" s="51" t="s">
        <v>76</v>
      </c>
      <c r="C302" s="52" t="s">
        <v>1030</v>
      </c>
      <c r="D302" s="48">
        <v>2.62710119E8</v>
      </c>
      <c r="E302" s="51" t="s">
        <v>1031</v>
      </c>
      <c r="F302" s="48" t="s">
        <v>69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09">
        <v>9.0</v>
      </c>
      <c r="B303" s="51" t="s">
        <v>76</v>
      </c>
      <c r="C303" s="52" t="s">
        <v>1033</v>
      </c>
      <c r="D303" s="48">
        <v>2.62710121E8</v>
      </c>
      <c r="E303" s="51" t="s">
        <v>1036</v>
      </c>
      <c r="F303" s="48" t="s">
        <v>92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09">
        <v>10.0</v>
      </c>
      <c r="B304" s="51" t="s">
        <v>76</v>
      </c>
      <c r="C304" s="52" t="s">
        <v>1037</v>
      </c>
      <c r="D304" s="48">
        <v>2.62710126E8</v>
      </c>
      <c r="E304" s="51" t="s">
        <v>1040</v>
      </c>
      <c r="F304" s="48" t="s">
        <v>69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09">
        <v>11.0</v>
      </c>
      <c r="B305" s="51" t="s">
        <v>76</v>
      </c>
      <c r="C305" s="52" t="s">
        <v>1044</v>
      </c>
      <c r="D305" s="48">
        <v>2.62710127E8</v>
      </c>
      <c r="E305" s="51" t="s">
        <v>1046</v>
      </c>
      <c r="F305" s="48" t="s">
        <v>92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09">
        <v>12.0</v>
      </c>
      <c r="B306" s="51" t="s">
        <v>76</v>
      </c>
      <c r="C306" s="52" t="s">
        <v>1050</v>
      </c>
      <c r="D306" s="48">
        <v>2.62710152E8</v>
      </c>
      <c r="E306" s="51" t="s">
        <v>1052</v>
      </c>
      <c r="F306" s="48" t="s">
        <v>69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09">
        <v>13.0</v>
      </c>
      <c r="B307" s="51" t="s">
        <v>76</v>
      </c>
      <c r="C307" s="48">
        <v>3.114860243E9</v>
      </c>
      <c r="D307" s="48">
        <v>2.62710165E8</v>
      </c>
      <c r="E307" s="51" t="s">
        <v>1057</v>
      </c>
      <c r="F307" s="48" t="s">
        <v>69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09">
        <v>14.0</v>
      </c>
      <c r="B308" s="51" t="s">
        <v>76</v>
      </c>
      <c r="C308" s="52" t="s">
        <v>1061</v>
      </c>
      <c r="D308" s="48">
        <v>2.62710167E8</v>
      </c>
      <c r="E308" s="51" t="s">
        <v>1062</v>
      </c>
      <c r="F308" s="48" t="s">
        <v>69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09">
        <v>15.0</v>
      </c>
      <c r="B309" s="51" t="s">
        <v>65</v>
      </c>
      <c r="C309" s="48">
        <v>2.106167182E9</v>
      </c>
      <c r="D309" s="48">
        <v>2.62710169E8</v>
      </c>
      <c r="E309" s="51" t="s">
        <v>1067</v>
      </c>
      <c r="F309" s="48" t="s">
        <v>69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09">
        <v>16.0</v>
      </c>
      <c r="B310" s="51" t="s">
        <v>171</v>
      </c>
      <c r="C310" s="52" t="s">
        <v>1072</v>
      </c>
      <c r="D310" s="48">
        <v>2.6271018E8</v>
      </c>
      <c r="E310" s="51" t="s">
        <v>1074</v>
      </c>
      <c r="F310" s="48" t="s">
        <v>92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09">
        <v>17.0</v>
      </c>
      <c r="B311" s="51" t="s">
        <v>76</v>
      </c>
      <c r="C311" s="52" t="s">
        <v>1078</v>
      </c>
      <c r="D311" s="48">
        <v>2.62710187E8</v>
      </c>
      <c r="E311" s="51" t="s">
        <v>1079</v>
      </c>
      <c r="F311" s="48" t="s">
        <v>69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09">
        <v>18.0</v>
      </c>
      <c r="B312" s="51" t="s">
        <v>76</v>
      </c>
      <c r="C312" s="52" t="s">
        <v>1084</v>
      </c>
      <c r="D312" s="48">
        <v>2.62710208E8</v>
      </c>
      <c r="E312" s="51" t="s">
        <v>1085</v>
      </c>
      <c r="F312" s="48" t="s">
        <v>69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09">
        <v>19.0</v>
      </c>
      <c r="B313" s="51" t="s">
        <v>76</v>
      </c>
      <c r="C313" s="52" t="s">
        <v>1088</v>
      </c>
      <c r="D313" s="48">
        <v>2.62710255E8</v>
      </c>
      <c r="E313" s="51" t="s">
        <v>1091</v>
      </c>
      <c r="F313" s="48" t="s">
        <v>92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09">
        <v>20.0</v>
      </c>
      <c r="B314" s="51" t="s">
        <v>76</v>
      </c>
      <c r="C314" s="52" t="s">
        <v>1096</v>
      </c>
      <c r="D314" s="48">
        <v>2.62710268E8</v>
      </c>
      <c r="E314" s="51" t="s">
        <v>1097</v>
      </c>
      <c r="F314" s="48" t="s">
        <v>92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09">
        <v>21.0</v>
      </c>
      <c r="B315" s="51" t="s">
        <v>76</v>
      </c>
      <c r="C315" s="52" t="s">
        <v>1100</v>
      </c>
      <c r="D315" s="48">
        <v>2.62710273E8</v>
      </c>
      <c r="E315" s="51" t="s">
        <v>1102</v>
      </c>
      <c r="F315" s="48" t="s">
        <v>69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09">
        <v>22.0</v>
      </c>
      <c r="B316" s="51" t="s">
        <v>71</v>
      </c>
      <c r="C316" s="52" t="s">
        <v>1106</v>
      </c>
      <c r="D316" s="48">
        <v>2.62710296E8</v>
      </c>
      <c r="E316" s="51" t="s">
        <v>1108</v>
      </c>
      <c r="F316" s="48" t="s">
        <v>69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09">
        <v>23.0</v>
      </c>
      <c r="B317" s="51" t="s">
        <v>76</v>
      </c>
      <c r="C317" s="52" t="s">
        <v>1113</v>
      </c>
      <c r="D317" s="48">
        <v>2.62710309E8</v>
      </c>
      <c r="E317" s="51" t="s">
        <v>1114</v>
      </c>
      <c r="F317" s="48" t="s">
        <v>92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09">
        <v>24.0</v>
      </c>
      <c r="B318" s="51" t="s">
        <v>65</v>
      </c>
      <c r="C318" s="52" t="s">
        <v>1119</v>
      </c>
      <c r="D318" s="48">
        <v>2.62710314E8</v>
      </c>
      <c r="E318" s="51" t="s">
        <v>1120</v>
      </c>
      <c r="F318" s="48" t="s">
        <v>92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09">
        <v>25.0</v>
      </c>
      <c r="B319" s="51" t="s">
        <v>76</v>
      </c>
      <c r="C319" s="52" t="s">
        <v>1125</v>
      </c>
      <c r="D319" s="48">
        <v>2.62710324E8</v>
      </c>
      <c r="E319" s="51" t="s">
        <v>1126</v>
      </c>
      <c r="F319" s="48" t="s">
        <v>92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09">
        <v>26.0</v>
      </c>
      <c r="B320" s="51" t="s">
        <v>76</v>
      </c>
      <c r="C320" s="52" t="s">
        <v>1130</v>
      </c>
      <c r="D320" s="48">
        <v>2.62710325E8</v>
      </c>
      <c r="E320" s="51" t="s">
        <v>1131</v>
      </c>
      <c r="F320" s="48" t="s">
        <v>92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09">
        <v>27.0</v>
      </c>
      <c r="B321" s="51" t="s">
        <v>76</v>
      </c>
      <c r="C321" s="52" t="s">
        <v>1136</v>
      </c>
      <c r="D321" s="48">
        <v>2.62710326E8</v>
      </c>
      <c r="E321" s="51" t="s">
        <v>1137</v>
      </c>
      <c r="F321" s="48" t="s">
        <v>69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09">
        <v>28.0</v>
      </c>
      <c r="B322" s="51" t="s">
        <v>171</v>
      </c>
      <c r="C322" s="52" t="s">
        <v>1139</v>
      </c>
      <c r="D322" s="48">
        <v>2.62710341E8</v>
      </c>
      <c r="E322" s="51" t="s">
        <v>1141</v>
      </c>
      <c r="F322" s="48" t="s">
        <v>92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09">
        <v>29.0</v>
      </c>
      <c r="B323" s="51" t="s">
        <v>76</v>
      </c>
      <c r="C323" s="52" t="s">
        <v>1147</v>
      </c>
      <c r="D323" s="48">
        <v>2.62710348E8</v>
      </c>
      <c r="E323" s="51" t="s">
        <v>1148</v>
      </c>
      <c r="F323" s="48" t="s">
        <v>69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09">
        <v>30.0</v>
      </c>
      <c r="B324" s="51" t="s">
        <v>65</v>
      </c>
      <c r="C324" s="52" t="s">
        <v>1153</v>
      </c>
      <c r="D324" s="48">
        <v>2.62710353E8</v>
      </c>
      <c r="E324" s="51" t="s">
        <v>1156</v>
      </c>
      <c r="F324" s="48" t="s">
        <v>69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09">
        <v>31.0</v>
      </c>
      <c r="B325" s="51" t="s">
        <v>76</v>
      </c>
      <c r="C325" s="52" t="s">
        <v>1160</v>
      </c>
      <c r="D325" s="48">
        <v>2.6271036E8</v>
      </c>
      <c r="E325" s="51" t="s">
        <v>1161</v>
      </c>
      <c r="F325" s="48" t="s">
        <v>92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09">
        <v>32.0</v>
      </c>
      <c r="B326" s="51" t="s">
        <v>71</v>
      </c>
      <c r="C326" s="48">
        <v>3.116884465E9</v>
      </c>
      <c r="D326" s="48">
        <v>2.62710368E8</v>
      </c>
      <c r="E326" s="51" t="s">
        <v>1167</v>
      </c>
      <c r="F326" s="48" t="s">
        <v>69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81" t="s">
        <v>205</v>
      </c>
      <c r="F327" s="82">
        <f>COUNTIF(F295:F326,"P")</f>
        <v>17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81" t="s">
        <v>214</v>
      </c>
      <c r="F328" s="82">
        <f>COUNTIF(F297:F327,"L")</f>
        <v>14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27" t="s">
        <v>20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27" t="s">
        <v>1186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27" t="s">
        <v>37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 t="s">
        <v>1194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48" t="s">
        <v>13</v>
      </c>
      <c r="B335" s="48" t="s">
        <v>59</v>
      </c>
      <c r="C335" s="48" t="s">
        <v>60</v>
      </c>
      <c r="D335" s="48" t="s">
        <v>61</v>
      </c>
      <c r="E335" s="48" t="s">
        <v>63</v>
      </c>
      <c r="F335" s="48" t="s">
        <v>64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09">
        <v>1.0</v>
      </c>
      <c r="B336" s="51" t="s">
        <v>76</v>
      </c>
      <c r="C336" s="52" t="s">
        <v>1213</v>
      </c>
      <c r="D336" s="48">
        <v>2.62710003E8</v>
      </c>
      <c r="E336" s="51" t="s">
        <v>1214</v>
      </c>
      <c r="F336" s="48" t="s">
        <v>92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09">
        <v>2.0</v>
      </c>
      <c r="B337" s="51" t="s">
        <v>71</v>
      </c>
      <c r="C337" s="48">
        <v>3.112602258E9</v>
      </c>
      <c r="D337" s="48">
        <v>2.62710007E8</v>
      </c>
      <c r="E337" s="51" t="s">
        <v>1221</v>
      </c>
      <c r="F337" s="48" t="s">
        <v>69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09">
        <v>3.0</v>
      </c>
      <c r="B338" s="51" t="s">
        <v>76</v>
      </c>
      <c r="C338" s="52" t="s">
        <v>1226</v>
      </c>
      <c r="D338" s="48">
        <v>2.62710029E8</v>
      </c>
      <c r="E338" s="51" t="s">
        <v>1227</v>
      </c>
      <c r="F338" s="48" t="s">
        <v>92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09">
        <v>4.0</v>
      </c>
      <c r="B339" s="51" t="s">
        <v>65</v>
      </c>
      <c r="C339" s="52" t="s">
        <v>1236</v>
      </c>
      <c r="D339" s="48">
        <v>2.62710031E8</v>
      </c>
      <c r="E339" s="51" t="s">
        <v>1237</v>
      </c>
      <c r="F339" s="48" t="s">
        <v>69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09">
        <v>5.0</v>
      </c>
      <c r="B340" s="51" t="s">
        <v>76</v>
      </c>
      <c r="C340" s="52" t="s">
        <v>1245</v>
      </c>
      <c r="D340" s="48">
        <v>2.62710048E8</v>
      </c>
      <c r="E340" s="51" t="s">
        <v>1247</v>
      </c>
      <c r="F340" s="48" t="s">
        <v>69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09">
        <v>6.0</v>
      </c>
      <c r="B341" s="51" t="s">
        <v>76</v>
      </c>
      <c r="C341" s="52" t="s">
        <v>1254</v>
      </c>
      <c r="D341" s="48">
        <v>2.6271007E8</v>
      </c>
      <c r="E341" s="51" t="s">
        <v>1255</v>
      </c>
      <c r="F341" s="48" t="s">
        <v>69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09">
        <v>7.0</v>
      </c>
      <c r="B342" s="51" t="s">
        <v>76</v>
      </c>
      <c r="C342" s="52" t="s">
        <v>1264</v>
      </c>
      <c r="D342" s="48">
        <v>2.62710084E8</v>
      </c>
      <c r="E342" s="51" t="s">
        <v>1267</v>
      </c>
      <c r="F342" s="48" t="s">
        <v>92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09">
        <v>8.0</v>
      </c>
      <c r="B343" s="51" t="s">
        <v>76</v>
      </c>
      <c r="C343" s="52" t="s">
        <v>1276</v>
      </c>
      <c r="D343" s="48">
        <v>2.62710114E8</v>
      </c>
      <c r="E343" s="51" t="s">
        <v>1277</v>
      </c>
      <c r="F343" s="48" t="s">
        <v>69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09">
        <v>9.0</v>
      </c>
      <c r="B344" s="51" t="s">
        <v>76</v>
      </c>
      <c r="C344" s="52" t="s">
        <v>1284</v>
      </c>
      <c r="D344" s="48">
        <v>2.62710117E8</v>
      </c>
      <c r="E344" s="51" t="s">
        <v>1287</v>
      </c>
      <c r="F344" s="48" t="s">
        <v>92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09">
        <v>10.0</v>
      </c>
      <c r="B345" s="51" t="s">
        <v>65</v>
      </c>
      <c r="C345" s="52" t="s">
        <v>1293</v>
      </c>
      <c r="D345" s="48">
        <v>2.62710137E8</v>
      </c>
      <c r="E345" s="51" t="s">
        <v>1296</v>
      </c>
      <c r="F345" s="48" t="s">
        <v>92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09">
        <v>11.0</v>
      </c>
      <c r="B346" s="51" t="s">
        <v>76</v>
      </c>
      <c r="C346" s="52" t="s">
        <v>1302</v>
      </c>
      <c r="D346" s="48">
        <v>2.6271014E8</v>
      </c>
      <c r="E346" s="51" t="s">
        <v>1305</v>
      </c>
      <c r="F346" s="48" t="s">
        <v>69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09">
        <v>12.0</v>
      </c>
      <c r="B347" s="51" t="s">
        <v>76</v>
      </c>
      <c r="C347" s="52" t="s">
        <v>1312</v>
      </c>
      <c r="D347" s="48">
        <v>2.62710148E8</v>
      </c>
      <c r="E347" s="51" t="s">
        <v>1315</v>
      </c>
      <c r="F347" s="48" t="s">
        <v>92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09">
        <v>13.0</v>
      </c>
      <c r="B348" s="51" t="s">
        <v>76</v>
      </c>
      <c r="C348" s="52" t="s">
        <v>1321</v>
      </c>
      <c r="D348" s="48">
        <v>2.62710157E8</v>
      </c>
      <c r="E348" s="51" t="s">
        <v>1325</v>
      </c>
      <c r="F348" s="48" t="s">
        <v>92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09">
        <v>14.0</v>
      </c>
      <c r="B349" s="51" t="s">
        <v>65</v>
      </c>
      <c r="C349" s="48">
        <v>3.115475708E9</v>
      </c>
      <c r="D349" s="48">
        <v>2.62710158E8</v>
      </c>
      <c r="E349" s="51" t="s">
        <v>1334</v>
      </c>
      <c r="F349" s="48" t="s">
        <v>69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09">
        <v>15.0</v>
      </c>
      <c r="B350" s="51" t="s">
        <v>76</v>
      </c>
      <c r="C350" s="52" t="s">
        <v>1341</v>
      </c>
      <c r="D350" s="48">
        <v>2.62710168E8</v>
      </c>
      <c r="E350" s="51" t="s">
        <v>1344</v>
      </c>
      <c r="F350" s="48" t="s">
        <v>69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09">
        <v>16.0</v>
      </c>
      <c r="B351" s="51" t="s">
        <v>171</v>
      </c>
      <c r="C351" s="52" t="s">
        <v>1349</v>
      </c>
      <c r="D351" s="48">
        <v>2.6271017E8</v>
      </c>
      <c r="E351" s="51" t="s">
        <v>1351</v>
      </c>
      <c r="F351" s="48" t="s">
        <v>92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09">
        <v>17.0</v>
      </c>
      <c r="B352" s="51" t="s">
        <v>65</v>
      </c>
      <c r="C352" s="52" t="s">
        <v>1359</v>
      </c>
      <c r="D352" s="48">
        <v>2.62710172E8</v>
      </c>
      <c r="E352" s="51" t="s">
        <v>1362</v>
      </c>
      <c r="F352" s="48" t="s">
        <v>92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09">
        <v>18.0</v>
      </c>
      <c r="B353" s="51" t="s">
        <v>65</v>
      </c>
      <c r="C353" s="48">
        <v>3.103579214E9</v>
      </c>
      <c r="D353" s="48">
        <v>2.62710202E8</v>
      </c>
      <c r="E353" s="51" t="s">
        <v>1366</v>
      </c>
      <c r="F353" s="48" t="s">
        <v>69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09">
        <v>19.0</v>
      </c>
      <c r="B354" s="51" t="s">
        <v>65</v>
      </c>
      <c r="C354" s="52" t="s">
        <v>1371</v>
      </c>
      <c r="D354" s="48">
        <v>2.62710213E8</v>
      </c>
      <c r="E354" s="51" t="s">
        <v>1372</v>
      </c>
      <c r="F354" s="48" t="s">
        <v>92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09">
        <v>20.0</v>
      </c>
      <c r="B355" s="51" t="s">
        <v>76</v>
      </c>
      <c r="C355" s="52" t="s">
        <v>1377</v>
      </c>
      <c r="D355" s="48">
        <v>2.62710221E8</v>
      </c>
      <c r="E355" s="51" t="s">
        <v>1378</v>
      </c>
      <c r="F355" s="48" t="s">
        <v>69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09">
        <v>21.0</v>
      </c>
      <c r="B356" s="51" t="s">
        <v>76</v>
      </c>
      <c r="C356" s="52" t="s">
        <v>1383</v>
      </c>
      <c r="D356" s="48">
        <v>2.62710231E8</v>
      </c>
      <c r="E356" s="51" t="s">
        <v>1384</v>
      </c>
      <c r="F356" s="48" t="s">
        <v>92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09">
        <v>22.0</v>
      </c>
      <c r="B357" s="51" t="s">
        <v>76</v>
      </c>
      <c r="C357" s="48">
        <v>3.108983359E9</v>
      </c>
      <c r="D357" s="48">
        <v>2.62710242E8</v>
      </c>
      <c r="E357" s="51" t="s">
        <v>1387</v>
      </c>
      <c r="F357" s="48" t="s">
        <v>92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09">
        <v>23.0</v>
      </c>
      <c r="B358" s="51" t="s">
        <v>76</v>
      </c>
      <c r="C358" s="48">
        <v>3.107415661E9</v>
      </c>
      <c r="D358" s="48">
        <v>2.62710243E8</v>
      </c>
      <c r="E358" s="51" t="s">
        <v>1392</v>
      </c>
      <c r="F358" s="48" t="s">
        <v>92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09">
        <v>24.0</v>
      </c>
      <c r="B359" s="51" t="s">
        <v>76</v>
      </c>
      <c r="C359" s="52" t="s">
        <v>1396</v>
      </c>
      <c r="D359" s="48">
        <v>2.62710264E8</v>
      </c>
      <c r="E359" s="51" t="s">
        <v>1398</v>
      </c>
      <c r="F359" s="48" t="s">
        <v>69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09">
        <v>25.0</v>
      </c>
      <c r="B360" s="51" t="s">
        <v>76</v>
      </c>
      <c r="C360" s="52" t="s">
        <v>1403</v>
      </c>
      <c r="D360" s="48">
        <v>2.62710289E8</v>
      </c>
      <c r="E360" s="51" t="s">
        <v>1406</v>
      </c>
      <c r="F360" s="48" t="s">
        <v>69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09">
        <v>26.0</v>
      </c>
      <c r="B361" s="51" t="s">
        <v>76</v>
      </c>
      <c r="C361" s="52" t="s">
        <v>1411</v>
      </c>
      <c r="D361" s="48">
        <v>2.62710308E8</v>
      </c>
      <c r="E361" s="51" t="s">
        <v>1413</v>
      </c>
      <c r="F361" s="48" t="s">
        <v>92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09">
        <v>27.0</v>
      </c>
      <c r="B362" s="51" t="s">
        <v>71</v>
      </c>
      <c r="C362" s="52" t="s">
        <v>1420</v>
      </c>
      <c r="D362" s="48">
        <v>2.62710312E8</v>
      </c>
      <c r="E362" s="51" t="s">
        <v>1421</v>
      </c>
      <c r="F362" s="48" t="s">
        <v>92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09">
        <v>28.0</v>
      </c>
      <c r="B363" s="51" t="s">
        <v>65</v>
      </c>
      <c r="C363" s="52" t="s">
        <v>1430</v>
      </c>
      <c r="D363" s="48">
        <v>2.62710317E8</v>
      </c>
      <c r="E363" s="51" t="s">
        <v>1435</v>
      </c>
      <c r="F363" s="48" t="s">
        <v>92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09">
        <v>29.0</v>
      </c>
      <c r="B364" s="51" t="s">
        <v>76</v>
      </c>
      <c r="C364" s="52" t="s">
        <v>1444</v>
      </c>
      <c r="D364" s="48">
        <v>2.62710322E8</v>
      </c>
      <c r="E364" s="51" t="s">
        <v>1445</v>
      </c>
      <c r="F364" s="48" t="s">
        <v>69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09">
        <v>30.0</v>
      </c>
      <c r="B365" s="51" t="s">
        <v>76</v>
      </c>
      <c r="C365" s="52" t="s">
        <v>1453</v>
      </c>
      <c r="D365" s="48">
        <v>2.62710344E8</v>
      </c>
      <c r="E365" s="51" t="s">
        <v>1454</v>
      </c>
      <c r="F365" s="48" t="s">
        <v>69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09">
        <v>31.0</v>
      </c>
      <c r="B366" s="51" t="s">
        <v>76</v>
      </c>
      <c r="C366" s="52" t="s">
        <v>1463</v>
      </c>
      <c r="D366" s="48">
        <v>2.62710358E8</v>
      </c>
      <c r="E366" s="51" t="s">
        <v>1464</v>
      </c>
      <c r="F366" s="48" t="s">
        <v>69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81" t="s">
        <v>205</v>
      </c>
      <c r="F367" s="82">
        <f>COUNTIF(F336:F366,"P")</f>
        <v>15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81" t="s">
        <v>214</v>
      </c>
      <c r="F368" s="82">
        <f>COUNTIF(F337:F367,"L")</f>
        <v>15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27" t="s">
        <v>20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27" t="s">
        <v>1509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27" t="s">
        <v>37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 t="s">
        <v>1521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48" t="s">
        <v>13</v>
      </c>
      <c r="B375" s="48" t="s">
        <v>59</v>
      </c>
      <c r="C375" s="48" t="s">
        <v>60</v>
      </c>
      <c r="D375" s="48" t="s">
        <v>61</v>
      </c>
      <c r="E375" s="48" t="s">
        <v>63</v>
      </c>
      <c r="F375" s="48" t="s">
        <v>64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09">
        <v>1.0</v>
      </c>
      <c r="B376" s="51" t="s">
        <v>76</v>
      </c>
      <c r="C376" s="52" t="s">
        <v>1527</v>
      </c>
      <c r="D376" s="48">
        <v>2.62710001E8</v>
      </c>
      <c r="E376" s="51" t="s">
        <v>1528</v>
      </c>
      <c r="F376" s="48" t="s">
        <v>92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09">
        <v>2.0</v>
      </c>
      <c r="B377" s="51" t="s">
        <v>76</v>
      </c>
      <c r="C377" s="52" t="s">
        <v>1532</v>
      </c>
      <c r="D377" s="48">
        <v>2.62710033E8</v>
      </c>
      <c r="E377" s="51" t="s">
        <v>1534</v>
      </c>
      <c r="F377" s="48" t="s">
        <v>69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09">
        <v>3.0</v>
      </c>
      <c r="B378" s="51" t="s">
        <v>76</v>
      </c>
      <c r="C378" s="52" t="s">
        <v>1544</v>
      </c>
      <c r="D378" s="48">
        <v>2.62710043E8</v>
      </c>
      <c r="E378" s="51" t="s">
        <v>1547</v>
      </c>
      <c r="F378" s="48" t="s">
        <v>69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09">
        <v>4.0</v>
      </c>
      <c r="B379" s="51" t="s">
        <v>65</v>
      </c>
      <c r="C379" s="52" t="s">
        <v>1552</v>
      </c>
      <c r="D379" s="48">
        <v>2.62710045E8</v>
      </c>
      <c r="E379" s="51" t="s">
        <v>1555</v>
      </c>
      <c r="F379" s="48" t="s">
        <v>92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09">
        <v>5.0</v>
      </c>
      <c r="B380" s="51" t="s">
        <v>71</v>
      </c>
      <c r="C380" s="52" t="s">
        <v>1562</v>
      </c>
      <c r="D380" s="48">
        <v>2.62710054E8</v>
      </c>
      <c r="E380" s="51" t="s">
        <v>1563</v>
      </c>
      <c r="F380" s="48" t="s">
        <v>69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09">
        <v>6.0</v>
      </c>
      <c r="B381" s="51" t="s">
        <v>76</v>
      </c>
      <c r="C381" s="52" t="s">
        <v>1571</v>
      </c>
      <c r="D381" s="48">
        <v>2.62710083E8</v>
      </c>
      <c r="E381" s="51" t="s">
        <v>1573</v>
      </c>
      <c r="F381" s="48" t="s">
        <v>92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09">
        <v>7.0</v>
      </c>
      <c r="B382" s="51" t="s">
        <v>171</v>
      </c>
      <c r="C382" s="52" t="s">
        <v>1580</v>
      </c>
      <c r="D382" s="48">
        <v>2.62710086E8</v>
      </c>
      <c r="E382" s="51" t="s">
        <v>1581</v>
      </c>
      <c r="F382" s="48" t="s">
        <v>69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09">
        <v>8.0</v>
      </c>
      <c r="B383" s="51" t="s">
        <v>76</v>
      </c>
      <c r="C383" s="52" t="s">
        <v>1589</v>
      </c>
      <c r="D383" s="48">
        <v>2.62710087E8</v>
      </c>
      <c r="E383" s="51" t="s">
        <v>1591</v>
      </c>
      <c r="F383" s="48" t="s">
        <v>69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09">
        <v>9.0</v>
      </c>
      <c r="B384" s="51" t="s">
        <v>76</v>
      </c>
      <c r="C384" s="52" t="s">
        <v>1597</v>
      </c>
      <c r="D384" s="48">
        <v>2.6271009E8</v>
      </c>
      <c r="E384" s="51" t="s">
        <v>1601</v>
      </c>
      <c r="F384" s="48" t="s">
        <v>92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09">
        <v>10.0</v>
      </c>
      <c r="B385" s="51" t="s">
        <v>76</v>
      </c>
      <c r="C385" s="52" t="s">
        <v>1606</v>
      </c>
      <c r="D385" s="48">
        <v>2.62710104E8</v>
      </c>
      <c r="E385" s="51" t="s">
        <v>1609</v>
      </c>
      <c r="F385" s="48" t="s">
        <v>69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09">
        <v>11.0</v>
      </c>
      <c r="B386" s="51" t="s">
        <v>76</v>
      </c>
      <c r="C386" s="52" t="s">
        <v>1613</v>
      </c>
      <c r="D386" s="48">
        <v>2.62710111E8</v>
      </c>
      <c r="E386" s="51" t="s">
        <v>1616</v>
      </c>
      <c r="F386" s="48" t="s">
        <v>69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09">
        <v>12.0</v>
      </c>
      <c r="B387" s="51" t="s">
        <v>65</v>
      </c>
      <c r="C387" s="52" t="s">
        <v>1619</v>
      </c>
      <c r="D387" s="48">
        <v>2.62710134E8</v>
      </c>
      <c r="E387" s="51" t="s">
        <v>1622</v>
      </c>
      <c r="F387" s="48" t="s">
        <v>92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09">
        <v>13.0</v>
      </c>
      <c r="B388" s="51" t="s">
        <v>76</v>
      </c>
      <c r="C388" s="52" t="s">
        <v>1626</v>
      </c>
      <c r="D388" s="48">
        <v>2.62710135E8</v>
      </c>
      <c r="E388" s="51" t="s">
        <v>1629</v>
      </c>
      <c r="F388" s="48" t="s">
        <v>92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09">
        <v>14.0</v>
      </c>
      <c r="B389" s="51" t="s">
        <v>76</v>
      </c>
      <c r="C389" s="52" t="s">
        <v>1634</v>
      </c>
      <c r="D389" s="48">
        <v>2.62710163E8</v>
      </c>
      <c r="E389" s="51" t="s">
        <v>1636</v>
      </c>
      <c r="F389" s="48" t="s">
        <v>69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09">
        <v>15.0</v>
      </c>
      <c r="B390" s="51" t="s">
        <v>65</v>
      </c>
      <c r="C390" s="52" t="s">
        <v>1641</v>
      </c>
      <c r="D390" s="48">
        <v>2.62710166E8</v>
      </c>
      <c r="E390" s="51" t="s">
        <v>1643</v>
      </c>
      <c r="F390" s="48" t="s">
        <v>92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09">
        <v>16.0</v>
      </c>
      <c r="B391" s="51" t="s">
        <v>76</v>
      </c>
      <c r="C391" s="52" t="s">
        <v>1652</v>
      </c>
      <c r="D391" s="48">
        <v>2.62710188E8</v>
      </c>
      <c r="E391" s="51" t="s">
        <v>1653</v>
      </c>
      <c r="F391" s="48" t="s">
        <v>69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09">
        <v>17.0</v>
      </c>
      <c r="B392" s="51" t="s">
        <v>76</v>
      </c>
      <c r="C392" s="52" t="s">
        <v>1659</v>
      </c>
      <c r="D392" s="48">
        <v>2.62710206E8</v>
      </c>
      <c r="E392" s="51" t="s">
        <v>1661</v>
      </c>
      <c r="F392" s="48" t="s">
        <v>69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09">
        <v>18.0</v>
      </c>
      <c r="B393" s="51" t="s">
        <v>65</v>
      </c>
      <c r="C393" s="52" t="s">
        <v>1666</v>
      </c>
      <c r="D393" s="48">
        <v>2.6271023E8</v>
      </c>
      <c r="E393" s="51" t="s">
        <v>1667</v>
      </c>
      <c r="F393" s="48" t="s">
        <v>92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09">
        <v>19.0</v>
      </c>
      <c r="B394" s="51" t="s">
        <v>76</v>
      </c>
      <c r="C394" s="52" t="s">
        <v>1672</v>
      </c>
      <c r="D394" s="48">
        <v>2.62710237E8</v>
      </c>
      <c r="E394" s="51" t="s">
        <v>1673</v>
      </c>
      <c r="F394" s="48" t="s">
        <v>92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09">
        <v>20.0</v>
      </c>
      <c r="B395" s="51" t="s">
        <v>65</v>
      </c>
      <c r="C395" s="52" t="s">
        <v>1678</v>
      </c>
      <c r="D395" s="48">
        <v>2.62710269E8</v>
      </c>
      <c r="E395" s="51" t="s">
        <v>1679</v>
      </c>
      <c r="F395" s="48" t="s">
        <v>69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09">
        <v>21.0</v>
      </c>
      <c r="B396" s="51" t="s">
        <v>76</v>
      </c>
      <c r="C396" s="52" t="s">
        <v>1682</v>
      </c>
      <c r="D396" s="48">
        <v>2.62710276E8</v>
      </c>
      <c r="E396" s="51" t="s">
        <v>1684</v>
      </c>
      <c r="F396" s="48" t="s">
        <v>92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09">
        <v>22.0</v>
      </c>
      <c r="B397" s="51" t="s">
        <v>76</v>
      </c>
      <c r="C397" s="52" t="s">
        <v>1686</v>
      </c>
      <c r="D397" s="48">
        <v>2.62710277E8</v>
      </c>
      <c r="E397" s="51" t="s">
        <v>1687</v>
      </c>
      <c r="F397" s="48" t="s">
        <v>92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09">
        <v>23.0</v>
      </c>
      <c r="B398" s="51" t="s">
        <v>71</v>
      </c>
      <c r="C398" s="52" t="s">
        <v>1690</v>
      </c>
      <c r="D398" s="48">
        <v>2.62710283E8</v>
      </c>
      <c r="E398" s="51" t="s">
        <v>1692</v>
      </c>
      <c r="F398" s="48" t="s">
        <v>69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09">
        <v>24.0</v>
      </c>
      <c r="B399" s="51" t="s">
        <v>76</v>
      </c>
      <c r="C399" s="52" t="s">
        <v>1696</v>
      </c>
      <c r="D399" s="48">
        <v>2.62710288E8</v>
      </c>
      <c r="E399" s="51" t="s">
        <v>1698</v>
      </c>
      <c r="F399" s="48" t="s">
        <v>69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09">
        <v>25.0</v>
      </c>
      <c r="B400" s="51" t="s">
        <v>76</v>
      </c>
      <c r="C400" s="52" t="s">
        <v>1703</v>
      </c>
      <c r="D400" s="48">
        <v>2.62710291E8</v>
      </c>
      <c r="E400" s="51" t="s">
        <v>1704</v>
      </c>
      <c r="F400" s="48" t="s">
        <v>69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09">
        <v>26.0</v>
      </c>
      <c r="B401" s="51" t="s">
        <v>76</v>
      </c>
      <c r="C401" s="52" t="s">
        <v>1706</v>
      </c>
      <c r="D401" s="48">
        <v>2.62710301E8</v>
      </c>
      <c r="E401" s="51" t="s">
        <v>1708</v>
      </c>
      <c r="F401" s="48" t="s">
        <v>69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09">
        <v>27.0</v>
      </c>
      <c r="B402" s="51" t="s">
        <v>76</v>
      </c>
      <c r="C402" s="52" t="s">
        <v>1709</v>
      </c>
      <c r="D402" s="48">
        <v>2.62710315E8</v>
      </c>
      <c r="E402" s="51" t="s">
        <v>1710</v>
      </c>
      <c r="F402" s="48" t="s">
        <v>92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09">
        <v>28.0</v>
      </c>
      <c r="B403" s="51" t="s">
        <v>76</v>
      </c>
      <c r="C403" s="52" t="s">
        <v>1712</v>
      </c>
      <c r="D403" s="48">
        <v>2.62710318E8</v>
      </c>
      <c r="E403" s="51" t="s">
        <v>1715</v>
      </c>
      <c r="F403" s="48" t="s">
        <v>69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09">
        <v>29.0</v>
      </c>
      <c r="B404" s="51" t="s">
        <v>76</v>
      </c>
      <c r="C404" s="52" t="s">
        <v>1719</v>
      </c>
      <c r="D404" s="48">
        <v>2.62710334E8</v>
      </c>
      <c r="E404" s="51" t="s">
        <v>1721</v>
      </c>
      <c r="F404" s="48" t="s">
        <v>92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09">
        <v>30.0</v>
      </c>
      <c r="B405" s="51" t="s">
        <v>76</v>
      </c>
      <c r="C405" s="52" t="s">
        <v>1724</v>
      </c>
      <c r="D405" s="48">
        <v>2.62710356E8</v>
      </c>
      <c r="E405" s="51" t="s">
        <v>1725</v>
      </c>
      <c r="F405" s="48" t="s">
        <v>92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09">
        <v>31.0</v>
      </c>
      <c r="B406" s="51" t="s">
        <v>65</v>
      </c>
      <c r="C406" s="48">
        <v>3.103654575E9</v>
      </c>
      <c r="D406" s="48">
        <v>2.62710359E8</v>
      </c>
      <c r="E406" s="51" t="s">
        <v>1728</v>
      </c>
      <c r="F406" s="48" t="s">
        <v>92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81" t="s">
        <v>205</v>
      </c>
      <c r="F407" s="82">
        <f>COUNTIF(F376:F406,"P")</f>
        <v>16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81" t="s">
        <v>214</v>
      </c>
      <c r="F408" s="82">
        <f>COUNTIF(F377:F407,"L")</f>
        <v>14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27" t="s">
        <v>20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27" t="s">
        <v>1740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27" t="s">
        <v>37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 t="s">
        <v>1743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48" t="s">
        <v>13</v>
      </c>
      <c r="B415" s="48" t="s">
        <v>59</v>
      </c>
      <c r="C415" s="48" t="s">
        <v>60</v>
      </c>
      <c r="D415" s="48" t="s">
        <v>61</v>
      </c>
      <c r="E415" s="48" t="s">
        <v>63</v>
      </c>
      <c r="F415" s="48" t="s">
        <v>64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09">
        <v>1.0</v>
      </c>
      <c r="B416" s="51" t="s">
        <v>76</v>
      </c>
      <c r="C416" s="48">
        <v>3.115761356E9</v>
      </c>
      <c r="D416" s="48">
        <v>2.62710032E8</v>
      </c>
      <c r="E416" s="51" t="s">
        <v>1751</v>
      </c>
      <c r="F416" s="48" t="s">
        <v>69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09">
        <v>2.0</v>
      </c>
      <c r="B417" s="51" t="s">
        <v>76</v>
      </c>
      <c r="C417" s="52" t="s">
        <v>1753</v>
      </c>
      <c r="D417" s="48">
        <v>2.62710046E8</v>
      </c>
      <c r="E417" s="51" t="s">
        <v>1755</v>
      </c>
      <c r="F417" s="48" t="s">
        <v>69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09">
        <v>3.0</v>
      </c>
      <c r="B418" s="51" t="s">
        <v>76</v>
      </c>
      <c r="C418" s="52" t="s">
        <v>1758</v>
      </c>
      <c r="D418" s="48">
        <v>2.62710066E8</v>
      </c>
      <c r="E418" s="51" t="s">
        <v>1759</v>
      </c>
      <c r="F418" s="48" t="s">
        <v>92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09">
        <v>4.0</v>
      </c>
      <c r="B419" s="51" t="s">
        <v>76</v>
      </c>
      <c r="C419" s="52" t="s">
        <v>1762</v>
      </c>
      <c r="D419" s="48">
        <v>2.62710077E8</v>
      </c>
      <c r="E419" s="51" t="s">
        <v>1763</v>
      </c>
      <c r="F419" s="48" t="s">
        <v>69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09">
        <v>5.0</v>
      </c>
      <c r="B420" s="51" t="s">
        <v>76</v>
      </c>
      <c r="C420" s="52" t="s">
        <v>1768</v>
      </c>
      <c r="D420" s="48">
        <v>2.62710079E8</v>
      </c>
      <c r="E420" s="51" t="s">
        <v>1769</v>
      </c>
      <c r="F420" s="48" t="s">
        <v>92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09">
        <v>6.0</v>
      </c>
      <c r="B421" s="51" t="s">
        <v>65</v>
      </c>
      <c r="C421" s="52" t="s">
        <v>1772</v>
      </c>
      <c r="D421" s="48">
        <v>2.62710085E8</v>
      </c>
      <c r="E421" s="51" t="s">
        <v>1773</v>
      </c>
      <c r="F421" s="48" t="s">
        <v>69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09">
        <v>7.0</v>
      </c>
      <c r="B422" s="51" t="s">
        <v>76</v>
      </c>
      <c r="C422" s="52" t="s">
        <v>1778</v>
      </c>
      <c r="D422" s="48">
        <v>2.62710096E8</v>
      </c>
      <c r="E422" s="51" t="s">
        <v>1780</v>
      </c>
      <c r="F422" s="48" t="s">
        <v>92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09">
        <v>8.0</v>
      </c>
      <c r="B423" s="51" t="s">
        <v>76</v>
      </c>
      <c r="C423" s="52" t="s">
        <v>1782</v>
      </c>
      <c r="D423" s="48">
        <v>2.62710115E8</v>
      </c>
      <c r="E423" s="51" t="s">
        <v>1783</v>
      </c>
      <c r="F423" s="48" t="s">
        <v>69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09">
        <v>9.0</v>
      </c>
      <c r="B424" s="51" t="s">
        <v>171</v>
      </c>
      <c r="C424" s="52" t="s">
        <v>1785</v>
      </c>
      <c r="D424" s="48">
        <v>2.62710128E8</v>
      </c>
      <c r="E424" s="51" t="s">
        <v>1787</v>
      </c>
      <c r="F424" s="48" t="s">
        <v>69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09">
        <v>10.0</v>
      </c>
      <c r="B425" s="51" t="s">
        <v>65</v>
      </c>
      <c r="C425" s="52" t="s">
        <v>1790</v>
      </c>
      <c r="D425" s="48">
        <v>2.6271013E8</v>
      </c>
      <c r="E425" s="51" t="s">
        <v>1791</v>
      </c>
      <c r="F425" s="48" t="s">
        <v>92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09">
        <v>11.0</v>
      </c>
      <c r="B426" s="51" t="s">
        <v>76</v>
      </c>
      <c r="C426" s="48">
        <v>3.101750597E9</v>
      </c>
      <c r="D426" s="48">
        <v>2.62710139E8</v>
      </c>
      <c r="E426" s="51" t="s">
        <v>1793</v>
      </c>
      <c r="F426" s="48" t="s">
        <v>92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09">
        <v>12.0</v>
      </c>
      <c r="B427" s="51" t="s">
        <v>71</v>
      </c>
      <c r="C427" s="52" t="s">
        <v>1814</v>
      </c>
      <c r="D427" s="48">
        <v>2.62710145E8</v>
      </c>
      <c r="E427" s="51" t="s">
        <v>1815</v>
      </c>
      <c r="F427" s="48" t="s">
        <v>69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09">
        <v>13.0</v>
      </c>
      <c r="B428" s="51" t="s">
        <v>76</v>
      </c>
      <c r="C428" s="52" t="s">
        <v>1820</v>
      </c>
      <c r="D428" s="48">
        <v>2.62710175E8</v>
      </c>
      <c r="E428" s="51" t="s">
        <v>1823</v>
      </c>
      <c r="F428" s="48" t="s">
        <v>69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09">
        <v>14.0</v>
      </c>
      <c r="B429" s="51" t="s">
        <v>76</v>
      </c>
      <c r="C429" s="52" t="s">
        <v>1828</v>
      </c>
      <c r="D429" s="48">
        <v>2.62710179E8</v>
      </c>
      <c r="E429" s="51" t="s">
        <v>1829</v>
      </c>
      <c r="F429" s="48" t="s">
        <v>69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09">
        <v>15.0</v>
      </c>
      <c r="B430" s="51" t="s">
        <v>76</v>
      </c>
      <c r="C430" s="52" t="s">
        <v>1830</v>
      </c>
      <c r="D430" s="48">
        <v>2.62710191E8</v>
      </c>
      <c r="E430" s="51" t="s">
        <v>1831</v>
      </c>
      <c r="F430" s="48" t="s">
        <v>69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09">
        <v>16.0</v>
      </c>
      <c r="B431" s="51" t="s">
        <v>76</v>
      </c>
      <c r="C431" s="52" t="s">
        <v>1834</v>
      </c>
      <c r="D431" s="48">
        <v>2.62710199E8</v>
      </c>
      <c r="E431" s="51" t="s">
        <v>1835</v>
      </c>
      <c r="F431" s="48" t="s">
        <v>69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09">
        <v>17.0</v>
      </c>
      <c r="B432" s="51" t="s">
        <v>76</v>
      </c>
      <c r="C432" s="52" t="s">
        <v>1837</v>
      </c>
      <c r="D432" s="48">
        <v>2.627102E8</v>
      </c>
      <c r="E432" s="51" t="s">
        <v>1839</v>
      </c>
      <c r="F432" s="48" t="s">
        <v>69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09">
        <v>18.0</v>
      </c>
      <c r="B433" s="51" t="s">
        <v>76</v>
      </c>
      <c r="C433" s="52" t="s">
        <v>1840</v>
      </c>
      <c r="D433" s="48">
        <v>2.62710225E8</v>
      </c>
      <c r="E433" s="51" t="s">
        <v>1841</v>
      </c>
      <c r="F433" s="48" t="s">
        <v>92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09">
        <v>19.0</v>
      </c>
      <c r="B434" s="51" t="s">
        <v>76</v>
      </c>
      <c r="C434" s="52" t="s">
        <v>1844</v>
      </c>
      <c r="D434" s="48">
        <v>2.62710227E8</v>
      </c>
      <c r="E434" s="51" t="s">
        <v>1845</v>
      </c>
      <c r="F434" s="48" t="s">
        <v>92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09">
        <v>20.0</v>
      </c>
      <c r="B435" s="51" t="s">
        <v>76</v>
      </c>
      <c r="C435" s="52" t="s">
        <v>1848</v>
      </c>
      <c r="D435" s="48">
        <v>2.62710229E8</v>
      </c>
      <c r="E435" s="51" t="s">
        <v>1849</v>
      </c>
      <c r="F435" s="48" t="s">
        <v>92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09">
        <v>21.0</v>
      </c>
      <c r="B436" s="51" t="s">
        <v>65</v>
      </c>
      <c r="C436" s="52" t="s">
        <v>1853</v>
      </c>
      <c r="D436" s="48">
        <v>2.62710244E8</v>
      </c>
      <c r="E436" s="51" t="s">
        <v>1854</v>
      </c>
      <c r="F436" s="48" t="s">
        <v>92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09">
        <v>22.0</v>
      </c>
      <c r="B437" s="51" t="s">
        <v>76</v>
      </c>
      <c r="C437" s="52" t="s">
        <v>1858</v>
      </c>
      <c r="D437" s="48">
        <v>2.62710247E8</v>
      </c>
      <c r="E437" s="51" t="s">
        <v>1859</v>
      </c>
      <c r="F437" s="48" t="s">
        <v>92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09">
        <v>23.0</v>
      </c>
      <c r="B438" s="51" t="s">
        <v>76</v>
      </c>
      <c r="C438" s="52" t="s">
        <v>1862</v>
      </c>
      <c r="D438" s="48">
        <v>2.6271029E8</v>
      </c>
      <c r="E438" s="51" t="s">
        <v>1864</v>
      </c>
      <c r="F438" s="48" t="s">
        <v>92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09">
        <v>24.0</v>
      </c>
      <c r="B439" s="51" t="s">
        <v>76</v>
      </c>
      <c r="C439" s="52" t="s">
        <v>1867</v>
      </c>
      <c r="D439" s="48">
        <v>2.627103E8</v>
      </c>
      <c r="E439" s="51" t="s">
        <v>1870</v>
      </c>
      <c r="F439" s="48" t="s">
        <v>92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09">
        <v>25.0</v>
      </c>
      <c r="B440" s="51" t="s">
        <v>76</v>
      </c>
      <c r="C440" s="52" t="s">
        <v>1874</v>
      </c>
      <c r="D440" s="48">
        <v>2.62710306E8</v>
      </c>
      <c r="E440" s="51" t="s">
        <v>1876</v>
      </c>
      <c r="F440" s="48" t="s">
        <v>69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09">
        <v>26.0</v>
      </c>
      <c r="B441" s="51" t="s">
        <v>65</v>
      </c>
      <c r="C441" s="52" t="s">
        <v>1881</v>
      </c>
      <c r="D441" s="48">
        <v>2.62710311E8</v>
      </c>
      <c r="E441" s="51" t="s">
        <v>1882</v>
      </c>
      <c r="F441" s="48" t="s">
        <v>92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09">
        <v>27.0</v>
      </c>
      <c r="B442" s="51" t="s">
        <v>71</v>
      </c>
      <c r="C442" s="52" t="s">
        <v>1884</v>
      </c>
      <c r="D442" s="48">
        <v>2.62710313E8</v>
      </c>
      <c r="E442" s="51" t="s">
        <v>1885</v>
      </c>
      <c r="F442" s="48" t="s">
        <v>69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09">
        <v>28.0</v>
      </c>
      <c r="B443" s="51" t="s">
        <v>76</v>
      </c>
      <c r="C443" s="52" t="s">
        <v>1888</v>
      </c>
      <c r="D443" s="48">
        <v>2.62710364E8</v>
      </c>
      <c r="E443" s="51" t="s">
        <v>1889</v>
      </c>
      <c r="F443" s="48" t="s">
        <v>92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09">
        <v>29.0</v>
      </c>
      <c r="B444" s="51" t="s">
        <v>65</v>
      </c>
      <c r="C444" s="52" t="s">
        <v>1891</v>
      </c>
      <c r="D444" s="48">
        <v>2.62710369E8</v>
      </c>
      <c r="E444" s="51" t="s">
        <v>1893</v>
      </c>
      <c r="F444" s="48" t="s">
        <v>92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09">
        <v>30.0</v>
      </c>
      <c r="B445" s="51" t="s">
        <v>76</v>
      </c>
      <c r="C445" s="52" t="s">
        <v>1897</v>
      </c>
      <c r="D445" s="48">
        <v>2.62710371E8</v>
      </c>
      <c r="E445" s="51" t="s">
        <v>1898</v>
      </c>
      <c r="F445" s="48" t="s">
        <v>92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09">
        <v>31.0</v>
      </c>
      <c r="B446" s="51" t="s">
        <v>76</v>
      </c>
      <c r="C446" s="52" t="s">
        <v>1901</v>
      </c>
      <c r="D446" s="48">
        <v>2.62710373E8</v>
      </c>
      <c r="E446" s="51" t="s">
        <v>1902</v>
      </c>
      <c r="F446" s="48" t="s">
        <v>69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81" t="s">
        <v>205</v>
      </c>
      <c r="F447" s="82">
        <f>COUNTIF(F416:F446,"P")</f>
        <v>15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81" t="s">
        <v>214</v>
      </c>
      <c r="F448" s="82">
        <f>COUNTIF(F417:F447,"L")</f>
        <v>16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27" t="s">
        <v>20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27" t="s">
        <v>1918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27" t="s">
        <v>37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 t="s">
        <v>1922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48" t="s">
        <v>13</v>
      </c>
      <c r="B455" s="48" t="s">
        <v>59</v>
      </c>
      <c r="C455" s="48" t="s">
        <v>60</v>
      </c>
      <c r="D455" s="48" t="s">
        <v>61</v>
      </c>
      <c r="E455" s="48" t="s">
        <v>63</v>
      </c>
      <c r="F455" s="48" t="s">
        <v>64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33">
        <v>1.0</v>
      </c>
      <c r="B456" s="51" t="s">
        <v>76</v>
      </c>
      <c r="C456" s="52" t="s">
        <v>1926</v>
      </c>
      <c r="D456" s="48">
        <v>2.62710009E8</v>
      </c>
      <c r="E456" s="51" t="s">
        <v>1927</v>
      </c>
      <c r="F456" s="48" t="s">
        <v>92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33">
        <v>2.0</v>
      </c>
      <c r="B457" s="51" t="s">
        <v>71</v>
      </c>
      <c r="C457" s="52" t="s">
        <v>1930</v>
      </c>
      <c r="D457" s="48">
        <v>2.62710012E8</v>
      </c>
      <c r="E457" s="51" t="s">
        <v>1931</v>
      </c>
      <c r="F457" s="48" t="s">
        <v>92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33">
        <v>3.0</v>
      </c>
      <c r="B458" s="51" t="s">
        <v>76</v>
      </c>
      <c r="C458" s="52" t="s">
        <v>1932</v>
      </c>
      <c r="D458" s="48">
        <v>2.62710015E8</v>
      </c>
      <c r="E458" s="51" t="s">
        <v>1933</v>
      </c>
      <c r="F458" s="48" t="s">
        <v>92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33">
        <v>4.0</v>
      </c>
      <c r="B459" s="51" t="s">
        <v>76</v>
      </c>
      <c r="C459" s="52" t="s">
        <v>1936</v>
      </c>
      <c r="D459" s="48">
        <v>2.62710016E8</v>
      </c>
      <c r="E459" s="51" t="s">
        <v>1937</v>
      </c>
      <c r="F459" s="48" t="s">
        <v>69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33">
        <v>5.0</v>
      </c>
      <c r="B460" s="51" t="s">
        <v>76</v>
      </c>
      <c r="C460" s="52" t="s">
        <v>1938</v>
      </c>
      <c r="D460" s="48">
        <v>2.62710026E8</v>
      </c>
      <c r="E460" s="51" t="s">
        <v>1939</v>
      </c>
      <c r="F460" s="48" t="s">
        <v>92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33">
        <v>6.0</v>
      </c>
      <c r="B461" s="51" t="s">
        <v>65</v>
      </c>
      <c r="C461" s="52" t="s">
        <v>1941</v>
      </c>
      <c r="D461" s="48">
        <v>2.6271003E8</v>
      </c>
      <c r="E461" s="51" t="s">
        <v>1943</v>
      </c>
      <c r="F461" s="48" t="s">
        <v>69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33">
        <v>7.0</v>
      </c>
      <c r="B462" s="51" t="s">
        <v>76</v>
      </c>
      <c r="C462" s="48">
        <v>3.115756209E9</v>
      </c>
      <c r="D462" s="48">
        <v>2.62710065E8</v>
      </c>
      <c r="E462" s="51" t="s">
        <v>1945</v>
      </c>
      <c r="F462" s="48" t="s">
        <v>92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33">
        <v>8.0</v>
      </c>
      <c r="B463" s="51" t="s">
        <v>65</v>
      </c>
      <c r="C463" s="48">
        <v>3.104081228E9</v>
      </c>
      <c r="D463" s="48">
        <v>2.62710069E8</v>
      </c>
      <c r="E463" s="51" t="s">
        <v>1948</v>
      </c>
      <c r="F463" s="48" t="s">
        <v>69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33">
        <v>9.0</v>
      </c>
      <c r="B464" s="51" t="s">
        <v>71</v>
      </c>
      <c r="C464" s="52" t="s">
        <v>1950</v>
      </c>
      <c r="D464" s="48">
        <v>2.62710075E8</v>
      </c>
      <c r="E464" s="51" t="s">
        <v>1951</v>
      </c>
      <c r="F464" s="48" t="s">
        <v>92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33">
        <v>10.0</v>
      </c>
      <c r="B465" s="51" t="s">
        <v>76</v>
      </c>
      <c r="C465" s="52" t="s">
        <v>1952</v>
      </c>
      <c r="D465" s="48">
        <v>2.62710094E8</v>
      </c>
      <c r="E465" s="51" t="s">
        <v>1955</v>
      </c>
      <c r="F465" s="48" t="s">
        <v>69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33">
        <v>11.0</v>
      </c>
      <c r="B466" s="51" t="s">
        <v>76</v>
      </c>
      <c r="C466" s="48">
        <v>3.102510779E9</v>
      </c>
      <c r="D466" s="48">
        <v>2.62710108E8</v>
      </c>
      <c r="E466" s="51" t="s">
        <v>1958</v>
      </c>
      <c r="F466" s="48" t="s">
        <v>92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33">
        <v>12.0</v>
      </c>
      <c r="B467" s="51" t="s">
        <v>76</v>
      </c>
      <c r="C467" s="52" t="s">
        <v>1960</v>
      </c>
      <c r="D467" s="48">
        <v>2.6271012E8</v>
      </c>
      <c r="E467" s="51" t="s">
        <v>1962</v>
      </c>
      <c r="F467" s="48" t="s">
        <v>92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33">
        <v>13.0</v>
      </c>
      <c r="B468" s="51" t="s">
        <v>76</v>
      </c>
      <c r="C468" s="52" t="s">
        <v>1966</v>
      </c>
      <c r="D468" s="48">
        <v>2.62710122E8</v>
      </c>
      <c r="E468" s="51" t="s">
        <v>1968</v>
      </c>
      <c r="F468" s="48" t="s">
        <v>69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33">
        <v>14.0</v>
      </c>
      <c r="B469" s="51" t="s">
        <v>76</v>
      </c>
      <c r="C469" s="52" t="s">
        <v>1971</v>
      </c>
      <c r="D469" s="48">
        <v>2.62710144E8</v>
      </c>
      <c r="E469" s="51" t="s">
        <v>1972</v>
      </c>
      <c r="F469" s="48" t="s">
        <v>92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33">
        <v>15.0</v>
      </c>
      <c r="B470" s="51" t="s">
        <v>65</v>
      </c>
      <c r="C470" s="52" t="s">
        <v>1976</v>
      </c>
      <c r="D470" s="48">
        <v>2.62710151E8</v>
      </c>
      <c r="E470" s="51" t="s">
        <v>1977</v>
      </c>
      <c r="F470" s="48" t="s">
        <v>69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33">
        <v>16.0</v>
      </c>
      <c r="B471" s="51" t="s">
        <v>76</v>
      </c>
      <c r="C471" s="52" t="s">
        <v>1980</v>
      </c>
      <c r="D471" s="48">
        <v>2.62710178E8</v>
      </c>
      <c r="E471" s="51" t="s">
        <v>1981</v>
      </c>
      <c r="F471" s="48" t="s">
        <v>69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33">
        <v>17.0</v>
      </c>
      <c r="B472" s="51" t="s">
        <v>76</v>
      </c>
      <c r="C472" s="52" t="s">
        <v>1986</v>
      </c>
      <c r="D472" s="48">
        <v>2.6271019E8</v>
      </c>
      <c r="E472" s="51" t="s">
        <v>1988</v>
      </c>
      <c r="F472" s="48" t="s">
        <v>69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33">
        <v>18.0</v>
      </c>
      <c r="B473" s="51" t="s">
        <v>65</v>
      </c>
      <c r="C473" s="52" t="s">
        <v>1996</v>
      </c>
      <c r="D473" s="48">
        <v>2.62710192E8</v>
      </c>
      <c r="E473" s="51" t="s">
        <v>1998</v>
      </c>
      <c r="F473" s="48" t="s">
        <v>69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33">
        <v>19.0</v>
      </c>
      <c r="B474" s="51" t="s">
        <v>76</v>
      </c>
      <c r="C474" s="52" t="s">
        <v>2002</v>
      </c>
      <c r="D474" s="48">
        <v>2.62710193E8</v>
      </c>
      <c r="E474" s="51" t="s">
        <v>2004</v>
      </c>
      <c r="F474" s="48" t="s">
        <v>69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33">
        <v>20.0</v>
      </c>
      <c r="B475" s="51" t="s">
        <v>76</v>
      </c>
      <c r="C475" s="52" t="s">
        <v>2008</v>
      </c>
      <c r="D475" s="48">
        <v>2.62710204E8</v>
      </c>
      <c r="E475" s="51" t="s">
        <v>2011</v>
      </c>
      <c r="F475" s="48" t="s">
        <v>69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33">
        <v>21.0</v>
      </c>
      <c r="B476" s="51" t="s">
        <v>76</v>
      </c>
      <c r="C476" s="52" t="s">
        <v>2014</v>
      </c>
      <c r="D476" s="48">
        <v>2.62710218E8</v>
      </c>
      <c r="E476" s="51" t="s">
        <v>2015</v>
      </c>
      <c r="F476" s="48" t="s">
        <v>92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33">
        <v>22.0</v>
      </c>
      <c r="B477" s="51" t="s">
        <v>76</v>
      </c>
      <c r="C477" s="52" t="s">
        <v>2019</v>
      </c>
      <c r="D477" s="48">
        <v>2.62710228E8</v>
      </c>
      <c r="E477" s="51" t="s">
        <v>2020</v>
      </c>
      <c r="F477" s="48" t="s">
        <v>92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33">
        <v>23.0</v>
      </c>
      <c r="B478" s="51" t="s">
        <v>76</v>
      </c>
      <c r="C478" s="52" t="s">
        <v>2024</v>
      </c>
      <c r="D478" s="48">
        <v>2.6271024E8</v>
      </c>
      <c r="E478" s="51" t="s">
        <v>2025</v>
      </c>
      <c r="F478" s="48" t="s">
        <v>92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33">
        <v>24.0</v>
      </c>
      <c r="B479" s="51" t="s">
        <v>76</v>
      </c>
      <c r="C479" s="52" t="s">
        <v>2030</v>
      </c>
      <c r="D479" s="48">
        <v>2.62710253E8</v>
      </c>
      <c r="E479" s="51" t="s">
        <v>2031</v>
      </c>
      <c r="F479" s="48" t="s">
        <v>92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33">
        <v>25.0</v>
      </c>
      <c r="B480" s="51" t="s">
        <v>76</v>
      </c>
      <c r="C480" s="52" t="s">
        <v>2033</v>
      </c>
      <c r="D480" s="48">
        <v>2.62710254E8</v>
      </c>
      <c r="E480" s="51" t="s">
        <v>2035</v>
      </c>
      <c r="F480" s="48" t="s">
        <v>92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33">
        <v>26.0</v>
      </c>
      <c r="B481" s="51" t="s">
        <v>76</v>
      </c>
      <c r="C481" s="52" t="s">
        <v>2039</v>
      </c>
      <c r="D481" s="48">
        <v>2.62710323E8</v>
      </c>
      <c r="E481" s="51" t="s">
        <v>2041</v>
      </c>
      <c r="F481" s="48" t="s">
        <v>69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33">
        <v>27.0</v>
      </c>
      <c r="B482" s="51" t="s">
        <v>76</v>
      </c>
      <c r="C482" s="52" t="s">
        <v>2044</v>
      </c>
      <c r="D482" s="48">
        <v>2.62710328E8</v>
      </c>
      <c r="E482" s="51" t="s">
        <v>2046</v>
      </c>
      <c r="F482" s="48" t="s">
        <v>92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33">
        <v>28.0</v>
      </c>
      <c r="B483" s="51" t="s">
        <v>76</v>
      </c>
      <c r="C483" s="52" t="s">
        <v>2051</v>
      </c>
      <c r="D483" s="48">
        <v>2.6271033E8</v>
      </c>
      <c r="E483" s="51" t="s">
        <v>2052</v>
      </c>
      <c r="F483" s="48" t="s">
        <v>69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33">
        <v>29.0</v>
      </c>
      <c r="B484" s="51" t="s">
        <v>65</v>
      </c>
      <c r="C484" s="48">
        <v>3.108827416E9</v>
      </c>
      <c r="D484" s="48">
        <v>2.62710337E8</v>
      </c>
      <c r="E484" s="51" t="s">
        <v>2055</v>
      </c>
      <c r="F484" s="48" t="s">
        <v>69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33">
        <v>30.0</v>
      </c>
      <c r="B485" s="51" t="s">
        <v>65</v>
      </c>
      <c r="C485" s="52" t="s">
        <v>2060</v>
      </c>
      <c r="D485" s="48">
        <v>2.62710347E8</v>
      </c>
      <c r="E485" s="51" t="s">
        <v>2061</v>
      </c>
      <c r="F485" s="48" t="s">
        <v>69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33">
        <v>31.0</v>
      </c>
      <c r="B486" s="51" t="s">
        <v>171</v>
      </c>
      <c r="C486" s="52" t="s">
        <v>2066</v>
      </c>
      <c r="D486" s="48">
        <v>2.6271037E8</v>
      </c>
      <c r="E486" s="51" t="s">
        <v>2068</v>
      </c>
      <c r="F486" s="48" t="s">
        <v>69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4" t="s">
        <v>205</v>
      </c>
      <c r="F487" s="82">
        <f>COUNTIF(F456:F486,"P")</f>
        <v>16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4" t="s">
        <v>214</v>
      </c>
      <c r="F488" s="82">
        <f>COUNTIF(F457:F487,"L")</f>
        <v>14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mergeCells count="37">
    <mergeCell ref="A1:F1"/>
    <mergeCell ref="A3:F3"/>
    <mergeCell ref="A4:F4"/>
    <mergeCell ref="A5:F5"/>
    <mergeCell ref="A44:F44"/>
    <mergeCell ref="A45:F45"/>
    <mergeCell ref="A46:F46"/>
    <mergeCell ref="A85:F85"/>
    <mergeCell ref="A86:F86"/>
    <mergeCell ref="A87:F87"/>
    <mergeCell ref="A126:F126"/>
    <mergeCell ref="A127:F127"/>
    <mergeCell ref="A128:F128"/>
    <mergeCell ref="A167:F167"/>
    <mergeCell ref="A168:F168"/>
    <mergeCell ref="A169:F169"/>
    <mergeCell ref="A208:F208"/>
    <mergeCell ref="A209:F209"/>
    <mergeCell ref="A210:F210"/>
    <mergeCell ref="A249:F249"/>
    <mergeCell ref="A250:F250"/>
    <mergeCell ref="A251:F251"/>
    <mergeCell ref="A290:F290"/>
    <mergeCell ref="A291:F291"/>
    <mergeCell ref="A292:F292"/>
    <mergeCell ref="A331:F331"/>
    <mergeCell ref="A332:F332"/>
    <mergeCell ref="A333:F333"/>
    <mergeCell ref="A452:F452"/>
    <mergeCell ref="A453:F453"/>
    <mergeCell ref="A371:F371"/>
    <mergeCell ref="A372:F372"/>
    <mergeCell ref="A373:F373"/>
    <mergeCell ref="A411:F411"/>
    <mergeCell ref="A412:F412"/>
    <mergeCell ref="A413:F413"/>
    <mergeCell ref="A451:F4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9.13"/>
    <col customWidth="1" min="4" max="4" width="7.75"/>
  </cols>
  <sheetData>
    <row r="1">
      <c r="A1" s="6" t="s">
        <v>616</v>
      </c>
      <c r="B1" s="8"/>
      <c r="C1" s="8"/>
      <c r="D1" s="8"/>
      <c r="E1" s="117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117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7" t="s">
        <v>20</v>
      </c>
      <c r="E3" s="117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7" t="s">
        <v>623</v>
      </c>
      <c r="E4" s="117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7" t="s">
        <v>37</v>
      </c>
      <c r="E5" s="117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 t="s">
        <v>627</v>
      </c>
      <c r="B6" s="29"/>
      <c r="C6" s="29"/>
      <c r="D6" s="29"/>
      <c r="E6" s="117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18" t="s">
        <v>13</v>
      </c>
      <c r="B7" s="118" t="s">
        <v>630</v>
      </c>
      <c r="C7" s="118" t="s">
        <v>15</v>
      </c>
      <c r="D7" s="118" t="s">
        <v>631</v>
      </c>
      <c r="E7" s="119" t="s">
        <v>16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09">
        <v>1.0</v>
      </c>
      <c r="B8" s="120" t="s">
        <v>632</v>
      </c>
      <c r="C8" s="121" t="s">
        <v>635</v>
      </c>
      <c r="D8" s="122" t="s">
        <v>92</v>
      </c>
      <c r="E8" s="119" t="s">
        <v>150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09">
        <v>2.0</v>
      </c>
      <c r="B9" s="120" t="s">
        <v>638</v>
      </c>
      <c r="C9" s="121" t="s">
        <v>639</v>
      </c>
      <c r="D9" s="109" t="s">
        <v>69</v>
      </c>
      <c r="E9" s="119" t="s">
        <v>150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09">
        <v>3.0</v>
      </c>
      <c r="B10" s="120" t="s">
        <v>644</v>
      </c>
      <c r="C10" s="121" t="s">
        <v>62</v>
      </c>
      <c r="D10" s="109" t="s">
        <v>69</v>
      </c>
      <c r="E10" s="119" t="s">
        <v>150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09">
        <v>4.0</v>
      </c>
      <c r="B11" s="109" t="s">
        <v>647</v>
      </c>
      <c r="C11" s="123" t="s">
        <v>648</v>
      </c>
      <c r="D11" s="109" t="s">
        <v>69</v>
      </c>
      <c r="E11" s="119" t="s">
        <v>150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09">
        <v>5.0</v>
      </c>
      <c r="B12" s="120" t="s">
        <v>649</v>
      </c>
      <c r="C12" s="121" t="s">
        <v>650</v>
      </c>
      <c r="D12" s="109" t="s">
        <v>92</v>
      </c>
      <c r="E12" s="119" t="s">
        <v>150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09">
        <v>6.0</v>
      </c>
      <c r="B13" s="120" t="s">
        <v>655</v>
      </c>
      <c r="C13" s="121" t="s">
        <v>656</v>
      </c>
      <c r="D13" s="109" t="s">
        <v>92</v>
      </c>
      <c r="E13" s="119" t="s">
        <v>150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09">
        <v>7.0</v>
      </c>
      <c r="B14" s="120" t="s">
        <v>659</v>
      </c>
      <c r="C14" s="121" t="s">
        <v>661</v>
      </c>
      <c r="D14" s="109" t="s">
        <v>92</v>
      </c>
      <c r="E14" s="119" t="s">
        <v>150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109">
        <v>8.0</v>
      </c>
      <c r="B15" s="120" t="s">
        <v>665</v>
      </c>
      <c r="C15" s="121" t="s">
        <v>666</v>
      </c>
      <c r="D15" s="109" t="s">
        <v>92</v>
      </c>
      <c r="E15" s="119" t="s">
        <v>150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09">
        <v>9.0</v>
      </c>
      <c r="B16" s="120" t="s">
        <v>669</v>
      </c>
      <c r="C16" s="121" t="s">
        <v>671</v>
      </c>
      <c r="D16" s="109" t="s">
        <v>92</v>
      </c>
      <c r="E16" s="119" t="s">
        <v>150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9">
        <v>10.0</v>
      </c>
      <c r="B17" s="120" t="s">
        <v>675</v>
      </c>
      <c r="C17" s="121" t="s">
        <v>676</v>
      </c>
      <c r="D17" s="109" t="s">
        <v>69</v>
      </c>
      <c r="E17" s="119" t="s">
        <v>150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09">
        <v>11.0</v>
      </c>
      <c r="B18" s="120" t="s">
        <v>679</v>
      </c>
      <c r="C18" s="121" t="s">
        <v>680</v>
      </c>
      <c r="D18" s="109" t="s">
        <v>69</v>
      </c>
      <c r="E18" s="119" t="s">
        <v>150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09">
        <v>12.0</v>
      </c>
      <c r="B19" s="120" t="s">
        <v>681</v>
      </c>
      <c r="C19" s="121" t="s">
        <v>682</v>
      </c>
      <c r="D19" s="125" t="s">
        <v>92</v>
      </c>
      <c r="E19" s="119" t="s">
        <v>150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09">
        <v>13.0</v>
      </c>
      <c r="B20" s="120" t="s">
        <v>683</v>
      </c>
      <c r="C20" s="121" t="s">
        <v>684</v>
      </c>
      <c r="D20" s="109" t="s">
        <v>92</v>
      </c>
      <c r="E20" s="119" t="s">
        <v>150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09">
        <v>14.0</v>
      </c>
      <c r="B21" s="120" t="s">
        <v>685</v>
      </c>
      <c r="C21" s="121" t="s">
        <v>686</v>
      </c>
      <c r="D21" s="48" t="s">
        <v>69</v>
      </c>
      <c r="E21" s="119" t="s">
        <v>150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09">
        <v>15.0</v>
      </c>
      <c r="B22" s="120" t="s">
        <v>687</v>
      </c>
      <c r="C22" s="121" t="s">
        <v>688</v>
      </c>
      <c r="D22" s="125" t="s">
        <v>92</v>
      </c>
      <c r="E22" s="119" t="s">
        <v>150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109">
        <v>16.0</v>
      </c>
      <c r="B23" s="120" t="s">
        <v>690</v>
      </c>
      <c r="C23" s="121" t="s">
        <v>691</v>
      </c>
      <c r="D23" s="109" t="s">
        <v>69</v>
      </c>
      <c r="E23" s="119" t="s">
        <v>150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109">
        <v>17.0</v>
      </c>
      <c r="B24" s="120" t="s">
        <v>693</v>
      </c>
      <c r="C24" s="121" t="s">
        <v>694</v>
      </c>
      <c r="D24" s="109" t="s">
        <v>69</v>
      </c>
      <c r="E24" s="119" t="s">
        <v>150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109">
        <v>18.0</v>
      </c>
      <c r="B25" s="120" t="s">
        <v>696</v>
      </c>
      <c r="C25" s="121" t="s">
        <v>698</v>
      </c>
      <c r="D25" s="109" t="s">
        <v>69</v>
      </c>
      <c r="E25" s="119" t="s">
        <v>150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109">
        <v>19.0</v>
      </c>
      <c r="B26" s="120" t="s">
        <v>701</v>
      </c>
      <c r="C26" s="121" t="s">
        <v>702</v>
      </c>
      <c r="D26" s="109" t="s">
        <v>92</v>
      </c>
      <c r="E26" s="119" t="s">
        <v>150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109">
        <v>20.0</v>
      </c>
      <c r="B27" s="120" t="s">
        <v>706</v>
      </c>
      <c r="C27" s="121" t="s">
        <v>708</v>
      </c>
      <c r="D27" s="109" t="s">
        <v>69</v>
      </c>
      <c r="E27" s="119" t="s">
        <v>150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109">
        <v>21.0</v>
      </c>
      <c r="B28" s="120" t="s">
        <v>711</v>
      </c>
      <c r="C28" s="121" t="s">
        <v>712</v>
      </c>
      <c r="D28" s="109" t="s">
        <v>92</v>
      </c>
      <c r="E28" s="119" t="s">
        <v>150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109">
        <v>22.0</v>
      </c>
      <c r="B29" s="120" t="s">
        <v>717</v>
      </c>
      <c r="C29" s="121" t="s">
        <v>718</v>
      </c>
      <c r="D29" s="109" t="s">
        <v>69</v>
      </c>
      <c r="E29" s="119" t="s">
        <v>150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109">
        <v>23.0</v>
      </c>
      <c r="B30" s="120" t="s">
        <v>722</v>
      </c>
      <c r="C30" s="121" t="s">
        <v>724</v>
      </c>
      <c r="D30" s="109" t="s">
        <v>69</v>
      </c>
      <c r="E30" s="119" t="s">
        <v>150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109">
        <v>24.0</v>
      </c>
      <c r="B31" s="120" t="s">
        <v>727</v>
      </c>
      <c r="C31" s="121" t="s">
        <v>728</v>
      </c>
      <c r="D31" s="109" t="s">
        <v>69</v>
      </c>
      <c r="E31" s="119" t="s">
        <v>150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109">
        <v>25.0</v>
      </c>
      <c r="B32" s="120" t="s">
        <v>733</v>
      </c>
      <c r="C32" s="121" t="s">
        <v>734</v>
      </c>
      <c r="D32" s="109" t="s">
        <v>69</v>
      </c>
      <c r="E32" s="119" t="s">
        <v>150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109">
        <v>26.0</v>
      </c>
      <c r="B33" s="120" t="s">
        <v>737</v>
      </c>
      <c r="C33" s="121" t="s">
        <v>149</v>
      </c>
      <c r="D33" s="109" t="s">
        <v>92</v>
      </c>
      <c r="E33" s="119" t="s">
        <v>150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109">
        <v>27.0</v>
      </c>
      <c r="B34" s="120" t="s">
        <v>742</v>
      </c>
      <c r="C34" s="121" t="s">
        <v>743</v>
      </c>
      <c r="D34" s="109" t="s">
        <v>69</v>
      </c>
      <c r="E34" s="119" t="s">
        <v>150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109">
        <v>28.0</v>
      </c>
      <c r="B35" s="120" t="s">
        <v>749</v>
      </c>
      <c r="C35" s="121" t="s">
        <v>750</v>
      </c>
      <c r="D35" s="125" t="s">
        <v>92</v>
      </c>
      <c r="E35" s="119" t="s">
        <v>150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109">
        <v>29.0</v>
      </c>
      <c r="B36" s="120" t="s">
        <v>753</v>
      </c>
      <c r="C36" s="121" t="s">
        <v>755</v>
      </c>
      <c r="D36" s="109" t="s">
        <v>92</v>
      </c>
      <c r="E36" s="119" t="s">
        <v>150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109">
        <v>30.0</v>
      </c>
      <c r="B37" s="120" t="s">
        <v>759</v>
      </c>
      <c r="C37" s="121" t="s">
        <v>760</v>
      </c>
      <c r="D37" s="109" t="s">
        <v>92</v>
      </c>
      <c r="E37" s="119" t="s">
        <v>150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109">
        <v>31.0</v>
      </c>
      <c r="B38" s="120" t="s">
        <v>763</v>
      </c>
      <c r="C38" s="121" t="s">
        <v>764</v>
      </c>
      <c r="D38" s="125" t="s">
        <v>69</v>
      </c>
      <c r="E38" s="119" t="s">
        <v>150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109">
        <v>32.0</v>
      </c>
      <c r="B39" s="120" t="s">
        <v>769</v>
      </c>
      <c r="C39" s="121" t="s">
        <v>770</v>
      </c>
      <c r="D39" s="109" t="s">
        <v>92</v>
      </c>
      <c r="E39" s="119" t="s">
        <v>150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109">
        <v>33.0</v>
      </c>
      <c r="B40" s="120" t="s">
        <v>773</v>
      </c>
      <c r="C40" s="121" t="s">
        <v>774</v>
      </c>
      <c r="D40" s="109" t="s">
        <v>92</v>
      </c>
      <c r="E40" s="119" t="s">
        <v>150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109">
        <v>34.0</v>
      </c>
      <c r="B41" s="120" t="s">
        <v>775</v>
      </c>
      <c r="C41" s="121" t="s">
        <v>776</v>
      </c>
      <c r="D41" s="109" t="s">
        <v>92</v>
      </c>
      <c r="E41" s="119" t="s">
        <v>150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109">
        <v>35.0</v>
      </c>
      <c r="B42" s="120" t="s">
        <v>779</v>
      </c>
      <c r="C42" s="121" t="s">
        <v>102</v>
      </c>
      <c r="D42" s="109" t="s">
        <v>92</v>
      </c>
      <c r="E42" s="119" t="s">
        <v>150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109">
        <v>36.0</v>
      </c>
      <c r="B43" s="120" t="s">
        <v>780</v>
      </c>
      <c r="C43" s="121" t="s">
        <v>781</v>
      </c>
      <c r="D43" s="109" t="s">
        <v>69</v>
      </c>
      <c r="E43" s="119" t="s">
        <v>150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109">
        <v>37.0</v>
      </c>
      <c r="B44" s="120" t="s">
        <v>785</v>
      </c>
      <c r="C44" s="121" t="s">
        <v>786</v>
      </c>
      <c r="D44" s="109" t="s">
        <v>92</v>
      </c>
      <c r="E44" s="119" t="s">
        <v>150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109">
        <v>38.0</v>
      </c>
      <c r="B45" s="120" t="s">
        <v>790</v>
      </c>
      <c r="C45" s="121" t="s">
        <v>791</v>
      </c>
      <c r="D45" s="109" t="s">
        <v>69</v>
      </c>
      <c r="E45" s="119" t="s">
        <v>150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109">
        <v>39.0</v>
      </c>
      <c r="B46" s="120" t="s">
        <v>793</v>
      </c>
      <c r="C46" s="121" t="s">
        <v>794</v>
      </c>
      <c r="D46" s="109" t="s">
        <v>92</v>
      </c>
      <c r="E46" s="119" t="s">
        <v>150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109">
        <v>40.0</v>
      </c>
      <c r="B47" s="120" t="s">
        <v>796</v>
      </c>
      <c r="C47" s="121" t="s">
        <v>797</v>
      </c>
      <c r="D47" s="109" t="s">
        <v>69</v>
      </c>
      <c r="E47" s="119" t="s">
        <v>150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109">
        <v>41.0</v>
      </c>
      <c r="B48" s="120" t="s">
        <v>799</v>
      </c>
      <c r="C48" s="121" t="s">
        <v>801</v>
      </c>
      <c r="D48" s="125" t="s">
        <v>69</v>
      </c>
      <c r="E48" s="119" t="s">
        <v>150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109">
        <v>42.0</v>
      </c>
      <c r="B49" s="120" t="s">
        <v>804</v>
      </c>
      <c r="C49" s="121" t="s">
        <v>805</v>
      </c>
      <c r="D49" s="109" t="s">
        <v>69</v>
      </c>
      <c r="E49" s="119" t="s">
        <v>150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109">
        <v>43.0</v>
      </c>
      <c r="B50" s="120" t="s">
        <v>806</v>
      </c>
      <c r="C50" s="121" t="s">
        <v>807</v>
      </c>
      <c r="D50" s="109" t="s">
        <v>69</v>
      </c>
      <c r="E50" s="119" t="s">
        <v>150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109">
        <v>44.0</v>
      </c>
      <c r="B51" s="120" t="s">
        <v>808</v>
      </c>
      <c r="C51" s="121" t="s">
        <v>809</v>
      </c>
      <c r="D51" s="109" t="s">
        <v>92</v>
      </c>
      <c r="E51" s="119" t="s">
        <v>150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109">
        <v>45.0</v>
      </c>
      <c r="B52" s="120" t="s">
        <v>810</v>
      </c>
      <c r="C52" s="121" t="s">
        <v>811</v>
      </c>
      <c r="D52" s="109" t="s">
        <v>69</v>
      </c>
      <c r="E52" s="119" t="s">
        <v>150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109">
        <v>46.0</v>
      </c>
      <c r="B53" s="120" t="s">
        <v>812</v>
      </c>
      <c r="C53" s="121" t="s">
        <v>813</v>
      </c>
      <c r="D53" s="109" t="s">
        <v>92</v>
      </c>
      <c r="E53" s="119" t="s">
        <v>150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109">
        <v>47.0</v>
      </c>
      <c r="B54" s="120" t="s">
        <v>815</v>
      </c>
      <c r="C54" s="121" t="s">
        <v>816</v>
      </c>
      <c r="D54" s="109" t="s">
        <v>69</v>
      </c>
      <c r="E54" s="119" t="s">
        <v>150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117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126" t="s">
        <v>818</v>
      </c>
      <c r="D56" s="50">
        <f>COUNTIF(D8:D54, "L")</f>
        <v>23</v>
      </c>
      <c r="E56" s="117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126" t="s">
        <v>205</v>
      </c>
      <c r="D57" s="50">
        <f>COUNTIF(D8:D54, "P")</f>
        <v>24</v>
      </c>
      <c r="E57" s="117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117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117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7" t="s">
        <v>20</v>
      </c>
      <c r="E60" s="117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7" t="s">
        <v>835</v>
      </c>
      <c r="E61" s="11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7" t="s">
        <v>37</v>
      </c>
      <c r="E62" s="11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 t="s">
        <v>841</v>
      </c>
      <c r="B63" s="29"/>
      <c r="C63" s="29"/>
      <c r="D63" s="29"/>
      <c r="E63" s="11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118" t="s">
        <v>13</v>
      </c>
      <c r="B64" s="118" t="s">
        <v>630</v>
      </c>
      <c r="C64" s="118" t="s">
        <v>15</v>
      </c>
      <c r="D64" s="118" t="s">
        <v>631</v>
      </c>
      <c r="E64" s="128" t="s">
        <v>16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109">
        <v>1.0</v>
      </c>
      <c r="B65" s="120" t="s">
        <v>853</v>
      </c>
      <c r="C65" s="121" t="s">
        <v>854</v>
      </c>
      <c r="D65" s="109" t="s">
        <v>92</v>
      </c>
      <c r="E65" s="128" t="s">
        <v>140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109">
        <v>2.0</v>
      </c>
      <c r="B66" s="120" t="s">
        <v>864</v>
      </c>
      <c r="C66" s="121" t="s">
        <v>865</v>
      </c>
      <c r="D66" s="109" t="s">
        <v>69</v>
      </c>
      <c r="E66" s="128" t="s">
        <v>140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109">
        <v>3.0</v>
      </c>
      <c r="B67" s="120" t="s">
        <v>870</v>
      </c>
      <c r="C67" s="121" t="s">
        <v>872</v>
      </c>
      <c r="D67" s="109" t="s">
        <v>92</v>
      </c>
      <c r="E67" s="128" t="s">
        <v>140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109">
        <v>4.0</v>
      </c>
      <c r="B68" s="120" t="s">
        <v>878</v>
      </c>
      <c r="C68" s="121" t="s">
        <v>879</v>
      </c>
      <c r="D68" s="109" t="s">
        <v>69</v>
      </c>
      <c r="E68" s="128" t="s">
        <v>140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109">
        <v>5.0</v>
      </c>
      <c r="B69" s="120" t="s">
        <v>884</v>
      </c>
      <c r="C69" s="121" t="s">
        <v>885</v>
      </c>
      <c r="D69" s="109" t="s">
        <v>69</v>
      </c>
      <c r="E69" s="128" t="s">
        <v>140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109">
        <v>6.0</v>
      </c>
      <c r="B70" s="120" t="s">
        <v>890</v>
      </c>
      <c r="C70" s="121" t="s">
        <v>891</v>
      </c>
      <c r="D70" s="109" t="s">
        <v>69</v>
      </c>
      <c r="E70" s="128" t="s">
        <v>140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109">
        <v>7.0</v>
      </c>
      <c r="B71" s="120" t="s">
        <v>899</v>
      </c>
      <c r="C71" s="121" t="s">
        <v>901</v>
      </c>
      <c r="D71" s="109" t="s">
        <v>69</v>
      </c>
      <c r="E71" s="128" t="s">
        <v>140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109">
        <v>8.0</v>
      </c>
      <c r="B72" s="120" t="s">
        <v>906</v>
      </c>
      <c r="C72" s="121" t="s">
        <v>907</v>
      </c>
      <c r="D72" s="109" t="s">
        <v>69</v>
      </c>
      <c r="E72" s="128" t="s">
        <v>140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109">
        <v>9.0</v>
      </c>
      <c r="B73" s="120" t="s">
        <v>910</v>
      </c>
      <c r="C73" s="121" t="s">
        <v>911</v>
      </c>
      <c r="D73" s="109" t="s">
        <v>69</v>
      </c>
      <c r="E73" s="128" t="s">
        <v>140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109">
        <v>10.0</v>
      </c>
      <c r="B74" s="120" t="s">
        <v>916</v>
      </c>
      <c r="C74" s="121" t="s">
        <v>917</v>
      </c>
      <c r="D74" s="109" t="s">
        <v>92</v>
      </c>
      <c r="E74" s="128" t="s">
        <v>140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109">
        <v>11.0</v>
      </c>
      <c r="B75" s="120" t="s">
        <v>922</v>
      </c>
      <c r="C75" s="121" t="s">
        <v>923</v>
      </c>
      <c r="D75" s="109" t="s">
        <v>69</v>
      </c>
      <c r="E75" s="128" t="s">
        <v>140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109">
        <v>12.0</v>
      </c>
      <c r="B76" s="120" t="s">
        <v>926</v>
      </c>
      <c r="C76" s="121" t="s">
        <v>927</v>
      </c>
      <c r="D76" s="109" t="s">
        <v>69</v>
      </c>
      <c r="E76" s="128" t="s">
        <v>140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109">
        <v>13.0</v>
      </c>
      <c r="B77" s="120" t="s">
        <v>930</v>
      </c>
      <c r="C77" s="121" t="s">
        <v>285</v>
      </c>
      <c r="D77" s="109" t="s">
        <v>69</v>
      </c>
      <c r="E77" s="128" t="s">
        <v>140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109">
        <v>14.0</v>
      </c>
      <c r="B78" s="120" t="s">
        <v>943</v>
      </c>
      <c r="C78" s="121" t="s">
        <v>945</v>
      </c>
      <c r="D78" s="109" t="s">
        <v>69</v>
      </c>
      <c r="E78" s="128" t="s">
        <v>140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109">
        <v>15.0</v>
      </c>
      <c r="B79" s="120" t="s">
        <v>950</v>
      </c>
      <c r="C79" s="121" t="s">
        <v>952</v>
      </c>
      <c r="D79" s="109" t="s">
        <v>69</v>
      </c>
      <c r="E79" s="128" t="s">
        <v>140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109">
        <v>16.0</v>
      </c>
      <c r="B80" s="120" t="s">
        <v>957</v>
      </c>
      <c r="C80" s="121" t="s">
        <v>960</v>
      </c>
      <c r="D80" s="109" t="s">
        <v>69</v>
      </c>
      <c r="E80" s="128" t="s">
        <v>140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109">
        <v>17.0</v>
      </c>
      <c r="B81" s="120" t="s">
        <v>964</v>
      </c>
      <c r="C81" s="121" t="s">
        <v>965</v>
      </c>
      <c r="D81" s="109" t="s">
        <v>69</v>
      </c>
      <c r="E81" s="128" t="s">
        <v>140</v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109">
        <v>18.0</v>
      </c>
      <c r="B82" s="120" t="s">
        <v>968</v>
      </c>
      <c r="C82" s="121" t="s">
        <v>969</v>
      </c>
      <c r="D82" s="109" t="s">
        <v>69</v>
      </c>
      <c r="E82" s="128" t="s">
        <v>140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109">
        <v>19.0</v>
      </c>
      <c r="B83" s="120" t="s">
        <v>972</v>
      </c>
      <c r="C83" s="121" t="s">
        <v>973</v>
      </c>
      <c r="D83" s="109" t="s">
        <v>69</v>
      </c>
      <c r="E83" s="128" t="s">
        <v>140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109">
        <v>20.0</v>
      </c>
      <c r="B84" s="120" t="s">
        <v>976</v>
      </c>
      <c r="C84" s="121" t="s">
        <v>192</v>
      </c>
      <c r="D84" s="109" t="s">
        <v>69</v>
      </c>
      <c r="E84" s="128" t="s">
        <v>140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109">
        <v>21.0</v>
      </c>
      <c r="B85" s="120" t="s">
        <v>979</v>
      </c>
      <c r="C85" s="121" t="s">
        <v>982</v>
      </c>
      <c r="D85" s="109" t="s">
        <v>69</v>
      </c>
      <c r="E85" s="128" t="s">
        <v>140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109">
        <v>22.0</v>
      </c>
      <c r="B86" s="120" t="s">
        <v>988</v>
      </c>
      <c r="C86" s="121" t="s">
        <v>989</v>
      </c>
      <c r="D86" s="109" t="s">
        <v>69</v>
      </c>
      <c r="E86" s="128" t="s">
        <v>140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109">
        <v>23.0</v>
      </c>
      <c r="B87" s="120" t="s">
        <v>995</v>
      </c>
      <c r="C87" s="121" t="s">
        <v>139</v>
      </c>
      <c r="D87" s="109" t="s">
        <v>92</v>
      </c>
      <c r="E87" s="128" t="s">
        <v>140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109">
        <v>24.0</v>
      </c>
      <c r="B88" s="120" t="s">
        <v>1002</v>
      </c>
      <c r="C88" s="121" t="s">
        <v>1003</v>
      </c>
      <c r="D88" s="109" t="s">
        <v>69</v>
      </c>
      <c r="E88" s="128" t="s">
        <v>140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109">
        <v>25.0</v>
      </c>
      <c r="B89" s="120" t="s">
        <v>1008</v>
      </c>
      <c r="C89" s="121" t="s">
        <v>1009</v>
      </c>
      <c r="D89" s="109" t="s">
        <v>92</v>
      </c>
      <c r="E89" s="128" t="s">
        <v>140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109">
        <v>26.0</v>
      </c>
      <c r="B90" s="120" t="s">
        <v>1013</v>
      </c>
      <c r="C90" s="121" t="s">
        <v>158</v>
      </c>
      <c r="D90" s="109" t="s">
        <v>92</v>
      </c>
      <c r="E90" s="128" t="s">
        <v>140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109">
        <v>27.0</v>
      </c>
      <c r="B91" s="120" t="s">
        <v>1014</v>
      </c>
      <c r="C91" s="121" t="s">
        <v>142</v>
      </c>
      <c r="D91" s="109" t="s">
        <v>92</v>
      </c>
      <c r="E91" s="128" t="s">
        <v>140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109">
        <v>28.0</v>
      </c>
      <c r="B92" s="120" t="s">
        <v>1018</v>
      </c>
      <c r="C92" s="121" t="s">
        <v>1019</v>
      </c>
      <c r="D92" s="109" t="s">
        <v>92</v>
      </c>
      <c r="E92" s="128" t="s">
        <v>140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109">
        <v>29.0</v>
      </c>
      <c r="B93" s="120" t="s">
        <v>1022</v>
      </c>
      <c r="C93" s="121" t="s">
        <v>1023</v>
      </c>
      <c r="D93" s="109" t="s">
        <v>69</v>
      </c>
      <c r="E93" s="128" t="s">
        <v>140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109">
        <v>30.0</v>
      </c>
      <c r="B94" s="120" t="s">
        <v>1027</v>
      </c>
      <c r="C94" s="121" t="s">
        <v>1028</v>
      </c>
      <c r="D94" s="109" t="s">
        <v>69</v>
      </c>
      <c r="E94" s="128" t="s">
        <v>140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109">
        <v>31.0</v>
      </c>
      <c r="B95" s="120" t="s">
        <v>1032</v>
      </c>
      <c r="C95" s="121" t="s">
        <v>1034</v>
      </c>
      <c r="D95" s="109" t="s">
        <v>69</v>
      </c>
      <c r="E95" s="128" t="s">
        <v>140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109">
        <v>32.0</v>
      </c>
      <c r="B96" s="120" t="s">
        <v>1041</v>
      </c>
      <c r="C96" s="121" t="s">
        <v>1042</v>
      </c>
      <c r="D96" s="109" t="s">
        <v>69</v>
      </c>
      <c r="E96" s="128" t="s">
        <v>140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109">
        <v>33.0</v>
      </c>
      <c r="B97" s="120" t="s">
        <v>1049</v>
      </c>
      <c r="C97" s="121" t="s">
        <v>1051</v>
      </c>
      <c r="D97" s="109" t="s">
        <v>69</v>
      </c>
      <c r="E97" s="128" t="s">
        <v>140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109">
        <v>34.0</v>
      </c>
      <c r="B98" s="120" t="s">
        <v>1058</v>
      </c>
      <c r="C98" s="121" t="s">
        <v>1059</v>
      </c>
      <c r="D98" s="109" t="s">
        <v>69</v>
      </c>
      <c r="E98" s="128" t="s">
        <v>140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109">
        <v>35.0</v>
      </c>
      <c r="B99" s="120" t="s">
        <v>1065</v>
      </c>
      <c r="C99" s="121" t="s">
        <v>1066</v>
      </c>
      <c r="D99" s="109" t="s">
        <v>69</v>
      </c>
      <c r="E99" s="128" t="s">
        <v>140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109">
        <v>36.0</v>
      </c>
      <c r="B100" s="120" t="s">
        <v>1073</v>
      </c>
      <c r="C100" s="121" t="s">
        <v>1075</v>
      </c>
      <c r="D100" s="109" t="s">
        <v>92</v>
      </c>
      <c r="E100" s="128" t="s">
        <v>140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109">
        <v>37.0</v>
      </c>
      <c r="B101" s="120" t="s">
        <v>1082</v>
      </c>
      <c r="C101" s="121" t="s">
        <v>1083</v>
      </c>
      <c r="D101" s="109" t="s">
        <v>92</v>
      </c>
      <c r="E101" s="128" t="s">
        <v>140</v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109">
        <v>38.0</v>
      </c>
      <c r="B102" s="120" t="s">
        <v>1092</v>
      </c>
      <c r="C102" s="121" t="s">
        <v>1093</v>
      </c>
      <c r="D102" s="109" t="s">
        <v>69</v>
      </c>
      <c r="E102" s="128" t="s">
        <v>140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109">
        <v>39.0</v>
      </c>
      <c r="B103" s="120" t="s">
        <v>1101</v>
      </c>
      <c r="C103" s="121" t="s">
        <v>1103</v>
      </c>
      <c r="D103" s="109" t="s">
        <v>69</v>
      </c>
      <c r="E103" s="128" t="s">
        <v>140</v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109">
        <v>40.0</v>
      </c>
      <c r="B104" s="120" t="s">
        <v>1110</v>
      </c>
      <c r="C104" s="121" t="s">
        <v>1111</v>
      </c>
      <c r="D104" s="109" t="s">
        <v>69</v>
      </c>
      <c r="E104" s="128" t="s">
        <v>140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109">
        <v>41.0</v>
      </c>
      <c r="B105" s="120" t="s">
        <v>1115</v>
      </c>
      <c r="C105" s="121" t="s">
        <v>1117</v>
      </c>
      <c r="D105" s="109" t="s">
        <v>69</v>
      </c>
      <c r="E105" s="128" t="s">
        <v>140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109">
        <v>42.0</v>
      </c>
      <c r="B106" s="120" t="s">
        <v>1121</v>
      </c>
      <c r="C106" s="121" t="s">
        <v>1123</v>
      </c>
      <c r="D106" s="109" t="s">
        <v>92</v>
      </c>
      <c r="E106" s="128" t="s">
        <v>140</v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109">
        <v>43.0</v>
      </c>
      <c r="B107" s="120" t="s">
        <v>1127</v>
      </c>
      <c r="C107" s="121" t="s">
        <v>170</v>
      </c>
      <c r="D107" s="109" t="s">
        <v>69</v>
      </c>
      <c r="E107" s="128" t="s">
        <v>140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109">
        <v>44.0</v>
      </c>
      <c r="B108" s="120" t="s">
        <v>1134</v>
      </c>
      <c r="C108" s="121" t="s">
        <v>1135</v>
      </c>
      <c r="D108" s="109" t="s">
        <v>69</v>
      </c>
      <c r="E108" s="128" t="s">
        <v>140</v>
      </c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109">
        <v>45.0</v>
      </c>
      <c r="B109" s="120" t="s">
        <v>1140</v>
      </c>
      <c r="C109" s="121" t="s">
        <v>1143</v>
      </c>
      <c r="D109" s="109" t="s">
        <v>69</v>
      </c>
      <c r="E109" s="128" t="s">
        <v>140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109">
        <v>46.0</v>
      </c>
      <c r="B110" s="120" t="s">
        <v>1145</v>
      </c>
      <c r="C110" s="121" t="s">
        <v>1146</v>
      </c>
      <c r="D110" s="109" t="s">
        <v>69</v>
      </c>
      <c r="E110" s="128" t="s">
        <v>140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109">
        <v>47.0</v>
      </c>
      <c r="B111" s="120" t="s">
        <v>1149</v>
      </c>
      <c r="C111" s="121" t="s">
        <v>1150</v>
      </c>
      <c r="D111" s="109" t="s">
        <v>69</v>
      </c>
      <c r="E111" s="128" t="s">
        <v>140</v>
      </c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11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126" t="s">
        <v>1158</v>
      </c>
      <c r="D113" s="50">
        <f>COUNTIF(D65:D111, "L")</f>
        <v>11</v>
      </c>
      <c r="E113" s="11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126" t="s">
        <v>1166</v>
      </c>
      <c r="D114" s="50">
        <f>COUNTIF(D65:D111, "P")</f>
        <v>36</v>
      </c>
      <c r="E114" s="11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11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11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7" t="s">
        <v>20</v>
      </c>
      <c r="E117" s="11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7" t="s">
        <v>1174</v>
      </c>
      <c r="E118" s="11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7" t="s">
        <v>37</v>
      </c>
      <c r="E119" s="11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 t="s">
        <v>1178</v>
      </c>
      <c r="B120" s="29"/>
      <c r="C120" s="29"/>
      <c r="D120" s="29"/>
      <c r="E120" s="11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118" t="s">
        <v>13</v>
      </c>
      <c r="B121" s="118" t="s">
        <v>630</v>
      </c>
      <c r="C121" s="118" t="s">
        <v>15</v>
      </c>
      <c r="D121" s="118" t="s">
        <v>631</v>
      </c>
      <c r="E121" s="128" t="s">
        <v>16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109">
        <v>1.0</v>
      </c>
      <c r="B122" s="120" t="s">
        <v>1181</v>
      </c>
      <c r="C122" s="121" t="s">
        <v>1182</v>
      </c>
      <c r="D122" s="109" t="s">
        <v>69</v>
      </c>
      <c r="E122" s="128" t="s">
        <v>286</v>
      </c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109">
        <v>2.0</v>
      </c>
      <c r="B123" s="120" t="s">
        <v>1183</v>
      </c>
      <c r="C123" s="121" t="s">
        <v>1184</v>
      </c>
      <c r="D123" s="109" t="s">
        <v>69</v>
      </c>
      <c r="E123" s="128" t="s">
        <v>286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109">
        <v>3.0</v>
      </c>
      <c r="B124" s="120" t="s">
        <v>1185</v>
      </c>
      <c r="C124" s="121" t="s">
        <v>1187</v>
      </c>
      <c r="D124" s="109" t="s">
        <v>69</v>
      </c>
      <c r="E124" s="128" t="s">
        <v>286</v>
      </c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109">
        <v>4.0</v>
      </c>
      <c r="B125" s="120" t="s">
        <v>1189</v>
      </c>
      <c r="C125" s="121" t="s">
        <v>1190</v>
      </c>
      <c r="D125" s="109" t="s">
        <v>69</v>
      </c>
      <c r="E125" s="128" t="s">
        <v>286</v>
      </c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109">
        <v>5.0</v>
      </c>
      <c r="B126" s="120" t="s">
        <v>1192</v>
      </c>
      <c r="C126" s="121" t="s">
        <v>1193</v>
      </c>
      <c r="D126" s="109" t="s">
        <v>69</v>
      </c>
      <c r="E126" s="128" t="s">
        <v>286</v>
      </c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109">
        <v>6.0</v>
      </c>
      <c r="B127" s="120" t="s">
        <v>1195</v>
      </c>
      <c r="C127" s="121" t="s">
        <v>1197</v>
      </c>
      <c r="D127" s="109" t="s">
        <v>69</v>
      </c>
      <c r="E127" s="128" t="s">
        <v>286</v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109">
        <v>7.0</v>
      </c>
      <c r="B128" s="120" t="s">
        <v>1199</v>
      </c>
      <c r="C128" s="121" t="s">
        <v>1200</v>
      </c>
      <c r="D128" s="109" t="s">
        <v>69</v>
      </c>
      <c r="E128" s="128" t="s">
        <v>286</v>
      </c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109">
        <v>8.0</v>
      </c>
      <c r="B129" s="120" t="s">
        <v>1203</v>
      </c>
      <c r="C129" s="121" t="s">
        <v>1204</v>
      </c>
      <c r="D129" s="109" t="s">
        <v>69</v>
      </c>
      <c r="E129" s="128" t="s">
        <v>286</v>
      </c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109">
        <v>9.0</v>
      </c>
      <c r="B130" s="120" t="s">
        <v>1206</v>
      </c>
      <c r="C130" s="121" t="s">
        <v>1208</v>
      </c>
      <c r="D130" s="109" t="s">
        <v>69</v>
      </c>
      <c r="E130" s="128" t="s">
        <v>286</v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109">
        <v>10.0</v>
      </c>
      <c r="B131" s="120" t="s">
        <v>1209</v>
      </c>
      <c r="C131" s="121" t="s">
        <v>1211</v>
      </c>
      <c r="D131" s="109" t="s">
        <v>69</v>
      </c>
      <c r="E131" s="128" t="s">
        <v>286</v>
      </c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109">
        <v>11.0</v>
      </c>
      <c r="B132" s="120" t="s">
        <v>1215</v>
      </c>
      <c r="C132" s="121" t="s">
        <v>1216</v>
      </c>
      <c r="D132" s="109" t="s">
        <v>69</v>
      </c>
      <c r="E132" s="128" t="s">
        <v>286</v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109">
        <v>12.0</v>
      </c>
      <c r="B133" s="120" t="s">
        <v>1219</v>
      </c>
      <c r="C133" s="121" t="s">
        <v>1220</v>
      </c>
      <c r="D133" s="109" t="s">
        <v>69</v>
      </c>
      <c r="E133" s="128" t="s">
        <v>286</v>
      </c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109">
        <v>13.0</v>
      </c>
      <c r="B134" s="120" t="s">
        <v>1222</v>
      </c>
      <c r="C134" s="121" t="s">
        <v>1223</v>
      </c>
      <c r="D134" s="109" t="s">
        <v>92</v>
      </c>
      <c r="E134" s="128" t="s">
        <v>286</v>
      </c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109">
        <v>14.0</v>
      </c>
      <c r="B135" s="120" t="s">
        <v>1228</v>
      </c>
      <c r="C135" s="121" t="s">
        <v>1229</v>
      </c>
      <c r="D135" s="109" t="s">
        <v>92</v>
      </c>
      <c r="E135" s="128" t="s">
        <v>286</v>
      </c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109">
        <v>15.0</v>
      </c>
      <c r="B136" s="120" t="s">
        <v>1232</v>
      </c>
      <c r="C136" s="121" t="s">
        <v>1233</v>
      </c>
      <c r="D136" s="109" t="s">
        <v>92</v>
      </c>
      <c r="E136" s="128" t="s">
        <v>286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109">
        <v>16.0</v>
      </c>
      <c r="B137" s="120" t="s">
        <v>1238</v>
      </c>
      <c r="C137" s="121" t="s">
        <v>1239</v>
      </c>
      <c r="D137" s="109" t="s">
        <v>69</v>
      </c>
      <c r="E137" s="128" t="s">
        <v>286</v>
      </c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109">
        <v>17.0</v>
      </c>
      <c r="B138" s="120" t="s">
        <v>1244</v>
      </c>
      <c r="C138" s="121" t="s">
        <v>1246</v>
      </c>
      <c r="D138" s="109" t="s">
        <v>69</v>
      </c>
      <c r="E138" s="128" t="s">
        <v>286</v>
      </c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109">
        <v>18.0</v>
      </c>
      <c r="B139" s="120" t="s">
        <v>1252</v>
      </c>
      <c r="C139" s="121" t="s">
        <v>1253</v>
      </c>
      <c r="D139" s="109" t="s">
        <v>69</v>
      </c>
      <c r="E139" s="128" t="s">
        <v>286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109">
        <v>19.0</v>
      </c>
      <c r="B140" s="120" t="s">
        <v>1258</v>
      </c>
      <c r="C140" s="121" t="s">
        <v>1259</v>
      </c>
      <c r="D140" s="109" t="s">
        <v>69</v>
      </c>
      <c r="E140" s="128" t="s">
        <v>286</v>
      </c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109">
        <v>20.0</v>
      </c>
      <c r="B141" s="120" t="s">
        <v>1262</v>
      </c>
      <c r="C141" s="121" t="s">
        <v>1263</v>
      </c>
      <c r="D141" s="109" t="s">
        <v>92</v>
      </c>
      <c r="E141" s="128" t="s">
        <v>286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109">
        <v>21.0</v>
      </c>
      <c r="B142" s="120" t="s">
        <v>1268</v>
      </c>
      <c r="C142" s="121" t="s">
        <v>1269</v>
      </c>
      <c r="D142" s="109" t="s">
        <v>69</v>
      </c>
      <c r="E142" s="128" t="s">
        <v>286</v>
      </c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109">
        <v>22.0</v>
      </c>
      <c r="B143" s="120" t="s">
        <v>1272</v>
      </c>
      <c r="C143" s="121" t="s">
        <v>1273</v>
      </c>
      <c r="D143" s="109" t="s">
        <v>69</v>
      </c>
      <c r="E143" s="128" t="s">
        <v>286</v>
      </c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109">
        <v>23.0</v>
      </c>
      <c r="B144" s="120" t="s">
        <v>1278</v>
      </c>
      <c r="C144" s="121" t="s">
        <v>1279</v>
      </c>
      <c r="D144" s="109" t="s">
        <v>92</v>
      </c>
      <c r="E144" s="128" t="s">
        <v>286</v>
      </c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109">
        <v>24.0</v>
      </c>
      <c r="B145" s="120" t="s">
        <v>1282</v>
      </c>
      <c r="C145" s="121" t="s">
        <v>1283</v>
      </c>
      <c r="D145" s="109" t="s">
        <v>69</v>
      </c>
      <c r="E145" s="128" t="s">
        <v>286</v>
      </c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109">
        <v>25.0</v>
      </c>
      <c r="B146" s="120" t="s">
        <v>1288</v>
      </c>
      <c r="C146" s="121" t="s">
        <v>1289</v>
      </c>
      <c r="D146" s="109" t="s">
        <v>69</v>
      </c>
      <c r="E146" s="128" t="s">
        <v>286</v>
      </c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109">
        <v>26.0</v>
      </c>
      <c r="B147" s="120" t="s">
        <v>1291</v>
      </c>
      <c r="C147" s="121" t="s">
        <v>1292</v>
      </c>
      <c r="D147" s="109" t="s">
        <v>69</v>
      </c>
      <c r="E147" s="128" t="s">
        <v>286</v>
      </c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109">
        <v>27.0</v>
      </c>
      <c r="B148" s="120" t="s">
        <v>1297</v>
      </c>
      <c r="C148" s="121" t="s">
        <v>1298</v>
      </c>
      <c r="D148" s="109" t="s">
        <v>69</v>
      </c>
      <c r="E148" s="128" t="s">
        <v>286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109">
        <v>28.0</v>
      </c>
      <c r="B149" s="120" t="s">
        <v>1300</v>
      </c>
      <c r="C149" s="121" t="s">
        <v>1301</v>
      </c>
      <c r="D149" s="109" t="s">
        <v>92</v>
      </c>
      <c r="E149" s="128" t="s">
        <v>286</v>
      </c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109">
        <v>29.0</v>
      </c>
      <c r="B150" s="120" t="s">
        <v>1306</v>
      </c>
      <c r="C150" s="121" t="s">
        <v>1307</v>
      </c>
      <c r="D150" s="109" t="s">
        <v>92</v>
      </c>
      <c r="E150" s="128" t="s">
        <v>286</v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109">
        <v>30.0</v>
      </c>
      <c r="B151" s="120" t="s">
        <v>1310</v>
      </c>
      <c r="C151" s="121" t="s">
        <v>1311</v>
      </c>
      <c r="D151" s="109" t="s">
        <v>92</v>
      </c>
      <c r="E151" s="128" t="s">
        <v>286</v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109">
        <v>31.0</v>
      </c>
      <c r="B152" s="120" t="s">
        <v>1316</v>
      </c>
      <c r="C152" s="121" t="s">
        <v>1317</v>
      </c>
      <c r="D152" s="109" t="s">
        <v>92</v>
      </c>
      <c r="E152" s="128" t="s">
        <v>286</v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109">
        <v>32.0</v>
      </c>
      <c r="B153" s="120" t="s">
        <v>1320</v>
      </c>
      <c r="C153" s="121" t="s">
        <v>185</v>
      </c>
      <c r="D153" s="109" t="s">
        <v>92</v>
      </c>
      <c r="E153" s="128" t="s">
        <v>286</v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109">
        <v>33.0</v>
      </c>
      <c r="B154" s="120" t="s">
        <v>1322</v>
      </c>
      <c r="C154" s="121" t="s">
        <v>1323</v>
      </c>
      <c r="D154" s="109" t="s">
        <v>69</v>
      </c>
      <c r="E154" s="128" t="s">
        <v>286</v>
      </c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109">
        <v>34.0</v>
      </c>
      <c r="B155" s="120" t="s">
        <v>1328</v>
      </c>
      <c r="C155" s="121" t="s">
        <v>1329</v>
      </c>
      <c r="D155" s="109" t="s">
        <v>69</v>
      </c>
      <c r="E155" s="128" t="s">
        <v>286</v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109">
        <v>35.0</v>
      </c>
      <c r="B156" s="120" t="s">
        <v>1331</v>
      </c>
      <c r="C156" s="121" t="s">
        <v>1333</v>
      </c>
      <c r="D156" s="109" t="s">
        <v>69</v>
      </c>
      <c r="E156" s="128" t="s">
        <v>286</v>
      </c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109">
        <v>36.0</v>
      </c>
      <c r="B157" s="120" t="s">
        <v>1336</v>
      </c>
      <c r="C157" s="121" t="s">
        <v>1337</v>
      </c>
      <c r="D157" s="109" t="s">
        <v>69</v>
      </c>
      <c r="E157" s="128" t="s">
        <v>286</v>
      </c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109">
        <v>37.0</v>
      </c>
      <c r="B158" s="120" t="s">
        <v>1339</v>
      </c>
      <c r="C158" s="121" t="s">
        <v>1342</v>
      </c>
      <c r="D158" s="109" t="s">
        <v>69</v>
      </c>
      <c r="E158" s="128" t="s">
        <v>286</v>
      </c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109">
        <v>38.0</v>
      </c>
      <c r="B159" s="120" t="s">
        <v>1345</v>
      </c>
      <c r="C159" s="121" t="s">
        <v>1346</v>
      </c>
      <c r="D159" s="109" t="s">
        <v>92</v>
      </c>
      <c r="E159" s="128" t="s">
        <v>286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109">
        <v>39.0</v>
      </c>
      <c r="B160" s="120" t="s">
        <v>1353</v>
      </c>
      <c r="C160" s="121" t="s">
        <v>1354</v>
      </c>
      <c r="D160" s="109" t="s">
        <v>69</v>
      </c>
      <c r="E160" s="128" t="s">
        <v>286</v>
      </c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109">
        <v>40.0</v>
      </c>
      <c r="B161" s="120" t="s">
        <v>1357</v>
      </c>
      <c r="C161" s="121" t="s">
        <v>1358</v>
      </c>
      <c r="D161" s="109" t="s">
        <v>69</v>
      </c>
      <c r="E161" s="128" t="s">
        <v>286</v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109">
        <v>41.0</v>
      </c>
      <c r="B162" s="120" t="s">
        <v>1363</v>
      </c>
      <c r="C162" s="121" t="s">
        <v>1364</v>
      </c>
      <c r="D162" s="109" t="s">
        <v>69</v>
      </c>
      <c r="E162" s="128" t="s">
        <v>286</v>
      </c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109">
        <v>42.0</v>
      </c>
      <c r="B163" s="120" t="s">
        <v>1365</v>
      </c>
      <c r="C163" s="121" t="s">
        <v>159</v>
      </c>
      <c r="D163" s="109" t="s">
        <v>92</v>
      </c>
      <c r="E163" s="128" t="s">
        <v>286</v>
      </c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109">
        <v>43.0</v>
      </c>
      <c r="B164" s="120" t="s">
        <v>1367</v>
      </c>
      <c r="C164" s="121" t="s">
        <v>1368</v>
      </c>
      <c r="D164" s="109" t="s">
        <v>69</v>
      </c>
      <c r="E164" s="128" t="s">
        <v>286</v>
      </c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109">
        <v>44.0</v>
      </c>
      <c r="B165" s="120" t="s">
        <v>1369</v>
      </c>
      <c r="C165" s="121" t="s">
        <v>1370</v>
      </c>
      <c r="D165" s="109" t="s">
        <v>69</v>
      </c>
      <c r="E165" s="128" t="s">
        <v>286</v>
      </c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109">
        <v>45.0</v>
      </c>
      <c r="B166" s="120" t="s">
        <v>1373</v>
      </c>
      <c r="C166" s="121" t="s">
        <v>1374</v>
      </c>
      <c r="D166" s="109" t="s">
        <v>69</v>
      </c>
      <c r="E166" s="128" t="s">
        <v>286</v>
      </c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109">
        <v>46.0</v>
      </c>
      <c r="B167" s="120" t="s">
        <v>1375</v>
      </c>
      <c r="C167" s="121" t="s">
        <v>1376</v>
      </c>
      <c r="D167" s="109" t="s">
        <v>69</v>
      </c>
      <c r="E167" s="128" t="s">
        <v>286</v>
      </c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109">
        <v>47.0</v>
      </c>
      <c r="B168" s="120" t="s">
        <v>1380</v>
      </c>
      <c r="C168" s="121" t="s">
        <v>1381</v>
      </c>
      <c r="D168" s="109" t="s">
        <v>69</v>
      </c>
      <c r="E168" s="128" t="s">
        <v>286</v>
      </c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11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132" t="s">
        <v>1158</v>
      </c>
      <c r="D170" s="50">
        <f>COUNTIF(D122:D168, "L")</f>
        <v>12</v>
      </c>
      <c r="E170" s="11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132" t="s">
        <v>1166</v>
      </c>
      <c r="D171" s="133">
        <f>COUNTIF(D122:D168, "P")</f>
        <v>35</v>
      </c>
      <c r="E171" s="11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11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11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7" t="s">
        <v>20</v>
      </c>
      <c r="E174" s="11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7" t="s">
        <v>1400</v>
      </c>
      <c r="E175" s="11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7" t="s">
        <v>37</v>
      </c>
      <c r="E176" s="11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 t="s">
        <v>1407</v>
      </c>
      <c r="B177" s="29"/>
      <c r="C177" s="29"/>
      <c r="D177" s="29"/>
      <c r="E177" s="11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118" t="s">
        <v>13</v>
      </c>
      <c r="B178" s="118" t="s">
        <v>630</v>
      </c>
      <c r="C178" s="118" t="s">
        <v>15</v>
      </c>
      <c r="D178" s="118" t="s">
        <v>631</v>
      </c>
      <c r="E178" s="128" t="s">
        <v>16</v>
      </c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109">
        <v>1.0</v>
      </c>
      <c r="B179" s="120" t="s">
        <v>1412</v>
      </c>
      <c r="C179" s="121" t="s">
        <v>1414</v>
      </c>
      <c r="D179" s="109" t="s">
        <v>69</v>
      </c>
      <c r="E179" s="128" t="s">
        <v>101</v>
      </c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109">
        <v>2.0</v>
      </c>
      <c r="B180" s="120" t="s">
        <v>1416</v>
      </c>
      <c r="C180" s="121" t="s">
        <v>1417</v>
      </c>
      <c r="D180" s="109" t="s">
        <v>92</v>
      </c>
      <c r="E180" s="128" t="s">
        <v>101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109">
        <v>3.0</v>
      </c>
      <c r="B181" s="120" t="s">
        <v>1422</v>
      </c>
      <c r="C181" s="121" t="s">
        <v>1425</v>
      </c>
      <c r="D181" s="109" t="s">
        <v>92</v>
      </c>
      <c r="E181" s="128" t="s">
        <v>101</v>
      </c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109">
        <v>4.0</v>
      </c>
      <c r="B182" s="120" t="s">
        <v>1427</v>
      </c>
      <c r="C182" s="121" t="s">
        <v>1429</v>
      </c>
      <c r="D182" s="109" t="s">
        <v>69</v>
      </c>
      <c r="E182" s="128" t="s">
        <v>101</v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109">
        <v>5.0</v>
      </c>
      <c r="B183" s="120" t="s">
        <v>1433</v>
      </c>
      <c r="C183" s="121" t="s">
        <v>1434</v>
      </c>
      <c r="D183" s="109" t="s">
        <v>69</v>
      </c>
      <c r="E183" s="128" t="s">
        <v>101</v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109">
        <v>6.0</v>
      </c>
      <c r="B184" s="120" t="s">
        <v>1438</v>
      </c>
      <c r="C184" s="121" t="s">
        <v>1439</v>
      </c>
      <c r="D184" s="109" t="s">
        <v>69</v>
      </c>
      <c r="E184" s="128" t="s">
        <v>101</v>
      </c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109">
        <v>7.0</v>
      </c>
      <c r="B185" s="120" t="s">
        <v>1442</v>
      </c>
      <c r="C185" s="121" t="s">
        <v>1443</v>
      </c>
      <c r="D185" s="109" t="s">
        <v>69</v>
      </c>
      <c r="E185" s="128" t="s">
        <v>101</v>
      </c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109">
        <v>8.0</v>
      </c>
      <c r="B186" s="120" t="s">
        <v>1448</v>
      </c>
      <c r="C186" s="121" t="s">
        <v>1449</v>
      </c>
      <c r="D186" s="109" t="s">
        <v>92</v>
      </c>
      <c r="E186" s="128" t="s">
        <v>101</v>
      </c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109">
        <v>9.0</v>
      </c>
      <c r="B187" s="120" t="s">
        <v>1451</v>
      </c>
      <c r="C187" s="121" t="s">
        <v>1452</v>
      </c>
      <c r="D187" s="109" t="s">
        <v>69</v>
      </c>
      <c r="E187" s="128" t="s">
        <v>101</v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109">
        <v>10.0</v>
      </c>
      <c r="B188" s="120" t="s">
        <v>1456</v>
      </c>
      <c r="C188" s="121" t="s">
        <v>1457</v>
      </c>
      <c r="D188" s="109" t="s">
        <v>69</v>
      </c>
      <c r="E188" s="128" t="s">
        <v>101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109">
        <v>11.0</v>
      </c>
      <c r="B189" s="120" t="s">
        <v>1460</v>
      </c>
      <c r="C189" s="121" t="s">
        <v>1462</v>
      </c>
      <c r="D189" s="109" t="s">
        <v>92</v>
      </c>
      <c r="E189" s="128" t="s">
        <v>101</v>
      </c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109">
        <v>12.0</v>
      </c>
      <c r="B190" s="120" t="s">
        <v>1465</v>
      </c>
      <c r="C190" s="121" t="s">
        <v>1467</v>
      </c>
      <c r="D190" s="109" t="s">
        <v>69</v>
      </c>
      <c r="E190" s="128" t="s">
        <v>101</v>
      </c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109">
        <v>13.0</v>
      </c>
      <c r="B191" s="120" t="s">
        <v>1469</v>
      </c>
      <c r="C191" s="121" t="s">
        <v>1471</v>
      </c>
      <c r="D191" s="109" t="s">
        <v>69</v>
      </c>
      <c r="E191" s="128" t="s">
        <v>101</v>
      </c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109">
        <v>14.0</v>
      </c>
      <c r="B192" s="120" t="s">
        <v>1473</v>
      </c>
      <c r="C192" s="121" t="s">
        <v>1475</v>
      </c>
      <c r="D192" s="109" t="s">
        <v>69</v>
      </c>
      <c r="E192" s="128" t="s">
        <v>101</v>
      </c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109">
        <v>15.0</v>
      </c>
      <c r="B193" s="120" t="s">
        <v>1476</v>
      </c>
      <c r="C193" s="121" t="s">
        <v>1478</v>
      </c>
      <c r="D193" s="109" t="s">
        <v>69</v>
      </c>
      <c r="E193" s="128" t="s">
        <v>101</v>
      </c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109">
        <v>16.0</v>
      </c>
      <c r="B194" s="120" t="s">
        <v>1479</v>
      </c>
      <c r="C194" s="121" t="s">
        <v>1481</v>
      </c>
      <c r="D194" s="109" t="s">
        <v>69</v>
      </c>
      <c r="E194" s="128" t="s">
        <v>101</v>
      </c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109">
        <v>17.0</v>
      </c>
      <c r="B195" s="120" t="s">
        <v>1483</v>
      </c>
      <c r="C195" s="121" t="s">
        <v>1485</v>
      </c>
      <c r="D195" s="109" t="s">
        <v>69</v>
      </c>
      <c r="E195" s="128" t="s">
        <v>101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109">
        <v>18.0</v>
      </c>
      <c r="B196" s="120" t="s">
        <v>1488</v>
      </c>
      <c r="C196" s="121" t="s">
        <v>1490</v>
      </c>
      <c r="D196" s="109" t="s">
        <v>69</v>
      </c>
      <c r="E196" s="128" t="s">
        <v>101</v>
      </c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109">
        <v>19.0</v>
      </c>
      <c r="B197" s="120" t="s">
        <v>1493</v>
      </c>
      <c r="C197" s="121" t="s">
        <v>1494</v>
      </c>
      <c r="D197" s="109" t="s">
        <v>69</v>
      </c>
      <c r="E197" s="128" t="s">
        <v>101</v>
      </c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109">
        <v>20.0</v>
      </c>
      <c r="B198" s="120" t="s">
        <v>1497</v>
      </c>
      <c r="C198" s="121" t="s">
        <v>1498</v>
      </c>
      <c r="D198" s="109" t="s">
        <v>69</v>
      </c>
      <c r="E198" s="128" t="s">
        <v>101</v>
      </c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109">
        <v>21.0</v>
      </c>
      <c r="B199" s="120" t="s">
        <v>1501</v>
      </c>
      <c r="C199" s="121" t="s">
        <v>1502</v>
      </c>
      <c r="D199" s="109" t="s">
        <v>69</v>
      </c>
      <c r="E199" s="128" t="s">
        <v>101</v>
      </c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109">
        <v>22.0</v>
      </c>
      <c r="B200" s="134" t="s">
        <v>1505</v>
      </c>
      <c r="C200" s="135" t="s">
        <v>1506</v>
      </c>
      <c r="D200" s="134" t="s">
        <v>92</v>
      </c>
      <c r="E200" s="128" t="s">
        <v>101</v>
      </c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109">
        <v>23.0</v>
      </c>
      <c r="B201" s="120" t="s">
        <v>1510</v>
      </c>
      <c r="C201" s="121" t="s">
        <v>1512</v>
      </c>
      <c r="D201" s="109" t="s">
        <v>69</v>
      </c>
      <c r="E201" s="128" t="s">
        <v>101</v>
      </c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109">
        <v>24.0</v>
      </c>
      <c r="B202" s="120" t="s">
        <v>1514</v>
      </c>
      <c r="C202" s="121" t="s">
        <v>1515</v>
      </c>
      <c r="D202" s="109" t="s">
        <v>69</v>
      </c>
      <c r="E202" s="128" t="s">
        <v>101</v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109">
        <v>25.0</v>
      </c>
      <c r="B203" s="120" t="s">
        <v>1518</v>
      </c>
      <c r="C203" s="121" t="s">
        <v>1519</v>
      </c>
      <c r="D203" s="109" t="s">
        <v>69</v>
      </c>
      <c r="E203" s="128" t="s">
        <v>101</v>
      </c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109">
        <v>26.0</v>
      </c>
      <c r="B204" s="120" t="s">
        <v>1520</v>
      </c>
      <c r="C204" s="121" t="s">
        <v>1522</v>
      </c>
      <c r="D204" s="109" t="s">
        <v>69</v>
      </c>
      <c r="E204" s="128" t="s">
        <v>101</v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109">
        <v>27.0</v>
      </c>
      <c r="B205" s="120" t="s">
        <v>1523</v>
      </c>
      <c r="C205" s="121" t="s">
        <v>1524</v>
      </c>
      <c r="D205" s="109" t="s">
        <v>92</v>
      </c>
      <c r="E205" s="128" t="s">
        <v>101</v>
      </c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109">
        <v>28.0</v>
      </c>
      <c r="B206" s="120" t="s">
        <v>1525</v>
      </c>
      <c r="C206" s="121" t="s">
        <v>1526</v>
      </c>
      <c r="D206" s="109" t="s">
        <v>92</v>
      </c>
      <c r="E206" s="128" t="s">
        <v>101</v>
      </c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109">
        <v>29.0</v>
      </c>
      <c r="B207" s="120" t="s">
        <v>1529</v>
      </c>
      <c r="C207" s="121" t="s">
        <v>100</v>
      </c>
      <c r="D207" s="109" t="s">
        <v>92</v>
      </c>
      <c r="E207" s="128" t="s">
        <v>101</v>
      </c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109">
        <v>30.0</v>
      </c>
      <c r="B208" s="120" t="s">
        <v>1531</v>
      </c>
      <c r="C208" s="121" t="s">
        <v>1533</v>
      </c>
      <c r="D208" s="109" t="s">
        <v>92</v>
      </c>
      <c r="E208" s="128" t="s">
        <v>101</v>
      </c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109">
        <v>31.0</v>
      </c>
      <c r="B209" s="120" t="s">
        <v>1535</v>
      </c>
      <c r="C209" s="121" t="s">
        <v>1536</v>
      </c>
      <c r="D209" s="109" t="s">
        <v>69</v>
      </c>
      <c r="E209" s="128" t="s">
        <v>101</v>
      </c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109">
        <v>32.0</v>
      </c>
      <c r="B210" s="120" t="s">
        <v>1537</v>
      </c>
      <c r="C210" s="121" t="s">
        <v>1538</v>
      </c>
      <c r="D210" s="109" t="s">
        <v>69</v>
      </c>
      <c r="E210" s="128" t="s">
        <v>101</v>
      </c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109">
        <v>33.0</v>
      </c>
      <c r="B211" s="120" t="s">
        <v>1539</v>
      </c>
      <c r="C211" s="121" t="s">
        <v>1540</v>
      </c>
      <c r="D211" s="109" t="s">
        <v>92</v>
      </c>
      <c r="E211" s="128" t="s">
        <v>101</v>
      </c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109">
        <v>34.0</v>
      </c>
      <c r="B212" s="120" t="s">
        <v>1542</v>
      </c>
      <c r="C212" s="121" t="s">
        <v>1543</v>
      </c>
      <c r="D212" s="109" t="s">
        <v>69</v>
      </c>
      <c r="E212" s="128" t="s">
        <v>101</v>
      </c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109">
        <v>35.0</v>
      </c>
      <c r="B213" s="120" t="s">
        <v>1545</v>
      </c>
      <c r="C213" s="121" t="s">
        <v>1546</v>
      </c>
      <c r="D213" s="109" t="s">
        <v>69</v>
      </c>
      <c r="E213" s="128" t="s">
        <v>101</v>
      </c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109">
        <v>36.0</v>
      </c>
      <c r="B214" s="120" t="s">
        <v>1548</v>
      </c>
      <c r="C214" s="121" t="s">
        <v>1549</v>
      </c>
      <c r="D214" s="109" t="s">
        <v>92</v>
      </c>
      <c r="E214" s="128" t="s">
        <v>101</v>
      </c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109">
        <v>37.0</v>
      </c>
      <c r="B215" s="120" t="s">
        <v>1550</v>
      </c>
      <c r="C215" s="121" t="s">
        <v>1551</v>
      </c>
      <c r="D215" s="109" t="s">
        <v>69</v>
      </c>
      <c r="E215" s="128" t="s">
        <v>101</v>
      </c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109">
        <v>38.0</v>
      </c>
      <c r="B216" s="120" t="s">
        <v>1556</v>
      </c>
      <c r="C216" s="121" t="s">
        <v>1557</v>
      </c>
      <c r="D216" s="109" t="s">
        <v>92</v>
      </c>
      <c r="E216" s="128" t="s">
        <v>101</v>
      </c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109">
        <v>39.0</v>
      </c>
      <c r="B217" s="120" t="s">
        <v>1560</v>
      </c>
      <c r="C217" s="121" t="s">
        <v>1561</v>
      </c>
      <c r="D217" s="109" t="s">
        <v>69</v>
      </c>
      <c r="E217" s="128" t="s">
        <v>101</v>
      </c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109">
        <v>40.0</v>
      </c>
      <c r="B218" s="120" t="s">
        <v>1565</v>
      </c>
      <c r="C218" s="121" t="s">
        <v>1567</v>
      </c>
      <c r="D218" s="109" t="s">
        <v>69</v>
      </c>
      <c r="E218" s="128" t="s">
        <v>101</v>
      </c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109">
        <v>41.0</v>
      </c>
      <c r="B219" s="120" t="s">
        <v>1570</v>
      </c>
      <c r="C219" s="121" t="s">
        <v>1572</v>
      </c>
      <c r="D219" s="109" t="s">
        <v>69</v>
      </c>
      <c r="E219" s="128" t="s">
        <v>101</v>
      </c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109">
        <v>42.0</v>
      </c>
      <c r="B220" s="120" t="s">
        <v>1578</v>
      </c>
      <c r="C220" s="121" t="s">
        <v>1579</v>
      </c>
      <c r="D220" s="109" t="s">
        <v>69</v>
      </c>
      <c r="E220" s="128" t="s">
        <v>101</v>
      </c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109">
        <v>43.0</v>
      </c>
      <c r="B221" s="120" t="s">
        <v>1584</v>
      </c>
      <c r="C221" s="121" t="s">
        <v>1585</v>
      </c>
      <c r="D221" s="109" t="s">
        <v>69</v>
      </c>
      <c r="E221" s="128" t="s">
        <v>101</v>
      </c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109">
        <v>44.0</v>
      </c>
      <c r="B222" s="120" t="s">
        <v>1588</v>
      </c>
      <c r="C222" s="121" t="s">
        <v>1590</v>
      </c>
      <c r="D222" s="109" t="s">
        <v>69</v>
      </c>
      <c r="E222" s="128" t="s">
        <v>101</v>
      </c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109">
        <v>45.0</v>
      </c>
      <c r="B223" s="120" t="s">
        <v>1594</v>
      </c>
      <c r="C223" s="121" t="s">
        <v>1595</v>
      </c>
      <c r="D223" s="109" t="s">
        <v>69</v>
      </c>
      <c r="E223" s="128" t="s">
        <v>101</v>
      </c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109">
        <v>46.0</v>
      </c>
      <c r="B224" s="120" t="s">
        <v>1599</v>
      </c>
      <c r="C224" s="121" t="s">
        <v>1600</v>
      </c>
      <c r="D224" s="109" t="s">
        <v>69</v>
      </c>
      <c r="E224" s="128" t="s">
        <v>101</v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109">
        <v>47.0</v>
      </c>
      <c r="B225" s="120" t="s">
        <v>1604</v>
      </c>
      <c r="C225" s="121" t="s">
        <v>1605</v>
      </c>
      <c r="D225" s="109" t="s">
        <v>69</v>
      </c>
      <c r="E225" s="128" t="s">
        <v>101</v>
      </c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11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132" t="s">
        <v>1158</v>
      </c>
      <c r="D227" s="50">
        <f>COUNTIF(D179:D225, "L")</f>
        <v>12</v>
      </c>
      <c r="E227" s="11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132" t="s">
        <v>1166</v>
      </c>
      <c r="D228" s="133">
        <f>COUNTIF(D179:D225, "P")</f>
        <v>35</v>
      </c>
      <c r="E228" s="11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11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11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7" t="s">
        <v>20</v>
      </c>
      <c r="E231" s="11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7" t="s">
        <v>1625</v>
      </c>
      <c r="E232" s="11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7" t="s">
        <v>37</v>
      </c>
      <c r="E233" s="11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 t="s">
        <v>1632</v>
      </c>
      <c r="B234" s="29"/>
      <c r="C234" s="29"/>
      <c r="D234" s="29"/>
      <c r="E234" s="11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118" t="s">
        <v>13</v>
      </c>
      <c r="B235" s="118" t="s">
        <v>630</v>
      </c>
      <c r="C235" s="118" t="s">
        <v>15</v>
      </c>
      <c r="D235" s="118" t="s">
        <v>631</v>
      </c>
      <c r="E235" s="128" t="s">
        <v>16</v>
      </c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109">
        <v>1.0</v>
      </c>
      <c r="B236" s="120" t="s">
        <v>1639</v>
      </c>
      <c r="C236" s="121" t="s">
        <v>115</v>
      </c>
      <c r="D236" s="109" t="s">
        <v>92</v>
      </c>
      <c r="E236" s="128" t="s">
        <v>313</v>
      </c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109">
        <v>2.0</v>
      </c>
      <c r="B237" s="120" t="s">
        <v>1644</v>
      </c>
      <c r="C237" s="121" t="s">
        <v>1645</v>
      </c>
      <c r="D237" s="109" t="s">
        <v>69</v>
      </c>
      <c r="E237" s="128" t="s">
        <v>313</v>
      </c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109">
        <v>3.0</v>
      </c>
      <c r="B238" s="120" t="s">
        <v>1648</v>
      </c>
      <c r="C238" s="121" t="s">
        <v>1650</v>
      </c>
      <c r="D238" s="109" t="s">
        <v>92</v>
      </c>
      <c r="E238" s="128" t="s">
        <v>313</v>
      </c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109">
        <v>4.0</v>
      </c>
      <c r="B239" s="120" t="s">
        <v>1656</v>
      </c>
      <c r="C239" s="121" t="s">
        <v>79</v>
      </c>
      <c r="D239" s="109" t="s">
        <v>69</v>
      </c>
      <c r="E239" s="128" t="s">
        <v>313</v>
      </c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109">
        <v>5.0</v>
      </c>
      <c r="B240" s="120" t="s">
        <v>1660</v>
      </c>
      <c r="C240" s="121" t="s">
        <v>425</v>
      </c>
      <c r="D240" s="109" t="s">
        <v>69</v>
      </c>
      <c r="E240" s="128" t="s">
        <v>313</v>
      </c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109">
        <v>6.0</v>
      </c>
      <c r="B241" s="120" t="s">
        <v>1668</v>
      </c>
      <c r="C241" s="121" t="s">
        <v>1669</v>
      </c>
      <c r="D241" s="109" t="s">
        <v>69</v>
      </c>
      <c r="E241" s="128" t="s">
        <v>313</v>
      </c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109">
        <v>7.0</v>
      </c>
      <c r="B242" s="134" t="s">
        <v>1674</v>
      </c>
      <c r="C242" s="135" t="s">
        <v>1676</v>
      </c>
      <c r="D242" s="134" t="s">
        <v>69</v>
      </c>
      <c r="E242" s="128" t="s">
        <v>313</v>
      </c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109">
        <v>8.0</v>
      </c>
      <c r="B243" s="120" t="s">
        <v>1683</v>
      </c>
      <c r="C243" s="121" t="s">
        <v>209</v>
      </c>
      <c r="D243" s="109" t="s">
        <v>69</v>
      </c>
      <c r="E243" s="128" t="s">
        <v>313</v>
      </c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109">
        <v>9.0</v>
      </c>
      <c r="B244" s="120" t="s">
        <v>1688</v>
      </c>
      <c r="C244" s="121" t="s">
        <v>1689</v>
      </c>
      <c r="D244" s="109" t="s">
        <v>69</v>
      </c>
      <c r="E244" s="128" t="s">
        <v>313</v>
      </c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109">
        <v>10.0</v>
      </c>
      <c r="B245" s="120" t="s">
        <v>1694</v>
      </c>
      <c r="C245" s="121" t="s">
        <v>272</v>
      </c>
      <c r="D245" s="109" t="s">
        <v>92</v>
      </c>
      <c r="E245" s="128" t="s">
        <v>313</v>
      </c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109">
        <v>11.0</v>
      </c>
      <c r="B246" s="120" t="s">
        <v>1699</v>
      </c>
      <c r="C246" s="121" t="s">
        <v>1701</v>
      </c>
      <c r="D246" s="109" t="s">
        <v>69</v>
      </c>
      <c r="E246" s="128" t="s">
        <v>313</v>
      </c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109">
        <v>12.0</v>
      </c>
      <c r="B247" s="120" t="s">
        <v>1705</v>
      </c>
      <c r="C247" s="121" t="s">
        <v>1707</v>
      </c>
      <c r="D247" s="109" t="s">
        <v>69</v>
      </c>
      <c r="E247" s="128" t="s">
        <v>313</v>
      </c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109">
        <v>13.0</v>
      </c>
      <c r="B248" s="120" t="s">
        <v>1711</v>
      </c>
      <c r="C248" s="121" t="s">
        <v>372</v>
      </c>
      <c r="D248" s="109" t="s">
        <v>69</v>
      </c>
      <c r="E248" s="128" t="s">
        <v>313</v>
      </c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109">
        <v>14.0</v>
      </c>
      <c r="B249" s="120" t="s">
        <v>1713</v>
      </c>
      <c r="C249" s="121" t="s">
        <v>1714</v>
      </c>
      <c r="D249" s="109" t="s">
        <v>92</v>
      </c>
      <c r="E249" s="128" t="s">
        <v>313</v>
      </c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109">
        <v>15.0</v>
      </c>
      <c r="B250" s="120" t="s">
        <v>1716</v>
      </c>
      <c r="C250" s="121" t="s">
        <v>1717</v>
      </c>
      <c r="D250" s="109" t="s">
        <v>92</v>
      </c>
      <c r="E250" s="128" t="s">
        <v>313</v>
      </c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109">
        <v>16.0</v>
      </c>
      <c r="B251" s="120" t="s">
        <v>1718</v>
      </c>
      <c r="C251" s="121" t="s">
        <v>1720</v>
      </c>
      <c r="D251" s="109" t="s">
        <v>69</v>
      </c>
      <c r="E251" s="128" t="s">
        <v>313</v>
      </c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109">
        <v>17.0</v>
      </c>
      <c r="B252" s="120" t="s">
        <v>1722</v>
      </c>
      <c r="C252" s="121" t="s">
        <v>1723</v>
      </c>
      <c r="D252" s="109" t="s">
        <v>92</v>
      </c>
      <c r="E252" s="128" t="s">
        <v>313</v>
      </c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109">
        <v>18.0</v>
      </c>
      <c r="B253" s="120" t="s">
        <v>1726</v>
      </c>
      <c r="C253" s="121" t="s">
        <v>1727</v>
      </c>
      <c r="D253" s="109" t="s">
        <v>69</v>
      </c>
      <c r="E253" s="128" t="s">
        <v>313</v>
      </c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109">
        <v>19.0</v>
      </c>
      <c r="B254" s="120" t="s">
        <v>1729</v>
      </c>
      <c r="C254" s="121" t="s">
        <v>167</v>
      </c>
      <c r="D254" s="109" t="s">
        <v>69</v>
      </c>
      <c r="E254" s="128" t="s">
        <v>313</v>
      </c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109">
        <v>20.0</v>
      </c>
      <c r="B255" s="120" t="s">
        <v>1730</v>
      </c>
      <c r="C255" s="121" t="s">
        <v>1731</v>
      </c>
      <c r="D255" s="109" t="s">
        <v>92</v>
      </c>
      <c r="E255" s="128" t="s">
        <v>313</v>
      </c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109">
        <v>21.0</v>
      </c>
      <c r="B256" s="120" t="s">
        <v>1733</v>
      </c>
      <c r="C256" s="121" t="s">
        <v>416</v>
      </c>
      <c r="D256" s="109" t="s">
        <v>69</v>
      </c>
      <c r="E256" s="128" t="s">
        <v>313</v>
      </c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109">
        <v>22.0</v>
      </c>
      <c r="B257" s="120" t="s">
        <v>1734</v>
      </c>
      <c r="C257" s="121" t="s">
        <v>1735</v>
      </c>
      <c r="D257" s="109" t="s">
        <v>69</v>
      </c>
      <c r="E257" s="128" t="s">
        <v>313</v>
      </c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109">
        <v>23.0</v>
      </c>
      <c r="B258" s="120" t="s">
        <v>1736</v>
      </c>
      <c r="C258" s="121" t="s">
        <v>380</v>
      </c>
      <c r="D258" s="109" t="s">
        <v>69</v>
      </c>
      <c r="E258" s="128" t="s">
        <v>313</v>
      </c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109">
        <v>24.0</v>
      </c>
      <c r="B259" s="120" t="s">
        <v>1738</v>
      </c>
      <c r="C259" s="121" t="s">
        <v>1739</v>
      </c>
      <c r="D259" s="109" t="s">
        <v>69</v>
      </c>
      <c r="E259" s="128" t="s">
        <v>313</v>
      </c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109">
        <v>25.0</v>
      </c>
      <c r="B260" s="120" t="s">
        <v>1741</v>
      </c>
      <c r="C260" s="121" t="s">
        <v>1742</v>
      </c>
      <c r="D260" s="109" t="s">
        <v>92</v>
      </c>
      <c r="E260" s="128" t="s">
        <v>313</v>
      </c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109">
        <v>26.0</v>
      </c>
      <c r="B261" s="120" t="s">
        <v>1744</v>
      </c>
      <c r="C261" s="121" t="s">
        <v>1745</v>
      </c>
      <c r="D261" s="109" t="s">
        <v>92</v>
      </c>
      <c r="E261" s="128" t="s">
        <v>313</v>
      </c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109">
        <v>27.0</v>
      </c>
      <c r="B262" s="120" t="s">
        <v>1746</v>
      </c>
      <c r="C262" s="121" t="s">
        <v>1748</v>
      </c>
      <c r="D262" s="109" t="s">
        <v>92</v>
      </c>
      <c r="E262" s="128" t="s">
        <v>313</v>
      </c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109">
        <v>28.0</v>
      </c>
      <c r="B263" s="120" t="s">
        <v>1749</v>
      </c>
      <c r="C263" s="121" t="s">
        <v>1750</v>
      </c>
      <c r="D263" s="109" t="s">
        <v>92</v>
      </c>
      <c r="E263" s="128" t="s">
        <v>313</v>
      </c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109">
        <v>29.0</v>
      </c>
      <c r="B264" s="120" t="s">
        <v>1752</v>
      </c>
      <c r="C264" s="121" t="s">
        <v>260</v>
      </c>
      <c r="D264" s="109" t="s">
        <v>92</v>
      </c>
      <c r="E264" s="128" t="s">
        <v>313</v>
      </c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109">
        <v>30.0</v>
      </c>
      <c r="B265" s="120" t="s">
        <v>1756</v>
      </c>
      <c r="C265" s="121" t="s">
        <v>1757</v>
      </c>
      <c r="D265" s="109" t="s">
        <v>92</v>
      </c>
      <c r="E265" s="128" t="s">
        <v>313</v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109">
        <v>31.0</v>
      </c>
      <c r="B266" s="120" t="s">
        <v>1760</v>
      </c>
      <c r="C266" s="121" t="s">
        <v>1761</v>
      </c>
      <c r="D266" s="109" t="s">
        <v>92</v>
      </c>
      <c r="E266" s="128" t="s">
        <v>313</v>
      </c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109">
        <v>32.0</v>
      </c>
      <c r="B267" s="120" t="s">
        <v>1765</v>
      </c>
      <c r="C267" s="121" t="s">
        <v>1766</v>
      </c>
      <c r="D267" s="109" t="s">
        <v>69</v>
      </c>
      <c r="E267" s="128" t="s">
        <v>313</v>
      </c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109">
        <v>33.0</v>
      </c>
      <c r="B268" s="120" t="s">
        <v>1770</v>
      </c>
      <c r="C268" s="121" t="s">
        <v>1771</v>
      </c>
      <c r="D268" s="109" t="s">
        <v>69</v>
      </c>
      <c r="E268" s="128" t="s">
        <v>313</v>
      </c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109">
        <v>34.0</v>
      </c>
      <c r="B269" s="120" t="s">
        <v>1774</v>
      </c>
      <c r="C269" s="121" t="s">
        <v>1775</v>
      </c>
      <c r="D269" s="109" t="s">
        <v>69</v>
      </c>
      <c r="E269" s="128" t="s">
        <v>313</v>
      </c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109">
        <v>35.0</v>
      </c>
      <c r="B270" s="134" t="s">
        <v>1779</v>
      </c>
      <c r="C270" s="135" t="s">
        <v>1781</v>
      </c>
      <c r="D270" s="134" t="s">
        <v>92</v>
      </c>
      <c r="E270" s="128" t="s">
        <v>313</v>
      </c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109">
        <v>36.0</v>
      </c>
      <c r="B271" s="120" t="s">
        <v>1788</v>
      </c>
      <c r="C271" s="121" t="s">
        <v>1789</v>
      </c>
      <c r="D271" s="109" t="s">
        <v>69</v>
      </c>
      <c r="E271" s="128" t="s">
        <v>313</v>
      </c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109">
        <v>37.0</v>
      </c>
      <c r="B272" s="134" t="s">
        <v>1794</v>
      </c>
      <c r="C272" s="135" t="s">
        <v>1795</v>
      </c>
      <c r="D272" s="134" t="s">
        <v>92</v>
      </c>
      <c r="E272" s="128" t="s">
        <v>313</v>
      </c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109">
        <v>38.0</v>
      </c>
      <c r="B273" s="120" t="s">
        <v>1796</v>
      </c>
      <c r="C273" s="121" t="s">
        <v>1797</v>
      </c>
      <c r="D273" s="109" t="s">
        <v>69</v>
      </c>
      <c r="E273" s="128" t="s">
        <v>313</v>
      </c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109">
        <v>39.0</v>
      </c>
      <c r="B274" s="120" t="s">
        <v>1800</v>
      </c>
      <c r="C274" s="121" t="s">
        <v>1801</v>
      </c>
      <c r="D274" s="109" t="s">
        <v>92</v>
      </c>
      <c r="E274" s="128" t="s">
        <v>313</v>
      </c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109">
        <v>40.0</v>
      </c>
      <c r="B275" s="120" t="s">
        <v>1802</v>
      </c>
      <c r="C275" s="121" t="s">
        <v>1803</v>
      </c>
      <c r="D275" s="109" t="s">
        <v>92</v>
      </c>
      <c r="E275" s="128" t="s">
        <v>313</v>
      </c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109">
        <v>41.0</v>
      </c>
      <c r="B276" s="120" t="s">
        <v>1806</v>
      </c>
      <c r="C276" s="121" t="s">
        <v>1807</v>
      </c>
      <c r="D276" s="109" t="s">
        <v>92</v>
      </c>
      <c r="E276" s="128" t="s">
        <v>313</v>
      </c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109">
        <v>42.0</v>
      </c>
      <c r="B277" s="120" t="s">
        <v>1808</v>
      </c>
      <c r="C277" s="121" t="s">
        <v>1809</v>
      </c>
      <c r="D277" s="109" t="s">
        <v>92</v>
      </c>
      <c r="E277" s="128" t="s">
        <v>313</v>
      </c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109">
        <v>43.0</v>
      </c>
      <c r="B278" s="120" t="s">
        <v>1812</v>
      </c>
      <c r="C278" s="121" t="s">
        <v>1813</v>
      </c>
      <c r="D278" s="109" t="s">
        <v>69</v>
      </c>
      <c r="E278" s="128" t="s">
        <v>313</v>
      </c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109">
        <v>44.0</v>
      </c>
      <c r="B279" s="120" t="s">
        <v>1817</v>
      </c>
      <c r="C279" s="121" t="s">
        <v>1819</v>
      </c>
      <c r="D279" s="109" t="s">
        <v>69</v>
      </c>
      <c r="E279" s="128" t="s">
        <v>313</v>
      </c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109">
        <v>45.0</v>
      </c>
      <c r="B280" s="120" t="s">
        <v>1821</v>
      </c>
      <c r="C280" s="121" t="s">
        <v>1822</v>
      </c>
      <c r="D280" s="109" t="s">
        <v>69</v>
      </c>
      <c r="E280" s="128" t="s">
        <v>313</v>
      </c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109">
        <v>46.0</v>
      </c>
      <c r="B281" s="120" t="s">
        <v>1826</v>
      </c>
      <c r="C281" s="121" t="s">
        <v>1827</v>
      </c>
      <c r="D281" s="109" t="s">
        <v>69</v>
      </c>
      <c r="E281" s="128" t="s">
        <v>313</v>
      </c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117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126" t="s">
        <v>1158</v>
      </c>
      <c r="D283" s="50">
        <f>COUNTIF(D236:D281, "L")</f>
        <v>20</v>
      </c>
      <c r="E283" s="117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126" t="s">
        <v>1166</v>
      </c>
      <c r="D284" s="133">
        <f>COUNTIF(D236:D281, "P")</f>
        <v>26</v>
      </c>
      <c r="E284" s="117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117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117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7" t="s">
        <v>20</v>
      </c>
      <c r="E287" s="117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7" t="s">
        <v>1852</v>
      </c>
      <c r="E288" s="117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7" t="s">
        <v>37</v>
      </c>
      <c r="E289" s="117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 t="s">
        <v>1857</v>
      </c>
      <c r="B290" s="29"/>
      <c r="C290" s="29"/>
      <c r="D290" s="29"/>
      <c r="E290" s="117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118" t="s">
        <v>13</v>
      </c>
      <c r="B291" s="118" t="s">
        <v>630</v>
      </c>
      <c r="C291" s="118" t="s">
        <v>15</v>
      </c>
      <c r="D291" s="118" t="s">
        <v>631</v>
      </c>
      <c r="E291" s="128" t="s">
        <v>16</v>
      </c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109">
        <v>1.0</v>
      </c>
      <c r="B292" s="120" t="s">
        <v>1866</v>
      </c>
      <c r="C292" s="121" t="s">
        <v>166</v>
      </c>
      <c r="D292" s="109" t="s">
        <v>92</v>
      </c>
      <c r="E292" s="128" t="s">
        <v>289</v>
      </c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109">
        <v>2.0</v>
      </c>
      <c r="B293" s="120" t="s">
        <v>1871</v>
      </c>
      <c r="C293" s="121" t="s">
        <v>1872</v>
      </c>
      <c r="D293" s="109" t="s">
        <v>92</v>
      </c>
      <c r="E293" s="128" t="s">
        <v>289</v>
      </c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109">
        <v>3.0</v>
      </c>
      <c r="B294" s="120" t="s">
        <v>1877</v>
      </c>
      <c r="C294" s="121" t="s">
        <v>1878</v>
      </c>
      <c r="D294" s="109" t="s">
        <v>92</v>
      </c>
      <c r="E294" s="128" t="s">
        <v>289</v>
      </c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109">
        <v>4.0</v>
      </c>
      <c r="B295" s="120" t="s">
        <v>1894</v>
      </c>
      <c r="C295" s="121" t="s">
        <v>239</v>
      </c>
      <c r="D295" s="109" t="s">
        <v>69</v>
      </c>
      <c r="E295" s="128" t="s">
        <v>289</v>
      </c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109">
        <v>5.0</v>
      </c>
      <c r="B296" s="120" t="s">
        <v>1906</v>
      </c>
      <c r="C296" s="121" t="s">
        <v>1907</v>
      </c>
      <c r="D296" s="109" t="s">
        <v>69</v>
      </c>
      <c r="E296" s="128" t="s">
        <v>289</v>
      </c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109">
        <v>6.0</v>
      </c>
      <c r="B297" s="120" t="s">
        <v>1914</v>
      </c>
      <c r="C297" s="121" t="s">
        <v>1915</v>
      </c>
      <c r="D297" s="109" t="s">
        <v>69</v>
      </c>
      <c r="E297" s="128" t="s">
        <v>289</v>
      </c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109">
        <v>7.0</v>
      </c>
      <c r="B298" s="120" t="s">
        <v>1921</v>
      </c>
      <c r="C298" s="121" t="s">
        <v>408</v>
      </c>
      <c r="D298" s="109" t="s">
        <v>69</v>
      </c>
      <c r="E298" s="128" t="s">
        <v>289</v>
      </c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109">
        <v>8.0</v>
      </c>
      <c r="B299" s="120" t="s">
        <v>1928</v>
      </c>
      <c r="C299" s="121" t="s">
        <v>1929</v>
      </c>
      <c r="D299" s="109" t="s">
        <v>69</v>
      </c>
      <c r="E299" s="128" t="s">
        <v>289</v>
      </c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109">
        <v>9.0</v>
      </c>
      <c r="B300" s="120" t="s">
        <v>1934</v>
      </c>
      <c r="C300" s="121" t="s">
        <v>1935</v>
      </c>
      <c r="D300" s="109" t="s">
        <v>69</v>
      </c>
      <c r="E300" s="128" t="s">
        <v>289</v>
      </c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109">
        <v>10.0</v>
      </c>
      <c r="B301" s="120" t="s">
        <v>1940</v>
      </c>
      <c r="C301" s="121" t="s">
        <v>1942</v>
      </c>
      <c r="D301" s="109" t="s">
        <v>92</v>
      </c>
      <c r="E301" s="128" t="s">
        <v>289</v>
      </c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109">
        <v>11.0</v>
      </c>
      <c r="B302" s="120" t="s">
        <v>1946</v>
      </c>
      <c r="C302" s="121" t="s">
        <v>1947</v>
      </c>
      <c r="D302" s="109" t="s">
        <v>92</v>
      </c>
      <c r="E302" s="128" t="s">
        <v>289</v>
      </c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109">
        <v>12.0</v>
      </c>
      <c r="B303" s="120" t="s">
        <v>1953</v>
      </c>
      <c r="C303" s="121" t="s">
        <v>399</v>
      </c>
      <c r="D303" s="109" t="s">
        <v>69</v>
      </c>
      <c r="E303" s="128" t="s">
        <v>289</v>
      </c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109">
        <v>13.0</v>
      </c>
      <c r="B304" s="134" t="s">
        <v>1964</v>
      </c>
      <c r="C304" s="135" t="s">
        <v>1965</v>
      </c>
      <c r="D304" s="134" t="s">
        <v>92</v>
      </c>
      <c r="E304" s="128" t="s">
        <v>289</v>
      </c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109">
        <v>14.0</v>
      </c>
      <c r="B305" s="120" t="s">
        <v>1973</v>
      </c>
      <c r="C305" s="121" t="s">
        <v>1974</v>
      </c>
      <c r="D305" s="109" t="s">
        <v>92</v>
      </c>
      <c r="E305" s="128" t="s">
        <v>289</v>
      </c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109">
        <v>15.0</v>
      </c>
      <c r="B306" s="120" t="s">
        <v>1983</v>
      </c>
      <c r="C306" s="121" t="s">
        <v>1985</v>
      </c>
      <c r="D306" s="109" t="s">
        <v>69</v>
      </c>
      <c r="E306" s="128" t="s">
        <v>289</v>
      </c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109">
        <v>16.0</v>
      </c>
      <c r="B307" s="120" t="s">
        <v>1989</v>
      </c>
      <c r="C307" s="121" t="s">
        <v>1991</v>
      </c>
      <c r="D307" s="109" t="s">
        <v>69</v>
      </c>
      <c r="E307" s="128" t="s">
        <v>289</v>
      </c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109">
        <v>17.0</v>
      </c>
      <c r="B308" s="120" t="s">
        <v>1993</v>
      </c>
      <c r="C308" s="121" t="s">
        <v>1995</v>
      </c>
      <c r="D308" s="109" t="s">
        <v>69</v>
      </c>
      <c r="E308" s="128" t="s">
        <v>289</v>
      </c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109">
        <v>18.0</v>
      </c>
      <c r="B309" s="120" t="s">
        <v>1997</v>
      </c>
      <c r="C309" s="121" t="s">
        <v>1999</v>
      </c>
      <c r="D309" s="109" t="s">
        <v>69</v>
      </c>
      <c r="E309" s="128" t="s">
        <v>289</v>
      </c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109">
        <v>19.0</v>
      </c>
      <c r="B310" s="120" t="s">
        <v>2003</v>
      </c>
      <c r="C310" s="121" t="s">
        <v>2006</v>
      </c>
      <c r="D310" s="109" t="s">
        <v>69</v>
      </c>
      <c r="E310" s="128" t="s">
        <v>289</v>
      </c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109">
        <v>20.0</v>
      </c>
      <c r="B311" s="120" t="s">
        <v>2012</v>
      </c>
      <c r="C311" s="121" t="s">
        <v>2013</v>
      </c>
      <c r="D311" s="109" t="s">
        <v>69</v>
      </c>
      <c r="E311" s="128" t="s">
        <v>289</v>
      </c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109">
        <v>21.0</v>
      </c>
      <c r="B312" s="120" t="s">
        <v>2016</v>
      </c>
      <c r="C312" s="121" t="s">
        <v>33</v>
      </c>
      <c r="D312" s="109" t="s">
        <v>92</v>
      </c>
      <c r="E312" s="128" t="s">
        <v>289</v>
      </c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109">
        <v>22.0</v>
      </c>
      <c r="B313" s="120" t="s">
        <v>2021</v>
      </c>
      <c r="C313" s="121" t="s">
        <v>2022</v>
      </c>
      <c r="D313" s="109" t="s">
        <v>92</v>
      </c>
      <c r="E313" s="128" t="s">
        <v>289</v>
      </c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109">
        <v>23.0</v>
      </c>
      <c r="B314" s="120" t="s">
        <v>2026</v>
      </c>
      <c r="C314" s="121" t="s">
        <v>2028</v>
      </c>
      <c r="D314" s="109" t="s">
        <v>92</v>
      </c>
      <c r="E314" s="128" t="s">
        <v>289</v>
      </c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109">
        <v>24.0</v>
      </c>
      <c r="B315" s="120" t="s">
        <v>2036</v>
      </c>
      <c r="C315" s="121" t="s">
        <v>2037</v>
      </c>
      <c r="D315" s="109" t="s">
        <v>92</v>
      </c>
      <c r="E315" s="128" t="s">
        <v>289</v>
      </c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109">
        <v>25.0</v>
      </c>
      <c r="B316" s="120" t="s">
        <v>2042</v>
      </c>
      <c r="C316" s="121" t="s">
        <v>125</v>
      </c>
      <c r="D316" s="109" t="s">
        <v>92</v>
      </c>
      <c r="E316" s="128" t="s">
        <v>289</v>
      </c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109">
        <v>26.0</v>
      </c>
      <c r="B317" s="120" t="s">
        <v>2047</v>
      </c>
      <c r="C317" s="121" t="s">
        <v>2048</v>
      </c>
      <c r="D317" s="109" t="s">
        <v>92</v>
      </c>
      <c r="E317" s="128" t="s">
        <v>289</v>
      </c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109">
        <v>27.0</v>
      </c>
      <c r="B318" s="120" t="s">
        <v>2056</v>
      </c>
      <c r="C318" s="121" t="s">
        <v>2059</v>
      </c>
      <c r="D318" s="109" t="s">
        <v>92</v>
      </c>
      <c r="E318" s="128" t="s">
        <v>289</v>
      </c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109">
        <v>28.0</v>
      </c>
      <c r="B319" s="120" t="s">
        <v>2063</v>
      </c>
      <c r="C319" s="121" t="s">
        <v>2065</v>
      </c>
      <c r="D319" s="109" t="s">
        <v>69</v>
      </c>
      <c r="E319" s="128" t="s">
        <v>289</v>
      </c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109">
        <v>29.0</v>
      </c>
      <c r="B320" s="120" t="s">
        <v>2070</v>
      </c>
      <c r="C320" s="121" t="s">
        <v>2071</v>
      </c>
      <c r="D320" s="109" t="s">
        <v>69</v>
      </c>
      <c r="E320" s="128" t="s">
        <v>289</v>
      </c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109">
        <v>30.0</v>
      </c>
      <c r="B321" s="120" t="s">
        <v>2074</v>
      </c>
      <c r="C321" s="121" t="s">
        <v>2075</v>
      </c>
      <c r="D321" s="109" t="s">
        <v>69</v>
      </c>
      <c r="E321" s="128" t="s">
        <v>289</v>
      </c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109">
        <v>31.0</v>
      </c>
      <c r="B322" s="120" t="s">
        <v>2079</v>
      </c>
      <c r="C322" s="121" t="s">
        <v>2081</v>
      </c>
      <c r="D322" s="109" t="s">
        <v>69</v>
      </c>
      <c r="E322" s="128" t="s">
        <v>289</v>
      </c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109">
        <v>32.0</v>
      </c>
      <c r="B323" s="120" t="s">
        <v>2084</v>
      </c>
      <c r="C323" s="121" t="s">
        <v>2085</v>
      </c>
      <c r="D323" s="109" t="s">
        <v>69</v>
      </c>
      <c r="E323" s="128" t="s">
        <v>289</v>
      </c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109">
        <v>33.0</v>
      </c>
      <c r="B324" s="120" t="s">
        <v>2088</v>
      </c>
      <c r="C324" s="121" t="s">
        <v>2089</v>
      </c>
      <c r="D324" s="109" t="s">
        <v>69</v>
      </c>
      <c r="E324" s="128" t="s">
        <v>289</v>
      </c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109">
        <v>34.0</v>
      </c>
      <c r="B325" s="120" t="s">
        <v>2091</v>
      </c>
      <c r="C325" s="121" t="s">
        <v>2092</v>
      </c>
      <c r="D325" s="109" t="s">
        <v>92</v>
      </c>
      <c r="E325" s="128" t="s">
        <v>289</v>
      </c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109">
        <v>35.0</v>
      </c>
      <c r="B326" s="120" t="s">
        <v>2093</v>
      </c>
      <c r="C326" s="121" t="s">
        <v>2095</v>
      </c>
      <c r="D326" s="109" t="s">
        <v>92</v>
      </c>
      <c r="E326" s="128" t="s">
        <v>289</v>
      </c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109">
        <v>36.0</v>
      </c>
      <c r="B327" s="134" t="s">
        <v>2097</v>
      </c>
      <c r="C327" s="135" t="s">
        <v>2099</v>
      </c>
      <c r="D327" s="134" t="s">
        <v>92</v>
      </c>
      <c r="E327" s="128" t="s">
        <v>289</v>
      </c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109">
        <v>37.0</v>
      </c>
      <c r="B328" s="120" t="s">
        <v>2103</v>
      </c>
      <c r="C328" s="121" t="s">
        <v>2104</v>
      </c>
      <c r="D328" s="109" t="s">
        <v>92</v>
      </c>
      <c r="E328" s="128" t="s">
        <v>289</v>
      </c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109">
        <v>38.0</v>
      </c>
      <c r="B329" s="120" t="s">
        <v>2107</v>
      </c>
      <c r="C329" s="121" t="s">
        <v>126</v>
      </c>
      <c r="D329" s="109" t="s">
        <v>69</v>
      </c>
      <c r="E329" s="128" t="s">
        <v>289</v>
      </c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109">
        <v>39.0</v>
      </c>
      <c r="B330" s="120" t="s">
        <v>2110</v>
      </c>
      <c r="C330" s="121" t="s">
        <v>2111</v>
      </c>
      <c r="D330" s="109" t="s">
        <v>92</v>
      </c>
      <c r="E330" s="128" t="s">
        <v>289</v>
      </c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109">
        <v>40.0</v>
      </c>
      <c r="B331" s="120" t="s">
        <v>2114</v>
      </c>
      <c r="C331" s="121" t="s">
        <v>2115</v>
      </c>
      <c r="D331" s="109" t="s">
        <v>69</v>
      </c>
      <c r="E331" s="128" t="s">
        <v>289</v>
      </c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109">
        <v>41.0</v>
      </c>
      <c r="B332" s="134" t="s">
        <v>2116</v>
      </c>
      <c r="C332" s="135" t="s">
        <v>2117</v>
      </c>
      <c r="D332" s="134" t="s">
        <v>69</v>
      </c>
      <c r="E332" s="128" t="s">
        <v>289</v>
      </c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109">
        <v>42.0</v>
      </c>
      <c r="B333" s="120" t="s">
        <v>2118</v>
      </c>
      <c r="C333" s="121" t="s">
        <v>2119</v>
      </c>
      <c r="D333" s="109" t="s">
        <v>69</v>
      </c>
      <c r="E333" s="128" t="s">
        <v>289</v>
      </c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109">
        <v>43.0</v>
      </c>
      <c r="B334" s="120" t="s">
        <v>2120</v>
      </c>
      <c r="C334" s="121" t="s">
        <v>2121</v>
      </c>
      <c r="D334" s="109" t="s">
        <v>69</v>
      </c>
      <c r="E334" s="128" t="s">
        <v>289</v>
      </c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109">
        <v>44.0</v>
      </c>
      <c r="B335" s="120" t="s">
        <v>2122</v>
      </c>
      <c r="C335" s="121" t="s">
        <v>2123</v>
      </c>
      <c r="D335" s="109" t="s">
        <v>69</v>
      </c>
      <c r="E335" s="128" t="s">
        <v>289</v>
      </c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109">
        <v>45.0</v>
      </c>
      <c r="B336" s="120" t="s">
        <v>2125</v>
      </c>
      <c r="C336" s="121" t="s">
        <v>275</v>
      </c>
      <c r="D336" s="109" t="s">
        <v>69</v>
      </c>
      <c r="E336" s="128" t="s">
        <v>289</v>
      </c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109">
        <v>46.0</v>
      </c>
      <c r="B337" s="120" t="s">
        <v>2127</v>
      </c>
      <c r="C337" s="121" t="s">
        <v>2128</v>
      </c>
      <c r="D337" s="109" t="s">
        <v>69</v>
      </c>
      <c r="E337" s="128" t="s">
        <v>289</v>
      </c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117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132" t="s">
        <v>1158</v>
      </c>
      <c r="D339" s="50">
        <f>COUNTIF(D292:D337, "L")</f>
        <v>19</v>
      </c>
      <c r="E339" s="117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132" t="s">
        <v>1166</v>
      </c>
      <c r="D340" s="133">
        <f>COUNTIF(D292:D337, "P")</f>
        <v>27</v>
      </c>
      <c r="E340" s="117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117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117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7" t="s">
        <v>20</v>
      </c>
      <c r="E343" s="117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7" t="s">
        <v>2145</v>
      </c>
      <c r="E344" s="117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7" t="s">
        <v>37</v>
      </c>
      <c r="E345" s="117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 t="s">
        <v>2149</v>
      </c>
      <c r="B346" s="29"/>
      <c r="C346" s="29"/>
      <c r="D346" s="29"/>
      <c r="E346" s="117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118" t="s">
        <v>13</v>
      </c>
      <c r="B347" s="118" t="s">
        <v>630</v>
      </c>
      <c r="C347" s="118" t="s">
        <v>15</v>
      </c>
      <c r="D347" s="118" t="s">
        <v>631</v>
      </c>
      <c r="E347" s="128" t="s">
        <v>16</v>
      </c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109">
        <v>1.0</v>
      </c>
      <c r="B348" s="120" t="s">
        <v>2154</v>
      </c>
      <c r="C348" s="121" t="s">
        <v>2155</v>
      </c>
      <c r="D348" s="109" t="s">
        <v>69</v>
      </c>
      <c r="E348" s="128" t="s">
        <v>259</v>
      </c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109">
        <v>2.0</v>
      </c>
      <c r="B349" s="120" t="s">
        <v>2157</v>
      </c>
      <c r="C349" s="121" t="s">
        <v>2158</v>
      </c>
      <c r="D349" s="109" t="s">
        <v>69</v>
      </c>
      <c r="E349" s="128" t="s">
        <v>259</v>
      </c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109">
        <v>3.0</v>
      </c>
      <c r="B350" s="120" t="s">
        <v>2160</v>
      </c>
      <c r="C350" s="121" t="s">
        <v>2161</v>
      </c>
      <c r="D350" s="109" t="s">
        <v>92</v>
      </c>
      <c r="E350" s="128" t="s">
        <v>259</v>
      </c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109">
        <v>4.0</v>
      </c>
      <c r="B351" s="120" t="s">
        <v>2164</v>
      </c>
      <c r="C351" s="121" t="s">
        <v>2165</v>
      </c>
      <c r="D351" s="109" t="s">
        <v>69</v>
      </c>
      <c r="E351" s="128" t="s">
        <v>259</v>
      </c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109">
        <v>5.0</v>
      </c>
      <c r="B352" s="120" t="s">
        <v>2169</v>
      </c>
      <c r="C352" s="121" t="s">
        <v>2171</v>
      </c>
      <c r="D352" s="109" t="s">
        <v>92</v>
      </c>
      <c r="E352" s="128" t="s">
        <v>259</v>
      </c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109">
        <v>6.0</v>
      </c>
      <c r="B353" s="120" t="s">
        <v>2173</v>
      </c>
      <c r="C353" s="121" t="s">
        <v>301</v>
      </c>
      <c r="D353" s="109" t="s">
        <v>69</v>
      </c>
      <c r="E353" s="128" t="s">
        <v>259</v>
      </c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109">
        <v>7.0</v>
      </c>
      <c r="B354" s="120" t="s">
        <v>2176</v>
      </c>
      <c r="C354" s="121" t="s">
        <v>2177</v>
      </c>
      <c r="D354" s="109" t="s">
        <v>69</v>
      </c>
      <c r="E354" s="128" t="s">
        <v>259</v>
      </c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109">
        <v>8.0</v>
      </c>
      <c r="B355" s="120" t="s">
        <v>2180</v>
      </c>
      <c r="C355" s="121" t="s">
        <v>2181</v>
      </c>
      <c r="D355" s="109" t="s">
        <v>92</v>
      </c>
      <c r="E355" s="128" t="s">
        <v>259</v>
      </c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109">
        <v>9.0</v>
      </c>
      <c r="B356" s="120" t="s">
        <v>2184</v>
      </c>
      <c r="C356" s="121" t="s">
        <v>2185</v>
      </c>
      <c r="D356" s="109" t="s">
        <v>92</v>
      </c>
      <c r="E356" s="128" t="s">
        <v>259</v>
      </c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109">
        <v>10.0</v>
      </c>
      <c r="B357" s="120" t="s">
        <v>2188</v>
      </c>
      <c r="C357" s="121" t="s">
        <v>2189</v>
      </c>
      <c r="D357" s="109" t="s">
        <v>69</v>
      </c>
      <c r="E357" s="128" t="s">
        <v>259</v>
      </c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109">
        <v>11.0</v>
      </c>
      <c r="B358" s="120" t="s">
        <v>2192</v>
      </c>
      <c r="C358" s="121" t="s">
        <v>2193</v>
      </c>
      <c r="D358" s="109" t="s">
        <v>69</v>
      </c>
      <c r="E358" s="128" t="s">
        <v>259</v>
      </c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109">
        <v>12.0</v>
      </c>
      <c r="B359" s="120" t="s">
        <v>2196</v>
      </c>
      <c r="C359" s="121" t="s">
        <v>2198</v>
      </c>
      <c r="D359" s="109" t="s">
        <v>69</v>
      </c>
      <c r="E359" s="128" t="s">
        <v>259</v>
      </c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109">
        <v>13.0</v>
      </c>
      <c r="B360" s="134" t="s">
        <v>2202</v>
      </c>
      <c r="C360" s="135" t="s">
        <v>2203</v>
      </c>
      <c r="D360" s="134" t="s">
        <v>92</v>
      </c>
      <c r="E360" s="128" t="s">
        <v>259</v>
      </c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109">
        <v>14.0</v>
      </c>
      <c r="B361" s="120" t="s">
        <v>2205</v>
      </c>
      <c r="C361" s="121" t="s">
        <v>2206</v>
      </c>
      <c r="D361" s="109" t="s">
        <v>92</v>
      </c>
      <c r="E361" s="128" t="s">
        <v>259</v>
      </c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109">
        <v>15.0</v>
      </c>
      <c r="B362" s="120" t="s">
        <v>2209</v>
      </c>
      <c r="C362" s="121" t="s">
        <v>2210</v>
      </c>
      <c r="D362" s="109" t="s">
        <v>92</v>
      </c>
      <c r="E362" s="128" t="s">
        <v>259</v>
      </c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109">
        <v>16.0</v>
      </c>
      <c r="B363" s="120" t="s">
        <v>2213</v>
      </c>
      <c r="C363" s="121" t="s">
        <v>2214</v>
      </c>
      <c r="D363" s="109" t="s">
        <v>92</v>
      </c>
      <c r="E363" s="128" t="s">
        <v>259</v>
      </c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109">
        <v>17.0</v>
      </c>
      <c r="B364" s="120" t="s">
        <v>2219</v>
      </c>
      <c r="C364" s="121" t="s">
        <v>2221</v>
      </c>
      <c r="D364" s="109" t="s">
        <v>69</v>
      </c>
      <c r="E364" s="128" t="s">
        <v>259</v>
      </c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109">
        <v>18.0</v>
      </c>
      <c r="B365" s="120" t="s">
        <v>2223</v>
      </c>
      <c r="C365" s="121" t="s">
        <v>2225</v>
      </c>
      <c r="D365" s="109" t="s">
        <v>69</v>
      </c>
      <c r="E365" s="128" t="s">
        <v>259</v>
      </c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109">
        <v>19.0</v>
      </c>
      <c r="B366" s="120" t="s">
        <v>2229</v>
      </c>
      <c r="C366" s="121" t="s">
        <v>2230</v>
      </c>
      <c r="D366" s="109" t="s">
        <v>92</v>
      </c>
      <c r="E366" s="128" t="s">
        <v>259</v>
      </c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109">
        <v>20.0</v>
      </c>
      <c r="B367" s="120" t="s">
        <v>2233</v>
      </c>
      <c r="C367" s="121" t="s">
        <v>2234</v>
      </c>
      <c r="D367" s="109" t="s">
        <v>69</v>
      </c>
      <c r="E367" s="128" t="s">
        <v>259</v>
      </c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109">
        <v>21.0</v>
      </c>
      <c r="B368" s="120" t="s">
        <v>2237</v>
      </c>
      <c r="C368" s="121" t="s">
        <v>2238</v>
      </c>
      <c r="D368" s="109" t="s">
        <v>92</v>
      </c>
      <c r="E368" s="128" t="s">
        <v>259</v>
      </c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109">
        <v>22.0</v>
      </c>
      <c r="B369" s="120" t="s">
        <v>2240</v>
      </c>
      <c r="C369" s="121" t="s">
        <v>2241</v>
      </c>
      <c r="D369" s="109" t="s">
        <v>69</v>
      </c>
      <c r="E369" s="128" t="s">
        <v>259</v>
      </c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109">
        <v>23.0</v>
      </c>
      <c r="B370" s="120" t="s">
        <v>2242</v>
      </c>
      <c r="C370" s="121" t="s">
        <v>2243</v>
      </c>
      <c r="D370" s="109" t="s">
        <v>69</v>
      </c>
      <c r="E370" s="128" t="s">
        <v>259</v>
      </c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109">
        <v>24.0</v>
      </c>
      <c r="B371" s="120" t="s">
        <v>2244</v>
      </c>
      <c r="C371" s="121" t="s">
        <v>2245</v>
      </c>
      <c r="D371" s="109" t="s">
        <v>92</v>
      </c>
      <c r="E371" s="128" t="s">
        <v>259</v>
      </c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109">
        <v>25.0</v>
      </c>
      <c r="B372" s="120" t="s">
        <v>2246</v>
      </c>
      <c r="C372" s="121" t="s">
        <v>2247</v>
      </c>
      <c r="D372" s="109" t="s">
        <v>92</v>
      </c>
      <c r="E372" s="128" t="s">
        <v>259</v>
      </c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109">
        <v>26.0</v>
      </c>
      <c r="B373" s="120" t="s">
        <v>2248</v>
      </c>
      <c r="C373" s="121" t="s">
        <v>2249</v>
      </c>
      <c r="D373" s="109" t="s">
        <v>92</v>
      </c>
      <c r="E373" s="128" t="s">
        <v>259</v>
      </c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109">
        <v>27.0</v>
      </c>
      <c r="B374" s="134" t="s">
        <v>2250</v>
      </c>
      <c r="C374" s="135" t="s">
        <v>2252</v>
      </c>
      <c r="D374" s="109" t="s">
        <v>92</v>
      </c>
      <c r="E374" s="128" t="s">
        <v>259</v>
      </c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109">
        <v>28.0</v>
      </c>
      <c r="B375" s="120" t="s">
        <v>2253</v>
      </c>
      <c r="C375" s="121" t="s">
        <v>2254</v>
      </c>
      <c r="D375" s="109" t="s">
        <v>92</v>
      </c>
      <c r="E375" s="128" t="s">
        <v>259</v>
      </c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109">
        <v>29.0</v>
      </c>
      <c r="B376" s="120" t="s">
        <v>2256</v>
      </c>
      <c r="C376" s="121" t="s">
        <v>2257</v>
      </c>
      <c r="D376" s="109" t="s">
        <v>69</v>
      </c>
      <c r="E376" s="128" t="s">
        <v>259</v>
      </c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109">
        <v>30.0</v>
      </c>
      <c r="B377" s="134" t="s">
        <v>2260</v>
      </c>
      <c r="C377" s="135" t="s">
        <v>2261</v>
      </c>
      <c r="D377" s="109" t="s">
        <v>69</v>
      </c>
      <c r="E377" s="128" t="s">
        <v>259</v>
      </c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109">
        <v>31.0</v>
      </c>
      <c r="B378" s="120" t="s">
        <v>2262</v>
      </c>
      <c r="C378" s="121" t="s">
        <v>2263</v>
      </c>
      <c r="D378" s="109" t="s">
        <v>69</v>
      </c>
      <c r="E378" s="128" t="s">
        <v>259</v>
      </c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109">
        <v>32.0</v>
      </c>
      <c r="B379" s="120" t="s">
        <v>2267</v>
      </c>
      <c r="C379" s="121" t="s">
        <v>75</v>
      </c>
      <c r="D379" s="109" t="s">
        <v>69</v>
      </c>
      <c r="E379" s="128" t="s">
        <v>259</v>
      </c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109">
        <v>33.0</v>
      </c>
      <c r="B380" s="120" t="s">
        <v>2269</v>
      </c>
      <c r="C380" s="121" t="s">
        <v>2270</v>
      </c>
      <c r="D380" s="109" t="s">
        <v>92</v>
      </c>
      <c r="E380" s="128" t="s">
        <v>259</v>
      </c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109">
        <v>34.0</v>
      </c>
      <c r="B381" s="120" t="s">
        <v>2273</v>
      </c>
      <c r="C381" s="121" t="s">
        <v>2274</v>
      </c>
      <c r="D381" s="109" t="s">
        <v>69</v>
      </c>
      <c r="E381" s="128" t="s">
        <v>259</v>
      </c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109">
        <v>35.0</v>
      </c>
      <c r="B382" s="120" t="s">
        <v>2275</v>
      </c>
      <c r="C382" s="121" t="s">
        <v>2276</v>
      </c>
      <c r="D382" s="109" t="s">
        <v>92</v>
      </c>
      <c r="E382" s="128" t="s">
        <v>259</v>
      </c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109">
        <v>36.0</v>
      </c>
      <c r="B383" s="120" t="s">
        <v>2279</v>
      </c>
      <c r="C383" s="121" t="s">
        <v>2280</v>
      </c>
      <c r="D383" s="109" t="s">
        <v>69</v>
      </c>
      <c r="E383" s="128" t="s">
        <v>259</v>
      </c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109">
        <v>37.0</v>
      </c>
      <c r="B384" s="120" t="s">
        <v>2281</v>
      </c>
      <c r="C384" s="121" t="s">
        <v>2282</v>
      </c>
      <c r="D384" s="109" t="s">
        <v>69</v>
      </c>
      <c r="E384" s="128" t="s">
        <v>259</v>
      </c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109">
        <v>38.0</v>
      </c>
      <c r="B385" s="120" t="s">
        <v>2285</v>
      </c>
      <c r="C385" s="121" t="s">
        <v>145</v>
      </c>
      <c r="D385" s="109" t="s">
        <v>69</v>
      </c>
      <c r="E385" s="128" t="s">
        <v>259</v>
      </c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109">
        <v>39.0</v>
      </c>
      <c r="B386" s="120" t="s">
        <v>2288</v>
      </c>
      <c r="C386" s="121" t="s">
        <v>2289</v>
      </c>
      <c r="D386" s="109" t="s">
        <v>69</v>
      </c>
      <c r="E386" s="128" t="s">
        <v>259</v>
      </c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109">
        <v>40.0</v>
      </c>
      <c r="B387" s="120" t="s">
        <v>2292</v>
      </c>
      <c r="C387" s="121" t="s">
        <v>2293</v>
      </c>
      <c r="D387" s="109" t="s">
        <v>69</v>
      </c>
      <c r="E387" s="128" t="s">
        <v>259</v>
      </c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109">
        <v>41.0</v>
      </c>
      <c r="B388" s="120" t="s">
        <v>2296</v>
      </c>
      <c r="C388" s="121" t="s">
        <v>2297</v>
      </c>
      <c r="D388" s="109" t="s">
        <v>69</v>
      </c>
      <c r="E388" s="128" t="s">
        <v>259</v>
      </c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109">
        <v>42.0</v>
      </c>
      <c r="B389" s="120" t="s">
        <v>2298</v>
      </c>
      <c r="C389" s="121" t="s">
        <v>2300</v>
      </c>
      <c r="D389" s="109" t="s">
        <v>69</v>
      </c>
      <c r="E389" s="128" t="s">
        <v>259</v>
      </c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109">
        <v>43.0</v>
      </c>
      <c r="B390" s="120" t="s">
        <v>2302</v>
      </c>
      <c r="C390" s="121" t="s">
        <v>2304</v>
      </c>
      <c r="D390" s="109" t="s">
        <v>69</v>
      </c>
      <c r="E390" s="128" t="s">
        <v>259</v>
      </c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109">
        <v>44.0</v>
      </c>
      <c r="B391" s="120" t="s">
        <v>2310</v>
      </c>
      <c r="C391" s="121" t="s">
        <v>2312</v>
      </c>
      <c r="D391" s="109" t="s">
        <v>69</v>
      </c>
      <c r="E391" s="128" t="s">
        <v>259</v>
      </c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109">
        <v>45.0</v>
      </c>
      <c r="B392" s="120" t="s">
        <v>2315</v>
      </c>
      <c r="C392" s="121" t="s">
        <v>2316</v>
      </c>
      <c r="D392" s="109" t="s">
        <v>92</v>
      </c>
      <c r="E392" s="128" t="s">
        <v>259</v>
      </c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117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132" t="s">
        <v>1158</v>
      </c>
      <c r="D394" s="50">
        <f>COUNTIF(D348:D392, "L")</f>
        <v>18</v>
      </c>
      <c r="E394" s="117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132" t="s">
        <v>1166</v>
      </c>
      <c r="D395" s="133">
        <f>COUNTIF(D348:D392, "P")</f>
        <v>27</v>
      </c>
      <c r="E395" s="117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117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117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7" t="s">
        <v>20</v>
      </c>
      <c r="E398" s="117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7" t="s">
        <v>2327</v>
      </c>
      <c r="E399" s="117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7" t="s">
        <v>37</v>
      </c>
      <c r="E400" s="117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 t="s">
        <v>2330</v>
      </c>
      <c r="B401" s="29"/>
      <c r="C401" s="29"/>
      <c r="D401" s="29"/>
      <c r="E401" s="117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118" t="s">
        <v>13</v>
      </c>
      <c r="B402" s="118" t="s">
        <v>630</v>
      </c>
      <c r="C402" s="118" t="s">
        <v>15</v>
      </c>
      <c r="D402" s="118" t="s">
        <v>631</v>
      </c>
      <c r="E402" s="128" t="s">
        <v>16</v>
      </c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109">
        <v>1.0</v>
      </c>
      <c r="B403" s="120" t="s">
        <v>2335</v>
      </c>
      <c r="C403" s="121" t="s">
        <v>2336</v>
      </c>
      <c r="D403" s="109" t="s">
        <v>69</v>
      </c>
      <c r="E403" s="128" t="s">
        <v>114</v>
      </c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109">
        <v>2.0</v>
      </c>
      <c r="B404" s="120" t="s">
        <v>2339</v>
      </c>
      <c r="C404" s="121" t="s">
        <v>2340</v>
      </c>
      <c r="D404" s="109" t="s">
        <v>69</v>
      </c>
      <c r="E404" s="128" t="s">
        <v>114</v>
      </c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109">
        <v>3.0</v>
      </c>
      <c r="B405" s="120" t="s">
        <v>2343</v>
      </c>
      <c r="C405" s="121" t="s">
        <v>2344</v>
      </c>
      <c r="D405" s="109" t="s">
        <v>69</v>
      </c>
      <c r="E405" s="128" t="s">
        <v>114</v>
      </c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109">
        <v>4.0</v>
      </c>
      <c r="B406" s="120" t="s">
        <v>2346</v>
      </c>
      <c r="C406" s="121" t="s">
        <v>95</v>
      </c>
      <c r="D406" s="109" t="s">
        <v>69</v>
      </c>
      <c r="E406" s="128" t="s">
        <v>114</v>
      </c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109">
        <v>5.0</v>
      </c>
      <c r="B407" s="120" t="s">
        <v>2349</v>
      </c>
      <c r="C407" s="121" t="s">
        <v>215</v>
      </c>
      <c r="D407" s="109" t="s">
        <v>69</v>
      </c>
      <c r="E407" s="128" t="s">
        <v>114</v>
      </c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109">
        <v>6.0</v>
      </c>
      <c r="B408" s="120" t="s">
        <v>2352</v>
      </c>
      <c r="C408" s="121" t="s">
        <v>2353</v>
      </c>
      <c r="D408" s="109" t="s">
        <v>69</v>
      </c>
      <c r="E408" s="128" t="s">
        <v>114</v>
      </c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109">
        <v>7.0</v>
      </c>
      <c r="B409" s="120" t="s">
        <v>2356</v>
      </c>
      <c r="C409" s="121" t="s">
        <v>2357</v>
      </c>
      <c r="D409" s="109" t="s">
        <v>92</v>
      </c>
      <c r="E409" s="128" t="s">
        <v>114</v>
      </c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109">
        <v>8.0</v>
      </c>
      <c r="B410" s="120" t="s">
        <v>2359</v>
      </c>
      <c r="C410" s="121" t="s">
        <v>2361</v>
      </c>
      <c r="D410" s="109" t="s">
        <v>69</v>
      </c>
      <c r="E410" s="128" t="s">
        <v>114</v>
      </c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109">
        <v>9.0</v>
      </c>
      <c r="B411" s="120" t="s">
        <v>2362</v>
      </c>
      <c r="C411" s="121" t="s">
        <v>2364</v>
      </c>
      <c r="D411" s="109" t="s">
        <v>69</v>
      </c>
      <c r="E411" s="128" t="s">
        <v>114</v>
      </c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109">
        <v>10.0</v>
      </c>
      <c r="B412" s="120" t="s">
        <v>2366</v>
      </c>
      <c r="C412" s="121" t="s">
        <v>112</v>
      </c>
      <c r="D412" s="109" t="s">
        <v>92</v>
      </c>
      <c r="E412" s="128" t="s">
        <v>114</v>
      </c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109">
        <v>11.0</v>
      </c>
      <c r="B413" s="120" t="s">
        <v>2368</v>
      </c>
      <c r="C413" s="121" t="s">
        <v>2369</v>
      </c>
      <c r="D413" s="109" t="s">
        <v>92</v>
      </c>
      <c r="E413" s="128" t="s">
        <v>114</v>
      </c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109">
        <v>12.0</v>
      </c>
      <c r="B414" s="120" t="s">
        <v>2371</v>
      </c>
      <c r="C414" s="121" t="s">
        <v>2372</v>
      </c>
      <c r="D414" s="109" t="s">
        <v>69</v>
      </c>
      <c r="E414" s="128" t="s">
        <v>114</v>
      </c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109">
        <v>13.0</v>
      </c>
      <c r="B415" s="120" t="s">
        <v>2375</v>
      </c>
      <c r="C415" s="121" t="s">
        <v>213</v>
      </c>
      <c r="D415" s="109" t="s">
        <v>92</v>
      </c>
      <c r="E415" s="128" t="s">
        <v>114</v>
      </c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109">
        <v>14.0</v>
      </c>
      <c r="B416" s="120" t="s">
        <v>2377</v>
      </c>
      <c r="C416" s="121" t="s">
        <v>2378</v>
      </c>
      <c r="D416" s="109" t="s">
        <v>69</v>
      </c>
      <c r="E416" s="128" t="s">
        <v>114</v>
      </c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109">
        <v>15.0</v>
      </c>
      <c r="B417" s="120" t="s">
        <v>2380</v>
      </c>
      <c r="C417" s="121" t="s">
        <v>226</v>
      </c>
      <c r="D417" s="109" t="s">
        <v>92</v>
      </c>
      <c r="E417" s="128" t="s">
        <v>114</v>
      </c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109">
        <v>16.0</v>
      </c>
      <c r="B418" s="120" t="s">
        <v>2381</v>
      </c>
      <c r="C418" s="121" t="s">
        <v>2382</v>
      </c>
      <c r="D418" s="109" t="s">
        <v>69</v>
      </c>
      <c r="E418" s="128" t="s">
        <v>114</v>
      </c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109">
        <v>17.0</v>
      </c>
      <c r="B419" s="120" t="s">
        <v>2383</v>
      </c>
      <c r="C419" s="121" t="s">
        <v>2384</v>
      </c>
      <c r="D419" s="109" t="s">
        <v>69</v>
      </c>
      <c r="E419" s="128" t="s">
        <v>114</v>
      </c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109">
        <v>18.0</v>
      </c>
      <c r="B420" s="120" t="s">
        <v>2385</v>
      </c>
      <c r="C420" s="121" t="s">
        <v>2386</v>
      </c>
      <c r="D420" s="109" t="s">
        <v>92</v>
      </c>
      <c r="E420" s="128" t="s">
        <v>114</v>
      </c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109">
        <v>19.0</v>
      </c>
      <c r="B421" s="120" t="s">
        <v>2387</v>
      </c>
      <c r="C421" s="121" t="s">
        <v>2388</v>
      </c>
      <c r="D421" s="109" t="s">
        <v>69</v>
      </c>
      <c r="E421" s="128" t="s">
        <v>114</v>
      </c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109">
        <v>20.0</v>
      </c>
      <c r="B422" s="120" t="s">
        <v>2390</v>
      </c>
      <c r="C422" s="121" t="s">
        <v>2391</v>
      </c>
      <c r="D422" s="109" t="s">
        <v>69</v>
      </c>
      <c r="E422" s="128" t="s">
        <v>114</v>
      </c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109">
        <v>21.0</v>
      </c>
      <c r="B423" s="120" t="s">
        <v>2393</v>
      </c>
      <c r="C423" s="121" t="s">
        <v>339</v>
      </c>
      <c r="D423" s="109" t="s">
        <v>69</v>
      </c>
      <c r="E423" s="128" t="s">
        <v>114</v>
      </c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109">
        <v>22.0</v>
      </c>
      <c r="B424" s="120" t="s">
        <v>2394</v>
      </c>
      <c r="C424" s="121" t="s">
        <v>72</v>
      </c>
      <c r="D424" s="109" t="s">
        <v>92</v>
      </c>
      <c r="E424" s="128" t="s">
        <v>114</v>
      </c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109">
        <v>23.0</v>
      </c>
      <c r="B425" s="120" t="s">
        <v>2397</v>
      </c>
      <c r="C425" s="121" t="s">
        <v>2398</v>
      </c>
      <c r="D425" s="109" t="s">
        <v>92</v>
      </c>
      <c r="E425" s="128" t="s">
        <v>114</v>
      </c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109">
        <v>24.0</v>
      </c>
      <c r="B426" s="120" t="s">
        <v>2402</v>
      </c>
      <c r="C426" s="121" t="s">
        <v>2404</v>
      </c>
      <c r="D426" s="109" t="s">
        <v>92</v>
      </c>
      <c r="E426" s="128" t="s">
        <v>114</v>
      </c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109">
        <v>25.0</v>
      </c>
      <c r="B427" s="120" t="s">
        <v>2407</v>
      </c>
      <c r="C427" s="121" t="s">
        <v>2408</v>
      </c>
      <c r="D427" s="109" t="s">
        <v>92</v>
      </c>
      <c r="E427" s="128" t="s">
        <v>114</v>
      </c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109">
        <v>26.0</v>
      </c>
      <c r="B428" s="120" t="s">
        <v>2413</v>
      </c>
      <c r="C428" s="121" t="s">
        <v>2414</v>
      </c>
      <c r="D428" s="109" t="s">
        <v>92</v>
      </c>
      <c r="E428" s="128" t="s">
        <v>114</v>
      </c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109">
        <v>27.0</v>
      </c>
      <c r="B429" s="120" t="s">
        <v>2417</v>
      </c>
      <c r="C429" s="121" t="s">
        <v>2418</v>
      </c>
      <c r="D429" s="109" t="s">
        <v>92</v>
      </c>
      <c r="E429" s="128" t="s">
        <v>114</v>
      </c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109">
        <v>28.0</v>
      </c>
      <c r="B430" s="120" t="s">
        <v>2421</v>
      </c>
      <c r="C430" s="121" t="s">
        <v>2422</v>
      </c>
      <c r="D430" s="109" t="s">
        <v>69</v>
      </c>
      <c r="E430" s="128" t="s">
        <v>114</v>
      </c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109">
        <v>29.0</v>
      </c>
      <c r="B431" s="134" t="s">
        <v>2425</v>
      </c>
      <c r="C431" s="135" t="s">
        <v>2426</v>
      </c>
      <c r="D431" s="134" t="s">
        <v>92</v>
      </c>
      <c r="E431" s="128" t="s">
        <v>114</v>
      </c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109">
        <v>30.0</v>
      </c>
      <c r="B432" s="120" t="s">
        <v>2428</v>
      </c>
      <c r="C432" s="121" t="s">
        <v>2430</v>
      </c>
      <c r="D432" s="109" t="s">
        <v>69</v>
      </c>
      <c r="E432" s="128" t="s">
        <v>114</v>
      </c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109">
        <v>31.0</v>
      </c>
      <c r="B433" s="120" t="s">
        <v>2434</v>
      </c>
      <c r="C433" s="121" t="s">
        <v>2435</v>
      </c>
      <c r="D433" s="109" t="s">
        <v>69</v>
      </c>
      <c r="E433" s="128" t="s">
        <v>114</v>
      </c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109">
        <v>32.0</v>
      </c>
      <c r="B434" s="120" t="s">
        <v>2437</v>
      </c>
      <c r="C434" s="121" t="s">
        <v>2439</v>
      </c>
      <c r="D434" s="109" t="s">
        <v>69</v>
      </c>
      <c r="E434" s="128" t="s">
        <v>114</v>
      </c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109">
        <v>33.0</v>
      </c>
      <c r="B435" s="120" t="s">
        <v>2442</v>
      </c>
      <c r="C435" s="121" t="s">
        <v>252</v>
      </c>
      <c r="D435" s="109" t="s">
        <v>69</v>
      </c>
      <c r="E435" s="128" t="s">
        <v>114</v>
      </c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109">
        <v>34.0</v>
      </c>
      <c r="B436" s="134" t="s">
        <v>2444</v>
      </c>
      <c r="C436" s="135" t="s">
        <v>2445</v>
      </c>
      <c r="D436" s="134" t="s">
        <v>69</v>
      </c>
      <c r="E436" s="128" t="s">
        <v>114</v>
      </c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109">
        <v>35.0</v>
      </c>
      <c r="B437" s="120" t="s">
        <v>2449</v>
      </c>
      <c r="C437" s="121" t="s">
        <v>2451</v>
      </c>
      <c r="D437" s="109" t="s">
        <v>92</v>
      </c>
      <c r="E437" s="128" t="s">
        <v>114</v>
      </c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109">
        <v>36.0</v>
      </c>
      <c r="B438" s="120" t="s">
        <v>2454</v>
      </c>
      <c r="C438" s="121" t="s">
        <v>2455</v>
      </c>
      <c r="D438" s="109" t="s">
        <v>92</v>
      </c>
      <c r="E438" s="128" t="s">
        <v>114</v>
      </c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109">
        <v>37.0</v>
      </c>
      <c r="B439" s="134" t="s">
        <v>2458</v>
      </c>
      <c r="C439" s="135" t="s">
        <v>2459</v>
      </c>
      <c r="D439" s="134" t="s">
        <v>69</v>
      </c>
      <c r="E439" s="128" t="s">
        <v>114</v>
      </c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109">
        <v>38.0</v>
      </c>
      <c r="B440" s="120" t="s">
        <v>2462</v>
      </c>
      <c r="C440" s="121" t="s">
        <v>113</v>
      </c>
      <c r="D440" s="109" t="s">
        <v>69</v>
      </c>
      <c r="E440" s="128" t="s">
        <v>114</v>
      </c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109">
        <v>39.0</v>
      </c>
      <c r="B441" s="120" t="s">
        <v>2469</v>
      </c>
      <c r="C441" s="121" t="s">
        <v>2470</v>
      </c>
      <c r="D441" s="109" t="s">
        <v>69</v>
      </c>
      <c r="E441" s="128" t="s">
        <v>114</v>
      </c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109">
        <v>40.0</v>
      </c>
      <c r="B442" s="120" t="s">
        <v>2473</v>
      </c>
      <c r="C442" s="121" t="s">
        <v>2474</v>
      </c>
      <c r="D442" s="109" t="s">
        <v>69</v>
      </c>
      <c r="E442" s="128" t="s">
        <v>114</v>
      </c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109">
        <v>41.0</v>
      </c>
      <c r="B443" s="120" t="s">
        <v>2477</v>
      </c>
      <c r="C443" s="121" t="s">
        <v>2478</v>
      </c>
      <c r="D443" s="109" t="s">
        <v>69</v>
      </c>
      <c r="E443" s="128" t="s">
        <v>114</v>
      </c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109">
        <v>42.0</v>
      </c>
      <c r="B444" s="120" t="s">
        <v>2481</v>
      </c>
      <c r="C444" s="121" t="s">
        <v>2482</v>
      </c>
      <c r="D444" s="109" t="s">
        <v>69</v>
      </c>
      <c r="E444" s="128" t="s">
        <v>114</v>
      </c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109">
        <v>43.0</v>
      </c>
      <c r="B445" s="120" t="s">
        <v>2485</v>
      </c>
      <c r="C445" s="121" t="s">
        <v>2486</v>
      </c>
      <c r="D445" s="109" t="s">
        <v>92</v>
      </c>
      <c r="E445" s="128" t="s">
        <v>114</v>
      </c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109">
        <v>44.0</v>
      </c>
      <c r="B446" s="120" t="s">
        <v>2491</v>
      </c>
      <c r="C446" s="121" t="s">
        <v>2492</v>
      </c>
      <c r="D446" s="109" t="s">
        <v>92</v>
      </c>
      <c r="E446" s="128" t="s">
        <v>114</v>
      </c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109">
        <v>45.0</v>
      </c>
      <c r="B447" s="120" t="s">
        <v>2495</v>
      </c>
      <c r="C447" s="121" t="s">
        <v>2496</v>
      </c>
      <c r="D447" s="109" t="s">
        <v>69</v>
      </c>
      <c r="E447" s="128" t="s">
        <v>114</v>
      </c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117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132" t="s">
        <v>1158</v>
      </c>
      <c r="D449" s="50">
        <f>COUNTIF(D403:D447, "L")</f>
        <v>17</v>
      </c>
      <c r="E449" s="117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132" t="s">
        <v>1166</v>
      </c>
      <c r="D450" s="133">
        <f>COUNTIF(D403:D447, "P")</f>
        <v>28</v>
      </c>
      <c r="E450" s="117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117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117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7" t="s">
        <v>20</v>
      </c>
      <c r="E453" s="117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7" t="s">
        <v>2509</v>
      </c>
      <c r="E454" s="117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7" t="s">
        <v>37</v>
      </c>
      <c r="E455" s="117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 t="s">
        <v>2510</v>
      </c>
      <c r="B456" s="29"/>
      <c r="C456" s="29"/>
      <c r="D456" s="29"/>
      <c r="E456" s="117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118" t="s">
        <v>13</v>
      </c>
      <c r="B457" s="118" t="s">
        <v>630</v>
      </c>
      <c r="C457" s="118" t="s">
        <v>15</v>
      </c>
      <c r="D457" s="118" t="s">
        <v>631</v>
      </c>
      <c r="E457" s="128" t="s">
        <v>16</v>
      </c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109">
        <v>1.0</v>
      </c>
      <c r="B458" s="120" t="s">
        <v>2512</v>
      </c>
      <c r="C458" s="121" t="s">
        <v>2513</v>
      </c>
      <c r="D458" s="33" t="s">
        <v>69</v>
      </c>
      <c r="E458" s="128" t="s">
        <v>350</v>
      </c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109">
        <v>2.0</v>
      </c>
      <c r="B459" s="120" t="s">
        <v>2514</v>
      </c>
      <c r="C459" s="121" t="s">
        <v>2516</v>
      </c>
      <c r="D459" s="33" t="s">
        <v>92</v>
      </c>
      <c r="E459" s="128" t="s">
        <v>350</v>
      </c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109">
        <v>3.0</v>
      </c>
      <c r="B460" s="120" t="s">
        <v>2517</v>
      </c>
      <c r="C460" s="121" t="s">
        <v>2518</v>
      </c>
      <c r="D460" s="33" t="s">
        <v>92</v>
      </c>
      <c r="E460" s="128" t="s">
        <v>350</v>
      </c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109">
        <v>4.0</v>
      </c>
      <c r="B461" s="120" t="s">
        <v>2521</v>
      </c>
      <c r="C461" s="121" t="s">
        <v>2522</v>
      </c>
      <c r="D461" s="33" t="s">
        <v>69</v>
      </c>
      <c r="E461" s="128" t="s">
        <v>350</v>
      </c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109">
        <v>5.0</v>
      </c>
      <c r="B462" s="120" t="s">
        <v>2525</v>
      </c>
      <c r="C462" s="121" t="s">
        <v>2526</v>
      </c>
      <c r="D462" s="33" t="s">
        <v>69</v>
      </c>
      <c r="E462" s="128" t="s">
        <v>350</v>
      </c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109">
        <v>6.0</v>
      </c>
      <c r="B463" s="120" t="s">
        <v>2529</v>
      </c>
      <c r="C463" s="121" t="s">
        <v>2530</v>
      </c>
      <c r="D463" s="33" t="s">
        <v>69</v>
      </c>
      <c r="E463" s="128" t="s">
        <v>350</v>
      </c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109">
        <v>7.0</v>
      </c>
      <c r="B464" s="120" t="s">
        <v>2533</v>
      </c>
      <c r="C464" s="121" t="s">
        <v>2534</v>
      </c>
      <c r="D464" s="33" t="s">
        <v>92</v>
      </c>
      <c r="E464" s="128" t="s">
        <v>350</v>
      </c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109">
        <v>8.0</v>
      </c>
      <c r="B465" s="120" t="s">
        <v>2538</v>
      </c>
      <c r="C465" s="121" t="s">
        <v>2540</v>
      </c>
      <c r="D465" s="33" t="s">
        <v>69</v>
      </c>
      <c r="E465" s="128" t="s">
        <v>350</v>
      </c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109">
        <v>9.0</v>
      </c>
      <c r="B466" s="120" t="s">
        <v>2543</v>
      </c>
      <c r="C466" s="121" t="s">
        <v>2544</v>
      </c>
      <c r="D466" s="33" t="s">
        <v>69</v>
      </c>
      <c r="E466" s="128" t="s">
        <v>350</v>
      </c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109">
        <v>10.0</v>
      </c>
      <c r="B467" s="120" t="s">
        <v>2547</v>
      </c>
      <c r="C467" s="121" t="s">
        <v>2548</v>
      </c>
      <c r="D467" s="33" t="s">
        <v>92</v>
      </c>
      <c r="E467" s="128" t="s">
        <v>350</v>
      </c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109">
        <v>11.0</v>
      </c>
      <c r="B468" s="120" t="s">
        <v>2551</v>
      </c>
      <c r="C468" s="121" t="s">
        <v>2553</v>
      </c>
      <c r="D468" s="33" t="s">
        <v>92</v>
      </c>
      <c r="E468" s="128" t="s">
        <v>350</v>
      </c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109">
        <v>12.0</v>
      </c>
      <c r="B469" s="120" t="s">
        <v>2556</v>
      </c>
      <c r="C469" s="121" t="s">
        <v>2558</v>
      </c>
      <c r="D469" s="33" t="s">
        <v>92</v>
      </c>
      <c r="E469" s="128" t="s">
        <v>350</v>
      </c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109">
        <v>13.0</v>
      </c>
      <c r="B470" s="120" t="s">
        <v>2561</v>
      </c>
      <c r="C470" s="121" t="s">
        <v>2562</v>
      </c>
      <c r="D470" s="33" t="s">
        <v>69</v>
      </c>
      <c r="E470" s="128" t="s">
        <v>350</v>
      </c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109">
        <v>14.0</v>
      </c>
      <c r="B471" s="120" t="s">
        <v>2565</v>
      </c>
      <c r="C471" s="121" t="s">
        <v>2566</v>
      </c>
      <c r="D471" s="33" t="s">
        <v>92</v>
      </c>
      <c r="E471" s="128" t="s">
        <v>350</v>
      </c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109">
        <v>15.0</v>
      </c>
      <c r="B472" s="120" t="s">
        <v>2569</v>
      </c>
      <c r="C472" s="121" t="s">
        <v>2570</v>
      </c>
      <c r="D472" s="33" t="s">
        <v>92</v>
      </c>
      <c r="E472" s="128" t="s">
        <v>350</v>
      </c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109">
        <v>16.0</v>
      </c>
      <c r="B473" s="120" t="s">
        <v>2573</v>
      </c>
      <c r="C473" s="121" t="s">
        <v>2574</v>
      </c>
      <c r="D473" s="33" t="s">
        <v>69</v>
      </c>
      <c r="E473" s="128" t="s">
        <v>350</v>
      </c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109">
        <v>17.0</v>
      </c>
      <c r="B474" s="120" t="s">
        <v>2577</v>
      </c>
      <c r="C474" s="121" t="s">
        <v>2578</v>
      </c>
      <c r="D474" s="33" t="s">
        <v>69</v>
      </c>
      <c r="E474" s="128" t="s">
        <v>350</v>
      </c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109">
        <v>18.0</v>
      </c>
      <c r="B475" s="120" t="s">
        <v>2581</v>
      </c>
      <c r="C475" s="121" t="s">
        <v>2582</v>
      </c>
      <c r="D475" s="33" t="s">
        <v>69</v>
      </c>
      <c r="E475" s="128" t="s">
        <v>350</v>
      </c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109">
        <v>19.0</v>
      </c>
      <c r="B476" s="134" t="s">
        <v>2585</v>
      </c>
      <c r="C476" s="135" t="s">
        <v>2586</v>
      </c>
      <c r="D476" s="136" t="s">
        <v>92</v>
      </c>
      <c r="E476" s="128" t="s">
        <v>350</v>
      </c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109">
        <v>20.0</v>
      </c>
      <c r="B477" s="120" t="s">
        <v>2591</v>
      </c>
      <c r="C477" s="121" t="s">
        <v>2592</v>
      </c>
      <c r="D477" s="33" t="s">
        <v>69</v>
      </c>
      <c r="E477" s="128" t="s">
        <v>350</v>
      </c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109">
        <v>21.0</v>
      </c>
      <c r="B478" s="120" t="s">
        <v>2595</v>
      </c>
      <c r="C478" s="121" t="s">
        <v>2596</v>
      </c>
      <c r="D478" s="33" t="s">
        <v>69</v>
      </c>
      <c r="E478" s="128" t="s">
        <v>350</v>
      </c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109">
        <v>22.0</v>
      </c>
      <c r="B479" s="120" t="s">
        <v>2599</v>
      </c>
      <c r="C479" s="121" t="s">
        <v>2601</v>
      </c>
      <c r="D479" s="33" t="s">
        <v>92</v>
      </c>
      <c r="E479" s="128" t="s">
        <v>350</v>
      </c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109">
        <v>23.0</v>
      </c>
      <c r="B480" s="120" t="s">
        <v>2606</v>
      </c>
      <c r="C480" s="121" t="s">
        <v>2607</v>
      </c>
      <c r="D480" s="33" t="s">
        <v>69</v>
      </c>
      <c r="E480" s="128" t="s">
        <v>350</v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109">
        <v>24.0</v>
      </c>
      <c r="B481" s="120" t="s">
        <v>2608</v>
      </c>
      <c r="C481" s="121" t="s">
        <v>2610</v>
      </c>
      <c r="D481" s="33" t="s">
        <v>69</v>
      </c>
      <c r="E481" s="128" t="s">
        <v>350</v>
      </c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109">
        <v>25.0</v>
      </c>
      <c r="B482" s="120" t="s">
        <v>2612</v>
      </c>
      <c r="C482" s="121" t="s">
        <v>2613</v>
      </c>
      <c r="D482" s="33" t="s">
        <v>92</v>
      </c>
      <c r="E482" s="128" t="s">
        <v>350</v>
      </c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109">
        <v>26.0</v>
      </c>
      <c r="B483" s="120" t="s">
        <v>2617</v>
      </c>
      <c r="C483" s="121" t="s">
        <v>2619</v>
      </c>
      <c r="D483" s="33" t="s">
        <v>92</v>
      </c>
      <c r="E483" s="128" t="s">
        <v>350</v>
      </c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109">
        <v>27.0</v>
      </c>
      <c r="B484" s="120" t="s">
        <v>2621</v>
      </c>
      <c r="C484" s="121" t="s">
        <v>2623</v>
      </c>
      <c r="D484" s="33" t="s">
        <v>92</v>
      </c>
      <c r="E484" s="128" t="s">
        <v>350</v>
      </c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109">
        <v>28.0</v>
      </c>
      <c r="B485" s="120" t="s">
        <v>2626</v>
      </c>
      <c r="C485" s="121" t="s">
        <v>2627</v>
      </c>
      <c r="D485" s="33" t="s">
        <v>92</v>
      </c>
      <c r="E485" s="128" t="s">
        <v>350</v>
      </c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109">
        <v>29.0</v>
      </c>
      <c r="B486" s="120" t="s">
        <v>2630</v>
      </c>
      <c r="C486" s="121" t="s">
        <v>2631</v>
      </c>
      <c r="D486" s="33" t="s">
        <v>92</v>
      </c>
      <c r="E486" s="128" t="s">
        <v>350</v>
      </c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109">
        <v>30.0</v>
      </c>
      <c r="B487" s="120" t="s">
        <v>2634</v>
      </c>
      <c r="C487" s="121" t="s">
        <v>2635</v>
      </c>
      <c r="D487" s="33" t="s">
        <v>92</v>
      </c>
      <c r="E487" s="128" t="s">
        <v>350</v>
      </c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109">
        <v>31.0</v>
      </c>
      <c r="B488" s="120" t="s">
        <v>2640</v>
      </c>
      <c r="C488" s="121" t="s">
        <v>2643</v>
      </c>
      <c r="D488" s="33" t="s">
        <v>92</v>
      </c>
      <c r="E488" s="128" t="s">
        <v>350</v>
      </c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109">
        <v>32.0</v>
      </c>
      <c r="B489" s="120" t="s">
        <v>2644</v>
      </c>
      <c r="C489" s="121" t="s">
        <v>2645</v>
      </c>
      <c r="D489" s="33" t="s">
        <v>92</v>
      </c>
      <c r="E489" s="128" t="s">
        <v>350</v>
      </c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109">
        <v>33.0</v>
      </c>
      <c r="B490" s="120" t="s">
        <v>2646</v>
      </c>
      <c r="C490" s="121" t="s">
        <v>2647</v>
      </c>
      <c r="D490" s="33" t="s">
        <v>69</v>
      </c>
      <c r="E490" s="128" t="s">
        <v>350</v>
      </c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109">
        <v>34.0</v>
      </c>
      <c r="B491" s="120" t="s">
        <v>2648</v>
      </c>
      <c r="C491" s="121" t="s">
        <v>2649</v>
      </c>
      <c r="D491" s="33" t="s">
        <v>69</v>
      </c>
      <c r="E491" s="128" t="s">
        <v>350</v>
      </c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109">
        <v>35.0</v>
      </c>
      <c r="B492" s="120" t="s">
        <v>2650</v>
      </c>
      <c r="C492" s="121" t="s">
        <v>190</v>
      </c>
      <c r="D492" s="33" t="s">
        <v>92</v>
      </c>
      <c r="E492" s="128" t="s">
        <v>350</v>
      </c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109">
        <v>36.0</v>
      </c>
      <c r="B493" s="120" t="s">
        <v>2651</v>
      </c>
      <c r="C493" s="121" t="s">
        <v>2652</v>
      </c>
      <c r="D493" s="33" t="s">
        <v>92</v>
      </c>
      <c r="E493" s="128" t="s">
        <v>350</v>
      </c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109">
        <v>37.0</v>
      </c>
      <c r="B494" s="120" t="s">
        <v>2653</v>
      </c>
      <c r="C494" s="121" t="s">
        <v>2654</v>
      </c>
      <c r="D494" s="33" t="s">
        <v>92</v>
      </c>
      <c r="E494" s="128" t="s">
        <v>350</v>
      </c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109">
        <v>38.0</v>
      </c>
      <c r="B495" s="120" t="s">
        <v>2656</v>
      </c>
      <c r="C495" s="121" t="s">
        <v>2657</v>
      </c>
      <c r="D495" s="33" t="s">
        <v>92</v>
      </c>
      <c r="E495" s="128" t="s">
        <v>350</v>
      </c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109">
        <v>39.0</v>
      </c>
      <c r="B496" s="120" t="s">
        <v>2659</v>
      </c>
      <c r="C496" s="121" t="s">
        <v>2660</v>
      </c>
      <c r="D496" s="33" t="s">
        <v>92</v>
      </c>
      <c r="E496" s="128" t="s">
        <v>350</v>
      </c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109">
        <v>40.0</v>
      </c>
      <c r="B497" s="120" t="s">
        <v>2661</v>
      </c>
      <c r="C497" s="121" t="s">
        <v>212</v>
      </c>
      <c r="D497" s="33" t="s">
        <v>92</v>
      </c>
      <c r="E497" s="128" t="s">
        <v>350</v>
      </c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109">
        <v>41.0</v>
      </c>
      <c r="B498" s="120" t="s">
        <v>2664</v>
      </c>
      <c r="C498" s="121" t="s">
        <v>2665</v>
      </c>
      <c r="D498" s="33" t="s">
        <v>92</v>
      </c>
      <c r="E498" s="128" t="s">
        <v>350</v>
      </c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109">
        <v>42.0</v>
      </c>
      <c r="B499" s="120" t="s">
        <v>2668</v>
      </c>
      <c r="C499" s="121" t="s">
        <v>2669</v>
      </c>
      <c r="D499" s="33" t="s">
        <v>92</v>
      </c>
      <c r="E499" s="128" t="s">
        <v>350</v>
      </c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109">
        <v>43.0</v>
      </c>
      <c r="B500" s="120" t="s">
        <v>2670</v>
      </c>
      <c r="C500" s="121" t="s">
        <v>2671</v>
      </c>
      <c r="D500" s="33" t="s">
        <v>92</v>
      </c>
      <c r="E500" s="128" t="s">
        <v>350</v>
      </c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109">
        <v>44.0</v>
      </c>
      <c r="B501" s="120" t="s">
        <v>2676</v>
      </c>
      <c r="C501" s="121" t="s">
        <v>2677</v>
      </c>
      <c r="D501" s="33" t="s">
        <v>69</v>
      </c>
      <c r="E501" s="128" t="s">
        <v>350</v>
      </c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109">
        <v>45.0</v>
      </c>
      <c r="B502" s="120" t="s">
        <v>2682</v>
      </c>
      <c r="C502" s="121" t="s">
        <v>2683</v>
      </c>
      <c r="D502" s="33" t="s">
        <v>92</v>
      </c>
      <c r="E502" s="128" t="s">
        <v>350</v>
      </c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109">
        <v>46.0</v>
      </c>
      <c r="B503" s="120" t="s">
        <v>2686</v>
      </c>
      <c r="C503" s="121" t="s">
        <v>242</v>
      </c>
      <c r="D503" s="33" t="s">
        <v>69</v>
      </c>
      <c r="E503" s="128" t="s">
        <v>350</v>
      </c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109">
        <v>47.0</v>
      </c>
      <c r="B504" s="120" t="s">
        <v>2688</v>
      </c>
      <c r="C504" s="121" t="s">
        <v>2689</v>
      </c>
      <c r="D504" s="33" t="s">
        <v>92</v>
      </c>
      <c r="E504" s="128" t="s">
        <v>350</v>
      </c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109">
        <v>48.0</v>
      </c>
      <c r="B505" s="120" t="s">
        <v>2692</v>
      </c>
      <c r="C505" s="121" t="s">
        <v>2694</v>
      </c>
      <c r="D505" s="33" t="s">
        <v>92</v>
      </c>
      <c r="E505" s="128" t="s">
        <v>350</v>
      </c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117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132" t="s">
        <v>1158</v>
      </c>
      <c r="D507" s="50">
        <f>COUNTIF(D458:D505, "L")</f>
        <v>30</v>
      </c>
      <c r="E507" s="117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132" t="s">
        <v>1166</v>
      </c>
      <c r="D508" s="133">
        <f>COUNTIF(D458:D505, "P")</f>
        <v>18</v>
      </c>
      <c r="E508" s="117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117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117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7" t="s">
        <v>20</v>
      </c>
      <c r="E511" s="117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7" t="s">
        <v>2714</v>
      </c>
      <c r="E512" s="117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7" t="s">
        <v>37</v>
      </c>
      <c r="E513" s="117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 t="s">
        <v>2721</v>
      </c>
      <c r="B514" s="29"/>
      <c r="C514" s="29"/>
      <c r="D514" s="29"/>
      <c r="E514" s="117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118" t="s">
        <v>13</v>
      </c>
      <c r="B515" s="118" t="s">
        <v>630</v>
      </c>
      <c r="C515" s="118" t="s">
        <v>15</v>
      </c>
      <c r="D515" s="118" t="s">
        <v>631</v>
      </c>
      <c r="E515" s="128" t="s">
        <v>16</v>
      </c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109">
        <v>1.0</v>
      </c>
      <c r="B516" s="120" t="s">
        <v>2726</v>
      </c>
      <c r="C516" s="121" t="s">
        <v>2727</v>
      </c>
      <c r="D516" s="109" t="s">
        <v>92</v>
      </c>
      <c r="E516" s="128" t="s">
        <v>88</v>
      </c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109">
        <v>2.0</v>
      </c>
      <c r="B517" s="120" t="s">
        <v>2730</v>
      </c>
      <c r="C517" s="121" t="s">
        <v>2731</v>
      </c>
      <c r="D517" s="109" t="s">
        <v>92</v>
      </c>
      <c r="E517" s="128" t="s">
        <v>88</v>
      </c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109">
        <v>3.0</v>
      </c>
      <c r="B518" s="120" t="s">
        <v>2733</v>
      </c>
      <c r="C518" s="121" t="s">
        <v>2735</v>
      </c>
      <c r="D518" s="109" t="s">
        <v>92</v>
      </c>
      <c r="E518" s="128" t="s">
        <v>88</v>
      </c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109">
        <v>4.0</v>
      </c>
      <c r="B519" s="120" t="s">
        <v>2737</v>
      </c>
      <c r="C519" s="121" t="s">
        <v>2738</v>
      </c>
      <c r="D519" s="109" t="s">
        <v>69</v>
      </c>
      <c r="E519" s="128" t="s">
        <v>88</v>
      </c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109">
        <v>5.0</v>
      </c>
      <c r="B520" s="120" t="s">
        <v>2741</v>
      </c>
      <c r="C520" s="121" t="s">
        <v>2742</v>
      </c>
      <c r="D520" s="109" t="s">
        <v>92</v>
      </c>
      <c r="E520" s="128" t="s">
        <v>88</v>
      </c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109">
        <v>6.0</v>
      </c>
      <c r="B521" s="120" t="s">
        <v>2745</v>
      </c>
      <c r="C521" s="121" t="s">
        <v>2746</v>
      </c>
      <c r="D521" s="109" t="s">
        <v>69</v>
      </c>
      <c r="E521" s="128" t="s">
        <v>88</v>
      </c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109">
        <v>7.0</v>
      </c>
      <c r="B522" s="120" t="s">
        <v>2749</v>
      </c>
      <c r="C522" s="121" t="s">
        <v>2750</v>
      </c>
      <c r="D522" s="109" t="s">
        <v>69</v>
      </c>
      <c r="E522" s="128" t="s">
        <v>88</v>
      </c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109">
        <v>8.0</v>
      </c>
      <c r="B523" s="120" t="s">
        <v>2753</v>
      </c>
      <c r="C523" s="121" t="s">
        <v>2754</v>
      </c>
      <c r="D523" s="109" t="s">
        <v>69</v>
      </c>
      <c r="E523" s="128" t="s">
        <v>88</v>
      </c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109">
        <v>9.0</v>
      </c>
      <c r="B524" s="109" t="s">
        <v>2756</v>
      </c>
      <c r="C524" s="135" t="s">
        <v>2758</v>
      </c>
      <c r="D524" s="134" t="s">
        <v>69</v>
      </c>
      <c r="E524" s="128" t="s">
        <v>88</v>
      </c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109">
        <v>10.0</v>
      </c>
      <c r="B525" s="120" t="s">
        <v>2759</v>
      </c>
      <c r="C525" s="121" t="s">
        <v>2760</v>
      </c>
      <c r="D525" s="109" t="s">
        <v>69</v>
      </c>
      <c r="E525" s="128" t="s">
        <v>88</v>
      </c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109">
        <v>11.0</v>
      </c>
      <c r="B526" s="120" t="s">
        <v>2762</v>
      </c>
      <c r="C526" s="121" t="s">
        <v>2763</v>
      </c>
      <c r="D526" s="109" t="s">
        <v>69</v>
      </c>
      <c r="E526" s="128" t="s">
        <v>88</v>
      </c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109">
        <v>12.0</v>
      </c>
      <c r="B527" s="120" t="s">
        <v>2764</v>
      </c>
      <c r="C527" s="121" t="s">
        <v>2765</v>
      </c>
      <c r="D527" s="109" t="s">
        <v>92</v>
      </c>
      <c r="E527" s="128" t="s">
        <v>88</v>
      </c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109">
        <v>13.0</v>
      </c>
      <c r="B528" s="120" t="s">
        <v>2766</v>
      </c>
      <c r="C528" s="121" t="s">
        <v>2767</v>
      </c>
      <c r="D528" s="109" t="s">
        <v>69</v>
      </c>
      <c r="E528" s="128" t="s">
        <v>88</v>
      </c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109">
        <v>14.0</v>
      </c>
      <c r="B529" s="120" t="s">
        <v>2768</v>
      </c>
      <c r="C529" s="121" t="s">
        <v>2769</v>
      </c>
      <c r="D529" s="109" t="s">
        <v>69</v>
      </c>
      <c r="E529" s="128" t="s">
        <v>88</v>
      </c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109">
        <v>15.0</v>
      </c>
      <c r="B530" s="120" t="s">
        <v>2770</v>
      </c>
      <c r="C530" s="121" t="s">
        <v>2771</v>
      </c>
      <c r="D530" s="109" t="s">
        <v>69</v>
      </c>
      <c r="E530" s="128" t="s">
        <v>88</v>
      </c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109">
        <v>16.0</v>
      </c>
      <c r="B531" s="120" t="s">
        <v>2772</v>
      </c>
      <c r="C531" s="121" t="s">
        <v>2773</v>
      </c>
      <c r="D531" s="109" t="s">
        <v>92</v>
      </c>
      <c r="E531" s="128" t="s">
        <v>88</v>
      </c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109">
        <v>17.0</v>
      </c>
      <c r="B532" s="120" t="s">
        <v>2774</v>
      </c>
      <c r="C532" s="121" t="s">
        <v>2775</v>
      </c>
      <c r="D532" s="109" t="s">
        <v>92</v>
      </c>
      <c r="E532" s="128" t="s">
        <v>88</v>
      </c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109">
        <v>18.0</v>
      </c>
      <c r="B533" s="120" t="s">
        <v>2776</v>
      </c>
      <c r="C533" s="121" t="s">
        <v>2777</v>
      </c>
      <c r="D533" s="109" t="s">
        <v>92</v>
      </c>
      <c r="E533" s="128" t="s">
        <v>88</v>
      </c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109">
        <v>19.0</v>
      </c>
      <c r="B534" s="120" t="s">
        <v>2778</v>
      </c>
      <c r="C534" s="121" t="s">
        <v>370</v>
      </c>
      <c r="D534" s="109" t="s">
        <v>92</v>
      </c>
      <c r="E534" s="128" t="s">
        <v>88</v>
      </c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109">
        <v>20.0</v>
      </c>
      <c r="B535" s="120" t="s">
        <v>2779</v>
      </c>
      <c r="C535" s="121" t="s">
        <v>2780</v>
      </c>
      <c r="D535" s="109" t="s">
        <v>92</v>
      </c>
      <c r="E535" s="128" t="s">
        <v>88</v>
      </c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109">
        <v>21.0</v>
      </c>
      <c r="B536" s="120" t="s">
        <v>2781</v>
      </c>
      <c r="C536" s="121" t="s">
        <v>2782</v>
      </c>
      <c r="D536" s="109" t="s">
        <v>69</v>
      </c>
      <c r="E536" s="128" t="s">
        <v>88</v>
      </c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109">
        <v>22.0</v>
      </c>
      <c r="B537" s="120" t="s">
        <v>2783</v>
      </c>
      <c r="C537" s="121" t="s">
        <v>2784</v>
      </c>
      <c r="D537" s="109" t="s">
        <v>92</v>
      </c>
      <c r="E537" s="128" t="s">
        <v>88</v>
      </c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109">
        <v>23.0</v>
      </c>
      <c r="B538" s="120" t="s">
        <v>2785</v>
      </c>
      <c r="C538" s="121" t="s">
        <v>2786</v>
      </c>
      <c r="D538" s="109" t="s">
        <v>69</v>
      </c>
      <c r="E538" s="128" t="s">
        <v>88</v>
      </c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109">
        <v>24.0</v>
      </c>
      <c r="B539" s="120" t="s">
        <v>2787</v>
      </c>
      <c r="C539" s="121" t="s">
        <v>2788</v>
      </c>
      <c r="D539" s="125" t="s">
        <v>92</v>
      </c>
      <c r="E539" s="128" t="s">
        <v>88</v>
      </c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109">
        <v>25.0</v>
      </c>
      <c r="B540" s="120" t="s">
        <v>2789</v>
      </c>
      <c r="C540" s="121" t="s">
        <v>2790</v>
      </c>
      <c r="D540" s="109" t="s">
        <v>92</v>
      </c>
      <c r="E540" s="128" t="s">
        <v>88</v>
      </c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109">
        <v>26.0</v>
      </c>
      <c r="B541" s="120" t="s">
        <v>2791</v>
      </c>
      <c r="C541" s="121" t="s">
        <v>2792</v>
      </c>
      <c r="D541" s="109" t="s">
        <v>69</v>
      </c>
      <c r="E541" s="128" t="s">
        <v>88</v>
      </c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109">
        <v>27.0</v>
      </c>
      <c r="B542" s="120" t="s">
        <v>2793</v>
      </c>
      <c r="C542" s="121" t="s">
        <v>86</v>
      </c>
      <c r="D542" s="109" t="s">
        <v>92</v>
      </c>
      <c r="E542" s="128" t="s">
        <v>88</v>
      </c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109">
        <v>28.0</v>
      </c>
      <c r="B543" s="120" t="s">
        <v>2794</v>
      </c>
      <c r="C543" s="121" t="s">
        <v>2795</v>
      </c>
      <c r="D543" s="109" t="s">
        <v>92</v>
      </c>
      <c r="E543" s="128" t="s">
        <v>88</v>
      </c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109">
        <v>29.0</v>
      </c>
      <c r="B544" s="120" t="s">
        <v>2796</v>
      </c>
      <c r="C544" s="121" t="s">
        <v>355</v>
      </c>
      <c r="D544" s="109" t="s">
        <v>69</v>
      </c>
      <c r="E544" s="128" t="s">
        <v>88</v>
      </c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109">
        <v>30.0</v>
      </c>
      <c r="B545" s="120" t="s">
        <v>2797</v>
      </c>
      <c r="C545" s="121" t="s">
        <v>2798</v>
      </c>
      <c r="D545" s="109" t="s">
        <v>92</v>
      </c>
      <c r="E545" s="128" t="s">
        <v>88</v>
      </c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109">
        <v>31.0</v>
      </c>
      <c r="B546" s="120" t="s">
        <v>2799</v>
      </c>
      <c r="C546" s="121" t="s">
        <v>2800</v>
      </c>
      <c r="D546" s="109" t="s">
        <v>92</v>
      </c>
      <c r="E546" s="128" t="s">
        <v>88</v>
      </c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109">
        <v>32.0</v>
      </c>
      <c r="B547" s="120" t="s">
        <v>2801</v>
      </c>
      <c r="C547" s="121" t="s">
        <v>2802</v>
      </c>
      <c r="D547" s="109" t="s">
        <v>92</v>
      </c>
      <c r="E547" s="128" t="s">
        <v>88</v>
      </c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109">
        <v>33.0</v>
      </c>
      <c r="B548" s="120" t="s">
        <v>2803</v>
      </c>
      <c r="C548" s="121" t="s">
        <v>196</v>
      </c>
      <c r="D548" s="109" t="s">
        <v>92</v>
      </c>
      <c r="E548" s="128" t="s">
        <v>88</v>
      </c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109">
        <v>34.0</v>
      </c>
      <c r="B549" s="120" t="s">
        <v>2804</v>
      </c>
      <c r="C549" s="121" t="s">
        <v>2805</v>
      </c>
      <c r="D549" s="109" t="s">
        <v>92</v>
      </c>
      <c r="E549" s="128" t="s">
        <v>88</v>
      </c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109">
        <v>35.0</v>
      </c>
      <c r="B550" s="120" t="s">
        <v>2806</v>
      </c>
      <c r="C550" s="121" t="s">
        <v>151</v>
      </c>
      <c r="D550" s="109" t="s">
        <v>92</v>
      </c>
      <c r="E550" s="128" t="s">
        <v>88</v>
      </c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109">
        <v>36.0</v>
      </c>
      <c r="B551" s="120" t="s">
        <v>2807</v>
      </c>
      <c r="C551" s="121" t="s">
        <v>2808</v>
      </c>
      <c r="D551" s="109" t="s">
        <v>92</v>
      </c>
      <c r="E551" s="128" t="s">
        <v>88</v>
      </c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109">
        <v>37.0</v>
      </c>
      <c r="B552" s="120" t="s">
        <v>2809</v>
      </c>
      <c r="C552" s="121" t="s">
        <v>2810</v>
      </c>
      <c r="D552" s="109" t="s">
        <v>92</v>
      </c>
      <c r="E552" s="128" t="s">
        <v>88</v>
      </c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109">
        <v>38.0</v>
      </c>
      <c r="B553" s="120" t="s">
        <v>2811</v>
      </c>
      <c r="C553" s="121" t="s">
        <v>2812</v>
      </c>
      <c r="D553" s="109" t="s">
        <v>92</v>
      </c>
      <c r="E553" s="128" t="s">
        <v>88</v>
      </c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109">
        <v>39.0</v>
      </c>
      <c r="B554" s="120" t="s">
        <v>2813</v>
      </c>
      <c r="C554" s="121" t="s">
        <v>2814</v>
      </c>
      <c r="D554" s="109" t="s">
        <v>69</v>
      </c>
      <c r="E554" s="128" t="s">
        <v>88</v>
      </c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109">
        <v>40.0</v>
      </c>
      <c r="B555" s="120" t="s">
        <v>2815</v>
      </c>
      <c r="C555" s="121" t="s">
        <v>2816</v>
      </c>
      <c r="D555" s="109" t="s">
        <v>92</v>
      </c>
      <c r="E555" s="128" t="s">
        <v>88</v>
      </c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109">
        <v>41.0</v>
      </c>
      <c r="B556" s="120" t="s">
        <v>2817</v>
      </c>
      <c r="C556" s="121" t="s">
        <v>2818</v>
      </c>
      <c r="D556" s="109" t="s">
        <v>92</v>
      </c>
      <c r="E556" s="128" t="s">
        <v>88</v>
      </c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109">
        <v>42.0</v>
      </c>
      <c r="B557" s="120" t="s">
        <v>2819</v>
      </c>
      <c r="C557" s="121" t="s">
        <v>2820</v>
      </c>
      <c r="D557" s="109" t="s">
        <v>69</v>
      </c>
      <c r="E557" s="128" t="s">
        <v>88</v>
      </c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109">
        <v>43.0</v>
      </c>
      <c r="B558" s="120" t="s">
        <v>2821</v>
      </c>
      <c r="C558" s="121" t="s">
        <v>2822</v>
      </c>
      <c r="D558" s="109" t="s">
        <v>69</v>
      </c>
      <c r="E558" s="128" t="s">
        <v>88</v>
      </c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109">
        <v>44.0</v>
      </c>
      <c r="B559" s="120" t="s">
        <v>2823</v>
      </c>
      <c r="C559" s="121" t="s">
        <v>2824</v>
      </c>
      <c r="D559" s="109" t="s">
        <v>69</v>
      </c>
      <c r="E559" s="128" t="s">
        <v>88</v>
      </c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109">
        <v>45.0</v>
      </c>
      <c r="B560" s="120" t="s">
        <v>2825</v>
      </c>
      <c r="C560" s="121" t="s">
        <v>2826</v>
      </c>
      <c r="D560" s="109" t="s">
        <v>92</v>
      </c>
      <c r="E560" s="128" t="s">
        <v>88</v>
      </c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109">
        <v>46.0</v>
      </c>
      <c r="B561" s="120" t="s">
        <v>2827</v>
      </c>
      <c r="C561" s="121" t="s">
        <v>2828</v>
      </c>
      <c r="D561" s="109" t="s">
        <v>69</v>
      </c>
      <c r="E561" s="128" t="s">
        <v>88</v>
      </c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109">
        <v>47.0</v>
      </c>
      <c r="B562" s="120" t="s">
        <v>2829</v>
      </c>
      <c r="C562" s="121" t="s">
        <v>2830</v>
      </c>
      <c r="D562" s="109" t="s">
        <v>92</v>
      </c>
      <c r="E562" s="128" t="s">
        <v>88</v>
      </c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117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132" t="s">
        <v>1158</v>
      </c>
      <c r="D564" s="50">
        <f>COUNTIF(D516:D562, "L")</f>
        <v>28</v>
      </c>
      <c r="E564" s="117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132" t="s">
        <v>1166</v>
      </c>
      <c r="D565" s="133">
        <f>COUNTIF(D516:D562, "P")</f>
        <v>19</v>
      </c>
      <c r="E565" s="117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117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117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7" t="s">
        <v>20</v>
      </c>
      <c r="E568" s="117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7" t="s">
        <v>2831</v>
      </c>
      <c r="E569" s="117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7" t="s">
        <v>37</v>
      </c>
      <c r="E570" s="117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 t="s">
        <v>2832</v>
      </c>
      <c r="B571" s="29"/>
      <c r="C571" s="29"/>
      <c r="D571" s="29"/>
      <c r="E571" s="117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118" t="s">
        <v>13</v>
      </c>
      <c r="B572" s="118" t="s">
        <v>630</v>
      </c>
      <c r="C572" s="118" t="s">
        <v>15</v>
      </c>
      <c r="D572" s="118" t="s">
        <v>631</v>
      </c>
      <c r="E572" s="128" t="s">
        <v>16</v>
      </c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109">
        <v>1.0</v>
      </c>
      <c r="B573" s="120" t="s">
        <v>2833</v>
      </c>
      <c r="C573" s="121" t="s">
        <v>229</v>
      </c>
      <c r="D573" s="109" t="s">
        <v>69</v>
      </c>
      <c r="E573" s="128" t="s">
        <v>270</v>
      </c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109">
        <v>2.0</v>
      </c>
      <c r="B574" s="120" t="s">
        <v>2834</v>
      </c>
      <c r="C574" s="121" t="s">
        <v>2835</v>
      </c>
      <c r="D574" s="109" t="s">
        <v>69</v>
      </c>
      <c r="E574" s="128" t="s">
        <v>270</v>
      </c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109">
        <v>3.0</v>
      </c>
      <c r="B575" s="120" t="s">
        <v>2836</v>
      </c>
      <c r="C575" s="121" t="s">
        <v>2837</v>
      </c>
      <c r="D575" s="109" t="s">
        <v>69</v>
      </c>
      <c r="E575" s="128" t="s">
        <v>270</v>
      </c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109">
        <v>4.0</v>
      </c>
      <c r="B576" s="120" t="s">
        <v>2838</v>
      </c>
      <c r="C576" s="121" t="s">
        <v>2839</v>
      </c>
      <c r="D576" s="109" t="s">
        <v>69</v>
      </c>
      <c r="E576" s="128" t="s">
        <v>270</v>
      </c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109">
        <v>5.0</v>
      </c>
      <c r="B577" s="120" t="s">
        <v>2840</v>
      </c>
      <c r="C577" s="121" t="s">
        <v>2841</v>
      </c>
      <c r="D577" s="109" t="s">
        <v>69</v>
      </c>
      <c r="E577" s="128" t="s">
        <v>270</v>
      </c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109">
        <v>6.0</v>
      </c>
      <c r="B578" s="120" t="s">
        <v>2842</v>
      </c>
      <c r="C578" s="121" t="s">
        <v>2843</v>
      </c>
      <c r="D578" s="109" t="s">
        <v>69</v>
      </c>
      <c r="E578" s="128" t="s">
        <v>270</v>
      </c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109">
        <v>7.0</v>
      </c>
      <c r="B579" s="120" t="s">
        <v>2844</v>
      </c>
      <c r="C579" s="121" t="s">
        <v>2845</v>
      </c>
      <c r="D579" s="109" t="s">
        <v>69</v>
      </c>
      <c r="E579" s="128" t="s">
        <v>270</v>
      </c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109">
        <v>8.0</v>
      </c>
      <c r="B580" s="120" t="s">
        <v>2846</v>
      </c>
      <c r="C580" s="121" t="s">
        <v>2847</v>
      </c>
      <c r="D580" s="109" t="s">
        <v>69</v>
      </c>
      <c r="E580" s="128" t="s">
        <v>270</v>
      </c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109">
        <v>9.0</v>
      </c>
      <c r="B581" s="120" t="s">
        <v>2848</v>
      </c>
      <c r="C581" s="121" t="s">
        <v>96</v>
      </c>
      <c r="D581" s="109" t="s">
        <v>69</v>
      </c>
      <c r="E581" s="128" t="s">
        <v>270</v>
      </c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109">
        <v>10.0</v>
      </c>
      <c r="B582" s="120" t="s">
        <v>2849</v>
      </c>
      <c r="C582" s="121" t="s">
        <v>2850</v>
      </c>
      <c r="D582" s="109" t="s">
        <v>69</v>
      </c>
      <c r="E582" s="128" t="s">
        <v>270</v>
      </c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109">
        <v>11.0</v>
      </c>
      <c r="B583" s="120" t="s">
        <v>2851</v>
      </c>
      <c r="C583" s="121" t="s">
        <v>2852</v>
      </c>
      <c r="D583" s="109" t="s">
        <v>69</v>
      </c>
      <c r="E583" s="128" t="s">
        <v>270</v>
      </c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109">
        <v>12.0</v>
      </c>
      <c r="B584" s="120" t="s">
        <v>2853</v>
      </c>
      <c r="C584" s="121" t="s">
        <v>2854</v>
      </c>
      <c r="D584" s="109" t="s">
        <v>92</v>
      </c>
      <c r="E584" s="128" t="s">
        <v>270</v>
      </c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109">
        <v>13.0</v>
      </c>
      <c r="B585" s="120" t="s">
        <v>2855</v>
      </c>
      <c r="C585" s="121" t="s">
        <v>2856</v>
      </c>
      <c r="D585" s="109" t="s">
        <v>69</v>
      </c>
      <c r="E585" s="128" t="s">
        <v>270</v>
      </c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109">
        <v>14.0</v>
      </c>
      <c r="B586" s="120" t="s">
        <v>2857</v>
      </c>
      <c r="C586" s="121" t="s">
        <v>2858</v>
      </c>
      <c r="D586" s="109" t="s">
        <v>92</v>
      </c>
      <c r="E586" s="128" t="s">
        <v>270</v>
      </c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109">
        <v>15.0</v>
      </c>
      <c r="B587" s="120" t="s">
        <v>2859</v>
      </c>
      <c r="C587" s="121" t="s">
        <v>2860</v>
      </c>
      <c r="D587" s="109" t="s">
        <v>92</v>
      </c>
      <c r="E587" s="128" t="s">
        <v>270</v>
      </c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109">
        <v>16.0</v>
      </c>
      <c r="B588" s="120" t="s">
        <v>2861</v>
      </c>
      <c r="C588" s="121" t="s">
        <v>2862</v>
      </c>
      <c r="D588" s="109" t="s">
        <v>69</v>
      </c>
      <c r="E588" s="128" t="s">
        <v>270</v>
      </c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109">
        <v>17.0</v>
      </c>
      <c r="B589" s="120" t="s">
        <v>2863</v>
      </c>
      <c r="C589" s="121" t="s">
        <v>2864</v>
      </c>
      <c r="D589" s="109" t="s">
        <v>69</v>
      </c>
      <c r="E589" s="128" t="s">
        <v>270</v>
      </c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109">
        <v>18.0</v>
      </c>
      <c r="B590" s="120" t="s">
        <v>2865</v>
      </c>
      <c r="C590" s="121" t="s">
        <v>2866</v>
      </c>
      <c r="D590" s="109" t="s">
        <v>69</v>
      </c>
      <c r="E590" s="128" t="s">
        <v>270</v>
      </c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109">
        <v>19.0</v>
      </c>
      <c r="B591" s="120" t="s">
        <v>2867</v>
      </c>
      <c r="C591" s="121" t="s">
        <v>118</v>
      </c>
      <c r="D591" s="109" t="s">
        <v>69</v>
      </c>
      <c r="E591" s="128" t="s">
        <v>270</v>
      </c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109">
        <v>20.0</v>
      </c>
      <c r="B592" s="120" t="s">
        <v>2868</v>
      </c>
      <c r="C592" s="121" t="s">
        <v>2869</v>
      </c>
      <c r="D592" s="109" t="s">
        <v>69</v>
      </c>
      <c r="E592" s="128" t="s">
        <v>270</v>
      </c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109">
        <v>21.0</v>
      </c>
      <c r="B593" s="120" t="s">
        <v>2870</v>
      </c>
      <c r="C593" s="121" t="s">
        <v>2871</v>
      </c>
      <c r="D593" s="109" t="s">
        <v>92</v>
      </c>
      <c r="E593" s="128" t="s">
        <v>270</v>
      </c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109">
        <v>22.0</v>
      </c>
      <c r="B594" s="120" t="s">
        <v>2872</v>
      </c>
      <c r="C594" s="121" t="s">
        <v>2873</v>
      </c>
      <c r="D594" s="109" t="s">
        <v>69</v>
      </c>
      <c r="E594" s="128" t="s">
        <v>270</v>
      </c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109">
        <v>23.0</v>
      </c>
      <c r="B595" s="120" t="s">
        <v>2874</v>
      </c>
      <c r="C595" s="121" t="s">
        <v>2875</v>
      </c>
      <c r="D595" s="138" t="s">
        <v>69</v>
      </c>
      <c r="E595" s="128" t="s">
        <v>270</v>
      </c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109">
        <v>24.0</v>
      </c>
      <c r="B596" s="120" t="s">
        <v>2876</v>
      </c>
      <c r="C596" s="121" t="s">
        <v>2877</v>
      </c>
      <c r="D596" s="109" t="s">
        <v>92</v>
      </c>
      <c r="E596" s="128" t="s">
        <v>270</v>
      </c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109">
        <v>25.0</v>
      </c>
      <c r="B597" s="120" t="s">
        <v>2878</v>
      </c>
      <c r="C597" s="121" t="s">
        <v>2879</v>
      </c>
      <c r="D597" s="109" t="s">
        <v>92</v>
      </c>
      <c r="E597" s="128" t="s">
        <v>270</v>
      </c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109">
        <v>26.0</v>
      </c>
      <c r="B598" s="120" t="s">
        <v>2880</v>
      </c>
      <c r="C598" s="121" t="s">
        <v>2881</v>
      </c>
      <c r="D598" s="109" t="s">
        <v>92</v>
      </c>
      <c r="E598" s="128" t="s">
        <v>270</v>
      </c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109">
        <v>27.0</v>
      </c>
      <c r="B599" s="120" t="s">
        <v>2882</v>
      </c>
      <c r="C599" s="121" t="s">
        <v>2883</v>
      </c>
      <c r="D599" s="109" t="s">
        <v>92</v>
      </c>
      <c r="E599" s="128" t="s">
        <v>270</v>
      </c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109">
        <v>28.0</v>
      </c>
      <c r="B600" s="120" t="s">
        <v>2884</v>
      </c>
      <c r="C600" s="121" t="s">
        <v>2885</v>
      </c>
      <c r="D600" s="109" t="s">
        <v>92</v>
      </c>
      <c r="E600" s="128" t="s">
        <v>270</v>
      </c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109">
        <v>29.0</v>
      </c>
      <c r="B601" s="120" t="s">
        <v>2886</v>
      </c>
      <c r="C601" s="121" t="s">
        <v>2887</v>
      </c>
      <c r="D601" s="109" t="s">
        <v>92</v>
      </c>
      <c r="E601" s="128" t="s">
        <v>270</v>
      </c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109">
        <v>30.0</v>
      </c>
      <c r="B602" s="120" t="s">
        <v>2888</v>
      </c>
      <c r="C602" s="121" t="s">
        <v>2889</v>
      </c>
      <c r="D602" s="109" t="s">
        <v>92</v>
      </c>
      <c r="E602" s="128" t="s">
        <v>270</v>
      </c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109">
        <v>31.0</v>
      </c>
      <c r="B603" s="120" t="s">
        <v>2890</v>
      </c>
      <c r="C603" s="121" t="s">
        <v>2891</v>
      </c>
      <c r="D603" s="109" t="s">
        <v>92</v>
      </c>
      <c r="E603" s="128" t="s">
        <v>270</v>
      </c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109">
        <v>32.0</v>
      </c>
      <c r="B604" s="120" t="s">
        <v>2892</v>
      </c>
      <c r="C604" s="121" t="s">
        <v>2893</v>
      </c>
      <c r="D604" s="109" t="s">
        <v>69</v>
      </c>
      <c r="E604" s="128" t="s">
        <v>270</v>
      </c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109">
        <v>33.0</v>
      </c>
      <c r="B605" s="120" t="s">
        <v>2894</v>
      </c>
      <c r="C605" s="121" t="s">
        <v>2895</v>
      </c>
      <c r="D605" s="109" t="s">
        <v>69</v>
      </c>
      <c r="E605" s="128" t="s">
        <v>270</v>
      </c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109">
        <v>34.0</v>
      </c>
      <c r="B606" s="120" t="s">
        <v>2896</v>
      </c>
      <c r="C606" s="121" t="s">
        <v>2897</v>
      </c>
      <c r="D606" s="109" t="s">
        <v>69</v>
      </c>
      <c r="E606" s="128" t="s">
        <v>270</v>
      </c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109">
        <v>35.0</v>
      </c>
      <c r="B607" s="120" t="s">
        <v>2898</v>
      </c>
      <c r="C607" s="121" t="s">
        <v>265</v>
      </c>
      <c r="D607" s="109" t="s">
        <v>69</v>
      </c>
      <c r="E607" s="128" t="s">
        <v>270</v>
      </c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109">
        <v>36.0</v>
      </c>
      <c r="B608" s="120" t="s">
        <v>2899</v>
      </c>
      <c r="C608" s="121" t="s">
        <v>2900</v>
      </c>
      <c r="D608" s="109" t="s">
        <v>69</v>
      </c>
      <c r="E608" s="128" t="s">
        <v>270</v>
      </c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109">
        <v>37.0</v>
      </c>
      <c r="B609" s="120" t="s">
        <v>2901</v>
      </c>
      <c r="C609" s="121" t="s">
        <v>2902</v>
      </c>
      <c r="D609" s="109" t="s">
        <v>69</v>
      </c>
      <c r="E609" s="128" t="s">
        <v>270</v>
      </c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109">
        <v>38.0</v>
      </c>
      <c r="B610" s="120" t="s">
        <v>2903</v>
      </c>
      <c r="C610" s="121" t="s">
        <v>2904</v>
      </c>
      <c r="D610" s="109" t="s">
        <v>92</v>
      </c>
      <c r="E610" s="128" t="s">
        <v>270</v>
      </c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109">
        <v>39.0</v>
      </c>
      <c r="B611" s="120" t="s">
        <v>2905</v>
      </c>
      <c r="C611" s="121" t="s">
        <v>2906</v>
      </c>
      <c r="D611" s="109" t="s">
        <v>69</v>
      </c>
      <c r="E611" s="128" t="s">
        <v>270</v>
      </c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109">
        <v>40.0</v>
      </c>
      <c r="B612" s="134" t="s">
        <v>2907</v>
      </c>
      <c r="C612" s="135" t="s">
        <v>2908</v>
      </c>
      <c r="D612" s="134" t="s">
        <v>69</v>
      </c>
      <c r="E612" s="128" t="s">
        <v>270</v>
      </c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109">
        <v>41.0</v>
      </c>
      <c r="B613" s="120" t="s">
        <v>2909</v>
      </c>
      <c r="C613" s="121" t="s">
        <v>2910</v>
      </c>
      <c r="D613" s="109" t="s">
        <v>69</v>
      </c>
      <c r="E613" s="128" t="s">
        <v>270</v>
      </c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109">
        <v>42.0</v>
      </c>
      <c r="B614" s="120" t="s">
        <v>2911</v>
      </c>
      <c r="C614" s="121" t="s">
        <v>2912</v>
      </c>
      <c r="D614" s="109" t="s">
        <v>92</v>
      </c>
      <c r="E614" s="128" t="s">
        <v>270</v>
      </c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109">
        <v>43.0</v>
      </c>
      <c r="B615" s="120" t="s">
        <v>2913</v>
      </c>
      <c r="C615" s="121" t="s">
        <v>2914</v>
      </c>
      <c r="D615" s="109" t="s">
        <v>69</v>
      </c>
      <c r="E615" s="128" t="s">
        <v>270</v>
      </c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109">
        <v>44.0</v>
      </c>
      <c r="B616" s="120" t="s">
        <v>2915</v>
      </c>
      <c r="C616" s="121" t="s">
        <v>2916</v>
      </c>
      <c r="D616" s="109" t="s">
        <v>69</v>
      </c>
      <c r="E616" s="128" t="s">
        <v>270</v>
      </c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109">
        <v>45.0</v>
      </c>
      <c r="B617" s="120" t="s">
        <v>2917</v>
      </c>
      <c r="C617" s="121" t="s">
        <v>155</v>
      </c>
      <c r="D617" s="109" t="s">
        <v>69</v>
      </c>
      <c r="E617" s="128" t="s">
        <v>270</v>
      </c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109">
        <v>46.0</v>
      </c>
      <c r="B618" s="120" t="s">
        <v>2918</v>
      </c>
      <c r="C618" s="121" t="s">
        <v>2919</v>
      </c>
      <c r="D618" s="109" t="s">
        <v>69</v>
      </c>
      <c r="E618" s="128" t="s">
        <v>270</v>
      </c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109">
        <v>47.0</v>
      </c>
      <c r="B619" s="120" t="s">
        <v>2920</v>
      </c>
      <c r="C619" s="121" t="s">
        <v>2921</v>
      </c>
      <c r="D619" s="109" t="s">
        <v>69</v>
      </c>
      <c r="E619" s="128" t="s">
        <v>270</v>
      </c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117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132" t="s">
        <v>1158</v>
      </c>
      <c r="D621" s="50">
        <f>COUNTIF(D573:D619, "L")</f>
        <v>14</v>
      </c>
      <c r="E621" s="117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132" t="s">
        <v>1166</v>
      </c>
      <c r="D622" s="133">
        <f>COUNTIF(D573:D619, "P")</f>
        <v>33</v>
      </c>
      <c r="E622" s="117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117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117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7" t="s">
        <v>20</v>
      </c>
      <c r="E625" s="117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7" t="s">
        <v>2922</v>
      </c>
      <c r="E626" s="117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7" t="s">
        <v>37</v>
      </c>
      <c r="E627" s="117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 t="s">
        <v>2923</v>
      </c>
      <c r="B628" s="29"/>
      <c r="C628" s="29"/>
      <c r="D628" s="29"/>
      <c r="E628" s="117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118" t="s">
        <v>13</v>
      </c>
      <c r="B629" s="118" t="s">
        <v>630</v>
      </c>
      <c r="C629" s="118" t="s">
        <v>15</v>
      </c>
      <c r="D629" s="118" t="s">
        <v>631</v>
      </c>
      <c r="E629" s="128" t="s">
        <v>16</v>
      </c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109">
        <v>1.0</v>
      </c>
      <c r="B630" s="120" t="s">
        <v>2924</v>
      </c>
      <c r="C630" s="121" t="s">
        <v>2925</v>
      </c>
      <c r="D630" s="109" t="s">
        <v>92</v>
      </c>
      <c r="E630" s="128" t="s">
        <v>369</v>
      </c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109">
        <v>2.0</v>
      </c>
      <c r="B631" s="120" t="s">
        <v>2926</v>
      </c>
      <c r="C631" s="121" t="s">
        <v>2927</v>
      </c>
      <c r="D631" s="109" t="s">
        <v>92</v>
      </c>
      <c r="E631" s="128" t="s">
        <v>369</v>
      </c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109">
        <v>3.0</v>
      </c>
      <c r="B632" s="120" t="s">
        <v>2928</v>
      </c>
      <c r="C632" s="121" t="s">
        <v>2929</v>
      </c>
      <c r="D632" s="125" t="s">
        <v>69</v>
      </c>
      <c r="E632" s="128" t="s">
        <v>369</v>
      </c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109">
        <v>4.0</v>
      </c>
      <c r="B633" s="120" t="s">
        <v>2930</v>
      </c>
      <c r="C633" s="121" t="s">
        <v>2931</v>
      </c>
      <c r="D633" s="109" t="s">
        <v>69</v>
      </c>
      <c r="E633" s="128" t="s">
        <v>369</v>
      </c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109">
        <v>5.0</v>
      </c>
      <c r="B634" s="120" t="s">
        <v>2932</v>
      </c>
      <c r="C634" s="121" t="s">
        <v>2933</v>
      </c>
      <c r="D634" s="109" t="s">
        <v>69</v>
      </c>
      <c r="E634" s="128" t="s">
        <v>369</v>
      </c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109">
        <v>6.0</v>
      </c>
      <c r="B635" s="120" t="s">
        <v>2934</v>
      </c>
      <c r="C635" s="121" t="s">
        <v>2935</v>
      </c>
      <c r="D635" s="109" t="s">
        <v>69</v>
      </c>
      <c r="E635" s="128" t="s">
        <v>369</v>
      </c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109">
        <v>7.0</v>
      </c>
      <c r="B636" s="120" t="s">
        <v>2936</v>
      </c>
      <c r="C636" s="121" t="s">
        <v>2937</v>
      </c>
      <c r="D636" s="109" t="s">
        <v>92</v>
      </c>
      <c r="E636" s="128" t="s">
        <v>369</v>
      </c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109">
        <v>8.0</v>
      </c>
      <c r="B637" s="120" t="s">
        <v>2938</v>
      </c>
      <c r="C637" s="121" t="s">
        <v>2939</v>
      </c>
      <c r="D637" s="109" t="s">
        <v>92</v>
      </c>
      <c r="E637" s="128" t="s">
        <v>369</v>
      </c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109">
        <v>9.0</v>
      </c>
      <c r="B638" s="120" t="s">
        <v>2940</v>
      </c>
      <c r="C638" s="121" t="s">
        <v>2941</v>
      </c>
      <c r="D638" s="109" t="s">
        <v>69</v>
      </c>
      <c r="E638" s="128" t="s">
        <v>369</v>
      </c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109">
        <v>10.0</v>
      </c>
      <c r="B639" s="120" t="s">
        <v>2942</v>
      </c>
      <c r="C639" s="121" t="s">
        <v>2943</v>
      </c>
      <c r="D639" s="109" t="s">
        <v>69</v>
      </c>
      <c r="E639" s="128" t="s">
        <v>369</v>
      </c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109">
        <v>11.0</v>
      </c>
      <c r="B640" s="120" t="s">
        <v>2944</v>
      </c>
      <c r="C640" s="121" t="s">
        <v>2945</v>
      </c>
      <c r="D640" s="109" t="s">
        <v>69</v>
      </c>
      <c r="E640" s="128" t="s">
        <v>369</v>
      </c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109">
        <v>12.0</v>
      </c>
      <c r="B641" s="120" t="s">
        <v>2946</v>
      </c>
      <c r="C641" s="121" t="s">
        <v>2947</v>
      </c>
      <c r="D641" s="125" t="s">
        <v>92</v>
      </c>
      <c r="E641" s="128" t="s">
        <v>369</v>
      </c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109">
        <v>13.0</v>
      </c>
      <c r="B642" s="120" t="s">
        <v>2948</v>
      </c>
      <c r="C642" s="121" t="s">
        <v>2949</v>
      </c>
      <c r="D642" s="109" t="s">
        <v>69</v>
      </c>
      <c r="E642" s="128" t="s">
        <v>369</v>
      </c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109">
        <v>14.0</v>
      </c>
      <c r="B643" s="120" t="s">
        <v>2950</v>
      </c>
      <c r="C643" s="121" t="s">
        <v>234</v>
      </c>
      <c r="D643" s="109" t="s">
        <v>69</v>
      </c>
      <c r="E643" s="128" t="s">
        <v>369</v>
      </c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109">
        <v>15.0</v>
      </c>
      <c r="B644" s="120" t="s">
        <v>2951</v>
      </c>
      <c r="C644" s="121" t="s">
        <v>2952</v>
      </c>
      <c r="D644" s="109" t="s">
        <v>69</v>
      </c>
      <c r="E644" s="128" t="s">
        <v>369</v>
      </c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109">
        <v>16.0</v>
      </c>
      <c r="B645" s="120" t="s">
        <v>2953</v>
      </c>
      <c r="C645" s="121" t="s">
        <v>2954</v>
      </c>
      <c r="D645" s="109" t="s">
        <v>92</v>
      </c>
      <c r="E645" s="128" t="s">
        <v>369</v>
      </c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109">
        <v>17.0</v>
      </c>
      <c r="B646" s="120" t="s">
        <v>2955</v>
      </c>
      <c r="C646" s="121" t="s">
        <v>437</v>
      </c>
      <c r="D646" s="109" t="s">
        <v>69</v>
      </c>
      <c r="E646" s="128" t="s">
        <v>369</v>
      </c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109">
        <v>18.0</v>
      </c>
      <c r="B647" s="120" t="s">
        <v>2956</v>
      </c>
      <c r="C647" s="121" t="s">
        <v>2957</v>
      </c>
      <c r="D647" s="109" t="s">
        <v>69</v>
      </c>
      <c r="E647" s="128" t="s">
        <v>369</v>
      </c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109">
        <v>19.0</v>
      </c>
      <c r="B648" s="120" t="s">
        <v>2958</v>
      </c>
      <c r="C648" s="121" t="s">
        <v>2959</v>
      </c>
      <c r="D648" s="109" t="s">
        <v>69</v>
      </c>
      <c r="E648" s="128" t="s">
        <v>369</v>
      </c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109">
        <v>20.0</v>
      </c>
      <c r="B649" s="120" t="s">
        <v>2960</v>
      </c>
      <c r="C649" s="121" t="s">
        <v>2961</v>
      </c>
      <c r="D649" s="109" t="s">
        <v>69</v>
      </c>
      <c r="E649" s="128" t="s">
        <v>369</v>
      </c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109">
        <v>21.0</v>
      </c>
      <c r="B650" s="120" t="s">
        <v>2962</v>
      </c>
      <c r="C650" s="121" t="s">
        <v>2963</v>
      </c>
      <c r="D650" s="109" t="s">
        <v>69</v>
      </c>
      <c r="E650" s="128" t="s">
        <v>369</v>
      </c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109">
        <v>22.0</v>
      </c>
      <c r="B651" s="120" t="s">
        <v>2964</v>
      </c>
      <c r="C651" s="121" t="s">
        <v>2965</v>
      </c>
      <c r="D651" s="109" t="s">
        <v>69</v>
      </c>
      <c r="E651" s="128" t="s">
        <v>369</v>
      </c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109">
        <v>23.0</v>
      </c>
      <c r="B652" s="120" t="s">
        <v>2966</v>
      </c>
      <c r="C652" s="121" t="s">
        <v>2967</v>
      </c>
      <c r="D652" s="109" t="s">
        <v>69</v>
      </c>
      <c r="E652" s="128" t="s">
        <v>369</v>
      </c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109">
        <v>24.0</v>
      </c>
      <c r="B653" s="120" t="s">
        <v>2968</v>
      </c>
      <c r="C653" s="121" t="s">
        <v>2969</v>
      </c>
      <c r="D653" s="109" t="s">
        <v>69</v>
      </c>
      <c r="E653" s="128" t="s">
        <v>369</v>
      </c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109">
        <v>25.0</v>
      </c>
      <c r="B654" s="120" t="s">
        <v>2970</v>
      </c>
      <c r="C654" s="121" t="s">
        <v>2971</v>
      </c>
      <c r="D654" s="109" t="s">
        <v>69</v>
      </c>
      <c r="E654" s="128" t="s">
        <v>369</v>
      </c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109">
        <v>26.0</v>
      </c>
      <c r="B655" s="120" t="s">
        <v>2972</v>
      </c>
      <c r="C655" s="121" t="s">
        <v>2973</v>
      </c>
      <c r="D655" s="109" t="s">
        <v>69</v>
      </c>
      <c r="E655" s="128" t="s">
        <v>369</v>
      </c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109">
        <v>27.0</v>
      </c>
      <c r="B656" s="120" t="s">
        <v>2974</v>
      </c>
      <c r="C656" s="121" t="s">
        <v>2975</v>
      </c>
      <c r="D656" s="109" t="s">
        <v>69</v>
      </c>
      <c r="E656" s="128" t="s">
        <v>369</v>
      </c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109">
        <v>28.0</v>
      </c>
      <c r="B657" s="120" t="s">
        <v>2976</v>
      </c>
      <c r="C657" s="121" t="s">
        <v>2977</v>
      </c>
      <c r="D657" s="109" t="s">
        <v>69</v>
      </c>
      <c r="E657" s="128" t="s">
        <v>369</v>
      </c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109">
        <v>29.0</v>
      </c>
      <c r="B658" s="120" t="s">
        <v>2978</v>
      </c>
      <c r="C658" s="121" t="s">
        <v>2979</v>
      </c>
      <c r="D658" s="109" t="s">
        <v>92</v>
      </c>
      <c r="E658" s="128" t="s">
        <v>369</v>
      </c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109">
        <v>30.0</v>
      </c>
      <c r="B659" s="120" t="s">
        <v>2980</v>
      </c>
      <c r="C659" s="121" t="s">
        <v>2981</v>
      </c>
      <c r="D659" s="109" t="s">
        <v>92</v>
      </c>
      <c r="E659" s="128" t="s">
        <v>369</v>
      </c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109">
        <v>31.0</v>
      </c>
      <c r="B660" s="120" t="s">
        <v>2982</v>
      </c>
      <c r="C660" s="121" t="s">
        <v>2983</v>
      </c>
      <c r="D660" s="109" t="s">
        <v>92</v>
      </c>
      <c r="E660" s="128" t="s">
        <v>369</v>
      </c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109">
        <v>32.0</v>
      </c>
      <c r="B661" s="120" t="s">
        <v>2984</v>
      </c>
      <c r="C661" s="121" t="s">
        <v>2985</v>
      </c>
      <c r="D661" s="109" t="s">
        <v>92</v>
      </c>
      <c r="E661" s="128" t="s">
        <v>369</v>
      </c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109">
        <v>33.0</v>
      </c>
      <c r="B662" s="120" t="s">
        <v>2986</v>
      </c>
      <c r="C662" s="121" t="s">
        <v>2987</v>
      </c>
      <c r="D662" s="125" t="s">
        <v>92</v>
      </c>
      <c r="E662" s="128" t="s">
        <v>369</v>
      </c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109">
        <v>34.0</v>
      </c>
      <c r="B663" s="120" t="s">
        <v>2988</v>
      </c>
      <c r="C663" s="121" t="s">
        <v>2989</v>
      </c>
      <c r="D663" s="109" t="s">
        <v>92</v>
      </c>
      <c r="E663" s="128" t="s">
        <v>369</v>
      </c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109">
        <v>35.0</v>
      </c>
      <c r="B664" s="120" t="s">
        <v>2990</v>
      </c>
      <c r="C664" s="121" t="s">
        <v>2991</v>
      </c>
      <c r="D664" s="109" t="s">
        <v>69</v>
      </c>
      <c r="E664" s="128" t="s">
        <v>369</v>
      </c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109">
        <v>36.0</v>
      </c>
      <c r="B665" s="120" t="s">
        <v>2992</v>
      </c>
      <c r="C665" s="121" t="s">
        <v>2993</v>
      </c>
      <c r="D665" s="109" t="s">
        <v>69</v>
      </c>
      <c r="E665" s="128" t="s">
        <v>369</v>
      </c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109">
        <v>37.0</v>
      </c>
      <c r="B666" s="120" t="s">
        <v>2994</v>
      </c>
      <c r="C666" s="121" t="s">
        <v>2995</v>
      </c>
      <c r="D666" s="109" t="s">
        <v>69</v>
      </c>
      <c r="E666" s="128" t="s">
        <v>369</v>
      </c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109">
        <v>38.0</v>
      </c>
      <c r="B667" s="120" t="s">
        <v>2996</v>
      </c>
      <c r="C667" s="121" t="s">
        <v>2997</v>
      </c>
      <c r="D667" s="109" t="s">
        <v>69</v>
      </c>
      <c r="E667" s="128" t="s">
        <v>369</v>
      </c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109">
        <v>39.0</v>
      </c>
      <c r="B668" s="120" t="s">
        <v>2998</v>
      </c>
      <c r="C668" s="121" t="s">
        <v>2999</v>
      </c>
      <c r="D668" s="109" t="s">
        <v>69</v>
      </c>
      <c r="E668" s="128" t="s">
        <v>369</v>
      </c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109">
        <v>40.0</v>
      </c>
      <c r="B669" s="120" t="s">
        <v>3000</v>
      </c>
      <c r="C669" s="121" t="s">
        <v>3001</v>
      </c>
      <c r="D669" s="109" t="s">
        <v>92</v>
      </c>
      <c r="E669" s="128" t="s">
        <v>369</v>
      </c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109">
        <v>41.0</v>
      </c>
      <c r="B670" s="120" t="s">
        <v>3002</v>
      </c>
      <c r="C670" s="121" t="s">
        <v>3003</v>
      </c>
      <c r="D670" s="109" t="s">
        <v>69</v>
      </c>
      <c r="E670" s="128" t="s">
        <v>369</v>
      </c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109">
        <v>42.0</v>
      </c>
      <c r="B671" s="120" t="s">
        <v>3004</v>
      </c>
      <c r="C671" s="121" t="s">
        <v>3005</v>
      </c>
      <c r="D671" s="109" t="s">
        <v>69</v>
      </c>
      <c r="E671" s="128" t="s">
        <v>369</v>
      </c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109">
        <v>43.0</v>
      </c>
      <c r="B672" s="120" t="s">
        <v>3006</v>
      </c>
      <c r="C672" s="121" t="s">
        <v>3007</v>
      </c>
      <c r="D672" s="109" t="s">
        <v>92</v>
      </c>
      <c r="E672" s="128" t="s">
        <v>369</v>
      </c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109">
        <v>44.0</v>
      </c>
      <c r="B673" s="120" t="s">
        <v>3008</v>
      </c>
      <c r="C673" s="121" t="s">
        <v>3009</v>
      </c>
      <c r="D673" s="109" t="s">
        <v>69</v>
      </c>
      <c r="E673" s="128" t="s">
        <v>369</v>
      </c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109">
        <v>45.0</v>
      </c>
      <c r="B674" s="120" t="s">
        <v>3010</v>
      </c>
      <c r="C674" s="121" t="s">
        <v>3011</v>
      </c>
      <c r="D674" s="109" t="s">
        <v>69</v>
      </c>
      <c r="E674" s="128" t="s">
        <v>369</v>
      </c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109">
        <v>46.0</v>
      </c>
      <c r="B675" s="120" t="s">
        <v>3012</v>
      </c>
      <c r="C675" s="121" t="s">
        <v>3013</v>
      </c>
      <c r="D675" s="109" t="s">
        <v>69</v>
      </c>
      <c r="E675" s="128" t="s">
        <v>369</v>
      </c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117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132" t="s">
        <v>1158</v>
      </c>
      <c r="D677" s="50">
        <f>COUNTIF(D630:D675, "L")</f>
        <v>14</v>
      </c>
      <c r="E677" s="117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132" t="s">
        <v>1166</v>
      </c>
      <c r="D678" s="133">
        <f>COUNTIF(D630:D675, "P")</f>
        <v>32</v>
      </c>
      <c r="E678" s="117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117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117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117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117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117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117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117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117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117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117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117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117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117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117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117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117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117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117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117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117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117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117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117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117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117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117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117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117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117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117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117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117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117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117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117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117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117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117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117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117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117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117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117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117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117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117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117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117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117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117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117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117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117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117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117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117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117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117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117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117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117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117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117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117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117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117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117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117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117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117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117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117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117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117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117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117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117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117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117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117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117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117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117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117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117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117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117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117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117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117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117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117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117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117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117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117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117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117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117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117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117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117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117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117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117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117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117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117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117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117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117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117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117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117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117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117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117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117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117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117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117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117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117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117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117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117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117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117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117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117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117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117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117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117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117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117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117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117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117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117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117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117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117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117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117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117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117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117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117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117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117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117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117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117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117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117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117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117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117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117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117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117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117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117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117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117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117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117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117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117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117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117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117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117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117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117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117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117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117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117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117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117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117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117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117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117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117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117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117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117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117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117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117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117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117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117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117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117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117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117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117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117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117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117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117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117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117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117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117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117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117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117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117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117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117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117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117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117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117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117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117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117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117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117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117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117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117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117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117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117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117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117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117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117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117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117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117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117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117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117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117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117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117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117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117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117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117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117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117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117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117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117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117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117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117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117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117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117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117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117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117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117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117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117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117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117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117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117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117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117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117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117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117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117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117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117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117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117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117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117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117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117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117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117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117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117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117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117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117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117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117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117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117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117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117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117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117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117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117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117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117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117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117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117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117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117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117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117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117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117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117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117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117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117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117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117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117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117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117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117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117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117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7">
    <mergeCell ref="A1:D1"/>
    <mergeCell ref="A3:D3"/>
    <mergeCell ref="A4:D4"/>
    <mergeCell ref="A5:D5"/>
    <mergeCell ref="A60:D60"/>
    <mergeCell ref="A61:D61"/>
    <mergeCell ref="A62:D62"/>
    <mergeCell ref="A117:D117"/>
    <mergeCell ref="A118:D118"/>
    <mergeCell ref="A119:D119"/>
    <mergeCell ref="A174:D174"/>
    <mergeCell ref="A175:D175"/>
    <mergeCell ref="A176:D176"/>
    <mergeCell ref="A231:D231"/>
    <mergeCell ref="A232:D232"/>
    <mergeCell ref="A233:D233"/>
    <mergeCell ref="A287:D287"/>
    <mergeCell ref="A288:D288"/>
    <mergeCell ref="A289:D289"/>
    <mergeCell ref="A343:D343"/>
    <mergeCell ref="A344:D344"/>
    <mergeCell ref="A345:D345"/>
    <mergeCell ref="A398:D398"/>
    <mergeCell ref="A399:D399"/>
    <mergeCell ref="A400:D400"/>
    <mergeCell ref="A453:D453"/>
    <mergeCell ref="A454:D454"/>
    <mergeCell ref="A455:D455"/>
    <mergeCell ref="A626:D626"/>
    <mergeCell ref="A627:D627"/>
    <mergeCell ref="A511:D511"/>
    <mergeCell ref="A512:D512"/>
    <mergeCell ref="A513:D513"/>
    <mergeCell ref="A568:D568"/>
    <mergeCell ref="A569:D569"/>
    <mergeCell ref="A570:D570"/>
    <mergeCell ref="A625:D6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29.63"/>
    <col customWidth="1" min="4" max="4" width="7.13"/>
  </cols>
  <sheetData>
    <row r="1">
      <c r="A1" s="6" t="s">
        <v>836</v>
      </c>
      <c r="B1" s="8"/>
      <c r="C1" s="8"/>
      <c r="D1" s="8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7" t="s">
        <v>20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7" t="s">
        <v>842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7" t="s">
        <v>37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 t="s">
        <v>844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7" t="s">
        <v>13</v>
      </c>
      <c r="B7" s="127" t="s">
        <v>630</v>
      </c>
      <c r="C7" s="127" t="s">
        <v>15</v>
      </c>
      <c r="D7" s="127" t="s">
        <v>631</v>
      </c>
      <c r="E7" s="129" t="s">
        <v>16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3">
        <v>1.0</v>
      </c>
      <c r="B8" s="130" t="s">
        <v>849</v>
      </c>
      <c r="C8" s="35" t="s">
        <v>852</v>
      </c>
      <c r="D8" s="131" t="s">
        <v>92</v>
      </c>
      <c r="E8" s="129" t="s">
        <v>417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33">
        <v>2.0</v>
      </c>
      <c r="B9" s="130" t="s">
        <v>855</v>
      </c>
      <c r="C9" s="35" t="s">
        <v>856</v>
      </c>
      <c r="D9" s="131" t="s">
        <v>92</v>
      </c>
      <c r="E9" s="129" t="s">
        <v>417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3">
        <v>3.0</v>
      </c>
      <c r="B10" s="130" t="s">
        <v>859</v>
      </c>
      <c r="C10" s="35" t="s">
        <v>860</v>
      </c>
      <c r="D10" s="131" t="s">
        <v>69</v>
      </c>
      <c r="E10" s="129" t="s">
        <v>417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3">
        <v>4.0</v>
      </c>
      <c r="B11" s="130" t="s">
        <v>861</v>
      </c>
      <c r="C11" s="35" t="s">
        <v>862</v>
      </c>
      <c r="D11" s="131" t="s">
        <v>69</v>
      </c>
      <c r="E11" s="129" t="s">
        <v>417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33">
        <v>5.0</v>
      </c>
      <c r="B12" s="130" t="s">
        <v>868</v>
      </c>
      <c r="C12" s="35" t="s">
        <v>869</v>
      </c>
      <c r="D12" s="131" t="s">
        <v>69</v>
      </c>
      <c r="E12" s="129" t="s">
        <v>417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3">
        <v>6.0</v>
      </c>
      <c r="B13" s="130" t="s">
        <v>874</v>
      </c>
      <c r="C13" s="35" t="s">
        <v>875</v>
      </c>
      <c r="D13" s="131" t="s">
        <v>92</v>
      </c>
      <c r="E13" s="129" t="s">
        <v>417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3">
        <v>7.0</v>
      </c>
      <c r="B14" s="130" t="s">
        <v>880</v>
      </c>
      <c r="C14" s="35" t="s">
        <v>881</v>
      </c>
      <c r="D14" s="131" t="s">
        <v>69</v>
      </c>
      <c r="E14" s="129" t="s">
        <v>417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3">
        <v>8.0</v>
      </c>
      <c r="B15" s="130" t="s">
        <v>886</v>
      </c>
      <c r="C15" s="35" t="s">
        <v>888</v>
      </c>
      <c r="D15" s="131" t="s">
        <v>92</v>
      </c>
      <c r="E15" s="129" t="s">
        <v>417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3">
        <v>9.0</v>
      </c>
      <c r="B16" s="130" t="s">
        <v>894</v>
      </c>
      <c r="C16" s="35" t="s">
        <v>895</v>
      </c>
      <c r="D16" s="131" t="s">
        <v>92</v>
      </c>
      <c r="E16" s="129" t="s">
        <v>417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3">
        <v>10.0</v>
      </c>
      <c r="B17" s="130" t="s">
        <v>898</v>
      </c>
      <c r="C17" s="35" t="s">
        <v>900</v>
      </c>
      <c r="D17" s="131" t="s">
        <v>92</v>
      </c>
      <c r="E17" s="129" t="s">
        <v>417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3">
        <v>11.0</v>
      </c>
      <c r="B18" s="130" t="s">
        <v>902</v>
      </c>
      <c r="C18" s="35" t="s">
        <v>903</v>
      </c>
      <c r="D18" s="131" t="s">
        <v>69</v>
      </c>
      <c r="E18" s="129" t="s">
        <v>417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3">
        <v>12.0</v>
      </c>
      <c r="B19" s="130" t="s">
        <v>908</v>
      </c>
      <c r="C19" s="35" t="s">
        <v>909</v>
      </c>
      <c r="D19" s="131" t="s">
        <v>69</v>
      </c>
      <c r="E19" s="129" t="s">
        <v>417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3">
        <v>13.0</v>
      </c>
      <c r="B20" s="130" t="s">
        <v>914</v>
      </c>
      <c r="C20" s="35" t="s">
        <v>915</v>
      </c>
      <c r="D20" s="131" t="s">
        <v>92</v>
      </c>
      <c r="E20" s="129" t="s">
        <v>417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3">
        <v>14.0</v>
      </c>
      <c r="B21" s="130" t="s">
        <v>920</v>
      </c>
      <c r="C21" s="35" t="s">
        <v>921</v>
      </c>
      <c r="D21" s="131" t="s">
        <v>92</v>
      </c>
      <c r="E21" s="129" t="s">
        <v>417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3">
        <v>15.0</v>
      </c>
      <c r="B22" s="130" t="s">
        <v>924</v>
      </c>
      <c r="C22" s="35" t="s">
        <v>925</v>
      </c>
      <c r="D22" s="131" t="s">
        <v>69</v>
      </c>
      <c r="E22" s="129" t="s">
        <v>417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3">
        <v>16.0</v>
      </c>
      <c r="B23" s="130" t="s">
        <v>931</v>
      </c>
      <c r="C23" s="35" t="s">
        <v>932</v>
      </c>
      <c r="D23" s="131" t="s">
        <v>69</v>
      </c>
      <c r="E23" s="129" t="s">
        <v>417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33">
        <v>17.0</v>
      </c>
      <c r="B24" s="130" t="s">
        <v>936</v>
      </c>
      <c r="C24" s="35" t="s">
        <v>938</v>
      </c>
      <c r="D24" s="131" t="s">
        <v>69</v>
      </c>
      <c r="E24" s="129" t="s">
        <v>417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33">
        <v>18.0</v>
      </c>
      <c r="B25" s="130" t="s">
        <v>939</v>
      </c>
      <c r="C25" s="35" t="s">
        <v>940</v>
      </c>
      <c r="D25" s="131" t="s">
        <v>69</v>
      </c>
      <c r="E25" s="129" t="s">
        <v>417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33">
        <v>19.0</v>
      </c>
      <c r="B26" s="130" t="s">
        <v>944</v>
      </c>
      <c r="C26" s="35" t="s">
        <v>500</v>
      </c>
      <c r="D26" s="131" t="s">
        <v>69</v>
      </c>
      <c r="E26" s="129" t="s">
        <v>417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33">
        <v>20.0</v>
      </c>
      <c r="B27" s="130" t="s">
        <v>946</v>
      </c>
      <c r="C27" s="35" t="s">
        <v>947</v>
      </c>
      <c r="D27" s="131" t="s">
        <v>69</v>
      </c>
      <c r="E27" s="129" t="s">
        <v>417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33">
        <v>21.0</v>
      </c>
      <c r="B28" s="130" t="s">
        <v>951</v>
      </c>
      <c r="C28" s="35" t="s">
        <v>953</v>
      </c>
      <c r="D28" s="131" t="s">
        <v>69</v>
      </c>
      <c r="E28" s="129" t="s">
        <v>417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3">
        <v>22.0</v>
      </c>
      <c r="B29" s="130" t="s">
        <v>954</v>
      </c>
      <c r="C29" s="35" t="s">
        <v>955</v>
      </c>
      <c r="D29" s="131" t="s">
        <v>92</v>
      </c>
      <c r="E29" s="129" t="s">
        <v>417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33">
        <v>23.0</v>
      </c>
      <c r="B30" s="130" t="s">
        <v>959</v>
      </c>
      <c r="C30" s="35" t="s">
        <v>961</v>
      </c>
      <c r="D30" s="131" t="s">
        <v>92</v>
      </c>
      <c r="E30" s="129" t="s">
        <v>417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33">
        <v>24.0</v>
      </c>
      <c r="B31" s="130" t="s">
        <v>962</v>
      </c>
      <c r="C31" s="35" t="s">
        <v>963</v>
      </c>
      <c r="D31" s="131" t="s">
        <v>69</v>
      </c>
      <c r="E31" s="129" t="s">
        <v>417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33">
        <v>25.0</v>
      </c>
      <c r="B32" s="130" t="s">
        <v>966</v>
      </c>
      <c r="C32" s="35" t="s">
        <v>967</v>
      </c>
      <c r="D32" s="131" t="s">
        <v>69</v>
      </c>
      <c r="E32" s="129" t="s">
        <v>417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33">
        <v>26.0</v>
      </c>
      <c r="B33" s="130" t="s">
        <v>970</v>
      </c>
      <c r="C33" s="35" t="s">
        <v>971</v>
      </c>
      <c r="D33" s="131" t="s">
        <v>69</v>
      </c>
      <c r="E33" s="129" t="s">
        <v>417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33">
        <v>27.0</v>
      </c>
      <c r="B34" s="130" t="s">
        <v>974</v>
      </c>
      <c r="C34" s="35" t="s">
        <v>975</v>
      </c>
      <c r="D34" s="131" t="s">
        <v>69</v>
      </c>
      <c r="E34" s="129" t="s">
        <v>417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33">
        <v>28.0</v>
      </c>
      <c r="B35" s="130" t="s">
        <v>977</v>
      </c>
      <c r="C35" s="35" t="s">
        <v>978</v>
      </c>
      <c r="D35" s="131" t="s">
        <v>69</v>
      </c>
      <c r="E35" s="129" t="s">
        <v>417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33">
        <v>29.0</v>
      </c>
      <c r="B36" s="130" t="s">
        <v>980</v>
      </c>
      <c r="C36" s="35" t="s">
        <v>981</v>
      </c>
      <c r="D36" s="131" t="s">
        <v>69</v>
      </c>
      <c r="E36" s="129" t="s">
        <v>417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3">
        <v>30.0</v>
      </c>
      <c r="B37" s="130" t="s">
        <v>983</v>
      </c>
      <c r="C37" s="35" t="s">
        <v>984</v>
      </c>
      <c r="D37" s="131" t="s">
        <v>92</v>
      </c>
      <c r="E37" s="129" t="s">
        <v>417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33">
        <v>31.0</v>
      </c>
      <c r="B38" s="130" t="s">
        <v>986</v>
      </c>
      <c r="C38" s="35" t="s">
        <v>987</v>
      </c>
      <c r="D38" s="131" t="s">
        <v>69</v>
      </c>
      <c r="E38" s="129" t="s">
        <v>417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33">
        <v>32.0</v>
      </c>
      <c r="B39" s="130" t="s">
        <v>990</v>
      </c>
      <c r="C39" s="35" t="s">
        <v>991</v>
      </c>
      <c r="D39" s="131" t="s">
        <v>69</v>
      </c>
      <c r="E39" s="129" t="s">
        <v>417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33">
        <v>33.0</v>
      </c>
      <c r="B40" s="130" t="s">
        <v>993</v>
      </c>
      <c r="C40" s="35" t="s">
        <v>994</v>
      </c>
      <c r="D40" s="131" t="s">
        <v>69</v>
      </c>
      <c r="E40" s="129" t="s">
        <v>417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33">
        <v>34.0</v>
      </c>
      <c r="B41" s="130" t="s">
        <v>996</v>
      </c>
      <c r="C41" s="35" t="s">
        <v>997</v>
      </c>
      <c r="D41" s="131" t="s">
        <v>69</v>
      </c>
      <c r="E41" s="129" t="s">
        <v>417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33">
        <v>35.0</v>
      </c>
      <c r="B42" s="130" t="s">
        <v>998</v>
      </c>
      <c r="C42" s="35" t="s">
        <v>999</v>
      </c>
      <c r="D42" s="131" t="s">
        <v>69</v>
      </c>
      <c r="E42" s="129" t="s">
        <v>417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33">
        <v>36.0</v>
      </c>
      <c r="B43" s="130" t="s">
        <v>1004</v>
      </c>
      <c r="C43" s="35" t="s">
        <v>1005</v>
      </c>
      <c r="D43" s="131" t="s">
        <v>69</v>
      </c>
      <c r="E43" s="129" t="s">
        <v>417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35" t="s">
        <v>205</v>
      </c>
      <c r="D45" s="33" t="str">
        <f>COUNTIF(R[-37]C[0]:R[-2]C[0],"P")</f>
        <v>#ERROR!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35" t="s">
        <v>1015</v>
      </c>
      <c r="D46" s="33" t="str">
        <f>COUNTIF(R[-38]C[0]:R[-3]C[0],"L")</f>
        <v>#ERROR!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7" t="s">
        <v>20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7" t="s">
        <v>1026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7" t="s">
        <v>37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 t="s">
        <v>1029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7" t="s">
        <v>13</v>
      </c>
      <c r="B54" s="127" t="s">
        <v>630</v>
      </c>
      <c r="C54" s="127" t="s">
        <v>15</v>
      </c>
      <c r="D54" s="127" t="s">
        <v>631</v>
      </c>
      <c r="E54" s="129" t="s">
        <v>16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33">
        <v>1.0</v>
      </c>
      <c r="B55" s="35" t="s">
        <v>1035</v>
      </c>
      <c r="C55" s="35" t="s">
        <v>537</v>
      </c>
      <c r="D55" s="33" t="s">
        <v>69</v>
      </c>
      <c r="E55" s="129" t="s">
        <v>188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33">
        <v>2.0</v>
      </c>
      <c r="B56" s="35" t="s">
        <v>1038</v>
      </c>
      <c r="C56" s="35" t="s">
        <v>1039</v>
      </c>
      <c r="D56" s="33" t="s">
        <v>92</v>
      </c>
      <c r="E56" s="129" t="s">
        <v>188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3">
        <v>3.0</v>
      </c>
      <c r="B57" s="35" t="s">
        <v>1043</v>
      </c>
      <c r="C57" s="35" t="s">
        <v>1045</v>
      </c>
      <c r="D57" s="33" t="s">
        <v>69</v>
      </c>
      <c r="E57" s="129" t="s">
        <v>188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33">
        <v>4.0</v>
      </c>
      <c r="B58" s="35" t="s">
        <v>1047</v>
      </c>
      <c r="C58" s="35" t="s">
        <v>1048</v>
      </c>
      <c r="D58" s="33" t="s">
        <v>69</v>
      </c>
      <c r="E58" s="129" t="s">
        <v>188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33">
        <v>5.0</v>
      </c>
      <c r="B59" s="35" t="s">
        <v>1053</v>
      </c>
      <c r="C59" s="35" t="s">
        <v>1054</v>
      </c>
      <c r="D59" s="33" t="s">
        <v>69</v>
      </c>
      <c r="E59" s="129" t="s">
        <v>188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33">
        <v>6.0</v>
      </c>
      <c r="B60" s="35" t="s">
        <v>1055</v>
      </c>
      <c r="C60" s="35" t="s">
        <v>1056</v>
      </c>
      <c r="D60" s="33" t="s">
        <v>69</v>
      </c>
      <c r="E60" s="129" t="s">
        <v>188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33">
        <v>7.0</v>
      </c>
      <c r="B61" s="35" t="s">
        <v>1060</v>
      </c>
      <c r="C61" s="35" t="s">
        <v>316</v>
      </c>
      <c r="D61" s="33" t="s">
        <v>69</v>
      </c>
      <c r="E61" s="129" t="s">
        <v>188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33">
        <v>8.0</v>
      </c>
      <c r="B62" s="35" t="s">
        <v>1063</v>
      </c>
      <c r="C62" s="35" t="s">
        <v>1064</v>
      </c>
      <c r="D62" s="33" t="s">
        <v>69</v>
      </c>
      <c r="E62" s="129" t="s">
        <v>188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33">
        <v>9.0</v>
      </c>
      <c r="B63" s="35" t="s">
        <v>1068</v>
      </c>
      <c r="C63" s="35" t="s">
        <v>1069</v>
      </c>
      <c r="D63" s="33" t="s">
        <v>92</v>
      </c>
      <c r="E63" s="129" t="s">
        <v>188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33">
        <v>10.0</v>
      </c>
      <c r="B64" s="35" t="s">
        <v>1070</v>
      </c>
      <c r="C64" s="35" t="s">
        <v>1071</v>
      </c>
      <c r="D64" s="33" t="s">
        <v>69</v>
      </c>
      <c r="E64" s="129" t="s">
        <v>188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33">
        <v>11.0</v>
      </c>
      <c r="B65" s="35" t="s">
        <v>1076</v>
      </c>
      <c r="C65" s="35" t="s">
        <v>1077</v>
      </c>
      <c r="D65" s="33" t="s">
        <v>69</v>
      </c>
      <c r="E65" s="129" t="s">
        <v>188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33">
        <v>12.0</v>
      </c>
      <c r="B66" s="35" t="s">
        <v>1080</v>
      </c>
      <c r="C66" s="35" t="s">
        <v>1081</v>
      </c>
      <c r="D66" s="33" t="s">
        <v>69</v>
      </c>
      <c r="E66" s="129" t="s">
        <v>188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33">
        <v>13.0</v>
      </c>
      <c r="B67" s="35" t="s">
        <v>1086</v>
      </c>
      <c r="C67" s="35" t="s">
        <v>1087</v>
      </c>
      <c r="D67" s="33" t="s">
        <v>69</v>
      </c>
      <c r="E67" s="129" t="s">
        <v>188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33">
        <v>14.0</v>
      </c>
      <c r="B68" s="35" t="s">
        <v>1089</v>
      </c>
      <c r="C68" s="35" t="s">
        <v>1090</v>
      </c>
      <c r="D68" s="33" t="s">
        <v>92</v>
      </c>
      <c r="E68" s="129" t="s">
        <v>188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33">
        <v>15.0</v>
      </c>
      <c r="B69" s="35" t="s">
        <v>1094</v>
      </c>
      <c r="C69" s="35" t="s">
        <v>1095</v>
      </c>
      <c r="D69" s="33" t="s">
        <v>92</v>
      </c>
      <c r="E69" s="129" t="s">
        <v>188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33">
        <v>16.0</v>
      </c>
      <c r="B70" s="35" t="s">
        <v>1098</v>
      </c>
      <c r="C70" s="35" t="s">
        <v>1099</v>
      </c>
      <c r="D70" s="33" t="s">
        <v>92</v>
      </c>
      <c r="E70" s="129" t="s">
        <v>188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33">
        <v>17.0</v>
      </c>
      <c r="B71" s="35" t="s">
        <v>1104</v>
      </c>
      <c r="C71" s="35" t="s">
        <v>1105</v>
      </c>
      <c r="D71" s="33" t="s">
        <v>69</v>
      </c>
      <c r="E71" s="129" t="s">
        <v>188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33">
        <v>18.0</v>
      </c>
      <c r="B72" s="35" t="s">
        <v>1107</v>
      </c>
      <c r="C72" s="35" t="s">
        <v>1109</v>
      </c>
      <c r="D72" s="33" t="s">
        <v>92</v>
      </c>
      <c r="E72" s="129" t="s">
        <v>188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33">
        <v>19.0</v>
      </c>
      <c r="B73" s="35" t="s">
        <v>1112</v>
      </c>
      <c r="C73" s="35" t="s">
        <v>335</v>
      </c>
      <c r="D73" s="33" t="s">
        <v>92</v>
      </c>
      <c r="E73" s="129" t="s">
        <v>188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33">
        <v>20.0</v>
      </c>
      <c r="B74" s="35" t="s">
        <v>1116</v>
      </c>
      <c r="C74" s="35" t="s">
        <v>1118</v>
      </c>
      <c r="D74" s="33" t="s">
        <v>92</v>
      </c>
      <c r="E74" s="129" t="s">
        <v>188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33">
        <v>21.0</v>
      </c>
      <c r="B75" s="35" t="s">
        <v>1122</v>
      </c>
      <c r="C75" s="35" t="s">
        <v>1124</v>
      </c>
      <c r="D75" s="33" t="s">
        <v>69</v>
      </c>
      <c r="E75" s="129" t="s">
        <v>188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33">
        <v>22.0</v>
      </c>
      <c r="B76" s="35" t="s">
        <v>1128</v>
      </c>
      <c r="C76" s="35" t="s">
        <v>1129</v>
      </c>
      <c r="D76" s="33" t="s">
        <v>69</v>
      </c>
      <c r="E76" s="129" t="s">
        <v>188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3">
        <v>23.0</v>
      </c>
      <c r="B77" s="35" t="s">
        <v>1132</v>
      </c>
      <c r="C77" s="35" t="s">
        <v>1133</v>
      </c>
      <c r="D77" s="33" t="s">
        <v>69</v>
      </c>
      <c r="E77" s="129" t="s">
        <v>188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33">
        <v>24.0</v>
      </c>
      <c r="B78" s="35" t="s">
        <v>1138</v>
      </c>
      <c r="C78" s="35" t="s">
        <v>501</v>
      </c>
      <c r="D78" s="33" t="s">
        <v>69</v>
      </c>
      <c r="E78" s="129" t="s">
        <v>188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33">
        <v>25.0</v>
      </c>
      <c r="B79" s="35" t="s">
        <v>1142</v>
      </c>
      <c r="C79" s="35" t="s">
        <v>1144</v>
      </c>
      <c r="D79" s="33" t="s">
        <v>69</v>
      </c>
      <c r="E79" s="129" t="s">
        <v>188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33">
        <v>26.0</v>
      </c>
      <c r="B80" s="35" t="s">
        <v>1151</v>
      </c>
      <c r="C80" s="35" t="s">
        <v>1152</v>
      </c>
      <c r="D80" s="33" t="s">
        <v>92</v>
      </c>
      <c r="E80" s="129" t="s">
        <v>188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33">
        <v>27.0</v>
      </c>
      <c r="B81" s="35" t="s">
        <v>1154</v>
      </c>
      <c r="C81" s="35" t="s">
        <v>1155</v>
      </c>
      <c r="D81" s="33" t="s">
        <v>69</v>
      </c>
      <c r="E81" s="129" t="s">
        <v>188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33">
        <v>28.0</v>
      </c>
      <c r="B82" s="35" t="s">
        <v>1157</v>
      </c>
      <c r="C82" s="35" t="s">
        <v>1159</v>
      </c>
      <c r="D82" s="33" t="s">
        <v>92</v>
      </c>
      <c r="E82" s="129" t="s">
        <v>188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33">
        <v>29.0</v>
      </c>
      <c r="B83" s="35" t="s">
        <v>1162</v>
      </c>
      <c r="C83" s="35" t="s">
        <v>1163</v>
      </c>
      <c r="D83" s="33" t="s">
        <v>69</v>
      </c>
      <c r="E83" s="129" t="s">
        <v>188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33">
        <v>30.0</v>
      </c>
      <c r="B84" s="35" t="s">
        <v>1164</v>
      </c>
      <c r="C84" s="35" t="s">
        <v>1165</v>
      </c>
      <c r="D84" s="33" t="s">
        <v>69</v>
      </c>
      <c r="E84" s="129" t="s">
        <v>188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33">
        <v>31.0</v>
      </c>
      <c r="B85" s="35" t="s">
        <v>1168</v>
      </c>
      <c r="C85" s="35" t="s">
        <v>1169</v>
      </c>
      <c r="D85" s="33" t="s">
        <v>69</v>
      </c>
      <c r="E85" s="129" t="s">
        <v>188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33">
        <v>32.0</v>
      </c>
      <c r="B86" s="35" t="s">
        <v>1170</v>
      </c>
      <c r="C86" s="35" t="s">
        <v>1171</v>
      </c>
      <c r="D86" s="33" t="s">
        <v>69</v>
      </c>
      <c r="E86" s="129" t="s">
        <v>188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33">
        <v>33.0</v>
      </c>
      <c r="B87" s="35" t="s">
        <v>1172</v>
      </c>
      <c r="C87" s="35" t="s">
        <v>1173</v>
      </c>
      <c r="D87" s="33" t="s">
        <v>69</v>
      </c>
      <c r="E87" s="129" t="s">
        <v>188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33">
        <v>34.0</v>
      </c>
      <c r="B88" s="35" t="s">
        <v>1175</v>
      </c>
      <c r="C88" s="35" t="s">
        <v>368</v>
      </c>
      <c r="D88" s="33" t="s">
        <v>69</v>
      </c>
      <c r="E88" s="129" t="s">
        <v>188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33">
        <v>35.0</v>
      </c>
      <c r="B89" s="35" t="s">
        <v>1176</v>
      </c>
      <c r="C89" s="35" t="s">
        <v>1177</v>
      </c>
      <c r="D89" s="33" t="s">
        <v>92</v>
      </c>
      <c r="E89" s="129" t="s">
        <v>188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33">
        <v>36.0</v>
      </c>
      <c r="B90" s="35" t="s">
        <v>1179</v>
      </c>
      <c r="C90" s="35" t="s">
        <v>1180</v>
      </c>
      <c r="D90" s="33" t="s">
        <v>69</v>
      </c>
      <c r="E90" s="129" t="s">
        <v>188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35" t="s">
        <v>205</v>
      </c>
      <c r="D92" s="33" t="str">
        <f>COUNTIF(R[-37]C[0]:R[-2]C[0],"P")</f>
        <v>#ERROR!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35" t="s">
        <v>1015</v>
      </c>
      <c r="D93" s="33" t="str">
        <f>COUNTIF(R[-38]C[0]:R[-3]C[0],"L")</f>
        <v>#ERROR!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7" t="s">
        <v>20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7" t="s">
        <v>1188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7" t="s">
        <v>37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 t="s">
        <v>1191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7" t="s">
        <v>13</v>
      </c>
      <c r="B100" s="127" t="s">
        <v>630</v>
      </c>
      <c r="C100" s="127" t="s">
        <v>15</v>
      </c>
      <c r="D100" s="127" t="s">
        <v>631</v>
      </c>
      <c r="E100" s="129" t="s">
        <v>16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33">
        <v>1.0</v>
      </c>
      <c r="B101" s="80" t="s">
        <v>1196</v>
      </c>
      <c r="C101" s="35" t="s">
        <v>1198</v>
      </c>
      <c r="D101" s="33" t="s">
        <v>92</v>
      </c>
      <c r="E101" s="129" t="s">
        <v>203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33">
        <v>2.0</v>
      </c>
      <c r="B102" s="80" t="s">
        <v>1201</v>
      </c>
      <c r="C102" s="35" t="s">
        <v>1202</v>
      </c>
      <c r="D102" s="33" t="s">
        <v>69</v>
      </c>
      <c r="E102" s="129" t="s">
        <v>203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3">
        <v>3.0</v>
      </c>
      <c r="B103" s="80" t="s">
        <v>1205</v>
      </c>
      <c r="C103" s="35" t="s">
        <v>1207</v>
      </c>
      <c r="D103" s="33" t="s">
        <v>92</v>
      </c>
      <c r="E103" s="129" t="s">
        <v>203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33">
        <v>4.0</v>
      </c>
      <c r="B104" s="80" t="s">
        <v>1210</v>
      </c>
      <c r="C104" s="35" t="s">
        <v>1212</v>
      </c>
      <c r="D104" s="33" t="s">
        <v>69</v>
      </c>
      <c r="E104" s="129" t="s">
        <v>203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3">
        <v>5.0</v>
      </c>
      <c r="B105" s="80" t="s">
        <v>1217</v>
      </c>
      <c r="C105" s="35" t="s">
        <v>1218</v>
      </c>
      <c r="D105" s="33" t="s">
        <v>69</v>
      </c>
      <c r="E105" s="129" t="s">
        <v>203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3">
        <v>6.0</v>
      </c>
      <c r="B106" s="80" t="s">
        <v>1224</v>
      </c>
      <c r="C106" s="35" t="s">
        <v>1225</v>
      </c>
      <c r="D106" s="33" t="s">
        <v>69</v>
      </c>
      <c r="E106" s="129" t="s">
        <v>203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3">
        <v>7.0</v>
      </c>
      <c r="B107" s="80" t="s">
        <v>1230</v>
      </c>
      <c r="C107" s="35" t="s">
        <v>1231</v>
      </c>
      <c r="D107" s="33" t="s">
        <v>69</v>
      </c>
      <c r="E107" s="129" t="s">
        <v>203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33">
        <v>8.0</v>
      </c>
      <c r="B108" s="80" t="s">
        <v>1234</v>
      </c>
      <c r="C108" s="35" t="s">
        <v>1235</v>
      </c>
      <c r="D108" s="33" t="s">
        <v>92</v>
      </c>
      <c r="E108" s="129" t="s">
        <v>203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33">
        <v>9.0</v>
      </c>
      <c r="B109" s="80" t="s">
        <v>1240</v>
      </c>
      <c r="C109" s="35" t="s">
        <v>1241</v>
      </c>
      <c r="D109" s="33" t="s">
        <v>69</v>
      </c>
      <c r="E109" s="129" t="s">
        <v>203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33">
        <v>10.0</v>
      </c>
      <c r="B110" s="80" t="s">
        <v>1242</v>
      </c>
      <c r="C110" s="35" t="s">
        <v>1243</v>
      </c>
      <c r="D110" s="33" t="s">
        <v>69</v>
      </c>
      <c r="E110" s="129" t="s">
        <v>203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33">
        <v>11.0</v>
      </c>
      <c r="B111" s="80" t="s">
        <v>1248</v>
      </c>
      <c r="C111" s="35" t="s">
        <v>1249</v>
      </c>
      <c r="D111" s="33" t="s">
        <v>69</v>
      </c>
      <c r="E111" s="129" t="s">
        <v>203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3">
        <v>12.0</v>
      </c>
      <c r="B112" s="80" t="s">
        <v>1250</v>
      </c>
      <c r="C112" s="35" t="s">
        <v>1251</v>
      </c>
      <c r="D112" s="33" t="s">
        <v>69</v>
      </c>
      <c r="E112" s="129" t="s">
        <v>203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33">
        <v>13.0</v>
      </c>
      <c r="B113" s="80" t="s">
        <v>1256</v>
      </c>
      <c r="C113" s="35" t="s">
        <v>1257</v>
      </c>
      <c r="D113" s="33" t="s">
        <v>69</v>
      </c>
      <c r="E113" s="129" t="s">
        <v>203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33">
        <v>14.0</v>
      </c>
      <c r="B114" s="80" t="s">
        <v>1260</v>
      </c>
      <c r="C114" s="35" t="s">
        <v>1261</v>
      </c>
      <c r="D114" s="33" t="s">
        <v>69</v>
      </c>
      <c r="E114" s="129" t="s">
        <v>203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33">
        <v>15.0</v>
      </c>
      <c r="B115" s="80" t="s">
        <v>1265</v>
      </c>
      <c r="C115" s="35" t="s">
        <v>1266</v>
      </c>
      <c r="D115" s="33" t="s">
        <v>69</v>
      </c>
      <c r="E115" s="129" t="s">
        <v>203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33">
        <v>16.0</v>
      </c>
      <c r="B116" s="80" t="s">
        <v>1270</v>
      </c>
      <c r="C116" s="35" t="s">
        <v>1271</v>
      </c>
      <c r="D116" s="33" t="s">
        <v>69</v>
      </c>
      <c r="E116" s="129" t="s">
        <v>203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33">
        <v>17.0</v>
      </c>
      <c r="B117" s="80" t="s">
        <v>1274</v>
      </c>
      <c r="C117" s="35" t="s">
        <v>1275</v>
      </c>
      <c r="D117" s="33" t="s">
        <v>69</v>
      </c>
      <c r="E117" s="129" t="s">
        <v>203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33">
        <v>18.0</v>
      </c>
      <c r="B118" s="80" t="s">
        <v>1280</v>
      </c>
      <c r="C118" s="35" t="s">
        <v>1281</v>
      </c>
      <c r="D118" s="33" t="s">
        <v>69</v>
      </c>
      <c r="E118" s="129" t="s">
        <v>203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33">
        <v>19.0</v>
      </c>
      <c r="B119" s="80" t="s">
        <v>1285</v>
      </c>
      <c r="C119" s="35" t="s">
        <v>1286</v>
      </c>
      <c r="D119" s="33" t="s">
        <v>92</v>
      </c>
      <c r="E119" s="129" t="s">
        <v>203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33">
        <v>20.0</v>
      </c>
      <c r="B120" s="80" t="s">
        <v>1290</v>
      </c>
      <c r="C120" s="35" t="s">
        <v>217</v>
      </c>
      <c r="D120" s="33" t="s">
        <v>92</v>
      </c>
      <c r="E120" s="129" t="s">
        <v>203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33">
        <v>21.0</v>
      </c>
      <c r="B121" s="80" t="s">
        <v>1294</v>
      </c>
      <c r="C121" s="35" t="s">
        <v>1295</v>
      </c>
      <c r="D121" s="33" t="s">
        <v>69</v>
      </c>
      <c r="E121" s="129" t="s">
        <v>203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3">
        <v>22.0</v>
      </c>
      <c r="B122" s="80" t="s">
        <v>1299</v>
      </c>
      <c r="C122" s="35" t="s">
        <v>524</v>
      </c>
      <c r="D122" s="33" t="s">
        <v>69</v>
      </c>
      <c r="E122" s="129" t="s">
        <v>203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33">
        <v>23.0</v>
      </c>
      <c r="B123" s="80" t="s">
        <v>1303</v>
      </c>
      <c r="C123" s="35" t="s">
        <v>1304</v>
      </c>
      <c r="D123" s="33" t="s">
        <v>69</v>
      </c>
      <c r="E123" s="129" t="s">
        <v>203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33">
        <v>24.0</v>
      </c>
      <c r="B124" s="80" t="s">
        <v>1308</v>
      </c>
      <c r="C124" s="35" t="s">
        <v>1309</v>
      </c>
      <c r="D124" s="33" t="s">
        <v>69</v>
      </c>
      <c r="E124" s="129" t="s">
        <v>203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33">
        <v>25.0</v>
      </c>
      <c r="B125" s="80" t="s">
        <v>1313</v>
      </c>
      <c r="C125" s="35" t="s">
        <v>1314</v>
      </c>
      <c r="D125" s="33" t="s">
        <v>69</v>
      </c>
      <c r="E125" s="129" t="s">
        <v>203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33">
        <v>26.0</v>
      </c>
      <c r="B126" s="80" t="s">
        <v>1318</v>
      </c>
      <c r="C126" s="35" t="s">
        <v>1319</v>
      </c>
      <c r="D126" s="33" t="s">
        <v>69</v>
      </c>
      <c r="E126" s="129" t="s">
        <v>203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33">
        <v>27.0</v>
      </c>
      <c r="B127" s="80" t="s">
        <v>1324</v>
      </c>
      <c r="C127" s="35" t="s">
        <v>1326</v>
      </c>
      <c r="D127" s="33" t="s">
        <v>92</v>
      </c>
      <c r="E127" s="129" t="s">
        <v>203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33">
        <v>28.0</v>
      </c>
      <c r="B128" s="80" t="s">
        <v>1327</v>
      </c>
      <c r="C128" s="35" t="s">
        <v>130</v>
      </c>
      <c r="D128" s="33" t="s">
        <v>92</v>
      </c>
      <c r="E128" s="129" t="s">
        <v>203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33">
        <v>29.0</v>
      </c>
      <c r="B129" s="80" t="s">
        <v>1330</v>
      </c>
      <c r="C129" s="35" t="s">
        <v>1332</v>
      </c>
      <c r="D129" s="33" t="s">
        <v>69</v>
      </c>
      <c r="E129" s="129" t="s">
        <v>203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33">
        <v>30.0</v>
      </c>
      <c r="B130" s="80" t="s">
        <v>1335</v>
      </c>
      <c r="C130" s="35" t="s">
        <v>1338</v>
      </c>
      <c r="D130" s="33" t="s">
        <v>69</v>
      </c>
      <c r="E130" s="129" t="s">
        <v>203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3">
        <v>31.0</v>
      </c>
      <c r="B131" s="80" t="s">
        <v>1340</v>
      </c>
      <c r="C131" s="35" t="s">
        <v>1343</v>
      </c>
      <c r="D131" s="33" t="s">
        <v>92</v>
      </c>
      <c r="E131" s="129" t="s">
        <v>203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33">
        <v>32.0</v>
      </c>
      <c r="B132" s="80" t="s">
        <v>1347</v>
      </c>
      <c r="C132" s="35" t="s">
        <v>1348</v>
      </c>
      <c r="D132" s="33" t="s">
        <v>69</v>
      </c>
      <c r="E132" s="129" t="s">
        <v>203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33">
        <v>33.0</v>
      </c>
      <c r="B133" s="80" t="s">
        <v>1350</v>
      </c>
      <c r="C133" s="35" t="s">
        <v>1352</v>
      </c>
      <c r="D133" s="33" t="s">
        <v>69</v>
      </c>
      <c r="E133" s="129" t="s">
        <v>203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33">
        <v>34.0</v>
      </c>
      <c r="B134" s="80" t="s">
        <v>1355</v>
      </c>
      <c r="C134" s="35" t="s">
        <v>1356</v>
      </c>
      <c r="D134" s="33" t="s">
        <v>69</v>
      </c>
      <c r="E134" s="129" t="s">
        <v>203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33">
        <v>35.0</v>
      </c>
      <c r="B135" s="80" t="s">
        <v>1360</v>
      </c>
      <c r="C135" s="35" t="s">
        <v>1361</v>
      </c>
      <c r="D135" s="33" t="s">
        <v>69</v>
      </c>
      <c r="E135" s="129" t="s">
        <v>203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35" t="s">
        <v>205</v>
      </c>
      <c r="D137" s="33" t="str">
        <f>COUNTIF(R[-36]C[0]:R[-2]C[0],"P")</f>
        <v>#ERROR!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35" t="s">
        <v>1015</v>
      </c>
      <c r="D138" s="33" t="str">
        <f>COUNTIF(R[-37]C[0]:R[-3]C[0],"L")</f>
        <v>#ERROR!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27" t="s">
        <v>20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27" t="s">
        <v>1379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27" t="s">
        <v>37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 t="s">
        <v>1382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7" t="s">
        <v>13</v>
      </c>
      <c r="B145" s="127" t="s">
        <v>630</v>
      </c>
      <c r="C145" s="127" t="s">
        <v>15</v>
      </c>
      <c r="D145" s="127" t="s">
        <v>631</v>
      </c>
      <c r="E145" s="129" t="s">
        <v>16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33">
        <v>1.0</v>
      </c>
      <c r="B146" s="35" t="s">
        <v>1385</v>
      </c>
      <c r="C146" s="35" t="s">
        <v>1386</v>
      </c>
      <c r="D146" s="33" t="s">
        <v>69</v>
      </c>
      <c r="E146" s="129" t="s">
        <v>211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33">
        <v>2.0</v>
      </c>
      <c r="B147" s="35" t="s">
        <v>1388</v>
      </c>
      <c r="C147" s="35" t="s">
        <v>1389</v>
      </c>
      <c r="D147" s="33" t="s">
        <v>69</v>
      </c>
      <c r="E147" s="129" t="s">
        <v>211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33">
        <v>3.0</v>
      </c>
      <c r="B148" s="35" t="s">
        <v>1390</v>
      </c>
      <c r="C148" s="35" t="s">
        <v>1391</v>
      </c>
      <c r="D148" s="33" t="s">
        <v>69</v>
      </c>
      <c r="E148" s="129" t="s">
        <v>211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33">
        <v>4.0</v>
      </c>
      <c r="B149" s="35" t="s">
        <v>1393</v>
      </c>
      <c r="C149" s="35" t="s">
        <v>1394</v>
      </c>
      <c r="D149" s="33" t="s">
        <v>69</v>
      </c>
      <c r="E149" s="129" t="s">
        <v>211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33">
        <v>5.0</v>
      </c>
      <c r="B150" s="35" t="s">
        <v>1395</v>
      </c>
      <c r="C150" s="35" t="s">
        <v>385</v>
      </c>
      <c r="D150" s="33" t="s">
        <v>92</v>
      </c>
      <c r="E150" s="129" t="s">
        <v>211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33">
        <v>6.0</v>
      </c>
      <c r="B151" s="35" t="s">
        <v>1397</v>
      </c>
      <c r="C151" s="35" t="s">
        <v>1399</v>
      </c>
      <c r="D151" s="33" t="s">
        <v>69</v>
      </c>
      <c r="E151" s="129" t="s">
        <v>211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33">
        <v>7.0</v>
      </c>
      <c r="B152" s="35" t="s">
        <v>1401</v>
      </c>
      <c r="C152" s="35" t="s">
        <v>1402</v>
      </c>
      <c r="D152" s="33" t="s">
        <v>69</v>
      </c>
      <c r="E152" s="129" t="s">
        <v>211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33">
        <v>8.0</v>
      </c>
      <c r="B153" s="35" t="s">
        <v>1404</v>
      </c>
      <c r="C153" s="35" t="s">
        <v>1405</v>
      </c>
      <c r="D153" s="33" t="s">
        <v>69</v>
      </c>
      <c r="E153" s="129" t="s">
        <v>211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33">
        <v>9.0</v>
      </c>
      <c r="B154" s="35" t="s">
        <v>1408</v>
      </c>
      <c r="C154" s="35" t="s">
        <v>1409</v>
      </c>
      <c r="D154" s="33" t="s">
        <v>69</v>
      </c>
      <c r="E154" s="129" t="s">
        <v>211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33">
        <v>10.0</v>
      </c>
      <c r="B155" s="35" t="s">
        <v>1410</v>
      </c>
      <c r="C155" s="35" t="s">
        <v>304</v>
      </c>
      <c r="D155" s="33" t="s">
        <v>69</v>
      </c>
      <c r="E155" s="129" t="s">
        <v>211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33">
        <v>11.0</v>
      </c>
      <c r="B156" s="35" t="s">
        <v>1415</v>
      </c>
      <c r="C156" s="35" t="s">
        <v>519</v>
      </c>
      <c r="D156" s="33" t="s">
        <v>69</v>
      </c>
      <c r="E156" s="129" t="s">
        <v>211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33">
        <v>12.0</v>
      </c>
      <c r="B157" s="35" t="s">
        <v>1418</v>
      </c>
      <c r="C157" s="35" t="s">
        <v>1419</v>
      </c>
      <c r="D157" s="33" t="s">
        <v>69</v>
      </c>
      <c r="E157" s="129" t="s">
        <v>211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33">
        <v>13.0</v>
      </c>
      <c r="B158" s="35" t="s">
        <v>1423</v>
      </c>
      <c r="C158" s="35" t="s">
        <v>1424</v>
      </c>
      <c r="D158" s="33" t="s">
        <v>69</v>
      </c>
      <c r="E158" s="129" t="s">
        <v>211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33">
        <v>14.0</v>
      </c>
      <c r="B159" s="35" t="s">
        <v>1426</v>
      </c>
      <c r="C159" s="35" t="s">
        <v>1428</v>
      </c>
      <c r="D159" s="33" t="s">
        <v>69</v>
      </c>
      <c r="E159" s="129" t="s">
        <v>211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3">
        <v>15.0</v>
      </c>
      <c r="B160" s="35" t="s">
        <v>1431</v>
      </c>
      <c r="C160" s="35" t="s">
        <v>1432</v>
      </c>
      <c r="D160" s="33" t="s">
        <v>69</v>
      </c>
      <c r="E160" s="129" t="s">
        <v>211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33">
        <v>16.0</v>
      </c>
      <c r="B161" s="35" t="s">
        <v>1436</v>
      </c>
      <c r="C161" s="35" t="s">
        <v>1437</v>
      </c>
      <c r="D161" s="33" t="s">
        <v>92</v>
      </c>
      <c r="E161" s="129" t="s">
        <v>211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33">
        <v>17.0</v>
      </c>
      <c r="B162" s="35" t="s">
        <v>1440</v>
      </c>
      <c r="C162" s="35" t="s">
        <v>1441</v>
      </c>
      <c r="D162" s="33" t="s">
        <v>69</v>
      </c>
      <c r="E162" s="129" t="s">
        <v>211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33">
        <v>18.0</v>
      </c>
      <c r="B163" s="35" t="s">
        <v>1446</v>
      </c>
      <c r="C163" s="35" t="s">
        <v>1447</v>
      </c>
      <c r="D163" s="33" t="s">
        <v>69</v>
      </c>
      <c r="E163" s="129" t="s">
        <v>211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33">
        <v>19.0</v>
      </c>
      <c r="B164" s="35" t="s">
        <v>1450</v>
      </c>
      <c r="C164" s="35" t="s">
        <v>1455</v>
      </c>
      <c r="D164" s="33" t="s">
        <v>69</v>
      </c>
      <c r="E164" s="129" t="s">
        <v>211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3">
        <v>20.0</v>
      </c>
      <c r="B165" s="35" t="s">
        <v>1458</v>
      </c>
      <c r="C165" s="35" t="s">
        <v>1459</v>
      </c>
      <c r="D165" s="33" t="s">
        <v>92</v>
      </c>
      <c r="E165" s="129" t="s">
        <v>211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33">
        <v>21.0</v>
      </c>
      <c r="B166" s="35" t="s">
        <v>1461</v>
      </c>
      <c r="C166" s="35" t="s">
        <v>413</v>
      </c>
      <c r="D166" s="33" t="s">
        <v>92</v>
      </c>
      <c r="E166" s="129" t="s">
        <v>211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33">
        <v>22.0</v>
      </c>
      <c r="B167" s="35" t="s">
        <v>1466</v>
      </c>
      <c r="C167" s="35" t="s">
        <v>1468</v>
      </c>
      <c r="D167" s="33" t="s">
        <v>92</v>
      </c>
      <c r="E167" s="129" t="s">
        <v>211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33">
        <v>23.0</v>
      </c>
      <c r="B168" s="35" t="s">
        <v>1470</v>
      </c>
      <c r="C168" s="35" t="s">
        <v>1472</v>
      </c>
      <c r="D168" s="33" t="s">
        <v>92</v>
      </c>
      <c r="E168" s="129" t="s">
        <v>211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33">
        <v>24.0</v>
      </c>
      <c r="B169" s="35" t="s">
        <v>1474</v>
      </c>
      <c r="C169" s="35" t="s">
        <v>505</v>
      </c>
      <c r="D169" s="33" t="s">
        <v>69</v>
      </c>
      <c r="E169" s="129" t="s">
        <v>211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33">
        <v>25.0</v>
      </c>
      <c r="B170" s="35" t="s">
        <v>1477</v>
      </c>
      <c r="C170" s="35" t="s">
        <v>549</v>
      </c>
      <c r="D170" s="33" t="s">
        <v>69</v>
      </c>
      <c r="E170" s="129" t="s">
        <v>211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33">
        <v>26.0</v>
      </c>
      <c r="B171" s="35" t="s">
        <v>1480</v>
      </c>
      <c r="C171" s="35" t="s">
        <v>1482</v>
      </c>
      <c r="D171" s="33" t="s">
        <v>69</v>
      </c>
      <c r="E171" s="129" t="s">
        <v>211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33">
        <v>27.0</v>
      </c>
      <c r="B172" s="35" t="s">
        <v>1484</v>
      </c>
      <c r="C172" s="35" t="s">
        <v>1486</v>
      </c>
      <c r="D172" s="33" t="s">
        <v>69</v>
      </c>
      <c r="E172" s="129" t="s">
        <v>211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33">
        <v>28.0</v>
      </c>
      <c r="B173" s="35" t="s">
        <v>1487</v>
      </c>
      <c r="C173" s="35" t="s">
        <v>1489</v>
      </c>
      <c r="D173" s="33" t="s">
        <v>92</v>
      </c>
      <c r="E173" s="129" t="s">
        <v>211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33">
        <v>29.0</v>
      </c>
      <c r="B174" s="35" t="s">
        <v>1491</v>
      </c>
      <c r="C174" s="35" t="s">
        <v>1492</v>
      </c>
      <c r="D174" s="33" t="s">
        <v>69</v>
      </c>
      <c r="E174" s="129" t="s">
        <v>211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3">
        <v>30.0</v>
      </c>
      <c r="B175" s="35" t="s">
        <v>1495</v>
      </c>
      <c r="C175" s="35" t="s">
        <v>1496</v>
      </c>
      <c r="D175" s="33" t="s">
        <v>69</v>
      </c>
      <c r="E175" s="129" t="s">
        <v>211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33">
        <v>31.0</v>
      </c>
      <c r="B176" s="35" t="s">
        <v>1499</v>
      </c>
      <c r="C176" s="35" t="s">
        <v>1500</v>
      </c>
      <c r="D176" s="33" t="s">
        <v>92</v>
      </c>
      <c r="E176" s="129" t="s">
        <v>211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33">
        <v>32.0</v>
      </c>
      <c r="B177" s="35" t="s">
        <v>1503</v>
      </c>
      <c r="C177" s="35" t="s">
        <v>1504</v>
      </c>
      <c r="D177" s="33" t="s">
        <v>69</v>
      </c>
      <c r="E177" s="129" t="s">
        <v>211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3">
        <v>33.0</v>
      </c>
      <c r="B178" s="35" t="s">
        <v>1507</v>
      </c>
      <c r="C178" s="35" t="s">
        <v>1508</v>
      </c>
      <c r="D178" s="33" t="s">
        <v>69</v>
      </c>
      <c r="E178" s="129" t="s">
        <v>211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33">
        <v>34.0</v>
      </c>
      <c r="B179" s="35" t="s">
        <v>1511</v>
      </c>
      <c r="C179" s="35" t="s">
        <v>1513</v>
      </c>
      <c r="D179" s="33" t="s">
        <v>69</v>
      </c>
      <c r="E179" s="129" t="s">
        <v>211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3">
        <v>35.0</v>
      </c>
      <c r="B180" s="35" t="s">
        <v>1516</v>
      </c>
      <c r="C180" s="35" t="s">
        <v>1517</v>
      </c>
      <c r="D180" s="33" t="s">
        <v>69</v>
      </c>
      <c r="E180" s="129" t="s">
        <v>211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35" t="s">
        <v>205</v>
      </c>
      <c r="D182" s="33" t="str">
        <f>COUNTIF(R[-36]C[0]:R[-2]C[0],"P")</f>
        <v>#ERROR!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35" t="s">
        <v>1015</v>
      </c>
      <c r="D183" s="33" t="str">
        <f>COUNTIF(R[-37]C[0]:R[-3]C[0],"L")</f>
        <v>#ERROR!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27" t="s">
        <v>20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27" t="s">
        <v>1530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7" t="s">
        <v>37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 t="s">
        <v>1541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7" t="s">
        <v>13</v>
      </c>
      <c r="B190" s="127" t="s">
        <v>630</v>
      </c>
      <c r="C190" s="127" t="s">
        <v>15</v>
      </c>
      <c r="D190" s="127" t="s">
        <v>631</v>
      </c>
      <c r="E190" s="129" t="s">
        <v>16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33">
        <v>1.0</v>
      </c>
      <c r="B191" s="35" t="s">
        <v>1553</v>
      </c>
      <c r="C191" s="35" t="s">
        <v>1554</v>
      </c>
      <c r="D191" s="33" t="s">
        <v>92</v>
      </c>
      <c r="E191" s="129" t="s">
        <v>412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33">
        <v>2.0</v>
      </c>
      <c r="B192" s="35" t="s">
        <v>1558</v>
      </c>
      <c r="C192" s="35" t="s">
        <v>1559</v>
      </c>
      <c r="D192" s="33" t="s">
        <v>69</v>
      </c>
      <c r="E192" s="129" t="s">
        <v>412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3">
        <v>3.0</v>
      </c>
      <c r="B193" s="35" t="s">
        <v>1564</v>
      </c>
      <c r="C193" s="35" t="s">
        <v>1566</v>
      </c>
      <c r="D193" s="33" t="s">
        <v>92</v>
      </c>
      <c r="E193" s="129" t="s">
        <v>412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3">
        <v>4.0</v>
      </c>
      <c r="B194" s="35" t="s">
        <v>1568</v>
      </c>
      <c r="C194" s="35" t="s">
        <v>1569</v>
      </c>
      <c r="D194" s="33" t="s">
        <v>92</v>
      </c>
      <c r="E194" s="129" t="s">
        <v>412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33">
        <v>5.0</v>
      </c>
      <c r="B195" s="35" t="s">
        <v>1574</v>
      </c>
      <c r="C195" s="35" t="s">
        <v>1575</v>
      </c>
      <c r="D195" s="33" t="s">
        <v>69</v>
      </c>
      <c r="E195" s="129" t="s">
        <v>412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33">
        <v>6.0</v>
      </c>
      <c r="B196" s="35" t="s">
        <v>1576</v>
      </c>
      <c r="C196" s="35" t="s">
        <v>1577</v>
      </c>
      <c r="D196" s="33" t="s">
        <v>69</v>
      </c>
      <c r="E196" s="129" t="s">
        <v>412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33">
        <v>7.0</v>
      </c>
      <c r="B197" s="35" t="s">
        <v>1582</v>
      </c>
      <c r="C197" s="35" t="s">
        <v>1583</v>
      </c>
      <c r="D197" s="33" t="s">
        <v>92</v>
      </c>
      <c r="E197" s="129" t="s">
        <v>412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33">
        <v>8.0</v>
      </c>
      <c r="B198" s="35" t="s">
        <v>1586</v>
      </c>
      <c r="C198" s="35" t="s">
        <v>1587</v>
      </c>
      <c r="D198" s="33" t="s">
        <v>69</v>
      </c>
      <c r="E198" s="129" t="s">
        <v>412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33">
        <v>9.0</v>
      </c>
      <c r="B199" s="35" t="s">
        <v>1592</v>
      </c>
      <c r="C199" s="35" t="s">
        <v>1593</v>
      </c>
      <c r="D199" s="33" t="s">
        <v>69</v>
      </c>
      <c r="E199" s="129" t="s">
        <v>412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33">
        <v>10.0</v>
      </c>
      <c r="B200" s="35" t="s">
        <v>1596</v>
      </c>
      <c r="C200" s="35" t="s">
        <v>1598</v>
      </c>
      <c r="D200" s="33" t="s">
        <v>69</v>
      </c>
      <c r="E200" s="129" t="s">
        <v>412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33">
        <v>11.0</v>
      </c>
      <c r="B201" s="35" t="s">
        <v>1602</v>
      </c>
      <c r="C201" s="35" t="s">
        <v>1603</v>
      </c>
      <c r="D201" s="33" t="s">
        <v>69</v>
      </c>
      <c r="E201" s="129" t="s">
        <v>412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33">
        <v>12.0</v>
      </c>
      <c r="B202" s="35" t="s">
        <v>1607</v>
      </c>
      <c r="C202" s="35" t="s">
        <v>1608</v>
      </c>
      <c r="D202" s="33" t="s">
        <v>69</v>
      </c>
      <c r="E202" s="129" t="s">
        <v>412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33">
        <v>13.0</v>
      </c>
      <c r="B203" s="35" t="s">
        <v>1610</v>
      </c>
      <c r="C203" s="35" t="s">
        <v>341</v>
      </c>
      <c r="D203" s="33" t="s">
        <v>69</v>
      </c>
      <c r="E203" s="129" t="s">
        <v>412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33">
        <v>14.0</v>
      </c>
      <c r="B204" s="35" t="s">
        <v>1611</v>
      </c>
      <c r="C204" s="35" t="s">
        <v>1612</v>
      </c>
      <c r="D204" s="33" t="s">
        <v>69</v>
      </c>
      <c r="E204" s="129" t="s">
        <v>412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33">
        <v>15.0</v>
      </c>
      <c r="B205" s="35" t="s">
        <v>1614</v>
      </c>
      <c r="C205" s="35" t="s">
        <v>1615</v>
      </c>
      <c r="D205" s="33" t="s">
        <v>69</v>
      </c>
      <c r="E205" s="129" t="s">
        <v>412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33">
        <v>16.0</v>
      </c>
      <c r="B206" s="35" t="s">
        <v>1617</v>
      </c>
      <c r="C206" s="35" t="s">
        <v>1618</v>
      </c>
      <c r="D206" s="33" t="s">
        <v>92</v>
      </c>
      <c r="E206" s="129" t="s">
        <v>412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33">
        <v>17.0</v>
      </c>
      <c r="B207" s="35" t="s">
        <v>1620</v>
      </c>
      <c r="C207" s="35" t="s">
        <v>1621</v>
      </c>
      <c r="D207" s="33" t="s">
        <v>92</v>
      </c>
      <c r="E207" s="129" t="s">
        <v>412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33">
        <v>18.0</v>
      </c>
      <c r="B208" s="35" t="s">
        <v>1623</v>
      </c>
      <c r="C208" s="35" t="s">
        <v>1624</v>
      </c>
      <c r="D208" s="33" t="s">
        <v>92</v>
      </c>
      <c r="E208" s="129" t="s">
        <v>412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33">
        <v>19.0</v>
      </c>
      <c r="B209" s="35" t="s">
        <v>1627</v>
      </c>
      <c r="C209" s="35" t="s">
        <v>1628</v>
      </c>
      <c r="D209" s="33" t="s">
        <v>69</v>
      </c>
      <c r="E209" s="129" t="s">
        <v>412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33">
        <v>20.0</v>
      </c>
      <c r="B210" s="35" t="s">
        <v>1630</v>
      </c>
      <c r="C210" s="35" t="s">
        <v>1631</v>
      </c>
      <c r="D210" s="33" t="s">
        <v>69</v>
      </c>
      <c r="E210" s="129" t="s">
        <v>412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33">
        <v>21.0</v>
      </c>
      <c r="B211" s="35" t="s">
        <v>1633</v>
      </c>
      <c r="C211" s="35" t="s">
        <v>1635</v>
      </c>
      <c r="D211" s="33" t="s">
        <v>69</v>
      </c>
      <c r="E211" s="129" t="s">
        <v>412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33">
        <v>22.0</v>
      </c>
      <c r="B212" s="35" t="s">
        <v>1637</v>
      </c>
      <c r="C212" s="35" t="s">
        <v>1638</v>
      </c>
      <c r="D212" s="33" t="s">
        <v>69</v>
      </c>
      <c r="E212" s="129" t="s">
        <v>412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3">
        <v>23.0</v>
      </c>
      <c r="B213" s="35" t="s">
        <v>1640</v>
      </c>
      <c r="C213" s="35" t="s">
        <v>1642</v>
      </c>
      <c r="D213" s="33" t="s">
        <v>69</v>
      </c>
      <c r="E213" s="129" t="s">
        <v>412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33">
        <v>24.0</v>
      </c>
      <c r="B214" s="35" t="s">
        <v>1646</v>
      </c>
      <c r="C214" s="35" t="s">
        <v>1647</v>
      </c>
      <c r="D214" s="33" t="s">
        <v>69</v>
      </c>
      <c r="E214" s="129" t="s">
        <v>412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33">
        <v>25.0</v>
      </c>
      <c r="B215" s="35" t="s">
        <v>1649</v>
      </c>
      <c r="C215" s="35" t="s">
        <v>1651</v>
      </c>
      <c r="D215" s="33" t="s">
        <v>69</v>
      </c>
      <c r="E215" s="129" t="s">
        <v>412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33">
        <v>26.0</v>
      </c>
      <c r="B216" s="35" t="s">
        <v>1654</v>
      </c>
      <c r="C216" s="35" t="s">
        <v>1655</v>
      </c>
      <c r="D216" s="33" t="s">
        <v>69</v>
      </c>
      <c r="E216" s="129" t="s">
        <v>412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33">
        <v>27.0</v>
      </c>
      <c r="B217" s="35" t="s">
        <v>1657</v>
      </c>
      <c r="C217" s="35" t="s">
        <v>1658</v>
      </c>
      <c r="D217" s="33" t="s">
        <v>69</v>
      </c>
      <c r="E217" s="129" t="s">
        <v>412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33">
        <v>28.0</v>
      </c>
      <c r="B218" s="35" t="s">
        <v>1662</v>
      </c>
      <c r="C218" s="35" t="s">
        <v>1663</v>
      </c>
      <c r="D218" s="33" t="s">
        <v>69</v>
      </c>
      <c r="E218" s="129" t="s">
        <v>412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33">
        <v>29.0</v>
      </c>
      <c r="B219" s="35" t="s">
        <v>1664</v>
      </c>
      <c r="C219" s="35" t="s">
        <v>1665</v>
      </c>
      <c r="D219" s="33" t="s">
        <v>92</v>
      </c>
      <c r="E219" s="129" t="s">
        <v>412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33">
        <v>30.0</v>
      </c>
      <c r="B220" s="35" t="s">
        <v>1670</v>
      </c>
      <c r="C220" s="35" t="s">
        <v>1671</v>
      </c>
      <c r="D220" s="33" t="s">
        <v>69</v>
      </c>
      <c r="E220" s="129" t="s">
        <v>412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33">
        <v>31.0</v>
      </c>
      <c r="B221" s="35" t="s">
        <v>1675</v>
      </c>
      <c r="C221" s="35" t="s">
        <v>1677</v>
      </c>
      <c r="D221" s="33" t="s">
        <v>69</v>
      </c>
      <c r="E221" s="129" t="s">
        <v>412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33">
        <v>32.0</v>
      </c>
      <c r="B222" s="35" t="s">
        <v>1680</v>
      </c>
      <c r="C222" s="35" t="s">
        <v>1681</v>
      </c>
      <c r="D222" s="33" t="s">
        <v>69</v>
      </c>
      <c r="E222" s="129" t="s">
        <v>412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33">
        <v>33.0</v>
      </c>
      <c r="B223" s="35" t="s">
        <v>1685</v>
      </c>
      <c r="C223" s="35" t="s">
        <v>481</v>
      </c>
      <c r="D223" s="33" t="s">
        <v>69</v>
      </c>
      <c r="E223" s="129" t="s">
        <v>412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33">
        <v>34.0</v>
      </c>
      <c r="B224" s="35" t="s">
        <v>1691</v>
      </c>
      <c r="C224" s="35" t="s">
        <v>1693</v>
      </c>
      <c r="D224" s="33" t="s">
        <v>69</v>
      </c>
      <c r="E224" s="129" t="s">
        <v>412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33">
        <v>35.0</v>
      </c>
      <c r="B225" s="35" t="s">
        <v>1695</v>
      </c>
      <c r="C225" s="35" t="s">
        <v>1697</v>
      </c>
      <c r="D225" s="33" t="s">
        <v>92</v>
      </c>
      <c r="E225" s="129" t="s">
        <v>412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33">
        <v>36.0</v>
      </c>
      <c r="B226" s="35" t="s">
        <v>1700</v>
      </c>
      <c r="C226" s="35" t="s">
        <v>1702</v>
      </c>
      <c r="D226" s="33" t="s">
        <v>69</v>
      </c>
      <c r="E226" s="129" t="s">
        <v>412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35" t="s">
        <v>205</v>
      </c>
      <c r="D228" s="33" t="str">
        <f>COUNTIF(R[-37]C[0]:R[-2]C[0],"P")</f>
        <v>#ERROR!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35" t="s">
        <v>1015</v>
      </c>
      <c r="D229" s="33" t="str">
        <f>COUNTIF(R[-38]C[0]:R[-3]C[0],"L")</f>
        <v>#ERROR!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7" t="s">
        <v>20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7" t="s">
        <v>1732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7" t="s">
        <v>37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 t="s">
        <v>1737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7" t="s">
        <v>13</v>
      </c>
      <c r="B236" s="127" t="s">
        <v>630</v>
      </c>
      <c r="C236" s="127" t="s">
        <v>15</v>
      </c>
      <c r="D236" s="127" t="s">
        <v>631</v>
      </c>
      <c r="E236" s="129" t="s">
        <v>16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33">
        <v>1.0</v>
      </c>
      <c r="B237" s="35" t="s">
        <v>1747</v>
      </c>
      <c r="C237" s="35" t="s">
        <v>466</v>
      </c>
      <c r="D237" s="33" t="s">
        <v>69</v>
      </c>
      <c r="E237" s="129" t="s">
        <v>199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33">
        <v>2.0</v>
      </c>
      <c r="B238" s="35" t="s">
        <v>1754</v>
      </c>
      <c r="C238" s="35" t="s">
        <v>516</v>
      </c>
      <c r="D238" s="33" t="s">
        <v>69</v>
      </c>
      <c r="E238" s="129" t="s">
        <v>199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33">
        <v>3.0</v>
      </c>
      <c r="B239" s="35" t="s">
        <v>1764</v>
      </c>
      <c r="C239" s="35" t="s">
        <v>1767</v>
      </c>
      <c r="D239" s="33" t="s">
        <v>69</v>
      </c>
      <c r="E239" s="129" t="s">
        <v>199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33">
        <v>4.0</v>
      </c>
      <c r="B240" s="35" t="s">
        <v>1776</v>
      </c>
      <c r="C240" s="35" t="s">
        <v>1777</v>
      </c>
      <c r="D240" s="33" t="s">
        <v>92</v>
      </c>
      <c r="E240" s="129" t="s">
        <v>199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33">
        <v>5.0</v>
      </c>
      <c r="B241" s="35" t="s">
        <v>1784</v>
      </c>
      <c r="C241" s="35" t="s">
        <v>1786</v>
      </c>
      <c r="D241" s="33" t="s">
        <v>69</v>
      </c>
      <c r="E241" s="129" t="s">
        <v>199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33">
        <v>6.0</v>
      </c>
      <c r="B242" s="35" t="s">
        <v>1792</v>
      </c>
      <c r="C242" s="35" t="s">
        <v>472</v>
      </c>
      <c r="D242" s="33" t="s">
        <v>69</v>
      </c>
      <c r="E242" s="129" t="s">
        <v>199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3">
        <v>7.0</v>
      </c>
      <c r="B243" s="35" t="s">
        <v>1798</v>
      </c>
      <c r="C243" s="35" t="s">
        <v>1799</v>
      </c>
      <c r="D243" s="33" t="s">
        <v>69</v>
      </c>
      <c r="E243" s="129" t="s">
        <v>199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33">
        <v>8.0</v>
      </c>
      <c r="B244" s="35" t="s">
        <v>1804</v>
      </c>
      <c r="C244" s="35" t="s">
        <v>1805</v>
      </c>
      <c r="D244" s="33" t="s">
        <v>69</v>
      </c>
      <c r="E244" s="129" t="s">
        <v>199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33">
        <v>9.0</v>
      </c>
      <c r="B245" s="35" t="s">
        <v>1810</v>
      </c>
      <c r="C245" s="35" t="s">
        <v>1811</v>
      </c>
      <c r="D245" s="33" t="s">
        <v>69</v>
      </c>
      <c r="E245" s="129" t="s">
        <v>199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33">
        <v>10.0</v>
      </c>
      <c r="B246" s="35" t="s">
        <v>1816</v>
      </c>
      <c r="C246" s="35" t="s">
        <v>1818</v>
      </c>
      <c r="D246" s="33" t="s">
        <v>92</v>
      </c>
      <c r="E246" s="129" t="s">
        <v>199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33">
        <v>11.0</v>
      </c>
      <c r="B247" s="35" t="s">
        <v>1824</v>
      </c>
      <c r="C247" s="35" t="s">
        <v>1825</v>
      </c>
      <c r="D247" s="33" t="s">
        <v>92</v>
      </c>
      <c r="E247" s="129" t="s">
        <v>199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3">
        <v>12.0</v>
      </c>
      <c r="B248" s="35" t="s">
        <v>1832</v>
      </c>
      <c r="C248" s="35" t="s">
        <v>1833</v>
      </c>
      <c r="D248" s="33" t="s">
        <v>69</v>
      </c>
      <c r="E248" s="129" t="s">
        <v>199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33">
        <v>13.0</v>
      </c>
      <c r="B249" s="35" t="s">
        <v>1836</v>
      </c>
      <c r="C249" s="35" t="s">
        <v>1838</v>
      </c>
      <c r="D249" s="33" t="s">
        <v>92</v>
      </c>
      <c r="E249" s="129" t="s">
        <v>199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33">
        <v>14.0</v>
      </c>
      <c r="B250" s="35" t="s">
        <v>1842</v>
      </c>
      <c r="C250" s="35" t="s">
        <v>1843</v>
      </c>
      <c r="D250" s="33" t="s">
        <v>92</v>
      </c>
      <c r="E250" s="129" t="s">
        <v>199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33">
        <v>15.0</v>
      </c>
      <c r="B251" s="35" t="s">
        <v>1846</v>
      </c>
      <c r="C251" s="35" t="s">
        <v>1847</v>
      </c>
      <c r="D251" s="33" t="s">
        <v>69</v>
      </c>
      <c r="E251" s="129" t="s">
        <v>199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33">
        <v>16.0</v>
      </c>
      <c r="B252" s="35" t="s">
        <v>1850</v>
      </c>
      <c r="C252" s="35" t="s">
        <v>1851</v>
      </c>
      <c r="D252" s="33" t="s">
        <v>69</v>
      </c>
      <c r="E252" s="129" t="s">
        <v>199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33">
        <v>17.0</v>
      </c>
      <c r="B253" s="35" t="s">
        <v>1855</v>
      </c>
      <c r="C253" s="35" t="s">
        <v>1856</v>
      </c>
      <c r="D253" s="33" t="s">
        <v>69</v>
      </c>
      <c r="E253" s="129" t="s">
        <v>199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33">
        <v>18.0</v>
      </c>
      <c r="B254" s="35" t="s">
        <v>1860</v>
      </c>
      <c r="C254" s="35" t="s">
        <v>1861</v>
      </c>
      <c r="D254" s="33" t="s">
        <v>69</v>
      </c>
      <c r="E254" s="129" t="s">
        <v>199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33">
        <v>19.0</v>
      </c>
      <c r="B255" s="35" t="s">
        <v>1863</v>
      </c>
      <c r="C255" s="35" t="s">
        <v>1865</v>
      </c>
      <c r="D255" s="33" t="s">
        <v>92</v>
      </c>
      <c r="E255" s="129" t="s">
        <v>199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33">
        <v>20.0</v>
      </c>
      <c r="B256" s="35" t="s">
        <v>1868</v>
      </c>
      <c r="C256" s="35" t="s">
        <v>1869</v>
      </c>
      <c r="D256" s="33" t="s">
        <v>92</v>
      </c>
      <c r="E256" s="129" t="s">
        <v>199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33">
        <v>21.0</v>
      </c>
      <c r="B257" s="35" t="s">
        <v>1873</v>
      </c>
      <c r="C257" s="35" t="s">
        <v>1875</v>
      </c>
      <c r="D257" s="33" t="s">
        <v>92</v>
      </c>
      <c r="E257" s="129" t="s">
        <v>199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3">
        <v>22.0</v>
      </c>
      <c r="B258" s="35" t="s">
        <v>1879</v>
      </c>
      <c r="C258" s="35" t="s">
        <v>1880</v>
      </c>
      <c r="D258" s="33" t="s">
        <v>92</v>
      </c>
      <c r="E258" s="129" t="s">
        <v>199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33">
        <v>23.0</v>
      </c>
      <c r="B259" s="35" t="s">
        <v>1883</v>
      </c>
      <c r="C259" s="35" t="s">
        <v>553</v>
      </c>
      <c r="D259" s="33" t="s">
        <v>69</v>
      </c>
      <c r="E259" s="129" t="s">
        <v>199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33">
        <v>24.0</v>
      </c>
      <c r="B260" s="35" t="s">
        <v>1886</v>
      </c>
      <c r="C260" s="35" t="s">
        <v>1887</v>
      </c>
      <c r="D260" s="33" t="s">
        <v>69</v>
      </c>
      <c r="E260" s="129" t="s">
        <v>199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33">
        <v>25.0</v>
      </c>
      <c r="B261" s="35" t="s">
        <v>1890</v>
      </c>
      <c r="C261" s="35" t="s">
        <v>1892</v>
      </c>
      <c r="D261" s="33" t="s">
        <v>69</v>
      </c>
      <c r="E261" s="129" t="s">
        <v>199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33">
        <v>26.0</v>
      </c>
      <c r="B262" s="35" t="s">
        <v>1895</v>
      </c>
      <c r="C262" s="35" t="s">
        <v>1896</v>
      </c>
      <c r="D262" s="33" t="s">
        <v>69</v>
      </c>
      <c r="E262" s="129" t="s">
        <v>199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33">
        <v>27.0</v>
      </c>
      <c r="B263" s="35" t="s">
        <v>1899</v>
      </c>
      <c r="C263" s="35" t="s">
        <v>1900</v>
      </c>
      <c r="D263" s="33" t="s">
        <v>92</v>
      </c>
      <c r="E263" s="129" t="s">
        <v>199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33">
        <v>28.0</v>
      </c>
      <c r="B264" s="35" t="s">
        <v>1903</v>
      </c>
      <c r="C264" s="35" t="s">
        <v>358</v>
      </c>
      <c r="D264" s="33" t="s">
        <v>92</v>
      </c>
      <c r="E264" s="129" t="s">
        <v>199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33">
        <v>29.0</v>
      </c>
      <c r="B265" s="35" t="s">
        <v>1904</v>
      </c>
      <c r="C265" s="35" t="s">
        <v>1905</v>
      </c>
      <c r="D265" s="33" t="s">
        <v>92</v>
      </c>
      <c r="E265" s="129" t="s">
        <v>199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33">
        <v>30.0</v>
      </c>
      <c r="B266" s="35" t="s">
        <v>1908</v>
      </c>
      <c r="C266" s="35" t="s">
        <v>1909</v>
      </c>
      <c r="D266" s="33" t="s">
        <v>69</v>
      </c>
      <c r="E266" s="129" t="s">
        <v>199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33">
        <v>31.0</v>
      </c>
      <c r="B267" s="35" t="s">
        <v>1910</v>
      </c>
      <c r="C267" s="35" t="s">
        <v>1911</v>
      </c>
      <c r="D267" s="33" t="s">
        <v>69</v>
      </c>
      <c r="E267" s="129" t="s">
        <v>199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33">
        <v>32.0</v>
      </c>
      <c r="B268" s="35" t="s">
        <v>1912</v>
      </c>
      <c r="C268" s="35" t="s">
        <v>1913</v>
      </c>
      <c r="D268" s="33" t="s">
        <v>69</v>
      </c>
      <c r="E268" s="129" t="s">
        <v>199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33">
        <v>33.0</v>
      </c>
      <c r="B269" s="35" t="s">
        <v>1916</v>
      </c>
      <c r="C269" s="35" t="s">
        <v>1917</v>
      </c>
      <c r="D269" s="33" t="s">
        <v>69</v>
      </c>
      <c r="E269" s="129" t="s">
        <v>199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33">
        <v>34.0</v>
      </c>
      <c r="B270" s="35" t="s">
        <v>1919</v>
      </c>
      <c r="C270" s="35" t="s">
        <v>1920</v>
      </c>
      <c r="D270" s="33" t="s">
        <v>92</v>
      </c>
      <c r="E270" s="129" t="s">
        <v>199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33">
        <v>35.0</v>
      </c>
      <c r="B271" s="35" t="s">
        <v>1923</v>
      </c>
      <c r="C271" s="35" t="s">
        <v>1924</v>
      </c>
      <c r="D271" s="33" t="s">
        <v>69</v>
      </c>
      <c r="E271" s="129" t="s">
        <v>199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33">
        <v>36.0</v>
      </c>
      <c r="B272" s="35" t="s">
        <v>1925</v>
      </c>
      <c r="C272" s="35" t="s">
        <v>334</v>
      </c>
      <c r="D272" s="33" t="s">
        <v>69</v>
      </c>
      <c r="E272" s="129" t="s">
        <v>199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35" t="s">
        <v>205</v>
      </c>
      <c r="D274" s="33" t="str">
        <f>COUNTIF(R[-37]C[0]:R[-2]C[0],"P")</f>
        <v>#ERROR!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35" t="s">
        <v>1015</v>
      </c>
      <c r="D275" s="33" t="str">
        <f>COUNTIF(R[-38]C[0]:R[-3]C[0],"L")</f>
        <v>#ERROR!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7" t="s">
        <v>20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27" t="s">
        <v>1944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27" t="s">
        <v>37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 t="s">
        <v>1949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7" t="s">
        <v>13</v>
      </c>
      <c r="B282" s="127" t="s">
        <v>630</v>
      </c>
      <c r="C282" s="127" t="s">
        <v>15</v>
      </c>
      <c r="D282" s="127" t="s">
        <v>631</v>
      </c>
      <c r="E282" s="129" t="s">
        <v>16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33">
        <v>1.0</v>
      </c>
      <c r="B283" s="35" t="s">
        <v>1954</v>
      </c>
      <c r="C283" s="35" t="s">
        <v>1956</v>
      </c>
      <c r="D283" s="33" t="s">
        <v>92</v>
      </c>
      <c r="E283" s="129" t="s">
        <v>342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33">
        <v>2.0</v>
      </c>
      <c r="B284" s="35" t="s">
        <v>1957</v>
      </c>
      <c r="C284" s="35" t="s">
        <v>1959</v>
      </c>
      <c r="D284" s="33" t="s">
        <v>92</v>
      </c>
      <c r="E284" s="129" t="s">
        <v>342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33">
        <v>3.0</v>
      </c>
      <c r="B285" s="35" t="s">
        <v>1961</v>
      </c>
      <c r="C285" s="35" t="s">
        <v>1963</v>
      </c>
      <c r="D285" s="33" t="s">
        <v>69</v>
      </c>
      <c r="E285" s="129" t="s">
        <v>342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33">
        <v>4.0</v>
      </c>
      <c r="B286" s="35" t="s">
        <v>1967</v>
      </c>
      <c r="C286" s="35" t="s">
        <v>546</v>
      </c>
      <c r="D286" s="33" t="s">
        <v>69</v>
      </c>
      <c r="E286" s="129" t="s">
        <v>342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33">
        <v>5.0</v>
      </c>
      <c r="B287" s="35" t="s">
        <v>1969</v>
      </c>
      <c r="C287" s="35" t="s">
        <v>1970</v>
      </c>
      <c r="D287" s="33" t="s">
        <v>92</v>
      </c>
      <c r="E287" s="129" t="s">
        <v>342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33">
        <v>6.0</v>
      </c>
      <c r="B288" s="35" t="s">
        <v>1975</v>
      </c>
      <c r="C288" s="35" t="s">
        <v>462</v>
      </c>
      <c r="D288" s="33" t="s">
        <v>69</v>
      </c>
      <c r="E288" s="129" t="s">
        <v>342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3">
        <v>7.0</v>
      </c>
      <c r="B289" s="35" t="s">
        <v>1978</v>
      </c>
      <c r="C289" s="35" t="s">
        <v>1979</v>
      </c>
      <c r="D289" s="33" t="s">
        <v>69</v>
      </c>
      <c r="E289" s="129" t="s">
        <v>342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33">
        <v>8.0</v>
      </c>
      <c r="B290" s="35" t="s">
        <v>1982</v>
      </c>
      <c r="C290" s="35" t="s">
        <v>1984</v>
      </c>
      <c r="D290" s="33" t="s">
        <v>69</v>
      </c>
      <c r="E290" s="129" t="s">
        <v>342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33">
        <v>9.0</v>
      </c>
      <c r="B291" s="35" t="s">
        <v>1987</v>
      </c>
      <c r="C291" s="35" t="s">
        <v>1990</v>
      </c>
      <c r="D291" s="33" t="s">
        <v>69</v>
      </c>
      <c r="E291" s="129" t="s">
        <v>342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33">
        <v>10.0</v>
      </c>
      <c r="B292" s="35" t="s">
        <v>1992</v>
      </c>
      <c r="C292" s="35" t="s">
        <v>1994</v>
      </c>
      <c r="D292" s="33" t="s">
        <v>69</v>
      </c>
      <c r="E292" s="129" t="s">
        <v>342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33">
        <v>11.0</v>
      </c>
      <c r="B293" s="35" t="s">
        <v>2000</v>
      </c>
      <c r="C293" s="35" t="s">
        <v>2001</v>
      </c>
      <c r="D293" s="33" t="s">
        <v>69</v>
      </c>
      <c r="E293" s="129" t="s">
        <v>342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33">
        <v>12.0</v>
      </c>
      <c r="B294" s="35" t="s">
        <v>2005</v>
      </c>
      <c r="C294" s="35" t="s">
        <v>2007</v>
      </c>
      <c r="D294" s="33" t="s">
        <v>69</v>
      </c>
      <c r="E294" s="129" t="s">
        <v>342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33">
        <v>13.0</v>
      </c>
      <c r="B295" s="35" t="s">
        <v>2009</v>
      </c>
      <c r="C295" s="35" t="s">
        <v>2010</v>
      </c>
      <c r="D295" s="33" t="s">
        <v>92</v>
      </c>
      <c r="E295" s="129" t="s">
        <v>342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33">
        <v>14.0</v>
      </c>
      <c r="B296" s="35" t="s">
        <v>2017</v>
      </c>
      <c r="C296" s="35" t="s">
        <v>2018</v>
      </c>
      <c r="D296" s="33" t="s">
        <v>92</v>
      </c>
      <c r="E296" s="129" t="s">
        <v>342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33">
        <v>15.0</v>
      </c>
      <c r="B297" s="35" t="s">
        <v>2023</v>
      </c>
      <c r="C297" s="35" t="s">
        <v>558</v>
      </c>
      <c r="D297" s="33" t="s">
        <v>69</v>
      </c>
      <c r="E297" s="129" t="s">
        <v>342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33">
        <v>16.0</v>
      </c>
      <c r="B298" s="35" t="s">
        <v>2027</v>
      </c>
      <c r="C298" s="35" t="s">
        <v>2029</v>
      </c>
      <c r="D298" s="33" t="s">
        <v>92</v>
      </c>
      <c r="E298" s="129" t="s">
        <v>342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33">
        <v>17.0</v>
      </c>
      <c r="B299" s="35" t="s">
        <v>2032</v>
      </c>
      <c r="C299" s="35" t="s">
        <v>2034</v>
      </c>
      <c r="D299" s="33" t="s">
        <v>69</v>
      </c>
      <c r="E299" s="129" t="s">
        <v>342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33">
        <v>18.0</v>
      </c>
      <c r="B300" s="35" t="s">
        <v>2038</v>
      </c>
      <c r="C300" s="35" t="s">
        <v>2040</v>
      </c>
      <c r="D300" s="33" t="s">
        <v>69</v>
      </c>
      <c r="E300" s="129" t="s">
        <v>342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33">
        <v>19.0</v>
      </c>
      <c r="B301" s="35" t="s">
        <v>2043</v>
      </c>
      <c r="C301" s="35" t="s">
        <v>2045</v>
      </c>
      <c r="D301" s="33" t="s">
        <v>92</v>
      </c>
      <c r="E301" s="129" t="s">
        <v>342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33">
        <v>20.0</v>
      </c>
      <c r="B302" s="35" t="s">
        <v>2049</v>
      </c>
      <c r="C302" s="35" t="s">
        <v>2050</v>
      </c>
      <c r="D302" s="33" t="s">
        <v>92</v>
      </c>
      <c r="E302" s="129" t="s">
        <v>342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33">
        <v>21.0</v>
      </c>
      <c r="B303" s="35" t="s">
        <v>2053</v>
      </c>
      <c r="C303" s="35" t="s">
        <v>2054</v>
      </c>
      <c r="D303" s="33" t="s">
        <v>92</v>
      </c>
      <c r="E303" s="129" t="s">
        <v>342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33">
        <v>22.0</v>
      </c>
      <c r="B304" s="35" t="s">
        <v>2057</v>
      </c>
      <c r="C304" s="35" t="s">
        <v>2058</v>
      </c>
      <c r="D304" s="33" t="s">
        <v>92</v>
      </c>
      <c r="E304" s="129" t="s">
        <v>342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33">
        <v>23.0</v>
      </c>
      <c r="B305" s="35" t="s">
        <v>2062</v>
      </c>
      <c r="C305" s="35" t="s">
        <v>2064</v>
      </c>
      <c r="D305" s="33" t="s">
        <v>92</v>
      </c>
      <c r="E305" s="129" t="s">
        <v>342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33">
        <v>24.0</v>
      </c>
      <c r="B306" s="35" t="s">
        <v>2067</v>
      </c>
      <c r="C306" s="35" t="s">
        <v>2069</v>
      </c>
      <c r="D306" s="33" t="s">
        <v>69</v>
      </c>
      <c r="E306" s="129" t="s">
        <v>342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33">
        <v>25.0</v>
      </c>
      <c r="B307" s="35" t="s">
        <v>2072</v>
      </c>
      <c r="C307" s="35" t="s">
        <v>2073</v>
      </c>
      <c r="D307" s="33" t="s">
        <v>69</v>
      </c>
      <c r="E307" s="129" t="s">
        <v>342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33">
        <v>26.0</v>
      </c>
      <c r="B308" s="35" t="s">
        <v>2076</v>
      </c>
      <c r="C308" s="35" t="s">
        <v>2077</v>
      </c>
      <c r="D308" s="33" t="s">
        <v>69</v>
      </c>
      <c r="E308" s="129" t="s">
        <v>342</v>
      </c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33">
        <v>27.0</v>
      </c>
      <c r="B309" s="35" t="s">
        <v>2078</v>
      </c>
      <c r="C309" s="35" t="s">
        <v>2080</v>
      </c>
      <c r="D309" s="33" t="s">
        <v>69</v>
      </c>
      <c r="E309" s="129" t="s">
        <v>342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33">
        <v>28.0</v>
      </c>
      <c r="B310" s="35" t="s">
        <v>2082</v>
      </c>
      <c r="C310" s="35" t="s">
        <v>2083</v>
      </c>
      <c r="D310" s="33" t="s">
        <v>69</v>
      </c>
      <c r="E310" s="129" t="s">
        <v>342</v>
      </c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33">
        <v>29.0</v>
      </c>
      <c r="B311" s="35" t="s">
        <v>2086</v>
      </c>
      <c r="C311" s="35" t="s">
        <v>2087</v>
      </c>
      <c r="D311" s="33" t="s">
        <v>92</v>
      </c>
      <c r="E311" s="129" t="s">
        <v>342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33">
        <v>30.0</v>
      </c>
      <c r="B312" s="35" t="s">
        <v>2090</v>
      </c>
      <c r="C312" s="35" t="s">
        <v>393</v>
      </c>
      <c r="D312" s="33" t="s">
        <v>92</v>
      </c>
      <c r="E312" s="129" t="s">
        <v>342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33">
        <v>31.0</v>
      </c>
      <c r="B313" s="35" t="s">
        <v>2094</v>
      </c>
      <c r="C313" s="35" t="s">
        <v>2096</v>
      </c>
      <c r="D313" s="33" t="s">
        <v>69</v>
      </c>
      <c r="E313" s="129" t="s">
        <v>342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33">
        <v>32.0</v>
      </c>
      <c r="B314" s="35" t="s">
        <v>2098</v>
      </c>
      <c r="C314" s="35" t="s">
        <v>2100</v>
      </c>
      <c r="D314" s="33" t="s">
        <v>69</v>
      </c>
      <c r="E314" s="129" t="s">
        <v>342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33">
        <v>33.0</v>
      </c>
      <c r="B315" s="35" t="s">
        <v>2101</v>
      </c>
      <c r="C315" s="35" t="s">
        <v>2102</v>
      </c>
      <c r="D315" s="33" t="s">
        <v>69</v>
      </c>
      <c r="E315" s="129" t="s">
        <v>342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33">
        <v>34.0</v>
      </c>
      <c r="B316" s="35" t="s">
        <v>2105</v>
      </c>
      <c r="C316" s="35" t="s">
        <v>2106</v>
      </c>
      <c r="D316" s="33" t="s">
        <v>69</v>
      </c>
      <c r="E316" s="129" t="s">
        <v>342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33">
        <v>35.0</v>
      </c>
      <c r="B317" s="35" t="s">
        <v>2108</v>
      </c>
      <c r="C317" s="35" t="s">
        <v>2109</v>
      </c>
      <c r="D317" s="33" t="s">
        <v>69</v>
      </c>
      <c r="E317" s="129" t="s">
        <v>342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33">
        <v>36.0</v>
      </c>
      <c r="B318" s="35" t="s">
        <v>2112</v>
      </c>
      <c r="C318" s="35" t="s">
        <v>2113</v>
      </c>
      <c r="D318" s="33" t="s">
        <v>92</v>
      </c>
      <c r="E318" s="129" t="s">
        <v>342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35" t="s">
        <v>205</v>
      </c>
      <c r="D320" s="33" t="str">
        <f>COUNTIF(R[-37]C[0]:R[-2]C[0],"P")</f>
        <v>#ERROR!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35" t="s">
        <v>1015</v>
      </c>
      <c r="D321" s="33" t="str">
        <f>COUNTIF(R[-38]C[0]:R[-3]C[0],"L")</f>
        <v>#ERROR!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27" t="s">
        <v>20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27" t="s">
        <v>2124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27" t="s">
        <v>37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 t="s">
        <v>2126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7" t="s">
        <v>13</v>
      </c>
      <c r="B328" s="127" t="s">
        <v>630</v>
      </c>
      <c r="C328" s="127" t="s">
        <v>15</v>
      </c>
      <c r="D328" s="127" t="s">
        <v>631</v>
      </c>
      <c r="E328" s="129" t="s">
        <v>16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33">
        <v>1.0</v>
      </c>
      <c r="B329" s="33" t="s">
        <v>2129</v>
      </c>
      <c r="C329" s="35" t="s">
        <v>2130</v>
      </c>
      <c r="D329" s="33" t="s">
        <v>92</v>
      </c>
      <c r="E329" s="129" t="s">
        <v>184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33">
        <v>2.0</v>
      </c>
      <c r="B330" s="33" t="s">
        <v>2131</v>
      </c>
      <c r="C330" s="35" t="s">
        <v>2132</v>
      </c>
      <c r="D330" s="33" t="s">
        <v>69</v>
      </c>
      <c r="E330" s="129" t="s">
        <v>184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33">
        <v>3.0</v>
      </c>
      <c r="B331" s="33" t="s">
        <v>2133</v>
      </c>
      <c r="C331" s="35" t="s">
        <v>2134</v>
      </c>
      <c r="D331" s="33" t="s">
        <v>69</v>
      </c>
      <c r="E331" s="129" t="s">
        <v>184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33">
        <v>4.0</v>
      </c>
      <c r="B332" s="33" t="s">
        <v>2135</v>
      </c>
      <c r="C332" s="35" t="s">
        <v>2136</v>
      </c>
      <c r="D332" s="33" t="s">
        <v>92</v>
      </c>
      <c r="E332" s="129" t="s">
        <v>184</v>
      </c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33">
        <v>5.0</v>
      </c>
      <c r="B333" s="33" t="s">
        <v>2137</v>
      </c>
      <c r="C333" s="35" t="s">
        <v>2138</v>
      </c>
      <c r="D333" s="33" t="s">
        <v>69</v>
      </c>
      <c r="E333" s="129" t="s">
        <v>184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33">
        <v>6.0</v>
      </c>
      <c r="B334" s="33" t="s">
        <v>2139</v>
      </c>
      <c r="C334" s="35" t="s">
        <v>2140</v>
      </c>
      <c r="D334" s="33" t="s">
        <v>69</v>
      </c>
      <c r="E334" s="129" t="s">
        <v>184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33">
        <v>7.0</v>
      </c>
      <c r="B335" s="33" t="s">
        <v>2141</v>
      </c>
      <c r="C335" s="35" t="s">
        <v>2142</v>
      </c>
      <c r="D335" s="33" t="s">
        <v>69</v>
      </c>
      <c r="E335" s="129" t="s">
        <v>184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33">
        <v>8.0</v>
      </c>
      <c r="B336" s="33" t="s">
        <v>2143</v>
      </c>
      <c r="C336" s="35" t="s">
        <v>2144</v>
      </c>
      <c r="D336" s="33" t="s">
        <v>69</v>
      </c>
      <c r="E336" s="129" t="s">
        <v>184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33">
        <v>9.0</v>
      </c>
      <c r="B337" s="33" t="s">
        <v>2146</v>
      </c>
      <c r="C337" s="35" t="s">
        <v>2147</v>
      </c>
      <c r="D337" s="33" t="s">
        <v>69</v>
      </c>
      <c r="E337" s="129" t="s">
        <v>184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33">
        <v>10.0</v>
      </c>
      <c r="B338" s="33" t="s">
        <v>2148</v>
      </c>
      <c r="C338" s="35" t="s">
        <v>2150</v>
      </c>
      <c r="D338" s="33" t="s">
        <v>69</v>
      </c>
      <c r="E338" s="129" t="s">
        <v>184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33">
        <v>11.0</v>
      </c>
      <c r="B339" s="33" t="s">
        <v>2151</v>
      </c>
      <c r="C339" s="35" t="s">
        <v>2152</v>
      </c>
      <c r="D339" s="33" t="s">
        <v>92</v>
      </c>
      <c r="E339" s="129" t="s">
        <v>184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33">
        <v>12.0</v>
      </c>
      <c r="B340" s="33" t="s">
        <v>2153</v>
      </c>
      <c r="C340" s="35" t="s">
        <v>2156</v>
      </c>
      <c r="D340" s="33" t="s">
        <v>69</v>
      </c>
      <c r="E340" s="129" t="s">
        <v>184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33">
        <v>13.0</v>
      </c>
      <c r="B341" s="33" t="s">
        <v>2159</v>
      </c>
      <c r="C341" s="35" t="s">
        <v>540</v>
      </c>
      <c r="D341" s="33" t="s">
        <v>69</v>
      </c>
      <c r="E341" s="129" t="s">
        <v>184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33">
        <v>14.0</v>
      </c>
      <c r="B342" s="33" t="s">
        <v>2162</v>
      </c>
      <c r="C342" s="35" t="s">
        <v>2163</v>
      </c>
      <c r="D342" s="33" t="s">
        <v>69</v>
      </c>
      <c r="E342" s="129" t="s">
        <v>184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33">
        <v>15.0</v>
      </c>
      <c r="B343" s="33" t="s">
        <v>2166</v>
      </c>
      <c r="C343" s="35" t="s">
        <v>2167</v>
      </c>
      <c r="D343" s="33" t="s">
        <v>69</v>
      </c>
      <c r="E343" s="129" t="s">
        <v>184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33">
        <v>16.0</v>
      </c>
      <c r="B344" s="33" t="s">
        <v>2168</v>
      </c>
      <c r="C344" s="35" t="s">
        <v>2170</v>
      </c>
      <c r="D344" s="33" t="s">
        <v>69</v>
      </c>
      <c r="E344" s="129" t="s">
        <v>184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33">
        <v>17.0</v>
      </c>
      <c r="B345" s="33" t="s">
        <v>2172</v>
      </c>
      <c r="C345" s="35" t="s">
        <v>442</v>
      </c>
      <c r="D345" s="33" t="s">
        <v>92</v>
      </c>
      <c r="E345" s="129" t="s">
        <v>184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33">
        <v>18.0</v>
      </c>
      <c r="B346" s="33" t="s">
        <v>2174</v>
      </c>
      <c r="C346" s="35" t="s">
        <v>2175</v>
      </c>
      <c r="D346" s="33" t="s">
        <v>69</v>
      </c>
      <c r="E346" s="129" t="s">
        <v>184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33">
        <v>19.0</v>
      </c>
      <c r="B347" s="33" t="s">
        <v>2178</v>
      </c>
      <c r="C347" s="35" t="s">
        <v>2179</v>
      </c>
      <c r="D347" s="33" t="s">
        <v>69</v>
      </c>
      <c r="E347" s="129" t="s">
        <v>184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33">
        <v>20.0</v>
      </c>
      <c r="B348" s="33" t="s">
        <v>2182</v>
      </c>
      <c r="C348" s="35" t="s">
        <v>2183</v>
      </c>
      <c r="D348" s="33" t="s">
        <v>69</v>
      </c>
      <c r="E348" s="129" t="s">
        <v>184</v>
      </c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33">
        <v>21.0</v>
      </c>
      <c r="B349" s="33" t="s">
        <v>2186</v>
      </c>
      <c r="C349" s="35" t="s">
        <v>2187</v>
      </c>
      <c r="D349" s="33" t="s">
        <v>69</v>
      </c>
      <c r="E349" s="129" t="s">
        <v>184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33">
        <v>22.0</v>
      </c>
      <c r="B350" s="33" t="s">
        <v>2190</v>
      </c>
      <c r="C350" s="35" t="s">
        <v>2191</v>
      </c>
      <c r="D350" s="33" t="s">
        <v>92</v>
      </c>
      <c r="E350" s="129" t="s">
        <v>184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33">
        <v>23.0</v>
      </c>
      <c r="B351" s="33" t="s">
        <v>2194</v>
      </c>
      <c r="C351" s="35" t="s">
        <v>2195</v>
      </c>
      <c r="D351" s="33" t="s">
        <v>92</v>
      </c>
      <c r="E351" s="129" t="s">
        <v>184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33">
        <v>24.0</v>
      </c>
      <c r="B352" s="33" t="s">
        <v>2197</v>
      </c>
      <c r="C352" s="35" t="s">
        <v>2199</v>
      </c>
      <c r="D352" s="33" t="s">
        <v>92</v>
      </c>
      <c r="E352" s="129" t="s">
        <v>184</v>
      </c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33">
        <v>25.0</v>
      </c>
      <c r="B353" s="33" t="s">
        <v>2200</v>
      </c>
      <c r="C353" s="35" t="s">
        <v>2201</v>
      </c>
      <c r="D353" s="33" t="s">
        <v>92</v>
      </c>
      <c r="E353" s="129" t="s">
        <v>184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33">
        <v>26.0</v>
      </c>
      <c r="B354" s="33" t="s">
        <v>2204</v>
      </c>
      <c r="C354" s="35" t="s">
        <v>319</v>
      </c>
      <c r="D354" s="33" t="s">
        <v>92</v>
      </c>
      <c r="E354" s="129" t="s">
        <v>184</v>
      </c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33">
        <v>27.0</v>
      </c>
      <c r="B355" s="33" t="s">
        <v>2207</v>
      </c>
      <c r="C355" s="35" t="s">
        <v>2208</v>
      </c>
      <c r="D355" s="33" t="s">
        <v>92</v>
      </c>
      <c r="E355" s="129" t="s">
        <v>184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33">
        <v>28.0</v>
      </c>
      <c r="B356" s="33" t="s">
        <v>2211</v>
      </c>
      <c r="C356" s="35" t="s">
        <v>2212</v>
      </c>
      <c r="D356" s="33" t="s">
        <v>69</v>
      </c>
      <c r="E356" s="129" t="s">
        <v>184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33">
        <v>29.0</v>
      </c>
      <c r="B357" s="33" t="s">
        <v>2215</v>
      </c>
      <c r="C357" s="35" t="s">
        <v>2216</v>
      </c>
      <c r="D357" s="33" t="s">
        <v>69</v>
      </c>
      <c r="E357" s="129" t="s">
        <v>184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33">
        <v>30.0</v>
      </c>
      <c r="B358" s="33" t="s">
        <v>2217</v>
      </c>
      <c r="C358" s="35" t="s">
        <v>2218</v>
      </c>
      <c r="D358" s="33" t="s">
        <v>69</v>
      </c>
      <c r="E358" s="129" t="s">
        <v>184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33">
        <v>31.0</v>
      </c>
      <c r="B359" s="33" t="s">
        <v>2220</v>
      </c>
      <c r="C359" s="35" t="s">
        <v>2222</v>
      </c>
      <c r="D359" s="33" t="s">
        <v>92</v>
      </c>
      <c r="E359" s="129" t="s">
        <v>184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33">
        <v>32.0</v>
      </c>
      <c r="B360" s="33" t="s">
        <v>2224</v>
      </c>
      <c r="C360" s="35" t="s">
        <v>2226</v>
      </c>
      <c r="D360" s="33" t="s">
        <v>92</v>
      </c>
      <c r="E360" s="129" t="s">
        <v>184</v>
      </c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33">
        <v>33.0</v>
      </c>
      <c r="B361" s="33" t="s">
        <v>2227</v>
      </c>
      <c r="C361" s="35" t="s">
        <v>2228</v>
      </c>
      <c r="D361" s="33" t="s">
        <v>69</v>
      </c>
      <c r="E361" s="129" t="s">
        <v>184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33">
        <v>34.0</v>
      </c>
      <c r="B362" s="33" t="s">
        <v>2231</v>
      </c>
      <c r="C362" s="35" t="s">
        <v>2232</v>
      </c>
      <c r="D362" s="33" t="s">
        <v>92</v>
      </c>
      <c r="E362" s="129" t="s">
        <v>184</v>
      </c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33">
        <v>35.0</v>
      </c>
      <c r="B363" s="33" t="s">
        <v>2235</v>
      </c>
      <c r="C363" s="35" t="s">
        <v>2236</v>
      </c>
      <c r="D363" s="33" t="s">
        <v>69</v>
      </c>
      <c r="E363" s="129" t="s">
        <v>184</v>
      </c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33">
        <v>36.0</v>
      </c>
      <c r="B364" s="33" t="s">
        <v>2239</v>
      </c>
      <c r="C364" s="35" t="s">
        <v>543</v>
      </c>
      <c r="D364" s="33" t="s">
        <v>69</v>
      </c>
      <c r="E364" s="129" t="s">
        <v>184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35" t="s">
        <v>205</v>
      </c>
      <c r="D366" s="33" t="str">
        <f>COUNTIF(R[-37]C[0]:R[-2]C[0],"P")</f>
        <v>#ERROR!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35" t="s">
        <v>1015</v>
      </c>
      <c r="D367" s="33" t="str">
        <f>COUNTIF(R[-38]C[0]:R[-3]C[0],"L")</f>
        <v>#ERROR!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7" t="s">
        <v>20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7" t="s">
        <v>2251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7" t="s">
        <v>37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 t="s">
        <v>2255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7" t="s">
        <v>13</v>
      </c>
      <c r="B374" s="127" t="s">
        <v>630</v>
      </c>
      <c r="C374" s="127" t="s">
        <v>15</v>
      </c>
      <c r="D374" s="127" t="s">
        <v>631</v>
      </c>
      <c r="E374" s="129" t="s">
        <v>16</v>
      </c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33">
        <v>1.0</v>
      </c>
      <c r="B375" s="33" t="s">
        <v>2258</v>
      </c>
      <c r="C375" s="35" t="s">
        <v>2259</v>
      </c>
      <c r="D375" s="33" t="s">
        <v>69</v>
      </c>
      <c r="E375" s="129" t="s">
        <v>195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33">
        <v>2.0</v>
      </c>
      <c r="B376" s="33" t="s">
        <v>2264</v>
      </c>
      <c r="C376" s="35" t="s">
        <v>2265</v>
      </c>
      <c r="D376" s="33" t="s">
        <v>92</v>
      </c>
      <c r="E376" s="129" t="s">
        <v>195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33">
        <v>3.0</v>
      </c>
      <c r="B377" s="33" t="s">
        <v>2266</v>
      </c>
      <c r="C377" s="35" t="s">
        <v>2268</v>
      </c>
      <c r="D377" s="33" t="s">
        <v>69</v>
      </c>
      <c r="E377" s="129" t="s">
        <v>195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33">
        <v>4.0</v>
      </c>
      <c r="B378" s="33" t="s">
        <v>2271</v>
      </c>
      <c r="C378" s="35" t="s">
        <v>2272</v>
      </c>
      <c r="D378" s="33" t="s">
        <v>92</v>
      </c>
      <c r="E378" s="129" t="s">
        <v>195</v>
      </c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33">
        <v>5.0</v>
      </c>
      <c r="B379" s="33" t="s">
        <v>2277</v>
      </c>
      <c r="C379" s="35" t="s">
        <v>2278</v>
      </c>
      <c r="D379" s="33" t="s">
        <v>69</v>
      </c>
      <c r="E379" s="129" t="s">
        <v>195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33">
        <v>6.0</v>
      </c>
      <c r="B380" s="33" t="s">
        <v>2283</v>
      </c>
      <c r="C380" s="35" t="s">
        <v>2284</v>
      </c>
      <c r="D380" s="33" t="s">
        <v>92</v>
      </c>
      <c r="E380" s="129" t="s">
        <v>195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33">
        <v>7.0</v>
      </c>
      <c r="B381" s="33" t="s">
        <v>2286</v>
      </c>
      <c r="C381" s="35" t="s">
        <v>2287</v>
      </c>
      <c r="D381" s="33" t="s">
        <v>92</v>
      </c>
      <c r="E381" s="129" t="s">
        <v>195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33">
        <v>8.0</v>
      </c>
      <c r="B382" s="33" t="s">
        <v>2290</v>
      </c>
      <c r="C382" s="35" t="s">
        <v>2291</v>
      </c>
      <c r="D382" s="33" t="s">
        <v>92</v>
      </c>
      <c r="E382" s="129" t="s">
        <v>195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33">
        <v>9.0</v>
      </c>
      <c r="B383" s="33" t="s">
        <v>2294</v>
      </c>
      <c r="C383" s="35" t="s">
        <v>2295</v>
      </c>
      <c r="D383" s="33" t="s">
        <v>92</v>
      </c>
      <c r="E383" s="129" t="s">
        <v>195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33">
        <v>10.0</v>
      </c>
      <c r="B384" s="33" t="s">
        <v>2299</v>
      </c>
      <c r="C384" s="35" t="s">
        <v>434</v>
      </c>
      <c r="D384" s="33" t="s">
        <v>92</v>
      </c>
      <c r="E384" s="129" t="s">
        <v>195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33">
        <v>11.0</v>
      </c>
      <c r="B385" s="33" t="s">
        <v>2301</v>
      </c>
      <c r="C385" s="35" t="s">
        <v>2303</v>
      </c>
      <c r="D385" s="33" t="s">
        <v>92</v>
      </c>
      <c r="E385" s="129" t="s">
        <v>195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33">
        <v>12.0</v>
      </c>
      <c r="B386" s="33" t="s">
        <v>2305</v>
      </c>
      <c r="C386" s="35" t="s">
        <v>2306</v>
      </c>
      <c r="D386" s="33" t="s">
        <v>92</v>
      </c>
      <c r="E386" s="129" t="s">
        <v>195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33">
        <v>13.0</v>
      </c>
      <c r="B387" s="33" t="s">
        <v>2307</v>
      </c>
      <c r="C387" s="35" t="s">
        <v>2308</v>
      </c>
      <c r="D387" s="33" t="s">
        <v>69</v>
      </c>
      <c r="E387" s="129" t="s">
        <v>195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33">
        <v>14.0</v>
      </c>
      <c r="B388" s="33" t="s">
        <v>2309</v>
      </c>
      <c r="C388" s="35" t="s">
        <v>2311</v>
      </c>
      <c r="D388" s="33" t="s">
        <v>92</v>
      </c>
      <c r="E388" s="129" t="s">
        <v>195</v>
      </c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33">
        <v>15.0</v>
      </c>
      <c r="B389" s="33" t="s">
        <v>2313</v>
      </c>
      <c r="C389" s="35" t="s">
        <v>2314</v>
      </c>
      <c r="D389" s="33" t="s">
        <v>69</v>
      </c>
      <c r="E389" s="129" t="s">
        <v>195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33">
        <v>16.0</v>
      </c>
      <c r="B390" s="33" t="s">
        <v>2317</v>
      </c>
      <c r="C390" s="35" t="s">
        <v>2318</v>
      </c>
      <c r="D390" s="33" t="s">
        <v>92</v>
      </c>
      <c r="E390" s="129" t="s">
        <v>195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33">
        <v>17.0</v>
      </c>
      <c r="B391" s="33" t="s">
        <v>2319</v>
      </c>
      <c r="C391" s="35" t="s">
        <v>2320</v>
      </c>
      <c r="D391" s="33" t="s">
        <v>92</v>
      </c>
      <c r="E391" s="129" t="s">
        <v>195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33">
        <v>18.0</v>
      </c>
      <c r="B392" s="33" t="s">
        <v>2321</v>
      </c>
      <c r="C392" s="35" t="s">
        <v>2322</v>
      </c>
      <c r="D392" s="33" t="s">
        <v>92</v>
      </c>
      <c r="E392" s="129" t="s">
        <v>195</v>
      </c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33">
        <v>19.0</v>
      </c>
      <c r="B393" s="33" t="s">
        <v>2323</v>
      </c>
      <c r="C393" s="35" t="s">
        <v>2324</v>
      </c>
      <c r="D393" s="33" t="s">
        <v>92</v>
      </c>
      <c r="E393" s="129" t="s">
        <v>195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33">
        <v>20.0</v>
      </c>
      <c r="B394" s="33" t="s">
        <v>2325</v>
      </c>
      <c r="C394" s="35" t="s">
        <v>2326</v>
      </c>
      <c r="D394" s="33" t="s">
        <v>92</v>
      </c>
      <c r="E394" s="129" t="s">
        <v>195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33">
        <v>21.0</v>
      </c>
      <c r="B395" s="33" t="s">
        <v>2328</v>
      </c>
      <c r="C395" s="35" t="s">
        <v>2329</v>
      </c>
      <c r="D395" s="33" t="s">
        <v>92</v>
      </c>
      <c r="E395" s="129" t="s">
        <v>195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33">
        <v>22.0</v>
      </c>
      <c r="B396" s="33" t="s">
        <v>2331</v>
      </c>
      <c r="C396" s="35" t="s">
        <v>2332</v>
      </c>
      <c r="D396" s="33" t="s">
        <v>92</v>
      </c>
      <c r="E396" s="129" t="s">
        <v>195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33">
        <v>23.0</v>
      </c>
      <c r="B397" s="33" t="s">
        <v>2333</v>
      </c>
      <c r="C397" s="35" t="s">
        <v>2334</v>
      </c>
      <c r="D397" s="33" t="s">
        <v>92</v>
      </c>
      <c r="E397" s="129" t="s">
        <v>195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33">
        <v>24.0</v>
      </c>
      <c r="B398" s="33" t="s">
        <v>2337</v>
      </c>
      <c r="C398" s="35" t="s">
        <v>2338</v>
      </c>
      <c r="D398" s="33" t="s">
        <v>92</v>
      </c>
      <c r="E398" s="129" t="s">
        <v>195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33">
        <v>25.0</v>
      </c>
      <c r="B399" s="33" t="s">
        <v>2341</v>
      </c>
      <c r="C399" s="35" t="s">
        <v>2342</v>
      </c>
      <c r="D399" s="33" t="s">
        <v>92</v>
      </c>
      <c r="E399" s="129" t="s">
        <v>195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33">
        <v>26.0</v>
      </c>
      <c r="B400" s="33" t="s">
        <v>2345</v>
      </c>
      <c r="C400" s="35" t="s">
        <v>429</v>
      </c>
      <c r="D400" s="33" t="s">
        <v>92</v>
      </c>
      <c r="E400" s="129" t="s">
        <v>195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33">
        <v>27.0</v>
      </c>
      <c r="B401" s="33" t="s">
        <v>2347</v>
      </c>
      <c r="C401" s="35" t="s">
        <v>2348</v>
      </c>
      <c r="D401" s="33" t="s">
        <v>69</v>
      </c>
      <c r="E401" s="129" t="s">
        <v>195</v>
      </c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33">
        <v>28.0</v>
      </c>
      <c r="B402" s="33" t="s">
        <v>2350</v>
      </c>
      <c r="C402" s="35" t="s">
        <v>2351</v>
      </c>
      <c r="D402" s="33" t="s">
        <v>69</v>
      </c>
      <c r="E402" s="129" t="s">
        <v>195</v>
      </c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33">
        <v>29.0</v>
      </c>
      <c r="B403" s="33" t="s">
        <v>2354</v>
      </c>
      <c r="C403" s="35" t="s">
        <v>2355</v>
      </c>
      <c r="D403" s="33" t="s">
        <v>92</v>
      </c>
      <c r="E403" s="129" t="s">
        <v>195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33">
        <v>30.0</v>
      </c>
      <c r="B404" s="33" t="s">
        <v>2358</v>
      </c>
      <c r="C404" s="35" t="s">
        <v>2360</v>
      </c>
      <c r="D404" s="33" t="s">
        <v>92</v>
      </c>
      <c r="E404" s="129" t="s">
        <v>195</v>
      </c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33">
        <v>31.0</v>
      </c>
      <c r="B405" s="33" t="s">
        <v>2363</v>
      </c>
      <c r="C405" s="35" t="s">
        <v>2365</v>
      </c>
      <c r="D405" s="33" t="s">
        <v>92</v>
      </c>
      <c r="E405" s="129" t="s">
        <v>195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33">
        <v>32.0</v>
      </c>
      <c r="B406" s="33" t="s">
        <v>2367</v>
      </c>
      <c r="C406" s="35" t="s">
        <v>346</v>
      </c>
      <c r="D406" s="33" t="s">
        <v>92</v>
      </c>
      <c r="E406" s="129" t="s">
        <v>195</v>
      </c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33">
        <v>33.0</v>
      </c>
      <c r="B407" s="33" t="s">
        <v>2370</v>
      </c>
      <c r="C407" s="35" t="s">
        <v>387</v>
      </c>
      <c r="D407" s="33" t="s">
        <v>69</v>
      </c>
      <c r="E407" s="129" t="s">
        <v>195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33">
        <v>34.0</v>
      </c>
      <c r="B408" s="33" t="s">
        <v>2373</v>
      </c>
      <c r="C408" s="35" t="s">
        <v>2374</v>
      </c>
      <c r="D408" s="33" t="s">
        <v>92</v>
      </c>
      <c r="E408" s="129" t="s">
        <v>195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33">
        <v>35.0</v>
      </c>
      <c r="B409" s="33" t="s">
        <v>2376</v>
      </c>
      <c r="C409" s="35" t="s">
        <v>371</v>
      </c>
      <c r="D409" s="33" t="s">
        <v>69</v>
      </c>
      <c r="E409" s="129" t="s">
        <v>195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33">
        <v>36.0</v>
      </c>
      <c r="B410" s="33" t="s">
        <v>2379</v>
      </c>
      <c r="C410" s="35" t="s">
        <v>208</v>
      </c>
      <c r="D410" s="33" t="s">
        <v>92</v>
      </c>
      <c r="E410" s="129" t="s">
        <v>195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35" t="s">
        <v>205</v>
      </c>
      <c r="D412" s="33" t="str">
        <f>COUNTIF(R[-37]C[0]:R[-2]C[0],"P")</f>
        <v>#ERROR!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35" t="s">
        <v>1015</v>
      </c>
      <c r="D413" s="33" t="str">
        <f>COUNTIF(R[-38]C[0]:R[-3]C[0],"L")</f>
        <v>#ERROR!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27" t="s">
        <v>20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27" t="s">
        <v>2389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27" t="s">
        <v>37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 t="s">
        <v>2392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7" t="s">
        <v>13</v>
      </c>
      <c r="B420" s="127" t="s">
        <v>630</v>
      </c>
      <c r="C420" s="127" t="s">
        <v>15</v>
      </c>
      <c r="D420" s="127" t="s">
        <v>631</v>
      </c>
      <c r="E420" s="129" t="s">
        <v>16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33">
        <v>1.0</v>
      </c>
      <c r="B421" s="33" t="s">
        <v>2395</v>
      </c>
      <c r="C421" s="35" t="s">
        <v>2396</v>
      </c>
      <c r="D421" s="33" t="s">
        <v>69</v>
      </c>
      <c r="E421" s="129" t="s">
        <v>441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33">
        <v>2.0</v>
      </c>
      <c r="B422" s="33" t="s">
        <v>2399</v>
      </c>
      <c r="C422" s="35" t="s">
        <v>2400</v>
      </c>
      <c r="D422" s="33" t="s">
        <v>69</v>
      </c>
      <c r="E422" s="129" t="s">
        <v>441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33">
        <v>3.0</v>
      </c>
      <c r="B423" s="33" t="s">
        <v>2401</v>
      </c>
      <c r="C423" s="35" t="s">
        <v>2403</v>
      </c>
      <c r="D423" s="33" t="s">
        <v>69</v>
      </c>
      <c r="E423" s="129" t="s">
        <v>441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33">
        <v>4.0</v>
      </c>
      <c r="B424" s="33" t="s">
        <v>2405</v>
      </c>
      <c r="C424" s="35" t="s">
        <v>2406</v>
      </c>
      <c r="D424" s="33" t="s">
        <v>92</v>
      </c>
      <c r="E424" s="129" t="s">
        <v>441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33">
        <v>5.0</v>
      </c>
      <c r="B425" s="33" t="s">
        <v>2409</v>
      </c>
      <c r="C425" s="35" t="s">
        <v>2410</v>
      </c>
      <c r="D425" s="33" t="s">
        <v>92</v>
      </c>
      <c r="E425" s="129" t="s">
        <v>441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33">
        <v>6.0</v>
      </c>
      <c r="B426" s="33" t="s">
        <v>2411</v>
      </c>
      <c r="C426" s="35" t="s">
        <v>2412</v>
      </c>
      <c r="D426" s="33" t="s">
        <v>69</v>
      </c>
      <c r="E426" s="129" t="s">
        <v>441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33">
        <v>7.0</v>
      </c>
      <c r="B427" s="33" t="s">
        <v>2415</v>
      </c>
      <c r="C427" s="35" t="s">
        <v>2416</v>
      </c>
      <c r="D427" s="33" t="s">
        <v>69</v>
      </c>
      <c r="E427" s="129" t="s">
        <v>441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33">
        <v>8.0</v>
      </c>
      <c r="B428" s="33" t="s">
        <v>2419</v>
      </c>
      <c r="C428" s="35" t="s">
        <v>2420</v>
      </c>
      <c r="D428" s="33" t="s">
        <v>92</v>
      </c>
      <c r="E428" s="129" t="s">
        <v>441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33">
        <v>9.0</v>
      </c>
      <c r="B429" s="33" t="s">
        <v>2423</v>
      </c>
      <c r="C429" s="35" t="s">
        <v>2424</v>
      </c>
      <c r="D429" s="33" t="s">
        <v>92</v>
      </c>
      <c r="E429" s="129" t="s">
        <v>441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33">
        <v>10.0</v>
      </c>
      <c r="B430" s="33" t="s">
        <v>2427</v>
      </c>
      <c r="C430" s="35" t="s">
        <v>2429</v>
      </c>
      <c r="D430" s="33" t="s">
        <v>92</v>
      </c>
      <c r="E430" s="129" t="s">
        <v>441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33">
        <v>11.0</v>
      </c>
      <c r="B431" s="33" t="s">
        <v>2431</v>
      </c>
      <c r="C431" s="35" t="s">
        <v>2432</v>
      </c>
      <c r="D431" s="33" t="s">
        <v>92</v>
      </c>
      <c r="E431" s="129" t="s">
        <v>441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33">
        <v>12.0</v>
      </c>
      <c r="B432" s="33" t="s">
        <v>2433</v>
      </c>
      <c r="C432" s="35" t="s">
        <v>375</v>
      </c>
      <c r="D432" s="33" t="s">
        <v>92</v>
      </c>
      <c r="E432" s="129" t="s">
        <v>441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33">
        <v>13.0</v>
      </c>
      <c r="B433" s="33" t="s">
        <v>2436</v>
      </c>
      <c r="C433" s="35" t="s">
        <v>367</v>
      </c>
      <c r="D433" s="33" t="s">
        <v>92</v>
      </c>
      <c r="E433" s="129" t="s">
        <v>441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33">
        <v>14.0</v>
      </c>
      <c r="B434" s="33" t="s">
        <v>2438</v>
      </c>
      <c r="C434" s="35" t="s">
        <v>2440</v>
      </c>
      <c r="D434" s="33" t="s">
        <v>92</v>
      </c>
      <c r="E434" s="129" t="s">
        <v>441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33">
        <v>15.0</v>
      </c>
      <c r="B435" s="33" t="s">
        <v>2441</v>
      </c>
      <c r="C435" s="35" t="s">
        <v>2443</v>
      </c>
      <c r="D435" s="33" t="s">
        <v>92</v>
      </c>
      <c r="E435" s="129" t="s">
        <v>441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33">
        <v>16.0</v>
      </c>
      <c r="B436" s="33" t="s">
        <v>2446</v>
      </c>
      <c r="C436" s="35" t="s">
        <v>2447</v>
      </c>
      <c r="D436" s="33" t="s">
        <v>92</v>
      </c>
      <c r="E436" s="129" t="s">
        <v>441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33">
        <v>17.0</v>
      </c>
      <c r="B437" s="33" t="s">
        <v>2448</v>
      </c>
      <c r="C437" s="35" t="s">
        <v>2450</v>
      </c>
      <c r="D437" s="33" t="s">
        <v>92</v>
      </c>
      <c r="E437" s="129" t="s">
        <v>441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33">
        <v>18.0</v>
      </c>
      <c r="B438" s="33" t="s">
        <v>2452</v>
      </c>
      <c r="C438" s="35" t="s">
        <v>2453</v>
      </c>
      <c r="D438" s="33" t="s">
        <v>92</v>
      </c>
      <c r="E438" s="129" t="s">
        <v>441</v>
      </c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33">
        <v>19.0</v>
      </c>
      <c r="B439" s="33" t="s">
        <v>2456</v>
      </c>
      <c r="C439" s="35" t="s">
        <v>2457</v>
      </c>
      <c r="D439" s="33" t="s">
        <v>92</v>
      </c>
      <c r="E439" s="129" t="s">
        <v>441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33">
        <v>20.0</v>
      </c>
      <c r="B440" s="33" t="s">
        <v>2460</v>
      </c>
      <c r="C440" s="35" t="s">
        <v>2461</v>
      </c>
      <c r="D440" s="33" t="s">
        <v>92</v>
      </c>
      <c r="E440" s="129" t="s">
        <v>441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33">
        <v>21.0</v>
      </c>
      <c r="B441" s="33" t="s">
        <v>2463</v>
      </c>
      <c r="C441" s="35" t="s">
        <v>2464</v>
      </c>
      <c r="D441" s="33" t="s">
        <v>92</v>
      </c>
      <c r="E441" s="129" t="s">
        <v>441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33">
        <v>22.0</v>
      </c>
      <c r="B442" s="33" t="s">
        <v>2465</v>
      </c>
      <c r="C442" s="35" t="s">
        <v>2466</v>
      </c>
      <c r="D442" s="33" t="s">
        <v>92</v>
      </c>
      <c r="E442" s="129" t="s">
        <v>441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33">
        <v>23.0</v>
      </c>
      <c r="B443" s="33" t="s">
        <v>2467</v>
      </c>
      <c r="C443" s="35" t="s">
        <v>2468</v>
      </c>
      <c r="D443" s="33" t="s">
        <v>92</v>
      </c>
      <c r="E443" s="129" t="s">
        <v>441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33">
        <v>24.0</v>
      </c>
      <c r="B444" s="33" t="s">
        <v>2471</v>
      </c>
      <c r="C444" s="35" t="s">
        <v>2472</v>
      </c>
      <c r="D444" s="33" t="s">
        <v>92</v>
      </c>
      <c r="E444" s="129" t="s">
        <v>441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33">
        <v>25.0</v>
      </c>
      <c r="B445" s="33" t="s">
        <v>2475</v>
      </c>
      <c r="C445" s="35" t="s">
        <v>2476</v>
      </c>
      <c r="D445" s="33" t="s">
        <v>69</v>
      </c>
      <c r="E445" s="129" t="s">
        <v>441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33">
        <v>26.0</v>
      </c>
      <c r="B446" s="33" t="s">
        <v>2479</v>
      </c>
      <c r="C446" s="35" t="s">
        <v>2480</v>
      </c>
      <c r="D446" s="33" t="s">
        <v>92</v>
      </c>
      <c r="E446" s="129" t="s">
        <v>441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33">
        <v>27.0</v>
      </c>
      <c r="B447" s="33" t="s">
        <v>2483</v>
      </c>
      <c r="C447" s="35" t="s">
        <v>2484</v>
      </c>
      <c r="D447" s="33" t="s">
        <v>92</v>
      </c>
      <c r="E447" s="129" t="s">
        <v>441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33">
        <v>28.0</v>
      </c>
      <c r="B448" s="33" t="s">
        <v>2487</v>
      </c>
      <c r="C448" s="35" t="s">
        <v>2488</v>
      </c>
      <c r="D448" s="33" t="s">
        <v>92</v>
      </c>
      <c r="E448" s="129" t="s">
        <v>441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33">
        <v>29.0</v>
      </c>
      <c r="B449" s="33" t="s">
        <v>2489</v>
      </c>
      <c r="C449" s="35" t="s">
        <v>2490</v>
      </c>
      <c r="D449" s="33" t="s">
        <v>69</v>
      </c>
      <c r="E449" s="129" t="s">
        <v>441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33">
        <v>30.0</v>
      </c>
      <c r="B450" s="33" t="s">
        <v>2493</v>
      </c>
      <c r="C450" s="35" t="s">
        <v>2494</v>
      </c>
      <c r="D450" s="33" t="s">
        <v>69</v>
      </c>
      <c r="E450" s="129" t="s">
        <v>441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33">
        <v>31.0</v>
      </c>
      <c r="B451" s="33" t="s">
        <v>2497</v>
      </c>
      <c r="C451" s="35" t="s">
        <v>2498</v>
      </c>
      <c r="D451" s="33" t="s">
        <v>69</v>
      </c>
      <c r="E451" s="129" t="s">
        <v>441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33">
        <v>32.0</v>
      </c>
      <c r="B452" s="33" t="s">
        <v>2499</v>
      </c>
      <c r="C452" s="35" t="s">
        <v>2500</v>
      </c>
      <c r="D452" s="33" t="s">
        <v>92</v>
      </c>
      <c r="E452" s="129" t="s">
        <v>441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33">
        <v>33.0</v>
      </c>
      <c r="B453" s="33" t="s">
        <v>2501</v>
      </c>
      <c r="C453" s="35" t="s">
        <v>2502</v>
      </c>
      <c r="D453" s="33" t="s">
        <v>92</v>
      </c>
      <c r="E453" s="129" t="s">
        <v>441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33">
        <v>34.0</v>
      </c>
      <c r="B454" s="33" t="s">
        <v>2503</v>
      </c>
      <c r="C454" s="35" t="s">
        <v>2504</v>
      </c>
      <c r="D454" s="33" t="s">
        <v>92</v>
      </c>
      <c r="E454" s="129" t="s">
        <v>441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33">
        <v>35.0</v>
      </c>
      <c r="B455" s="33" t="s">
        <v>2505</v>
      </c>
      <c r="C455" s="35" t="s">
        <v>2506</v>
      </c>
      <c r="D455" s="33" t="s">
        <v>92</v>
      </c>
      <c r="E455" s="129" t="s">
        <v>441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33">
        <v>36.0</v>
      </c>
      <c r="B456" s="33" t="s">
        <v>2507</v>
      </c>
      <c r="C456" s="35" t="s">
        <v>2508</v>
      </c>
      <c r="D456" s="33" t="s">
        <v>92</v>
      </c>
      <c r="E456" s="129" t="s">
        <v>441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35" t="s">
        <v>205</v>
      </c>
      <c r="D458" s="33" t="str">
        <f>COUNTIF(R[-37]C[0]:R[-2]C[0],"P")</f>
        <v>#ERROR!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35" t="s">
        <v>1015</v>
      </c>
      <c r="D459" s="33" t="str">
        <f>COUNTIF(R[-38]C[0]:R[-3]C[0],"L")</f>
        <v>#ERROR!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27" t="s">
        <v>20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27" t="s">
        <v>2511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27" t="s">
        <v>37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 t="s">
        <v>2515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7" t="s">
        <v>13</v>
      </c>
      <c r="B466" s="127" t="s">
        <v>630</v>
      </c>
      <c r="C466" s="127" t="s">
        <v>15</v>
      </c>
      <c r="D466" s="127" t="s">
        <v>631</v>
      </c>
      <c r="E466" s="129" t="s">
        <v>16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33">
        <v>1.0</v>
      </c>
      <c r="B467" s="33" t="s">
        <v>2519</v>
      </c>
      <c r="C467" s="35" t="s">
        <v>2520</v>
      </c>
      <c r="D467" s="33" t="s">
        <v>92</v>
      </c>
      <c r="E467" s="129" t="s">
        <v>453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33">
        <v>2.0</v>
      </c>
      <c r="B468" s="33" t="s">
        <v>2523</v>
      </c>
      <c r="C468" s="35" t="s">
        <v>2524</v>
      </c>
      <c r="D468" s="33" t="s">
        <v>69</v>
      </c>
      <c r="E468" s="129" t="s">
        <v>453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33">
        <v>3.0</v>
      </c>
      <c r="B469" s="33" t="s">
        <v>2527</v>
      </c>
      <c r="C469" s="35" t="s">
        <v>2528</v>
      </c>
      <c r="D469" s="33" t="s">
        <v>69</v>
      </c>
      <c r="E469" s="129" t="s">
        <v>453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33">
        <v>4.0</v>
      </c>
      <c r="B470" s="33" t="s">
        <v>2531</v>
      </c>
      <c r="C470" s="35" t="s">
        <v>2532</v>
      </c>
      <c r="D470" s="33" t="s">
        <v>69</v>
      </c>
      <c r="E470" s="129" t="s">
        <v>453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33">
        <v>5.0</v>
      </c>
      <c r="B471" s="33" t="s">
        <v>2535</v>
      </c>
      <c r="C471" s="35" t="s">
        <v>2536</v>
      </c>
      <c r="D471" s="33" t="s">
        <v>92</v>
      </c>
      <c r="E471" s="129" t="s">
        <v>453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33">
        <v>6.0</v>
      </c>
      <c r="B472" s="33" t="s">
        <v>2537</v>
      </c>
      <c r="C472" s="35" t="s">
        <v>2539</v>
      </c>
      <c r="D472" s="33" t="s">
        <v>69</v>
      </c>
      <c r="E472" s="129" t="s">
        <v>453</v>
      </c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33">
        <v>7.0</v>
      </c>
      <c r="B473" s="33" t="s">
        <v>2541</v>
      </c>
      <c r="C473" s="35" t="s">
        <v>2542</v>
      </c>
      <c r="D473" s="33" t="s">
        <v>69</v>
      </c>
      <c r="E473" s="129" t="s">
        <v>453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33">
        <v>8.0</v>
      </c>
      <c r="B474" s="33" t="s">
        <v>2545</v>
      </c>
      <c r="C474" s="35" t="s">
        <v>2546</v>
      </c>
      <c r="D474" s="33" t="s">
        <v>69</v>
      </c>
      <c r="E474" s="129" t="s">
        <v>453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33">
        <v>9.0</v>
      </c>
      <c r="B475" s="33" t="s">
        <v>2549</v>
      </c>
      <c r="C475" s="35" t="s">
        <v>2550</v>
      </c>
      <c r="D475" s="33" t="s">
        <v>69</v>
      </c>
      <c r="E475" s="129" t="s">
        <v>453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33">
        <v>10.0</v>
      </c>
      <c r="B476" s="33" t="s">
        <v>2552</v>
      </c>
      <c r="C476" s="35" t="s">
        <v>2554</v>
      </c>
      <c r="D476" s="33" t="s">
        <v>92</v>
      </c>
      <c r="E476" s="129" t="s">
        <v>453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33">
        <v>11.0</v>
      </c>
      <c r="B477" s="33" t="s">
        <v>2555</v>
      </c>
      <c r="C477" s="35" t="s">
        <v>2557</v>
      </c>
      <c r="D477" s="33" t="s">
        <v>69</v>
      </c>
      <c r="E477" s="129" t="s">
        <v>453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33">
        <v>12.0</v>
      </c>
      <c r="B478" s="33" t="s">
        <v>2559</v>
      </c>
      <c r="C478" s="35" t="s">
        <v>2560</v>
      </c>
      <c r="D478" s="33" t="s">
        <v>92</v>
      </c>
      <c r="E478" s="129" t="s">
        <v>453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33">
        <v>13.0</v>
      </c>
      <c r="B479" s="33" t="s">
        <v>2563</v>
      </c>
      <c r="C479" s="35" t="s">
        <v>2564</v>
      </c>
      <c r="D479" s="33" t="s">
        <v>69</v>
      </c>
      <c r="E479" s="129" t="s">
        <v>453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33">
        <v>14.0</v>
      </c>
      <c r="B480" s="33" t="s">
        <v>2567</v>
      </c>
      <c r="C480" s="35" t="s">
        <v>2568</v>
      </c>
      <c r="D480" s="33" t="s">
        <v>69</v>
      </c>
      <c r="E480" s="129" t="s">
        <v>453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33">
        <v>15.0</v>
      </c>
      <c r="B481" s="33" t="s">
        <v>2571</v>
      </c>
      <c r="C481" s="35" t="s">
        <v>2572</v>
      </c>
      <c r="D481" s="33" t="s">
        <v>69</v>
      </c>
      <c r="E481" s="129" t="s">
        <v>453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33">
        <v>16.0</v>
      </c>
      <c r="B482" s="33" t="s">
        <v>2575</v>
      </c>
      <c r="C482" s="35" t="s">
        <v>2576</v>
      </c>
      <c r="D482" s="33" t="s">
        <v>69</v>
      </c>
      <c r="E482" s="129" t="s">
        <v>453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33">
        <v>17.0</v>
      </c>
      <c r="B483" s="33" t="s">
        <v>2579</v>
      </c>
      <c r="C483" s="35" t="s">
        <v>2580</v>
      </c>
      <c r="D483" s="33" t="s">
        <v>92</v>
      </c>
      <c r="E483" s="129" t="s">
        <v>453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33">
        <v>18.0</v>
      </c>
      <c r="B484" s="33" t="s">
        <v>2583</v>
      </c>
      <c r="C484" s="35" t="s">
        <v>2584</v>
      </c>
      <c r="D484" s="33" t="s">
        <v>69</v>
      </c>
      <c r="E484" s="129" t="s">
        <v>453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33">
        <v>19.0</v>
      </c>
      <c r="B485" s="33" t="s">
        <v>2587</v>
      </c>
      <c r="C485" s="35" t="s">
        <v>2588</v>
      </c>
      <c r="D485" s="33" t="s">
        <v>69</v>
      </c>
      <c r="E485" s="129" t="s">
        <v>453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33">
        <v>20.0</v>
      </c>
      <c r="B486" s="33" t="s">
        <v>2589</v>
      </c>
      <c r="C486" s="35" t="s">
        <v>2590</v>
      </c>
      <c r="D486" s="33" t="s">
        <v>69</v>
      </c>
      <c r="E486" s="129" t="s">
        <v>453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33">
        <v>21.0</v>
      </c>
      <c r="B487" s="33" t="s">
        <v>2593</v>
      </c>
      <c r="C487" s="35" t="s">
        <v>2594</v>
      </c>
      <c r="D487" s="33" t="s">
        <v>92</v>
      </c>
      <c r="E487" s="129" t="s">
        <v>453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33">
        <v>22.0</v>
      </c>
      <c r="B488" s="33" t="s">
        <v>2597</v>
      </c>
      <c r="C488" s="35" t="s">
        <v>492</v>
      </c>
      <c r="D488" s="33" t="s">
        <v>69</v>
      </c>
      <c r="E488" s="129" t="s">
        <v>453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33">
        <v>23.0</v>
      </c>
      <c r="B489" s="33" t="s">
        <v>2598</v>
      </c>
      <c r="C489" s="35" t="s">
        <v>2600</v>
      </c>
      <c r="D489" s="33" t="s">
        <v>92</v>
      </c>
      <c r="E489" s="129" t="s">
        <v>453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33">
        <v>24.0</v>
      </c>
      <c r="B490" s="33" t="s">
        <v>2602</v>
      </c>
      <c r="C490" s="35" t="s">
        <v>2603</v>
      </c>
      <c r="D490" s="33" t="s">
        <v>92</v>
      </c>
      <c r="E490" s="129" t="s">
        <v>453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33">
        <v>25.0</v>
      </c>
      <c r="B491" s="33" t="s">
        <v>2604</v>
      </c>
      <c r="C491" s="35" t="s">
        <v>2605</v>
      </c>
      <c r="D491" s="33" t="s">
        <v>92</v>
      </c>
      <c r="E491" s="129" t="s">
        <v>453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33">
        <v>26.0</v>
      </c>
      <c r="B492" s="33" t="s">
        <v>2609</v>
      </c>
      <c r="C492" s="35" t="s">
        <v>2611</v>
      </c>
      <c r="D492" s="33" t="s">
        <v>92</v>
      </c>
      <c r="E492" s="129" t="s">
        <v>453</v>
      </c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33">
        <v>27.0</v>
      </c>
      <c r="B493" s="33" t="s">
        <v>2614</v>
      </c>
      <c r="C493" s="35" t="s">
        <v>2615</v>
      </c>
      <c r="D493" s="33" t="s">
        <v>92</v>
      </c>
      <c r="E493" s="129" t="s">
        <v>453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33">
        <v>28.0</v>
      </c>
      <c r="B494" s="33" t="s">
        <v>2616</v>
      </c>
      <c r="C494" s="35" t="s">
        <v>2618</v>
      </c>
      <c r="D494" s="33" t="s">
        <v>69</v>
      </c>
      <c r="E494" s="129" t="s">
        <v>453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33">
        <v>29.0</v>
      </c>
      <c r="B495" s="33" t="s">
        <v>2620</v>
      </c>
      <c r="C495" s="35" t="s">
        <v>2622</v>
      </c>
      <c r="D495" s="33" t="s">
        <v>92</v>
      </c>
      <c r="E495" s="129" t="s">
        <v>453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33">
        <v>30.0</v>
      </c>
      <c r="B496" s="33" t="s">
        <v>2624</v>
      </c>
      <c r="C496" s="35" t="s">
        <v>2625</v>
      </c>
      <c r="D496" s="33" t="s">
        <v>69</v>
      </c>
      <c r="E496" s="129" t="s">
        <v>453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33">
        <v>31.0</v>
      </c>
      <c r="B497" s="33" t="s">
        <v>2628</v>
      </c>
      <c r="C497" s="35" t="s">
        <v>2629</v>
      </c>
      <c r="D497" s="33" t="s">
        <v>92</v>
      </c>
      <c r="E497" s="129" t="s">
        <v>453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33">
        <v>32.0</v>
      </c>
      <c r="B498" s="33" t="s">
        <v>2632</v>
      </c>
      <c r="C498" s="35" t="s">
        <v>2633</v>
      </c>
      <c r="D498" s="33" t="s">
        <v>69</v>
      </c>
      <c r="E498" s="129" t="s">
        <v>453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33">
        <v>33.0</v>
      </c>
      <c r="B499" s="33" t="s">
        <v>2636</v>
      </c>
      <c r="C499" s="35" t="s">
        <v>2637</v>
      </c>
      <c r="D499" s="33" t="s">
        <v>69</v>
      </c>
      <c r="E499" s="129" t="s">
        <v>453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33">
        <v>34.0</v>
      </c>
      <c r="B500" s="33" t="s">
        <v>2638</v>
      </c>
      <c r="C500" s="35" t="s">
        <v>2639</v>
      </c>
      <c r="D500" s="33" t="s">
        <v>69</v>
      </c>
      <c r="E500" s="129" t="s">
        <v>453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33">
        <v>35.0</v>
      </c>
      <c r="B501" s="33" t="s">
        <v>2641</v>
      </c>
      <c r="C501" s="35" t="s">
        <v>2642</v>
      </c>
      <c r="D501" s="33" t="s">
        <v>69</v>
      </c>
      <c r="E501" s="129" t="s">
        <v>453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35" t="s">
        <v>205</v>
      </c>
      <c r="D503" s="33" t="str">
        <f>COUNTIF(R[-36]C[0]:R[-2]C[0],"P")</f>
        <v>#ERROR!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35" t="s">
        <v>1015</v>
      </c>
      <c r="D504" s="33" t="str">
        <f>COUNTIF(R[-37]C[0]:R[-3]C[0],"L")</f>
        <v>#ERROR!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27" t="s">
        <v>20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27" t="s">
        <v>2655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27" t="s">
        <v>37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 t="s">
        <v>2658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7" t="s">
        <v>13</v>
      </c>
      <c r="B511" s="127" t="s">
        <v>630</v>
      </c>
      <c r="C511" s="127" t="s">
        <v>15</v>
      </c>
      <c r="D511" s="127" t="s">
        <v>631</v>
      </c>
      <c r="E511" s="129" t="s">
        <v>16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33">
        <v>1.0</v>
      </c>
      <c r="B512" s="120" t="s">
        <v>2662</v>
      </c>
      <c r="C512" s="35" t="s">
        <v>2663</v>
      </c>
      <c r="D512" s="33" t="s">
        <v>69</v>
      </c>
      <c r="E512" s="129" t="s">
        <v>225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33">
        <v>2.0</v>
      </c>
      <c r="B513" s="120" t="s">
        <v>2666</v>
      </c>
      <c r="C513" s="35" t="s">
        <v>2667</v>
      </c>
      <c r="D513" s="33" t="s">
        <v>69</v>
      </c>
      <c r="E513" s="129" t="s">
        <v>225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33">
        <v>3.0</v>
      </c>
      <c r="B514" s="120" t="s">
        <v>647</v>
      </c>
      <c r="C514" s="35" t="s">
        <v>648</v>
      </c>
      <c r="D514" s="33" t="s">
        <v>69</v>
      </c>
      <c r="E514" s="129" t="s">
        <v>225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33">
        <v>4.0</v>
      </c>
      <c r="B515" s="120" t="s">
        <v>2672</v>
      </c>
      <c r="C515" s="35" t="s">
        <v>2673</v>
      </c>
      <c r="D515" s="33" t="s">
        <v>92</v>
      </c>
      <c r="E515" s="129" t="s">
        <v>225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33">
        <v>5.0</v>
      </c>
      <c r="B516" s="120" t="s">
        <v>2674</v>
      </c>
      <c r="C516" s="35" t="s">
        <v>2675</v>
      </c>
      <c r="D516" s="33" t="s">
        <v>69</v>
      </c>
      <c r="E516" s="129" t="s">
        <v>225</v>
      </c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33">
        <v>6.0</v>
      </c>
      <c r="B517" s="120" t="s">
        <v>2678</v>
      </c>
      <c r="C517" s="35" t="s">
        <v>2679</v>
      </c>
      <c r="D517" s="33" t="s">
        <v>69</v>
      </c>
      <c r="E517" s="129" t="s">
        <v>225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33">
        <v>7.0</v>
      </c>
      <c r="B518" s="120" t="s">
        <v>2680</v>
      </c>
      <c r="C518" s="35" t="s">
        <v>2681</v>
      </c>
      <c r="D518" s="33" t="s">
        <v>69</v>
      </c>
      <c r="E518" s="129" t="s">
        <v>225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33">
        <v>8.0</v>
      </c>
      <c r="B519" s="120" t="s">
        <v>2684</v>
      </c>
      <c r="C519" s="35" t="s">
        <v>2685</v>
      </c>
      <c r="D519" s="33" t="s">
        <v>69</v>
      </c>
      <c r="E519" s="129" t="s">
        <v>225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33">
        <v>9.0</v>
      </c>
      <c r="B520" s="120" t="s">
        <v>2687</v>
      </c>
      <c r="C520" s="35" t="s">
        <v>392</v>
      </c>
      <c r="D520" s="33" t="s">
        <v>69</v>
      </c>
      <c r="E520" s="129" t="s">
        <v>225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33">
        <v>10.0</v>
      </c>
      <c r="B521" s="120" t="s">
        <v>2690</v>
      </c>
      <c r="C521" s="35" t="s">
        <v>2691</v>
      </c>
      <c r="D521" s="33" t="s">
        <v>69</v>
      </c>
      <c r="E521" s="129" t="s">
        <v>225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33">
        <v>11.0</v>
      </c>
      <c r="B522" s="120" t="s">
        <v>2693</v>
      </c>
      <c r="C522" s="35" t="s">
        <v>2695</v>
      </c>
      <c r="D522" s="33" t="s">
        <v>92</v>
      </c>
      <c r="E522" s="129" t="s">
        <v>225</v>
      </c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33">
        <v>12.0</v>
      </c>
      <c r="B523" s="120" t="s">
        <v>2696</v>
      </c>
      <c r="C523" s="35" t="s">
        <v>2697</v>
      </c>
      <c r="D523" s="33" t="s">
        <v>92</v>
      </c>
      <c r="E523" s="129" t="s">
        <v>225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33">
        <v>13.0</v>
      </c>
      <c r="B524" s="120" t="s">
        <v>2698</v>
      </c>
      <c r="C524" s="35" t="s">
        <v>2699</v>
      </c>
      <c r="D524" s="33" t="s">
        <v>69</v>
      </c>
      <c r="E524" s="129" t="s">
        <v>225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33">
        <v>14.0</v>
      </c>
      <c r="B525" s="120" t="s">
        <v>2700</v>
      </c>
      <c r="C525" s="35" t="s">
        <v>2701</v>
      </c>
      <c r="D525" s="33" t="s">
        <v>92</v>
      </c>
      <c r="E525" s="129" t="s">
        <v>225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33">
        <v>15.0</v>
      </c>
      <c r="B526" s="120" t="s">
        <v>2702</v>
      </c>
      <c r="C526" s="35" t="s">
        <v>2703</v>
      </c>
      <c r="D526" s="33" t="s">
        <v>69</v>
      </c>
      <c r="E526" s="129" t="s">
        <v>225</v>
      </c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33">
        <v>16.0</v>
      </c>
      <c r="B527" s="120" t="s">
        <v>2704</v>
      </c>
      <c r="C527" s="35" t="s">
        <v>2705</v>
      </c>
      <c r="D527" s="33" t="s">
        <v>69</v>
      </c>
      <c r="E527" s="129" t="s">
        <v>225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33">
        <v>17.0</v>
      </c>
      <c r="B528" s="120" t="s">
        <v>2706</v>
      </c>
      <c r="C528" s="35" t="s">
        <v>2707</v>
      </c>
      <c r="D528" s="33" t="s">
        <v>69</v>
      </c>
      <c r="E528" s="129" t="s">
        <v>225</v>
      </c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33">
        <v>18.0</v>
      </c>
      <c r="B529" s="120" t="s">
        <v>2708</v>
      </c>
      <c r="C529" s="35" t="s">
        <v>2709</v>
      </c>
      <c r="D529" s="33" t="s">
        <v>69</v>
      </c>
      <c r="E529" s="129" t="s">
        <v>225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33">
        <v>19.0</v>
      </c>
      <c r="B530" s="120" t="s">
        <v>2710</v>
      </c>
      <c r="C530" s="35" t="s">
        <v>2711</v>
      </c>
      <c r="D530" s="33" t="s">
        <v>69</v>
      </c>
      <c r="E530" s="129" t="s">
        <v>225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33">
        <v>20.0</v>
      </c>
      <c r="B531" s="120" t="s">
        <v>2712</v>
      </c>
      <c r="C531" s="35" t="s">
        <v>2713</v>
      </c>
      <c r="D531" s="33" t="s">
        <v>92</v>
      </c>
      <c r="E531" s="129" t="s">
        <v>225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33">
        <v>21.0</v>
      </c>
      <c r="B532" s="120" t="s">
        <v>2715</v>
      </c>
      <c r="C532" s="35" t="s">
        <v>2716</v>
      </c>
      <c r="D532" s="33" t="s">
        <v>69</v>
      </c>
      <c r="E532" s="129" t="s">
        <v>225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33">
        <v>22.0</v>
      </c>
      <c r="B533" s="120" t="s">
        <v>2717</v>
      </c>
      <c r="C533" s="35" t="s">
        <v>2718</v>
      </c>
      <c r="D533" s="33" t="s">
        <v>69</v>
      </c>
      <c r="E533" s="129" t="s">
        <v>225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33">
        <v>23.0</v>
      </c>
      <c r="B534" s="120" t="s">
        <v>2719</v>
      </c>
      <c r="C534" s="35" t="s">
        <v>2720</v>
      </c>
      <c r="D534" s="33" t="s">
        <v>92</v>
      </c>
      <c r="E534" s="129" t="s">
        <v>225</v>
      </c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33">
        <v>24.0</v>
      </c>
      <c r="B535" s="120" t="s">
        <v>2722</v>
      </c>
      <c r="C535" s="35" t="s">
        <v>2723</v>
      </c>
      <c r="D535" s="33" t="s">
        <v>92</v>
      </c>
      <c r="E535" s="129" t="s">
        <v>225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33">
        <v>25.0</v>
      </c>
      <c r="B536" s="120" t="s">
        <v>2724</v>
      </c>
      <c r="C536" s="35" t="s">
        <v>2725</v>
      </c>
      <c r="D536" s="33" t="s">
        <v>92</v>
      </c>
      <c r="E536" s="129" t="s">
        <v>225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33">
        <v>26.0</v>
      </c>
      <c r="B537" s="120" t="s">
        <v>2728</v>
      </c>
      <c r="C537" s="35" t="s">
        <v>2729</v>
      </c>
      <c r="D537" s="33" t="s">
        <v>92</v>
      </c>
      <c r="E537" s="129" t="s">
        <v>225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33">
        <v>27.0</v>
      </c>
      <c r="B538" s="120" t="s">
        <v>2732</v>
      </c>
      <c r="C538" s="35" t="s">
        <v>2734</v>
      </c>
      <c r="D538" s="33" t="s">
        <v>92</v>
      </c>
      <c r="E538" s="129" t="s">
        <v>225</v>
      </c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33">
        <v>28.0</v>
      </c>
      <c r="B539" s="120" t="s">
        <v>2736</v>
      </c>
      <c r="C539" s="35" t="s">
        <v>448</v>
      </c>
      <c r="D539" s="33" t="s">
        <v>92</v>
      </c>
      <c r="E539" s="129" t="s">
        <v>225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33">
        <v>29.0</v>
      </c>
      <c r="B540" s="120" t="s">
        <v>2739</v>
      </c>
      <c r="C540" s="35" t="s">
        <v>2740</v>
      </c>
      <c r="D540" s="33" t="s">
        <v>69</v>
      </c>
      <c r="E540" s="129" t="s">
        <v>225</v>
      </c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33">
        <v>30.0</v>
      </c>
      <c r="B541" s="120" t="s">
        <v>2743</v>
      </c>
      <c r="C541" s="35" t="s">
        <v>2744</v>
      </c>
      <c r="D541" s="33" t="s">
        <v>69</v>
      </c>
      <c r="E541" s="129" t="s">
        <v>225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33">
        <v>31.0</v>
      </c>
      <c r="B542" s="120" t="s">
        <v>2747</v>
      </c>
      <c r="C542" s="35" t="s">
        <v>2748</v>
      </c>
      <c r="D542" s="33" t="s">
        <v>92</v>
      </c>
      <c r="E542" s="129" t="s">
        <v>225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33">
        <v>32.0</v>
      </c>
      <c r="B543" s="120" t="s">
        <v>2751</v>
      </c>
      <c r="C543" s="35" t="s">
        <v>2752</v>
      </c>
      <c r="D543" s="33" t="s">
        <v>69</v>
      </c>
      <c r="E543" s="129" t="s">
        <v>225</v>
      </c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33">
        <v>33.0</v>
      </c>
      <c r="B544" s="120" t="s">
        <v>2755</v>
      </c>
      <c r="C544" s="35" t="s">
        <v>2757</v>
      </c>
      <c r="D544" s="33" t="s">
        <v>69</v>
      </c>
      <c r="E544" s="129" t="s">
        <v>225</v>
      </c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33">
        <v>34.0</v>
      </c>
      <c r="B545" s="120" t="s">
        <v>2761</v>
      </c>
      <c r="C545" s="35" t="s">
        <v>502</v>
      </c>
      <c r="D545" s="33" t="s">
        <v>69</v>
      </c>
      <c r="E545" s="129" t="s">
        <v>225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35" t="s">
        <v>205</v>
      </c>
      <c r="D547" s="137">
        <f>COUNTIF($D$65:$D$111, "P")</f>
        <v>25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35" t="s">
        <v>1015</v>
      </c>
      <c r="D548" s="137">
        <f>COUNTIF($D$65:$D$111, "L")</f>
        <v>12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37">
    <mergeCell ref="A1:D1"/>
    <mergeCell ref="A3:D3"/>
    <mergeCell ref="A4:D4"/>
    <mergeCell ref="A5:D5"/>
    <mergeCell ref="A50:D50"/>
    <mergeCell ref="A51:D51"/>
    <mergeCell ref="A52:D52"/>
    <mergeCell ref="A96:D96"/>
    <mergeCell ref="A97:D97"/>
    <mergeCell ref="A98:D98"/>
    <mergeCell ref="A141:D141"/>
    <mergeCell ref="A142:D142"/>
    <mergeCell ref="A143:D143"/>
    <mergeCell ref="A186:D186"/>
    <mergeCell ref="A187:D187"/>
    <mergeCell ref="A188:D188"/>
    <mergeCell ref="A232:D232"/>
    <mergeCell ref="A233:D233"/>
    <mergeCell ref="A234:D234"/>
    <mergeCell ref="A278:D278"/>
    <mergeCell ref="A279:D279"/>
    <mergeCell ref="A280:D280"/>
    <mergeCell ref="A324:D324"/>
    <mergeCell ref="A325:D325"/>
    <mergeCell ref="A326:D326"/>
    <mergeCell ref="A370:D370"/>
    <mergeCell ref="A371:D371"/>
    <mergeCell ref="A372:D372"/>
    <mergeCell ref="A508:D508"/>
    <mergeCell ref="A509:D509"/>
    <mergeCell ref="A416:D416"/>
    <mergeCell ref="A417:D417"/>
    <mergeCell ref="A418:D418"/>
    <mergeCell ref="A462:D462"/>
    <mergeCell ref="A463:D463"/>
    <mergeCell ref="A464:D464"/>
    <mergeCell ref="A507:D507"/>
  </mergeCells>
  <drawing r:id="rId1"/>
</worksheet>
</file>