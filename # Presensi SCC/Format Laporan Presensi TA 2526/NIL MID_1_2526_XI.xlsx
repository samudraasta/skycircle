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RIKULUM 2023\1. MID 1 2026\FORM NIL MID_1_2526\"/>
    </mc:Choice>
  </mc:AlternateContent>
  <xr:revisionPtr revIDLastSave="0" documentId="13_ncr:1_{C968A087-6352-46C1-B966-82C308DFC1A1}" xr6:coauthVersionLast="47" xr6:coauthVersionMax="47" xr10:uidLastSave="{00000000-0000-0000-0000-000000000000}"/>
  <bookViews>
    <workbookView xWindow="-110" yWindow="-110" windowWidth="19420" windowHeight="10300" xr2:uid="{C53B123B-6486-4917-B7F1-175CD5ED3E75}"/>
  </bookViews>
  <sheets>
    <sheet name="XI A1" sheetId="14" r:id="rId1"/>
    <sheet name="XI A2" sheetId="18" r:id="rId2"/>
    <sheet name="XI B1" sheetId="19" r:id="rId3"/>
    <sheet name="XI B2" sheetId="15" r:id="rId4"/>
    <sheet name="XI C" sheetId="16" r:id="rId5"/>
    <sheet name="XI D1" sheetId="20" r:id="rId6"/>
    <sheet name="XI D2" sheetId="1" r:id="rId7"/>
    <sheet name="XI D3" sheetId="2" r:id="rId8"/>
    <sheet name="XI E1" sheetId="3" r:id="rId9"/>
    <sheet name="XI E2" sheetId="4" r:id="rId10"/>
    <sheet name="XI F1" sheetId="5" r:id="rId11"/>
    <sheet name="XI F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4" l="1"/>
  <c r="W17" i="14" s="1"/>
  <c r="X17" i="14" s="1"/>
  <c r="AA17" i="14" s="1"/>
  <c r="S18" i="14"/>
  <c r="W18" i="14" s="1"/>
  <c r="X18" i="14" s="1"/>
  <c r="AA18" i="14" s="1"/>
  <c r="S20" i="14"/>
  <c r="W20" i="14" s="1"/>
  <c r="X20" i="14" s="1"/>
  <c r="AA20" i="14" s="1"/>
  <c r="S21" i="14"/>
  <c r="W21" i="14" s="1"/>
  <c r="X21" i="14" s="1"/>
  <c r="AA21" i="14" s="1"/>
  <c r="S22" i="14"/>
  <c r="W22" i="14" s="1"/>
  <c r="X22" i="14" s="1"/>
  <c r="AA22" i="14" s="1"/>
  <c r="S23" i="14"/>
  <c r="W23" i="14" s="1"/>
  <c r="X23" i="14" s="1"/>
  <c r="AA23" i="14" s="1"/>
  <c r="S24" i="14"/>
  <c r="W24" i="14" s="1"/>
  <c r="X24" i="14" s="1"/>
  <c r="AA24" i="14" s="1"/>
  <c r="S25" i="14"/>
  <c r="W25" i="14" s="1"/>
  <c r="X25" i="14" s="1"/>
  <c r="AA25" i="14" s="1"/>
  <c r="S29" i="14"/>
  <c r="W29" i="14" s="1"/>
  <c r="X29" i="14" s="1"/>
  <c r="AA29" i="14" s="1"/>
  <c r="S31" i="14"/>
  <c r="W31" i="14" s="1"/>
  <c r="X31" i="14" s="1"/>
  <c r="AA31" i="14" s="1"/>
  <c r="S32" i="14"/>
  <c r="W32" i="14" s="1"/>
  <c r="X32" i="14" s="1"/>
  <c r="AA32" i="14" s="1"/>
  <c r="S33" i="14"/>
  <c r="W33" i="14" s="1"/>
  <c r="X33" i="14" s="1"/>
  <c r="AA33" i="14" s="1"/>
  <c r="S35" i="14"/>
  <c r="W35" i="14" s="1"/>
  <c r="X35" i="14" s="1"/>
  <c r="AA35" i="14" s="1"/>
  <c r="S36" i="14"/>
  <c r="W36" i="14" s="1"/>
  <c r="X36" i="14" s="1"/>
  <c r="AA36" i="14" s="1"/>
  <c r="S37" i="14"/>
  <c r="W37" i="14" s="1"/>
  <c r="X37" i="14" s="1"/>
  <c r="AA37" i="14" s="1"/>
  <c r="S41" i="14"/>
  <c r="W41" i="14" s="1"/>
  <c r="X41" i="14" s="1"/>
  <c r="AA41" i="14" s="1"/>
  <c r="S42" i="14"/>
  <c r="W42" i="14" s="1"/>
  <c r="X42" i="14" s="1"/>
  <c r="AA42" i="14" s="1"/>
  <c r="S44" i="14"/>
  <c r="W44" i="14" s="1"/>
  <c r="X44" i="14" s="1"/>
  <c r="AA44" i="14" s="1"/>
  <c r="S45" i="14"/>
  <c r="W45" i="14" s="1"/>
  <c r="X45" i="14" s="1"/>
  <c r="AA45" i="14" s="1"/>
  <c r="S46" i="14"/>
  <c r="W46" i="14" s="1"/>
  <c r="X46" i="14" s="1"/>
  <c r="AA46" i="14" s="1"/>
  <c r="S47" i="14"/>
  <c r="W47" i="14" s="1"/>
  <c r="X47" i="14" s="1"/>
  <c r="AA47" i="14" s="1"/>
  <c r="S48" i="14"/>
  <c r="W48" i="14" s="1"/>
  <c r="X48" i="14" s="1"/>
  <c r="AA48" i="14" s="1"/>
  <c r="S13" i="14"/>
  <c r="W13" i="14" s="1"/>
  <c r="X13" i="14" s="1"/>
  <c r="AA13" i="14" s="1"/>
  <c r="S17" i="18"/>
  <c r="W17" i="18" s="1"/>
  <c r="X17" i="18" s="1"/>
  <c r="AA17" i="18" s="1"/>
  <c r="S18" i="18"/>
  <c r="W18" i="18" s="1"/>
  <c r="X18" i="18" s="1"/>
  <c r="AA18" i="18" s="1"/>
  <c r="S20" i="18"/>
  <c r="W20" i="18" s="1"/>
  <c r="X20" i="18" s="1"/>
  <c r="AA20" i="18" s="1"/>
  <c r="S21" i="18"/>
  <c r="W21" i="18" s="1"/>
  <c r="X21" i="18" s="1"/>
  <c r="AA21" i="18" s="1"/>
  <c r="S22" i="18"/>
  <c r="W22" i="18" s="1"/>
  <c r="X22" i="18" s="1"/>
  <c r="AA22" i="18" s="1"/>
  <c r="S23" i="18"/>
  <c r="W23" i="18" s="1"/>
  <c r="X23" i="18" s="1"/>
  <c r="AA23" i="18" s="1"/>
  <c r="S24" i="18"/>
  <c r="W24" i="18" s="1"/>
  <c r="X24" i="18" s="1"/>
  <c r="AA24" i="18" s="1"/>
  <c r="S25" i="18"/>
  <c r="W25" i="18" s="1"/>
  <c r="X25" i="18" s="1"/>
  <c r="AA25" i="18" s="1"/>
  <c r="S29" i="18"/>
  <c r="W29" i="18" s="1"/>
  <c r="X29" i="18" s="1"/>
  <c r="AA29" i="18" s="1"/>
  <c r="S31" i="18"/>
  <c r="W31" i="18" s="1"/>
  <c r="X31" i="18" s="1"/>
  <c r="AA31" i="18" s="1"/>
  <c r="S32" i="18"/>
  <c r="W32" i="18" s="1"/>
  <c r="X32" i="18" s="1"/>
  <c r="AA32" i="18" s="1"/>
  <c r="S33" i="18"/>
  <c r="W33" i="18" s="1"/>
  <c r="X33" i="18" s="1"/>
  <c r="AA33" i="18" s="1"/>
  <c r="S34" i="18"/>
  <c r="W34" i="18" s="1"/>
  <c r="X34" i="18" s="1"/>
  <c r="AA34" i="18" s="1"/>
  <c r="S35" i="18"/>
  <c r="W35" i="18" s="1"/>
  <c r="X35" i="18" s="1"/>
  <c r="AA35" i="18" s="1"/>
  <c r="S36" i="18"/>
  <c r="W36" i="18" s="1"/>
  <c r="X36" i="18" s="1"/>
  <c r="AA36" i="18" s="1"/>
  <c r="S37" i="18"/>
  <c r="W37" i="18" s="1"/>
  <c r="X37" i="18" s="1"/>
  <c r="AA37" i="18" s="1"/>
  <c r="S41" i="18"/>
  <c r="W41" i="18" s="1"/>
  <c r="X41" i="18" s="1"/>
  <c r="AA41" i="18" s="1"/>
  <c r="S42" i="18"/>
  <c r="W42" i="18" s="1"/>
  <c r="X42" i="18" s="1"/>
  <c r="AA42" i="18" s="1"/>
  <c r="S44" i="18"/>
  <c r="W44" i="18" s="1"/>
  <c r="X44" i="18" s="1"/>
  <c r="AA44" i="18" s="1"/>
  <c r="S45" i="18"/>
  <c r="W45" i="18" s="1"/>
  <c r="X45" i="18" s="1"/>
  <c r="AA45" i="18" s="1"/>
  <c r="S46" i="18"/>
  <c r="W46" i="18" s="1"/>
  <c r="X46" i="18" s="1"/>
  <c r="AA46" i="18" s="1"/>
  <c r="S47" i="18"/>
  <c r="W47" i="18" s="1"/>
  <c r="X47" i="18" s="1"/>
  <c r="AA47" i="18" s="1"/>
  <c r="S48" i="18"/>
  <c r="W48" i="18" s="1"/>
  <c r="X48" i="18" s="1"/>
  <c r="AA48" i="18" s="1"/>
  <c r="S13" i="18"/>
  <c r="W13" i="18" s="1"/>
  <c r="X13" i="18" s="1"/>
  <c r="AA13" i="18" s="1"/>
  <c r="S17" i="19"/>
  <c r="W17" i="19" s="1"/>
  <c r="X17" i="19" s="1"/>
  <c r="AA17" i="19" s="1"/>
  <c r="S18" i="19"/>
  <c r="W18" i="19" s="1"/>
  <c r="X18" i="19" s="1"/>
  <c r="AA18" i="19" s="1"/>
  <c r="S20" i="19"/>
  <c r="W20" i="19" s="1"/>
  <c r="X20" i="19" s="1"/>
  <c r="AA20" i="19" s="1"/>
  <c r="S21" i="19"/>
  <c r="W21" i="19" s="1"/>
  <c r="X21" i="19" s="1"/>
  <c r="AA21" i="19" s="1"/>
  <c r="S22" i="19"/>
  <c r="W22" i="19" s="1"/>
  <c r="X22" i="19" s="1"/>
  <c r="AA22" i="19" s="1"/>
  <c r="S24" i="19"/>
  <c r="W24" i="19" s="1"/>
  <c r="X24" i="19" s="1"/>
  <c r="AA24" i="19" s="1"/>
  <c r="S25" i="19"/>
  <c r="W25" i="19" s="1"/>
  <c r="X25" i="19" s="1"/>
  <c r="AA25" i="19" s="1"/>
  <c r="S30" i="19"/>
  <c r="W30" i="19" s="1"/>
  <c r="X30" i="19" s="1"/>
  <c r="AA30" i="19" s="1"/>
  <c r="S31" i="19"/>
  <c r="W31" i="19" s="1"/>
  <c r="X31" i="19" s="1"/>
  <c r="AA31" i="19" s="1"/>
  <c r="S33" i="19"/>
  <c r="W33" i="19" s="1"/>
  <c r="X33" i="19" s="1"/>
  <c r="AA33" i="19" s="1"/>
  <c r="S34" i="19"/>
  <c r="W34" i="19" s="1"/>
  <c r="X34" i="19" s="1"/>
  <c r="AA34" i="19" s="1"/>
  <c r="S35" i="19"/>
  <c r="W35" i="19" s="1"/>
  <c r="X35" i="19" s="1"/>
  <c r="AA35" i="19" s="1"/>
  <c r="S36" i="19"/>
  <c r="W36" i="19" s="1"/>
  <c r="X36" i="19" s="1"/>
  <c r="AA36" i="19" s="1"/>
  <c r="S37" i="19"/>
  <c r="W37" i="19" s="1"/>
  <c r="X37" i="19" s="1"/>
  <c r="AA37" i="19" s="1"/>
  <c r="S40" i="19"/>
  <c r="W40" i="19" s="1"/>
  <c r="X40" i="19" s="1"/>
  <c r="AA40" i="19" s="1"/>
  <c r="S42" i="19"/>
  <c r="W42" i="19" s="1"/>
  <c r="X42" i="19" s="1"/>
  <c r="AA42" i="19" s="1"/>
  <c r="S44" i="19"/>
  <c r="W44" i="19" s="1"/>
  <c r="X44" i="19" s="1"/>
  <c r="AA44" i="19" s="1"/>
  <c r="S45" i="19"/>
  <c r="W45" i="19" s="1"/>
  <c r="X45" i="19" s="1"/>
  <c r="AA45" i="19" s="1"/>
  <c r="S46" i="19"/>
  <c r="W46" i="19" s="1"/>
  <c r="X46" i="19" s="1"/>
  <c r="AA46" i="19" s="1"/>
  <c r="S47" i="19"/>
  <c r="W47" i="19" s="1"/>
  <c r="X47" i="19" s="1"/>
  <c r="AA47" i="19" s="1"/>
  <c r="S48" i="19"/>
  <c r="W48" i="19" s="1"/>
  <c r="X48" i="19" s="1"/>
  <c r="AA48" i="19" s="1"/>
  <c r="S13" i="19"/>
  <c r="W13" i="19" s="1"/>
  <c r="X13" i="19" s="1"/>
  <c r="AA13" i="19" s="1"/>
  <c r="S15" i="15"/>
  <c r="W15" i="15" s="1"/>
  <c r="X15" i="15" s="1"/>
  <c r="AA15" i="15" s="1"/>
  <c r="S16" i="15"/>
  <c r="W16" i="15" s="1"/>
  <c r="X16" i="15" s="1"/>
  <c r="AA16" i="15" s="1"/>
  <c r="S18" i="15"/>
  <c r="W18" i="15" s="1"/>
  <c r="X18" i="15" s="1"/>
  <c r="AA18" i="15" s="1"/>
  <c r="S19" i="15"/>
  <c r="W19" i="15" s="1"/>
  <c r="X19" i="15" s="1"/>
  <c r="AA19" i="15" s="1"/>
  <c r="S20" i="15"/>
  <c r="W20" i="15" s="1"/>
  <c r="X20" i="15" s="1"/>
  <c r="AA20" i="15" s="1"/>
  <c r="S21" i="15"/>
  <c r="W21" i="15" s="1"/>
  <c r="X21" i="15" s="1"/>
  <c r="AA21" i="15" s="1"/>
  <c r="S22" i="15"/>
  <c r="W22" i="15" s="1"/>
  <c r="X22" i="15" s="1"/>
  <c r="AA22" i="15" s="1"/>
  <c r="S23" i="15"/>
  <c r="W23" i="15" s="1"/>
  <c r="X23" i="15" s="1"/>
  <c r="AA23" i="15" s="1"/>
  <c r="S24" i="15"/>
  <c r="W24" i="15" s="1"/>
  <c r="X24" i="15" s="1"/>
  <c r="AA24" i="15" s="1"/>
  <c r="S25" i="15"/>
  <c r="W25" i="15" s="1"/>
  <c r="X25" i="15" s="1"/>
  <c r="AA25" i="15" s="1"/>
  <c r="S30" i="15"/>
  <c r="W30" i="15" s="1"/>
  <c r="X30" i="15" s="1"/>
  <c r="AA30" i="15" s="1"/>
  <c r="S31" i="15"/>
  <c r="W31" i="15" s="1"/>
  <c r="X31" i="15" s="1"/>
  <c r="AA31" i="15" s="1"/>
  <c r="S33" i="15"/>
  <c r="W33" i="15" s="1"/>
  <c r="X33" i="15" s="1"/>
  <c r="AA33" i="15" s="1"/>
  <c r="S34" i="15"/>
  <c r="W34" i="15" s="1"/>
  <c r="X34" i="15" s="1"/>
  <c r="AA34" i="15" s="1"/>
  <c r="S35" i="15"/>
  <c r="W35" i="15" s="1"/>
  <c r="X35" i="15" s="1"/>
  <c r="AA35" i="15" s="1"/>
  <c r="S36" i="15"/>
  <c r="W36" i="15" s="1"/>
  <c r="X36" i="15" s="1"/>
  <c r="AA36" i="15" s="1"/>
  <c r="S37" i="15"/>
  <c r="W37" i="15" s="1"/>
  <c r="X37" i="15" s="1"/>
  <c r="AA37" i="15" s="1"/>
  <c r="S38" i="15"/>
  <c r="W38" i="15" s="1"/>
  <c r="X38" i="15" s="1"/>
  <c r="AA38" i="15" s="1"/>
  <c r="S42" i="15"/>
  <c r="W42" i="15" s="1"/>
  <c r="X42" i="15" s="1"/>
  <c r="AA42" i="15" s="1"/>
  <c r="S43" i="15"/>
  <c r="W43" i="15" s="1"/>
  <c r="X43" i="15" s="1"/>
  <c r="AA43" i="15" s="1"/>
  <c r="S44" i="15"/>
  <c r="W44" i="15" s="1"/>
  <c r="X44" i="15" s="1"/>
  <c r="AA44" i="15" s="1"/>
  <c r="S45" i="15"/>
  <c r="W45" i="15" s="1"/>
  <c r="X45" i="15" s="1"/>
  <c r="AA45" i="15" s="1"/>
  <c r="S46" i="15"/>
  <c r="W46" i="15" s="1"/>
  <c r="X46" i="15" s="1"/>
  <c r="AA46" i="15" s="1"/>
  <c r="S47" i="15"/>
  <c r="W47" i="15" s="1"/>
  <c r="X47" i="15" s="1"/>
  <c r="AA47" i="15" s="1"/>
  <c r="S48" i="15"/>
  <c r="W48" i="15" s="1"/>
  <c r="X48" i="15" s="1"/>
  <c r="AA48" i="15" s="1"/>
  <c r="S13" i="15"/>
  <c r="W13" i="15" s="1"/>
  <c r="X13" i="15" s="1"/>
  <c r="AA13" i="15" s="1"/>
  <c r="S16" i="16"/>
  <c r="W16" i="16" s="1"/>
  <c r="X16" i="16" s="1"/>
  <c r="AA16" i="16" s="1"/>
  <c r="S18" i="16"/>
  <c r="W18" i="16" s="1"/>
  <c r="X18" i="16" s="1"/>
  <c r="AA18" i="16" s="1"/>
  <c r="S19" i="16"/>
  <c r="W19" i="16" s="1"/>
  <c r="X19" i="16" s="1"/>
  <c r="AA19" i="16" s="1"/>
  <c r="S20" i="16"/>
  <c r="W20" i="16" s="1"/>
  <c r="X20" i="16" s="1"/>
  <c r="AA20" i="16" s="1"/>
  <c r="S21" i="16"/>
  <c r="W21" i="16" s="1"/>
  <c r="X21" i="16" s="1"/>
  <c r="AA21" i="16" s="1"/>
  <c r="S22" i="16"/>
  <c r="W22" i="16" s="1"/>
  <c r="X22" i="16" s="1"/>
  <c r="AA22" i="16" s="1"/>
  <c r="S23" i="16"/>
  <c r="W23" i="16" s="1"/>
  <c r="X23" i="16" s="1"/>
  <c r="AA23" i="16" s="1"/>
  <c r="S24" i="16"/>
  <c r="W24" i="16" s="1"/>
  <c r="X24" i="16" s="1"/>
  <c r="AA24" i="16" s="1"/>
  <c r="S25" i="16"/>
  <c r="W25" i="16" s="1"/>
  <c r="X25" i="16" s="1"/>
  <c r="AA25" i="16" s="1"/>
  <c r="S30" i="16"/>
  <c r="W30" i="16" s="1"/>
  <c r="X30" i="16" s="1"/>
  <c r="AA30" i="16" s="1"/>
  <c r="S31" i="16"/>
  <c r="W31" i="16" s="1"/>
  <c r="X31" i="16" s="1"/>
  <c r="AA31" i="16" s="1"/>
  <c r="S32" i="16"/>
  <c r="W32" i="16" s="1"/>
  <c r="X32" i="16" s="1"/>
  <c r="AA32" i="16" s="1"/>
  <c r="S33" i="16"/>
  <c r="W33" i="16" s="1"/>
  <c r="X33" i="16" s="1"/>
  <c r="AA33" i="16" s="1"/>
  <c r="S34" i="16"/>
  <c r="W34" i="16" s="1"/>
  <c r="X34" i="16" s="1"/>
  <c r="AA34" i="16" s="1"/>
  <c r="S35" i="16"/>
  <c r="W35" i="16" s="1"/>
  <c r="X35" i="16" s="1"/>
  <c r="AA35" i="16" s="1"/>
  <c r="S36" i="16"/>
  <c r="W36" i="16" s="1"/>
  <c r="X36" i="16" s="1"/>
  <c r="AA36" i="16" s="1"/>
  <c r="S37" i="16"/>
  <c r="W37" i="16" s="1"/>
  <c r="X37" i="16" s="1"/>
  <c r="AA37" i="16" s="1"/>
  <c r="S41" i="16"/>
  <c r="W41" i="16" s="1"/>
  <c r="X41" i="16" s="1"/>
  <c r="AA41" i="16" s="1"/>
  <c r="S42" i="16"/>
  <c r="W42" i="16" s="1"/>
  <c r="X42" i="16" s="1"/>
  <c r="AA42" i="16" s="1"/>
  <c r="S44" i="16"/>
  <c r="W44" i="16" s="1"/>
  <c r="X44" i="16" s="1"/>
  <c r="AA44" i="16" s="1"/>
  <c r="S45" i="16"/>
  <c r="W45" i="16" s="1"/>
  <c r="X45" i="16" s="1"/>
  <c r="AA45" i="16" s="1"/>
  <c r="S46" i="16"/>
  <c r="W46" i="16" s="1"/>
  <c r="X46" i="16" s="1"/>
  <c r="AA46" i="16" s="1"/>
  <c r="S48" i="16"/>
  <c r="W48" i="16" s="1"/>
  <c r="X48" i="16" s="1"/>
  <c r="AA48" i="16" s="1"/>
  <c r="S13" i="16"/>
  <c r="W13" i="16" s="1"/>
  <c r="X13" i="16" s="1"/>
  <c r="AA13" i="16" s="1"/>
  <c r="S15" i="20"/>
  <c r="W15" i="20" s="1"/>
  <c r="X15" i="20" s="1"/>
  <c r="AA15" i="20" s="1"/>
  <c r="S17" i="20"/>
  <c r="W17" i="20" s="1"/>
  <c r="X17" i="20" s="1"/>
  <c r="AA17" i="20" s="1"/>
  <c r="S18" i="20"/>
  <c r="W18" i="20" s="1"/>
  <c r="X18" i="20" s="1"/>
  <c r="AA18" i="20" s="1"/>
  <c r="S19" i="20"/>
  <c r="W19" i="20" s="1"/>
  <c r="X19" i="20" s="1"/>
  <c r="AA19" i="20" s="1"/>
  <c r="S24" i="20"/>
  <c r="W24" i="20" s="1"/>
  <c r="X24" i="20" s="1"/>
  <c r="AA24" i="20" s="1"/>
  <c r="S25" i="20"/>
  <c r="W25" i="20" s="1"/>
  <c r="X25" i="20" s="1"/>
  <c r="AA25" i="20" s="1"/>
  <c r="S27" i="20"/>
  <c r="W27" i="20" s="1"/>
  <c r="X27" i="20" s="1"/>
  <c r="AA27" i="20" s="1"/>
  <c r="S29" i="20"/>
  <c r="W29" i="20" s="1"/>
  <c r="X29" i="20" s="1"/>
  <c r="AA29" i="20" s="1"/>
  <c r="S31" i="20"/>
  <c r="W31" i="20" s="1"/>
  <c r="X31" i="20" s="1"/>
  <c r="AA31" i="20" s="1"/>
  <c r="S35" i="20"/>
  <c r="W35" i="20" s="1"/>
  <c r="X35" i="20" s="1"/>
  <c r="AA35" i="20" s="1"/>
  <c r="S36" i="20"/>
  <c r="W36" i="20" s="1"/>
  <c r="X36" i="20" s="1"/>
  <c r="AA36" i="20" s="1"/>
  <c r="S37" i="20"/>
  <c r="W37" i="20" s="1"/>
  <c r="X37" i="20" s="1"/>
  <c r="AA37" i="20" s="1"/>
  <c r="S40" i="20"/>
  <c r="W40" i="20" s="1"/>
  <c r="X40" i="20" s="1"/>
  <c r="AA40" i="20" s="1"/>
  <c r="S42" i="20"/>
  <c r="W42" i="20" s="1"/>
  <c r="X42" i="20" s="1"/>
  <c r="AA42" i="20" s="1"/>
  <c r="S44" i="20"/>
  <c r="W44" i="20" s="1"/>
  <c r="X44" i="20" s="1"/>
  <c r="AA44" i="20" s="1"/>
  <c r="S47" i="20"/>
  <c r="W47" i="20" s="1"/>
  <c r="X47" i="20" s="1"/>
  <c r="AA47" i="20" s="1"/>
  <c r="S48" i="20"/>
  <c r="W48" i="20" s="1"/>
  <c r="X48" i="20" s="1"/>
  <c r="AA48" i="20" s="1"/>
  <c r="S13" i="20"/>
  <c r="W13" i="20" s="1"/>
  <c r="X13" i="20" s="1"/>
  <c r="AA13" i="20" s="1"/>
  <c r="U48" i="20"/>
  <c r="T48" i="20"/>
  <c r="U47" i="20"/>
  <c r="T47" i="20"/>
  <c r="U46" i="20"/>
  <c r="T46" i="20"/>
  <c r="S46" i="20"/>
  <c r="W46" i="20" s="1"/>
  <c r="X46" i="20" s="1"/>
  <c r="AA46" i="20" s="1"/>
  <c r="U45" i="20"/>
  <c r="T45" i="20"/>
  <c r="S45" i="20"/>
  <c r="W45" i="20" s="1"/>
  <c r="X45" i="20" s="1"/>
  <c r="AA45" i="20" s="1"/>
  <c r="U44" i="20"/>
  <c r="T44" i="20"/>
  <c r="U43" i="20"/>
  <c r="T43" i="20"/>
  <c r="S43" i="20"/>
  <c r="W43" i="20" s="1"/>
  <c r="X43" i="20" s="1"/>
  <c r="AA43" i="20" s="1"/>
  <c r="U42" i="20"/>
  <c r="T42" i="20"/>
  <c r="U41" i="20"/>
  <c r="T41" i="20"/>
  <c r="S41" i="20"/>
  <c r="W41" i="20" s="1"/>
  <c r="X41" i="20" s="1"/>
  <c r="AA41" i="20" s="1"/>
  <c r="U40" i="20"/>
  <c r="T40" i="20"/>
  <c r="U39" i="20"/>
  <c r="T39" i="20"/>
  <c r="S39" i="20"/>
  <c r="W39" i="20" s="1"/>
  <c r="X39" i="20" s="1"/>
  <c r="AA39" i="20" s="1"/>
  <c r="U38" i="20"/>
  <c r="T38" i="20"/>
  <c r="S38" i="20"/>
  <c r="W38" i="20" s="1"/>
  <c r="X38" i="20" s="1"/>
  <c r="AA38" i="20" s="1"/>
  <c r="U37" i="20"/>
  <c r="T37" i="20"/>
  <c r="U36" i="20"/>
  <c r="T36" i="20"/>
  <c r="U35" i="20"/>
  <c r="T35" i="20"/>
  <c r="U34" i="20"/>
  <c r="T34" i="20"/>
  <c r="S34" i="20"/>
  <c r="W34" i="20" s="1"/>
  <c r="X34" i="20" s="1"/>
  <c r="AA34" i="20" s="1"/>
  <c r="U33" i="20"/>
  <c r="T33" i="20"/>
  <c r="S33" i="20"/>
  <c r="W33" i="20" s="1"/>
  <c r="X33" i="20" s="1"/>
  <c r="AA33" i="20" s="1"/>
  <c r="U32" i="20"/>
  <c r="T32" i="20"/>
  <c r="S32" i="20"/>
  <c r="W32" i="20" s="1"/>
  <c r="X32" i="20" s="1"/>
  <c r="AA32" i="20" s="1"/>
  <c r="U31" i="20"/>
  <c r="T31" i="20"/>
  <c r="U30" i="20"/>
  <c r="T30" i="20"/>
  <c r="S30" i="20"/>
  <c r="W30" i="20" s="1"/>
  <c r="X30" i="20" s="1"/>
  <c r="AA30" i="20" s="1"/>
  <c r="U29" i="20"/>
  <c r="T29" i="20"/>
  <c r="U28" i="20"/>
  <c r="T28" i="20"/>
  <c r="S28" i="20"/>
  <c r="W28" i="20" s="1"/>
  <c r="X28" i="20" s="1"/>
  <c r="AA28" i="20" s="1"/>
  <c r="U27" i="20"/>
  <c r="T27" i="20"/>
  <c r="U26" i="20"/>
  <c r="T26" i="20"/>
  <c r="S26" i="20"/>
  <c r="W26" i="20" s="1"/>
  <c r="X26" i="20" s="1"/>
  <c r="AA26" i="20" s="1"/>
  <c r="U25" i="20"/>
  <c r="T25" i="20"/>
  <c r="U24" i="20"/>
  <c r="T24" i="20"/>
  <c r="U23" i="20"/>
  <c r="T23" i="20"/>
  <c r="S23" i="20"/>
  <c r="W23" i="20" s="1"/>
  <c r="X23" i="20" s="1"/>
  <c r="AA23" i="20" s="1"/>
  <c r="U22" i="20"/>
  <c r="T22" i="20"/>
  <c r="S22" i="20"/>
  <c r="W22" i="20" s="1"/>
  <c r="X22" i="20" s="1"/>
  <c r="AA22" i="20" s="1"/>
  <c r="U21" i="20"/>
  <c r="T21" i="20"/>
  <c r="S21" i="20"/>
  <c r="W21" i="20" s="1"/>
  <c r="X21" i="20" s="1"/>
  <c r="AA21" i="20" s="1"/>
  <c r="U20" i="20"/>
  <c r="T20" i="20"/>
  <c r="S20" i="20"/>
  <c r="W20" i="20" s="1"/>
  <c r="X20" i="20" s="1"/>
  <c r="AA20" i="20" s="1"/>
  <c r="U19" i="20"/>
  <c r="T19" i="20"/>
  <c r="U18" i="20"/>
  <c r="T18" i="20"/>
  <c r="U17" i="20"/>
  <c r="T17" i="20"/>
  <c r="U16" i="20"/>
  <c r="T16" i="20"/>
  <c r="S16" i="20"/>
  <c r="W16" i="20" s="1"/>
  <c r="X16" i="20" s="1"/>
  <c r="AA16" i="20" s="1"/>
  <c r="U15" i="20"/>
  <c r="T15" i="20"/>
  <c r="U14" i="20"/>
  <c r="T14" i="20"/>
  <c r="S14" i="20"/>
  <c r="W14" i="20" s="1"/>
  <c r="X14" i="20" s="1"/>
  <c r="AA14" i="20" s="1"/>
  <c r="U13" i="20"/>
  <c r="T13" i="20"/>
  <c r="U48" i="16"/>
  <c r="T48" i="16"/>
  <c r="U47" i="16"/>
  <c r="T47" i="16"/>
  <c r="S47" i="16"/>
  <c r="W47" i="16" s="1"/>
  <c r="X47" i="16" s="1"/>
  <c r="AA47" i="16" s="1"/>
  <c r="U46" i="16"/>
  <c r="T46" i="16"/>
  <c r="U45" i="16"/>
  <c r="T45" i="16"/>
  <c r="U44" i="16"/>
  <c r="T44" i="16"/>
  <c r="U43" i="16"/>
  <c r="T43" i="16"/>
  <c r="S43" i="16"/>
  <c r="W43" i="16" s="1"/>
  <c r="X43" i="16" s="1"/>
  <c r="AA43" i="16" s="1"/>
  <c r="U42" i="16"/>
  <c r="T42" i="16"/>
  <c r="U41" i="16"/>
  <c r="T41" i="16"/>
  <c r="U40" i="16"/>
  <c r="T40" i="16"/>
  <c r="S40" i="16"/>
  <c r="W40" i="16" s="1"/>
  <c r="X40" i="16" s="1"/>
  <c r="AA40" i="16" s="1"/>
  <c r="U39" i="16"/>
  <c r="T39" i="16"/>
  <c r="S39" i="16"/>
  <c r="W39" i="16" s="1"/>
  <c r="X39" i="16" s="1"/>
  <c r="AA39" i="16" s="1"/>
  <c r="U38" i="16"/>
  <c r="T38" i="16"/>
  <c r="S38" i="16"/>
  <c r="W38" i="16" s="1"/>
  <c r="X38" i="16" s="1"/>
  <c r="AA38" i="16" s="1"/>
  <c r="U37" i="16"/>
  <c r="T37" i="16"/>
  <c r="U36" i="16"/>
  <c r="T36" i="16"/>
  <c r="U35" i="16"/>
  <c r="T35" i="16"/>
  <c r="U34" i="16"/>
  <c r="T34" i="16"/>
  <c r="U33" i="16"/>
  <c r="T33" i="16"/>
  <c r="U32" i="16"/>
  <c r="T32" i="16"/>
  <c r="U31" i="16"/>
  <c r="T31" i="16"/>
  <c r="U30" i="16"/>
  <c r="T30" i="16"/>
  <c r="U29" i="16"/>
  <c r="T29" i="16"/>
  <c r="S29" i="16"/>
  <c r="W29" i="16" s="1"/>
  <c r="X29" i="16" s="1"/>
  <c r="AA29" i="16" s="1"/>
  <c r="U28" i="16"/>
  <c r="T28" i="16"/>
  <c r="S28" i="16"/>
  <c r="W28" i="16" s="1"/>
  <c r="X28" i="16" s="1"/>
  <c r="AA28" i="16" s="1"/>
  <c r="U27" i="16"/>
  <c r="T27" i="16"/>
  <c r="S27" i="16"/>
  <c r="W27" i="16" s="1"/>
  <c r="X27" i="16" s="1"/>
  <c r="AA27" i="16" s="1"/>
  <c r="U26" i="16"/>
  <c r="T26" i="16"/>
  <c r="S26" i="16"/>
  <c r="W26" i="16" s="1"/>
  <c r="X26" i="16" s="1"/>
  <c r="AA26" i="16" s="1"/>
  <c r="U25" i="16"/>
  <c r="T25" i="16"/>
  <c r="U24" i="16"/>
  <c r="T24" i="16"/>
  <c r="U23" i="16"/>
  <c r="T23" i="16"/>
  <c r="U22" i="16"/>
  <c r="T22" i="16"/>
  <c r="U21" i="16"/>
  <c r="T21" i="16"/>
  <c r="U20" i="16"/>
  <c r="T20" i="16"/>
  <c r="U19" i="16"/>
  <c r="T19" i="16"/>
  <c r="U18" i="16"/>
  <c r="T18" i="16"/>
  <c r="U17" i="16"/>
  <c r="T17" i="16"/>
  <c r="S17" i="16"/>
  <c r="W17" i="16" s="1"/>
  <c r="X17" i="16" s="1"/>
  <c r="AA17" i="16" s="1"/>
  <c r="U16" i="16"/>
  <c r="T16" i="16"/>
  <c r="U15" i="16"/>
  <c r="T15" i="16"/>
  <c r="S15" i="16"/>
  <c r="W15" i="16" s="1"/>
  <c r="X15" i="16" s="1"/>
  <c r="AA15" i="16" s="1"/>
  <c r="U14" i="16"/>
  <c r="T14" i="16"/>
  <c r="S14" i="16"/>
  <c r="W14" i="16" s="1"/>
  <c r="X14" i="16" s="1"/>
  <c r="AA14" i="16" s="1"/>
  <c r="U13" i="16"/>
  <c r="T13" i="16"/>
  <c r="U48" i="15"/>
  <c r="T48" i="15"/>
  <c r="U47" i="15"/>
  <c r="T47" i="15"/>
  <c r="U46" i="15"/>
  <c r="T46" i="15"/>
  <c r="U45" i="15"/>
  <c r="T45" i="15"/>
  <c r="U44" i="15"/>
  <c r="T44" i="15"/>
  <c r="U43" i="15"/>
  <c r="T43" i="15"/>
  <c r="U42" i="15"/>
  <c r="T42" i="15"/>
  <c r="U41" i="15"/>
  <c r="T41" i="15"/>
  <c r="S41" i="15"/>
  <c r="W41" i="15" s="1"/>
  <c r="X41" i="15" s="1"/>
  <c r="AA41" i="15" s="1"/>
  <c r="U40" i="15"/>
  <c r="T40" i="15"/>
  <c r="S40" i="15"/>
  <c r="W40" i="15" s="1"/>
  <c r="X40" i="15" s="1"/>
  <c r="AA40" i="15" s="1"/>
  <c r="U39" i="15"/>
  <c r="T39" i="15"/>
  <c r="S39" i="15"/>
  <c r="W39" i="15" s="1"/>
  <c r="X39" i="15" s="1"/>
  <c r="AA39" i="15" s="1"/>
  <c r="U38" i="15"/>
  <c r="T38" i="15"/>
  <c r="U37" i="15"/>
  <c r="T37" i="15"/>
  <c r="U36" i="15"/>
  <c r="T36" i="15"/>
  <c r="U35" i="15"/>
  <c r="T35" i="15"/>
  <c r="U34" i="15"/>
  <c r="T34" i="15"/>
  <c r="U33" i="15"/>
  <c r="T33" i="15"/>
  <c r="U32" i="15"/>
  <c r="T32" i="15"/>
  <c r="S32" i="15"/>
  <c r="W32" i="15" s="1"/>
  <c r="X32" i="15" s="1"/>
  <c r="AA32" i="15" s="1"/>
  <c r="U31" i="15"/>
  <c r="T31" i="15"/>
  <c r="U30" i="15"/>
  <c r="T30" i="15"/>
  <c r="U29" i="15"/>
  <c r="T29" i="15"/>
  <c r="S29" i="15"/>
  <c r="W29" i="15" s="1"/>
  <c r="X29" i="15" s="1"/>
  <c r="AA29" i="15" s="1"/>
  <c r="U28" i="15"/>
  <c r="T28" i="15"/>
  <c r="S28" i="15"/>
  <c r="W28" i="15" s="1"/>
  <c r="X28" i="15" s="1"/>
  <c r="AA28" i="15" s="1"/>
  <c r="U27" i="15"/>
  <c r="T27" i="15"/>
  <c r="S27" i="15"/>
  <c r="W27" i="15" s="1"/>
  <c r="X27" i="15" s="1"/>
  <c r="AA27" i="15" s="1"/>
  <c r="U26" i="15"/>
  <c r="T26" i="15"/>
  <c r="S26" i="15"/>
  <c r="W26" i="15" s="1"/>
  <c r="X26" i="15" s="1"/>
  <c r="AA26" i="15" s="1"/>
  <c r="U25" i="15"/>
  <c r="T25" i="15"/>
  <c r="U24" i="15"/>
  <c r="T24" i="15"/>
  <c r="U23" i="15"/>
  <c r="T23" i="15"/>
  <c r="U22" i="15"/>
  <c r="T22" i="15"/>
  <c r="U21" i="15"/>
  <c r="T21" i="15"/>
  <c r="U20" i="15"/>
  <c r="T20" i="15"/>
  <c r="U19" i="15"/>
  <c r="T19" i="15"/>
  <c r="U18" i="15"/>
  <c r="T18" i="15"/>
  <c r="U17" i="15"/>
  <c r="T17" i="15"/>
  <c r="S17" i="15"/>
  <c r="W17" i="15" s="1"/>
  <c r="X17" i="15" s="1"/>
  <c r="AA17" i="15" s="1"/>
  <c r="U16" i="15"/>
  <c r="T16" i="15"/>
  <c r="U15" i="15"/>
  <c r="T15" i="15"/>
  <c r="U14" i="15"/>
  <c r="T14" i="15"/>
  <c r="S14" i="15"/>
  <c r="W14" i="15" s="1"/>
  <c r="X14" i="15" s="1"/>
  <c r="AA14" i="15" s="1"/>
  <c r="U13" i="15"/>
  <c r="T13" i="15"/>
  <c r="U48" i="19"/>
  <c r="T48" i="19"/>
  <c r="U47" i="19"/>
  <c r="T47" i="19"/>
  <c r="U46" i="19"/>
  <c r="T46" i="19"/>
  <c r="U45" i="19"/>
  <c r="T45" i="19"/>
  <c r="U44" i="19"/>
  <c r="T44" i="19"/>
  <c r="U43" i="19"/>
  <c r="T43" i="19"/>
  <c r="S43" i="19"/>
  <c r="W43" i="19" s="1"/>
  <c r="X43" i="19" s="1"/>
  <c r="AA43" i="19" s="1"/>
  <c r="U42" i="19"/>
  <c r="T42" i="19"/>
  <c r="U41" i="19"/>
  <c r="T41" i="19"/>
  <c r="S41" i="19"/>
  <c r="W41" i="19" s="1"/>
  <c r="X41" i="19" s="1"/>
  <c r="AA41" i="19" s="1"/>
  <c r="U40" i="19"/>
  <c r="T40" i="19"/>
  <c r="U39" i="19"/>
  <c r="T39" i="19"/>
  <c r="S39" i="19"/>
  <c r="W39" i="19" s="1"/>
  <c r="X39" i="19" s="1"/>
  <c r="AA39" i="19" s="1"/>
  <c r="U38" i="19"/>
  <c r="T38" i="19"/>
  <c r="S38" i="19"/>
  <c r="W38" i="19" s="1"/>
  <c r="X38" i="19" s="1"/>
  <c r="AA38" i="19" s="1"/>
  <c r="U37" i="19"/>
  <c r="T37" i="19"/>
  <c r="U36" i="19"/>
  <c r="T36" i="19"/>
  <c r="U35" i="19"/>
  <c r="T35" i="19"/>
  <c r="U34" i="19"/>
  <c r="T34" i="19"/>
  <c r="U33" i="19"/>
  <c r="T33" i="19"/>
  <c r="U32" i="19"/>
  <c r="T32" i="19"/>
  <c r="S32" i="19"/>
  <c r="W32" i="19" s="1"/>
  <c r="X32" i="19" s="1"/>
  <c r="AA32" i="19" s="1"/>
  <c r="U31" i="19"/>
  <c r="T31" i="19"/>
  <c r="U30" i="19"/>
  <c r="T30" i="19"/>
  <c r="U29" i="19"/>
  <c r="T29" i="19"/>
  <c r="S29" i="19"/>
  <c r="W29" i="19" s="1"/>
  <c r="X29" i="19" s="1"/>
  <c r="AA29" i="19" s="1"/>
  <c r="U28" i="19"/>
  <c r="T28" i="19"/>
  <c r="S28" i="19"/>
  <c r="W28" i="19" s="1"/>
  <c r="X28" i="19" s="1"/>
  <c r="AA28" i="19" s="1"/>
  <c r="U27" i="19"/>
  <c r="T27" i="19"/>
  <c r="S27" i="19"/>
  <c r="W27" i="19" s="1"/>
  <c r="X27" i="19" s="1"/>
  <c r="AA27" i="19" s="1"/>
  <c r="U26" i="19"/>
  <c r="T26" i="19"/>
  <c r="S26" i="19"/>
  <c r="W26" i="19" s="1"/>
  <c r="X26" i="19" s="1"/>
  <c r="AA26" i="19" s="1"/>
  <c r="U25" i="19"/>
  <c r="T25" i="19"/>
  <c r="U24" i="19"/>
  <c r="T24" i="19"/>
  <c r="U23" i="19"/>
  <c r="T23" i="19"/>
  <c r="S23" i="19"/>
  <c r="W23" i="19" s="1"/>
  <c r="X23" i="19" s="1"/>
  <c r="AA23" i="19" s="1"/>
  <c r="U22" i="19"/>
  <c r="T22" i="19"/>
  <c r="U21" i="19"/>
  <c r="T21" i="19"/>
  <c r="U20" i="19"/>
  <c r="T20" i="19"/>
  <c r="U19" i="19"/>
  <c r="T19" i="19"/>
  <c r="S19" i="19"/>
  <c r="W19" i="19" s="1"/>
  <c r="X19" i="19" s="1"/>
  <c r="AA19" i="19" s="1"/>
  <c r="U18" i="19"/>
  <c r="T18" i="19"/>
  <c r="U17" i="19"/>
  <c r="T17" i="19"/>
  <c r="U16" i="19"/>
  <c r="T16" i="19"/>
  <c r="S16" i="19"/>
  <c r="W16" i="19" s="1"/>
  <c r="X16" i="19" s="1"/>
  <c r="AA16" i="19" s="1"/>
  <c r="U15" i="19"/>
  <c r="T15" i="19"/>
  <c r="S15" i="19"/>
  <c r="W15" i="19" s="1"/>
  <c r="X15" i="19" s="1"/>
  <c r="AA15" i="19" s="1"/>
  <c r="U14" i="19"/>
  <c r="T14" i="19"/>
  <c r="S14" i="19"/>
  <c r="W14" i="19" s="1"/>
  <c r="X14" i="19" s="1"/>
  <c r="AA14" i="19" s="1"/>
  <c r="U13" i="19"/>
  <c r="T13" i="19"/>
  <c r="U48" i="18"/>
  <c r="T48" i="18"/>
  <c r="U47" i="18"/>
  <c r="T47" i="18"/>
  <c r="U46" i="18"/>
  <c r="T46" i="18"/>
  <c r="U45" i="18"/>
  <c r="T45" i="18"/>
  <c r="U44" i="18"/>
  <c r="T44" i="18"/>
  <c r="U43" i="18"/>
  <c r="T43" i="18"/>
  <c r="S43" i="18"/>
  <c r="W43" i="18" s="1"/>
  <c r="X43" i="18" s="1"/>
  <c r="AA43" i="18" s="1"/>
  <c r="U42" i="18"/>
  <c r="T42" i="18"/>
  <c r="U41" i="18"/>
  <c r="T41" i="18"/>
  <c r="U40" i="18"/>
  <c r="T40" i="18"/>
  <c r="S40" i="18"/>
  <c r="W40" i="18" s="1"/>
  <c r="X40" i="18" s="1"/>
  <c r="AA40" i="18" s="1"/>
  <c r="U39" i="18"/>
  <c r="T39" i="18"/>
  <c r="S39" i="18"/>
  <c r="W39" i="18" s="1"/>
  <c r="X39" i="18" s="1"/>
  <c r="AA39" i="18" s="1"/>
  <c r="U38" i="18"/>
  <c r="T38" i="18"/>
  <c r="S38" i="18"/>
  <c r="W38" i="18" s="1"/>
  <c r="X38" i="18" s="1"/>
  <c r="AA38" i="18" s="1"/>
  <c r="U37" i="18"/>
  <c r="T37" i="18"/>
  <c r="U36" i="18"/>
  <c r="T36" i="18"/>
  <c r="U35" i="18"/>
  <c r="T35" i="18"/>
  <c r="U34" i="18"/>
  <c r="T34" i="18"/>
  <c r="U33" i="18"/>
  <c r="T33" i="18"/>
  <c r="U32" i="18"/>
  <c r="T32" i="18"/>
  <c r="U31" i="18"/>
  <c r="T31" i="18"/>
  <c r="U30" i="18"/>
  <c r="T30" i="18"/>
  <c r="S30" i="18"/>
  <c r="W30" i="18" s="1"/>
  <c r="X30" i="18" s="1"/>
  <c r="AA30" i="18" s="1"/>
  <c r="U29" i="18"/>
  <c r="T29" i="18"/>
  <c r="U28" i="18"/>
  <c r="T28" i="18"/>
  <c r="S28" i="18"/>
  <c r="W28" i="18" s="1"/>
  <c r="X28" i="18" s="1"/>
  <c r="AA28" i="18" s="1"/>
  <c r="U27" i="18"/>
  <c r="T27" i="18"/>
  <c r="S27" i="18"/>
  <c r="W27" i="18" s="1"/>
  <c r="X27" i="18" s="1"/>
  <c r="AA27" i="18" s="1"/>
  <c r="U26" i="18"/>
  <c r="T26" i="18"/>
  <c r="S26" i="18"/>
  <c r="W26" i="18" s="1"/>
  <c r="X26" i="18" s="1"/>
  <c r="AA26" i="18" s="1"/>
  <c r="U25" i="18"/>
  <c r="T25" i="18"/>
  <c r="U24" i="18"/>
  <c r="T24" i="18"/>
  <c r="U23" i="18"/>
  <c r="T23" i="18"/>
  <c r="U22" i="18"/>
  <c r="T22" i="18"/>
  <c r="U21" i="18"/>
  <c r="T21" i="18"/>
  <c r="U20" i="18"/>
  <c r="T20" i="18"/>
  <c r="U19" i="18"/>
  <c r="T19" i="18"/>
  <c r="S19" i="18"/>
  <c r="W19" i="18" s="1"/>
  <c r="X19" i="18" s="1"/>
  <c r="AA19" i="18" s="1"/>
  <c r="U18" i="18"/>
  <c r="T18" i="18"/>
  <c r="U17" i="18"/>
  <c r="T17" i="18"/>
  <c r="U16" i="18"/>
  <c r="T16" i="18"/>
  <c r="S16" i="18"/>
  <c r="W16" i="18" s="1"/>
  <c r="X16" i="18" s="1"/>
  <c r="AA16" i="18" s="1"/>
  <c r="U15" i="18"/>
  <c r="T15" i="18"/>
  <c r="S15" i="18"/>
  <c r="W15" i="18" s="1"/>
  <c r="X15" i="18" s="1"/>
  <c r="AA15" i="18" s="1"/>
  <c r="U14" i="18"/>
  <c r="T14" i="18"/>
  <c r="S14" i="18"/>
  <c r="W14" i="18" s="1"/>
  <c r="X14" i="18" s="1"/>
  <c r="AA14" i="18" s="1"/>
  <c r="U13" i="18"/>
  <c r="T13" i="18"/>
  <c r="U48" i="14"/>
  <c r="T48" i="14"/>
  <c r="U47" i="14"/>
  <c r="T47" i="14"/>
  <c r="U46" i="14"/>
  <c r="T46" i="14"/>
  <c r="U45" i="14"/>
  <c r="T45" i="14"/>
  <c r="U44" i="14"/>
  <c r="T44" i="14"/>
  <c r="U43" i="14"/>
  <c r="T43" i="14"/>
  <c r="S43" i="14"/>
  <c r="W43" i="14" s="1"/>
  <c r="X43" i="14" s="1"/>
  <c r="AA43" i="14" s="1"/>
  <c r="U42" i="14"/>
  <c r="T42" i="14"/>
  <c r="U41" i="14"/>
  <c r="T41" i="14"/>
  <c r="U40" i="14"/>
  <c r="T40" i="14"/>
  <c r="S40" i="14"/>
  <c r="W40" i="14" s="1"/>
  <c r="X40" i="14" s="1"/>
  <c r="AA40" i="14" s="1"/>
  <c r="U39" i="14"/>
  <c r="T39" i="14"/>
  <c r="S39" i="14"/>
  <c r="W39" i="14" s="1"/>
  <c r="X39" i="14" s="1"/>
  <c r="AA39" i="14" s="1"/>
  <c r="U38" i="14"/>
  <c r="T38" i="14"/>
  <c r="S38" i="14"/>
  <c r="W38" i="14" s="1"/>
  <c r="X38" i="14" s="1"/>
  <c r="AA38" i="14" s="1"/>
  <c r="U37" i="14"/>
  <c r="T37" i="14"/>
  <c r="U36" i="14"/>
  <c r="T36" i="14"/>
  <c r="U35" i="14"/>
  <c r="T35" i="14"/>
  <c r="U34" i="14"/>
  <c r="T34" i="14"/>
  <c r="S34" i="14"/>
  <c r="W34" i="14" s="1"/>
  <c r="X34" i="14" s="1"/>
  <c r="AA34" i="14" s="1"/>
  <c r="U33" i="14"/>
  <c r="T33" i="14"/>
  <c r="U32" i="14"/>
  <c r="T32" i="14"/>
  <c r="U31" i="14"/>
  <c r="T31" i="14"/>
  <c r="U30" i="14"/>
  <c r="T30" i="14"/>
  <c r="S30" i="14"/>
  <c r="W30" i="14" s="1"/>
  <c r="X30" i="14" s="1"/>
  <c r="AA30" i="14" s="1"/>
  <c r="U29" i="14"/>
  <c r="T29" i="14"/>
  <c r="U28" i="14"/>
  <c r="T28" i="14"/>
  <c r="S28" i="14"/>
  <c r="W28" i="14" s="1"/>
  <c r="X28" i="14" s="1"/>
  <c r="AA28" i="14" s="1"/>
  <c r="U27" i="14"/>
  <c r="T27" i="14"/>
  <c r="S27" i="14"/>
  <c r="W27" i="14" s="1"/>
  <c r="X27" i="14" s="1"/>
  <c r="AA27" i="14" s="1"/>
  <c r="U26" i="14"/>
  <c r="T26" i="14"/>
  <c r="S26" i="14"/>
  <c r="W26" i="14" s="1"/>
  <c r="X26" i="14" s="1"/>
  <c r="AA26" i="14" s="1"/>
  <c r="U25" i="14"/>
  <c r="T25" i="14"/>
  <c r="U24" i="14"/>
  <c r="T24" i="14"/>
  <c r="U23" i="14"/>
  <c r="T23" i="14"/>
  <c r="U22" i="14"/>
  <c r="T22" i="14"/>
  <c r="U21" i="14"/>
  <c r="T21" i="14"/>
  <c r="U20" i="14"/>
  <c r="T20" i="14"/>
  <c r="U19" i="14"/>
  <c r="T19" i="14"/>
  <c r="S19" i="14"/>
  <c r="W19" i="14" s="1"/>
  <c r="X19" i="14" s="1"/>
  <c r="AA19" i="14" s="1"/>
  <c r="U18" i="14"/>
  <c r="T18" i="14"/>
  <c r="U17" i="14"/>
  <c r="T17" i="14"/>
  <c r="U16" i="14"/>
  <c r="T16" i="14"/>
  <c r="S16" i="14"/>
  <c r="W16" i="14" s="1"/>
  <c r="X16" i="14" s="1"/>
  <c r="AA16" i="14" s="1"/>
  <c r="U15" i="14"/>
  <c r="T15" i="14"/>
  <c r="S15" i="14"/>
  <c r="W15" i="14" s="1"/>
  <c r="X15" i="14" s="1"/>
  <c r="AA15" i="14" s="1"/>
  <c r="U14" i="14"/>
  <c r="T14" i="14"/>
  <c r="S14" i="14"/>
  <c r="W14" i="14" s="1"/>
  <c r="X14" i="14" s="1"/>
  <c r="AA14" i="14" s="1"/>
  <c r="U13" i="14"/>
  <c r="T13" i="14"/>
  <c r="U48" i="13" l="1"/>
  <c r="T48" i="13"/>
  <c r="S48" i="13"/>
  <c r="W48" i="13" s="1"/>
  <c r="X48" i="13" s="1"/>
  <c r="AA48" i="13" s="1"/>
  <c r="U47" i="13"/>
  <c r="T47" i="13"/>
  <c r="S47" i="13"/>
  <c r="W47" i="13" s="1"/>
  <c r="X47" i="13" s="1"/>
  <c r="AA47" i="13" s="1"/>
  <c r="U46" i="13"/>
  <c r="T46" i="13"/>
  <c r="S46" i="13"/>
  <c r="W46" i="13" s="1"/>
  <c r="X46" i="13" s="1"/>
  <c r="AA46" i="13" s="1"/>
  <c r="U45" i="13"/>
  <c r="T45" i="13"/>
  <c r="S45" i="13"/>
  <c r="W45" i="13" s="1"/>
  <c r="X45" i="13" s="1"/>
  <c r="AA45" i="13" s="1"/>
  <c r="U44" i="13"/>
  <c r="T44" i="13"/>
  <c r="S44" i="13"/>
  <c r="W44" i="13" s="1"/>
  <c r="X44" i="13" s="1"/>
  <c r="AA44" i="13" s="1"/>
  <c r="U43" i="13"/>
  <c r="T43" i="13"/>
  <c r="S43" i="13"/>
  <c r="W43" i="13" s="1"/>
  <c r="X43" i="13" s="1"/>
  <c r="AA43" i="13" s="1"/>
  <c r="U42" i="13"/>
  <c r="T42" i="13"/>
  <c r="S42" i="13"/>
  <c r="W42" i="13" s="1"/>
  <c r="X42" i="13" s="1"/>
  <c r="AA42" i="13" s="1"/>
  <c r="U41" i="13"/>
  <c r="T41" i="13"/>
  <c r="S41" i="13"/>
  <c r="W41" i="13" s="1"/>
  <c r="X41" i="13" s="1"/>
  <c r="AA41" i="13" s="1"/>
  <c r="U40" i="13"/>
  <c r="T40" i="13"/>
  <c r="S40" i="13"/>
  <c r="W40" i="13" s="1"/>
  <c r="X40" i="13" s="1"/>
  <c r="AA40" i="13" s="1"/>
  <c r="U39" i="13"/>
  <c r="T39" i="13"/>
  <c r="S39" i="13"/>
  <c r="W39" i="13" s="1"/>
  <c r="X39" i="13" s="1"/>
  <c r="AA39" i="13" s="1"/>
  <c r="U38" i="13"/>
  <c r="T38" i="13"/>
  <c r="S38" i="13"/>
  <c r="W38" i="13" s="1"/>
  <c r="X38" i="13" s="1"/>
  <c r="AA38" i="13" s="1"/>
  <c r="U37" i="13"/>
  <c r="T37" i="13"/>
  <c r="S37" i="13"/>
  <c r="W37" i="13" s="1"/>
  <c r="X37" i="13" s="1"/>
  <c r="AA37" i="13" s="1"/>
  <c r="U36" i="13"/>
  <c r="T36" i="13"/>
  <c r="S36" i="13"/>
  <c r="W36" i="13" s="1"/>
  <c r="X36" i="13" s="1"/>
  <c r="AA36" i="13" s="1"/>
  <c r="U35" i="13"/>
  <c r="T35" i="13"/>
  <c r="S35" i="13"/>
  <c r="W35" i="13" s="1"/>
  <c r="X35" i="13" s="1"/>
  <c r="AA35" i="13" s="1"/>
  <c r="U34" i="13"/>
  <c r="T34" i="13"/>
  <c r="S34" i="13"/>
  <c r="W34" i="13" s="1"/>
  <c r="X34" i="13" s="1"/>
  <c r="AA34" i="13" s="1"/>
  <c r="U33" i="13"/>
  <c r="T33" i="13"/>
  <c r="S33" i="13"/>
  <c r="W33" i="13" s="1"/>
  <c r="X33" i="13" s="1"/>
  <c r="AA33" i="13" s="1"/>
  <c r="U32" i="13"/>
  <c r="T32" i="13"/>
  <c r="S32" i="13"/>
  <c r="W32" i="13" s="1"/>
  <c r="X32" i="13" s="1"/>
  <c r="AA32" i="13" s="1"/>
  <c r="U31" i="13"/>
  <c r="T31" i="13"/>
  <c r="S31" i="13"/>
  <c r="W31" i="13" s="1"/>
  <c r="X31" i="13" s="1"/>
  <c r="AA31" i="13" s="1"/>
  <c r="U30" i="13"/>
  <c r="T30" i="13"/>
  <c r="S30" i="13"/>
  <c r="W30" i="13" s="1"/>
  <c r="X30" i="13" s="1"/>
  <c r="AA30" i="13" s="1"/>
  <c r="U29" i="13"/>
  <c r="T29" i="13"/>
  <c r="S29" i="13"/>
  <c r="W29" i="13" s="1"/>
  <c r="X29" i="13" s="1"/>
  <c r="AA29" i="13" s="1"/>
  <c r="U28" i="13"/>
  <c r="T28" i="13"/>
  <c r="S28" i="13"/>
  <c r="W28" i="13" s="1"/>
  <c r="X28" i="13" s="1"/>
  <c r="AA28" i="13" s="1"/>
  <c r="U27" i="13"/>
  <c r="T27" i="13"/>
  <c r="S27" i="13"/>
  <c r="W27" i="13" s="1"/>
  <c r="X27" i="13" s="1"/>
  <c r="AA27" i="13" s="1"/>
  <c r="U26" i="13"/>
  <c r="T26" i="13"/>
  <c r="S26" i="13"/>
  <c r="W26" i="13" s="1"/>
  <c r="X26" i="13" s="1"/>
  <c r="AA26" i="13" s="1"/>
  <c r="U25" i="13"/>
  <c r="T25" i="13"/>
  <c r="S25" i="13"/>
  <c r="W25" i="13" s="1"/>
  <c r="X25" i="13" s="1"/>
  <c r="AA25" i="13" s="1"/>
  <c r="U24" i="13"/>
  <c r="T24" i="13"/>
  <c r="S24" i="13"/>
  <c r="W24" i="13" s="1"/>
  <c r="X24" i="13" s="1"/>
  <c r="AA24" i="13" s="1"/>
  <c r="U23" i="13"/>
  <c r="T23" i="13"/>
  <c r="S23" i="13"/>
  <c r="W23" i="13" s="1"/>
  <c r="X23" i="13" s="1"/>
  <c r="AA23" i="13" s="1"/>
  <c r="U22" i="13"/>
  <c r="T22" i="13"/>
  <c r="S22" i="13"/>
  <c r="W22" i="13" s="1"/>
  <c r="X22" i="13" s="1"/>
  <c r="AA22" i="13" s="1"/>
  <c r="U21" i="13"/>
  <c r="T21" i="13"/>
  <c r="S21" i="13"/>
  <c r="W21" i="13" s="1"/>
  <c r="X21" i="13" s="1"/>
  <c r="AA21" i="13" s="1"/>
  <c r="U20" i="13"/>
  <c r="T20" i="13"/>
  <c r="S20" i="13"/>
  <c r="W20" i="13" s="1"/>
  <c r="X20" i="13" s="1"/>
  <c r="AA20" i="13" s="1"/>
  <c r="U19" i="13"/>
  <c r="T19" i="13"/>
  <c r="S19" i="13"/>
  <c r="W19" i="13" s="1"/>
  <c r="X19" i="13" s="1"/>
  <c r="AA19" i="13" s="1"/>
  <c r="U18" i="13"/>
  <c r="T18" i="13"/>
  <c r="S18" i="13"/>
  <c r="W18" i="13" s="1"/>
  <c r="X18" i="13" s="1"/>
  <c r="AA18" i="13" s="1"/>
  <c r="U17" i="13"/>
  <c r="T17" i="13"/>
  <c r="S17" i="13"/>
  <c r="W17" i="13" s="1"/>
  <c r="X17" i="13" s="1"/>
  <c r="AA17" i="13" s="1"/>
  <c r="U16" i="13"/>
  <c r="T16" i="13"/>
  <c r="S16" i="13"/>
  <c r="W16" i="13" s="1"/>
  <c r="X16" i="13" s="1"/>
  <c r="AA16" i="13" s="1"/>
  <c r="U15" i="13"/>
  <c r="T15" i="13"/>
  <c r="S15" i="13"/>
  <c r="W15" i="13" s="1"/>
  <c r="X15" i="13" s="1"/>
  <c r="AA15" i="13" s="1"/>
  <c r="U14" i="13"/>
  <c r="T14" i="13"/>
  <c r="S14" i="13"/>
  <c r="W14" i="13" s="1"/>
  <c r="X14" i="13" s="1"/>
  <c r="AA14" i="13" s="1"/>
  <c r="U13" i="13"/>
  <c r="T13" i="13"/>
  <c r="S13" i="13"/>
  <c r="W13" i="13" s="1"/>
  <c r="X13" i="13" s="1"/>
  <c r="AA13" i="13" s="1"/>
  <c r="S14" i="1"/>
  <c r="S15" i="1"/>
  <c r="W15" i="1" s="1"/>
  <c r="X15" i="1" s="1"/>
  <c r="AA15" i="1" s="1"/>
  <c r="S16" i="1"/>
  <c r="W16" i="1" s="1"/>
  <c r="X16" i="1" s="1"/>
  <c r="AA16" i="1" s="1"/>
  <c r="S17" i="1"/>
  <c r="W17" i="1" s="1"/>
  <c r="X17" i="1" s="1"/>
  <c r="AA17" i="1" s="1"/>
  <c r="S18" i="1"/>
  <c r="W18" i="1" s="1"/>
  <c r="X18" i="1" s="1"/>
  <c r="AA18" i="1" s="1"/>
  <c r="S19" i="1"/>
  <c r="W19" i="1" s="1"/>
  <c r="X19" i="1" s="1"/>
  <c r="AA19" i="1" s="1"/>
  <c r="S20" i="1"/>
  <c r="W20" i="1" s="1"/>
  <c r="X20" i="1" s="1"/>
  <c r="AA20" i="1" s="1"/>
  <c r="S21" i="1"/>
  <c r="W21" i="1" s="1"/>
  <c r="X21" i="1" s="1"/>
  <c r="AA21" i="1" s="1"/>
  <c r="S22" i="1"/>
  <c r="W22" i="1" s="1"/>
  <c r="X22" i="1" s="1"/>
  <c r="AA22" i="1" s="1"/>
  <c r="S23" i="1"/>
  <c r="W23" i="1" s="1"/>
  <c r="X23" i="1" s="1"/>
  <c r="AA23" i="1" s="1"/>
  <c r="S24" i="1"/>
  <c r="W24" i="1" s="1"/>
  <c r="X24" i="1" s="1"/>
  <c r="AA24" i="1" s="1"/>
  <c r="S25" i="1"/>
  <c r="W25" i="1" s="1"/>
  <c r="X25" i="1" s="1"/>
  <c r="AA25" i="1" s="1"/>
  <c r="S26" i="1"/>
  <c r="W26" i="1" s="1"/>
  <c r="X26" i="1" s="1"/>
  <c r="AA26" i="1" s="1"/>
  <c r="S27" i="1"/>
  <c r="W27" i="1" s="1"/>
  <c r="X27" i="1" s="1"/>
  <c r="AA27" i="1" s="1"/>
  <c r="S28" i="1"/>
  <c r="W28" i="1" s="1"/>
  <c r="X28" i="1" s="1"/>
  <c r="AA28" i="1" s="1"/>
  <c r="S29" i="1"/>
  <c r="W29" i="1" s="1"/>
  <c r="X29" i="1" s="1"/>
  <c r="AA29" i="1" s="1"/>
  <c r="S30" i="1"/>
  <c r="W30" i="1" s="1"/>
  <c r="X30" i="1" s="1"/>
  <c r="AA30" i="1" s="1"/>
  <c r="S31" i="1"/>
  <c r="W31" i="1" s="1"/>
  <c r="X31" i="1" s="1"/>
  <c r="AA31" i="1" s="1"/>
  <c r="S32" i="1"/>
  <c r="W32" i="1" s="1"/>
  <c r="X32" i="1" s="1"/>
  <c r="AA32" i="1" s="1"/>
  <c r="S33" i="1"/>
  <c r="W33" i="1" s="1"/>
  <c r="X33" i="1" s="1"/>
  <c r="AA33" i="1" s="1"/>
  <c r="S34" i="1"/>
  <c r="W34" i="1" s="1"/>
  <c r="X34" i="1" s="1"/>
  <c r="AA34" i="1" s="1"/>
  <c r="S35" i="1"/>
  <c r="W35" i="1" s="1"/>
  <c r="X35" i="1" s="1"/>
  <c r="AA35" i="1" s="1"/>
  <c r="S36" i="1"/>
  <c r="W36" i="1" s="1"/>
  <c r="X36" i="1" s="1"/>
  <c r="AA36" i="1" s="1"/>
  <c r="S37" i="1"/>
  <c r="W37" i="1" s="1"/>
  <c r="X37" i="1" s="1"/>
  <c r="AA37" i="1" s="1"/>
  <c r="S38" i="1"/>
  <c r="W38" i="1" s="1"/>
  <c r="X38" i="1" s="1"/>
  <c r="AA38" i="1" s="1"/>
  <c r="S39" i="1"/>
  <c r="W39" i="1" s="1"/>
  <c r="X39" i="1" s="1"/>
  <c r="AA39" i="1" s="1"/>
  <c r="S40" i="1"/>
  <c r="W40" i="1" s="1"/>
  <c r="X40" i="1" s="1"/>
  <c r="AA40" i="1" s="1"/>
  <c r="S41" i="1"/>
  <c r="W41" i="1" s="1"/>
  <c r="X41" i="1" s="1"/>
  <c r="AA41" i="1" s="1"/>
  <c r="S42" i="1"/>
  <c r="W42" i="1" s="1"/>
  <c r="X42" i="1" s="1"/>
  <c r="AA42" i="1" s="1"/>
  <c r="S43" i="1"/>
  <c r="W43" i="1" s="1"/>
  <c r="X43" i="1" s="1"/>
  <c r="AA43" i="1" s="1"/>
  <c r="S44" i="1"/>
  <c r="W44" i="1" s="1"/>
  <c r="X44" i="1" s="1"/>
  <c r="AA44" i="1" s="1"/>
  <c r="S45" i="1"/>
  <c r="W45" i="1" s="1"/>
  <c r="X45" i="1" s="1"/>
  <c r="AA45" i="1" s="1"/>
  <c r="S46" i="1"/>
  <c r="W46" i="1" s="1"/>
  <c r="X46" i="1" s="1"/>
  <c r="AA46" i="1" s="1"/>
  <c r="S47" i="1"/>
  <c r="W47" i="1" s="1"/>
  <c r="X47" i="1" s="1"/>
  <c r="AA47" i="1" s="1"/>
  <c r="S48" i="1"/>
  <c r="W48" i="1" s="1"/>
  <c r="X48" i="1" s="1"/>
  <c r="AA48" i="1" s="1"/>
  <c r="S13" i="1"/>
  <c r="W13" i="1" s="1"/>
  <c r="X13" i="1" s="1"/>
  <c r="AA13" i="1" s="1"/>
  <c r="U48" i="5"/>
  <c r="T48" i="5"/>
  <c r="S48" i="5"/>
  <c r="W48" i="5" s="1"/>
  <c r="X48" i="5" s="1"/>
  <c r="AA48" i="5" s="1"/>
  <c r="U47" i="5"/>
  <c r="T47" i="5"/>
  <c r="S47" i="5"/>
  <c r="W47" i="5" s="1"/>
  <c r="X47" i="5" s="1"/>
  <c r="AA47" i="5" s="1"/>
  <c r="U46" i="5"/>
  <c r="T46" i="5"/>
  <c r="S46" i="5"/>
  <c r="W46" i="5" s="1"/>
  <c r="X46" i="5" s="1"/>
  <c r="AA46" i="5" s="1"/>
  <c r="U45" i="5"/>
  <c r="T45" i="5"/>
  <c r="S45" i="5"/>
  <c r="W45" i="5" s="1"/>
  <c r="X45" i="5" s="1"/>
  <c r="AA45" i="5" s="1"/>
  <c r="U44" i="5"/>
  <c r="T44" i="5"/>
  <c r="S44" i="5"/>
  <c r="W44" i="5" s="1"/>
  <c r="X44" i="5" s="1"/>
  <c r="AA44" i="5" s="1"/>
  <c r="U43" i="5"/>
  <c r="T43" i="5"/>
  <c r="S43" i="5"/>
  <c r="W43" i="5" s="1"/>
  <c r="X43" i="5" s="1"/>
  <c r="AA43" i="5" s="1"/>
  <c r="U42" i="5"/>
  <c r="T42" i="5"/>
  <c r="S42" i="5"/>
  <c r="W42" i="5" s="1"/>
  <c r="X42" i="5" s="1"/>
  <c r="AA42" i="5" s="1"/>
  <c r="U41" i="5"/>
  <c r="T41" i="5"/>
  <c r="S41" i="5"/>
  <c r="W41" i="5" s="1"/>
  <c r="X41" i="5" s="1"/>
  <c r="AA41" i="5" s="1"/>
  <c r="U40" i="5"/>
  <c r="T40" i="5"/>
  <c r="S40" i="5"/>
  <c r="W40" i="5" s="1"/>
  <c r="X40" i="5" s="1"/>
  <c r="AA40" i="5" s="1"/>
  <c r="U39" i="5"/>
  <c r="T39" i="5"/>
  <c r="S39" i="5"/>
  <c r="W39" i="5" s="1"/>
  <c r="X39" i="5" s="1"/>
  <c r="AA39" i="5" s="1"/>
  <c r="U38" i="5"/>
  <c r="T38" i="5"/>
  <c r="S38" i="5"/>
  <c r="W38" i="5" s="1"/>
  <c r="X38" i="5" s="1"/>
  <c r="AA38" i="5" s="1"/>
  <c r="U37" i="5"/>
  <c r="T37" i="5"/>
  <c r="S37" i="5"/>
  <c r="W37" i="5" s="1"/>
  <c r="X37" i="5" s="1"/>
  <c r="AA37" i="5" s="1"/>
  <c r="U36" i="5"/>
  <c r="T36" i="5"/>
  <c r="S36" i="5"/>
  <c r="W36" i="5" s="1"/>
  <c r="X36" i="5" s="1"/>
  <c r="AA36" i="5" s="1"/>
  <c r="U35" i="5"/>
  <c r="T35" i="5"/>
  <c r="S35" i="5"/>
  <c r="W35" i="5" s="1"/>
  <c r="X35" i="5" s="1"/>
  <c r="AA35" i="5" s="1"/>
  <c r="U34" i="5"/>
  <c r="T34" i="5"/>
  <c r="S34" i="5"/>
  <c r="W34" i="5" s="1"/>
  <c r="X34" i="5" s="1"/>
  <c r="AA34" i="5" s="1"/>
  <c r="U33" i="5"/>
  <c r="T33" i="5"/>
  <c r="S33" i="5"/>
  <c r="W33" i="5" s="1"/>
  <c r="X33" i="5" s="1"/>
  <c r="AA33" i="5" s="1"/>
  <c r="U32" i="5"/>
  <c r="T32" i="5"/>
  <c r="S32" i="5"/>
  <c r="W32" i="5" s="1"/>
  <c r="X32" i="5" s="1"/>
  <c r="AA32" i="5" s="1"/>
  <c r="U31" i="5"/>
  <c r="T31" i="5"/>
  <c r="S31" i="5"/>
  <c r="W31" i="5" s="1"/>
  <c r="X31" i="5" s="1"/>
  <c r="AA31" i="5" s="1"/>
  <c r="U30" i="5"/>
  <c r="T30" i="5"/>
  <c r="S30" i="5"/>
  <c r="W30" i="5" s="1"/>
  <c r="X30" i="5" s="1"/>
  <c r="AA30" i="5" s="1"/>
  <c r="U29" i="5"/>
  <c r="T29" i="5"/>
  <c r="S29" i="5"/>
  <c r="W29" i="5" s="1"/>
  <c r="X29" i="5" s="1"/>
  <c r="AA29" i="5" s="1"/>
  <c r="U28" i="5"/>
  <c r="T28" i="5"/>
  <c r="S28" i="5"/>
  <c r="W28" i="5" s="1"/>
  <c r="X28" i="5" s="1"/>
  <c r="AA28" i="5" s="1"/>
  <c r="U27" i="5"/>
  <c r="T27" i="5"/>
  <c r="S27" i="5"/>
  <c r="W27" i="5" s="1"/>
  <c r="X27" i="5" s="1"/>
  <c r="AA27" i="5" s="1"/>
  <c r="U26" i="5"/>
  <c r="T26" i="5"/>
  <c r="S26" i="5"/>
  <c r="W26" i="5" s="1"/>
  <c r="X26" i="5" s="1"/>
  <c r="AA26" i="5" s="1"/>
  <c r="U25" i="5"/>
  <c r="T25" i="5"/>
  <c r="S25" i="5"/>
  <c r="W25" i="5" s="1"/>
  <c r="X25" i="5" s="1"/>
  <c r="AA25" i="5" s="1"/>
  <c r="U24" i="5"/>
  <c r="T24" i="5"/>
  <c r="S24" i="5"/>
  <c r="W24" i="5" s="1"/>
  <c r="X24" i="5" s="1"/>
  <c r="AA24" i="5" s="1"/>
  <c r="U23" i="5"/>
  <c r="T23" i="5"/>
  <c r="S23" i="5"/>
  <c r="W23" i="5" s="1"/>
  <c r="X23" i="5" s="1"/>
  <c r="AA23" i="5" s="1"/>
  <c r="U22" i="5"/>
  <c r="T22" i="5"/>
  <c r="S22" i="5"/>
  <c r="W22" i="5" s="1"/>
  <c r="X22" i="5" s="1"/>
  <c r="AA22" i="5" s="1"/>
  <c r="U21" i="5"/>
  <c r="T21" i="5"/>
  <c r="S21" i="5"/>
  <c r="W21" i="5" s="1"/>
  <c r="X21" i="5" s="1"/>
  <c r="AA21" i="5" s="1"/>
  <c r="U20" i="5"/>
  <c r="T20" i="5"/>
  <c r="S20" i="5"/>
  <c r="W20" i="5" s="1"/>
  <c r="X20" i="5" s="1"/>
  <c r="AA20" i="5" s="1"/>
  <c r="U19" i="5"/>
  <c r="T19" i="5"/>
  <c r="S19" i="5"/>
  <c r="W19" i="5" s="1"/>
  <c r="X19" i="5" s="1"/>
  <c r="AA19" i="5" s="1"/>
  <c r="U18" i="5"/>
  <c r="T18" i="5"/>
  <c r="S18" i="5"/>
  <c r="W18" i="5" s="1"/>
  <c r="X18" i="5" s="1"/>
  <c r="AA18" i="5" s="1"/>
  <c r="U17" i="5"/>
  <c r="T17" i="5"/>
  <c r="S17" i="5"/>
  <c r="W17" i="5" s="1"/>
  <c r="X17" i="5" s="1"/>
  <c r="AA17" i="5" s="1"/>
  <c r="U16" i="5"/>
  <c r="T16" i="5"/>
  <c r="S16" i="5"/>
  <c r="W16" i="5" s="1"/>
  <c r="X16" i="5" s="1"/>
  <c r="AA16" i="5" s="1"/>
  <c r="U15" i="5"/>
  <c r="T15" i="5"/>
  <c r="S15" i="5"/>
  <c r="W15" i="5" s="1"/>
  <c r="X15" i="5" s="1"/>
  <c r="AA15" i="5" s="1"/>
  <c r="U14" i="5"/>
  <c r="T14" i="5"/>
  <c r="S14" i="5"/>
  <c r="W14" i="5" s="1"/>
  <c r="X14" i="5" s="1"/>
  <c r="AA14" i="5" s="1"/>
  <c r="U13" i="5"/>
  <c r="T13" i="5"/>
  <c r="S13" i="5"/>
  <c r="U48" i="4"/>
  <c r="T48" i="4"/>
  <c r="S48" i="4"/>
  <c r="W48" i="4" s="1"/>
  <c r="X48" i="4" s="1"/>
  <c r="AA48" i="4" s="1"/>
  <c r="U47" i="4"/>
  <c r="T47" i="4"/>
  <c r="S47" i="4"/>
  <c r="W47" i="4" s="1"/>
  <c r="X47" i="4" s="1"/>
  <c r="AA47" i="4" s="1"/>
  <c r="U46" i="4"/>
  <c r="T46" i="4"/>
  <c r="S46" i="4"/>
  <c r="W46" i="4" s="1"/>
  <c r="X46" i="4" s="1"/>
  <c r="AA46" i="4" s="1"/>
  <c r="U45" i="4"/>
  <c r="T45" i="4"/>
  <c r="S45" i="4"/>
  <c r="W45" i="4" s="1"/>
  <c r="X45" i="4" s="1"/>
  <c r="AA45" i="4" s="1"/>
  <c r="U44" i="4"/>
  <c r="T44" i="4"/>
  <c r="S44" i="4"/>
  <c r="W44" i="4" s="1"/>
  <c r="X44" i="4" s="1"/>
  <c r="AA44" i="4" s="1"/>
  <c r="U43" i="4"/>
  <c r="T43" i="4"/>
  <c r="S43" i="4"/>
  <c r="W43" i="4" s="1"/>
  <c r="X43" i="4" s="1"/>
  <c r="AA43" i="4" s="1"/>
  <c r="U42" i="4"/>
  <c r="T42" i="4"/>
  <c r="S42" i="4"/>
  <c r="W42" i="4" s="1"/>
  <c r="X42" i="4" s="1"/>
  <c r="AA42" i="4" s="1"/>
  <c r="U41" i="4"/>
  <c r="T41" i="4"/>
  <c r="S41" i="4"/>
  <c r="W41" i="4" s="1"/>
  <c r="X41" i="4" s="1"/>
  <c r="AA41" i="4" s="1"/>
  <c r="U40" i="4"/>
  <c r="T40" i="4"/>
  <c r="S40" i="4"/>
  <c r="W40" i="4" s="1"/>
  <c r="X40" i="4" s="1"/>
  <c r="AA40" i="4" s="1"/>
  <c r="U39" i="4"/>
  <c r="T39" i="4"/>
  <c r="S39" i="4"/>
  <c r="W39" i="4" s="1"/>
  <c r="X39" i="4" s="1"/>
  <c r="AA39" i="4" s="1"/>
  <c r="U38" i="4"/>
  <c r="T38" i="4"/>
  <c r="S38" i="4"/>
  <c r="W38" i="4" s="1"/>
  <c r="X38" i="4" s="1"/>
  <c r="AA38" i="4" s="1"/>
  <c r="U37" i="4"/>
  <c r="T37" i="4"/>
  <c r="S37" i="4"/>
  <c r="W37" i="4" s="1"/>
  <c r="X37" i="4" s="1"/>
  <c r="AA37" i="4" s="1"/>
  <c r="U36" i="4"/>
  <c r="T36" i="4"/>
  <c r="S36" i="4"/>
  <c r="W36" i="4" s="1"/>
  <c r="X36" i="4" s="1"/>
  <c r="AA36" i="4" s="1"/>
  <c r="U35" i="4"/>
  <c r="T35" i="4"/>
  <c r="S35" i="4"/>
  <c r="W35" i="4" s="1"/>
  <c r="X35" i="4" s="1"/>
  <c r="AA35" i="4" s="1"/>
  <c r="U34" i="4"/>
  <c r="T34" i="4"/>
  <c r="S34" i="4"/>
  <c r="W34" i="4" s="1"/>
  <c r="X34" i="4" s="1"/>
  <c r="AA34" i="4" s="1"/>
  <c r="U33" i="4"/>
  <c r="T33" i="4"/>
  <c r="S33" i="4"/>
  <c r="W33" i="4" s="1"/>
  <c r="X33" i="4" s="1"/>
  <c r="AA33" i="4" s="1"/>
  <c r="U32" i="4"/>
  <c r="T32" i="4"/>
  <c r="S32" i="4"/>
  <c r="W32" i="4" s="1"/>
  <c r="X32" i="4" s="1"/>
  <c r="AA32" i="4" s="1"/>
  <c r="U31" i="4"/>
  <c r="T31" i="4"/>
  <c r="S31" i="4"/>
  <c r="W31" i="4" s="1"/>
  <c r="X31" i="4" s="1"/>
  <c r="AA31" i="4" s="1"/>
  <c r="U30" i="4"/>
  <c r="T30" i="4"/>
  <c r="S30" i="4"/>
  <c r="W30" i="4" s="1"/>
  <c r="X30" i="4" s="1"/>
  <c r="AA30" i="4" s="1"/>
  <c r="U29" i="4"/>
  <c r="T29" i="4"/>
  <c r="S29" i="4"/>
  <c r="W29" i="4" s="1"/>
  <c r="X29" i="4" s="1"/>
  <c r="AA29" i="4" s="1"/>
  <c r="U28" i="4"/>
  <c r="T28" i="4"/>
  <c r="S28" i="4"/>
  <c r="W28" i="4" s="1"/>
  <c r="X28" i="4" s="1"/>
  <c r="AA28" i="4" s="1"/>
  <c r="U27" i="4"/>
  <c r="T27" i="4"/>
  <c r="S27" i="4"/>
  <c r="W27" i="4" s="1"/>
  <c r="X27" i="4" s="1"/>
  <c r="AA27" i="4" s="1"/>
  <c r="U26" i="4"/>
  <c r="T26" i="4"/>
  <c r="S26" i="4"/>
  <c r="W26" i="4" s="1"/>
  <c r="X26" i="4" s="1"/>
  <c r="AA26" i="4" s="1"/>
  <c r="U25" i="4"/>
  <c r="T25" i="4"/>
  <c r="S25" i="4"/>
  <c r="W25" i="4" s="1"/>
  <c r="X25" i="4" s="1"/>
  <c r="AA25" i="4" s="1"/>
  <c r="U24" i="4"/>
  <c r="T24" i="4"/>
  <c r="S24" i="4"/>
  <c r="W24" i="4" s="1"/>
  <c r="X24" i="4" s="1"/>
  <c r="AA24" i="4" s="1"/>
  <c r="U23" i="4"/>
  <c r="T23" i="4"/>
  <c r="S23" i="4"/>
  <c r="W23" i="4" s="1"/>
  <c r="X23" i="4" s="1"/>
  <c r="AA23" i="4" s="1"/>
  <c r="U22" i="4"/>
  <c r="T22" i="4"/>
  <c r="S22" i="4"/>
  <c r="W22" i="4" s="1"/>
  <c r="X22" i="4" s="1"/>
  <c r="AA22" i="4" s="1"/>
  <c r="U21" i="4"/>
  <c r="T21" i="4"/>
  <c r="S21" i="4"/>
  <c r="W21" i="4" s="1"/>
  <c r="X21" i="4" s="1"/>
  <c r="AA21" i="4" s="1"/>
  <c r="U20" i="4"/>
  <c r="T20" i="4"/>
  <c r="S20" i="4"/>
  <c r="W20" i="4" s="1"/>
  <c r="X20" i="4" s="1"/>
  <c r="AA20" i="4" s="1"/>
  <c r="U19" i="4"/>
  <c r="T19" i="4"/>
  <c r="S19" i="4"/>
  <c r="W19" i="4" s="1"/>
  <c r="X19" i="4" s="1"/>
  <c r="AA19" i="4" s="1"/>
  <c r="U18" i="4"/>
  <c r="T18" i="4"/>
  <c r="S18" i="4"/>
  <c r="W18" i="4" s="1"/>
  <c r="X18" i="4" s="1"/>
  <c r="AA18" i="4" s="1"/>
  <c r="U17" i="4"/>
  <c r="T17" i="4"/>
  <c r="S17" i="4"/>
  <c r="W17" i="4" s="1"/>
  <c r="X17" i="4" s="1"/>
  <c r="AA17" i="4" s="1"/>
  <c r="U16" i="4"/>
  <c r="T16" i="4"/>
  <c r="S16" i="4"/>
  <c r="W16" i="4" s="1"/>
  <c r="X16" i="4" s="1"/>
  <c r="AA16" i="4" s="1"/>
  <c r="U15" i="4"/>
  <c r="T15" i="4"/>
  <c r="S15" i="4"/>
  <c r="W15" i="4" s="1"/>
  <c r="X15" i="4" s="1"/>
  <c r="AA15" i="4" s="1"/>
  <c r="U14" i="4"/>
  <c r="T14" i="4"/>
  <c r="S14" i="4"/>
  <c r="W14" i="4" s="1"/>
  <c r="X14" i="4" s="1"/>
  <c r="AA14" i="4" s="1"/>
  <c r="U13" i="4"/>
  <c r="T13" i="4"/>
  <c r="S13" i="4"/>
  <c r="U48" i="3"/>
  <c r="T48" i="3"/>
  <c r="S48" i="3"/>
  <c r="W48" i="3" s="1"/>
  <c r="X48" i="3" s="1"/>
  <c r="AA48" i="3" s="1"/>
  <c r="U47" i="3"/>
  <c r="T47" i="3"/>
  <c r="S47" i="3"/>
  <c r="W47" i="3" s="1"/>
  <c r="X47" i="3" s="1"/>
  <c r="AA47" i="3" s="1"/>
  <c r="U46" i="3"/>
  <c r="T46" i="3"/>
  <c r="S46" i="3"/>
  <c r="W46" i="3" s="1"/>
  <c r="X46" i="3" s="1"/>
  <c r="AA46" i="3" s="1"/>
  <c r="U45" i="3"/>
  <c r="T45" i="3"/>
  <c r="S45" i="3"/>
  <c r="W45" i="3" s="1"/>
  <c r="X45" i="3" s="1"/>
  <c r="AA45" i="3" s="1"/>
  <c r="U44" i="3"/>
  <c r="T44" i="3"/>
  <c r="S44" i="3"/>
  <c r="W44" i="3" s="1"/>
  <c r="X44" i="3" s="1"/>
  <c r="AA44" i="3" s="1"/>
  <c r="U43" i="3"/>
  <c r="T43" i="3"/>
  <c r="S43" i="3"/>
  <c r="W43" i="3" s="1"/>
  <c r="X43" i="3" s="1"/>
  <c r="AA43" i="3" s="1"/>
  <c r="U42" i="3"/>
  <c r="T42" i="3"/>
  <c r="S42" i="3"/>
  <c r="W42" i="3" s="1"/>
  <c r="X42" i="3" s="1"/>
  <c r="AA42" i="3" s="1"/>
  <c r="U41" i="3"/>
  <c r="T41" i="3"/>
  <c r="S41" i="3"/>
  <c r="W41" i="3" s="1"/>
  <c r="X41" i="3" s="1"/>
  <c r="AA41" i="3" s="1"/>
  <c r="U40" i="3"/>
  <c r="T40" i="3"/>
  <c r="S40" i="3"/>
  <c r="W40" i="3" s="1"/>
  <c r="X40" i="3" s="1"/>
  <c r="AA40" i="3" s="1"/>
  <c r="U39" i="3"/>
  <c r="T39" i="3"/>
  <c r="S39" i="3"/>
  <c r="W39" i="3" s="1"/>
  <c r="X39" i="3" s="1"/>
  <c r="AA39" i="3" s="1"/>
  <c r="U38" i="3"/>
  <c r="T38" i="3"/>
  <c r="S38" i="3"/>
  <c r="W38" i="3" s="1"/>
  <c r="X38" i="3" s="1"/>
  <c r="AA38" i="3" s="1"/>
  <c r="U37" i="3"/>
  <c r="T37" i="3"/>
  <c r="S37" i="3"/>
  <c r="W37" i="3" s="1"/>
  <c r="X37" i="3" s="1"/>
  <c r="AA37" i="3" s="1"/>
  <c r="U36" i="3"/>
  <c r="T36" i="3"/>
  <c r="S36" i="3"/>
  <c r="W36" i="3" s="1"/>
  <c r="X36" i="3" s="1"/>
  <c r="AA36" i="3" s="1"/>
  <c r="U35" i="3"/>
  <c r="T35" i="3"/>
  <c r="S35" i="3"/>
  <c r="W35" i="3" s="1"/>
  <c r="X35" i="3" s="1"/>
  <c r="AA35" i="3" s="1"/>
  <c r="U34" i="3"/>
  <c r="T34" i="3"/>
  <c r="S34" i="3"/>
  <c r="W34" i="3" s="1"/>
  <c r="X34" i="3" s="1"/>
  <c r="AA34" i="3" s="1"/>
  <c r="U33" i="3"/>
  <c r="T33" i="3"/>
  <c r="S33" i="3"/>
  <c r="W33" i="3" s="1"/>
  <c r="X33" i="3" s="1"/>
  <c r="AA33" i="3" s="1"/>
  <c r="U32" i="3"/>
  <c r="T32" i="3"/>
  <c r="S32" i="3"/>
  <c r="W32" i="3" s="1"/>
  <c r="X32" i="3" s="1"/>
  <c r="AA32" i="3" s="1"/>
  <c r="U31" i="3"/>
  <c r="T31" i="3"/>
  <c r="S31" i="3"/>
  <c r="W31" i="3" s="1"/>
  <c r="X31" i="3" s="1"/>
  <c r="AA31" i="3" s="1"/>
  <c r="U30" i="3"/>
  <c r="T30" i="3"/>
  <c r="S30" i="3"/>
  <c r="W30" i="3" s="1"/>
  <c r="X30" i="3" s="1"/>
  <c r="AA30" i="3" s="1"/>
  <c r="U29" i="3"/>
  <c r="T29" i="3"/>
  <c r="S29" i="3"/>
  <c r="W29" i="3" s="1"/>
  <c r="X29" i="3" s="1"/>
  <c r="AA29" i="3" s="1"/>
  <c r="U28" i="3"/>
  <c r="T28" i="3"/>
  <c r="S28" i="3"/>
  <c r="W28" i="3" s="1"/>
  <c r="X28" i="3" s="1"/>
  <c r="AA28" i="3" s="1"/>
  <c r="U27" i="3"/>
  <c r="T27" i="3"/>
  <c r="S27" i="3"/>
  <c r="W27" i="3" s="1"/>
  <c r="X27" i="3" s="1"/>
  <c r="AA27" i="3" s="1"/>
  <c r="U26" i="3"/>
  <c r="T26" i="3"/>
  <c r="S26" i="3"/>
  <c r="W26" i="3" s="1"/>
  <c r="X26" i="3" s="1"/>
  <c r="AA26" i="3" s="1"/>
  <c r="U25" i="3"/>
  <c r="T25" i="3"/>
  <c r="S25" i="3"/>
  <c r="W25" i="3" s="1"/>
  <c r="X25" i="3" s="1"/>
  <c r="AA25" i="3" s="1"/>
  <c r="U24" i="3"/>
  <c r="T24" i="3"/>
  <c r="S24" i="3"/>
  <c r="W24" i="3" s="1"/>
  <c r="X24" i="3" s="1"/>
  <c r="AA24" i="3" s="1"/>
  <c r="U23" i="3"/>
  <c r="T23" i="3"/>
  <c r="S23" i="3"/>
  <c r="W23" i="3" s="1"/>
  <c r="X23" i="3" s="1"/>
  <c r="AA23" i="3" s="1"/>
  <c r="U22" i="3"/>
  <c r="T22" i="3"/>
  <c r="S22" i="3"/>
  <c r="W22" i="3" s="1"/>
  <c r="X22" i="3" s="1"/>
  <c r="AA22" i="3" s="1"/>
  <c r="U21" i="3"/>
  <c r="T21" i="3"/>
  <c r="S21" i="3"/>
  <c r="W21" i="3" s="1"/>
  <c r="X21" i="3" s="1"/>
  <c r="AA21" i="3" s="1"/>
  <c r="U20" i="3"/>
  <c r="T20" i="3"/>
  <c r="S20" i="3"/>
  <c r="W20" i="3" s="1"/>
  <c r="X20" i="3" s="1"/>
  <c r="AA20" i="3" s="1"/>
  <c r="U19" i="3"/>
  <c r="T19" i="3"/>
  <c r="S19" i="3"/>
  <c r="W19" i="3" s="1"/>
  <c r="X19" i="3" s="1"/>
  <c r="AA19" i="3" s="1"/>
  <c r="U18" i="3"/>
  <c r="T18" i="3"/>
  <c r="S18" i="3"/>
  <c r="W18" i="3" s="1"/>
  <c r="X18" i="3" s="1"/>
  <c r="AA18" i="3" s="1"/>
  <c r="U17" i="3"/>
  <c r="T17" i="3"/>
  <c r="S17" i="3"/>
  <c r="W17" i="3" s="1"/>
  <c r="X17" i="3" s="1"/>
  <c r="AA17" i="3" s="1"/>
  <c r="U16" i="3"/>
  <c r="T16" i="3"/>
  <c r="S16" i="3"/>
  <c r="W16" i="3" s="1"/>
  <c r="X16" i="3" s="1"/>
  <c r="AA16" i="3" s="1"/>
  <c r="U15" i="3"/>
  <c r="T15" i="3"/>
  <c r="S15" i="3"/>
  <c r="W15" i="3" s="1"/>
  <c r="X15" i="3" s="1"/>
  <c r="AA15" i="3" s="1"/>
  <c r="U14" i="3"/>
  <c r="T14" i="3"/>
  <c r="S14" i="3"/>
  <c r="W14" i="3" s="1"/>
  <c r="X14" i="3" s="1"/>
  <c r="AA14" i="3" s="1"/>
  <c r="U13" i="3"/>
  <c r="T13" i="3"/>
  <c r="S13" i="3"/>
  <c r="W13" i="3" s="1"/>
  <c r="X13" i="3" s="1"/>
  <c r="AA13" i="3" s="1"/>
  <c r="U48" i="2"/>
  <c r="T48" i="2"/>
  <c r="S48" i="2"/>
  <c r="W48" i="2" s="1"/>
  <c r="X48" i="2" s="1"/>
  <c r="AA48" i="2" s="1"/>
  <c r="U47" i="2"/>
  <c r="T47" i="2"/>
  <c r="S47" i="2"/>
  <c r="W47" i="2" s="1"/>
  <c r="X47" i="2" s="1"/>
  <c r="AA47" i="2" s="1"/>
  <c r="U46" i="2"/>
  <c r="T46" i="2"/>
  <c r="S46" i="2"/>
  <c r="W46" i="2" s="1"/>
  <c r="X46" i="2" s="1"/>
  <c r="AA46" i="2" s="1"/>
  <c r="U45" i="2"/>
  <c r="T45" i="2"/>
  <c r="S45" i="2"/>
  <c r="W45" i="2" s="1"/>
  <c r="X45" i="2" s="1"/>
  <c r="AA45" i="2" s="1"/>
  <c r="U44" i="2"/>
  <c r="T44" i="2"/>
  <c r="S44" i="2"/>
  <c r="W44" i="2" s="1"/>
  <c r="X44" i="2" s="1"/>
  <c r="AA44" i="2" s="1"/>
  <c r="U43" i="2"/>
  <c r="T43" i="2"/>
  <c r="S43" i="2"/>
  <c r="W43" i="2" s="1"/>
  <c r="X43" i="2" s="1"/>
  <c r="AA43" i="2" s="1"/>
  <c r="U42" i="2"/>
  <c r="T42" i="2"/>
  <c r="S42" i="2"/>
  <c r="W42" i="2" s="1"/>
  <c r="X42" i="2" s="1"/>
  <c r="AA42" i="2" s="1"/>
  <c r="U41" i="2"/>
  <c r="T41" i="2"/>
  <c r="S41" i="2"/>
  <c r="W41" i="2" s="1"/>
  <c r="X41" i="2" s="1"/>
  <c r="AA41" i="2" s="1"/>
  <c r="U40" i="2"/>
  <c r="T40" i="2"/>
  <c r="S40" i="2"/>
  <c r="W40" i="2" s="1"/>
  <c r="X40" i="2" s="1"/>
  <c r="AA40" i="2" s="1"/>
  <c r="U39" i="2"/>
  <c r="T39" i="2"/>
  <c r="S39" i="2"/>
  <c r="W39" i="2" s="1"/>
  <c r="X39" i="2" s="1"/>
  <c r="AA39" i="2" s="1"/>
  <c r="U38" i="2"/>
  <c r="T38" i="2"/>
  <c r="S38" i="2"/>
  <c r="W38" i="2" s="1"/>
  <c r="X38" i="2" s="1"/>
  <c r="AA38" i="2" s="1"/>
  <c r="U37" i="2"/>
  <c r="T37" i="2"/>
  <c r="S37" i="2"/>
  <c r="W37" i="2" s="1"/>
  <c r="X37" i="2" s="1"/>
  <c r="AA37" i="2" s="1"/>
  <c r="U36" i="2"/>
  <c r="T36" i="2"/>
  <c r="S36" i="2"/>
  <c r="W36" i="2" s="1"/>
  <c r="X36" i="2" s="1"/>
  <c r="AA36" i="2" s="1"/>
  <c r="U35" i="2"/>
  <c r="T35" i="2"/>
  <c r="S35" i="2"/>
  <c r="W35" i="2" s="1"/>
  <c r="X35" i="2" s="1"/>
  <c r="AA35" i="2" s="1"/>
  <c r="U34" i="2"/>
  <c r="T34" i="2"/>
  <c r="S34" i="2"/>
  <c r="W34" i="2" s="1"/>
  <c r="X34" i="2" s="1"/>
  <c r="AA34" i="2" s="1"/>
  <c r="U33" i="2"/>
  <c r="T33" i="2"/>
  <c r="S33" i="2"/>
  <c r="W33" i="2" s="1"/>
  <c r="X33" i="2" s="1"/>
  <c r="AA33" i="2" s="1"/>
  <c r="U32" i="2"/>
  <c r="T32" i="2"/>
  <c r="S32" i="2"/>
  <c r="W32" i="2" s="1"/>
  <c r="X32" i="2" s="1"/>
  <c r="AA32" i="2" s="1"/>
  <c r="U31" i="2"/>
  <c r="T31" i="2"/>
  <c r="S31" i="2"/>
  <c r="W31" i="2" s="1"/>
  <c r="X31" i="2" s="1"/>
  <c r="AA31" i="2" s="1"/>
  <c r="U30" i="2"/>
  <c r="T30" i="2"/>
  <c r="S30" i="2"/>
  <c r="W30" i="2" s="1"/>
  <c r="X30" i="2" s="1"/>
  <c r="AA30" i="2" s="1"/>
  <c r="U29" i="2"/>
  <c r="T29" i="2"/>
  <c r="S29" i="2"/>
  <c r="W29" i="2" s="1"/>
  <c r="X29" i="2" s="1"/>
  <c r="AA29" i="2" s="1"/>
  <c r="U28" i="2"/>
  <c r="T28" i="2"/>
  <c r="S28" i="2"/>
  <c r="W28" i="2" s="1"/>
  <c r="X28" i="2" s="1"/>
  <c r="AA28" i="2" s="1"/>
  <c r="U27" i="2"/>
  <c r="T27" i="2"/>
  <c r="S27" i="2"/>
  <c r="W27" i="2" s="1"/>
  <c r="X27" i="2" s="1"/>
  <c r="AA27" i="2" s="1"/>
  <c r="U26" i="2"/>
  <c r="T26" i="2"/>
  <c r="S26" i="2"/>
  <c r="W26" i="2" s="1"/>
  <c r="X26" i="2" s="1"/>
  <c r="AA26" i="2" s="1"/>
  <c r="U25" i="2"/>
  <c r="T25" i="2"/>
  <c r="S25" i="2"/>
  <c r="W25" i="2" s="1"/>
  <c r="X25" i="2" s="1"/>
  <c r="AA25" i="2" s="1"/>
  <c r="AA53" i="2" s="1"/>
  <c r="U24" i="2"/>
  <c r="T24" i="2"/>
  <c r="S24" i="2"/>
  <c r="W24" i="2" s="1"/>
  <c r="X24" i="2" s="1"/>
  <c r="AA24" i="2" s="1"/>
  <c r="U23" i="2"/>
  <c r="T23" i="2"/>
  <c r="S23" i="2"/>
  <c r="W23" i="2" s="1"/>
  <c r="X23" i="2" s="1"/>
  <c r="AA23" i="2" s="1"/>
  <c r="U22" i="2"/>
  <c r="T22" i="2"/>
  <c r="S22" i="2"/>
  <c r="W22" i="2" s="1"/>
  <c r="X22" i="2" s="1"/>
  <c r="AA22" i="2" s="1"/>
  <c r="U21" i="2"/>
  <c r="T21" i="2"/>
  <c r="S21" i="2"/>
  <c r="W21" i="2" s="1"/>
  <c r="X21" i="2" s="1"/>
  <c r="AA21" i="2" s="1"/>
  <c r="U20" i="2"/>
  <c r="T20" i="2"/>
  <c r="S20" i="2"/>
  <c r="W20" i="2" s="1"/>
  <c r="X20" i="2" s="1"/>
  <c r="AA20" i="2" s="1"/>
  <c r="U19" i="2"/>
  <c r="T19" i="2"/>
  <c r="S19" i="2"/>
  <c r="W19" i="2" s="1"/>
  <c r="X19" i="2" s="1"/>
  <c r="AA19" i="2" s="1"/>
  <c r="U18" i="2"/>
  <c r="T18" i="2"/>
  <c r="S18" i="2"/>
  <c r="W18" i="2" s="1"/>
  <c r="X18" i="2" s="1"/>
  <c r="AA18" i="2" s="1"/>
  <c r="U17" i="2"/>
  <c r="T17" i="2"/>
  <c r="S17" i="2"/>
  <c r="W17" i="2" s="1"/>
  <c r="X17" i="2" s="1"/>
  <c r="AA17" i="2" s="1"/>
  <c r="U16" i="2"/>
  <c r="T16" i="2"/>
  <c r="S16" i="2"/>
  <c r="W16" i="2" s="1"/>
  <c r="X16" i="2" s="1"/>
  <c r="AA16" i="2" s="1"/>
  <c r="U15" i="2"/>
  <c r="T15" i="2"/>
  <c r="S15" i="2"/>
  <c r="W15" i="2" s="1"/>
  <c r="X15" i="2" s="1"/>
  <c r="AA15" i="2" s="1"/>
  <c r="U14" i="2"/>
  <c r="T14" i="2"/>
  <c r="S14" i="2"/>
  <c r="U13" i="2"/>
  <c r="T13" i="2"/>
  <c r="S13" i="2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13" i="1"/>
  <c r="AA51" i="2" l="1"/>
  <c r="AA52" i="2"/>
  <c r="AA53" i="13"/>
  <c r="AA52" i="13"/>
  <c r="AA51" i="13"/>
  <c r="W13" i="5"/>
  <c r="X13" i="5" s="1"/>
  <c r="AA13" i="5" s="1"/>
  <c r="AA50" i="5" s="1"/>
  <c r="W13" i="4"/>
  <c r="X13" i="4" s="1"/>
  <c r="AA13" i="4" s="1"/>
  <c r="AA52" i="4" s="1"/>
  <c r="W14" i="2"/>
  <c r="X14" i="2" s="1"/>
  <c r="AA14" i="2" s="1"/>
  <c r="W13" i="2"/>
  <c r="X13" i="2" s="1"/>
  <c r="AA13" i="2" s="1"/>
  <c r="AA52" i="3"/>
  <c r="AA53" i="3"/>
  <c r="AA51" i="3"/>
  <c r="W14" i="1"/>
  <c r="X14" i="1" s="1"/>
  <c r="AA14" i="1" s="1"/>
  <c r="AA52" i="1" s="1"/>
  <c r="AA50" i="4" l="1"/>
  <c r="AA51" i="4"/>
  <c r="AA51" i="5"/>
  <c r="AA52" i="5"/>
  <c r="AA50" i="1"/>
  <c r="AA51" i="1"/>
</calcChain>
</file>

<file path=xl/sharedStrings.xml><?xml version="1.0" encoding="utf-8"?>
<sst xmlns="http://schemas.openxmlformats.org/spreadsheetml/2006/main" count="1176" uniqueCount="901">
  <si>
    <r>
      <rPr>
        <sz val="12"/>
        <color theme="1"/>
        <rFont val="Times New Roman"/>
        <family val="1"/>
      </rPr>
      <t>PEMERINTAH DAERAH PROVINSI JAWA BARAT</t>
    </r>
    <r>
      <rPr>
        <sz val="10"/>
        <color theme="1"/>
        <rFont val="Arial Narrow"/>
        <family val="2"/>
      </rPr>
      <t xml:space="preserve">
</t>
    </r>
    <r>
      <rPr>
        <sz val="12"/>
        <color theme="1"/>
        <rFont val="Times New Roman"/>
        <family val="1"/>
      </rPr>
      <t xml:space="preserve">DINAS PENDIDIKAN 
</t>
    </r>
    <r>
      <rPr>
        <b/>
        <sz val="14"/>
        <color theme="1"/>
        <rFont val="Times New Roman"/>
        <family val="1"/>
      </rPr>
      <t xml:space="preserve">SMA  NEGERI 2 CIBINONG
</t>
    </r>
    <r>
      <rPr>
        <sz val="10"/>
        <color theme="1"/>
        <rFont val="Times New Roman"/>
        <family val="1"/>
      </rPr>
      <t>Jln. Karadenan No. 5 Cibinong Telp/Fax. ( 0251 ) 8654347 Bogor 16913
http://www.sman2cibinong.sch.id    email: info@sman2cibinong.sch.id</t>
    </r>
  </si>
  <si>
    <t>Mata Pelajaran</t>
  </si>
  <si>
    <t>Kelas</t>
  </si>
  <si>
    <t>Pengajar</t>
  </si>
  <si>
    <t>NO</t>
  </si>
  <si>
    <t>NISN / NIS</t>
  </si>
  <si>
    <t>NAMA PESERTA DIDIK</t>
  </si>
  <si>
    <t>ASESMEN / PENILAIAN</t>
  </si>
  <si>
    <t>Rata - Rata</t>
  </si>
  <si>
    <t>PAS</t>
  </si>
  <si>
    <t>NR</t>
  </si>
  <si>
    <t>Skp</t>
  </si>
  <si>
    <t>Hdr</t>
  </si>
  <si>
    <t>Rapor</t>
  </si>
  <si>
    <t>max</t>
  </si>
  <si>
    <t>min</t>
  </si>
  <si>
    <t>avg</t>
  </si>
  <si>
    <t>DAFTAR CAPAIAN PEMBELAJARAN SEMESTER 1</t>
  </si>
  <si>
    <t>TAHUN PELAJARAN 2025 - 2026</t>
  </si>
  <si>
    <t>:</t>
  </si>
  <si>
    <t>RT</t>
  </si>
  <si>
    <t xml:space="preserve">: </t>
  </si>
  <si>
    <t>CP1</t>
  </si>
  <si>
    <t>CP2</t>
  </si>
  <si>
    <t>CP3</t>
  </si>
  <si>
    <t>: XI-A1</t>
  </si>
  <si>
    <t>: XI-A2</t>
  </si>
  <si>
    <t>: XI-B1</t>
  </si>
  <si>
    <t>: XI-B2</t>
  </si>
  <si>
    <t>: XI-C1</t>
  </si>
  <si>
    <t>: XI-F1</t>
  </si>
  <si>
    <t>: XI-F2</t>
  </si>
  <si>
    <t>: XI-E1</t>
  </si>
  <si>
    <t>: XI-E2</t>
  </si>
  <si>
    <t>: XI-D3</t>
  </si>
  <si>
    <t>: XI-D2</t>
  </si>
  <si>
    <t>: XI-D1</t>
  </si>
  <si>
    <t>0082590495 / 242510008</t>
  </si>
  <si>
    <t>0097313548 / 242510011</t>
  </si>
  <si>
    <t>0094510551 / 242510025</t>
  </si>
  <si>
    <t>0087298416 / 242510031</t>
  </si>
  <si>
    <t>0095546511 / 242510069</t>
  </si>
  <si>
    <t>3086190678 / 242510079</t>
  </si>
  <si>
    <t>0107163370 / 242510095</t>
  </si>
  <si>
    <t>Chiara Nanda Setiyo Fazria</t>
  </si>
  <si>
    <t>3092678408 / 242510108</t>
  </si>
  <si>
    <t>0095504110 / 242510111</t>
  </si>
  <si>
    <t>Diaz Pradana Putra</t>
  </si>
  <si>
    <t>3081717964 / 242510114</t>
  </si>
  <si>
    <t>Disha Ramanda Putra</t>
  </si>
  <si>
    <t>0083076557 / 242510116</t>
  </si>
  <si>
    <t>0093137843 / 242510126</t>
  </si>
  <si>
    <t>3090828690 / 242510159</t>
  </si>
  <si>
    <t>0088101729 / 242510173</t>
  </si>
  <si>
    <t>0099940887 / 242510183</t>
  </si>
  <si>
    <t>0096213576 / 242510188</t>
  </si>
  <si>
    <t>Keisha Edsel Darmawan</t>
  </si>
  <si>
    <t>0091012038 / 242510189</t>
  </si>
  <si>
    <t>0097202517 / 242510201</t>
  </si>
  <si>
    <t>0098256549 / 242510206</t>
  </si>
  <si>
    <t>0093623036 / 242510208</t>
  </si>
  <si>
    <t>0083667654 / 242510209</t>
  </si>
  <si>
    <t>Kireina Zahra Yasmaini</t>
  </si>
  <si>
    <t>3083447726 / 242510257</t>
  </si>
  <si>
    <t>0098849381 / 242510281</t>
  </si>
  <si>
    <t>0097736512 / 242510291</t>
  </si>
  <si>
    <t>0083833819 / 242510323</t>
  </si>
  <si>
    <t>0094989387 / 242510325</t>
  </si>
  <si>
    <t>0091033788 / 242510336</t>
  </si>
  <si>
    <t>3098805753 / 242510342</t>
  </si>
  <si>
    <t>0092827580 / 242510388</t>
  </si>
  <si>
    <t>0083624999 / 242510402</t>
  </si>
  <si>
    <t>Tristan Muhammad Jibril</t>
  </si>
  <si>
    <t>0084290235 / 242510406</t>
  </si>
  <si>
    <t>0093286737 / 242510414</t>
  </si>
  <si>
    <t>0091061057 / 242510416</t>
  </si>
  <si>
    <t>0095163025 / 242510426</t>
  </si>
  <si>
    <t>0082747470 / 242510430</t>
  </si>
  <si>
    <t>0085011294 / 242510432</t>
  </si>
  <si>
    <t>0092385645 / 242510005</t>
  </si>
  <si>
    <t>0083638898 / 242510007</t>
  </si>
  <si>
    <t>0083581318 / 242510018</t>
  </si>
  <si>
    <t>0086733881 / 242510028</t>
  </si>
  <si>
    <t>0098621054 / 242510037</t>
  </si>
  <si>
    <t>0092707821 / 242510046</t>
  </si>
  <si>
    <t>Anindita Naranisa Jati</t>
  </si>
  <si>
    <t>0083016159 / 242510052</t>
  </si>
  <si>
    <t>0083641645 / 242510064</t>
  </si>
  <si>
    <t>0093262366 / 242510104</t>
  </si>
  <si>
    <t>0096851574 / 242510117</t>
  </si>
  <si>
    <t>Dzakia Fitri</t>
  </si>
  <si>
    <t>0092622229 / 242510129</t>
  </si>
  <si>
    <t>Fadhilah Dwi Sabrina Nugrahaning Putri</t>
  </si>
  <si>
    <t>0081916428 / 242510141</t>
  </si>
  <si>
    <t>0095691756 / 242510144</t>
  </si>
  <si>
    <t>Fiquita Napu</t>
  </si>
  <si>
    <t>0082539116 / 242510153</t>
  </si>
  <si>
    <t>0099310873 / 242510160</t>
  </si>
  <si>
    <t>0099954531 / 242510162</t>
  </si>
  <si>
    <t>0094260903 / 242510227</t>
  </si>
  <si>
    <t>0089204896 / 242510238</t>
  </si>
  <si>
    <t>0091447390 / 242510261</t>
  </si>
  <si>
    <t>Muhammad Fariz Duta Ehsan</t>
  </si>
  <si>
    <t>3092211203 / 242510274</t>
  </si>
  <si>
    <t>0095657800 / 242510283</t>
  </si>
  <si>
    <t>0082650076 / 242510304</t>
  </si>
  <si>
    <t>0095420383 / 242510306</t>
  </si>
  <si>
    <t>3097669813 / 242510308</t>
  </si>
  <si>
    <t>0086704012 / 242510310</t>
  </si>
  <si>
    <t>0095788052 / 242510329</t>
  </si>
  <si>
    <t>0094946777 / 242510338</t>
  </si>
  <si>
    <t>0097830870 / 242510354</t>
  </si>
  <si>
    <t>0092343794 / 242510355</t>
  </si>
  <si>
    <t>0095556013 / 242510366</t>
  </si>
  <si>
    <t>0094079262 / 242510374</t>
  </si>
  <si>
    <t>0072787144 / 242510377</t>
  </si>
  <si>
    <t>0096304229 / 242510387</t>
  </si>
  <si>
    <t>0093907013 / 242510390</t>
  </si>
  <si>
    <t>0084548048 / 242510404</t>
  </si>
  <si>
    <t>0094935892 / 242510412</t>
  </si>
  <si>
    <t>0085027044 / 242510010</t>
  </si>
  <si>
    <t>0081265372 / 242510027</t>
  </si>
  <si>
    <t>0092697249 / 242510041</t>
  </si>
  <si>
    <t>0085437129 / 242510070</t>
  </si>
  <si>
    <t>Aura Humaira Putri Gunawan</t>
  </si>
  <si>
    <t>0098656322 / 242510113</t>
  </si>
  <si>
    <t>0096763243 / 242510120</t>
  </si>
  <si>
    <t>0098951883 / 242510136</t>
  </si>
  <si>
    <t>0094722345 / 242510180</t>
  </si>
  <si>
    <t>Juan Tri Alexandro Immanuel</t>
  </si>
  <si>
    <t>0097193046 / 242510184</t>
  </si>
  <si>
    <t>0093505380 / 242510187</t>
  </si>
  <si>
    <t>0084361496 / 242510193</t>
  </si>
  <si>
    <t>0093778675 / 242510197</t>
  </si>
  <si>
    <t>0094698679 / 242510213</t>
  </si>
  <si>
    <t>3095285309 / 242510216</t>
  </si>
  <si>
    <t>0081476668 / 242510222</t>
  </si>
  <si>
    <t>0098908539 / 242510230</t>
  </si>
  <si>
    <t>3095174589 / 242510231</t>
  </si>
  <si>
    <t>0099030651 / 242510232</t>
  </si>
  <si>
    <t>0098437864 / 242510233</t>
  </si>
  <si>
    <t>0088976294 / 242510244</t>
  </si>
  <si>
    <t>0094412664 / 242510278</t>
  </si>
  <si>
    <t>0091524851 / 242510286</t>
  </si>
  <si>
    <t>3099271994 / 242510297</t>
  </si>
  <si>
    <t>0083974334 / 242510298</t>
  </si>
  <si>
    <t>0084584228 / 242510313</t>
  </si>
  <si>
    <t>0093556204 / 242510328</t>
  </si>
  <si>
    <t>0099332666 / 242510343</t>
  </si>
  <si>
    <t>0087745551 / 242510350</t>
  </si>
  <si>
    <t>0085930059 / 242510371</t>
  </si>
  <si>
    <t>0096344538 / 242510373</t>
  </si>
  <si>
    <t>0096480588 / 242510395</t>
  </si>
  <si>
    <t>0094958254 / 242510405</t>
  </si>
  <si>
    <t>0085108715 / 242510408</t>
  </si>
  <si>
    <t>0089237233 / 242510409</t>
  </si>
  <si>
    <t>0098438052 / 242510417</t>
  </si>
  <si>
    <t>0082801587 / 242510421</t>
  </si>
  <si>
    <t>0091989218 / 242510017</t>
  </si>
  <si>
    <t>Aisyah Nur Izzah</t>
  </si>
  <si>
    <t>0087766031 / 252611567</t>
  </si>
  <si>
    <t>0098715904 / 242510023</t>
  </si>
  <si>
    <t>0081501338 / 242510042</t>
  </si>
  <si>
    <t>Andi Almaghfira Shabila Sawerigading</t>
  </si>
  <si>
    <t>0085534034 / 242510086</t>
  </si>
  <si>
    <t>0084745418 / 242510091</t>
  </si>
  <si>
    <t>0095136014 / 242510102</t>
  </si>
  <si>
    <t>0098889247 / 242510133</t>
  </si>
  <si>
    <t>Faiza Zalfa Nadifa</t>
  </si>
  <si>
    <t>0094252138 / 242510134</t>
  </si>
  <si>
    <t>0086688060 / 242510135</t>
  </si>
  <si>
    <t>Faliqa Haq Hasanah</t>
  </si>
  <si>
    <t>0092223653 / 242510142</t>
  </si>
  <si>
    <t>0085278931 / 242510165</t>
  </si>
  <si>
    <t>0084614966 / 242510167</t>
  </si>
  <si>
    <t>0097408336 / 242510169</t>
  </si>
  <si>
    <t>3094028221 / 242510171</t>
  </si>
  <si>
    <t>0094995394 / 242510176</t>
  </si>
  <si>
    <t>0081936585 / 242510185</t>
  </si>
  <si>
    <t>0098191015 / 242510191</t>
  </si>
  <si>
    <t>0094057771 / 242510199</t>
  </si>
  <si>
    <t>0095872117 / 242510207</t>
  </si>
  <si>
    <t>0098268916 / 242510239</t>
  </si>
  <si>
    <t>0086508497 / 242510241</t>
  </si>
  <si>
    <t>0091626296 / 242510254</t>
  </si>
  <si>
    <t>3092559431 / 242510282</t>
  </si>
  <si>
    <t>Musyaffa Nureshan Pahlevi</t>
  </si>
  <si>
    <t>0083634869 / 242510301</t>
  </si>
  <si>
    <t>0091257095 / 242510312</t>
  </si>
  <si>
    <t>0093570911 / 242510321</t>
  </si>
  <si>
    <t>0099524653 / 242510324</t>
  </si>
  <si>
    <t>0096689975 / 242510341</t>
  </si>
  <si>
    <t>0087172262 / 242510346</t>
  </si>
  <si>
    <t>Raya Fitri Anjaini</t>
  </si>
  <si>
    <t>0089992734 / 242510348</t>
  </si>
  <si>
    <t>0094272879 / 242510349</t>
  </si>
  <si>
    <t>0094686903 / 242510362</t>
  </si>
  <si>
    <t>Safa Adalia</t>
  </si>
  <si>
    <t>0096820534 / 242510382</t>
  </si>
  <si>
    <t>Sheryn Valentia</t>
  </si>
  <si>
    <t>0091356987 / 242510392</t>
  </si>
  <si>
    <t>0084616257 / 242510420</t>
  </si>
  <si>
    <t>0097029152 / 242510001</t>
  </si>
  <si>
    <t>0096738562 / 242510014</t>
  </si>
  <si>
    <t>0099375029 / 242510019</t>
  </si>
  <si>
    <t>0085348468 / 242510024</t>
  </si>
  <si>
    <t>0095154966 / 242510036</t>
  </si>
  <si>
    <t>Alya Atifa Edfiyanti</t>
  </si>
  <si>
    <t>0096990480 / 242510044</t>
  </si>
  <si>
    <t>0081271561 / 242510054</t>
  </si>
  <si>
    <t>0099561898 / 242510071</t>
  </si>
  <si>
    <t>0091681862 / 242510088</t>
  </si>
  <si>
    <t>0098451979 / 242510161</t>
  </si>
  <si>
    <t>0084845522 / 242510200</t>
  </si>
  <si>
    <t>0083434779 / 252611571</t>
  </si>
  <si>
    <t>Khanza Nadya Rahman</t>
  </si>
  <si>
    <t>0094551974 / 242510212</t>
  </si>
  <si>
    <t>0081855086 / 242510220</t>
  </si>
  <si>
    <t>Madina Silvana Dewi</t>
  </si>
  <si>
    <t>0083951567 / 242510221</t>
  </si>
  <si>
    <t>0093504759 / 242510251</t>
  </si>
  <si>
    <t>0086270372 / 242510271</t>
  </si>
  <si>
    <t>Muhammad Noval Irfandi</t>
  </si>
  <si>
    <t>0096643467 / 242510272</t>
  </si>
  <si>
    <t>0091089933 / 242510284</t>
  </si>
  <si>
    <t>0096304188 / 242510289</t>
  </si>
  <si>
    <t>0097295872 / 242510292</t>
  </si>
  <si>
    <t>0096224183 / 242510299</t>
  </si>
  <si>
    <t>0083048491 / 242510303</t>
  </si>
  <si>
    <t>0094414485 / 242510315</t>
  </si>
  <si>
    <t>0095501589 / 242510318</t>
  </si>
  <si>
    <t>0093298242 / 242510319</t>
  </si>
  <si>
    <t>0093266742 / 242510320</t>
  </si>
  <si>
    <t>0092205557 / 242510345</t>
  </si>
  <si>
    <t>0073027831 / 242510356</t>
  </si>
  <si>
    <t>0091228007 / 242510363</t>
  </si>
  <si>
    <t>0089954401 / 242510367</t>
  </si>
  <si>
    <t>0089191714 / 242510372</t>
  </si>
  <si>
    <t>Sandria Salsalina Sembiring Kembaren</t>
  </si>
  <si>
    <t>0095117423 / 242510380</t>
  </si>
  <si>
    <t>0088535031 / 242510391</t>
  </si>
  <si>
    <t>0087500688 / 242510399</t>
  </si>
  <si>
    <t>0092434039 / 242510410</t>
  </si>
  <si>
    <t>0098762657 / 242510048</t>
  </si>
  <si>
    <t>0089202112 / 242510055</t>
  </si>
  <si>
    <t>0088260272 / 242510056</t>
  </si>
  <si>
    <t>Arinda Khalisha Pambudi</t>
  </si>
  <si>
    <t>0097111779 / 242510058</t>
  </si>
  <si>
    <t>0093831279 / 242510066</t>
  </si>
  <si>
    <t>0096065165 / 242510072</t>
  </si>
  <si>
    <t>0099851224 / 242510085</t>
  </si>
  <si>
    <t>0092348709 / 242510096</t>
  </si>
  <si>
    <t>0099087317 / 242510099</t>
  </si>
  <si>
    <t>Dania Anindita Tunggadewi</t>
  </si>
  <si>
    <t>0098666843 / 242510101</t>
  </si>
  <si>
    <t>0087242368 / 242510112</t>
  </si>
  <si>
    <t>0087777223 / 242510130</t>
  </si>
  <si>
    <t>Faida Annaila Zahra</t>
  </si>
  <si>
    <t>0096321568 / 242510148</t>
  </si>
  <si>
    <t>0084693493 / 242510158</t>
  </si>
  <si>
    <t>0088791024 / 242510172</t>
  </si>
  <si>
    <t>0083440916 / 242510182</t>
  </si>
  <si>
    <t>0097101002 / 242510186</t>
  </si>
  <si>
    <t>0083510857 / 242510205</t>
  </si>
  <si>
    <t>0099224342 / 242510214</t>
  </si>
  <si>
    <t>0087441371 / 242510226</t>
  </si>
  <si>
    <t>0092053150 / 242510248</t>
  </si>
  <si>
    <t>0099674979 / 242510268</t>
  </si>
  <si>
    <t>0094087712 / 242510287</t>
  </si>
  <si>
    <t>0096704827 / 242510295</t>
  </si>
  <si>
    <t>Naura Praprincess Ananda Anbiya</t>
  </si>
  <si>
    <t>0082766789 / 242510317</t>
  </si>
  <si>
    <t>0087189022 / 242510326</t>
  </si>
  <si>
    <t>0083216448 / 242510340</t>
  </si>
  <si>
    <t>0081976297 / 242510351</t>
  </si>
  <si>
    <t>Rifky Akbar Maulana</t>
  </si>
  <si>
    <t>0087374524 / 242510358</t>
  </si>
  <si>
    <t>0095610000 / 242510359</t>
  </si>
  <si>
    <t>3108459157 / 242510368</t>
  </si>
  <si>
    <t>Salwa Aisya Putri</t>
  </si>
  <si>
    <t>0092184814 / 242510369</t>
  </si>
  <si>
    <t>Salwa Amanda Putri</t>
  </si>
  <si>
    <t>0093513380 / 242510383</t>
  </si>
  <si>
    <t>0094484878 / 242510403</t>
  </si>
  <si>
    <t>Troy Rhezky Lembong</t>
  </si>
  <si>
    <t>0094008926 / 242510425</t>
  </si>
  <si>
    <t>0096998389 / 242510428</t>
  </si>
  <si>
    <t>0099205215 / 242510002</t>
  </si>
  <si>
    <t>0096176025 / 242510004</t>
  </si>
  <si>
    <t>Abimanyu Cakraningrat</t>
  </si>
  <si>
    <t>0083691625 / 242510013</t>
  </si>
  <si>
    <t>0093555544 / 242510030</t>
  </si>
  <si>
    <t>0093240247 / 242510049</t>
  </si>
  <si>
    <t>0081177343 / 242510057</t>
  </si>
  <si>
    <t>0097044189 / 242510065</t>
  </si>
  <si>
    <t>Aufa Syafiq Disastra</t>
  </si>
  <si>
    <t>0094015905 / 242510074</t>
  </si>
  <si>
    <t>0099056940 / 242510077</t>
  </si>
  <si>
    <t>0083503418 / 242510092</t>
  </si>
  <si>
    <t>0082910392 / 242510119</t>
  </si>
  <si>
    <t>0092889165 / 242510121</t>
  </si>
  <si>
    <t>0089925170 / 242510124</t>
  </si>
  <si>
    <t>0097500016 / 242510138</t>
  </si>
  <si>
    <t>0091736459 / 242510143</t>
  </si>
  <si>
    <t>0083473619 / 242510151</t>
  </si>
  <si>
    <t>0095965332 / 242510202</t>
  </si>
  <si>
    <t>3089802088 / 242510204</t>
  </si>
  <si>
    <t>Khofifah Asrining Pangastuti</t>
  </si>
  <si>
    <t>0083558880 / 242510215</t>
  </si>
  <si>
    <t>0087939718 / 242510217</t>
  </si>
  <si>
    <t>3086429713 / 242510256</t>
  </si>
  <si>
    <t>0082222599 / 242510270</t>
  </si>
  <si>
    <t>0096947097 / 242510277</t>
  </si>
  <si>
    <t>Muhammad Salman Iriansar</t>
  </si>
  <si>
    <t>0088243290 / 242510285</t>
  </si>
  <si>
    <t>0083111399 / 242510305</t>
  </si>
  <si>
    <t>Ni Putu Nayaka Prakasayati Pasek</t>
  </si>
  <si>
    <t>0098495672 / 242510327</t>
  </si>
  <si>
    <t>0087033208 / 242510335</t>
  </si>
  <si>
    <t>Rahel Esra Rotua Manurung</t>
  </si>
  <si>
    <t>0087540462 / 242510365</t>
  </si>
  <si>
    <t>0098177122 / 242510370</t>
  </si>
  <si>
    <t>0084182636 / 242510376</t>
  </si>
  <si>
    <t>0092533632 / 242510397</t>
  </si>
  <si>
    <t>0089659957 / 242510418</t>
  </si>
  <si>
    <t>0094494926 / 242510419</t>
  </si>
  <si>
    <t>Zafarani Amalia Putri</t>
  </si>
  <si>
    <t>0083550559 / 242510422</t>
  </si>
  <si>
    <t>0086771046 / 242510427</t>
  </si>
  <si>
    <t>Zaskya Risqita Andriani</t>
  </si>
  <si>
    <t>0098965422 / 242510431</t>
  </si>
  <si>
    <t>0091972857 / 242510003</t>
  </si>
  <si>
    <t>0099463036 / 242510012</t>
  </si>
  <si>
    <t>Aina Nisa Asyifa</t>
  </si>
  <si>
    <t>0084373144 / 242510032</t>
  </si>
  <si>
    <t>0092027940 / 242510034</t>
  </si>
  <si>
    <t>Aluna Kalila Fauzan</t>
  </si>
  <si>
    <t>0097798929 / 242510045</t>
  </si>
  <si>
    <t>0092388902 / 242510053</t>
  </si>
  <si>
    <t>0092260536 / 242510063</t>
  </si>
  <si>
    <t>0092404259 / 242510067</t>
  </si>
  <si>
    <t>0086475767 / 242510068</t>
  </si>
  <si>
    <t>0099130384 / 242510073</t>
  </si>
  <si>
    <t>0097660827 / 242510081</t>
  </si>
  <si>
    <t>0096109567 / 242510084</t>
  </si>
  <si>
    <t>0095745176 / 242510087</t>
  </si>
  <si>
    <t>0091234811 / 242510090</t>
  </si>
  <si>
    <t>0091342789 / 242510094</t>
  </si>
  <si>
    <t>0082284975 / 242510115</t>
  </si>
  <si>
    <t>0096026876 / 242510137</t>
  </si>
  <si>
    <t>0097494303 / 242510150</t>
  </si>
  <si>
    <t>0091325828 / 242510155</t>
  </si>
  <si>
    <t>0099418331 / 242510190</t>
  </si>
  <si>
    <t>0098415432 / 242510196</t>
  </si>
  <si>
    <t>Kezia Aulia Hattalaibessij</t>
  </si>
  <si>
    <t>3082881499 / 242510243</t>
  </si>
  <si>
    <t>0084468197 / 242510246</t>
  </si>
  <si>
    <t>0095554126 / 242510253</t>
  </si>
  <si>
    <t>0095029451 / 242510255</t>
  </si>
  <si>
    <t>0084998907 / 242510273</t>
  </si>
  <si>
    <t>3097947979 / 242510280</t>
  </si>
  <si>
    <t>0091225757 / 242510288</t>
  </si>
  <si>
    <t>0099551790 / 242510296</t>
  </si>
  <si>
    <t>0089608543 / 242510309</t>
  </si>
  <si>
    <t>0098835028 / 242510334</t>
  </si>
  <si>
    <t>Raffa Meyzaidan</t>
  </si>
  <si>
    <t>3097356141 / 242510353</t>
  </si>
  <si>
    <t>0097311898 / 242510379</t>
  </si>
  <si>
    <t>0099130256 / 242510385</t>
  </si>
  <si>
    <t>0082646713 / 242510398</t>
  </si>
  <si>
    <t>0091537746 / 242510407</t>
  </si>
  <si>
    <t>0093390743 / 242510006</t>
  </si>
  <si>
    <t>Adinda Queena Maheswari</t>
  </si>
  <si>
    <t>0099505768 / 242510022</t>
  </si>
  <si>
    <t>0093801090 / 242510035</t>
  </si>
  <si>
    <t>0097959305 / 242510047</t>
  </si>
  <si>
    <t>Anindito Pandu Fahrinugroho</t>
  </si>
  <si>
    <t>0084789093 / 242510051</t>
  </si>
  <si>
    <t>Annida Khairunnisa</t>
  </si>
  <si>
    <t>2081404817 / 242510059</t>
  </si>
  <si>
    <t>0098812831 / 242510083</t>
  </si>
  <si>
    <t>0083352872 / 242510098</t>
  </si>
  <si>
    <t>0086078004 / 242510103</t>
  </si>
  <si>
    <t>0098775856 / 242510123</t>
  </si>
  <si>
    <t>0093969715 / 242510128</t>
  </si>
  <si>
    <t>Fadel Maliq Fathani</t>
  </si>
  <si>
    <t>0097062478 / 242510175</t>
  </si>
  <si>
    <t>0082185766 / 242510181</t>
  </si>
  <si>
    <t>Juwinsyah Dwi Arga</t>
  </si>
  <si>
    <t>0087551275 / 242510211</t>
  </si>
  <si>
    <t>0093479168 / 242510225</t>
  </si>
  <si>
    <t>Maritza Alisha Fathi</t>
  </si>
  <si>
    <t>0092786372 / 242510234</t>
  </si>
  <si>
    <t>0091530728 / 242510235</t>
  </si>
  <si>
    <t>0086404055 / 242510242</t>
  </si>
  <si>
    <t>0085378932 / 242510240</t>
  </si>
  <si>
    <t>Muhammad Akbar</t>
  </si>
  <si>
    <t>0086360763 / 242510252</t>
  </si>
  <si>
    <t>0088924007 / 242510259</t>
  </si>
  <si>
    <t>Muhammad Fairuz Pratama</t>
  </si>
  <si>
    <t>0091944011 / 242510260</t>
  </si>
  <si>
    <t>0094596470 / 242510262</t>
  </si>
  <si>
    <t>0092404318 / 242510265</t>
  </si>
  <si>
    <t>0095059901 / 242510266</t>
  </si>
  <si>
    <t>0098122055 / 242510275</t>
  </si>
  <si>
    <t>0086863385 / 242510300</t>
  </si>
  <si>
    <t>Nazua Ristiyana Viragupti</t>
  </si>
  <si>
    <t>0085675402 / 242510302</t>
  </si>
  <si>
    <t>0096488875 / 242510333</t>
  </si>
  <si>
    <t>Rafa Ibnu Kanaka</t>
  </si>
  <si>
    <t>0091126559 / 242510337</t>
  </si>
  <si>
    <t>0094232336 / 242510347</t>
  </si>
  <si>
    <t>Razan Muhammad Ihsan Solihin</t>
  </si>
  <si>
    <t>0099920490 / 242510352</t>
  </si>
  <si>
    <t>0094865307 / 242510360</t>
  </si>
  <si>
    <t>0093523017 / 242510378</t>
  </si>
  <si>
    <t>0094426892 / 242510424</t>
  </si>
  <si>
    <t>0082670071 / 242510429</t>
  </si>
  <si>
    <t>0098441334 / 242510029</t>
  </si>
  <si>
    <t>0095916190 / 242510033</t>
  </si>
  <si>
    <t>0093270004 / 242510040</t>
  </si>
  <si>
    <t>0081317101 / 242510043</t>
  </si>
  <si>
    <t>0088625335 / 242510062</t>
  </si>
  <si>
    <t>0084865750 / 242510075</t>
  </si>
  <si>
    <t>0089373986 / 242510076</t>
  </si>
  <si>
    <t>0094394514 / 242510082</t>
  </si>
  <si>
    <t>0093616890 / 242510097</t>
  </si>
  <si>
    <t>0092463348 / 242510100</t>
  </si>
  <si>
    <t>0087035501 / 242510131</t>
  </si>
  <si>
    <t>0097179421 / 242510163</t>
  </si>
  <si>
    <t>0084853605 / 242510164</t>
  </si>
  <si>
    <t>Hibban Abdurrahman</t>
  </si>
  <si>
    <t>3092618789 / 242510170</t>
  </si>
  <si>
    <t>0092821103 / 242510174</t>
  </si>
  <si>
    <t>Irsyad Nabihan</t>
  </si>
  <si>
    <t>0082472809 / 242510177</t>
  </si>
  <si>
    <t>3091944997 / 242510210</t>
  </si>
  <si>
    <t>0081087411 / 242510224</t>
  </si>
  <si>
    <t>0094864081 / 242510250</t>
  </si>
  <si>
    <t>Muhammad Ammar Firdaus Putra</t>
  </si>
  <si>
    <t>0095937371 / 242510263</t>
  </si>
  <si>
    <t>Muhammad Fikra Burhamzah</t>
  </si>
  <si>
    <t>0088807404 / 242510264</t>
  </si>
  <si>
    <t>0085810407 / 242510279</t>
  </si>
  <si>
    <t>0082898817 / 242510293</t>
  </si>
  <si>
    <t>0094465097 / 242510294</t>
  </si>
  <si>
    <t>0084114869 / 242510322</t>
  </si>
  <si>
    <t>0092577014 / 242510330</t>
  </si>
  <si>
    <t>3083166460 / 242510344</t>
  </si>
  <si>
    <t>3094789704 / 242510357</t>
  </si>
  <si>
    <t>0089336981 / 242510361</t>
  </si>
  <si>
    <t>0093441573 / 242510381</t>
  </si>
  <si>
    <t>0089493881 / 242510384</t>
  </si>
  <si>
    <t>0086778655 / 242510386</t>
  </si>
  <si>
    <t>0085904748 / 242510401</t>
  </si>
  <si>
    <t>0084316906 / 242510413</t>
  </si>
  <si>
    <t>0095848946 / 242510423</t>
  </si>
  <si>
    <t>Zaidan Alifahridho Koeswanto</t>
  </si>
  <si>
    <t>0099880719 / 252611576</t>
  </si>
  <si>
    <t>0099988861 / 242510021</t>
  </si>
  <si>
    <t>0082151570 / 242510026</t>
  </si>
  <si>
    <t>0087588818 / 242510050</t>
  </si>
  <si>
    <t>2093857917 / 242510061</t>
  </si>
  <si>
    <t>0087522984 / 252611569</t>
  </si>
  <si>
    <t>0091072005 / 242510080</t>
  </si>
  <si>
    <t>0093123066 / 242510105</t>
  </si>
  <si>
    <t>0097482971 / 242510118</t>
  </si>
  <si>
    <t>0087551985 / 242510122</t>
  </si>
  <si>
    <t>0095657957 / 242510132</t>
  </si>
  <si>
    <t>0083924202 / 242510139</t>
  </si>
  <si>
    <t>0082690807 / 242510140</t>
  </si>
  <si>
    <t>0082256467 / 242510145</t>
  </si>
  <si>
    <t>0087408326 / 242510149</t>
  </si>
  <si>
    <t>Gede Aira Sagita Putri Ksy</t>
  </si>
  <si>
    <t>0096589760 / 242510152</t>
  </si>
  <si>
    <t>3094653721 / 242510157</t>
  </si>
  <si>
    <t>0091633107 / 242510168</t>
  </si>
  <si>
    <t>0088742626 / 252611577</t>
  </si>
  <si>
    <t>0092593035 / 242510178</t>
  </si>
  <si>
    <t>3084804073 / 252611570</t>
  </si>
  <si>
    <t>0085208150 / 242510192</t>
  </si>
  <si>
    <t>0089115919 / 242510194</t>
  </si>
  <si>
    <t>Kevin Sitanggang</t>
  </si>
  <si>
    <t>0092834368 / 242510198</t>
  </si>
  <si>
    <t>3099484913 / 242510237</t>
  </si>
  <si>
    <t>0087176231 / 242510218</t>
  </si>
  <si>
    <t>3097549496 / 242510258</t>
  </si>
  <si>
    <t>0096931224 / 242510290</t>
  </si>
  <si>
    <t>Nafis Syahri Ramadhan</t>
  </si>
  <si>
    <t>0095386380 / 242510314</t>
  </si>
  <si>
    <t>Pratamayoga Danishwara Lestiyo</t>
  </si>
  <si>
    <t>0094807008 / 242510331</t>
  </si>
  <si>
    <t>0099423367 / 242510332</t>
  </si>
  <si>
    <t>Radif Ziyan Maryono</t>
  </si>
  <si>
    <t>0094095735 / 242510339</t>
  </si>
  <si>
    <t>3087304976 / 242510389</t>
  </si>
  <si>
    <t>0097734463 / 242510394</t>
  </si>
  <si>
    <t>0094647744 / 242510396</t>
  </si>
  <si>
    <t>0084357788 / 242510411</t>
  </si>
  <si>
    <t>0097253280 / 242510415</t>
  </si>
  <si>
    <t>0083949375 / 242510009</t>
  </si>
  <si>
    <t>3091238165 / 242510015</t>
  </si>
  <si>
    <t>0084218795 / 242510016</t>
  </si>
  <si>
    <t>0098994125 / 252611568</t>
  </si>
  <si>
    <t>0098551657 / 242510020</t>
  </si>
  <si>
    <t>Al Gofi Patra</t>
  </si>
  <si>
    <t>0087718590 / 242510060</t>
  </si>
  <si>
    <t>0096418415 / 242510078</t>
  </si>
  <si>
    <t>0096383417 / 242510089</t>
  </si>
  <si>
    <t>0093167605 / 242510093</t>
  </si>
  <si>
    <t>0096872219 / 242510106</t>
  </si>
  <si>
    <t>0093311941 / 242510107</t>
  </si>
  <si>
    <t>0091519291 / 242510109</t>
  </si>
  <si>
    <t>0093772011 / 242510125</t>
  </si>
  <si>
    <t>0083597126 / 242510127</t>
  </si>
  <si>
    <t>0081527579 / 242510147</t>
  </si>
  <si>
    <t>Fx Arya Bima Saputra</t>
  </si>
  <si>
    <t>3088903236 / 242510154</t>
  </si>
  <si>
    <t>Graceya Felisya Sinurat</t>
  </si>
  <si>
    <t>0098700438 / 242510156</t>
  </si>
  <si>
    <t>0095159012 / 242510166</t>
  </si>
  <si>
    <t>0087336074 / 242510195</t>
  </si>
  <si>
    <t>0083317171 / 242510203</t>
  </si>
  <si>
    <t>3081754398 / 242510219</t>
  </si>
  <si>
    <t>0098773886 / 242510223</t>
  </si>
  <si>
    <t>0098848130 / 242510228</t>
  </si>
  <si>
    <t>Maulida Maftuhah</t>
  </si>
  <si>
    <t>0086293694 / 242510229</t>
  </si>
  <si>
    <t>0088667313 / 242510236</t>
  </si>
  <si>
    <t>0093423349 / 242510245</t>
  </si>
  <si>
    <t>0089737965 / 242510247</t>
  </si>
  <si>
    <t>Muhamad Zidan</t>
  </si>
  <si>
    <t>0091624427 / 242510249</t>
  </si>
  <si>
    <t>0083876462 / 242510267</t>
  </si>
  <si>
    <t>0082604990 / 242510276</t>
  </si>
  <si>
    <t>0087043705 / 242510307</t>
  </si>
  <si>
    <t>0081683598 / 242510316</t>
  </si>
  <si>
    <t>0094092301 / 252611573</t>
  </si>
  <si>
    <t>0092685479 / 252611574</t>
  </si>
  <si>
    <t>0095319720 / 242510364</t>
  </si>
  <si>
    <t>0084006956 / 242510400</t>
  </si>
  <si>
    <t>Tiara Thalita Dzaky</t>
  </si>
  <si>
    <t>Agisha Melandri</t>
  </si>
  <si>
    <t>Aisha Syakira Putri</t>
  </si>
  <si>
    <t>Aisyah Nara Purusa Ningsa</t>
  </si>
  <si>
    <t>Akhmad Kevin Ahdiansyah Lesmana</t>
  </si>
  <si>
    <t>Ashya Navisha</t>
  </si>
  <si>
    <t>Azka  Abidah Sukma Cahyani</t>
  </si>
  <si>
    <t>Callysta Sadira Rizqullah Khaniza</t>
  </si>
  <si>
    <t>Cheysa Dara Maharani</t>
  </si>
  <si>
    <t>Desya Maulida</t>
  </si>
  <si>
    <t>Devi Nuraini</t>
  </si>
  <si>
    <t>Dhiyaul Aqlan Abqory</t>
  </si>
  <si>
    <t>Evandika Juliandi</t>
  </si>
  <si>
    <t>Excellita Mayda Nurussyfa</t>
  </si>
  <si>
    <t>Hadaya Bassam Faris Sawaftah</t>
  </si>
  <si>
    <t>Hilwa Zakiyyah</t>
  </si>
  <si>
    <t>Keysa Novasari</t>
  </si>
  <si>
    <t>Khansaa Dhiyaa Aqiilaa</t>
  </si>
  <si>
    <t>M. Fauzan Aifa Hafizh</t>
  </si>
  <si>
    <t>Malikah Putri Rafan</t>
  </si>
  <si>
    <t>Maykaila Aini Suryaningtyas Tamin</t>
  </si>
  <si>
    <t>Mochamad Farid Reza</t>
  </si>
  <si>
    <t>Muhamad Rizki Saputra</t>
  </si>
  <si>
    <t>Muhammad Alfiansyah</t>
  </si>
  <si>
    <t>Muhammad Hiroshi Ali Muzaffar</t>
  </si>
  <si>
    <t>Muhammad Royyan</t>
  </si>
  <si>
    <t>Nur Syifa Az Zahra</t>
  </si>
  <si>
    <t>Puteri Kinnayya Saepudin</t>
  </si>
  <si>
    <t>Raja Gilang Faizin</t>
  </si>
  <si>
    <t>Randacaya Hada Sangadji</t>
  </si>
  <si>
    <t>Sakinah Nasution</t>
  </si>
  <si>
    <t>Aldy Pratama</t>
  </si>
  <si>
    <t>Alifia Radya Pramesti</t>
  </si>
  <si>
    <t>Anneira Hendryto</t>
  </si>
  <si>
    <t>Asri Fatima Azzahra</t>
  </si>
  <si>
    <t>Audi Nur Chantikaputri</t>
  </si>
  <si>
    <t>Bagus Sugiharto</t>
  </si>
  <si>
    <t>Della Widya Wati</t>
  </si>
  <si>
    <t>Dzakira Aftani Herdianto</t>
  </si>
  <si>
    <t>Elsamonic</t>
  </si>
  <si>
    <t>Faiza Ramadhani</t>
  </si>
  <si>
    <t>Fauzan Nur Haidar</t>
  </si>
  <si>
    <t>Faza Azima Waalidaen</t>
  </si>
  <si>
    <t>Firas Rizqy Wicaksono</t>
  </si>
  <si>
    <t>Gizella Anggrietta</t>
  </si>
  <si>
    <t>Hafizhoh Maryam Az-Zuhaely</t>
  </si>
  <si>
    <t>Husna Ila Kamil</t>
  </si>
  <si>
    <t>Irsan Maulana</t>
  </si>
  <si>
    <t>Jesika Nain Cahaya Siringo Ringo</t>
  </si>
  <si>
    <t>Keizya Zahra Permana</t>
  </si>
  <si>
    <t>Kesya Larasati</t>
  </si>
  <si>
    <t>Khaira Rabbani Tsalasa</t>
  </si>
  <si>
    <t>Mochamad Lewis Batmomolin</t>
  </si>
  <si>
    <t>Muhammad Fadly Fadillah</t>
  </si>
  <si>
    <t>Muhammad Faiq Abdurrahman</t>
  </si>
  <si>
    <t>Radhwa Kadzia Salsabila</t>
  </si>
  <si>
    <t>Raisya Maulidhina</t>
  </si>
  <si>
    <t>Syahrul Ramadhan</t>
  </si>
  <si>
    <t>Syavira Dinar Handayani</t>
  </si>
  <si>
    <t>Syifa Septia Putri</t>
  </si>
  <si>
    <t>Waddia Fazila Permana</t>
  </si>
  <si>
    <t>Windy Kenez Ayu Pramesty</t>
  </si>
  <si>
    <t>Almira Chairunnisa Imawan</t>
  </si>
  <si>
    <t>Althafunisa Radisty Samiadji</t>
  </si>
  <si>
    <t>Amora Romadearni Sinaga</t>
  </si>
  <si>
    <t>Andika Artha Kusuma</t>
  </si>
  <si>
    <t>Atha Rezky Riyansyah</t>
  </si>
  <si>
    <t>Ayu Widyaningsih</t>
  </si>
  <si>
    <t>Ayudias Raina Zara</t>
  </si>
  <si>
    <t>Barep Agha Rioyo</t>
  </si>
  <si>
    <t>Daffa Diaz Arsya Bashari</t>
  </si>
  <si>
    <t>Danish Alghifari</t>
  </si>
  <si>
    <t>Faiz Alfariz</t>
  </si>
  <si>
    <t>Heru Kurnia</t>
  </si>
  <si>
    <t>Imam Al Ashfia Prastomo</t>
  </si>
  <si>
    <t>Javasanda Putra Perdana</t>
  </si>
  <si>
    <t>Lais Yusuf Ghazali</t>
  </si>
  <si>
    <t>Marcel Tri Hermawan</t>
  </si>
  <si>
    <t>Muhammad Ghaizyan Athar</t>
  </si>
  <si>
    <t>Muhammad Syawal</t>
  </si>
  <si>
    <t>Natanael Nadapdap</t>
  </si>
  <si>
    <t>Naufal Alghifary Zulya</t>
  </si>
  <si>
    <t>Putri Wida Az-Zahra</t>
  </si>
  <si>
    <t>Raden Devan Alanzulfian</t>
  </si>
  <si>
    <t>Raufan Nabih Firmansyah</t>
  </si>
  <si>
    <t>Rizky Abdul Bashir Tuharea</t>
  </si>
  <si>
    <t>Sabrina Firdaus Zahratuz Zakaria</t>
  </si>
  <si>
    <t>Shayang Camila Ahsanie</t>
  </si>
  <si>
    <t>Sila Nur Fauziah</t>
  </si>
  <si>
    <t>Surya Rangga Wisuta</t>
  </si>
  <si>
    <t>Tri Andika</t>
  </si>
  <si>
    <t>Win Mahara Kuswanto</t>
  </si>
  <si>
    <t>Zihni Falih Safaras</t>
  </si>
  <si>
    <t>Alex Saputra Suranta Tarigan</t>
  </si>
  <si>
    <t>Alwinsa Sugiharto</t>
  </si>
  <si>
    <t>Aryasatya Tridaya Alam</t>
  </si>
  <si>
    <t>Bilal Kaka Pratama Hartoyo</t>
  </si>
  <si>
    <t>Daffa Iqram Al Fachreza</t>
  </si>
  <si>
    <t>Deandra Nashwan Danish</t>
  </si>
  <si>
    <t>Erzan Fauzy Zulkarnaen</t>
  </si>
  <si>
    <t>Islamian Ikhsa Firmawan</t>
  </si>
  <si>
    <t>Langlang Syahadat Pulung Jati</t>
  </si>
  <si>
    <t>Mirza Faiz Al Razak</t>
  </si>
  <si>
    <t>Mirza Muhammad Rafi Hanifaldin</t>
  </si>
  <si>
    <t>Muhamad Gatfan Suryabakti</t>
  </si>
  <si>
    <t>Muhammad Atha Fauzansyah</t>
  </si>
  <si>
    <t>Muhammad Faisal Ghani</t>
  </si>
  <si>
    <t>Muhammad Fatih Rayyan Niago</t>
  </si>
  <si>
    <t>Muhammad Ghifaraidosata Suwondo</t>
  </si>
  <si>
    <t>Muhammad Habil Mulyana</t>
  </si>
  <si>
    <t>Muhammad Rizqullah Salim Wibowo</t>
  </si>
  <si>
    <t>Neisha Arinta Putri Sarjana</t>
  </si>
  <si>
    <t>Rais Aliyan</t>
  </si>
  <si>
    <t>Rifqi Anindya Putra</t>
  </si>
  <si>
    <t>Sabika Zaura Khumairo</t>
  </si>
  <si>
    <t>Savrya Alwi Amani</t>
  </si>
  <si>
    <t>Zaina Husniyati Hamdani</t>
  </si>
  <si>
    <t>Zhafran Ramadhan Drajat Sukma</t>
  </si>
  <si>
    <t>Abhista Anggoro Purnomo</t>
  </si>
  <si>
    <t>Aloysius Arthur Sinurat</t>
  </si>
  <si>
    <t>Anida Dewi Anjani</t>
  </si>
  <si>
    <t>Aqila Khairunnisa Putri</t>
  </si>
  <si>
    <t>Athalia Mayrossa Kenzie</t>
  </si>
  <si>
    <t>Aulia Putri Syafira</t>
  </si>
  <si>
    <t>Aulia Rahmaditia Danang</t>
  </si>
  <si>
    <t>Aurellia Odelina Askanah Han</t>
  </si>
  <si>
    <t>Banuwarman</t>
  </si>
  <si>
    <t>Bilqis Khumairah Putri</t>
  </si>
  <si>
    <t>Bumi Raffah Al Islahi</t>
  </si>
  <si>
    <t>Cemara Anggraeny</t>
  </si>
  <si>
    <t>Chiara Anggun Dameyanti Sirait</t>
  </si>
  <si>
    <t>Disya Cahaya Carrisa</t>
  </si>
  <si>
    <t>Farrel Luthfi Arviansyah</t>
  </si>
  <si>
    <t>Ghina Yumna</t>
  </si>
  <si>
    <t>Grasela Riyanti</t>
  </si>
  <si>
    <t>Keisya Nurmaulida</t>
  </si>
  <si>
    <t>Muhamad Ikmal</t>
  </si>
  <si>
    <t>Muhamad Zahran Ramadhan</t>
  </si>
  <si>
    <t>Muhammad Bagus Haryo Pratama</t>
  </si>
  <si>
    <t>Muhammad Daffa Rifai</t>
  </si>
  <si>
    <t>Muhammad Rifqi Hadzami</t>
  </si>
  <si>
    <t>Muhammad Yusril Ihza Bustomi</t>
  </si>
  <si>
    <t>Nadya Fayza Aulia</t>
  </si>
  <si>
    <t>Naurah Khansa Wibawa</t>
  </si>
  <si>
    <t>Nuri Sabilatul Aspiya</t>
  </si>
  <si>
    <t>Rifzki Yusrin</t>
  </si>
  <si>
    <t>Shafira Ghassani</t>
  </si>
  <si>
    <t>Sulaim Apenino Abdulhaq</t>
  </si>
  <si>
    <t>Talita Shaki Aulia</t>
  </si>
  <si>
    <t>Vindy Aprilia Khanaya</t>
  </si>
  <si>
    <t>Abhipraya Fahim Ghazal Adhiatma</t>
  </si>
  <si>
    <t>Aini Nur Fauziah Gunawan</t>
  </si>
  <si>
    <t>Almira Dian Pratiwi</t>
  </si>
  <si>
    <t>Anjar Rauf Fahrizal</t>
  </si>
  <si>
    <t>Arsyila Kayyisah Biyanto</t>
  </si>
  <si>
    <t>Aurellia Syifa Hafianti</t>
  </si>
  <si>
    <t>Ayuki Nirwasita Saputro</t>
  </si>
  <si>
    <t>Chelsy Ashyla Nafiza</t>
  </si>
  <si>
    <t>Echa Putri Ramadhani</t>
  </si>
  <si>
    <t>Ello Sasmitha Jati</t>
  </si>
  <si>
    <t>Eskisan Oktri Femista</t>
  </si>
  <si>
    <t>Fathan Mubina</t>
  </si>
  <si>
    <t>Fiona Wahidah Salsabila</t>
  </si>
  <si>
    <t>Gian Fabrizio</t>
  </si>
  <si>
    <t>Khansa Nabilah Fatin</t>
  </si>
  <si>
    <t>Lukman Harun Aditya</t>
  </si>
  <si>
    <t>M. Bintang Aliansyah Tukuboya</t>
  </si>
  <si>
    <t>Muhammad Dalfin Syawaldi Putra Setiawan</t>
  </si>
  <si>
    <t>Muhammad Naufal Suryadi</t>
  </si>
  <si>
    <t>Nabilla Alya Rohhadi</t>
  </si>
  <si>
    <t>Quinsha Naura Adity</t>
  </si>
  <si>
    <t>Salsabila Alfeeansyah Putri</t>
  </si>
  <si>
    <t>Samuel Sahat Vito Siregar</t>
  </si>
  <si>
    <t>Satria Andhika Raissa</t>
  </si>
  <si>
    <t>Talita Putria Cahyani</t>
  </si>
  <si>
    <t>Yasmin Sakura Armawan</t>
  </si>
  <si>
    <t>Zahra Talita Dzakira</t>
  </si>
  <si>
    <t>Zikra Arib Rozaan</t>
  </si>
  <si>
    <t>Anindya Zhafira Sani</t>
  </si>
  <si>
    <t>Ariij Arriyad</t>
  </si>
  <si>
    <t>Arya Muhammad Raihan</t>
  </si>
  <si>
    <t>Aulia Erlin Mummaizah</t>
  </si>
  <si>
    <t>Aurelia Syifa Fiandra</t>
  </si>
  <si>
    <t>Bilqist Ayu Wulandari</t>
  </si>
  <si>
    <t>Cintia Zahfirah Asyiah Siregar</t>
  </si>
  <si>
    <t>Danisy Nahdhan Pratama</t>
  </si>
  <si>
    <t>Dicky Maulana</t>
  </si>
  <si>
    <t>Gan Muhammad Rizky</t>
  </si>
  <si>
    <t>Haidar Al Fathin</t>
  </si>
  <si>
    <t>Intan Zahira Aulia</t>
  </si>
  <si>
    <t>Kahla Mulia</t>
  </si>
  <si>
    <t>Kayla Pelangi Harupi</t>
  </si>
  <si>
    <t>Khomairah</t>
  </si>
  <si>
    <t>Lingga Argan Zinggara</t>
  </si>
  <si>
    <t>Maulana Yusuf Purnama</t>
  </si>
  <si>
    <t>Muhammad Abidzar</t>
  </si>
  <si>
    <t>Muhammad Irgi Avicenna Fachridho Putra</t>
  </si>
  <si>
    <t>Nadine Kirana Saraswati</t>
  </si>
  <si>
    <t>Puti Pelangi Maharani</t>
  </si>
  <si>
    <t>Quenna Valencia</t>
  </si>
  <si>
    <t>Rama Ar Rifatul Anbiya</t>
  </si>
  <si>
    <t>Rizky Baihaqi</t>
  </si>
  <si>
    <t>Rosliani Sarrah</t>
  </si>
  <si>
    <t>Shinta Aulia</t>
  </si>
  <si>
    <t>Zalfa Anaya Putri</t>
  </si>
  <si>
    <t>Zhafira Fathin Ilmira</t>
  </si>
  <si>
    <t>Abdurrahman Syauqi</t>
  </si>
  <si>
    <t>Aira Eva Fajarina</t>
  </si>
  <si>
    <t>Akram Dika Setiawan</t>
  </si>
  <si>
    <t>Al-Habi Syehar Irawan</t>
  </si>
  <si>
    <t>Andrea Kaira Nezza</t>
  </si>
  <si>
    <t>Ardhito Himawan Dwantara</t>
  </si>
  <si>
    <t>Aureli Valency Achiles</t>
  </si>
  <si>
    <t>Caesy Aprilia Bausir</t>
  </si>
  <si>
    <t>Hasna Azmalea Radhina Santosa</t>
  </si>
  <si>
    <t>Khalista Bisi Elmyra</t>
  </si>
  <si>
    <t>Lexa El Sohbia</t>
  </si>
  <si>
    <t>Mala Nirmala</t>
  </si>
  <si>
    <t>Muhammad Aqila Zhafran Khair</t>
  </si>
  <si>
    <t>Muhammad Rayza Ijudin</t>
  </si>
  <si>
    <t>Nabilah Khoirunnisaa</t>
  </si>
  <si>
    <t>Nadya Putri</t>
  </si>
  <si>
    <t>Nasywa Neno Fauziah</t>
  </si>
  <si>
    <t>Nazira Meisa</t>
  </si>
  <si>
    <t>Ni Kadek Masayu Savitar Handayani</t>
  </si>
  <si>
    <t>Prita Seliana</t>
  </si>
  <si>
    <t>Putri Allysia Yusup</t>
  </si>
  <si>
    <t>Putri Dita Apriliya</t>
  </si>
  <si>
    <t>Putri Keysha M. C</t>
  </si>
  <si>
    <t>Ray Anita Natasya</t>
  </si>
  <si>
    <t>Rizki Maulana Fadillah</t>
  </si>
  <si>
    <t>Sakila Nasution</t>
  </si>
  <si>
    <t>Salsabila Putri</t>
  </si>
  <si>
    <t>Shanaz Mufida</t>
  </si>
  <si>
    <t>Syaira Fakhrudina Putri</t>
  </si>
  <si>
    <t>Tegar Hermawan Anggoro</t>
  </si>
  <si>
    <t>Vira Aprilia Putri</t>
  </si>
  <si>
    <t>Alexandria Prameswari Prawiro</t>
  </si>
  <si>
    <t>Alexia Luigi Lian</t>
  </si>
  <si>
    <t>Bintang Alif Putra Satriya</t>
  </si>
  <si>
    <t>Chaerani Yulianti</t>
  </si>
  <si>
    <t>Davina Mutiara Arfi</t>
  </si>
  <si>
    <t>Fajra Aniq Khalisha</t>
  </si>
  <si>
    <t>Feyza Alya Mukhbita</t>
  </si>
  <si>
    <t>Hilma Sandria</t>
  </si>
  <si>
    <t>Hinezta Nailah Sanmaghfirah</t>
  </si>
  <si>
    <t>Ilma Nur Agnia</t>
  </si>
  <si>
    <t>Intan Tania</t>
  </si>
  <si>
    <t>Januar Obed Holand Sitopu</t>
  </si>
  <si>
    <t>Kayla Dhea Nurma Fauziah</t>
  </si>
  <si>
    <t>Kesya Ardelia Kusuma</t>
  </si>
  <si>
    <t>Khairunnisa Rahadatul Aisy</t>
  </si>
  <si>
    <t>Kirana Nur'Aini</t>
  </si>
  <si>
    <t>Mohammed Alvaro Fauzan Purnomo</t>
  </si>
  <si>
    <t>Muhamad Daffa Sugianto</t>
  </si>
  <si>
    <t>Muhammad Daffa Khairy Mufid</t>
  </si>
  <si>
    <t>Nazwa Mufida</t>
  </si>
  <si>
    <t>Oshe Bilqis Nadhifah</t>
  </si>
  <si>
    <t>Putri Khaila Azzahra</t>
  </si>
  <si>
    <t>Queen Aqila Althafunnisa</t>
  </si>
  <si>
    <t>Ramaditya Tangguh Alfian</t>
  </si>
  <si>
    <t>Revalia Sabrina Safa</t>
  </si>
  <si>
    <t>Reyhan Saputra</t>
  </si>
  <si>
    <t>Syakira</t>
  </si>
  <si>
    <t>Zahara Romadhona</t>
  </si>
  <si>
    <t>Ahmad Humam Rifqi</t>
  </si>
  <si>
    <t>Allayda Cindy Addrian</t>
  </si>
  <si>
    <t>Anandio Alfathir Suherman</t>
  </si>
  <si>
    <t>Dinda Syafana Alfatiha .N .R .K</t>
  </si>
  <si>
    <t>Elizabeth Fransiska Siregar</t>
  </si>
  <si>
    <t>Fariha Tiara Jinaani</t>
  </si>
  <si>
    <t>Karimah Bassam Faris Sawaftah</t>
  </si>
  <si>
    <t>Kayla Rahmah Mumtazah</t>
  </si>
  <si>
    <t>Kesya Rashan Syilbiyy Firdaus</t>
  </si>
  <si>
    <t>Kezia Feodora Simarnala Ciberro</t>
  </si>
  <si>
    <t>Lina Amelia Dwi Anjani</t>
  </si>
  <si>
    <t>Luviyani</t>
  </si>
  <si>
    <t>Malika Nurzahira</t>
  </si>
  <si>
    <t>Maysa Khumaira</t>
  </si>
  <si>
    <t>Mazaya Kamilah Manik</t>
  </si>
  <si>
    <t>Meydina Khaliilah Bramantya</t>
  </si>
  <si>
    <t>Meysa Yosi Salsabila</t>
  </si>
  <si>
    <t>Muhamad Riski Aditiya</t>
  </si>
  <si>
    <t>Muhammad Shafa</t>
  </si>
  <si>
    <t>Nadian Putri Syafina</t>
  </si>
  <si>
    <t>Nayshila Dhiya Adzkia</t>
  </si>
  <si>
    <t>Nazhera Irba Iwel</t>
  </si>
  <si>
    <t>Piona Abigail Zamar Sinaga</t>
  </si>
  <si>
    <t>Quintania Aura Putri</t>
  </si>
  <si>
    <t>Rania Salsabilla</t>
  </si>
  <si>
    <t>Rhaditia Fajar Kasyahvani</t>
  </si>
  <si>
    <t>Samy Abdurrahman Romdhony</t>
  </si>
  <si>
    <t>Sanlia Moranda Br Silaban</t>
  </si>
  <si>
    <t>Syifa Aprilia</t>
  </si>
  <si>
    <t>Valentino Azka Febrian Putra</t>
  </si>
  <si>
    <t>Vinny Vionita</t>
  </si>
  <si>
    <t>Viola Anindita Kurniawan</t>
  </si>
  <si>
    <t>Yasmin Diva Nurfiqra</t>
  </si>
  <si>
    <t>Zahisa Raudhatul Jannah</t>
  </si>
  <si>
    <t>Adinda Khayla</t>
  </si>
  <si>
    <t>Aditya Narayan</t>
  </si>
  <si>
    <t>Aisyah Syuja Larasati Sigit</t>
  </si>
  <si>
    <t>Alma Destianti</t>
  </si>
  <si>
    <t>Alya Mukhbita Hendriana</t>
  </si>
  <si>
    <t>Annisa Nur Fajriya</t>
  </si>
  <si>
    <t>Atma Pertiwi</t>
  </si>
  <si>
    <t>Deivar Brimantara</t>
  </si>
  <si>
    <t>Fellysia Oktafia Fernanda</t>
  </si>
  <si>
    <t>Glenn Hubert Jonathan Haholongan Simanungkalit</t>
  </si>
  <si>
    <t>Hanif Aulia Rifqy</t>
  </si>
  <si>
    <t>Haykal Wisnu Bayu Wiemanji</t>
  </si>
  <si>
    <t>Maulida Az Zahra Nurrayani</t>
  </si>
  <si>
    <t>Moehamad Putra Aulia</t>
  </si>
  <si>
    <t>Muhammad Rizki Salim</t>
  </si>
  <si>
    <t>Muthia Jasmine Muthmainnah</t>
  </si>
  <si>
    <t>Ni Made Najela</t>
  </si>
  <si>
    <t>Niken Zahrothul Sita</t>
  </si>
  <si>
    <t>Nur Afni Maisa</t>
  </si>
  <si>
    <t>Nurisya Aulia Shabiira</t>
  </si>
  <si>
    <t>Rachmat Saidi Koes Mulyana</t>
  </si>
  <si>
    <t>Raissa Zahra Hidayat</t>
  </si>
  <si>
    <t>Rizieq Zidan Rizal</t>
  </si>
  <si>
    <t>Rizka Rana Naila</t>
  </si>
  <si>
    <t>Salsabila Maulani</t>
  </si>
  <si>
    <t>Santika Febyanti</t>
  </si>
  <si>
    <t>Savira Oktavia Prasetyo</t>
  </si>
  <si>
    <t>Syadien Kamillia Agustin</t>
  </si>
  <si>
    <t>Syaikhah Anbar</t>
  </si>
  <si>
    <t>Tumpal David Hotbonardo Napitupulu</t>
  </si>
  <si>
    <t>Wanda Zhafirah</t>
  </si>
  <si>
    <t>Agil Umar</t>
  </si>
  <si>
    <t>Ahmad Riyad Sugiarto</t>
  </si>
  <si>
    <t>Alifah Khairani Sawaludin</t>
  </si>
  <si>
    <t>Almira Tungga Dewi</t>
  </si>
  <si>
    <t>Aulya Mawal Juniar</t>
  </si>
  <si>
    <t>Bagaskara Arya Perkasa</t>
  </si>
  <si>
    <t>Devin Anandya Syuja</t>
  </si>
  <si>
    <t>Donita Aulia Ramadhani</t>
  </si>
  <si>
    <t>Evania Sarah Ilmira</t>
  </si>
  <si>
    <t>Hanan Dzul Hilmi</t>
  </si>
  <si>
    <t>Irsyad Abrian Al-Warid</t>
  </si>
  <si>
    <t>Kamiila Putri Khairunnisa</t>
  </si>
  <si>
    <t>Keisha Juan</t>
  </si>
  <si>
    <t>Khansa Makaila Kayyasah</t>
  </si>
  <si>
    <t>Kirana Aura Azzahra Permana</t>
  </si>
  <si>
    <t>Kirani Aira Salsabila Permana</t>
  </si>
  <si>
    <t>Muhammad Dzaky</t>
  </si>
  <si>
    <t>Muhammad Zaki Arrahman</t>
  </si>
  <si>
    <t>Nailatul Ullya</t>
  </si>
  <si>
    <t>Qatrun Nada Tannaqi</t>
  </si>
  <si>
    <t>Queensha Anjani Sudrajat</t>
  </si>
  <si>
    <t>Raihanna Zahra Aqilah</t>
  </si>
  <si>
    <t>Rania Salsabila</t>
  </si>
  <si>
    <t>Syahrena Pita Pinasih</t>
  </si>
  <si>
    <t>Valeta Febiola Irmadani</t>
  </si>
  <si>
    <t>Winda Maharani</t>
  </si>
  <si>
    <t>Wintang Hikmah Kusuma Dewi</t>
  </si>
  <si>
    <t>Zasqia Aulia Putri</t>
  </si>
  <si>
    <t>Zhalida Daumixy Mora Siregar</t>
  </si>
  <si>
    <t>Zulfa Laila Mashurah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</si>
</sst>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1"/>
    </font>
    <font>
      <sz val="12"/>
      <color theme="1"/>
      <name val="Times New Roman"/>
      <family val="1"/>
    </font>
    <font>
      <sz val="10"/>
      <color theme="1"/>
      <name val="Arial Narrow"/>
      <family val="2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8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2" xfId="1" applyNumberFormat="1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9" fontId="10" fillId="0" borderId="2" xfId="0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/>
    <xf numFmtId="0" fontId="0" fillId="0" borderId="2" xfId="0" applyBorder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10" fillId="4" borderId="2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11" xfId="0" applyFont="1" applyFill="1" applyBorder="1" applyAlignment="1" applyProtection="1">
      <alignment horizontal="center" vertical="center"/>
      <protection hidden="1"/>
    </xf>
    <xf numFmtId="0" fontId="10" fillId="8" borderId="2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0" fillId="0" borderId="13" xfId="1" applyNumberFormat="1" applyFont="1" applyFill="1" applyBorder="1" applyAlignment="1" applyProtection="1">
      <alignment horizontal="center" vertical="center"/>
      <protection locked="0" hidden="1"/>
    </xf>
    <xf numFmtId="0" fontId="0" fillId="0" borderId="13" xfId="0" applyBorder="1" applyAlignment="1">
      <alignment horizontal="center"/>
    </xf>
    <xf numFmtId="0" fontId="10" fillId="8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9" fontId="10" fillId="0" borderId="13" xfId="0" applyNumberFormat="1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1" fontId="12" fillId="0" borderId="14" xfId="0" quotePrefix="1" applyNumberFormat="1" applyFont="1" applyBorder="1" applyAlignment="1">
      <alignment horizontal="left"/>
    </xf>
    <xf numFmtId="0" fontId="13" fillId="0" borderId="14" xfId="0" applyFont="1" applyBorder="1" applyAlignment="1">
      <alignment horizontal="left" vertical="top"/>
    </xf>
    <xf numFmtId="0" fontId="10" fillId="6" borderId="7" xfId="0" applyFont="1" applyFill="1" applyBorder="1" applyAlignment="1" applyProtection="1">
      <alignment horizontal="center" vertical="center"/>
      <protection hidden="1"/>
    </xf>
    <xf numFmtId="0" fontId="10" fillId="6" borderId="10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/>
      <protection hidden="1"/>
    </xf>
    <xf numFmtId="0" fontId="10" fillId="2" borderId="12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10" fillId="3" borderId="13" xfId="0" applyFont="1" applyFill="1" applyBorder="1" applyAlignment="1" applyProtection="1">
      <alignment horizontal="center" vertical="center"/>
      <protection hidden="1"/>
    </xf>
    <xf numFmtId="0" fontId="10" fillId="3" borderId="11" xfId="0" applyFont="1" applyFill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3" borderId="9" xfId="0" applyFont="1" applyFill="1" applyBorder="1" applyAlignment="1" applyProtection="1">
      <alignment horizontal="center" vertical="center"/>
      <protection hidden="1"/>
    </xf>
    <xf numFmtId="0" fontId="10" fillId="4" borderId="7" xfId="0" applyFont="1" applyFill="1" applyBorder="1" applyAlignment="1" applyProtection="1">
      <alignment horizontal="center" vertical="center"/>
      <protection hidden="1"/>
    </xf>
    <xf numFmtId="0" fontId="10" fillId="4" borderId="10" xfId="0" applyFont="1" applyFill="1" applyBorder="1" applyAlignment="1" applyProtection="1">
      <alignment horizontal="center" vertical="center"/>
      <protection hidden="1"/>
    </xf>
    <xf numFmtId="0" fontId="10" fillId="5" borderId="7" xfId="0" applyFont="1" applyFill="1" applyBorder="1" applyAlignment="1" applyProtection="1">
      <alignment horizontal="center" vertical="center"/>
      <protection hidden="1"/>
    </xf>
    <xf numFmtId="0" fontId="10" fillId="5" borderId="10" xfId="0" applyFont="1" applyFill="1" applyBorder="1" applyAlignment="1" applyProtection="1">
      <alignment horizontal="center" vertical="center"/>
      <protection hidden="1"/>
    </xf>
  </cellXfs>
  <cellStyles count="2">
    <cellStyle name="Comma" xfId="1" builtinId="3"/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64D86DA0-E818-43EA-9883-7ACC41EE54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22247938-AE7E-4035-B910-1711751B30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6849658-965A-4D79-A529-BA6C2383DD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70E9BC42-E3FA-4648-8F19-F17649F81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6601101-BE62-408D-87B0-E938B11EA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DC45B530-F6DB-463B-81A1-C26395B7B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23DF71B-05C0-4E51-B58F-9457EC2897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C06011B-822C-4B5E-9A43-5F5C8040C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48E054F-6147-4ACC-B8C2-C8813E358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80017AF0-17F0-4CDD-8573-3DF5B54EF1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B322B6A-7C6E-4668-B4B6-74491C30D6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35557B7-1EA7-4F2E-86CF-4317CA115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24C-D221-40D0-BB5A-632A0B764384}">
  <dimension ref="A1:AA52"/>
  <sheetViews>
    <sheetView tabSelected="1" topLeftCell="A4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6.269531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2.5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37</v>
      </c>
      <c r="C13" s="35" t="s">
        <v>871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38</v>
      </c>
      <c r="C14" s="35" t="s">
        <v>872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39</v>
      </c>
      <c r="C15" s="35" t="s">
        <v>873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40</v>
      </c>
      <c r="C16" s="35" t="s">
        <v>874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41</v>
      </c>
      <c r="C17" s="35" t="s">
        <v>875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42</v>
      </c>
      <c r="C18" s="35" t="s">
        <v>876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43</v>
      </c>
      <c r="C19" s="35" t="s">
        <v>44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45</v>
      </c>
      <c r="C20" s="35" t="s">
        <v>877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46</v>
      </c>
      <c r="C21" s="35" t="s">
        <v>47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48</v>
      </c>
      <c r="C22" s="35" t="s">
        <v>49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50</v>
      </c>
      <c r="C23" s="35" t="s">
        <v>878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51</v>
      </c>
      <c r="C24" s="35" t="s">
        <v>879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52</v>
      </c>
      <c r="C25" s="35" t="s">
        <v>880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53</v>
      </c>
      <c r="C26" s="35" t="s">
        <v>881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54</v>
      </c>
      <c r="C27" s="35" t="s">
        <v>882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55</v>
      </c>
      <c r="C28" s="35" t="s">
        <v>56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57</v>
      </c>
      <c r="C29" s="35" t="s">
        <v>883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58</v>
      </c>
      <c r="C30" s="35" t="s">
        <v>884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59</v>
      </c>
      <c r="C31" s="35" t="s">
        <v>885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60</v>
      </c>
      <c r="C32" s="35" t="s">
        <v>886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61</v>
      </c>
      <c r="C33" s="35" t="s">
        <v>62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63</v>
      </c>
      <c r="C34" s="35" t="s">
        <v>887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64</v>
      </c>
      <c r="C35" s="35" t="s">
        <v>888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65</v>
      </c>
      <c r="C36" s="35" t="s">
        <v>889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66</v>
      </c>
      <c r="C37" s="35" t="s">
        <v>890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67</v>
      </c>
      <c r="C38" s="35" t="s">
        <v>891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68</v>
      </c>
      <c r="C39" s="35" t="s">
        <v>892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69</v>
      </c>
      <c r="C40" s="35" t="s">
        <v>893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70</v>
      </c>
      <c r="C41" s="35" t="s">
        <v>894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71</v>
      </c>
      <c r="C42" s="35" t="s">
        <v>72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73</v>
      </c>
      <c r="C43" s="35" t="s">
        <v>895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74</v>
      </c>
      <c r="C44" s="35" t="s">
        <v>896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75</v>
      </c>
      <c r="C45" s="35" t="s">
        <v>897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76</v>
      </c>
      <c r="C46" s="35" t="s">
        <v>898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77</v>
      </c>
      <c r="C47" s="35" t="s">
        <v>899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78</v>
      </c>
      <c r="C48" s="35" t="s">
        <v>900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21" priority="1"/>
    <cfRule type="duplicateValues" dxfId="20" priority="2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B7D8-CA64-4DE2-88F9-5EC2D1D5BAB4}">
  <dimension ref="A1:AA52"/>
  <sheetViews>
    <sheetView topLeftCell="A23" workbookViewId="0">
      <selection activeCell="C13" sqref="C13"/>
    </sheetView>
  </sheetViews>
  <sheetFormatPr defaultRowHeight="14.5" x14ac:dyDescent="0.35"/>
  <cols>
    <col min="1" max="1" width="4.453125" customWidth="1"/>
    <col min="2" max="2" width="19.90625" bestFit="1" customWidth="1"/>
    <col min="3" max="3" width="40.4531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6.5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79</v>
      </c>
      <c r="C13" s="35" t="s">
        <v>840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80</v>
      </c>
      <c r="C14" s="35" t="s">
        <v>841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81</v>
      </c>
      <c r="C15" s="35" t="s">
        <v>842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82</v>
      </c>
      <c r="C16" s="35" t="s">
        <v>843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83</v>
      </c>
      <c r="C17" s="35" t="s">
        <v>844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84</v>
      </c>
      <c r="C18" s="35" t="s">
        <v>85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86</v>
      </c>
      <c r="C19" s="35" t="s">
        <v>845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87</v>
      </c>
      <c r="C20" s="35" t="s">
        <v>846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88</v>
      </c>
      <c r="C21" s="35" t="s">
        <v>847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89</v>
      </c>
      <c r="C22" s="35" t="s">
        <v>90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91</v>
      </c>
      <c r="C23" s="35" t="s">
        <v>92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93</v>
      </c>
      <c r="C24" s="35" t="s">
        <v>848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94</v>
      </c>
      <c r="C25" s="35" t="s">
        <v>95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96</v>
      </c>
      <c r="C26" s="35" t="s">
        <v>849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97</v>
      </c>
      <c r="C27" s="35" t="s">
        <v>850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98</v>
      </c>
      <c r="C28" s="35" t="s">
        <v>851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99</v>
      </c>
      <c r="C29" s="35" t="s">
        <v>852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100</v>
      </c>
      <c r="C30" s="35" t="s">
        <v>853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101</v>
      </c>
      <c r="C31" s="35" t="s">
        <v>102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103</v>
      </c>
      <c r="C32" s="35" t="s">
        <v>854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104</v>
      </c>
      <c r="C33" s="35" t="s">
        <v>855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105</v>
      </c>
      <c r="C34" s="35" t="s">
        <v>856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106</v>
      </c>
      <c r="C35" s="35" t="s">
        <v>857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107</v>
      </c>
      <c r="C36" s="35" t="s">
        <v>858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108</v>
      </c>
      <c r="C37" s="35" t="s">
        <v>859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109</v>
      </c>
      <c r="C38" s="35" t="s">
        <v>860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110</v>
      </c>
      <c r="C39" s="35" t="s">
        <v>861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111</v>
      </c>
      <c r="C40" s="35" t="s">
        <v>862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112</v>
      </c>
      <c r="C41" s="35" t="s">
        <v>863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113</v>
      </c>
      <c r="C42" s="35" t="s">
        <v>864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114</v>
      </c>
      <c r="C43" s="35" t="s">
        <v>865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115</v>
      </c>
      <c r="C44" s="35" t="s">
        <v>866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116</v>
      </c>
      <c r="C45" s="35" t="s">
        <v>867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117</v>
      </c>
      <c r="C46" s="35" t="s">
        <v>868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118</v>
      </c>
      <c r="C47" s="35" t="s">
        <v>869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119</v>
      </c>
      <c r="C48" s="35" t="s">
        <v>870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9" priority="1"/>
    <cfRule type="duplicateValues" dxfId="18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A786-C987-4A55-AD64-2720BAB41062}">
  <dimension ref="A1:AA52"/>
  <sheetViews>
    <sheetView topLeftCell="A32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6.542968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27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7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120</v>
      </c>
      <c r="C13" s="35" t="s">
        <v>806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121</v>
      </c>
      <c r="C14" s="35" t="s">
        <v>807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122</v>
      </c>
      <c r="C15" s="35" t="s">
        <v>808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123</v>
      </c>
      <c r="C16" s="35" t="s">
        <v>124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125</v>
      </c>
      <c r="C17" s="35" t="s">
        <v>809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126</v>
      </c>
      <c r="C18" s="35" t="s">
        <v>810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127</v>
      </c>
      <c r="C19" s="35" t="s">
        <v>811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128</v>
      </c>
      <c r="C20" s="35" t="s">
        <v>129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130</v>
      </c>
      <c r="C21" s="35" t="s">
        <v>812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131</v>
      </c>
      <c r="C22" s="35" t="s">
        <v>813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132</v>
      </c>
      <c r="C23" s="35" t="s">
        <v>814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133</v>
      </c>
      <c r="C24" s="35" t="s">
        <v>815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134</v>
      </c>
      <c r="C25" s="35" t="s">
        <v>816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135</v>
      </c>
      <c r="C26" s="35" t="s">
        <v>817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136</v>
      </c>
      <c r="C27" s="35" t="s">
        <v>818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137</v>
      </c>
      <c r="C28" s="35" t="s">
        <v>819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138</v>
      </c>
      <c r="C29" s="35" t="s">
        <v>820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139</v>
      </c>
      <c r="C30" s="35" t="s">
        <v>821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140</v>
      </c>
      <c r="C31" s="35" t="s">
        <v>822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141</v>
      </c>
      <c r="C32" s="35" t="s">
        <v>823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142</v>
      </c>
      <c r="C33" s="35" t="s">
        <v>824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143</v>
      </c>
      <c r="C34" s="35" t="s">
        <v>825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144</v>
      </c>
      <c r="C35" s="35" t="s">
        <v>826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145</v>
      </c>
      <c r="C36" s="35" t="s">
        <v>827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146</v>
      </c>
      <c r="C37" s="35" t="s">
        <v>828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147</v>
      </c>
      <c r="C38" s="35" t="s">
        <v>829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148</v>
      </c>
      <c r="C39" s="35" t="s">
        <v>830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149</v>
      </c>
      <c r="C40" s="35" t="s">
        <v>831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150</v>
      </c>
      <c r="C41" s="35" t="s">
        <v>832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151</v>
      </c>
      <c r="C42" s="35" t="s">
        <v>833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152</v>
      </c>
      <c r="C43" s="35" t="s">
        <v>834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153</v>
      </c>
      <c r="C44" s="35" t="s">
        <v>835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154</v>
      </c>
      <c r="C45" s="35" t="s">
        <v>836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155</v>
      </c>
      <c r="C46" s="35" t="s">
        <v>837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156</v>
      </c>
      <c r="C47" s="35" t="s">
        <v>838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157</v>
      </c>
      <c r="C48" s="35" t="s">
        <v>839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7" priority="1"/>
    <cfRule type="duplicateValues" dxfId="16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480-B677-485B-A0C5-4D7C9B98C0DA}">
  <dimension ref="A1:AA52"/>
  <sheetViews>
    <sheetView topLeftCell="A31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0" bestFit="1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28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5.5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158</v>
      </c>
      <c r="C13" s="35" t="s">
        <v>159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160</v>
      </c>
      <c r="C14" s="35" t="s">
        <v>778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161</v>
      </c>
      <c r="C15" s="35" t="s">
        <v>779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162</v>
      </c>
      <c r="C16" s="35" t="s">
        <v>163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164</v>
      </c>
      <c r="C17" s="35" t="s">
        <v>780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165</v>
      </c>
      <c r="C18" s="35" t="s">
        <v>781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166</v>
      </c>
      <c r="C19" s="35" t="s">
        <v>782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167</v>
      </c>
      <c r="C20" s="35" t="s">
        <v>168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169</v>
      </c>
      <c r="C21" s="35" t="s">
        <v>783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170</v>
      </c>
      <c r="C22" s="35" t="s">
        <v>171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172</v>
      </c>
      <c r="C23" s="35" t="s">
        <v>784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173</v>
      </c>
      <c r="C24" s="35" t="s">
        <v>785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174</v>
      </c>
      <c r="C25" s="35" t="s">
        <v>786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175</v>
      </c>
      <c r="C26" s="35" t="s">
        <v>787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176</v>
      </c>
      <c r="C27" s="35" t="s">
        <v>788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177</v>
      </c>
      <c r="C28" s="35" t="s">
        <v>789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178</v>
      </c>
      <c r="C29" s="35" t="s">
        <v>790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179</v>
      </c>
      <c r="C30" s="35" t="s">
        <v>791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180</v>
      </c>
      <c r="C31" s="35" t="s">
        <v>792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181</v>
      </c>
      <c r="C32" s="35" t="s">
        <v>793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182</v>
      </c>
      <c r="C33" s="35" t="s">
        <v>794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183</v>
      </c>
      <c r="C34" s="35" t="s">
        <v>795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184</v>
      </c>
      <c r="C35" s="35" t="s">
        <v>796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185</v>
      </c>
      <c r="C36" s="35" t="s">
        <v>186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187</v>
      </c>
      <c r="C37" s="35" t="s">
        <v>797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188</v>
      </c>
      <c r="C38" s="35" t="s">
        <v>798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189</v>
      </c>
      <c r="C39" s="35" t="s">
        <v>799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190</v>
      </c>
      <c r="C40" s="35" t="s">
        <v>800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191</v>
      </c>
      <c r="C41" s="35" t="s">
        <v>801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192</v>
      </c>
      <c r="C42" s="35" t="s">
        <v>193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194</v>
      </c>
      <c r="C43" s="35" t="s">
        <v>802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195</v>
      </c>
      <c r="C44" s="35" t="s">
        <v>803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196</v>
      </c>
      <c r="C45" s="35" t="s">
        <v>197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198</v>
      </c>
      <c r="C46" s="35" t="s">
        <v>199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200</v>
      </c>
      <c r="C47" s="35" t="s">
        <v>804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201</v>
      </c>
      <c r="C48" s="35" t="s">
        <v>805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5" priority="1"/>
    <cfRule type="duplicateValues" dxfId="1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70F9-9035-4A30-B8EA-32664D7219C9}">
  <dimension ref="A1:AA52"/>
  <sheetViews>
    <sheetView topLeftCell="A40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9.9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29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2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202</v>
      </c>
      <c r="C13" s="35" t="s">
        <v>747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203</v>
      </c>
      <c r="C14" s="35" t="s">
        <v>748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204</v>
      </c>
      <c r="C15" s="35" t="s">
        <v>749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205</v>
      </c>
      <c r="C16" s="35" t="s">
        <v>750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206</v>
      </c>
      <c r="C17" s="35" t="s">
        <v>207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208</v>
      </c>
      <c r="C18" s="35" t="s">
        <v>751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209</v>
      </c>
      <c r="C19" s="35" t="s">
        <v>752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210</v>
      </c>
      <c r="C20" s="35" t="s">
        <v>753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211</v>
      </c>
      <c r="C21" s="35" t="s">
        <v>754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212</v>
      </c>
      <c r="C22" s="35" t="s">
        <v>755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213</v>
      </c>
      <c r="C23" s="35" t="s">
        <v>756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214</v>
      </c>
      <c r="C24" s="35" t="s">
        <v>215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216</v>
      </c>
      <c r="C25" s="35" t="s">
        <v>757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217</v>
      </c>
      <c r="C26" s="35" t="s">
        <v>218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219</v>
      </c>
      <c r="C27" s="35" t="s">
        <v>758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220</v>
      </c>
      <c r="C28" s="35" t="s">
        <v>759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221</v>
      </c>
      <c r="C29" s="35" t="s">
        <v>222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223</v>
      </c>
      <c r="C30" s="35" t="s">
        <v>760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224</v>
      </c>
      <c r="C31" s="35" t="s">
        <v>761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225</v>
      </c>
      <c r="C32" s="35" t="s">
        <v>762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226</v>
      </c>
      <c r="C33" s="35" t="s">
        <v>763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227</v>
      </c>
      <c r="C34" s="35" t="s">
        <v>764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228</v>
      </c>
      <c r="C35" s="35" t="s">
        <v>765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229</v>
      </c>
      <c r="C36" s="35" t="s">
        <v>766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230</v>
      </c>
      <c r="C37" s="35" t="s">
        <v>767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231</v>
      </c>
      <c r="C38" s="35" t="s">
        <v>768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232</v>
      </c>
      <c r="C39" s="35" t="s">
        <v>769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233</v>
      </c>
      <c r="C40" s="35" t="s">
        <v>770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234</v>
      </c>
      <c r="C41" s="35" t="s">
        <v>771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235</v>
      </c>
      <c r="C42" s="35" t="s">
        <v>772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236</v>
      </c>
      <c r="C43" s="35" t="s">
        <v>773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237</v>
      </c>
      <c r="C44" s="35" t="s">
        <v>238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239</v>
      </c>
      <c r="C45" s="35" t="s">
        <v>774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240</v>
      </c>
      <c r="C46" s="35" t="s">
        <v>775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241</v>
      </c>
      <c r="C47" s="35" t="s">
        <v>776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242</v>
      </c>
      <c r="C48" s="35" t="s">
        <v>777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3" priority="1"/>
    <cfRule type="duplicateValues" dxfId="12" priority="2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4A94-BA12-438A-8F97-039C83738400}">
  <dimension ref="A1:AA52"/>
  <sheetViews>
    <sheetView topLeftCell="A31" workbookViewId="0">
      <selection activeCell="D48" sqref="D48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4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243</v>
      </c>
      <c r="C13" s="35" t="s">
        <v>719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244</v>
      </c>
      <c r="C14" s="35" t="s">
        <v>720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245</v>
      </c>
      <c r="C15" s="35" t="s">
        <v>246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247</v>
      </c>
      <c r="C16" s="35" t="s">
        <v>721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248</v>
      </c>
      <c r="C17" s="35" t="s">
        <v>722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249</v>
      </c>
      <c r="C18" s="35" t="s">
        <v>723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250</v>
      </c>
      <c r="C19" s="35" t="s">
        <v>724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251</v>
      </c>
      <c r="C20" s="35" t="s">
        <v>725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252</v>
      </c>
      <c r="C21" s="35" t="s">
        <v>253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254</v>
      </c>
      <c r="C22" s="35" t="s">
        <v>726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255</v>
      </c>
      <c r="C23" s="35" t="s">
        <v>727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256</v>
      </c>
      <c r="C24" s="35" t="s">
        <v>257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258</v>
      </c>
      <c r="C25" s="35" t="s">
        <v>728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259</v>
      </c>
      <c r="C26" s="35" t="s">
        <v>729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260</v>
      </c>
      <c r="C27" s="35" t="s">
        <v>730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261</v>
      </c>
      <c r="C28" s="35" t="s">
        <v>731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262</v>
      </c>
      <c r="C29" s="35" t="s">
        <v>732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263</v>
      </c>
      <c r="C30" s="35" t="s">
        <v>733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264</v>
      </c>
      <c r="C31" s="35" t="s">
        <v>734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265</v>
      </c>
      <c r="C32" s="35" t="s">
        <v>735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266</v>
      </c>
      <c r="C33" s="35" t="s">
        <v>736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267</v>
      </c>
      <c r="C34" s="35" t="s">
        <v>737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268</v>
      </c>
      <c r="C35" s="35" t="s">
        <v>738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269</v>
      </c>
      <c r="C36" s="35" t="s">
        <v>270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271</v>
      </c>
      <c r="C37" s="35" t="s">
        <v>739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272</v>
      </c>
      <c r="C38" s="35" t="s">
        <v>740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273</v>
      </c>
      <c r="C39" s="35" t="s">
        <v>741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274</v>
      </c>
      <c r="C40" s="35" t="s">
        <v>275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276</v>
      </c>
      <c r="C41" s="35" t="s">
        <v>742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277</v>
      </c>
      <c r="C42" s="35" t="s">
        <v>743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278</v>
      </c>
      <c r="C43" s="35" t="s">
        <v>279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280</v>
      </c>
      <c r="C44" s="35" t="s">
        <v>281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282</v>
      </c>
      <c r="C45" s="35" t="s">
        <v>744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283</v>
      </c>
      <c r="C46" s="35" t="s">
        <v>284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285</v>
      </c>
      <c r="C47" s="35" t="s">
        <v>745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286</v>
      </c>
      <c r="C48" s="35" t="s">
        <v>746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1" priority="1"/>
    <cfRule type="duplicateValues" dxfId="1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1D22-6D4D-4B07-8F17-350D2FC36E8F}">
  <dimension ref="A1:AA52"/>
  <sheetViews>
    <sheetView topLeftCell="A36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4.54296875" bestFit="1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5" customHeight="1" x14ac:dyDescent="0.35">
      <c r="A11" s="41"/>
      <c r="B11" s="41"/>
      <c r="C11" s="42"/>
      <c r="D11" s="46"/>
      <c r="E11" s="47"/>
      <c r="F11" s="47"/>
      <c r="G11" s="47"/>
      <c r="H11" s="48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287</v>
      </c>
      <c r="C13" s="35" t="s">
        <v>691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288</v>
      </c>
      <c r="C14" s="35" t="s">
        <v>289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290</v>
      </c>
      <c r="C15" s="35" t="s">
        <v>692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291</v>
      </c>
      <c r="C16" s="35" t="s">
        <v>693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292</v>
      </c>
      <c r="C17" s="35" t="s">
        <v>694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293</v>
      </c>
      <c r="C18" s="35" t="s">
        <v>695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294</v>
      </c>
      <c r="C19" s="35" t="s">
        <v>295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296</v>
      </c>
      <c r="C20" s="35" t="s">
        <v>696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297</v>
      </c>
      <c r="C21" s="35" t="s">
        <v>697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298</v>
      </c>
      <c r="C22" s="35" t="s">
        <v>698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299</v>
      </c>
      <c r="C23" s="35" t="s">
        <v>699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300</v>
      </c>
      <c r="C24" s="35" t="s">
        <v>700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301</v>
      </c>
      <c r="C25" s="35" t="s">
        <v>701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302</v>
      </c>
      <c r="C26" s="35" t="s">
        <v>702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303</v>
      </c>
      <c r="C27" s="35" t="s">
        <v>703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304</v>
      </c>
      <c r="C28" s="35" t="s">
        <v>704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305</v>
      </c>
      <c r="C29" s="35" t="s">
        <v>705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306</v>
      </c>
      <c r="C30" s="35" t="s">
        <v>307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308</v>
      </c>
      <c r="C31" s="35" t="s">
        <v>706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309</v>
      </c>
      <c r="C32" s="35" t="s">
        <v>707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310</v>
      </c>
      <c r="C33" s="35" t="s">
        <v>708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311</v>
      </c>
      <c r="C34" s="35" t="s">
        <v>709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312</v>
      </c>
      <c r="C35" s="35" t="s">
        <v>313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314</v>
      </c>
      <c r="C36" s="35" t="s">
        <v>710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315</v>
      </c>
      <c r="C37" s="35" t="s">
        <v>316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317</v>
      </c>
      <c r="C38" s="35" t="s">
        <v>711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318</v>
      </c>
      <c r="C39" s="35" t="s">
        <v>319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320</v>
      </c>
      <c r="C40" s="35" t="s">
        <v>712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321</v>
      </c>
      <c r="C41" s="35" t="s">
        <v>713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322</v>
      </c>
      <c r="C42" s="35" t="s">
        <v>714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323</v>
      </c>
      <c r="C43" s="35" t="s">
        <v>715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324</v>
      </c>
      <c r="C44" s="35" t="s">
        <v>716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325</v>
      </c>
      <c r="C45" s="35" t="s">
        <v>326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327</v>
      </c>
      <c r="C46" s="35" t="s">
        <v>717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328</v>
      </c>
      <c r="C47" s="35" t="s">
        <v>329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330</v>
      </c>
      <c r="C48" s="35" t="s">
        <v>718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2" t="e">
        <f>MAX(AA13:AA48)</f>
        <v>#DIV/0!</v>
      </c>
    </row>
    <row r="51" spans="25:27" x14ac:dyDescent="0.35">
      <c r="Y51" s="11" t="s">
        <v>15</v>
      </c>
      <c r="AA51" t="e">
        <f>MIN(AA13:AA48)</f>
        <v>#DIV/0!</v>
      </c>
    </row>
    <row r="52" spans="25:27" x14ac:dyDescent="0.35">
      <c r="Y52" s="11" t="s">
        <v>16</v>
      </c>
      <c r="AA52" t="e">
        <f>AVERAGE(AA13:AA48)</f>
        <v>#DIV/0!</v>
      </c>
    </row>
  </sheetData>
  <mergeCells count="17">
    <mergeCell ref="W11:W12"/>
    <mergeCell ref="X11:X12"/>
    <mergeCell ref="A1:AA1"/>
    <mergeCell ref="A3:AA3"/>
    <mergeCell ref="A4:AA4"/>
    <mergeCell ref="A10:A12"/>
    <mergeCell ref="B10:B12"/>
    <mergeCell ref="C10:C12"/>
    <mergeCell ref="D10:AA10"/>
    <mergeCell ref="S11:U11"/>
    <mergeCell ref="D11:H11"/>
    <mergeCell ref="Y11:Y12"/>
    <mergeCell ref="Z11:Z12"/>
    <mergeCell ref="AA11:AA12"/>
    <mergeCell ref="I11:M11"/>
    <mergeCell ref="N11:R11"/>
    <mergeCell ref="V11:V12"/>
  </mergeCells>
  <conditionalFormatting sqref="C30">
    <cfRule type="duplicateValues" dxfId="9" priority="1"/>
    <cfRule type="duplicateValues" dxfId="8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B924-8DB2-498D-861C-D098CAF9BC5D}">
  <dimension ref="A1:AA53"/>
  <sheetViews>
    <sheetView topLeftCell="A33" workbookViewId="0">
      <selection activeCell="C48" sqref="C48"/>
    </sheetView>
  </sheetViews>
  <sheetFormatPr defaultRowHeight="14.5" x14ac:dyDescent="0.35"/>
  <cols>
    <col min="1" max="1" width="4.453125" customWidth="1"/>
    <col min="2" max="2" width="19.90625" bestFit="1" customWidth="1"/>
    <col min="3" max="3" width="29.089843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34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0" customHeight="1" x14ac:dyDescent="0.35">
      <c r="A11" s="41"/>
      <c r="B11" s="41"/>
      <c r="C11" s="42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331</v>
      </c>
      <c r="C13" s="35" t="s">
        <v>659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332</v>
      </c>
      <c r="C14" s="35" t="s">
        <v>333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334</v>
      </c>
      <c r="C15" s="35" t="s">
        <v>660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335</v>
      </c>
      <c r="C16" s="35" t="s">
        <v>336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337</v>
      </c>
      <c r="C17" s="35" t="s">
        <v>661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338</v>
      </c>
      <c r="C18" s="35" t="s">
        <v>662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339</v>
      </c>
      <c r="C19" s="35" t="s">
        <v>663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340</v>
      </c>
      <c r="C20" s="35" t="s">
        <v>664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341</v>
      </c>
      <c r="C21" s="35" t="s">
        <v>665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342</v>
      </c>
      <c r="C22" s="35" t="s">
        <v>666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343</v>
      </c>
      <c r="C23" s="35" t="s">
        <v>667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344</v>
      </c>
      <c r="C24" s="35" t="s">
        <v>668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345</v>
      </c>
      <c r="C25" s="35" t="s">
        <v>669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346</v>
      </c>
      <c r="C26" s="35" t="s">
        <v>670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347</v>
      </c>
      <c r="C27" s="35" t="s">
        <v>671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348</v>
      </c>
      <c r="C28" s="35" t="s">
        <v>672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349</v>
      </c>
      <c r="C29" s="35" t="s">
        <v>673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350</v>
      </c>
      <c r="C30" s="35" t="s">
        <v>674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351</v>
      </c>
      <c r="C31" s="35" t="s">
        <v>675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352</v>
      </c>
      <c r="C32" s="35" t="s">
        <v>676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353</v>
      </c>
      <c r="C33" s="35" t="s">
        <v>354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355</v>
      </c>
      <c r="C34" s="35" t="s">
        <v>677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356</v>
      </c>
      <c r="C35" s="35" t="s">
        <v>678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357</v>
      </c>
      <c r="C36" s="35" t="s">
        <v>679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358</v>
      </c>
      <c r="C37" s="35" t="s">
        <v>680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359</v>
      </c>
      <c r="C38" s="35" t="s">
        <v>681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360</v>
      </c>
      <c r="C39" s="35" t="s">
        <v>682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361</v>
      </c>
      <c r="C40" s="35" t="s">
        <v>683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362</v>
      </c>
      <c r="C41" s="35" t="s">
        <v>684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363</v>
      </c>
      <c r="C42" s="35" t="s">
        <v>685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364</v>
      </c>
      <c r="C43" s="35" t="s">
        <v>365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366</v>
      </c>
      <c r="C44" s="35" t="s">
        <v>686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367</v>
      </c>
      <c r="C45" s="35" t="s">
        <v>687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368</v>
      </c>
      <c r="C46" s="35" t="s">
        <v>688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369</v>
      </c>
      <c r="C47" s="35" t="s">
        <v>689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370</v>
      </c>
      <c r="C48" s="35" t="s">
        <v>690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1" spans="25:27" x14ac:dyDescent="0.35">
      <c r="Y51" s="6" t="s">
        <v>14</v>
      </c>
      <c r="Z51" s="10"/>
      <c r="AA51" s="8" t="e">
        <f>MAX(AA25:AA49)</f>
        <v>#DIV/0!</v>
      </c>
    </row>
    <row r="52" spans="25:27" x14ac:dyDescent="0.35">
      <c r="Y52" s="6" t="s">
        <v>15</v>
      </c>
      <c r="Z52" s="10"/>
      <c r="AA52" s="10" t="e">
        <f>MIN(AA25:AA49)</f>
        <v>#DIV/0!</v>
      </c>
    </row>
    <row r="53" spans="25:27" x14ac:dyDescent="0.35">
      <c r="Y53" s="6" t="s">
        <v>16</v>
      </c>
      <c r="Z53" s="10"/>
      <c r="AA53" s="10" t="e">
        <f>AVERAGE(AA25:AA49)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6C52-9DBA-4115-825C-EC3602F669CA}">
  <dimension ref="A1:AA53"/>
  <sheetViews>
    <sheetView topLeftCell="A31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32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27" customHeight="1" x14ac:dyDescent="0.35">
      <c r="A11" s="41"/>
      <c r="B11" s="41"/>
      <c r="C11" s="42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371</v>
      </c>
      <c r="C13" s="35" t="s">
        <v>372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373</v>
      </c>
      <c r="C14" s="35" t="s">
        <v>634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374</v>
      </c>
      <c r="C15" s="35" t="s">
        <v>635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375</v>
      </c>
      <c r="C16" s="35" t="s">
        <v>376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377</v>
      </c>
      <c r="C17" s="35" t="s">
        <v>378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379</v>
      </c>
      <c r="C18" s="35" t="s">
        <v>636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380</v>
      </c>
      <c r="C19" s="35" t="s">
        <v>637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381</v>
      </c>
      <c r="C20" s="35" t="s">
        <v>638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382</v>
      </c>
      <c r="C21" s="35" t="s">
        <v>639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383</v>
      </c>
      <c r="C22" s="35" t="s">
        <v>640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384</v>
      </c>
      <c r="C23" s="35" t="s">
        <v>385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386</v>
      </c>
      <c r="C24" s="35" t="s">
        <v>641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387</v>
      </c>
      <c r="C25" s="35" t="s">
        <v>388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389</v>
      </c>
      <c r="C26" s="35" t="s">
        <v>642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390</v>
      </c>
      <c r="C27" s="35" t="s">
        <v>391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392</v>
      </c>
      <c r="C28" s="35" t="s">
        <v>643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393</v>
      </c>
      <c r="C29" s="35" t="s">
        <v>644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394</v>
      </c>
      <c r="C30" s="35" t="s">
        <v>645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395</v>
      </c>
      <c r="C31" s="35" t="s">
        <v>396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397</v>
      </c>
      <c r="C32" s="35" t="s">
        <v>646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398</v>
      </c>
      <c r="C33" s="35" t="s">
        <v>399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400</v>
      </c>
      <c r="C34" s="35" t="s">
        <v>647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401</v>
      </c>
      <c r="C35" s="35" t="s">
        <v>648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402</v>
      </c>
      <c r="C36" s="35" t="s">
        <v>649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403</v>
      </c>
      <c r="C37" s="35" t="s">
        <v>650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404</v>
      </c>
      <c r="C38" s="35" t="s">
        <v>651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405</v>
      </c>
      <c r="C39" s="35" t="s">
        <v>406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407</v>
      </c>
      <c r="C40" s="35" t="s">
        <v>652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408</v>
      </c>
      <c r="C41" s="35" t="s">
        <v>409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410</v>
      </c>
      <c r="C42" s="35" t="s">
        <v>653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411</v>
      </c>
      <c r="C43" s="35" t="s">
        <v>412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413</v>
      </c>
      <c r="C44" s="35" t="s">
        <v>654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414</v>
      </c>
      <c r="C45" s="35" t="s">
        <v>655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415</v>
      </c>
      <c r="C46" s="35" t="s">
        <v>656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416</v>
      </c>
      <c r="C47" s="35" t="s">
        <v>657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417</v>
      </c>
      <c r="C48" s="35" t="s">
        <v>658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1" spans="25:27" x14ac:dyDescent="0.35">
      <c r="Y51" s="6" t="s">
        <v>14</v>
      </c>
      <c r="Z51" s="10"/>
      <c r="AA51" s="8" t="e">
        <f>MAX(AA13:AA48)</f>
        <v>#DIV/0!</v>
      </c>
    </row>
    <row r="52" spans="25:27" x14ac:dyDescent="0.35">
      <c r="Y52" s="6" t="s">
        <v>15</v>
      </c>
      <c r="Z52" s="10"/>
      <c r="AA52" s="10" t="e">
        <f>MIN(AA13:AA48)</f>
        <v>#DIV/0!</v>
      </c>
    </row>
    <row r="53" spans="25:27" x14ac:dyDescent="0.35">
      <c r="Y53" s="6" t="s">
        <v>16</v>
      </c>
      <c r="Z53" s="10"/>
      <c r="AA53" s="10" t="e">
        <f>AVERAGE(AA13:AA48)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7" priority="1"/>
    <cfRule type="duplicateValues" dxfId="6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0B67-C697-458D-89BA-612C851BA768}">
  <dimension ref="A1:AA52"/>
  <sheetViews>
    <sheetView topLeftCell="A34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33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29.5" customHeight="1" x14ac:dyDescent="0.35">
      <c r="A11" s="41"/>
      <c r="B11" s="41"/>
      <c r="C11" s="42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418</v>
      </c>
      <c r="C13" s="35" t="s">
        <v>603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419</v>
      </c>
      <c r="C14" s="35" t="s">
        <v>604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420</v>
      </c>
      <c r="C15" s="35" t="s">
        <v>605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421</v>
      </c>
      <c r="C16" s="35" t="s">
        <v>606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422</v>
      </c>
      <c r="C17" s="35" t="s">
        <v>607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423</v>
      </c>
      <c r="C18" s="35" t="s">
        <v>608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424</v>
      </c>
      <c r="C19" s="35" t="s">
        <v>609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425</v>
      </c>
      <c r="C20" s="35" t="s">
        <v>610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426</v>
      </c>
      <c r="C21" s="35" t="s">
        <v>611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427</v>
      </c>
      <c r="C22" s="35" t="s">
        <v>612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428</v>
      </c>
      <c r="C23" s="35" t="s">
        <v>613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429</v>
      </c>
      <c r="C24" s="35" t="s">
        <v>614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430</v>
      </c>
      <c r="C25" s="35" t="s">
        <v>431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432</v>
      </c>
      <c r="C26" s="35" t="s">
        <v>615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433</v>
      </c>
      <c r="C27" s="35" t="s">
        <v>434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435</v>
      </c>
      <c r="C28" s="35" t="s">
        <v>616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436</v>
      </c>
      <c r="C29" s="35" t="s">
        <v>617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437</v>
      </c>
      <c r="C30" s="35" t="s">
        <v>618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438</v>
      </c>
      <c r="C31" s="35" t="s">
        <v>439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440</v>
      </c>
      <c r="C32" s="35" t="s">
        <v>441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442</v>
      </c>
      <c r="C33" s="35" t="s">
        <v>619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443</v>
      </c>
      <c r="C34" s="35" t="s">
        <v>620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444</v>
      </c>
      <c r="C35" s="35" t="s">
        <v>621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445</v>
      </c>
      <c r="C36" s="35" t="s">
        <v>622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446</v>
      </c>
      <c r="C37" s="35" t="s">
        <v>623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447</v>
      </c>
      <c r="C38" s="35" t="s">
        <v>624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448</v>
      </c>
      <c r="C39" s="35" t="s">
        <v>625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449</v>
      </c>
      <c r="C40" s="35" t="s">
        <v>626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450</v>
      </c>
      <c r="C41" s="35" t="s">
        <v>627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451</v>
      </c>
      <c r="C42" s="35" t="s">
        <v>628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452</v>
      </c>
      <c r="C43" s="35" t="s">
        <v>629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453</v>
      </c>
      <c r="C44" s="35" t="s">
        <v>630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454</v>
      </c>
      <c r="C45" s="35" t="s">
        <v>631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455</v>
      </c>
      <c r="C46" s="35" t="s">
        <v>632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456</v>
      </c>
      <c r="C47" s="35" t="s">
        <v>457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458</v>
      </c>
      <c r="C48" s="35" t="s">
        <v>633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2" t="e">
        <f>MAX(AA13:AA48)</f>
        <v>#DIV/0!</v>
      </c>
    </row>
    <row r="51" spans="25:27" x14ac:dyDescent="0.35">
      <c r="Y51" s="11" t="s">
        <v>15</v>
      </c>
      <c r="AA51" t="e">
        <f>MIN(AA13:AA48)</f>
        <v>#DIV/0!</v>
      </c>
    </row>
    <row r="52" spans="25:27" x14ac:dyDescent="0.35">
      <c r="Y52" s="11" t="s">
        <v>16</v>
      </c>
      <c r="AA52" t="e">
        <f>AVERAGE(AA13:AA48)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5" priority="1"/>
    <cfRule type="duplicateValues" dxfId="4" priority="2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6616-9A40-44D9-A64A-954C5541D95B}">
  <dimension ref="A1:AA52"/>
  <sheetViews>
    <sheetView topLeftCell="A41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089843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30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40" customHeight="1" x14ac:dyDescent="0.35">
      <c r="A11" s="41"/>
      <c r="B11" s="41"/>
      <c r="C11" s="42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459</v>
      </c>
      <c r="C13" s="35" t="s">
        <v>572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460</v>
      </c>
      <c r="C14" s="35" t="s">
        <v>573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461</v>
      </c>
      <c r="C15" s="35" t="s">
        <v>574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462</v>
      </c>
      <c r="C16" s="35" t="s">
        <v>575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463</v>
      </c>
      <c r="C17" s="35" t="s">
        <v>576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464</v>
      </c>
      <c r="C18" s="35" t="s">
        <v>577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465</v>
      </c>
      <c r="C19" s="35" t="s">
        <v>578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466</v>
      </c>
      <c r="C20" s="35" t="s">
        <v>579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467</v>
      </c>
      <c r="C21" s="35" t="s">
        <v>580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468</v>
      </c>
      <c r="C22" s="35" t="s">
        <v>581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469</v>
      </c>
      <c r="C23" s="35" t="s">
        <v>582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470</v>
      </c>
      <c r="C24" s="35" t="s">
        <v>583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471</v>
      </c>
      <c r="C25" s="35" t="s">
        <v>584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472</v>
      </c>
      <c r="C26" s="35" t="s">
        <v>473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474</v>
      </c>
      <c r="C27" s="35" t="s">
        <v>585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475</v>
      </c>
      <c r="C28" s="35" t="s">
        <v>586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476</v>
      </c>
      <c r="C29" s="35" t="s">
        <v>587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477</v>
      </c>
      <c r="C30" s="35" t="s">
        <v>588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478</v>
      </c>
      <c r="C31" s="35" t="s">
        <v>589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479</v>
      </c>
      <c r="C32" s="35" t="s">
        <v>590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480</v>
      </c>
      <c r="C33" s="35" t="s">
        <v>591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481</v>
      </c>
      <c r="C34" s="35" t="s">
        <v>482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483</v>
      </c>
      <c r="C35" s="35" t="s">
        <v>592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484</v>
      </c>
      <c r="C36" s="35" t="s">
        <v>593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485</v>
      </c>
      <c r="C37" s="35" t="s">
        <v>594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486</v>
      </c>
      <c r="C38" s="35" t="s">
        <v>595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487</v>
      </c>
      <c r="C39" s="35" t="s">
        <v>488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489</v>
      </c>
      <c r="C40" s="35" t="s">
        <v>490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491</v>
      </c>
      <c r="C41" s="35" t="s">
        <v>596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492</v>
      </c>
      <c r="C42" s="35" t="s">
        <v>493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494</v>
      </c>
      <c r="C43" s="35" t="s">
        <v>597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495</v>
      </c>
      <c r="C44" s="35" t="s">
        <v>598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496</v>
      </c>
      <c r="C45" s="35" t="s">
        <v>599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497</v>
      </c>
      <c r="C46" s="35" t="s">
        <v>600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498</v>
      </c>
      <c r="C47" s="35" t="s">
        <v>601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499</v>
      </c>
      <c r="C48" s="35" t="s">
        <v>602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2" t="e">
        <f>MAX(AA13:AA48)</f>
        <v>#DIV/0!</v>
      </c>
    </row>
    <row r="51" spans="25:27" x14ac:dyDescent="0.35">
      <c r="Y51" s="11" t="s">
        <v>15</v>
      </c>
      <c r="AA51" t="e">
        <f>MIN(AA13:AA48)</f>
        <v>#DIV/0!</v>
      </c>
    </row>
    <row r="52" spans="25:27" x14ac:dyDescent="0.35">
      <c r="Y52" s="11" t="s">
        <v>16</v>
      </c>
      <c r="AA52" t="e">
        <f>AVERAGE(AA13:AA48)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3" priority="1"/>
    <cfRule type="duplicateValues" dxfId="2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3AD2-F25C-4195-883C-4DE917F12791}">
  <dimension ref="A1:AA53"/>
  <sheetViews>
    <sheetView topLeftCell="A34" workbookViewId="0">
      <selection activeCell="C13" sqref="C13"/>
    </sheetView>
  </sheetViews>
  <sheetFormatPr defaultRowHeight="14.5" x14ac:dyDescent="0.35"/>
  <cols>
    <col min="1" max="1" width="4.453125" customWidth="1"/>
    <col min="2" max="2" width="19.90625" bestFit="1" customWidth="1"/>
    <col min="3" max="3" width="29.63281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9.5" customHeight="1" thickTop="1" x14ac:dyDescent="0.35"/>
    <row r="3" spans="1:27" ht="15.5" x14ac:dyDescent="0.35">
      <c r="A3" s="40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5" x14ac:dyDescent="0.3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31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1" t="s">
        <v>4</v>
      </c>
      <c r="B10" s="41" t="s">
        <v>5</v>
      </c>
      <c r="C10" s="42" t="s">
        <v>6</v>
      </c>
      <c r="D10" s="43" t="s">
        <v>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ht="36.5" customHeight="1" x14ac:dyDescent="0.35">
      <c r="A11" s="41"/>
      <c r="B11" s="41"/>
      <c r="C11" s="42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6"/>
      <c r="O11" s="47"/>
      <c r="P11" s="47"/>
      <c r="Q11" s="47"/>
      <c r="R11" s="48"/>
      <c r="S11" s="52" t="s">
        <v>8</v>
      </c>
      <c r="T11" s="52"/>
      <c r="U11" s="52"/>
      <c r="V11" s="53" t="s">
        <v>9</v>
      </c>
      <c r="W11" s="55" t="s">
        <v>20</v>
      </c>
      <c r="X11" s="57" t="s">
        <v>10</v>
      </c>
      <c r="Y11" s="59" t="s">
        <v>11</v>
      </c>
      <c r="Z11" s="36" t="s">
        <v>12</v>
      </c>
      <c r="AA11" s="50" t="s">
        <v>13</v>
      </c>
    </row>
    <row r="12" spans="1:27" ht="16" customHeight="1" x14ac:dyDescent="0.35">
      <c r="A12" s="41"/>
      <c r="B12" s="41"/>
      <c r="C12" s="42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4"/>
      <c r="W12" s="56"/>
      <c r="X12" s="58"/>
      <c r="Y12" s="60"/>
      <c r="Z12" s="37"/>
      <c r="AA12" s="51"/>
    </row>
    <row r="13" spans="1:27" s="9" customFormat="1" x14ac:dyDescent="0.35">
      <c r="A13" s="4">
        <v>1</v>
      </c>
      <c r="B13" s="34" t="s">
        <v>500</v>
      </c>
      <c r="C13" s="35" t="s">
        <v>542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501</v>
      </c>
      <c r="C14" s="35" t="s">
        <v>543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502</v>
      </c>
      <c r="C15" s="35" t="s">
        <v>544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503</v>
      </c>
      <c r="C16" s="35" t="s">
        <v>545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504</v>
      </c>
      <c r="C17" s="35" t="s">
        <v>505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506</v>
      </c>
      <c r="C18" s="35" t="s">
        <v>546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507</v>
      </c>
      <c r="C19" s="35" t="s">
        <v>547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508</v>
      </c>
      <c r="C20" s="35" t="s">
        <v>548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509</v>
      </c>
      <c r="C21" s="35" t="s">
        <v>549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510</v>
      </c>
      <c r="C22" s="35" t="s">
        <v>550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511</v>
      </c>
      <c r="C23" s="35" t="s">
        <v>551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512</v>
      </c>
      <c r="C24" s="35" t="s">
        <v>552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513</v>
      </c>
      <c r="C25" s="35" t="s">
        <v>553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514</v>
      </c>
      <c r="C26" s="35" t="s">
        <v>554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515</v>
      </c>
      <c r="C27" s="35" t="s">
        <v>516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517</v>
      </c>
      <c r="C28" s="35" t="s">
        <v>518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519</v>
      </c>
      <c r="C29" s="35" t="s">
        <v>555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520</v>
      </c>
      <c r="C30" s="35" t="s">
        <v>556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521</v>
      </c>
      <c r="C31" s="35" t="s">
        <v>557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522</v>
      </c>
      <c r="C32" s="35" t="s">
        <v>558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523</v>
      </c>
      <c r="C33" s="35" t="s">
        <v>559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524</v>
      </c>
      <c r="C34" s="35" t="s">
        <v>560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525</v>
      </c>
      <c r="C35" s="35" t="s">
        <v>526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527</v>
      </c>
      <c r="C36" s="35" t="s">
        <v>561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528</v>
      </c>
      <c r="C37" s="35" t="s">
        <v>562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529</v>
      </c>
      <c r="C38" s="35" t="s">
        <v>563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530</v>
      </c>
      <c r="C39" s="35" t="s">
        <v>531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532</v>
      </c>
      <c r="C40" s="35" t="s">
        <v>564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533</v>
      </c>
      <c r="C41" s="35" t="s">
        <v>565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534</v>
      </c>
      <c r="C42" s="35" t="s">
        <v>566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535</v>
      </c>
      <c r="C43" s="35" t="s">
        <v>567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536</v>
      </c>
      <c r="C44" s="35" t="s">
        <v>568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537</v>
      </c>
      <c r="C45" s="35" t="s">
        <v>569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538</v>
      </c>
      <c r="C46" s="35" t="s">
        <v>570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539</v>
      </c>
      <c r="C47" s="35" t="s">
        <v>571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540</v>
      </c>
      <c r="C48" s="35" t="s">
        <v>541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1" spans="25:27" x14ac:dyDescent="0.35">
      <c r="Y51" s="11" t="s">
        <v>14</v>
      </c>
      <c r="AA51" s="12" t="e">
        <f>MAX(AA13:AA48)</f>
        <v>#DIV/0!</v>
      </c>
    </row>
    <row r="52" spans="25:27" x14ac:dyDescent="0.35">
      <c r="Y52" s="11" t="s">
        <v>15</v>
      </c>
      <c r="AA52" t="e">
        <f>MIN(AA13:AA48)</f>
        <v>#DIV/0!</v>
      </c>
    </row>
    <row r="53" spans="25:27" x14ac:dyDescent="0.35">
      <c r="Y53" s="11" t="s">
        <v>16</v>
      </c>
      <c r="AA53" t="e">
        <f>AVERAGE(AA13:AA48)</f>
        <v>#DIV/0!</v>
      </c>
    </row>
  </sheetData>
  <mergeCells count="17">
    <mergeCell ref="X11:X12"/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</mergeCells>
  <conditionalFormatting sqref="C30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XI A1</vt:lpstr>
      <vt:lpstr>XI A2</vt:lpstr>
      <vt:lpstr>XI B1</vt:lpstr>
      <vt:lpstr>XI B2</vt:lpstr>
      <vt:lpstr>XI C</vt:lpstr>
      <vt:lpstr>XI D1</vt:lpstr>
      <vt:lpstr>XI D2</vt:lpstr>
      <vt:lpstr>XI D3</vt:lpstr>
      <vt:lpstr>XI E1</vt:lpstr>
      <vt:lpstr>XI E2</vt:lpstr>
      <vt:lpstr>XI F1</vt:lpstr>
      <vt:lpstr>XI 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smavo</dc:creator>
  <cp:lastModifiedBy>kurikulum smavo</cp:lastModifiedBy>
  <dcterms:created xsi:type="dcterms:W3CDTF">2025-07-22T09:21:35Z</dcterms:created>
  <dcterms:modified xsi:type="dcterms:W3CDTF">2025-09-29T01:46:51Z</dcterms:modified>
</cp:coreProperties>
</file>