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X 2" sheetId="1" r:id="rId5"/>
    <sheet state="hidden" name="X 1" sheetId="2" r:id="rId6"/>
    <sheet state="hidden" name="X 3" sheetId="3" r:id="rId7"/>
    <sheet state="hidden" name="X 4" sheetId="4" r:id="rId8"/>
    <sheet state="hidden" name="X 5" sheetId="5" r:id="rId9"/>
    <sheet state="hidden" name="X 6" sheetId="6" r:id="rId10"/>
    <sheet state="hidden" name="X 7" sheetId="7" r:id="rId11"/>
    <sheet state="hidden" name="X 8" sheetId="8" r:id="rId12"/>
    <sheet state="hidden" name="X 9" sheetId="9" r:id="rId13"/>
    <sheet state="hidden" name="X 10" sheetId="10" r:id="rId14"/>
    <sheet state="hidden" name="X 11" sheetId="11" r:id="rId15"/>
    <sheet state="hidden" name="X 12" sheetId="12" r:id="rId16"/>
    <sheet state="visible" name="Rapor Kelas X (33)" sheetId="13" r:id="rId17"/>
    <sheet state="visible" name="Rapor Kelas XI (32)" sheetId="14" r:id="rId18"/>
    <sheet state="visible" name="Kelas X(33)" sheetId="15" r:id="rId19"/>
    <sheet state="visible" name="Kelas XI(32)" sheetId="16" r:id="rId20"/>
    <sheet state="visible" name="Kelas XII(31)" sheetId="17" r:id="rId21"/>
    <sheet state="hidden" name="Kelas XI - X(32)" sheetId="18" r:id="rId22"/>
    <sheet state="visible" name="Rekap" sheetId="19" r:id="rId23"/>
    <sheet state="hidden" name="MasterClass" sheetId="20" r:id="rId24"/>
    <sheet state="hidden" name="Nama Kelas X (31)" sheetId="21" r:id="rId25"/>
    <sheet state="hidden" name="Kelas--XI" sheetId="22" r:id="rId26"/>
    <sheet state="hidden" name="Nama Kelas X (32)" sheetId="23" r:id="rId27"/>
    <sheet state="hidden" name="Nama Kelas X (33)" sheetId="24" r:id="rId28"/>
    <sheet state="hidden" name="Cerdig" sheetId="25" r:id="rId29"/>
  </sheets>
  <definedNames>
    <definedName hidden="1" localSheetId="14" name="_xlnm._FilterDatabase">'Kelas X(33)'!$A$3:$Q$643</definedName>
    <definedName hidden="1" localSheetId="15" name="_xlnm._FilterDatabase">'Kelas XI(32)'!$A$2:$O$553</definedName>
    <definedName hidden="1" localSheetId="16" name="_xlnm._FilterDatabase">'Kelas XII(31)'!$A$2:$O$567</definedName>
    <definedName hidden="1" localSheetId="17" name="_xlnm._FilterDatabase">'Kelas XI - X(32)'!$A$4:$J$604</definedName>
    <definedName hidden="1" localSheetId="19" name="_xlnm._FilterDatabase">MasterClass!$A$1:$G$125</definedName>
    <definedName hidden="1" localSheetId="20" name="_xlnm._FilterDatabase">'Nama Kelas X (31)'!$A$1:$F$1423</definedName>
    <definedName hidden="1" localSheetId="22" name="_xlnm._FilterDatabase">'Nama Kelas X (32)'!$A$1:$AC$1000</definedName>
    <definedName hidden="1" localSheetId="23" name="_xlnm._FilterDatabase">'Nama Kelas X (33)'!$A$1:$B$956</definedName>
    <definedName hidden="1" localSheetId="14" name="Z_58701916_522A_4DF6_87E3_D17072A6BD34_.wvu.FilterData">'Kelas X(33)'!$B$1:$Q$637</definedName>
  </definedNames>
  <calcPr/>
  <customWorkbookViews>
    <customWorkbookView activeSheetId="0" maximized="1" windowHeight="0" windowWidth="0" guid="{58701916-522A-4DF6-87E3-D17072A6BD34}" name="Boys"/>
  </customWorkbookViews>
</workbook>
</file>

<file path=xl/sharedStrings.xml><?xml version="1.0" encoding="utf-8"?>
<sst xmlns="http://schemas.openxmlformats.org/spreadsheetml/2006/main" count="21816" uniqueCount="6525">
  <si>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</si>
  <si>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DAFTAR CAPAIAN PEMBELAJARAN SEMESTER 1</t>
  </si>
  <si>
    <t>TAHUN PELAJARAN 2025 - 2026</t>
  </si>
  <si>
    <t>Mata Pelajaran</t>
  </si>
  <si>
    <t xml:space="preserve">: </t>
  </si>
  <si>
    <t>Kelas</t>
  </si>
  <si>
    <t>: X-2</t>
  </si>
  <si>
    <t>Pengajar</t>
  </si>
  <si>
    <t>:</t>
  </si>
  <si>
    <t>NO</t>
  </si>
  <si>
    <t>NISN / NIS</t>
  </si>
  <si>
    <t>NAMA PESERTA DIDIK</t>
  </si>
  <si>
    <t>ASESMEN / PENILAIAN</t>
  </si>
  <si>
    <t>Rata - Rata</t>
  </si>
  <si>
    <t>PAS</t>
  </si>
  <si>
    <t>RT</t>
  </si>
  <si>
    <t>NR</t>
  </si>
  <si>
    <t>Skp</t>
  </si>
  <si>
    <t>Hdr</t>
  </si>
  <si>
    <t>Rapor</t>
  </si>
  <si>
    <t>CP1</t>
  </si>
  <si>
    <t>CP2</t>
  </si>
  <si>
    <t>CP3</t>
  </si>
  <si>
    <t>0094216870 / 252610011</t>
  </si>
  <si>
    <t>Adinda Syahira Hariyadi</t>
  </si>
  <si>
    <t>0107760733 / 252610023</t>
  </si>
  <si>
    <t>Aira Aulia Putri</t>
  </si>
  <si>
    <t>0105130233 / 252610026</t>
  </si>
  <si>
    <t>Aisha Faiha Dzakiyah</t>
  </si>
  <si>
    <t>0104550133 / 252610039</t>
  </si>
  <si>
    <t>Alifa Safa Salsabila</t>
  </si>
  <si>
    <t>0095372504 / 252610050</t>
  </si>
  <si>
    <t>Alviana Dwie Putery</t>
  </si>
  <si>
    <t>0105813396 / 252610052</t>
  </si>
  <si>
    <t>Alyya Zahra Kusumadewi</t>
  </si>
  <si>
    <t>0109006152 / 252610058</t>
  </si>
  <si>
    <t>Ammar Raziq Mahdiya</t>
  </si>
  <si>
    <t>0097211030 / 252610062</t>
  </si>
  <si>
    <t>Andini Qoriyati Khaerani</t>
  </si>
  <si>
    <t>3108667209 / 252610070</t>
  </si>
  <si>
    <t>Aqeela Az Zahra</t>
  </si>
  <si>
    <t>0109904498 / 252610075</t>
  </si>
  <si>
    <t>Arfan Kristian Perlindungan Harefa</t>
  </si>
  <si>
    <t>0098513542 / 252610084</t>
  </si>
  <si>
    <t>Ashiila Rindu Dwi Laufli</t>
  </si>
  <si>
    <t>0106376916 / 252610090</t>
  </si>
  <si>
    <t>Atharrayhan Abimanyu Pratama</t>
  </si>
  <si>
    <t>0105797314 / 252610102</t>
  </si>
  <si>
    <t>Aurelly Diana Zulkarnaen</t>
  </si>
  <si>
    <t>0102731314 / 252610124</t>
  </si>
  <si>
    <t>Bima Adyatma Ilmiawan</t>
  </si>
  <si>
    <t>0092794157 / 252610139</t>
  </si>
  <si>
    <t>Cinta Cludia Putri</t>
  </si>
  <si>
    <t>0106384221 / 252610145</t>
  </si>
  <si>
    <t>Dafsyah Arifa Putra</t>
  </si>
  <si>
    <t>3104617391 / 252610153</t>
  </si>
  <si>
    <t>Denisa Azka Putri</t>
  </si>
  <si>
    <t>0098157268 / 252610154</t>
  </si>
  <si>
    <t>Devani Keyla Noris</t>
  </si>
  <si>
    <t>0099675945 / 252610164</t>
  </si>
  <si>
    <t>Dimas Putra Pribadi</t>
  </si>
  <si>
    <t>0104532267 / 252610180</t>
  </si>
  <si>
    <t>Elvio Dyahyu Yusanto</t>
  </si>
  <si>
    <t>0097593921 / 252610181</t>
  </si>
  <si>
    <t>Enisye Putri Zeliawati Limpong</t>
  </si>
  <si>
    <t>0106157075 / 252610185</t>
  </si>
  <si>
    <t>Fabian Ahza Hidayat</t>
  </si>
  <si>
    <t>0104141415 / 252610186</t>
  </si>
  <si>
    <t>Fadhilah Raisa Kamilati</t>
  </si>
  <si>
    <t>0105606050 / 252610238</t>
  </si>
  <si>
    <t>Jasmine Makayla Putri Arvani</t>
  </si>
  <si>
    <t>0094564578 / 252610277</t>
  </si>
  <si>
    <t>Khalid Ahmad Ghazali</t>
  </si>
  <si>
    <t>0103261879 / 252610280</t>
  </si>
  <si>
    <t>Khansa Aulia Damtsa Hylmi</t>
  </si>
  <si>
    <t>0109361118 / 252610290</t>
  </si>
  <si>
    <t>Lionel Boanerges Raffles Simangunsong</t>
  </si>
  <si>
    <t>0092576905 / 252610302</t>
  </si>
  <si>
    <t>Mardiansyah Isman</t>
  </si>
  <si>
    <t>0099605205 / 252610319</t>
  </si>
  <si>
    <t>Mohammad Haikal</t>
  </si>
  <si>
    <t>0108384400 / 252610320</t>
  </si>
  <si>
    <t>Mohammad Irshad Faizanshah</t>
  </si>
  <si>
    <t>0098087445 / 252610332</t>
  </si>
  <si>
    <t>Muhamad Thoriq Al Rasyad</t>
  </si>
  <si>
    <t>0108518402 / 252610336</t>
  </si>
  <si>
    <t>Muhammad Akmaluddin</t>
  </si>
  <si>
    <t>0098345742 / 252610338</t>
  </si>
  <si>
    <t>Muhammad Ariza Rizkya Irvan</t>
  </si>
  <si>
    <t>0104535464 / 252610362</t>
  </si>
  <si>
    <t>Muhammad Nazam Rizal</t>
  </si>
  <si>
    <t>3107410887 / 252610365</t>
  </si>
  <si>
    <t>Muhammad Rasyad Mahdawi</t>
  </si>
  <si>
    <t>0093768427 / 252610416</t>
  </si>
  <si>
    <t>Neng Rahmi Novianti</t>
  </si>
  <si>
    <t>0103404970 / 252610419</t>
  </si>
  <si>
    <t>Niesha Anindya Firstsaly</t>
  </si>
  <si>
    <t>0102495325 / 252610431</t>
  </si>
  <si>
    <t>Oryza Angelina Sitohang</t>
  </si>
  <si>
    <t>0106276801 / 252610434</t>
  </si>
  <si>
    <t>Priscillia Putri Viona</t>
  </si>
  <si>
    <t>0098833541 / 252610440</t>
  </si>
  <si>
    <t>Qaniah Mardiyah Salsabila</t>
  </si>
  <si>
    <t>0095492963 / 252610467</t>
  </si>
  <si>
    <t>Raisha Puri Lianti</t>
  </si>
  <si>
    <t>0091964566 / 252610474</t>
  </si>
  <si>
    <t>Rasya Arkananta Mulya</t>
  </si>
  <si>
    <t>0092731928 / 252610497</t>
  </si>
  <si>
    <t>Rusvi Putri Ingguan</t>
  </si>
  <si>
    <t>0105816582 / 252610498</t>
  </si>
  <si>
    <t>Ruth Rafanela Syeby Siregar</t>
  </si>
  <si>
    <t>0102751293 / 252610546</t>
  </si>
  <si>
    <t>Titania Dwizita Shahla</t>
  </si>
  <si>
    <t>0104292767 / 252610560</t>
  </si>
  <si>
    <t>Zaidan Riziq Sakha</t>
  </si>
  <si>
    <t>0096087965 / 252610563</t>
  </si>
  <si>
    <t>Zalikhah Rasikhah Putri</t>
  </si>
  <si>
    <t>max</t>
  </si>
  <si>
    <t>min</t>
  </si>
  <si>
    <t>avg</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</si>
  <si>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</si>
  <si>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X-1</t>
  </si>
  <si>
    <t>Total
Hdr</t>
  </si>
  <si>
    <t>0092626116 / 252610008</t>
  </si>
  <si>
    <t>Adhie Bramantyo Faqih</t>
  </si>
  <si>
    <t>3103201253 / 252610048</t>
  </si>
  <si>
    <t>Almira Dwi Safira</t>
  </si>
  <si>
    <t>0102149444 / 252610053</t>
  </si>
  <si>
    <t>Alzena Juneeta Talisha Theo</t>
  </si>
  <si>
    <t>0095992391 / 252610082</t>
  </si>
  <si>
    <t>Arya Aditya Gunawan</t>
  </si>
  <si>
    <t>0106142601 / 252610083</t>
  </si>
  <si>
    <t>Aryasatia Pradipta</t>
  </si>
  <si>
    <t>0108104548 / 252610087</t>
  </si>
  <si>
    <t>Asyifa Diandra Bayu</t>
  </si>
  <si>
    <t>0103045473 / 252610088</t>
  </si>
  <si>
    <t>Asyifa Maulidia Salsabila</t>
  </si>
  <si>
    <t>0109105725 / 252610100</t>
  </si>
  <si>
    <t>Aurelia Langit Callysta</t>
  </si>
  <si>
    <t>0096394871 / 252610101</t>
  </si>
  <si>
    <t>Aurelia Septiani Putri</t>
  </si>
  <si>
    <t>0099038184 / 252610109</t>
  </si>
  <si>
    <t>Azalia Maheswari Christabel</t>
  </si>
  <si>
    <t>0096477713 / 252610122</t>
  </si>
  <si>
    <t>Bilqis Anwar Thebe</t>
  </si>
  <si>
    <t>0106995291 / 252610126</t>
  </si>
  <si>
    <t>Bimo Armani Aulia Putra</t>
  </si>
  <si>
    <t>0094126705 / 252610130</t>
  </si>
  <si>
    <t>Callysta Tuchi Solin</t>
  </si>
  <si>
    <t>0105914504 / 252610171</t>
  </si>
  <si>
    <t>Diwangkara Rizki Rabbani</t>
  </si>
  <si>
    <t>0092097491 / 252610175</t>
  </si>
  <si>
    <t>Dzahra Miftahuljanah</t>
  </si>
  <si>
    <t>0102644442 / 252610193</t>
  </si>
  <si>
    <t>Fakhri Haikal Alvito Rachmat</t>
  </si>
  <si>
    <t>0107657965 / 252610202</t>
  </si>
  <si>
    <t>Fathi Azzam Hawwari</t>
  </si>
  <si>
    <t>0095023834 / 252610206</t>
  </si>
  <si>
    <t>Fatimah Aszahra</t>
  </si>
  <si>
    <t>0094631117 / 252610224</t>
  </si>
  <si>
    <t>Gwenna Irene Winata</t>
  </si>
  <si>
    <t>0092679798 / 252610239</t>
  </si>
  <si>
    <t>Jasmine Zahira Ramadhani</t>
  </si>
  <si>
    <t>0109256207 / 252610244</t>
  </si>
  <si>
    <t>Jesslyn Quinn Gabrielle Sitorus</t>
  </si>
  <si>
    <t>0103648473 / 252610246</t>
  </si>
  <si>
    <t>Jihan Al Hasya</t>
  </si>
  <si>
    <t>0108537666 / 252610250</t>
  </si>
  <si>
    <t>Johanes Satria Yudha</t>
  </si>
  <si>
    <t>0098409943 / 252610304</t>
  </si>
  <si>
    <t>Maria Rica Stefany Demu</t>
  </si>
  <si>
    <t>0092985486 / 252610311</t>
  </si>
  <si>
    <t>Melani Putri Triana</t>
  </si>
  <si>
    <t>0094677765 / 252610313</t>
  </si>
  <si>
    <t>Michael Mazmur Hatorangan Hutabarat</t>
  </si>
  <si>
    <t>0107959828 / 252610316</t>
  </si>
  <si>
    <t>Mochamad Nayaka Tuharea</t>
  </si>
  <si>
    <t>0092600602 / 252610330</t>
  </si>
  <si>
    <t>Muhamad Septian Romadhon</t>
  </si>
  <si>
    <t>0108695912 / 252610334</t>
  </si>
  <si>
    <t>Muhammad Adrian Gianni Adam</t>
  </si>
  <si>
    <t>0093126257 / 252610343</t>
  </si>
  <si>
    <t>Muhammad Chaerudin Ramdhani</t>
  </si>
  <si>
    <t>3104497802 / 252610351</t>
  </si>
  <si>
    <t>Muhammad Fathan Assidiq</t>
  </si>
  <si>
    <t>0108107461 / 252610369</t>
  </si>
  <si>
    <t>Muhammad Rizky Aditya Putra Sukmawijayaguna</t>
  </si>
  <si>
    <t>0092807405 / 252610371</t>
  </si>
  <si>
    <t>Muhammad Rodzul Amrullah</t>
  </si>
  <si>
    <t>0102300207 / 252610390</t>
  </si>
  <si>
    <t>Nadya Salwa Altiara</t>
  </si>
  <si>
    <t>0097892166 / 252610393</t>
  </si>
  <si>
    <t>Nailah Khoirunisa Arsanti</t>
  </si>
  <si>
    <t>0097858274 / 252610423</t>
  </si>
  <si>
    <t>Novyola Safitri</t>
  </si>
  <si>
    <t>0093105045 / 252610424</t>
  </si>
  <si>
    <t>Nur Alifah Silvia</t>
  </si>
  <si>
    <t>0095438030 / 252610436</t>
  </si>
  <si>
    <t>Pungki Yustisia Pertiwi</t>
  </si>
  <si>
    <t>0107914534 / 252610452</t>
  </si>
  <si>
    <t>Raden Gathan Azaki Soesilo</t>
  </si>
  <si>
    <t>0097963483 / 252610454</t>
  </si>
  <si>
    <t>Raden Muhammad Rafi Wiranata</t>
  </si>
  <si>
    <t>0092135851 / 252610476</t>
  </si>
  <si>
    <t>Rayhan Ashabi</t>
  </si>
  <si>
    <t>0092605198 / 252610477</t>
  </si>
  <si>
    <t>Rayhana Rizkya Al-Multazam</t>
  </si>
  <si>
    <t>0103151970 / 252610489</t>
  </si>
  <si>
    <t>Riffa Nugraha</t>
  </si>
  <si>
    <t>0097644165 / 252610508</t>
  </si>
  <si>
    <t>Salsabila Zahwa Mulana</t>
  </si>
  <si>
    <t>0102657659 / 252610513</t>
  </si>
  <si>
    <t>Shabira Ayatul Husna</t>
  </si>
  <si>
    <t>0111428850 / 252610564</t>
  </si>
  <si>
    <t>Zavier Lamya Arkanowinatha</t>
  </si>
  <si>
    <t>0108505453 / 252610566</t>
  </si>
  <si>
    <t>Zhafirah Dwi Fauziah</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</si>
  <si>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</si>
  <si>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X-3</t>
  </si>
  <si>
    <t>0094703204 / 252610002</t>
  </si>
  <si>
    <t>Abhinaya Zaidan Akbar</t>
  </si>
  <si>
    <t>0106941990 / 252610063</t>
  </si>
  <si>
    <t>Andra Rakadityono</t>
  </si>
  <si>
    <t>0109964803 / 252610065</t>
  </si>
  <si>
    <t>Anjani Safira Salma</t>
  </si>
  <si>
    <t>0104084075 / 252610076</t>
  </si>
  <si>
    <t>Ario Bimo Wicaksono</t>
  </si>
  <si>
    <t>0098221239 / 252610079</t>
  </si>
  <si>
    <t>Arman Firmansyah</t>
  </si>
  <si>
    <t>0104751597 / 252610093</t>
  </si>
  <si>
    <t>Attaya Putri Faslahi</t>
  </si>
  <si>
    <t>0104406841 / 252610094</t>
  </si>
  <si>
    <t>Attiyah Naila Adza Alifah</t>
  </si>
  <si>
    <t>0102122161 / 252610096</t>
  </si>
  <si>
    <t>Aulia Azahra</t>
  </si>
  <si>
    <t>0108329102 / 252610121</t>
  </si>
  <si>
    <t>Bianca Aurelia Putri Asari</t>
  </si>
  <si>
    <t>0103047499 / 252610129</t>
  </si>
  <si>
    <t>Bumi Byakta Alfian</t>
  </si>
  <si>
    <t>0102794623 / 252610136</t>
  </si>
  <si>
    <t>Cheryl Faiha Al-Tair</t>
  </si>
  <si>
    <t>0096103714 / 252610138</t>
  </si>
  <si>
    <t>Cindy Ramadhani Sinulingga</t>
  </si>
  <si>
    <t>0103966590 / 252610148</t>
  </si>
  <si>
    <t>Danesh Arrayan Syahreen</t>
  </si>
  <si>
    <t>0097493642 / 252610158</t>
  </si>
  <si>
    <t>Dhyra Putra Pratama</t>
  </si>
  <si>
    <t>0096662016 / 252610187</t>
  </si>
  <si>
    <t>Fadya Malikha</t>
  </si>
  <si>
    <t>0096892367 / 252610190</t>
  </si>
  <si>
    <t>Fajri Pardomuan Pohan</t>
  </si>
  <si>
    <t>0094686377 / 252610201</t>
  </si>
  <si>
    <t>Farras Putra Zema</t>
  </si>
  <si>
    <t>0109768822 / 252610204</t>
  </si>
  <si>
    <t>Fathia Amia Rizqi</t>
  </si>
  <si>
    <t>0109156472 / 252610213</t>
  </si>
  <si>
    <t>Florencia Ivana</t>
  </si>
  <si>
    <t>0098064041 / 252610215</t>
  </si>
  <si>
    <t>Fricilia Aprilyani Cardoso</t>
  </si>
  <si>
    <t>0113691116 / 252610219</t>
  </si>
  <si>
    <t>Gerald Samuel Sitanggang</t>
  </si>
  <si>
    <t>0104767807 / 252610237</t>
  </si>
  <si>
    <t>Jaenal Ikhwan</t>
  </si>
  <si>
    <t>0106443881 / 252610247</t>
  </si>
  <si>
    <t>Jihan Fauziyyah Latifah</t>
  </si>
  <si>
    <t>0104211640 / 252610259</t>
  </si>
  <si>
    <t>Kartika Larasati</t>
  </si>
  <si>
    <t>0098772505 / 252610274</t>
  </si>
  <si>
    <t>Keynia Louis Cristin Harianja</t>
  </si>
  <si>
    <t>0107095977 / 252610276</t>
  </si>
  <si>
    <t>Khairani Asri Utami</t>
  </si>
  <si>
    <t>0092150853 / 252610278</t>
  </si>
  <si>
    <t>Khalifi Ramadhan Darmawan Anda</t>
  </si>
  <si>
    <t>0091769169 / 252610287</t>
  </si>
  <si>
    <t>Lathika Aulia Althafunnisa</t>
  </si>
  <si>
    <t>0103272603 / 252610288</t>
  </si>
  <si>
    <t>Laura Aubrey Gracia Lubis</t>
  </si>
  <si>
    <t>0103190164 / 252610301</t>
  </si>
  <si>
    <t>Mandariza Arya Pranata Wijaya</t>
  </si>
  <si>
    <t>0092154795 / 252610370</t>
  </si>
  <si>
    <t>Muhammad Rizzieq Yusuf Natakusumah</t>
  </si>
  <si>
    <t>3096846304 / 252610381</t>
  </si>
  <si>
    <t>Muhammad Zuhear Alfan</t>
  </si>
  <si>
    <t>0104716348 / 252610386</t>
  </si>
  <si>
    <t>Nadhifa Farah Falihah</t>
  </si>
  <si>
    <t>0102174126 / 252610415</t>
  </si>
  <si>
    <t>Nazwa Savira</t>
  </si>
  <si>
    <t>0097540821 / 252610422</t>
  </si>
  <si>
    <t>Nourman Raditia Putra</t>
  </si>
  <si>
    <t>0102114748 / 252610426</t>
  </si>
  <si>
    <t>Nursifa Maulidah</t>
  </si>
  <si>
    <t>0097603092 / 252610432</t>
  </si>
  <si>
    <t>Pramudhio Sawerigading Ihsan</t>
  </si>
  <si>
    <t>0106292164 / 252610438</t>
  </si>
  <si>
    <t>Putri Eisya</t>
  </si>
  <si>
    <t>3104085681 / 252610439</t>
  </si>
  <si>
    <t>Putri Zaqiyah</t>
  </si>
  <si>
    <t>0105055522 / 252610461</t>
  </si>
  <si>
    <t>Rahma Marissa</t>
  </si>
  <si>
    <t>0092263541 / 252610485</t>
  </si>
  <si>
    <t>Revan</t>
  </si>
  <si>
    <t>0091178036 / 252610501</t>
  </si>
  <si>
    <t>Safa Naya Adristi</t>
  </si>
  <si>
    <t>0106930882 / 252610520</t>
  </si>
  <si>
    <t>Shirane Ghaniyya Ramadhani</t>
  </si>
  <si>
    <t>0109721617 / 252610555</t>
  </si>
  <si>
    <t>Yasmin Kirani Affifah</t>
  </si>
  <si>
    <t>0101188685 / 252610556</t>
  </si>
  <si>
    <t>Yasmine Almira Queen</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</si>
  <si>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</si>
  <si>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X-4</t>
  </si>
  <si>
    <t>0106136353 / 252610016</t>
  </si>
  <si>
    <t>Ahmad Azmi Mutaarrofi</t>
  </si>
  <si>
    <t>0095491750 / 252610018</t>
  </si>
  <si>
    <t>Ahmad Farely Azriel</t>
  </si>
  <si>
    <t>0087811342 / 252610038</t>
  </si>
  <si>
    <t>Alfian Chaniago</t>
  </si>
  <si>
    <t>0094160993 / 252610045</t>
  </si>
  <si>
    <t>Alleandra Kaif Finandita</t>
  </si>
  <si>
    <t>0103659705 / 252610049</t>
  </si>
  <si>
    <t>Altaira Aqila Myesha Ario</t>
  </si>
  <si>
    <t>0107838813 / 252610056</t>
  </si>
  <si>
    <t>Amira Najwa Fauziyah</t>
  </si>
  <si>
    <t>0108144208 / 252610069</t>
  </si>
  <si>
    <t>Aphrodyta Aurelia Avrilla</t>
  </si>
  <si>
    <t>0096853688 / 252610074</t>
  </si>
  <si>
    <t>Aqueena Putri Salimah</t>
  </si>
  <si>
    <t>0092637367 / 252610132</t>
  </si>
  <si>
    <t>Chairani Kanza Wulandaputri</t>
  </si>
  <si>
    <t>0095522157 / 252610155</t>
  </si>
  <si>
    <t>Dhefa Raditya Putra</t>
  </si>
  <si>
    <t>0098223677 / 252610162</t>
  </si>
  <si>
    <t>Diaz Syeza Zivanna</t>
  </si>
  <si>
    <t>0106545857 / 252610173</t>
  </si>
  <si>
    <t>Dwi Nailah Azhara</t>
  </si>
  <si>
    <t>0108696681 / 252610183</t>
  </si>
  <si>
    <t>Erlangga Ardiyanto</t>
  </si>
  <si>
    <t>0102866245 / 252610188</t>
  </si>
  <si>
    <t>Fahmi Adilla Pasha</t>
  </si>
  <si>
    <t>0107425879 / 252610191</t>
  </si>
  <si>
    <t>Fakhi Zulfia Bilqis Nasyifa</t>
  </si>
  <si>
    <t>0104987304 / 252610216</t>
  </si>
  <si>
    <t>Friska Feby Aulia</t>
  </si>
  <si>
    <t>0104595564 / 252610233</t>
  </si>
  <si>
    <t>Inaya Janeeta</t>
  </si>
  <si>
    <t>0107286739 / 252610258</t>
  </si>
  <si>
    <t>Karnizara Ringga Rabbani</t>
  </si>
  <si>
    <t>0109267722 / 252610260</t>
  </si>
  <si>
    <t>Karunia Dwi Rahmawati</t>
  </si>
  <si>
    <t>0093634061 / 252610266</t>
  </si>
  <si>
    <t>Keisa Wanda Setiawan</t>
  </si>
  <si>
    <t>3091547533 / 252610275</t>
  </si>
  <si>
    <t>Keyno Nazmi Afham</t>
  </si>
  <si>
    <t>0097951249 / 252610282</t>
  </si>
  <si>
    <t>Khansa Vanya Laudya Putri</t>
  </si>
  <si>
    <t>0102015407 / 252610294</t>
  </si>
  <si>
    <t>Lutfi Dwi Melati</t>
  </si>
  <si>
    <t>0106908655 / 252610306</t>
  </si>
  <si>
    <t>Masayu Ganisha Pembayun Putri</t>
  </si>
  <si>
    <t>0092608342 / 252610309</t>
  </si>
  <si>
    <t>Mazaya Aqila Betha Diladena</t>
  </si>
  <si>
    <t>0098979111 / 252610329</t>
  </si>
  <si>
    <t>Muhamad Rizqi Darmawan</t>
  </si>
  <si>
    <t>0105497173 / 252610357</t>
  </si>
  <si>
    <t>Muhammad Ihsan Putra Pamungkas</t>
  </si>
  <si>
    <t>0092028941 / 252610363</t>
  </si>
  <si>
    <t>Muhammad Rafi Kurniawan</t>
  </si>
  <si>
    <t>0097410697 / 252610373</t>
  </si>
  <si>
    <t>Muhammad Sulthon Najib</t>
  </si>
  <si>
    <t>3105173369 / 252610378</t>
  </si>
  <si>
    <t>Muhammad Zaidan Aqil</t>
  </si>
  <si>
    <t>3107700954 / 252610382</t>
  </si>
  <si>
    <t>Mutiara Geisya Nuraini</t>
  </si>
  <si>
    <t>0103461516 / 252610433</t>
  </si>
  <si>
    <t>Priscilia Michelle Pasau</t>
  </si>
  <si>
    <t>0109782055 / 252610435</t>
  </si>
  <si>
    <t>Puffin Rohis Jusup Manurung</t>
  </si>
  <si>
    <t>0108699884 / 252610447</t>
  </si>
  <si>
    <t>Quizal Razky Ahmad</t>
  </si>
  <si>
    <t>0108390462 / 252610472</t>
  </si>
  <si>
    <t>Randy Adiya Pratama Kouw</t>
  </si>
  <si>
    <t>0107960365 / 252610475</t>
  </si>
  <si>
    <t>Ravino Abbas Subaga</t>
  </si>
  <si>
    <t>0104838010 / 252610480</t>
  </si>
  <si>
    <t>Rei Dillan Hartedi</t>
  </si>
  <si>
    <t>0108451246 / 252610483</t>
  </si>
  <si>
    <t>Reni Apriliani</t>
  </si>
  <si>
    <t>3104089400 / 252610492</t>
  </si>
  <si>
    <t>Rizky Putra Kunta Ajie</t>
  </si>
  <si>
    <t>0107731505 / 252610512</t>
  </si>
  <si>
    <t>Shabira Andiani</t>
  </si>
  <si>
    <t>0105775007 / 252610514</t>
  </si>
  <si>
    <t>Shafa Talitha Budiarto</t>
  </si>
  <si>
    <t>0106588309 / 252610515</t>
  </si>
  <si>
    <t>Shahira Hafiza Putri</t>
  </si>
  <si>
    <t>0106219079 / 252610519</t>
  </si>
  <si>
    <t>Sheika Rizki Ramadanti Aurelia</t>
  </si>
  <si>
    <t>0094714082 / 252610533</t>
  </si>
  <si>
    <t>Syahwa Fatmah</t>
  </si>
  <si>
    <t>0102630183 / 252610534</t>
  </si>
  <si>
    <t>Syakira Alma Annisa</t>
  </si>
  <si>
    <t>0106490661 / 252610544</t>
  </si>
  <si>
    <t>Tiara Winni Melia</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</si>
  <si>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</si>
  <si>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X-5</t>
  </si>
  <si>
    <t>0092194625 / 252610004</t>
  </si>
  <si>
    <t>Achmad Ardiansyah</t>
  </si>
  <si>
    <t>3108509756 / 252610013</t>
  </si>
  <si>
    <t>Adrian Muhammad Fadillah</t>
  </si>
  <si>
    <t>0099540724 / 252610022</t>
  </si>
  <si>
    <t>Aira Alessia Adha</t>
  </si>
  <si>
    <t>0107934430 / 252610024</t>
  </si>
  <si>
    <t>Aira Febria Sari</t>
  </si>
  <si>
    <t>0099668827 / 252610034</t>
  </si>
  <si>
    <t>Al Jadid Syafruddin Lubis</t>
  </si>
  <si>
    <t>0102993208 / 252610043</t>
  </si>
  <si>
    <t>Alisya Belva Dhio</t>
  </si>
  <si>
    <t>0104459637 / 252610055</t>
  </si>
  <si>
    <t>Amira Agni Kayla Raisya</t>
  </si>
  <si>
    <t>0104825356 / 252610057</t>
  </si>
  <si>
    <t>Amirah Khalishah Somoal</t>
  </si>
  <si>
    <t>0099339799 / 252610060</t>
  </si>
  <si>
    <t>Anas Legawa Riyadi</t>
  </si>
  <si>
    <t>0098197227 / 252610067</t>
  </si>
  <si>
    <t>Annisa Fitriyani</t>
  </si>
  <si>
    <t>0093274791 / 252610115</t>
  </si>
  <si>
    <t>Bagaskara Bisma Anoka</t>
  </si>
  <si>
    <t>0099900563 / 252610123</t>
  </si>
  <si>
    <t>Bilqis Nikita Aylani</t>
  </si>
  <si>
    <t>0092597384 / 252610163</t>
  </si>
  <si>
    <t>Dilla Novianti Putri</t>
  </si>
  <si>
    <t>3105062394 / 252610166</t>
  </si>
  <si>
    <t>Dinda Aulia</t>
  </si>
  <si>
    <t>0103139137 / 252610205</t>
  </si>
  <si>
    <t>Fathimah Septiani Azahra</t>
  </si>
  <si>
    <t>0091763745 / 252610229</t>
  </si>
  <si>
    <t>Hikmah Septiya</t>
  </si>
  <si>
    <t>0095064549 / 252610230</t>
  </si>
  <si>
    <t>Hilmi Ardhana Fuady</t>
  </si>
  <si>
    <t>3098845163 / 252610245</t>
  </si>
  <si>
    <t>Jevelin Ambarep Putri</t>
  </si>
  <si>
    <t>0104630358 / 252610281</t>
  </si>
  <si>
    <t>Khansa Tabita Aura Sakhi</t>
  </si>
  <si>
    <t>0097535113 / 252610286</t>
  </si>
  <si>
    <t>Lalitya Namu Wangundahina</t>
  </si>
  <si>
    <t>0094686372 / 252610299</t>
  </si>
  <si>
    <t>Mahira Aqila Azra</t>
  </si>
  <si>
    <t>0108578906 / 252610322</t>
  </si>
  <si>
    <t>Muhamad Adri Fachry</t>
  </si>
  <si>
    <t>3107979922 / 252610323</t>
  </si>
  <si>
    <t>Muhamad Gaza Al-Mahdi</t>
  </si>
  <si>
    <t>0105902624 / 252610361</t>
  </si>
  <si>
    <t>Muhammad Naufal Rhesa Fernando</t>
  </si>
  <si>
    <t>0095937017 / 252610366</t>
  </si>
  <si>
    <t>Muhammad Raya Al Maghfirah</t>
  </si>
  <si>
    <t>3094594523 / 252610374</t>
  </si>
  <si>
    <t>Muhammad Tristan Sanjaya</t>
  </si>
  <si>
    <t>0092479207 / 252610379</t>
  </si>
  <si>
    <t>Muhammad Zaidan Wibowo</t>
  </si>
  <si>
    <t>0092223990 / 252610384</t>
  </si>
  <si>
    <t>Nabilah Shakeela Kusuma</t>
  </si>
  <si>
    <t>0104434944 / 252610401</t>
  </si>
  <si>
    <t>Naufal Aditama</t>
  </si>
  <si>
    <t>0108770789 / 252610412</t>
  </si>
  <si>
    <t>Nayyira Ghania Mehnaz</t>
  </si>
  <si>
    <t>0101523916 / 252610414</t>
  </si>
  <si>
    <t>Nazwa Nur Rahmah</t>
  </si>
  <si>
    <t>3099045754 / 252610427</t>
  </si>
  <si>
    <t>Nurul Aulia Ramadhani</t>
  </si>
  <si>
    <t>0104883711 / 252610429</t>
  </si>
  <si>
    <t>Ohan Marhadi Haryono</t>
  </si>
  <si>
    <t>3099055467 / 252610437</t>
  </si>
  <si>
    <t>Puthik Ramadani</t>
  </si>
  <si>
    <t>0092103124 / 252610450</t>
  </si>
  <si>
    <t>Raden Chintya Dewi Maharani</t>
  </si>
  <si>
    <t>0102081772 / 252610451</t>
  </si>
  <si>
    <t>Raden Ciara Za Syahluna</t>
  </si>
  <si>
    <t>0097864614 / 252610471</t>
  </si>
  <si>
    <t>Rama Andhika</t>
  </si>
  <si>
    <t>0093090773 / 252610481</t>
  </si>
  <si>
    <t>Reisha Azzahra Pramesti</t>
  </si>
  <si>
    <t>0095160472 / 252610488</t>
  </si>
  <si>
    <t>Rheiska Amelia</t>
  </si>
  <si>
    <t>0092402487 / 252610507</t>
  </si>
  <si>
    <t>Salsabila Kinaya</t>
  </si>
  <si>
    <t>0092706472 / 252610535</t>
  </si>
  <si>
    <t>Syarafina Nur Alifatuzahro</t>
  </si>
  <si>
    <t>0105183684 / 252610540</t>
  </si>
  <si>
    <t>Tanty Amelia Al Rasyid</t>
  </si>
  <si>
    <t>0098052333 / 252610543</t>
  </si>
  <si>
    <t>Teduh Mutiara Hapsari</t>
  </si>
  <si>
    <t>3094664028 / 252610549</t>
  </si>
  <si>
    <t>Tubagus Mochamad Rizki Fauzan Al Faris</t>
  </si>
  <si>
    <t>0099429653 / 252610554</t>
  </si>
  <si>
    <t>Yanza Rizkia Salsabillah</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</si>
  <si>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</si>
  <si>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X-6</t>
  </si>
  <si>
    <t>0096316890 / 252610005</t>
  </si>
  <si>
    <t>Achmad Firza Ghibran</t>
  </si>
  <si>
    <t>0091825991 / 252610009</t>
  </si>
  <si>
    <t>Adi Pati Jaya Prana</t>
  </si>
  <si>
    <t>0094216872 / 252610036</t>
  </si>
  <si>
    <t>Alfany Himma Roudina</t>
  </si>
  <si>
    <t>3093210071 / 252610042</t>
  </si>
  <si>
    <t>Alisa Putri</t>
  </si>
  <si>
    <t>0099344894 / 252610072</t>
  </si>
  <si>
    <t>Aqila Noya Faiza</t>
  </si>
  <si>
    <t>0109520546 / 252610120</t>
  </si>
  <si>
    <t>Bernala Baratama Sirait</t>
  </si>
  <si>
    <t>0104799326 / 252610134</t>
  </si>
  <si>
    <t>Chempaka Balqist Zavira Mentary Misman</t>
  </si>
  <si>
    <t>0081552525 / 252610150</t>
  </si>
  <si>
    <t>Defrino Viernadi Laitnis Yusfa</t>
  </si>
  <si>
    <t>0099286083 / 252610157</t>
  </si>
  <si>
    <t>Dhia Salsabila</t>
  </si>
  <si>
    <t>0093451857 / 252610167</t>
  </si>
  <si>
    <t>Dinda Dyah Pitaloka</t>
  </si>
  <si>
    <t>0074430959 / 252610172</t>
  </si>
  <si>
    <t>Dwi Irmawati</t>
  </si>
  <si>
    <t>0096744611 / 252610176</t>
  </si>
  <si>
    <t>Egi Surjana</t>
  </si>
  <si>
    <t>0091620147 / 252610189</t>
  </si>
  <si>
    <t>Faiha Raqilla Darmawan</t>
  </si>
  <si>
    <t>0093286261 / 252610194</t>
  </si>
  <si>
    <t>Fanesya Agfrisfidia</t>
  </si>
  <si>
    <t>0092383688 / 252610195</t>
  </si>
  <si>
    <t>Fanisa Nurkamila Hamdani</t>
  </si>
  <si>
    <t>0096185979 / 252610198</t>
  </si>
  <si>
    <t>Farhan Benzema</t>
  </si>
  <si>
    <t>0094160236 / 252610209</t>
  </si>
  <si>
    <t>Fauzi Castle Satara</t>
  </si>
  <si>
    <t>0101705316 / 252610210</t>
  </si>
  <si>
    <t>Febri Afriani</t>
  </si>
  <si>
    <t>3090346201 / 252610214</t>
  </si>
  <si>
    <t>Freja Aira Anindhita</t>
  </si>
  <si>
    <t>0107948623 / 252610227</t>
  </si>
  <si>
    <t>Hasfa Zulfana Nahdah</t>
  </si>
  <si>
    <t>0105199862 / 252610249</t>
  </si>
  <si>
    <t>Joceline Sisca Lumongga Manurung</t>
  </si>
  <si>
    <t>0099375007 / 252610273</t>
  </si>
  <si>
    <t>Keyla Putri Saksono</t>
  </si>
  <si>
    <t>0109221606 / 252610279</t>
  </si>
  <si>
    <t>Khalisa Silmi Jovita Warsito</t>
  </si>
  <si>
    <t>0094583694 / 252610285</t>
  </si>
  <si>
    <t>Kharisma Zahra Tiara Putri</t>
  </si>
  <si>
    <t>0109522386 / 252610308</t>
  </si>
  <si>
    <t>Mawar Aprilliana</t>
  </si>
  <si>
    <t>0095079380 / 252610312</t>
  </si>
  <si>
    <t>Mentari Dwi Anggraini</t>
  </si>
  <si>
    <t>0098849299 / 252610342</t>
  </si>
  <si>
    <t>Muhammad Azzam Ananda Fatahilah</t>
  </si>
  <si>
    <t>0108710844 / 252610355</t>
  </si>
  <si>
    <t>Muhammad Hafizh Arrantisi</t>
  </si>
  <si>
    <t>0103242050 / 252610360</t>
  </si>
  <si>
    <t>Muhammad Musyaffa Latief</t>
  </si>
  <si>
    <t>0095549480 / 252610394</t>
  </si>
  <si>
    <t>Najwa Citra Lestari</t>
  </si>
  <si>
    <t>0108065698 / 252610410</t>
  </si>
  <si>
    <t>Nayra Putri Sagita</t>
  </si>
  <si>
    <t>0106380486 / 252610442</t>
  </si>
  <si>
    <t>Queensha Amiradana Putri Hamka</t>
  </si>
  <si>
    <t>0101582567 / 252610446</t>
  </si>
  <si>
    <t>Quinsha Rizkya Irawan</t>
  </si>
  <si>
    <t>0092020564 / 252610449</t>
  </si>
  <si>
    <t>Raasyid Zhariif Santoso</t>
  </si>
  <si>
    <t>0107445789 / 252610456</t>
  </si>
  <si>
    <t>Raditya Rafa Abdillah</t>
  </si>
  <si>
    <t>0094690365 / 252610478</t>
  </si>
  <si>
    <t>Raynar Abiyu Diera</t>
  </si>
  <si>
    <t>0093623051 / 252610479</t>
  </si>
  <si>
    <t>Rayyan Wahyu Ramadhan</t>
  </si>
  <si>
    <t>0108406931 / 252610484</t>
  </si>
  <si>
    <t>Reva Aulia Putri</t>
  </si>
  <si>
    <t>0104171202 / 252610486</t>
  </si>
  <si>
    <t>Revina Apriza</t>
  </si>
  <si>
    <t>3096816288 / 252610495</t>
  </si>
  <si>
    <t>Rossy Indriyati</t>
  </si>
  <si>
    <t>0102698949 / 252610505</t>
  </si>
  <si>
    <t>Salsa Kirana Putri</t>
  </si>
  <si>
    <t>3096600612 / 252610517</t>
  </si>
  <si>
    <t>Shalomieta Aira Kinaya</t>
  </si>
  <si>
    <t>0106462308 / 252610528</t>
  </si>
  <si>
    <t>Syahdan Akbar Mara Putra</t>
  </si>
  <si>
    <t>0101383149 / 252610529</t>
  </si>
  <si>
    <t>Syahla Adzkannisa Vuzela</t>
  </si>
  <si>
    <t>0107096617 / 252610541</t>
  </si>
  <si>
    <t>Taufik Hidayah</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</si>
  <si>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</si>
  <si>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X-7</t>
  </si>
  <si>
    <t>0101303057 / 252610006</t>
  </si>
  <si>
    <t>Adara Luthfia Putri</t>
  </si>
  <si>
    <t>0109597144 / 252610017</t>
  </si>
  <si>
    <t>Ahmad Fahri Hidayat</t>
  </si>
  <si>
    <t>3096764634 / 252610025</t>
  </si>
  <si>
    <t>Aira Kirana</t>
  </si>
  <si>
    <t>0094347087 / 252610044</t>
  </si>
  <si>
    <t>Aliya Trianzani Putri</t>
  </si>
  <si>
    <t>0101401010 / 252610051</t>
  </si>
  <si>
    <t>Alya Silvana Sarifah</t>
  </si>
  <si>
    <t>0106758481 / 252610064</t>
  </si>
  <si>
    <t>Anindya Estyana Damayanti</t>
  </si>
  <si>
    <t>0092241333 / 252610113</t>
  </si>
  <si>
    <t>Azri Aditya Amada</t>
  </si>
  <si>
    <t>0102239764 / 252610140</t>
  </si>
  <si>
    <t>Clara Dwi Cahya</t>
  </si>
  <si>
    <t>0108763766 / 252610141</t>
  </si>
  <si>
    <t>Clarisa Meidiana</t>
  </si>
  <si>
    <t>0103120702 / 252610144</t>
  </si>
  <si>
    <t>Daffa Khoirul Fajri</t>
  </si>
  <si>
    <t>0099164493 / 252610156</t>
  </si>
  <si>
    <t>Dhia Devita Ramadhani</t>
  </si>
  <si>
    <t>0093281671 / 252610159</t>
  </si>
  <si>
    <t>Diajeng Inggil Lintang Aulia</t>
  </si>
  <si>
    <t>0091524155 / 252610179</t>
  </si>
  <si>
    <t>Elgiva Damara Sanchia</t>
  </si>
  <si>
    <t>0094004131 / 252610182</t>
  </si>
  <si>
    <t>Enzo Asido Rama Raditya</t>
  </si>
  <si>
    <t>0107042804 / 252610197</t>
  </si>
  <si>
    <t>Farhan Abdurrahman Yusuf</t>
  </si>
  <si>
    <t>0094782869 / 252610200</t>
  </si>
  <si>
    <t>Faris Razwa Sambega</t>
  </si>
  <si>
    <t>0107335774 / 252610221</t>
  </si>
  <si>
    <t>Ghaniyah Adelia</t>
  </si>
  <si>
    <t>3103220251 / 252610225</t>
  </si>
  <si>
    <t>Hafizh Mumtaz</t>
  </si>
  <si>
    <t>0093078917 / 252610252</t>
  </si>
  <si>
    <t>Juan Pirlo Benzema</t>
  </si>
  <si>
    <t>0106222604 / 252610254</t>
  </si>
  <si>
    <t>Kania Putriana Yaswin</t>
  </si>
  <si>
    <t>0105055119 / 252610264</t>
  </si>
  <si>
    <t>Kaysa Maharani Sofyan</t>
  </si>
  <si>
    <t>0096544983 / 252610268</t>
  </si>
  <si>
    <t>Keisya Andhita Kirana Putri</t>
  </si>
  <si>
    <t>3093288409 / 252610291</t>
  </si>
  <si>
    <t>Livia Vidyadhara</t>
  </si>
  <si>
    <t>0103468589 / 252610300</t>
  </si>
  <si>
    <t>Manar Abbas Bawazir</t>
  </si>
  <si>
    <t>0104328116 / 252610318</t>
  </si>
  <si>
    <t>Mohammad Arsa Dafansyah</t>
  </si>
  <si>
    <t>0093678218 / 252610333</t>
  </si>
  <si>
    <t>Muhamad Yusuf Zarkasi</t>
  </si>
  <si>
    <t>0093828028 / 252610340</t>
  </si>
  <si>
    <t>Muhammad Arsyal Divo Firmansyah</t>
  </si>
  <si>
    <t>0109769349 / 252610345</t>
  </si>
  <si>
    <t>Muhammad Danish Fathul Ulum</t>
  </si>
  <si>
    <t>0093629282 / 252610352</t>
  </si>
  <si>
    <t>Muhammad Fathandra Rizki</t>
  </si>
  <si>
    <t>0095243962 / 252610354</t>
  </si>
  <si>
    <t>Muhammad Gabriel</t>
  </si>
  <si>
    <t>0105755550 / 252610383</t>
  </si>
  <si>
    <t>Myiesha Lunar Wisesa Putri</t>
  </si>
  <si>
    <t>0106828126 / 252610389</t>
  </si>
  <si>
    <t>Nadila Safira</t>
  </si>
  <si>
    <t>0097673142 / 252610404</t>
  </si>
  <si>
    <t>Naurah Afifah Amaliyah</t>
  </si>
  <si>
    <t>0107698921 / 252610409</t>
  </si>
  <si>
    <t>Nayla Widya Cakraprawartana</t>
  </si>
  <si>
    <t>0098514088 / 252610428</t>
  </si>
  <si>
    <t>Nydia Aisyah Allifia</t>
  </si>
  <si>
    <t>0108129059 / 252610464</t>
  </si>
  <si>
    <t>Raihana Humairah Budianto</t>
  </si>
  <si>
    <t>0109551129 / 252610466</t>
  </si>
  <si>
    <t>Raisa Putri Rahima</t>
  </si>
  <si>
    <t>0096444734 / 252610491</t>
  </si>
  <si>
    <t>Rindu Gatari Asmiladi</t>
  </si>
  <si>
    <t>0107487290 / 252610504</t>
  </si>
  <si>
    <t>Salman Latif Anshari</t>
  </si>
  <si>
    <t>3102286552 / 252610523</t>
  </si>
  <si>
    <t>Siti Iklima Sakurani</t>
  </si>
  <si>
    <t>0107936085 / 252610525</t>
  </si>
  <si>
    <t>Sultan Reynard Sabdadika</t>
  </si>
  <si>
    <t>0106701592 / 252610527</t>
  </si>
  <si>
    <t>Syafiqa Bariq Mahya</t>
  </si>
  <si>
    <t>0104155224 / 252610532</t>
  </si>
  <si>
    <t>Syahluna Ananta Putri</t>
  </si>
  <si>
    <t>0097446281 / 252610539</t>
  </si>
  <si>
    <t>Tabah Rafie Abdillah</t>
  </si>
  <si>
    <t>0105614197 / 252610547</t>
  </si>
  <si>
    <t>Tristan Lovriano Aryasatya</t>
  </si>
  <si>
    <t>0109499801 / 252610559</t>
  </si>
  <si>
    <t>Zafira Salsa Haniah</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</si>
  <si>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</si>
  <si>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X-8</t>
  </si>
  <si>
    <t>0093560012 / 252610007</t>
  </si>
  <si>
    <t>Adelia Niken</t>
  </si>
  <si>
    <t>0092017710 / 252610028</t>
  </si>
  <si>
    <t>Aisyah Agustiani</t>
  </si>
  <si>
    <t>0098009248 / 252610035</t>
  </si>
  <si>
    <t>Alenka Meisyarofa</t>
  </si>
  <si>
    <t>3105167232 / 252610040</t>
  </si>
  <si>
    <t>Alifa Taqqiya Zahwa</t>
  </si>
  <si>
    <t>0107122505 / 252610041</t>
  </si>
  <si>
    <t>Alifah Hasannah</t>
  </si>
  <si>
    <t>0104668456 / 252610061</t>
  </si>
  <si>
    <t>Andagita Vilnaira Atha</t>
  </si>
  <si>
    <t>0102036572 / 252610077</t>
  </si>
  <si>
    <t>Ariqah Putri Nasution</t>
  </si>
  <si>
    <t>0102307654 / 252610097</t>
  </si>
  <si>
    <t>Aulia Cinta Divia</t>
  </si>
  <si>
    <t>0105089607 / 252610108</t>
  </si>
  <si>
    <t>Aysha Mahira Dewi Tryana</t>
  </si>
  <si>
    <t>0096174502 / 252610118</t>
  </si>
  <si>
    <t>Belinda Angelica</t>
  </si>
  <si>
    <t>0092180086 / 252610125</t>
  </si>
  <si>
    <t>Bima Anggareksa Yusiansyah</t>
  </si>
  <si>
    <t>3094942931 / 252610151</t>
  </si>
  <si>
    <t>Dela Ananda Putri</t>
  </si>
  <si>
    <t>0103091510 / 252610160</t>
  </si>
  <si>
    <t>Dian Noer Savitri</t>
  </si>
  <si>
    <t>0093558313 / 252610161</t>
  </si>
  <si>
    <t>Diandra Mentari Fazri</t>
  </si>
  <si>
    <t>0093242338 / 252610170</t>
  </si>
  <si>
    <t>Divania Kayla Windu Sabrina</t>
  </si>
  <si>
    <t>0095632017 / 252610174</t>
  </si>
  <si>
    <t>Dyshan Attaya Haq Triatno</t>
  </si>
  <si>
    <t>0099446424 / 252610199</t>
  </si>
  <si>
    <t>Farid Pradana</t>
  </si>
  <si>
    <t>0103174946 / 252610203</t>
  </si>
  <si>
    <t>Fathia Adilla Ramsha</t>
  </si>
  <si>
    <t>0101801767 / 252610223</t>
  </si>
  <si>
    <t>Gracia Valen Manik</t>
  </si>
  <si>
    <t>0107691976 / 252610255</t>
  </si>
  <si>
    <t>Kania Wismar Adnyana</t>
  </si>
  <si>
    <t>0101976221 / 252610265</t>
  </si>
  <si>
    <t>Kaysan Umar Azka Setiawan</t>
  </si>
  <si>
    <t>0092212305 / 252610293</t>
  </si>
  <si>
    <t>Luqman Aziz Saputro</t>
  </si>
  <si>
    <t>0102160006 / 252610314</t>
  </si>
  <si>
    <t>Mirza Maulana Altamis</t>
  </si>
  <si>
    <t>0105918833 / 252610321</t>
  </si>
  <si>
    <t>Mouris Marcha Adisty</t>
  </si>
  <si>
    <t>0099772945 / 252610324</t>
  </si>
  <si>
    <t>Muhamad Ilham Akbar</t>
  </si>
  <si>
    <t>0094259451 / 252610326</t>
  </si>
  <si>
    <t>Muhamad Mustakim</t>
  </si>
  <si>
    <t>0107525738 / 252610349</t>
  </si>
  <si>
    <t>Muhammad Faiz Fathian</t>
  </si>
  <si>
    <t>3107499493 / 252610350</t>
  </si>
  <si>
    <t>Muhammad Fariz Nuh</t>
  </si>
  <si>
    <t>3108018555 / 252610353</t>
  </si>
  <si>
    <t>Muhammad Fawaz Ali</t>
  </si>
  <si>
    <t>0091031385 / 252610364</t>
  </si>
  <si>
    <t>Muhammad Rafli Ramsha</t>
  </si>
  <si>
    <t>0111220217 / 252610376</t>
  </si>
  <si>
    <t>Muhammad Yafiargi Simbangando</t>
  </si>
  <si>
    <t>0098938532 / 252610392</t>
  </si>
  <si>
    <t>Naila Khansa Rahmawati</t>
  </si>
  <si>
    <t>3109348901 / 252610395</t>
  </si>
  <si>
    <t>Namira Nur Azkia</t>
  </si>
  <si>
    <t>0091281050 / 252610399</t>
  </si>
  <si>
    <t>Naswa Ramadhani</t>
  </si>
  <si>
    <t>0107347265 / 252610408</t>
  </si>
  <si>
    <t>Nayla Ulya Taqiyya</t>
  </si>
  <si>
    <t>0105961239 / 252610413</t>
  </si>
  <si>
    <t>Nazwa Malika Asral</t>
  </si>
  <si>
    <t>0095193509 / 252610421</t>
  </si>
  <si>
    <t>Ni'Matul Aulia Ningtias</t>
  </si>
  <si>
    <t>0105803552 / 252610420</t>
  </si>
  <si>
    <t>Nikesha Nashwa Damara</t>
  </si>
  <si>
    <t>0109599363 / 252610444</t>
  </si>
  <si>
    <t>Quensha Rahayu Kusuma Agora</t>
  </si>
  <si>
    <t>0105462734 / 252610445</t>
  </si>
  <si>
    <t>Quincha Aura Brilliani</t>
  </si>
  <si>
    <t>0097882314 / 252610463</t>
  </si>
  <si>
    <t>Raihan Farras Sutisna</t>
  </si>
  <si>
    <t>0099739465 / 252610470</t>
  </si>
  <si>
    <t>Raka Syabany Amsyah</t>
  </si>
  <si>
    <t>0102838068 / 252610500</t>
  </si>
  <si>
    <t>Ryzen Gevandra Wirapratama</t>
  </si>
  <si>
    <t>0107357472 / 252610522</t>
  </si>
  <si>
    <t>Sinta Dwi Nuri Widodo</t>
  </si>
  <si>
    <t>0093433461 / 252610536</t>
  </si>
  <si>
    <t>Syarifah Nur Salsabila</t>
  </si>
  <si>
    <t>0108340159 / 252610548</t>
  </si>
  <si>
    <t>Tsamara Privita Sya'Ban Syahdu</t>
  </si>
  <si>
    <t>0094438921 / 252610558</t>
  </si>
  <si>
    <t>Yuzusie Aida Nenat</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</si>
  <si>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</si>
  <si>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X-9</t>
  </si>
  <si>
    <t>0106681838 / 252610003</t>
  </si>
  <si>
    <t>Abyan Zuka Ibrahim Nasution</t>
  </si>
  <si>
    <t>0108974704 / 252610019</t>
  </si>
  <si>
    <t>Ahmad Hafidz Anwar</t>
  </si>
  <si>
    <t>0105339420 / 252610027</t>
  </si>
  <si>
    <t>Aishanna Latifa Harjono</t>
  </si>
  <si>
    <t>0093799489 / 252610071</t>
  </si>
  <si>
    <t>Aqila Elmohri</t>
  </si>
  <si>
    <t>3111697965 / 252610073</t>
  </si>
  <si>
    <t>Aqilla Al-Farabi</t>
  </si>
  <si>
    <t>0102592413 / 252610078</t>
  </si>
  <si>
    <t>Ariyo Raditya Putra</t>
  </si>
  <si>
    <t>0099452000 / 252610086</t>
  </si>
  <si>
    <t>Asshafa Nur Intan</t>
  </si>
  <si>
    <t>0093343311 / 252610092</t>
  </si>
  <si>
    <t>Attar Palestine Taha</t>
  </si>
  <si>
    <t>0102924778 / 252610095</t>
  </si>
  <si>
    <t>Aufa Khairunnisa</t>
  </si>
  <si>
    <t>0108974038 / 252610117</t>
  </si>
  <si>
    <t>Balqis Luthfiyah Zahra</t>
  </si>
  <si>
    <t>0104378571 / 252610133</t>
  </si>
  <si>
    <t>Chayra Putri Dwinata</t>
  </si>
  <si>
    <t>0107900663 / 252610135</t>
  </si>
  <si>
    <t>Cheryl Anandiora</t>
  </si>
  <si>
    <t>0091254694 / 252610146</t>
  </si>
  <si>
    <t>Dahayu Nadhilah Syafa</t>
  </si>
  <si>
    <t>0108673369 / 252610178</t>
  </si>
  <si>
    <t>Elen Vanesyah Wahyudi</t>
  </si>
  <si>
    <t>0097946386 / 252610211</t>
  </si>
  <si>
    <t>Fitrah Thirafi</t>
  </si>
  <si>
    <t>0099535255 / 252610212</t>
  </si>
  <si>
    <t>Fitri Rahmawati</t>
  </si>
  <si>
    <t>0094573200 / 252610220</t>
  </si>
  <si>
    <t>Ghaniah Aqilah</t>
  </si>
  <si>
    <t>0114593936 / 252610231</t>
  </si>
  <si>
    <t>Hizam Kynan Putra Purwanto</t>
  </si>
  <si>
    <t>0109669821 / 252610232</t>
  </si>
  <si>
    <t>Ilham Rizki Pratama</t>
  </si>
  <si>
    <t>0103695549 / 252610236</t>
  </si>
  <si>
    <t>Izaz Izzatul Islam</t>
  </si>
  <si>
    <t>0095770160 / 252610240</t>
  </si>
  <si>
    <t>Jazila Abid Niyaz Chan Lase</t>
  </si>
  <si>
    <t>0106852675 / 252610248</t>
  </si>
  <si>
    <t>Jihan Nailatusy Syarafah</t>
  </si>
  <si>
    <t>0094047198 / 252610256</t>
  </si>
  <si>
    <t>Kanza Olivia Ramadhani</t>
  </si>
  <si>
    <t>0102372511 / 252610263</t>
  </si>
  <si>
    <t>Kayla Tria Fatarani</t>
  </si>
  <si>
    <t>0098113225 / 252610297</t>
  </si>
  <si>
    <t>Mahera Raisha Davanita Faizal</t>
  </si>
  <si>
    <t>0103979225 / 252610325</t>
  </si>
  <si>
    <t>Muhamad Juan Arkhan</t>
  </si>
  <si>
    <t>0095022365 / 252610337</t>
  </si>
  <si>
    <t>Muhammad Ariel Setiawan</t>
  </si>
  <si>
    <t>0104557332 / 252610341</t>
  </si>
  <si>
    <t>Muhammad Azka Shahizinda</t>
  </si>
  <si>
    <t>0092772943 / 252610344</t>
  </si>
  <si>
    <t>Muhammad Daffa Alfarizki</t>
  </si>
  <si>
    <t>0098897790 / 252610347</t>
  </si>
  <si>
    <t>Muhammad Fadil Ranoval</t>
  </si>
  <si>
    <t>0101059940 / 252610358</t>
  </si>
  <si>
    <t>Muhammad In'Amul Aufa</t>
  </si>
  <si>
    <t>0094119764 / 252610368</t>
  </si>
  <si>
    <t>Muhammad Reyhan Alfariky</t>
  </si>
  <si>
    <t>0096882416 / 252610372</t>
  </si>
  <si>
    <t>Muhammad Sayyid Amjad</t>
  </si>
  <si>
    <t>0093640113 / 252610397</t>
  </si>
  <si>
    <t>Nararya Hylmi Kenzie</t>
  </si>
  <si>
    <t>0097910400 / 252610425</t>
  </si>
  <si>
    <t>Nur Azizah</t>
  </si>
  <si>
    <t>0091134035 / 252610441</t>
  </si>
  <si>
    <t>Qitrie Anisa Khaeri</t>
  </si>
  <si>
    <t>0106245820 / 252610457</t>
  </si>
  <si>
    <t>Radya Camilla Arinda</t>
  </si>
  <si>
    <t>0101902217 / 252610460</t>
  </si>
  <si>
    <t>Rahardian Muhamad Abisiena Koeswara</t>
  </si>
  <si>
    <t>0094238472 / 252610465</t>
  </si>
  <si>
    <t>Raihana Syafiqah Andyni</t>
  </si>
  <si>
    <t>3096149866 / 252610473</t>
  </si>
  <si>
    <t>Rassya Faiq Hibatullah</t>
  </si>
  <si>
    <t>0106183087 / 252610487</t>
  </si>
  <si>
    <t>Reynaldi</t>
  </si>
  <si>
    <t>0107182326 / 252610511</t>
  </si>
  <si>
    <t>Sekar Raynaningrum</t>
  </si>
  <si>
    <t>0099107315 / 252610530</t>
  </si>
  <si>
    <t>Syahla Nurul Arisma</t>
  </si>
  <si>
    <t>0094680852 / 252610537</t>
  </si>
  <si>
    <t>Syauqi Anandya Putri</t>
  </si>
  <si>
    <t>0098348385 / 252610542</t>
  </si>
  <si>
    <t>Tayya Dzulhijjah Mokodompit</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</si>
  <si>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</si>
  <si>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X-10</t>
  </si>
  <si>
    <t>0096033014 / 252610001</t>
  </si>
  <si>
    <t>Abdul Ghofar</t>
  </si>
  <si>
    <t>0104072965 / 252610012</t>
  </si>
  <si>
    <t>Aditya Bayu Sutanto</t>
  </si>
  <si>
    <t>2107246447 / 252610014</t>
  </si>
  <si>
    <t>Affy Kaew Ni'Mitr Alhanafi</t>
  </si>
  <si>
    <t>0096128036 / 252610020</t>
  </si>
  <si>
    <t>Ahmad Husein Al Latief</t>
  </si>
  <si>
    <t>0107055406 / 252610032</t>
  </si>
  <si>
    <t>Akram Mubarak</t>
  </si>
  <si>
    <t>0108389311 / 252610037</t>
  </si>
  <si>
    <t>Alfi Amalia</t>
  </si>
  <si>
    <t>0097357764 / 252610054</t>
  </si>
  <si>
    <t>Amelia Nur Zahra</t>
  </si>
  <si>
    <t>0102387971 / 252610059</t>
  </si>
  <si>
    <t>Ananda Bari Al Kausar</t>
  </si>
  <si>
    <t>0092171774 / 252610089</t>
  </si>
  <si>
    <t>Ataya Arkan Ramadhan</t>
  </si>
  <si>
    <t>0103134538 / 252610091</t>
  </si>
  <si>
    <t>Athaya Muhammad Daffa</t>
  </si>
  <si>
    <t>0104895570 / 252610099</t>
  </si>
  <si>
    <t>Aura Nabilah Zahirah</t>
  </si>
  <si>
    <t>0099138854 / 252610103</t>
  </si>
  <si>
    <t>Aurora Putri Samudra Dwiko</t>
  </si>
  <si>
    <t>0105133490 / 252610119</t>
  </si>
  <si>
    <t>Belva Thalita Ramadhena</t>
  </si>
  <si>
    <t>0099153455 / 252610128</t>
  </si>
  <si>
    <t>Bintang Mahardika Abhyoso Ardy</t>
  </si>
  <si>
    <t>0094286208 / 252610142</t>
  </si>
  <si>
    <t>Claudia Dominique Gabriella Torus</t>
  </si>
  <si>
    <t>0103526904 / 252610165</t>
  </si>
  <si>
    <t>Dinara Savina</t>
  </si>
  <si>
    <t>0098248691 / 252610168</t>
  </si>
  <si>
    <t>Dinda Syifa Rahmayanti</t>
  </si>
  <si>
    <t>0105616025 / 252610169</t>
  </si>
  <si>
    <t>Dindin Andini Suryaman</t>
  </si>
  <si>
    <t>0102329313 / 252610222</t>
  </si>
  <si>
    <t>Gita Tazkiyatunnisa</t>
  </si>
  <si>
    <t>0094626978 / 252610226</t>
  </si>
  <si>
    <t>Haifa Aysha Zahira</t>
  </si>
  <si>
    <t>0093849649 / 252610234</t>
  </si>
  <si>
    <t>Intan Dwi Novianingrum</t>
  </si>
  <si>
    <t>0102890859 / 252610235</t>
  </si>
  <si>
    <t>Isnaini Fauziyah Utomo</t>
  </si>
  <si>
    <t>0107943430 / 252610242</t>
  </si>
  <si>
    <t>Jeremia Geraldo Siregar</t>
  </si>
  <si>
    <t>0102210036 / 252610243</t>
  </si>
  <si>
    <t>Jerry Dwi Cahyono Putro</t>
  </si>
  <si>
    <t>3099544859 / 252610251</t>
  </si>
  <si>
    <t>Jovan Khayru Affandi</t>
  </si>
  <si>
    <t>0104574006 / 252610262</t>
  </si>
  <si>
    <t>Kayla Althafunnisa Arrasyid</t>
  </si>
  <si>
    <t>0094966956 / 252610272</t>
  </si>
  <si>
    <t>Keyla Ananda Safitri</t>
  </si>
  <si>
    <t>0102208567 / 252610283</t>
  </si>
  <si>
    <t>Khanza Aprillia Risyadi</t>
  </si>
  <si>
    <t>3101402781 / 252610305</t>
  </si>
  <si>
    <t>Maroen Al-Fatih Ibrahimessi</t>
  </si>
  <si>
    <t>0098516941 / 252610327</t>
  </si>
  <si>
    <t>Muhamad Raihan Rizqullah</t>
  </si>
  <si>
    <t>0113735828 / 252610335</t>
  </si>
  <si>
    <t>Muhammad Akhtar Arkana Ramadhan</t>
  </si>
  <si>
    <t>0109589144 / 252610375</t>
  </si>
  <si>
    <t>Muhammad Tsafiq Ihsan</t>
  </si>
  <si>
    <t>0108105659 / 252610396</t>
  </si>
  <si>
    <t>Naqeesyaa Dhanova Al Adzra</t>
  </si>
  <si>
    <t>0091758520 / 252610402</t>
  </si>
  <si>
    <t>Naufal Arzharel Ibrahimovic</t>
  </si>
  <si>
    <t>0093643944 / 252610403</t>
  </si>
  <si>
    <t>Naura Luvenavita Krisdianto</t>
  </si>
  <si>
    <t>0106941532 / 252610406</t>
  </si>
  <si>
    <t>Nava Marietta Siahaan</t>
  </si>
  <si>
    <t>0109464483 / 252610443</t>
  </si>
  <si>
    <t>Queensha Anindya Azka</t>
  </si>
  <si>
    <t>3103591489 / 252610459</t>
  </si>
  <si>
    <t>Rafael Anhar Armando</t>
  </si>
  <si>
    <t>0097831413 / 252610462</t>
  </si>
  <si>
    <t>Rahmania Azahra</t>
  </si>
  <si>
    <t>0094313180 / 252610469</t>
  </si>
  <si>
    <t>Raivan Elang Pramono</t>
  </si>
  <si>
    <t>0093204066 / 252610493</t>
  </si>
  <si>
    <t>Rizqiyanah Qaysarania Herawan</t>
  </si>
  <si>
    <t>0108540094 / 252610509</t>
  </si>
  <si>
    <t>Salsha Aulia Akbar</t>
  </si>
  <si>
    <t>0108413702 / 252610510</t>
  </si>
  <si>
    <t>Sashikirana Luvena Maheswari</t>
  </si>
  <si>
    <t>0108718382 / 252610521</t>
  </si>
  <si>
    <t>Silvya Sri Aprilianti</t>
  </si>
  <si>
    <t>0099775444 / 252610526</t>
  </si>
  <si>
    <t>Syaakhira Fauziah</t>
  </si>
  <si>
    <t>0093324313 / 252610552</t>
  </si>
  <si>
    <t>Vincentius Daniel Ornando</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</si>
  <si>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</si>
  <si>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X-11</t>
  </si>
  <si>
    <t>0109542213 / 252610010</t>
  </si>
  <si>
    <t>Adinda Garnetha Prasistha</t>
  </si>
  <si>
    <t>0108324867 / 252610031</t>
  </si>
  <si>
    <t>Ajeng Adisty Fahira</t>
  </si>
  <si>
    <t>0109013664 / 252610033</t>
  </si>
  <si>
    <t>Al Fathdry Rizky Wibowo</t>
  </si>
  <si>
    <t>0108561560 / 252610047</t>
  </si>
  <si>
    <t>Almira Aprilia Putri</t>
  </si>
  <si>
    <t>0096963702 / 252610066</t>
  </si>
  <si>
    <t>Anndita</t>
  </si>
  <si>
    <t>0091952413 / 252610085</t>
  </si>
  <si>
    <t>Askana Nailazahran Hermansyah</t>
  </si>
  <si>
    <t>0099678017 / 252610098</t>
  </si>
  <si>
    <t>Aulia Intan Rhamadhani</t>
  </si>
  <si>
    <t>0104439014 / 252610105</t>
  </si>
  <si>
    <t>Avrillino Herza Pratama</t>
  </si>
  <si>
    <t>0097138954 / 252610110</t>
  </si>
  <si>
    <t>Aziz Sakhi Zaidan</t>
  </si>
  <si>
    <t>0101964014 / 252610111</t>
  </si>
  <si>
    <t>Azka Ivano Ananda Hidayat</t>
  </si>
  <si>
    <t>3105650741 / 252610112</t>
  </si>
  <si>
    <t>Azkiara Andhita</t>
  </si>
  <si>
    <t>0091891047 / 252610114</t>
  </si>
  <si>
    <t>Azzalea Sakinah Ayura Putri</t>
  </si>
  <si>
    <t>0103193565 / 252610116</t>
  </si>
  <si>
    <t>Balqis Jauza Sabreenijka</t>
  </si>
  <si>
    <t>0096506746 / 252610131</t>
  </si>
  <si>
    <t>Carissa Alia Andinaputri</t>
  </si>
  <si>
    <t>0109934428 / 252610137</t>
  </si>
  <si>
    <t>Chintya Serlin Armedta Hia</t>
  </si>
  <si>
    <t>0095529275 / 252610184</t>
  </si>
  <si>
    <t>Evan Diaz</t>
  </si>
  <si>
    <t>0108527903 / 252610196</t>
  </si>
  <si>
    <t>Fannan Hoseki Fayyaz</t>
  </si>
  <si>
    <t>0108365392 / 252610217</t>
  </si>
  <si>
    <t>Galuh Pria Esa</t>
  </si>
  <si>
    <t>0107182013 / 252610228</t>
  </si>
  <si>
    <t>Henokh Prada Dhanendra Prasada</t>
  </si>
  <si>
    <t>0092709548 / 252610241</t>
  </si>
  <si>
    <t>Jazirah Rahmah</t>
  </si>
  <si>
    <t>0118415302 / 252610253</t>
  </si>
  <si>
    <t>Kaira Fatiya Nurfan</t>
  </si>
  <si>
    <t>0097372379 / 252610289</t>
  </si>
  <si>
    <t>Linggara Anugrah</t>
  </si>
  <si>
    <t>0093335479 / 252610292</t>
  </si>
  <si>
    <t>Luna Majidah Zafira</t>
  </si>
  <si>
    <t>0106465537 / 252610295</t>
  </si>
  <si>
    <t>Lutfiana Silva</t>
  </si>
  <si>
    <t>0103732986 / 252610310</t>
  </si>
  <si>
    <t>Mazaya Marva Mardyanti</t>
  </si>
  <si>
    <t>0105348604 / 252610315</t>
  </si>
  <si>
    <t>Misykah Adzra Maulida</t>
  </si>
  <si>
    <t>0108812130 / 252610328</t>
  </si>
  <si>
    <t>Muhamad Reyhan Nurhakim</t>
  </si>
  <si>
    <t>0094912922 / 252610346</t>
  </si>
  <si>
    <t>Muhammad Evan Fadillah</t>
  </si>
  <si>
    <t>0101578446 / 252610348</t>
  </si>
  <si>
    <t>Muhammad Fahry Tyandra</t>
  </si>
  <si>
    <t>0092179308 / 252610356</t>
  </si>
  <si>
    <t>Muhammad Ieddzar Haradiya</t>
  </si>
  <si>
    <t>0098186648 / 252610367</t>
  </si>
  <si>
    <t>Muhammad Revan Adi Saputra</t>
  </si>
  <si>
    <t>0092349928 / 252610380</t>
  </si>
  <si>
    <t>Muhammad Zaky Winata</t>
  </si>
  <si>
    <t>0096753454 / 252610385</t>
  </si>
  <si>
    <t>Nadhifa Amelia Garjita</t>
  </si>
  <si>
    <t>0102000943 / 252610388</t>
  </si>
  <si>
    <t>Nadia Delisa Saefani</t>
  </si>
  <si>
    <t>0105612000 / 252610417</t>
  </si>
  <si>
    <t>Neysha Aurelya Azzahra</t>
  </si>
  <si>
    <t>0109258787 / 252610458</t>
  </si>
  <si>
    <t>Rafa Farand Pratama</t>
  </si>
  <si>
    <t>0093712588 / 252610482</t>
  </si>
  <si>
    <t>Rendy Gilang Novianto</t>
  </si>
  <si>
    <t>0102414768 / 252610499</t>
  </si>
  <si>
    <t>Ruvita Rinjani</t>
  </si>
  <si>
    <t>0106760506 / 252610503</t>
  </si>
  <si>
    <t>Salmaa Saalimah Wibowo</t>
  </si>
  <si>
    <t>0095542022 / 252610506</t>
  </si>
  <si>
    <t>Salsabil Mulki</t>
  </si>
  <si>
    <t>0091610224 / 252610518</t>
  </si>
  <si>
    <t>Shaquille Putra Yudira</t>
  </si>
  <si>
    <t>0105010681 / 252610524</t>
  </si>
  <si>
    <t>Siva Muliyanti</t>
  </si>
  <si>
    <t>0105717177 / 252610545</t>
  </si>
  <si>
    <t>Tiara Zenobia Nafisa</t>
  </si>
  <si>
    <t>0107258754 / 252610551</t>
  </si>
  <si>
    <t>Vilvizeeya Hazira Kurnia</t>
  </si>
  <si>
    <t>0106044416 / 252610553</t>
  </si>
  <si>
    <t>Weny Meylieneke Sianipar</t>
  </si>
  <si>
    <t>0108569165 / 252610557</t>
  </si>
  <si>
    <t>Yoanne Mulin Averina</t>
  </si>
  <si>
    <t>0093632849 / 252610561</t>
  </si>
  <si>
    <t>Zaki Arya Wicaksono</t>
  </si>
  <si>
    <t>0105748224 / 252610565</t>
  </si>
  <si>
    <t>Zelda Hanifah Zaneta</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</si>
  <si>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</si>
  <si>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 X-12</t>
  </si>
  <si>
    <t>proses berpikir efektif dan efisien untuk menyelesaikan persoalan secara algoritmik</t>
  </si>
  <si>
    <t>0097950619 / 252610015</t>
  </si>
  <si>
    <t>Afgan Prima Rizkia Iskandar</t>
  </si>
  <si>
    <t>0105770130 / 252610021</t>
  </si>
  <si>
    <t>Aik Novitasari</t>
  </si>
  <si>
    <t>0093866965 / 252610029</t>
  </si>
  <si>
    <t>Aisyah Aqilah Agni</t>
  </si>
  <si>
    <t>3097129671 / 252610030</t>
  </si>
  <si>
    <t>Aisyah Hanifa Redana</t>
  </si>
  <si>
    <t>0093002808 / 252610046</t>
  </si>
  <si>
    <t>Allya Luthfiah Putri</t>
  </si>
  <si>
    <t>0107831985 / 252610068</t>
  </si>
  <si>
    <t>Annisa Salsabilla</t>
  </si>
  <si>
    <t>0101396555 / 252610080</t>
  </si>
  <si>
    <t>Arsyad Khaerul Izzan</t>
  </si>
  <si>
    <t>0108675973 / 252610081</t>
  </si>
  <si>
    <t>Aruni Khalila Ayu</t>
  </si>
  <si>
    <t>0096011114 / 252610104</t>
  </si>
  <si>
    <t>Avemarianne Ninetrie Septiane</t>
  </si>
  <si>
    <t>2099366441 / 252610106</t>
  </si>
  <si>
    <t>Ayi Artadinata</t>
  </si>
  <si>
    <t>0109010502 / 252610107</t>
  </si>
  <si>
    <t>Ayra Jauzaa Viranda</t>
  </si>
  <si>
    <t>0109682985 / 252610127</t>
  </si>
  <si>
    <t>Bintang Jati Pratama</t>
  </si>
  <si>
    <t>0092725675 / 252610143</t>
  </si>
  <si>
    <t>Daffa Hafizh Firdausi</t>
  </si>
  <si>
    <t>3106961615 / 252610147</t>
  </si>
  <si>
    <t>Damara Dasha Bahi Utomo</t>
  </si>
  <si>
    <t>0102221985 / 252610149</t>
  </si>
  <si>
    <t>Deana Azalea Belva</t>
  </si>
  <si>
    <t>0096201622 / 252610152</t>
  </si>
  <si>
    <t>Delfa Maharani</t>
  </si>
  <si>
    <t>0104985283 / 252610208</t>
  </si>
  <si>
    <t>Fauza Nur Aziema</t>
  </si>
  <si>
    <t>3086279831 / 252610218</t>
  </si>
  <si>
    <t>Gefira Azizatul Hasanah</t>
  </si>
  <si>
    <t>3091107524 / 252610267</t>
  </si>
  <si>
    <t>Keisha Nurazizah</t>
  </si>
  <si>
    <t>0103652262 / 252610269</t>
  </si>
  <si>
    <t>Kenzie Dzakwan Ibrahim</t>
  </si>
  <si>
    <t>0097732804 / 252610270</t>
  </si>
  <si>
    <t>Kesyha Ramadhani</t>
  </si>
  <si>
    <t>3093490279 / 252610271</t>
  </si>
  <si>
    <t>Kevin Septian Ramadhan</t>
  </si>
  <si>
    <t>0094431854 / 252610296</t>
  </si>
  <si>
    <t>Madina Zulfa Aini</t>
  </si>
  <si>
    <t>0103035193 / 252610298</t>
  </si>
  <si>
    <t>Maheswara Pekik Hanuraga</t>
  </si>
  <si>
    <t>0106434110 / 252610303</t>
  </si>
  <si>
    <t>Maria Agatha Cherlin Christiani</t>
  </si>
  <si>
    <t>0095778047 / 252610307</t>
  </si>
  <si>
    <t>Maulida Ainnurahma</t>
  </si>
  <si>
    <t>0103777854 / 252610331</t>
  </si>
  <si>
    <t>Muhamad Subkhi</t>
  </si>
  <si>
    <t>3109116422 / 252610339</t>
  </si>
  <si>
    <t>Muhammad Armanugie Saputra</t>
  </si>
  <si>
    <t>0103887571 / 252610359</t>
  </si>
  <si>
    <t>Muhammad Javier</t>
  </si>
  <si>
    <t>0102148224 / 252610377</t>
  </si>
  <si>
    <t>Muhammad Zahran Rifai</t>
  </si>
  <si>
    <t>0096368920 / 252610387</t>
  </si>
  <si>
    <t>Nadhifa Qeysa Auliani Soehardi</t>
  </si>
  <si>
    <t>0094328074 / 252610391</t>
  </si>
  <si>
    <t>Naila</t>
  </si>
  <si>
    <t>0098429745 / 252610400</t>
  </si>
  <si>
    <t>Natiq Tawqir Muniruzzaman Anandamaya</t>
  </si>
  <si>
    <t>3102974181 / 252610405</t>
  </si>
  <si>
    <t>Naureen Shabiha Zahira</t>
  </si>
  <si>
    <t>0099622136 / 252610407</t>
  </si>
  <si>
    <t>Nayla Lyra Sagita</t>
  </si>
  <si>
    <t>0102898760 / 252610411</t>
  </si>
  <si>
    <t>Naywa Dinda Kansana Lubis</t>
  </si>
  <si>
    <t>0108592067 / 252610418</t>
  </si>
  <si>
    <t>Ni Putu Anjani Dewi Diningrat</t>
  </si>
  <si>
    <t>0095623487 / 252610430</t>
  </si>
  <si>
    <t>Olivia Desvita Sari</t>
  </si>
  <si>
    <t>0106961567 / 252610448</t>
  </si>
  <si>
    <t>R.A.M. Fakhri Izzuddin Mashur</t>
  </si>
  <si>
    <t>0105994913 / 252610455</t>
  </si>
  <si>
    <t>Radinka Alano Hamizan Abqari</t>
  </si>
  <si>
    <t>0093563834 / 252610490</t>
  </si>
  <si>
    <t>Rifqah Ramadhani</t>
  </si>
  <si>
    <t>0097303991 / 252610494</t>
  </si>
  <si>
    <t>Roshan Aidan Juro Aprianto</t>
  </si>
  <si>
    <t>0098050747 / 252610496</t>
  </si>
  <si>
    <t>Ruba Aqeela Hafizha Mecca</t>
  </si>
  <si>
    <t>0092524998 / 252610502</t>
  </si>
  <si>
    <t>Sajna Jerrusalem Kharima Sugeng Putri</t>
  </si>
  <si>
    <t>0109344308 / 252610516</t>
  </si>
  <si>
    <t>Shahrazad Aulia Handyanto</t>
  </si>
  <si>
    <t>0101659072 / 252610531</t>
  </si>
  <si>
    <t>Syahla Salsabila Ramdani</t>
  </si>
  <si>
    <t>0095899359 / 252610550</t>
  </si>
  <si>
    <t>Velicya Arnelita Zahra Suryana</t>
  </si>
  <si>
    <t>0095810986 / 252610562</t>
  </si>
  <si>
    <t>Zalfa Rizqia Nur Nadhifa</t>
  </si>
  <si>
    <r>
      <rPr>
        <rFont val="Times New Roman"/>
        <color theme="1"/>
        <sz val="12.0"/>
      </rPr>
      <t>PEMERINTAH DAERAH PROVINSI JAWA BARAT</t>
    </r>
    <r>
      <rPr>
        <rFont val="Arial Narrow"/>
        <color theme="1"/>
        <sz val="10.0"/>
      </rPr>
      <t xml:space="preserve">
</t>
    </r>
    <r>
      <rPr>
        <rFont val="Times New Roman"/>
        <color theme="1"/>
        <sz val="12.0"/>
      </rPr>
      <t xml:space="preserve">DINAS PENDIDIKAN 
</t>
    </r>
    <r>
      <rPr>
        <rFont val="Times New Roman"/>
        <b/>
        <color theme="1"/>
        <sz val="14.0"/>
      </rPr>
      <t xml:space="preserve">SMA  NEGERI 2 CIBINONG
</t>
    </r>
    <r>
      <rPr>
        <rFont val="Times New Roman"/>
        <color theme="1"/>
        <sz val="10.0"/>
      </rPr>
      <t>Jln. Karadenan No. 5 Cibinong Telp/Fax. ( 0251 ) 8654347 Bogor 16913
http://www.sman2cibinong.sch.id    email: info@sman2cibinong.sch.id</t>
    </r>
  </si>
  <si>
    <t>Adhie Bramantyo Faqih - L</t>
  </si>
  <si>
    <t>X1</t>
  </si>
  <si>
    <t>A</t>
  </si>
  <si>
    <t>Almira Dwi Safira - P</t>
  </si>
  <si>
    <t>Alzena Juneeta Talisha Theo - P</t>
  </si>
  <si>
    <t>Arya Aditya Gunawan - L</t>
  </si>
  <si>
    <t>Aryasatia Pradipta - L</t>
  </si>
  <si>
    <t>B</t>
  </si>
  <si>
    <t>Asyifa Diandra Bayu - P</t>
  </si>
  <si>
    <t>Asyifa Maulidia Salsabila - P</t>
  </si>
  <si>
    <t>Aurelia Langit Callysta - P</t>
  </si>
  <si>
    <t>Aurelia Septiani Putri - P</t>
  </si>
  <si>
    <t>Azalia Maheswari Christabel - P</t>
  </si>
  <si>
    <t>Bilqis Anwar Thebe - P</t>
  </si>
  <si>
    <t>Bimo Armani Aulia Putra - L</t>
  </si>
  <si>
    <t>Callysta Tuchi Solin - P</t>
  </si>
  <si>
    <t>Diwangkara Rizki Rabbani - L</t>
  </si>
  <si>
    <t>Dzahra Miftahuljanah - P</t>
  </si>
  <si>
    <t>Fakhri Haikal Alvito Rachmat - L</t>
  </si>
  <si>
    <t>Fathi Azzam Hawwari - L</t>
  </si>
  <si>
    <t>Fatimah Aszahra - P</t>
  </si>
  <si>
    <t>Gwenna Irene Winata - P</t>
  </si>
  <si>
    <t>Jasmine Zahira Ramadhani - P</t>
  </si>
  <si>
    <t>Jesslyn Quinn Gabrielle Sitorus - P</t>
  </si>
  <si>
    <t>Jihan Al Hasya - P</t>
  </si>
  <si>
    <t>Johanes Satria Yudha - L</t>
  </si>
  <si>
    <t>-</t>
  </si>
  <si>
    <t>Kariswan Wahyudi - L</t>
  </si>
  <si>
    <t>Maria Rica Stefany Demu - P</t>
  </si>
  <si>
    <t>Melani Putri Triana - P</t>
  </si>
  <si>
    <t>Michael Mazmur Hatorangan Hutabarat - L</t>
  </si>
  <si>
    <t>Mochamad Nayaka Tuharea - L</t>
  </si>
  <si>
    <t>Muhamad Septian Romadhon - L</t>
  </si>
  <si>
    <t>Muhammad Adrian Gianni Adam - L</t>
  </si>
  <si>
    <t>Muhammad Chaerudin Ramdhani - L</t>
  </si>
  <si>
    <t>Muhammad Fathan Assidiq - L</t>
  </si>
  <si>
    <t>Muhammad Rodzul Amrullah - L</t>
  </si>
  <si>
    <t>Nadya Salwa Altiara - P</t>
  </si>
  <si>
    <t>Nailah Khoirunisa Arsanti - P</t>
  </si>
  <si>
    <t>Novyola Safitri - P</t>
  </si>
  <si>
    <t>Nur Alifah Silvia - P</t>
  </si>
  <si>
    <t>Pungki Yustisia Pertiwi - P</t>
  </si>
  <si>
    <t>Raden Gathan Azaki Soesilo - L</t>
  </si>
  <si>
    <t>Raden Muhammad Rafi Wiranata - L</t>
  </si>
  <si>
    <t>Rayhan Ashabi - L</t>
  </si>
  <si>
    <t>Rayhana Rizkya Al-Multazam - P</t>
  </si>
  <si>
    <t>Riffa Nugraha - L</t>
  </si>
  <si>
    <t>Salsabila Zahwa Mulana - P</t>
  </si>
  <si>
    <t>Shabira Ayatul Husna - P</t>
  </si>
  <si>
    <t>Zavier Lamya Arkanominatha - L</t>
  </si>
  <si>
    <t>Zhafirah Dwi Fauziah - P</t>
  </si>
  <si>
    <t>M. Rizky - L</t>
  </si>
  <si>
    <t>Adinda Syahira Hariyadi - P</t>
  </si>
  <si>
    <t>X2</t>
  </si>
  <si>
    <t>Aira Aulia Putri - P</t>
  </si>
  <si>
    <t>Aisha Faiha Dzakiyah - P</t>
  </si>
  <si>
    <t>Alifa Safa Salsabila - P</t>
  </si>
  <si>
    <t>Alviana Dwie Putery - P</t>
  </si>
  <si>
    <t>Alyya Zahra Kusumadewi - P</t>
  </si>
  <si>
    <t>Ammar Raziq Mahdiya - L</t>
  </si>
  <si>
    <t>Andini Qoriyati Khaerani - P</t>
  </si>
  <si>
    <t>Aqeela Az Zahra - P</t>
  </si>
  <si>
    <t>Arfan Kristian Perlindungan Harefa - L</t>
  </si>
  <si>
    <t>Ashiila Rindu Dwi Laufli - P</t>
  </si>
  <si>
    <t>Atharrayhan Abimanyu Pratama - L</t>
  </si>
  <si>
    <t>Aurelly Diana Zulkarnaen - P</t>
  </si>
  <si>
    <t>Bima Adyatma Ilmiawan - L</t>
  </si>
  <si>
    <t>Cinta Cludia Putri - P</t>
  </si>
  <si>
    <t>Dafsyah Arifa Putra - L</t>
  </si>
  <si>
    <t>Denisa Azka Putri - P</t>
  </si>
  <si>
    <t>Devani Keyla Noris - P</t>
  </si>
  <si>
    <t>Dimas Putra Pribadi - L</t>
  </si>
  <si>
    <t>Elvio Dyahyu Yusanto - L</t>
  </si>
  <si>
    <t>Enisye Putri Zeliawati Limpong - P</t>
  </si>
  <si>
    <t>Fabian Ahza Hidayat - L</t>
  </si>
  <si>
    <t>Fadhilah Raisa Kamilati - P</t>
  </si>
  <si>
    <t>Jasmine Makayla Putri Arvani - P</t>
  </si>
  <si>
    <t>Khalid Ahmad Ghazali - L</t>
  </si>
  <si>
    <t>Khansa Aulia Damtsa Hylmi - P</t>
  </si>
  <si>
    <t>Lionel Boanerges Raffles Simangunsong - L</t>
  </si>
  <si>
    <t>Mardiansyah Isman - L</t>
  </si>
  <si>
    <t>Mohammad Haikal - L</t>
  </si>
  <si>
    <t>Mohammad Irshad Faizanshah - L</t>
  </si>
  <si>
    <t>Muhamad Thoriq Al Rasyad - L</t>
  </si>
  <si>
    <t>Muhammad Akmaluddin - L</t>
  </si>
  <si>
    <t>Muhammad Ariza Rizkya Irvan - L</t>
  </si>
  <si>
    <t>Muhammad Nazam Rizal - L</t>
  </si>
  <si>
    <t>Muhammad Rasyad Mahdawi - L</t>
  </si>
  <si>
    <t>Neng Rahmi Novianti - P</t>
  </si>
  <si>
    <t>Niesha Anindya Firstsaly - P</t>
  </si>
  <si>
    <t>Oryza Angelina Sitohang - P</t>
  </si>
  <si>
    <t>Priscillia Putri Viona - P</t>
  </si>
  <si>
    <t>Qaniah Mardiyah Salsabila - P</t>
  </si>
  <si>
    <t>Raisha Puri Lianti - P</t>
  </si>
  <si>
    <t>Rasya Arkananta Mulya - P</t>
  </si>
  <si>
    <t>Rusvi Putri Ingguan - P</t>
  </si>
  <si>
    <t>Ruth Rafanela Syeby Siregar - P</t>
  </si>
  <si>
    <t>Titania Dwizita Shahla - P</t>
  </si>
  <si>
    <t>Zaidan Riziq Sakha - L</t>
  </si>
  <si>
    <t>Zalikhah Rasikhah Putri - P</t>
  </si>
  <si>
    <t>Abhinaya Zaidan Akbar - L</t>
  </si>
  <si>
    <t>X3</t>
  </si>
  <si>
    <t>Andra Rakadityono - L</t>
  </si>
  <si>
    <t>Anjani Safira Salma - P</t>
  </si>
  <si>
    <t>Ario Bimo Wicaksono - L</t>
  </si>
  <si>
    <t>Arman Firmansyah - L</t>
  </si>
  <si>
    <t>Attaya Putri Faslahi - P</t>
  </si>
  <si>
    <t>Attiyah Naila Adza Alifah - P</t>
  </si>
  <si>
    <t>Aulia Azahra - P</t>
  </si>
  <si>
    <t>Bianca Aurelia Putri Asari - P</t>
  </si>
  <si>
    <t>Bumi Byakta Alfian - L</t>
  </si>
  <si>
    <t>Cheryl Faiha Al-Tair - P</t>
  </si>
  <si>
    <t>Cindy Ramadhani Sinulingga - P</t>
  </si>
  <si>
    <t>Danesh Arrayan Syahreen - L</t>
  </si>
  <si>
    <t>Dhyra Putra Pratama - L</t>
  </si>
  <si>
    <t>Fadya Malikha - P</t>
  </si>
  <si>
    <t>Fajri Pardomuan Pohan - L</t>
  </si>
  <si>
    <t>Farras Putra Zema - L</t>
  </si>
  <si>
    <t>Fathia Amia Rizqi - P</t>
  </si>
  <si>
    <t>Florencia Ivana - P</t>
  </si>
  <si>
    <t>Fricilia Aprilyani Cardoso - P</t>
  </si>
  <si>
    <t>Gerald Samuel Sitanggang - L</t>
  </si>
  <si>
    <t>Jaenal Ikhwan - L</t>
  </si>
  <si>
    <t>Jihan Fauziyyah Latifah - P</t>
  </si>
  <si>
    <t>Kartika Larasati - P</t>
  </si>
  <si>
    <t>Keynia Louis Cristin Harianja - P</t>
  </si>
  <si>
    <t>Khairani Asri Utami - P</t>
  </si>
  <si>
    <t>Khalifi Ramadhan Darmawan Anda - L</t>
  </si>
  <si>
    <t>Lathika Aulia Althafunnisa - P</t>
  </si>
  <si>
    <t>Laura Aubrey Gracia Lubis - P</t>
  </si>
  <si>
    <t>Mandariza Arya Pranata Wijaya - P</t>
  </si>
  <si>
    <t>Muhammad Rizzieq Yusuf Natakusumah - L</t>
  </si>
  <si>
    <t>Muhammad Zuhear Alfan - L</t>
  </si>
  <si>
    <t>Nadhifa Farah Falihah - P</t>
  </si>
  <si>
    <t>Nazwa Savira - P</t>
  </si>
  <si>
    <t>Nourman Raditia Putra - L</t>
  </si>
  <si>
    <t>Nursifa Maulidah - P</t>
  </si>
  <si>
    <t>Pramudhio Sawerigading Ihsan - L</t>
  </si>
  <si>
    <t>Putri Eisya - P</t>
  </si>
  <si>
    <t>Putri Zaqiyah - P</t>
  </si>
  <si>
    <t>Rahma Marissa - P</t>
  </si>
  <si>
    <t>Revan - L</t>
  </si>
  <si>
    <t>Safa Naya Adristi - P</t>
  </si>
  <si>
    <t>Shirane Ghaniyya Ramadhani - P</t>
  </si>
  <si>
    <t>Yasmin Kirani Affifah - P</t>
  </si>
  <si>
    <t>Yasmine Almira Queen - P</t>
  </si>
  <si>
    <t>Ahmad Azmi Mutaarrofi - L</t>
  </si>
  <si>
    <t>X4</t>
  </si>
  <si>
    <t>Ahmad Farely Azriel - L</t>
  </si>
  <si>
    <t>Alfian Chaniago - L</t>
  </si>
  <si>
    <t>Alleandra Kaif Finandita - P</t>
  </si>
  <si>
    <t>Altaira Aqila Myesha Ario - P</t>
  </si>
  <si>
    <t>Amira Najwa Fauziyah - P</t>
  </si>
  <si>
    <t>Aphrodyta Aurelia Avrilla - P</t>
  </si>
  <si>
    <t>Aqueena Putri Salimah - P</t>
  </si>
  <si>
    <t>Chairani Kanza Wulandaputri - P</t>
  </si>
  <si>
    <t>Dhefa Raditya Putra - L</t>
  </si>
  <si>
    <t>Diaz Syeza Zivanna - P</t>
  </si>
  <si>
    <t>Dwi Nailah Azhara - P</t>
  </si>
  <si>
    <t>Erlangga Ardiyanto - L</t>
  </si>
  <si>
    <t>Fahmi Adilla Pasha - L</t>
  </si>
  <si>
    <t>Fakhi Zulfia Bilqis Nasyifa - P</t>
  </si>
  <si>
    <t>Friska Feby Aulia - P</t>
  </si>
  <si>
    <t>Inaya Janeeta - P</t>
  </si>
  <si>
    <t>Karnizara Ringga Rabbani - P</t>
  </si>
  <si>
    <t>Karunia Dwi Rahmawati - P</t>
  </si>
  <si>
    <t>Keisa Wanda Setiawan - P</t>
  </si>
  <si>
    <t>Keyno Nazmi Afham - L</t>
  </si>
  <si>
    <t>Khansa Vanya Laudya Putri - P</t>
  </si>
  <si>
    <t>Lutfi Dwi Melati - P</t>
  </si>
  <si>
    <t>Masayu Ganisha Pembayun Putri - P</t>
  </si>
  <si>
    <t>Mazaya Aqila Betha Diladena - P</t>
  </si>
  <si>
    <t>Muhamad Rizqi Darmawan - L</t>
  </si>
  <si>
    <t>Muhammad Ihsan Putra Pamungkas - L</t>
  </si>
  <si>
    <t>Muhammad Rafi Kurniawan - L</t>
  </si>
  <si>
    <t>Muhammad Sulthon Najib - L</t>
  </si>
  <si>
    <t>Muhammad Zaidan Aqil - L</t>
  </si>
  <si>
    <t>Mutiara Geisya Nuraini - P</t>
  </si>
  <si>
    <t>Priscilia Michelle Pasau - P</t>
  </si>
  <si>
    <t>Puffin Rohis Jusup Manurung - L</t>
  </si>
  <si>
    <t>Quizal Razky Ahmad - L</t>
  </si>
  <si>
    <t>Randy Adiya Pratama Kouw - L</t>
  </si>
  <si>
    <t>Ravino Abbas Subaga - L</t>
  </si>
  <si>
    <t>Rei Dillan Hartedi - L</t>
  </si>
  <si>
    <t>Reni Apriliani - P</t>
  </si>
  <si>
    <t>Rizky Putra Kunta Ajie - L</t>
  </si>
  <si>
    <t>Shabira Andiani - P</t>
  </si>
  <si>
    <t>Shafa Talitha Budiarto - P</t>
  </si>
  <si>
    <t>Shahira Hafiza Putri - P</t>
  </si>
  <si>
    <t>Sheika Rizki Ramadanti Aurelia - P</t>
  </si>
  <si>
    <t>Syahwa Fatmah - P</t>
  </si>
  <si>
    <t>Syakira Alma Annisa - P</t>
  </si>
  <si>
    <t>Tiara Winni Melia - P</t>
  </si>
  <si>
    <t>Achmad Ardiansyah - L</t>
  </si>
  <si>
    <t>X5</t>
  </si>
  <si>
    <t>Adrian Muhammad Fadillah - L</t>
  </si>
  <si>
    <t>Aira Alessia Adha - P</t>
  </si>
  <si>
    <t>Aira Febria Sari - P</t>
  </si>
  <si>
    <t>Al Jadid Syafruddin Lubis - L</t>
  </si>
  <si>
    <t>Alisya Belva Dhio - P</t>
  </si>
  <si>
    <t>Amira Agni Kayla Raisya - P</t>
  </si>
  <si>
    <t>Amirah Khalishah Somoal - P</t>
  </si>
  <si>
    <t>Anas Legawa Riyadi - L</t>
  </si>
  <si>
    <t>Annisa Fitriyani - P</t>
  </si>
  <si>
    <t>Bagaskara Bisma Anoka - L</t>
  </si>
  <si>
    <t>Bilqis Nikita Aylani - P</t>
  </si>
  <si>
    <t>Dilla Novianti Putri - P</t>
  </si>
  <si>
    <t>Dinda Aulia - P</t>
  </si>
  <si>
    <t>Fathimah Septiani Azahra - P</t>
  </si>
  <si>
    <t>Hikmah Septiya - P</t>
  </si>
  <si>
    <t>Hilmi Ardhana Fuady - L</t>
  </si>
  <si>
    <t>Jevelin Ambarep Putri - P</t>
  </si>
  <si>
    <t>Khansa Tabita Aura Sakhi - P</t>
  </si>
  <si>
    <t>Lalitya Namu Wangundahina - P</t>
  </si>
  <si>
    <t>Mahira Aqila Azra - P</t>
  </si>
  <si>
    <t>Muhamad Adri Fachry - L</t>
  </si>
  <si>
    <t>Muhamad Gaza Al-Mahdi - L</t>
  </si>
  <si>
    <t xml:space="preserve">Muhammad Naufal Rhesa Fernando - L </t>
  </si>
  <si>
    <t>Muhammad Raya Al Maghfirah - L</t>
  </si>
  <si>
    <t>Muhammad Tristan Sanjaya - L</t>
  </si>
  <si>
    <t>Muhammad Zaidan Wibowo - L</t>
  </si>
  <si>
    <t>Nabilah Shakeela Kusuma - P</t>
  </si>
  <si>
    <t>Naufal Aditama - L</t>
  </si>
  <si>
    <t>Nayyira Ghania Mehnaz - P</t>
  </si>
  <si>
    <t>Nazwa Nur Rahmah - P</t>
  </si>
  <si>
    <t>Nurul Aulia Ramadhani - P</t>
  </si>
  <si>
    <t>Ohan Marhadi Haryono - L</t>
  </si>
  <si>
    <t>Puthik Ramadani - P</t>
  </si>
  <si>
    <t>Raden Chintya Dewi Maharani - P</t>
  </si>
  <si>
    <t>Raden Ciara Za Syahluna - P</t>
  </si>
  <si>
    <t>Rama Andhika - L</t>
  </si>
  <si>
    <t>Reisha Azzahra Pramesti - P</t>
  </si>
  <si>
    <t>Rheiska Amelia - P</t>
  </si>
  <si>
    <t>Salsabila Kinaya - P</t>
  </si>
  <si>
    <t>Syarafina Nur Alifatuzahro - P</t>
  </si>
  <si>
    <t>Tanty Amelia Al Rasyid - P</t>
  </si>
  <si>
    <t>Teduh Mutiara Hapsari - P</t>
  </si>
  <si>
    <t>Tubagus Mochamad Rizki Fauzan Faris - L</t>
  </si>
  <si>
    <t>Yanza Rizkia Salsabillah - P</t>
  </si>
  <si>
    <t>Achmad Firza Ghibran - L</t>
  </si>
  <si>
    <t>X6</t>
  </si>
  <si>
    <t>Adi Pati Jaya Prana - L</t>
  </si>
  <si>
    <t>Alfany Himma Roudina - P</t>
  </si>
  <si>
    <t>Alisa Putri - P</t>
  </si>
  <si>
    <t>Aqila Noya Faiza - P</t>
  </si>
  <si>
    <t>Bernala Baratama Sirait - P</t>
  </si>
  <si>
    <t>Chempaka Balqist Zavira Mentary Misman - P</t>
  </si>
  <si>
    <t>Defrino Viernadi Laitnis Yusfa - L</t>
  </si>
  <si>
    <t>Dhia Salsabila - P</t>
  </si>
  <si>
    <t>Dinda Dyah Pitaloka - P</t>
  </si>
  <si>
    <t>Dwi Irmawati - P</t>
  </si>
  <si>
    <t>Egi Surjana - L</t>
  </si>
  <si>
    <t>Faiha Raqilla Darmawan - P</t>
  </si>
  <si>
    <t>Fanesya Agfrisfidia - P</t>
  </si>
  <si>
    <t>Fanisa Nurkamila Hamdani - P</t>
  </si>
  <si>
    <t>Farhan Benzema - L</t>
  </si>
  <si>
    <t>Fauzi Castle Satara - L</t>
  </si>
  <si>
    <t>Febri Afriani - P</t>
  </si>
  <si>
    <t>Freja Aira Anindhita - P</t>
  </si>
  <si>
    <t>Hasfa Zulfana Nahdah - P</t>
  </si>
  <si>
    <t>Joceline Sisca Lumongga Manurung - P</t>
  </si>
  <si>
    <t>Keyla Putri Saksono - P</t>
  </si>
  <si>
    <t>Khalisa Silmi Jovita Warsito - P</t>
  </si>
  <si>
    <t>Kharisma Zahra Tiara Putri - P</t>
  </si>
  <si>
    <t>Mawar Aprilliana - P</t>
  </si>
  <si>
    <t>Mentari Dwi Anggraeni - P</t>
  </si>
  <si>
    <t>Muhammad Azzam Ananda Fatahilah - L</t>
  </si>
  <si>
    <t>Muhammad Hafizh Arrantisi - L</t>
  </si>
  <si>
    <t>Muhammad Musyaffa Latief - L</t>
  </si>
  <si>
    <t>Najwa Citra Lestari - P</t>
  </si>
  <si>
    <t>Nayra Putri Sagita - P</t>
  </si>
  <si>
    <t>Queensha Amiradana Putri Hamka - P</t>
  </si>
  <si>
    <t>Quinsha Rizkya Irawan - P</t>
  </si>
  <si>
    <t>Raasyid Zhariif Santoso - L</t>
  </si>
  <si>
    <t>Raditya Rafa Abdillah - L</t>
  </si>
  <si>
    <t>Raynar Abiyu Diera - L</t>
  </si>
  <si>
    <t>Rayyan Wahyu Ramadhan - L</t>
  </si>
  <si>
    <t>Reva Aulia Putri - P</t>
  </si>
  <si>
    <t>Revina Apriza - P</t>
  </si>
  <si>
    <t>Rossy Indriyati - P</t>
  </si>
  <si>
    <t>Salsa Kirana Putri - P</t>
  </si>
  <si>
    <t>Shalomieta Aira Kinaya - P</t>
  </si>
  <si>
    <t>Syahdan Akbar Mara Putra - L</t>
  </si>
  <si>
    <t>Syahla Adzkannisa Vuzela - L</t>
  </si>
  <si>
    <t>Taufik Hidayah - L</t>
  </si>
  <si>
    <t>Adara Luthfia Putri - P</t>
  </si>
  <si>
    <t>X7</t>
  </si>
  <si>
    <t>Ahmad Fahri Hidayat - L</t>
  </si>
  <si>
    <t>Aira Kirana - P</t>
  </si>
  <si>
    <t>Aliya Trianzani Putri - P</t>
  </si>
  <si>
    <t>Alya Silvana Sarifah - P</t>
  </si>
  <si>
    <t>Anindya Estyana Damayanti - P</t>
  </si>
  <si>
    <t>Azri Aditya Amada - L</t>
  </si>
  <si>
    <t>Clara Dwi Cahya - P</t>
  </si>
  <si>
    <t>Clarisa Meidiana - P</t>
  </si>
  <si>
    <t>Daffa Khoirul Fajri - L</t>
  </si>
  <si>
    <t>Dhia Devita Ramadhani - P</t>
  </si>
  <si>
    <t>Diajeng Inggil Lintang Aulia - P</t>
  </si>
  <si>
    <t>Elgiva Damara Sanchia - P</t>
  </si>
  <si>
    <t>Enzo Asido Rama Raditya - L</t>
  </si>
  <si>
    <t>Farhan Abdurrahman Yusuf - L</t>
  </si>
  <si>
    <t>Faris Razwa Sambega - L</t>
  </si>
  <si>
    <t>Ghaniyah Adelia - P</t>
  </si>
  <si>
    <t>Hafizh Mumtaz - L</t>
  </si>
  <si>
    <t>Juan Pirlo Benzema - L</t>
  </si>
  <si>
    <t>Kania Putriana Yaswin - P</t>
  </si>
  <si>
    <t>Kaysa Maharani Sofyan - P</t>
  </si>
  <si>
    <t>Keisya Andhita Kirana Putri - P</t>
  </si>
  <si>
    <t>Livia Vidyadhara - P</t>
  </si>
  <si>
    <t>Manar Abbas Bawazir - P</t>
  </si>
  <si>
    <t>Mohammad Arsa Dafansyah - L</t>
  </si>
  <si>
    <t>Muhamad Yusuf Zarkasi - L</t>
  </si>
  <si>
    <t>Muhammad Arsyal Divo Firmansyah - L</t>
  </si>
  <si>
    <t>Muhammad Danish Fathul Ulum - L</t>
  </si>
  <si>
    <t>Muhammad Fathandra Rizki - L</t>
  </si>
  <si>
    <t>Muhammad Gabriel - L</t>
  </si>
  <si>
    <t>Myiesha Lunar Wisesa Putri - P</t>
  </si>
  <si>
    <t>Nadila Safira - P</t>
  </si>
  <si>
    <t>Naurah Afifah Amaliyah - P</t>
  </si>
  <si>
    <t>Nayla Widya Cakraprawartana - P</t>
  </si>
  <si>
    <t>Nydia Aisyah Allifia - P</t>
  </si>
  <si>
    <t>Raihana Humairah Budianto - P</t>
  </si>
  <si>
    <t>Raisa Putri Rahima - P</t>
  </si>
  <si>
    <t>Rindu Gatari Asmiladi - P</t>
  </si>
  <si>
    <t>Salman Latif Anshari - L</t>
  </si>
  <si>
    <t>Siti Iklima Sakurani - P</t>
  </si>
  <si>
    <t>Sultan Reynard Sabdadika - L</t>
  </si>
  <si>
    <t>Syafiqa Bariq Mahya - P</t>
  </si>
  <si>
    <t>Syahluna Ananta Putri - P</t>
  </si>
  <si>
    <t>Tabah Rafie Abdillah - L</t>
  </si>
  <si>
    <t>Tristan Lovriano Aryasatya - L</t>
  </si>
  <si>
    <t>Zafira Salsa Haniah - P</t>
  </si>
  <si>
    <t>Adelia Niken - P</t>
  </si>
  <si>
    <t>X8</t>
  </si>
  <si>
    <t>Aisyah Agustiani - P</t>
  </si>
  <si>
    <t>Alenka Meisyarofa - P</t>
  </si>
  <si>
    <t>Alifa Taqqiya Zahwa - P</t>
  </si>
  <si>
    <t>Alifah Hasannah - P</t>
  </si>
  <si>
    <t>Andagita Vilnaria Atha - P</t>
  </si>
  <si>
    <t>Ariqah Putri Nasution - P</t>
  </si>
  <si>
    <t>Aulia Cinta Divia - P</t>
  </si>
  <si>
    <t>Aysha Mahira Dewi Tryana - P</t>
  </si>
  <si>
    <t>Belinda Angelica  - P</t>
  </si>
  <si>
    <t>Bima Anggareksa Yusiansyah - L</t>
  </si>
  <si>
    <t>Dela Ananda Putri  - P</t>
  </si>
  <si>
    <t>Dian Noer Savitri  - P</t>
  </si>
  <si>
    <t>Diandra Mentari Fazri  - P</t>
  </si>
  <si>
    <t>Divania Kayla Windu Sabrina - P</t>
  </si>
  <si>
    <t>Dyshan Attaya Haq Triatno - L</t>
  </si>
  <si>
    <t>Farid Pradana - L</t>
  </si>
  <si>
    <t>Fathia Adilla Ramsha - P</t>
  </si>
  <si>
    <t>Gracia Valen Manik - P</t>
  </si>
  <si>
    <t>Kania Wismar Adnyana  - P</t>
  </si>
  <si>
    <t>Kaysan Umar Azka Setiawan - L</t>
  </si>
  <si>
    <t>Luqman Aziz Saputro - L</t>
  </si>
  <si>
    <t>Mirza Maulana Altamis - L</t>
  </si>
  <si>
    <t>Mouris Marcha Adisty - P</t>
  </si>
  <si>
    <t>Muhamad Ilham Akbar - L</t>
  </si>
  <si>
    <t>Muhamad Mustakim - L</t>
  </si>
  <si>
    <t>Muhammad Faiz Fathian - L</t>
  </si>
  <si>
    <t>Muhammad Fariz Nuh - L</t>
  </si>
  <si>
    <t>Muhammad Fawaz Ali - L</t>
  </si>
  <si>
    <t>Muhammad Rafli Ramsha - L</t>
  </si>
  <si>
    <t>Muhammad Yafiargi Simbangando - L</t>
  </si>
  <si>
    <t>Naila Khansa Rahmawati - P</t>
  </si>
  <si>
    <t>Namira Nur Azkia - P</t>
  </si>
  <si>
    <t>Naswa Ramadhani - P</t>
  </si>
  <si>
    <t>Nayla Ulya Taqiyya - P</t>
  </si>
  <si>
    <t>Nazwa Malika Asral - P</t>
  </si>
  <si>
    <t>Ni'Matul Aulia Ningtias - P</t>
  </si>
  <si>
    <t>Nikesha Nashwa Damara - P</t>
  </si>
  <si>
    <t>Quensha Rahayu Kusuma Agora - P</t>
  </si>
  <si>
    <t>Quincha Aura Brilliani - P</t>
  </si>
  <si>
    <t>Raihan Farras Sutisna - L</t>
  </si>
  <si>
    <t>Raka Syabany Amsyah - L</t>
  </si>
  <si>
    <t>Ryzen Gevandra Wirapratama - L</t>
  </si>
  <si>
    <t>Sinta Dwi Nuri Widodo - P</t>
  </si>
  <si>
    <t>Syarifah Nur Salsabila - P</t>
  </si>
  <si>
    <t>Tsamara Privita Sya'Ban Syahdu - P</t>
  </si>
  <si>
    <t>Yuzusie Aida Nenat - L</t>
  </si>
  <si>
    <t>Abyan Zuka Ibrahim Nasution - L</t>
  </si>
  <si>
    <t>X9</t>
  </si>
  <si>
    <t>Ahmad Hafidz Anwar - L</t>
  </si>
  <si>
    <t>Aishanna Latifa Harjono - P</t>
  </si>
  <si>
    <t>Aqila Elmohri - P</t>
  </si>
  <si>
    <t>Aqilla Al-Farabi - P</t>
  </si>
  <si>
    <t>Ariyo Raditya Putra - L</t>
  </si>
  <si>
    <t>Asshafa Nur Intan - P</t>
  </si>
  <si>
    <t>Attar Palestine Taha - L</t>
  </si>
  <si>
    <t>Aufa Khairunnisa - P</t>
  </si>
  <si>
    <t>Balqis Luthfiyah Zahra - P</t>
  </si>
  <si>
    <t>Chayra Putri Dwinata - P</t>
  </si>
  <si>
    <t>Cheryl Anandiora - P</t>
  </si>
  <si>
    <t>Dahayu Nadhilah Syafa - P</t>
  </si>
  <si>
    <t>Elen Vanesyah Wahyudi - P</t>
  </si>
  <si>
    <t>Fitrah Thirafi - L</t>
  </si>
  <si>
    <t>Fitri Rahmawati - P</t>
  </si>
  <si>
    <t>Ghaniah Aqilah - P</t>
  </si>
  <si>
    <t>Hizam Kynan Putra Purwanto - L</t>
  </si>
  <si>
    <t>Ilham Rizki Pratama - L</t>
  </si>
  <si>
    <t>Izaz Izzatul Islam - L</t>
  </si>
  <si>
    <t>Jazila Abid Niyaz Chan Lase - L</t>
  </si>
  <si>
    <t>Jihan Nailatusy Syarafah - P</t>
  </si>
  <si>
    <t>Kanza Olivia Ramadhani - P</t>
  </si>
  <si>
    <t>Kayla Tria Fatarani - P</t>
  </si>
  <si>
    <t>Mahera Raisha Davanita Faizal - P</t>
  </si>
  <si>
    <t>Muhamad Juan Arkhan - L</t>
  </si>
  <si>
    <t>Muhammad Ariel Setiawan - L</t>
  </si>
  <si>
    <t>Muhammad Azka Shahizinda - L</t>
  </si>
  <si>
    <t>Muhammad Daffa Alfarizki - L</t>
  </si>
  <si>
    <t>Muhammad Fadil Ranoval - L</t>
  </si>
  <si>
    <t>Muhammad In'Amul Aufa - L</t>
  </si>
  <si>
    <t>Muhammad Reyhan Alfariky - L</t>
  </si>
  <si>
    <t>Muhammad Sayyid Amjad - L</t>
  </si>
  <si>
    <t>Nararya Hylmi Kenzie - L</t>
  </si>
  <si>
    <t>Nur Azizah - P</t>
  </si>
  <si>
    <t>Qitrie Anisa Khaeri - P</t>
  </si>
  <si>
    <t>Radya Camilla Arinda - P</t>
  </si>
  <si>
    <t>Rahardian Muhamad Abisiena Koeswara - L</t>
  </si>
  <si>
    <t>Raihana Syafiqah Andyni - P</t>
  </si>
  <si>
    <t>Rassya Faiq Hibatullah - P</t>
  </si>
  <si>
    <t>Reynaldi - L</t>
  </si>
  <si>
    <t>Sekar Raynaningrum - P</t>
  </si>
  <si>
    <t>Syahla Nurul Arisma - P</t>
  </si>
  <si>
    <t>Syauqi Anandya Putri - P</t>
  </si>
  <si>
    <t>Tayya Dzulhijjah Mokodompit - P</t>
  </si>
  <si>
    <t>Abdul Ghofar - L</t>
  </si>
  <si>
    <t>X10</t>
  </si>
  <si>
    <t>Aditya Bayu Sutanto - L</t>
  </si>
  <si>
    <t>Affy Kaew Ni'Mitr Alhanafi - L</t>
  </si>
  <si>
    <t>Ahmad Husein Al Latief - L</t>
  </si>
  <si>
    <t>Akram Mubarak - L</t>
  </si>
  <si>
    <t>Alfi Amalia - P</t>
  </si>
  <si>
    <t>Amelia Nur Zahra - P</t>
  </si>
  <si>
    <t>Ananda Bari Al Kausar - L</t>
  </si>
  <si>
    <t>Ataya Arkan Ramadhan - L</t>
  </si>
  <si>
    <t>Athaya Muhammad Daffa - L</t>
  </si>
  <si>
    <t>Aura Nabilah Zahirah - P</t>
  </si>
  <si>
    <t>Aurora Putri Samudra Dwiko - P</t>
  </si>
  <si>
    <t>Belva Thalita Ramadhena - P</t>
  </si>
  <si>
    <t>Bintang Mahardika Abhyoso Ardy - L</t>
  </si>
  <si>
    <t>Claudia Dominique Gabriella Torus - P</t>
  </si>
  <si>
    <t>Dinara Savina - P</t>
  </si>
  <si>
    <t>Dinda Syifa Rahmayanti - P</t>
  </si>
  <si>
    <t>Dindin Andini Suryaman - P</t>
  </si>
  <si>
    <t>Gita Tazkiyatunnisa - P</t>
  </si>
  <si>
    <t>Haifa Aysha Zahira - P</t>
  </si>
  <si>
    <t>Intan Dwi Novianingrum - P</t>
  </si>
  <si>
    <t>Isnaini Fauziyah Utomo - P</t>
  </si>
  <si>
    <t>Jeremia Geraldo Siregar - L</t>
  </si>
  <si>
    <t>Jerry Dwi Cahyono Putro - L</t>
  </si>
  <si>
    <t>Jovan Khayru Affandi - L</t>
  </si>
  <si>
    <t>Kayla Althafunnisa Arrasyid - P</t>
  </si>
  <si>
    <t>Keyla Ananda Safitri - P</t>
  </si>
  <si>
    <t>Khanza Aprillia Risyadi - P</t>
  </si>
  <si>
    <t>Maroen Al-Fatih Ibrahimessi - L</t>
  </si>
  <si>
    <t>Muhamad Raihan Rizqullah - L</t>
  </si>
  <si>
    <t>Muhammad Akhtar Arkana Ramadhan - L</t>
  </si>
  <si>
    <t>Muhammad Tsafiq Ihsan - L</t>
  </si>
  <si>
    <t>Naqeesyaa Dhanova Al Adzra - P</t>
  </si>
  <si>
    <t>Naufal Arzharel Ibrahimovic - L</t>
  </si>
  <si>
    <t>Naura Luvenavita Krisdianto - P</t>
  </si>
  <si>
    <t>Nava Marietta Siahaan - P</t>
  </si>
  <si>
    <t>Queensha Anindya Azka - P</t>
  </si>
  <si>
    <t>Rafael Anhar Armando - L</t>
  </si>
  <si>
    <t>Rahmania Azahra - P</t>
  </si>
  <si>
    <t>Raivan Elang Pramono - L</t>
  </si>
  <si>
    <t>Rizqiyanah Qaysarania Herawan - P</t>
  </si>
  <si>
    <t>Salsha Aulia Akbar - P</t>
  </si>
  <si>
    <t>Sashikirana Luvena Maheswari - P</t>
  </si>
  <si>
    <t>Silvya Sri Aprilianti - P</t>
  </si>
  <si>
    <t>Syaakhira Fauziah - P</t>
  </si>
  <si>
    <t>Vincentius Daniel Ornando - L</t>
  </si>
  <si>
    <t>Adinda Garnetha Prasistha - P</t>
  </si>
  <si>
    <t>X11</t>
  </si>
  <si>
    <t>Ajeng Adisty Fahira - P</t>
  </si>
  <si>
    <t>Al Fathdry Rizky Wibowo - L</t>
  </si>
  <si>
    <t>Almira Aprilia Putri - P</t>
  </si>
  <si>
    <t>Anndita - P</t>
  </si>
  <si>
    <t>Askana Nailazahran Hermansyah - P</t>
  </si>
  <si>
    <t>Aulia Intan Rhamadhani - P</t>
  </si>
  <si>
    <t>Avrillino Herza Pratama - L</t>
  </si>
  <si>
    <t>Aziz Sakhi Zaidan - L</t>
  </si>
  <si>
    <t>Azka Ivano Ananda Hidayat - P</t>
  </si>
  <si>
    <t>Azkiara Andhita - P</t>
  </si>
  <si>
    <t>Azzalea Sakinah Ayura Putri - P</t>
  </si>
  <si>
    <t>Balqis Jauza Sabreenijka - P</t>
  </si>
  <si>
    <t>Carissa Alia Andinaputri - P</t>
  </si>
  <si>
    <t>Chntya Serlin Armedta Hia - P</t>
  </si>
  <si>
    <t>Evan Diaz - L</t>
  </si>
  <si>
    <t>Fannan Hoseki Fayyaz - P</t>
  </si>
  <si>
    <t>Galuh Pria Esa - L</t>
  </si>
  <si>
    <t>Henokh Prada Dhanendra Prasada - P</t>
  </si>
  <si>
    <t>Jazirah Rahmah - P</t>
  </si>
  <si>
    <t>Kaira Fatiya Nurfan - P</t>
  </si>
  <si>
    <t>Linggara Anugrah - L</t>
  </si>
  <si>
    <t>Luna Majidah Zafira - P</t>
  </si>
  <si>
    <t>Lutfiana Silva - P</t>
  </si>
  <si>
    <t>Mazaya Marva Mardyanti - P</t>
  </si>
  <si>
    <t>Misykah Adzra Maulida - P</t>
  </si>
  <si>
    <t>Muhamad Reyhan Nurhakim - L</t>
  </si>
  <si>
    <t>Muhammad Evan Fadillah - L</t>
  </si>
  <si>
    <t>Muhammad Fahry Tyandra - L</t>
  </si>
  <si>
    <t>Muhammad Ieddzar Haradiya - L</t>
  </si>
  <si>
    <t>Muhammad Revan Adi Saputra - L</t>
  </si>
  <si>
    <t>Muhammad Zaky Winata - L</t>
  </si>
  <si>
    <t>Nadhifa Amelia Garjita - P</t>
  </si>
  <si>
    <t>Nadia Delisa Saefani - P</t>
  </si>
  <si>
    <t>Neysha Aurelya Azzahra - P</t>
  </si>
  <si>
    <t>Rafa Farand Pratama - L</t>
  </si>
  <si>
    <t>Rendy Gilang Novianto - L</t>
  </si>
  <si>
    <t>Ruvita Rinjani - P</t>
  </si>
  <si>
    <t>Salmaa Saalimah Wibowo - P</t>
  </si>
  <si>
    <t>Salsabil Mulki - P</t>
  </si>
  <si>
    <t>Shaquille Putra Yudira - P</t>
  </si>
  <si>
    <t>Siva Muliyanti - P</t>
  </si>
  <si>
    <t>Tiara Zenobia Nafisa - P</t>
  </si>
  <si>
    <t>Vilvizeeya Hazira Kurnia - P</t>
  </si>
  <si>
    <t>Weny Meylieneke Sianipar - P</t>
  </si>
  <si>
    <t>Yoanne Mulin Averina - P</t>
  </si>
  <si>
    <t>Zaki Arya Wicaksono - L</t>
  </si>
  <si>
    <t>Zelda Hanifah Zaneta - P</t>
  </si>
  <si>
    <t>Afgan Prima Rizkia Iskandar - L</t>
  </si>
  <si>
    <t>X12</t>
  </si>
  <si>
    <t>Aik Novitasari - P</t>
  </si>
  <si>
    <t>Aisyah Aqilah Agni - P</t>
  </si>
  <si>
    <t>Aisyah Hanifa Redana - P</t>
  </si>
  <si>
    <t>Allya Luthfiah Putri - P</t>
  </si>
  <si>
    <t>Annisa Salsabilla - P</t>
  </si>
  <si>
    <t>Arsyad Khaerul Izzan - L</t>
  </si>
  <si>
    <t>Aruni Khalila Ayu - P</t>
  </si>
  <si>
    <t>Avemarianne Ninetrie Septiane - P</t>
  </si>
  <si>
    <t>Ayi Artadinata - P</t>
  </si>
  <si>
    <t>Ayra Jauzaa Viranda - P</t>
  </si>
  <si>
    <t>Bintang Jati Pratama - L</t>
  </si>
  <si>
    <t>Daffa Hafizh Firdausi - L</t>
  </si>
  <si>
    <t>Damara Dasha Bahi Utomo - L</t>
  </si>
  <si>
    <t>Deana Azalea Belva - P</t>
  </si>
  <si>
    <t>Delfa Maharani - P</t>
  </si>
  <si>
    <t>Fauza Nur Aziema - P</t>
  </si>
  <si>
    <t>Gefira Azizatul Hasanah - P</t>
  </si>
  <si>
    <t>Keisha Nurazizah - P</t>
  </si>
  <si>
    <t>Kenzie Dzakwan Ibrahim - L</t>
  </si>
  <si>
    <t>Kesyha Ramadhani - P</t>
  </si>
  <si>
    <t>Kevin Septian Ramadhan - L</t>
  </si>
  <si>
    <t>Madina Zulfa Aini - P</t>
  </si>
  <si>
    <t>Maheswara Pekik Hanuraga - L</t>
  </si>
  <si>
    <t>Maria Agatha Cherlin Christiani - P</t>
  </si>
  <si>
    <t>Maulida Ainnurahma - P</t>
  </si>
  <si>
    <t>Muhamad Subkhi - L</t>
  </si>
  <si>
    <t>Muhammad Armanugie Saputra - L</t>
  </si>
  <si>
    <t>Muhammad Javier - L</t>
  </si>
  <si>
    <t>Muhammad Zahran Rifai - L</t>
  </si>
  <si>
    <t>Nadhifa Qeysa Auliani Soehardi - P</t>
  </si>
  <si>
    <t>Naila - P</t>
  </si>
  <si>
    <t>Natiq Tawqir Muniruzzaman Anandamaya - L</t>
  </si>
  <si>
    <t>Naureen Shabiha Zahira - P</t>
  </si>
  <si>
    <t>Nayla Lyra Sagita - P</t>
  </si>
  <si>
    <t>Naywa Dinda Kansana Lubis - P</t>
  </si>
  <si>
    <t>Ni Putu Anjani Dewi Diningrat - P</t>
  </si>
  <si>
    <t>Olivia Desvita Sari - P</t>
  </si>
  <si>
    <t>R.A.M. Fakhri Izzuddin Mashur - L</t>
  </si>
  <si>
    <t>Radinka Alano Hamizan Abqari - L</t>
  </si>
  <si>
    <t>Rifqah Ramadhani - P</t>
  </si>
  <si>
    <t>Roshan Aidan Juro Aprianto - L</t>
  </si>
  <si>
    <t>Ruba Aqeela Hafizha Mecca - P</t>
  </si>
  <si>
    <t>Sajna Jerrusalem Kharima Sugeng Putri - P</t>
  </si>
  <si>
    <t>Shahrazad Aulia Handyanto - P</t>
  </si>
  <si>
    <t>Syahla Salsabila Ramdani - P</t>
  </si>
  <si>
    <t>Velicya Arnelita Zahra Suryana - P</t>
  </si>
  <si>
    <t>Zalfa Rizqia Nur Nadhifa - P</t>
  </si>
  <si>
    <t xml:space="preserve"> </t>
  </si>
  <si>
    <t>KELAS  XI A-1</t>
  </si>
  <si>
    <t>Wali Kelas :  Dwi Rokhmiatun, S.Pd</t>
  </si>
  <si>
    <t>No</t>
  </si>
  <si>
    <t>NISN</t>
  </si>
  <si>
    <t>NIS</t>
  </si>
  <si>
    <t>Nama</t>
  </si>
  <si>
    <t>Agil Umar</t>
  </si>
  <si>
    <t>Ahmad Riyad Sugiarto</t>
  </si>
  <si>
    <t>Alifah Khairani Sawaludin</t>
  </si>
  <si>
    <t>Almira Tungga Dewi</t>
  </si>
  <si>
    <t>Aulya Mawal Juniar</t>
  </si>
  <si>
    <t>Bagaskara Arya Perkasa</t>
  </si>
  <si>
    <t>Chiara Nanda Setiyo Fazria</t>
  </si>
  <si>
    <t>Devin Anandya Syuja</t>
  </si>
  <si>
    <t>Diaz Pradana Putra</t>
  </si>
  <si>
    <t>Disha Ramanda Putra</t>
  </si>
  <si>
    <t>Donita Aulia Ramadhani</t>
  </si>
  <si>
    <t>Evania Sarah Ilmira</t>
  </si>
  <si>
    <t>Hanan Dzul Hilmi</t>
  </si>
  <si>
    <t>Irsyad Abrian Al-Warid</t>
  </si>
  <si>
    <t>Kamiila Putri Khairunnisa</t>
  </si>
  <si>
    <t>Keisha Edsel Darmawan</t>
  </si>
  <si>
    <t>Keisha Juan</t>
  </si>
  <si>
    <t>Khansa Makaila Kayyasah</t>
  </si>
  <si>
    <t>Kirana Aura Azzahra Permana</t>
  </si>
  <si>
    <t>Kirani Aira Salsabila Permana</t>
  </si>
  <si>
    <t>Kireina Zahra Yasmaini</t>
  </si>
  <si>
    <t>Muhammad Dzaky</t>
  </si>
  <si>
    <t>Muhammad Zaki Arrahman</t>
  </si>
  <si>
    <t>Nailatul Ullya</t>
  </si>
  <si>
    <t>Qatrun Nada Tannaqi</t>
  </si>
  <si>
    <t>Queensha Anjani Sudrajat</t>
  </si>
  <si>
    <t>Raihanna Zahra Aqilah</t>
  </si>
  <si>
    <t>Rania Salsabila</t>
  </si>
  <si>
    <t>Syahrena Pita Pinasih</t>
  </si>
  <si>
    <t>Tristan Muhammad Jibril</t>
  </si>
  <si>
    <t>Valeta Febiola Irmadani</t>
  </si>
  <si>
    <t>Winda Maharani</t>
  </si>
  <si>
    <t>Wintang Hikmah Kusuma Dewi</t>
  </si>
  <si>
    <t>Zaskia Aulia Putri</t>
  </si>
  <si>
    <t>Zhalida Daumixy Mora Siregar</t>
  </si>
  <si>
    <t>Zulfa Laila Mashurah</t>
  </si>
  <si>
    <t>KELAS  XI A-2</t>
  </si>
  <si>
    <t>Wali Kelas : Ichsan, S.Pd</t>
  </si>
  <si>
    <t>Adinda Khayla</t>
  </si>
  <si>
    <t>Aditya Narayan</t>
  </si>
  <si>
    <t>Aisyah Syuja Larasati Sigit</t>
  </si>
  <si>
    <t>Alma Destianti</t>
  </si>
  <si>
    <t>Alya Mukhbita Hendriana</t>
  </si>
  <si>
    <t>Anindita Naranisa Jati</t>
  </si>
  <si>
    <t>Annisa Nur Fajriya</t>
  </si>
  <si>
    <t>Atma Pertiwi</t>
  </si>
  <si>
    <t>Deivar Brimantara</t>
  </si>
  <si>
    <t>Dzakia Fitri</t>
  </si>
  <si>
    <t>Fadhilah Dwi Sabrina Nugrahaning Putri</t>
  </si>
  <si>
    <t>Fellysia Oktafia Fernanda</t>
  </si>
  <si>
    <t>Fiquita Napu</t>
  </si>
  <si>
    <t>Glenn Hubert Jonathan Haholongan Simanungkalit</t>
  </si>
  <si>
    <t>Hanif Aulia Rifqy</t>
  </si>
  <si>
    <t>Haykal Wisnu Bayu Wiemanji</t>
  </si>
  <si>
    <t>Maulida Az Zahra Nurrayani</t>
  </si>
  <si>
    <t>Moehamad Putra Aulia</t>
  </si>
  <si>
    <t>Muhammad Fariz Duta Ehsan</t>
  </si>
  <si>
    <t>Muhammad Rizki Salim</t>
  </si>
  <si>
    <t>Muthia Jasmine Muthma Innah</t>
  </si>
  <si>
    <t>Ni Made Nazela</t>
  </si>
  <si>
    <t>Niken Zahrothul Sita</t>
  </si>
  <si>
    <t>Nurafni Maisa</t>
  </si>
  <si>
    <t>Nurisya Aulia Shabiira</t>
  </si>
  <si>
    <t>Rachmat Saidi Koes Mulyana</t>
  </si>
  <si>
    <t>Raissa Zahra Hidayat</t>
  </si>
  <si>
    <t>Rizieq Zidan Rizal</t>
  </si>
  <si>
    <t>Rizka Rana Naila</t>
  </si>
  <si>
    <t>Salsabila Maulani</t>
  </si>
  <si>
    <t>Santika Febyanti</t>
  </si>
  <si>
    <t>Savira Oktavia Prasetyo</t>
  </si>
  <si>
    <t>Syadien Kamillia Agustin</t>
  </si>
  <si>
    <t>Syaikhah Anbar</t>
  </si>
  <si>
    <t>Tumpal David Hotbonardo Napitupulu</t>
  </si>
  <si>
    <t>Wanda Zhafirah</t>
  </si>
  <si>
    <t>KELAS  XI B-1</t>
  </si>
  <si>
    <t>Wali Kelas : Ilmia Fatinah, S.Pd, M.Pd</t>
  </si>
  <si>
    <t>L/P</t>
  </si>
  <si>
    <t>Ahmad Humam Rifqi</t>
  </si>
  <si>
    <t>Allayda Cindy Addrian</t>
  </si>
  <si>
    <t>Anandio Alfathir Suherman</t>
  </si>
  <si>
    <t>Aura Humaira Putri Gunawan</t>
  </si>
  <si>
    <t>Dinda Syafana Alfatiha .N .R .K</t>
  </si>
  <si>
    <t>Elizabeth Fransiska Siregar</t>
  </si>
  <si>
    <t>Fariha Tiara Jinaani</t>
  </si>
  <si>
    <t>Juan Tri Alexandro Immanuel</t>
  </si>
  <si>
    <t>Karimah Bassam Faris Sawaftah</t>
  </si>
  <si>
    <t>Kayla Rahmah Mumtazah</t>
  </si>
  <si>
    <t>Kesya Rashan Syilbiyy Firdaus</t>
  </si>
  <si>
    <t>Kezia Feodora Simarnala Ciberro</t>
  </si>
  <si>
    <t>Lina Amelia Dwi Anjani</t>
  </si>
  <si>
    <t>Luviyani</t>
  </si>
  <si>
    <t>Malika Nurzahira</t>
  </si>
  <si>
    <t>Maysa Khumaira</t>
  </si>
  <si>
    <t>Mazaya Kamilah Manik</t>
  </si>
  <si>
    <t>Meydina Khaliilah Bramantya</t>
  </si>
  <si>
    <t>Meysa Yosi Salsabila</t>
  </si>
  <si>
    <t>Muhamad Riski Aditiya</t>
  </si>
  <si>
    <t>Muhammad Shafa</t>
  </si>
  <si>
    <t>Nadian Putri Syafina</t>
  </si>
  <si>
    <t>Nayshila Dhiya Adzkia</t>
  </si>
  <si>
    <t>Nazhera Irba Iwel</t>
  </si>
  <si>
    <t>Piona Abigail Zamar Sinaga</t>
  </si>
  <si>
    <t>Quintania Aura Putri</t>
  </si>
  <si>
    <t>Rania Salsabilla</t>
  </si>
  <si>
    <t>Rhaditia Fajar Kasyahvani</t>
  </si>
  <si>
    <t>Samy Abdurrahman Romdhony</t>
  </si>
  <si>
    <t>Sanlia Moranda Br Silaban</t>
  </si>
  <si>
    <t>Syifa Aprilia</t>
  </si>
  <si>
    <t>Valentino Azka Febrian Putra</t>
  </si>
  <si>
    <t>Vinny Vionita</t>
  </si>
  <si>
    <t>Viola Anindita Kurniawan</t>
  </si>
  <si>
    <t>Yasmin Diva Nurfiqra</t>
  </si>
  <si>
    <t>Zahisa Raudhatul Jannah</t>
  </si>
  <si>
    <t>KELAS  XI B-2</t>
  </si>
  <si>
    <t>Wali Kelas : Dijah Noeringtyas, M.Pd</t>
  </si>
  <si>
    <t>0091989218 / 242510017</t>
  </si>
  <si>
    <t>Aisyah Nur Izzah</t>
  </si>
  <si>
    <t>0087766031 / 252611568</t>
  </si>
  <si>
    <t>Alexandria Prameswari Prawira</t>
  </si>
  <si>
    <t>0098715904 / 242510023</t>
  </si>
  <si>
    <t>Alexia Luigi Lian</t>
  </si>
  <si>
    <t>0081501338 / 242510042</t>
  </si>
  <si>
    <t>Andi Almaghfira Shabila Sawerigading</t>
  </si>
  <si>
    <t>0085534034 / 242510086</t>
  </si>
  <si>
    <t>Bintang Alif Putra Satriya</t>
  </si>
  <si>
    <t>0084745418 / 242510091</t>
  </si>
  <si>
    <t>Chaerani Yulianti</t>
  </si>
  <si>
    <t>0095136014 / 242510102</t>
  </si>
  <si>
    <t>Davina Mutiara Arfi</t>
  </si>
  <si>
    <t>0098889247 / 242510133</t>
  </si>
  <si>
    <t>Faiza Zalfa Nadifa</t>
  </si>
  <si>
    <t>0094252138 / 242510134</t>
  </si>
  <si>
    <t>Fajra Aniq Khalisha</t>
  </si>
  <si>
    <t>0086688060 / 242510135</t>
  </si>
  <si>
    <t>Faliqa Haq Hasanah</t>
  </si>
  <si>
    <t>0092223653 / 242510142</t>
  </si>
  <si>
    <t>Feyza Alya Mukhbita</t>
  </si>
  <si>
    <t>0085278931 / 242510165</t>
  </si>
  <si>
    <t>Hilma Sandria</t>
  </si>
  <si>
    <t>0084614966 / 242510167</t>
  </si>
  <si>
    <t>Hinezta Nailah Sanmaghfirah</t>
  </si>
  <si>
    <t>0097408336 / 242510169</t>
  </si>
  <si>
    <t>Ilma Nur Agnia</t>
  </si>
  <si>
    <t>3094028221 / 242510171</t>
  </si>
  <si>
    <t>Intan Tania</t>
  </si>
  <si>
    <t>0094995394 / 242510176</t>
  </si>
  <si>
    <t>Januar Obed Holand Sitopu</t>
  </si>
  <si>
    <t>0081936585 / 242510185</t>
  </si>
  <si>
    <t>Kayla Dhea Nurma Fauziah</t>
  </si>
  <si>
    <t>0098191015 / 242510191</t>
  </si>
  <si>
    <t>Kesya Ardelia Kusuma</t>
  </si>
  <si>
    <t>0094057771 / 242510199</t>
  </si>
  <si>
    <t>Khairunnisa Rahadatul Aisy</t>
  </si>
  <si>
    <t>0095872117 / 242510207</t>
  </si>
  <si>
    <t>Kirana Nur'Aini</t>
  </si>
  <si>
    <t>0098268916 / 242510239</t>
  </si>
  <si>
    <t>Mohammed Alvaro Fauzan Purnomo</t>
  </si>
  <si>
    <t>0086508497 / 242510241</t>
  </si>
  <si>
    <t>Muhamad Daffa Sugianto</t>
  </si>
  <si>
    <t>0091626296 / 242510254</t>
  </si>
  <si>
    <t>Muhammad Daffa Khairy Mufid</t>
  </si>
  <si>
    <t>3092559431 / 242510282</t>
  </si>
  <si>
    <t>Musyaffa Nureshan Pahlevi</t>
  </si>
  <si>
    <t>0083634869 / 242510301</t>
  </si>
  <si>
    <t>Nazwa Mufida</t>
  </si>
  <si>
    <t>0091257095 / 242510312</t>
  </si>
  <si>
    <t>Oshe Bilqis Nadhifah</t>
  </si>
  <si>
    <t>0093570911 / 242510321</t>
  </si>
  <si>
    <t>Putri Khaila Azzahra</t>
  </si>
  <si>
    <t>0099524653 / 242510324</t>
  </si>
  <si>
    <t>Queen Aqila Althafunnisa</t>
  </si>
  <si>
    <t>0096689975 / 242510341</t>
  </si>
  <si>
    <t>Ramaditya Tangguh Alfian</t>
  </si>
  <si>
    <t>0087172262 / 242510346</t>
  </si>
  <si>
    <t>Raya Fitri Anjaini</t>
  </si>
  <si>
    <t>0089992734 / 242510348</t>
  </si>
  <si>
    <t>Revalia Sabrina Safa</t>
  </si>
  <si>
    <t>0094272879 / 242510349</t>
  </si>
  <si>
    <t>Reyhan Saputra</t>
  </si>
  <si>
    <t>0094686903 / 242510362</t>
  </si>
  <si>
    <t>Safa Adalia</t>
  </si>
  <si>
    <t>0096820534 / 242510382</t>
  </si>
  <si>
    <t>Sheryn Valentia</t>
  </si>
  <si>
    <t>0091356987 / 242510392</t>
  </si>
  <si>
    <t>Syakira</t>
  </si>
  <si>
    <t>0084616257 / 242510420</t>
  </si>
  <si>
    <t>Zahara Romadhona</t>
  </si>
  <si>
    <t>KELAS  XI C</t>
  </si>
  <si>
    <t>Wali Kelas : Teguh Satya Pratama, S.Pd</t>
  </si>
  <si>
    <t>0097029152 / 242510001</t>
  </si>
  <si>
    <t>Abdurrahman Syauqi</t>
  </si>
  <si>
    <t>0096738562 / 242510014</t>
  </si>
  <si>
    <t>Aira Eva Fajarina</t>
  </si>
  <si>
    <t>0099375029 / 242510019</t>
  </si>
  <si>
    <t>Akram Dika Setiawan</t>
  </si>
  <si>
    <t>0085348468 / 242510024</t>
  </si>
  <si>
    <t>Al-Habi Syehar Irawan</t>
  </si>
  <si>
    <t>0095154966 / 242510036</t>
  </si>
  <si>
    <t>Alya Atifa Edfiyanti</t>
  </si>
  <si>
    <t>0096990480 / 242510044</t>
  </si>
  <si>
    <t>Andrea Kaira Nezza</t>
  </si>
  <si>
    <t>0081271561 / 242510054</t>
  </si>
  <si>
    <t>Ardhito Himawan Dwantara</t>
  </si>
  <si>
    <t>0099561898 / 242510071</t>
  </si>
  <si>
    <t>Aureli Valency Achiles</t>
  </si>
  <si>
    <t>0091681862 / 242510088</t>
  </si>
  <si>
    <t>Caesy Aprilia Bausir</t>
  </si>
  <si>
    <t>0098451979 / 242510161</t>
  </si>
  <si>
    <t>Hasna Azmalea Radhina Santosa</t>
  </si>
  <si>
    <t>0084845522 / 242510200</t>
  </si>
  <si>
    <t>Khalista Bisi Elmyra</t>
  </si>
  <si>
    <t>0083434779 / 252611571</t>
  </si>
  <si>
    <t>Khansa Nadya Rahman</t>
  </si>
  <si>
    <t>0094551974 / 242510212</t>
  </si>
  <si>
    <t>Lexa El Sohbia</t>
  </si>
  <si>
    <t>0081855086 / 242510220</t>
  </si>
  <si>
    <t>Madina Silvana Dewi</t>
  </si>
  <si>
    <t>0083951567 / 242510221</t>
  </si>
  <si>
    <t>Mala Nirmala</t>
  </si>
  <si>
    <t>0093504759 / 242510251</t>
  </si>
  <si>
    <t>Muhammad Aqila Zhafran Khair</t>
  </si>
  <si>
    <t>0086270372 / 242510271</t>
  </si>
  <si>
    <t>Muhammad Noval Irfandi</t>
  </si>
  <si>
    <t>0096643467 / 242510272</t>
  </si>
  <si>
    <t>Muhammad Rayza Ijudin</t>
  </si>
  <si>
    <t>0091089933 / 242510284</t>
  </si>
  <si>
    <t>Nabilah Khoirunnisaa</t>
  </si>
  <si>
    <t>0096304188 / 242510289</t>
  </si>
  <si>
    <t>Nadya Putri</t>
  </si>
  <si>
    <t>0097295872 / 242510292</t>
  </si>
  <si>
    <t>Nasywa Neno Fauziah</t>
  </si>
  <si>
    <t>0096224183 / 242510299</t>
  </si>
  <si>
    <t>Nazira Meisa</t>
  </si>
  <si>
    <t>0083048491 / 242510303</t>
  </si>
  <si>
    <t>Ni Kadek Masayu Savitar Handayani</t>
  </si>
  <si>
    <t>0094414485 / 242510315</t>
  </si>
  <si>
    <t>Prita Seliana</t>
  </si>
  <si>
    <t>0095501589 / 242510318</t>
  </si>
  <si>
    <t>Putri Allysia Yusup</t>
  </si>
  <si>
    <t>0093298242 / 242510319</t>
  </si>
  <si>
    <t>Putri Dita Apriliya</t>
  </si>
  <si>
    <t>0093266742 / 242510320</t>
  </si>
  <si>
    <t>Putri Keysha M. C</t>
  </si>
  <si>
    <t>0092205557 / 242510345</t>
  </si>
  <si>
    <t>Ray Anita Natasya</t>
  </si>
  <si>
    <t>0073027831 / 242510356</t>
  </si>
  <si>
    <t>Rizki Maulana Fadillah</t>
  </si>
  <si>
    <t>0091228007 / 242510363</t>
  </si>
  <si>
    <t>Sakila Nasution</t>
  </si>
  <si>
    <t>0089954401 / 242510367</t>
  </si>
  <si>
    <t>Salsabila Putri</t>
  </si>
  <si>
    <t>0089191714 / 242510372</t>
  </si>
  <si>
    <t>Sandria Salsalina Sembiring Kembaren</t>
  </si>
  <si>
    <t>0095117423 / 242510380</t>
  </si>
  <si>
    <t>Shanaz Mufida</t>
  </si>
  <si>
    <t>0088535031 / 242510391</t>
  </si>
  <si>
    <t>Syaira Fakhrudina Putri</t>
  </si>
  <si>
    <t>0087500688 / 242510399</t>
  </si>
  <si>
    <t>Tegar Hermawan Anggoro</t>
  </si>
  <si>
    <t>0092434039 / 242510410</t>
  </si>
  <si>
    <t>Vira Aprilia Putri</t>
  </si>
  <si>
    <t>KELAS  XI D-1</t>
  </si>
  <si>
    <t>Wali Kelas : Dra. Kristiana K, M.Pd</t>
  </si>
  <si>
    <t>0098762657 / 242510048</t>
  </si>
  <si>
    <t>Anindya Zhafira Sani</t>
  </si>
  <si>
    <t>0089202112 / 242510055</t>
  </si>
  <si>
    <t>Ariij Arriyad</t>
  </si>
  <si>
    <t>0088260272 / 242510056</t>
  </si>
  <si>
    <t>Arinda Khalisha Pambudi</t>
  </si>
  <si>
    <t>0097111779 / 242510058</t>
  </si>
  <si>
    <t>Arya Muhammad Raihan</t>
  </si>
  <si>
    <t>0093831279 / 242510066</t>
  </si>
  <si>
    <t>Aulia Erlin Mummaizah</t>
  </si>
  <si>
    <t>0096065165 / 242510072</t>
  </si>
  <si>
    <t>Aurelia Syifa Fiandra</t>
  </si>
  <si>
    <t>0099851224 / 242510085</t>
  </si>
  <si>
    <t>Bilqist Ayu Wulandari</t>
  </si>
  <si>
    <t>0092348709 / 242510096</t>
  </si>
  <si>
    <t>Cintia Zahfirah Asyiah Siregar</t>
  </si>
  <si>
    <t>0099087317 / 242510099</t>
  </si>
  <si>
    <t>Dania Anindita Tunggadewi</t>
  </si>
  <si>
    <t>0098666843 / 242510101</t>
  </si>
  <si>
    <t>Danisy Nahdhan Pratama</t>
  </si>
  <si>
    <t>0087242368 / 242510112</t>
  </si>
  <si>
    <t>Dicky Maulana</t>
  </si>
  <si>
    <t>0087777223 / 242510130</t>
  </si>
  <si>
    <t>Faida Annaila Zahra</t>
  </si>
  <si>
    <t>0096321568 / 242510148</t>
  </si>
  <si>
    <t>Gan Muhammad Rizky</t>
  </si>
  <si>
    <t>0084693493 / 242510158</t>
  </si>
  <si>
    <t>Haidar Al Fathin</t>
  </si>
  <si>
    <t>0088791024 / 242510172</t>
  </si>
  <si>
    <t>Intan Zahira Aulia</t>
  </si>
  <si>
    <t>0083440916 / 242510182</t>
  </si>
  <si>
    <t>Kahla Mulia</t>
  </si>
  <si>
    <t>0097101002 / 242510186</t>
  </si>
  <si>
    <t>Kayla Pelangi Harupi</t>
  </si>
  <si>
    <t>0083510857 / 242510205</t>
  </si>
  <si>
    <t>Khomairah</t>
  </si>
  <si>
    <t>0099224342 / 242510214</t>
  </si>
  <si>
    <t>Lingga Argan Zinggara</t>
  </si>
  <si>
    <t>0087441371 / 242510226</t>
  </si>
  <si>
    <t>Maulana Yusuf Purnama</t>
  </si>
  <si>
    <t>0092053150 / 242510248</t>
  </si>
  <si>
    <t>Muhammad Abidzar</t>
  </si>
  <si>
    <t>0099674979 / 242510268</t>
  </si>
  <si>
    <t>Muhammad Irgi Avicenna Fachridho Putra</t>
  </si>
  <si>
    <t>0094087712 / 242510287</t>
  </si>
  <si>
    <t>Nadine Kirana Saraswati</t>
  </si>
  <si>
    <t>0096704827 / 242510295</t>
  </si>
  <si>
    <t>Naura Praprincess Ananda Anbiya</t>
  </si>
  <si>
    <t>0082766789 / 242510317</t>
  </si>
  <si>
    <t>Puti Pelangi Maharani</t>
  </si>
  <si>
    <t>0087189022 / 242510326</t>
  </si>
  <si>
    <t>Quenna Valencia</t>
  </si>
  <si>
    <t>0083216448 / 242510340</t>
  </si>
  <si>
    <t>Rama Ar Rifatul Anbiya</t>
  </si>
  <si>
    <t>0081976297 / 242510351</t>
  </si>
  <si>
    <t>Rifky Akbar Maulana</t>
  </si>
  <si>
    <t>0087374524 / 242510358</t>
  </si>
  <si>
    <t>Rizky Baihaqi</t>
  </si>
  <si>
    <t>0095610000 / 242510359</t>
  </si>
  <si>
    <t>Rosliani Sarrah</t>
  </si>
  <si>
    <t>3108459157 / 242510368</t>
  </si>
  <si>
    <t>Salwa Aisya Putri</t>
  </si>
  <si>
    <t>0092184814 / 242510369</t>
  </si>
  <si>
    <t>Salwa Amanda Putri</t>
  </si>
  <si>
    <t>0093513380 / 242510383</t>
  </si>
  <si>
    <t>Shinta Aulia</t>
  </si>
  <si>
    <t>0094484878 / 242510403</t>
  </si>
  <si>
    <t>Troy Rhezky Lembong</t>
  </si>
  <si>
    <t>0094008926 / 242510425</t>
  </si>
  <si>
    <t>Zalfa Anaya Putri</t>
  </si>
  <si>
    <t>0096998389 / 242510428</t>
  </si>
  <si>
    <t>Zhafira Fathin Ilmira</t>
  </si>
  <si>
    <t>KELAS  XI D-2</t>
  </si>
  <si>
    <t>Wali Kelas : Rizki, S.Pd</t>
  </si>
  <si>
    <t>0099205215 / 242510002</t>
  </si>
  <si>
    <t>Abhipraya Fahim Ghazal Adhiatma</t>
  </si>
  <si>
    <t>0096176025 / 242510004</t>
  </si>
  <si>
    <t>Abimanyu Cakraningrat</t>
  </si>
  <si>
    <t>0083691625 / 242510013</t>
  </si>
  <si>
    <t>Aini Nur Fauziah Gunawan</t>
  </si>
  <si>
    <t>0093555544 / 242510030</t>
  </si>
  <si>
    <t>Almira Dian Pratiwi</t>
  </si>
  <si>
    <t>0093240247 / 242510049</t>
  </si>
  <si>
    <t>Anjar Rauf Fahrizal</t>
  </si>
  <si>
    <t>0081177343 / 242510057</t>
  </si>
  <si>
    <t>Arsyila Kayyisah Biyanto</t>
  </si>
  <si>
    <t>0097044189 / 242510065</t>
  </si>
  <si>
    <t>Aufa Syafiq Disastra</t>
  </si>
  <si>
    <t>0094015905 / 242510074</t>
  </si>
  <si>
    <t>Aurellia Syifa Hafianti</t>
  </si>
  <si>
    <t>0099056940 / 242510077</t>
  </si>
  <si>
    <t>Ayuki Nirwasita Saputro</t>
  </si>
  <si>
    <t>0083503418 / 242510092</t>
  </si>
  <si>
    <t>Chelsy Ashyla Nafiza</t>
  </si>
  <si>
    <t>0082910392 / 242510119</t>
  </si>
  <si>
    <t>Echa Putri Ramadhani</t>
  </si>
  <si>
    <t>0092889165 / 242510121</t>
  </si>
  <si>
    <t>Ello Sasmitha Jati</t>
  </si>
  <si>
    <t>0089925170 / 242510124</t>
  </si>
  <si>
    <t>Eskisan Oktri Femista</t>
  </si>
  <si>
    <t>0097500016 / 242510138</t>
  </si>
  <si>
    <t>Fathan Mubina</t>
  </si>
  <si>
    <t>0091736459 / 242510143</t>
  </si>
  <si>
    <t>Fiona Wahidah Salsabila</t>
  </si>
  <si>
    <t>0083473619 / 242510151</t>
  </si>
  <si>
    <t>Gian Fabrizio</t>
  </si>
  <si>
    <t>0095965332 / 242510202</t>
  </si>
  <si>
    <t>Khansa Nabilah Fatin</t>
  </si>
  <si>
    <t>3089802088 / 242510204</t>
  </si>
  <si>
    <t>Khofifah Asrining Pangastuti</t>
  </si>
  <si>
    <t>0083558880 / 242510215</t>
  </si>
  <si>
    <t>Lukman Harun Aditya</t>
  </si>
  <si>
    <t>0087939718 / 242510217</t>
  </si>
  <si>
    <t>M. Bintang Aliansyah Tukuboya</t>
  </si>
  <si>
    <t>3086429713 / 242510256</t>
  </si>
  <si>
    <t>Muhammad Dalfin Syawaldi Putra Setiawan</t>
  </si>
  <si>
    <t>0082222599 / 242510270</t>
  </si>
  <si>
    <t>Muhammad Naufal Suryadi</t>
  </si>
  <si>
    <t>0096947097 / 242510277</t>
  </si>
  <si>
    <t>Muhammad Salman Iriansar</t>
  </si>
  <si>
    <t>0088243290 / 242510285</t>
  </si>
  <si>
    <t>Nabilla Alya Rohhadi</t>
  </si>
  <si>
    <t>0083111399 / 242510305</t>
  </si>
  <si>
    <t>Ni Putu Nayaka Prakasayati Pasek</t>
  </si>
  <si>
    <t>0098495672 / 242510327</t>
  </si>
  <si>
    <t>Quinsha Naura Adity</t>
  </si>
  <si>
    <t>0087033208 / 242510335</t>
  </si>
  <si>
    <t>Rahel Esra Ratua Manurung</t>
  </si>
  <si>
    <t>0087540462 / 242510365</t>
  </si>
  <si>
    <t>Salsabila Alfeeansyah Putri</t>
  </si>
  <si>
    <t>0098177122 / 242510370</t>
  </si>
  <si>
    <t>Samuel Sahat Vito Siregar</t>
  </si>
  <si>
    <t>0084182636 / 242510376</t>
  </si>
  <si>
    <t>Satria Andhika Raissa</t>
  </si>
  <si>
    <t>0092533632 / 242510397</t>
  </si>
  <si>
    <t>Talita Putria Cahyani</t>
  </si>
  <si>
    <t>0089659957 / 242510418</t>
  </si>
  <si>
    <t>Yasmin Sakura Armawan</t>
  </si>
  <si>
    <t>0094494926 / 242510419</t>
  </si>
  <si>
    <t>Zafarani Amalia Putri</t>
  </si>
  <si>
    <t>0083550559 / 242510422</t>
  </si>
  <si>
    <t>Zahra Talita Dzakira</t>
  </si>
  <si>
    <t>0086771046 / 242510427</t>
  </si>
  <si>
    <t>Zaskya Risqita Andriani</t>
  </si>
  <si>
    <t>0098965422 / 242510431</t>
  </si>
  <si>
    <t>Zikra Arib Rozaan</t>
  </si>
  <si>
    <t>KELAS  XI D-3</t>
  </si>
  <si>
    <t>Wali Kelas : Tintin Sugiharti, M.Pd</t>
  </si>
  <si>
    <t>0091972857 / 242510003</t>
  </si>
  <si>
    <t>Abhista Anggoro Purnomo</t>
  </si>
  <si>
    <t>0099463036 / 242510012</t>
  </si>
  <si>
    <t>Aina Nisa Asyifa</t>
  </si>
  <si>
    <t>0084373144 / 242510032</t>
  </si>
  <si>
    <t>Aloysius Arthur Sinurat</t>
  </si>
  <si>
    <t>0092027940 / 242510034</t>
  </si>
  <si>
    <t>Aluna Kalila Fauzan</t>
  </si>
  <si>
    <t>0097798929 / 242510045</t>
  </si>
  <si>
    <t>Anida Dewi Anjani</t>
  </si>
  <si>
    <t>0092388902 / 242510053</t>
  </si>
  <si>
    <t>Aqila Khairunnisa Putri</t>
  </si>
  <si>
    <t>0092260536 / 242510063</t>
  </si>
  <si>
    <t>Athalia Mayrossa Kenzie</t>
  </si>
  <si>
    <t>0092404259 / 242510067</t>
  </si>
  <si>
    <t>Aulia Putri Syafira</t>
  </si>
  <si>
    <t>0086475767 / 242510068</t>
  </si>
  <si>
    <t>Aulia Rahmaditia Danang</t>
  </si>
  <si>
    <t>0099130384 / 242510073</t>
  </si>
  <si>
    <t>Aurellia Odelina Askanah Han</t>
  </si>
  <si>
    <t>0097660827 / 242510081</t>
  </si>
  <si>
    <t>Banuwarman</t>
  </si>
  <si>
    <t>0096109567 / 242510084</t>
  </si>
  <si>
    <t>Bilqis Khumairah Putri</t>
  </si>
  <si>
    <t>0095745176 / 242510087</t>
  </si>
  <si>
    <t>Bumi Raffah Al Islahi</t>
  </si>
  <si>
    <t>0091234811 / 242510090</t>
  </si>
  <si>
    <t>Cemara Anggraeny</t>
  </si>
  <si>
    <t>0091342789 / 242510094</t>
  </si>
  <si>
    <t>Chiara Anggun Dameyanti Sirait</t>
  </si>
  <si>
    <t>0082284975 / 242510115</t>
  </si>
  <si>
    <t>Disya Cahaya Carrisa</t>
  </si>
  <si>
    <t>0096026876 / 242510137</t>
  </si>
  <si>
    <t>Farrel Luthfi Arviansyah</t>
  </si>
  <si>
    <t>0097494303 / 242510150</t>
  </si>
  <si>
    <t>Ghina Yumna</t>
  </si>
  <si>
    <t>0091325828 / 242510155</t>
  </si>
  <si>
    <t>Grasela Riyanti</t>
  </si>
  <si>
    <t>0099418331 / 242510190</t>
  </si>
  <si>
    <t>Keisya Nurmaulida</t>
  </si>
  <si>
    <t>0098415432 / 242510196</t>
  </si>
  <si>
    <t>Kezia Aulia Hattalaibessij</t>
  </si>
  <si>
    <t>3082881499 / 242510243</t>
  </si>
  <si>
    <t>Muhamad Ikmal</t>
  </si>
  <si>
    <t>0084468197 / 242510246</t>
  </si>
  <si>
    <t>Muhamad Zahran Ramadhan</t>
  </si>
  <si>
    <t>0095554126 / 242510253</t>
  </si>
  <si>
    <t>Muhammad Bagus Haryo Pratama</t>
  </si>
  <si>
    <t>0095029451 / 242510255</t>
  </si>
  <si>
    <t>Muhammad Daffa Rifai</t>
  </si>
  <si>
    <t>0084998907 / 242510273</t>
  </si>
  <si>
    <t>Muhammad Rifqi Hadzami</t>
  </si>
  <si>
    <t>3097947979 / 242510280</t>
  </si>
  <si>
    <t>Muhammad Yusril Ihza Bustomi</t>
  </si>
  <si>
    <t>0091225757 / 242510288</t>
  </si>
  <si>
    <t>Nadya Fayza Aulia</t>
  </si>
  <si>
    <t>0099551790 / 242510296</t>
  </si>
  <si>
    <t>Naurah Khansa Wibawa</t>
  </si>
  <si>
    <t>0089608543 / 242510309</t>
  </si>
  <si>
    <t>Nuri Sabilatul Aspiya</t>
  </si>
  <si>
    <t>0098835028 / 242510334</t>
  </si>
  <si>
    <t>Raffa Meyzaidan</t>
  </si>
  <si>
    <t>3097356141 / 242510353</t>
  </si>
  <si>
    <t>Rifzki Yusrin</t>
  </si>
  <si>
    <t>0097311898 / 242510379</t>
  </si>
  <si>
    <t>Shafira Ghassani</t>
  </si>
  <si>
    <t>0099130256 / 242510385</t>
  </si>
  <si>
    <t>Sulaim Apenino Abdulhaq</t>
  </si>
  <si>
    <t>0082646713 / 242510398</t>
  </si>
  <si>
    <t>Talita Shaki Aulia</t>
  </si>
  <si>
    <t>0091537746 / 242510407</t>
  </si>
  <si>
    <t>Vindy Aprilia Khanaya</t>
  </si>
  <si>
    <t>KELAS  XI E-1</t>
  </si>
  <si>
    <t>Wali Kelas : Imania Bidari, S.Pd</t>
  </si>
  <si>
    <t>Adinda Queena Maheswari</t>
  </si>
  <si>
    <t>Alex Saputra Suranta Tarigan</t>
  </si>
  <si>
    <t>Alwinsa Sugiharto</t>
  </si>
  <si>
    <t>Anindito Pandu Fahrinugroho</t>
  </si>
  <si>
    <t>Annida Khairunnisa</t>
  </si>
  <si>
    <t>Aryasatya Tridaya Alam</t>
  </si>
  <si>
    <t>Bilal Kaka Pratama Hartoyo</t>
  </si>
  <si>
    <t>Daffa Iqram Al Fachreza</t>
  </si>
  <si>
    <t>Deandra Nashwan Danish</t>
  </si>
  <si>
    <t>Erzan Fauzy Zulkarnaen</t>
  </si>
  <si>
    <t>Fadel Maliq Fathani</t>
  </si>
  <si>
    <t>Islamian Ikhsa Firmawan</t>
  </si>
  <si>
    <t>Juwinsyah Dwi Arga</t>
  </si>
  <si>
    <t>Langlang Syahadat Pulung Jati</t>
  </si>
  <si>
    <t>Maritza Alisha Fathi</t>
  </si>
  <si>
    <t>Mirza Faiz Al Razak</t>
  </si>
  <si>
    <t>Mirza Muhammad Rafi Hanifaldin</t>
  </si>
  <si>
    <t>Muhamad Akbar</t>
  </si>
  <si>
    <t>Muhamad Gatfan Suryabakti</t>
  </si>
  <si>
    <t>Muhammad Atha Fauzansyah</t>
  </si>
  <si>
    <t>Muhammad Fairuz Pratama</t>
  </si>
  <si>
    <t>Muhammad Faisal Ghani</t>
  </si>
  <si>
    <t>Muhammad Fatih Rayyan Niago</t>
  </si>
  <si>
    <t>Muhammad Ghifaraidosata Suwondo</t>
  </si>
  <si>
    <t>Muhammad Habil Mulyana</t>
  </si>
  <si>
    <t>Muhammad Rizqullah Salim Wibowo</t>
  </si>
  <si>
    <t>Nazua Ristiyana Viragupti</t>
  </si>
  <si>
    <t>Neisha Arinta Putri Sarjana</t>
  </si>
  <si>
    <t>Rafa Ibnu Kanaka</t>
  </si>
  <si>
    <t>Rais Aliyan</t>
  </si>
  <si>
    <t>Razan Muhammad Ihsan Solihin</t>
  </si>
  <si>
    <t>Rifqi Anindya Putra</t>
  </si>
  <si>
    <t>Sabika Zaura Khumairo</t>
  </si>
  <si>
    <t>Savrya Alwi Amani</t>
  </si>
  <si>
    <t>Zaina Husniyati Hamdani</t>
  </si>
  <si>
    <t>Zhafran Ramadhan Drajat Sukma</t>
  </si>
  <si>
    <t>KELAS  XI E-2</t>
  </si>
  <si>
    <t>Wali Kelas : Margaretha Sumartining, S.Pd</t>
  </si>
  <si>
    <t>0098441334 / 242510029</t>
  </si>
  <si>
    <t>Almira Chairunnisa Imawan</t>
  </si>
  <si>
    <t>0095916190 / 242510033</t>
  </si>
  <si>
    <t>Althafunisa Radisty Samiadji</t>
  </si>
  <si>
    <t>0093270004 / 242510040</t>
  </si>
  <si>
    <t>Amora Romadearni Sinaga</t>
  </si>
  <si>
    <t>0081317101 / 242510043</t>
  </si>
  <si>
    <t>Andika Artha Kusuma</t>
  </si>
  <si>
    <t>0088625335 / 242510062</t>
  </si>
  <si>
    <t>Atha Rezky Riyansyah</t>
  </si>
  <si>
    <t>0084865750 / 242510075</t>
  </si>
  <si>
    <t>Ayu Widyaningsih</t>
  </si>
  <si>
    <t>0089373986 / 242510076</t>
  </si>
  <si>
    <t>Ayudias Raina Zara</t>
  </si>
  <si>
    <t>0094394514 / 242510082</t>
  </si>
  <si>
    <t>Barep Agha Rioyo</t>
  </si>
  <si>
    <t>0093616890 / 242510097</t>
  </si>
  <si>
    <t>Daffa Diaz Arsya Bashari</t>
  </si>
  <si>
    <t>0092463348 / 242510100</t>
  </si>
  <si>
    <t>Danish Alghifari</t>
  </si>
  <si>
    <t>0087035501 / 242510131</t>
  </si>
  <si>
    <t>Faiz Alfariz</t>
  </si>
  <si>
    <t>0097179421 / 242510163</t>
  </si>
  <si>
    <t>Heru Kurnia</t>
  </si>
  <si>
    <t>0084853605 / 242510164</t>
  </si>
  <si>
    <t>Hibban Abdurrahman</t>
  </si>
  <si>
    <t>3092618789 / 242510170</t>
  </si>
  <si>
    <t>Imam Al Ashfia Prastomo</t>
  </si>
  <si>
    <t>0092821103 / 242510174</t>
  </si>
  <si>
    <t>Irsyad Nabihan</t>
  </si>
  <si>
    <t>0082472809 / 242510177</t>
  </si>
  <si>
    <t>Javasanda Putra Perdana</t>
  </si>
  <si>
    <t>3091944997 / 242510210</t>
  </si>
  <si>
    <t>Lais Yusuf Ghazali</t>
  </si>
  <si>
    <t>0081087411 / 242510224</t>
  </si>
  <si>
    <t>Marcel Tri Hermawan</t>
  </si>
  <si>
    <t>0094864081 / 242510250</t>
  </si>
  <si>
    <t>Muhammad Ammar Firdaus Putra</t>
  </si>
  <si>
    <t>0095937371 / 242510263</t>
  </si>
  <si>
    <t>Muhammad Fikra Burhamzah</t>
  </si>
  <si>
    <t>0088807404 / 242510264</t>
  </si>
  <si>
    <t>Muhammad Ghaizyan Athar</t>
  </si>
  <si>
    <t>0085810407 / 242510279</t>
  </si>
  <si>
    <t>Muhammad Syawal</t>
  </si>
  <si>
    <t>0082898817 / 242510293</t>
  </si>
  <si>
    <t>Natanael Nadapdap</t>
  </si>
  <si>
    <t>0094465097 / 242510294</t>
  </si>
  <si>
    <t>Naufal Alghifary Zulya</t>
  </si>
  <si>
    <t>0084114869 / 242510322</t>
  </si>
  <si>
    <t>Putri Wida Az-Zahra</t>
  </si>
  <si>
    <t>0092577014 / 242510330</t>
  </si>
  <si>
    <t>Raden Devan Alanzulfian</t>
  </si>
  <si>
    <t>3083166460 / 242510344</t>
  </si>
  <si>
    <t>Raufan Nabih Firmansyah</t>
  </si>
  <si>
    <t>3094789704 / 242510357</t>
  </si>
  <si>
    <t>Rizky Abdul Bashir Tuharea</t>
  </si>
  <si>
    <t>0089336981 / 242510361</t>
  </si>
  <si>
    <t>Sabrina Firdaus Zahratus Zakaria</t>
  </si>
  <si>
    <t>0093441573 / 242510381</t>
  </si>
  <si>
    <t>Shayang Camila Ahsanie</t>
  </si>
  <si>
    <t>0089493881 / 242510384</t>
  </si>
  <si>
    <t>Sila Nur Fauziah</t>
  </si>
  <si>
    <t>0086778655 / 242510386</t>
  </si>
  <si>
    <t>Surya Rangga Wisuta</t>
  </si>
  <si>
    <t>0085904748 / 242510401</t>
  </si>
  <si>
    <t>Tri Andika</t>
  </si>
  <si>
    <t>0084316906 / 242510413</t>
  </si>
  <si>
    <t>Win Mahara Kuswanto</t>
  </si>
  <si>
    <t>0095848946 / 242510423</t>
  </si>
  <si>
    <t>Zaidan Alifahridho Koeswanto</t>
  </si>
  <si>
    <t>0099880719 / 242510027</t>
  </si>
  <si>
    <t>Zihni Falih Safaras</t>
  </si>
  <si>
    <t>KELAS  XI F-1</t>
  </si>
  <si>
    <t>Wali Kelas : Nur Adillawati, S.Pd, M.Pd</t>
  </si>
  <si>
    <t>0099988861 / 242510021</t>
  </si>
  <si>
    <t>Aldy Pratama</t>
  </si>
  <si>
    <t>0082151570 / 242510026</t>
  </si>
  <si>
    <t>Alifia Radya Pramesti</t>
  </si>
  <si>
    <t>0087588818 / 242510050</t>
  </si>
  <si>
    <t>Anneira Hendryto</t>
  </si>
  <si>
    <t>2093857917 / 242510061</t>
  </si>
  <si>
    <t>Asri Fatima Azzahra</t>
  </si>
  <si>
    <t>0087522984 / 252611569</t>
  </si>
  <si>
    <t>Audi Nur Chantika Putri</t>
  </si>
  <si>
    <t>0091072005 / 242510080</t>
  </si>
  <si>
    <t>Bagus Sugiharto</t>
  </si>
  <si>
    <t>0093123066 / 242510105</t>
  </si>
  <si>
    <t>Della Widya Wati</t>
  </si>
  <si>
    <t>0097482971 / 242510118</t>
  </si>
  <si>
    <t>Dzakira Aftani Herdianto</t>
  </si>
  <si>
    <t>0087551985 / 242510122</t>
  </si>
  <si>
    <t>Elsamonic</t>
  </si>
  <si>
    <t>0095657957 / 242510132</t>
  </si>
  <si>
    <t>Faiza Ramadhani</t>
  </si>
  <si>
    <t>0083924202 / 242510139</t>
  </si>
  <si>
    <t>Fauzan Nur Haidar</t>
  </si>
  <si>
    <t>0082690807 / 242510140</t>
  </si>
  <si>
    <t>Faza Azima Waalidaen</t>
  </si>
  <si>
    <t>0082256467 / 242510145</t>
  </si>
  <si>
    <t>Firas Rizqy Wicaksono</t>
  </si>
  <si>
    <t>0087408326 / 242510149</t>
  </si>
  <si>
    <t>Gede Aira Sagita Putri Ksy</t>
  </si>
  <si>
    <t>0096589760 / 242510152</t>
  </si>
  <si>
    <t>Gizella Anggrietta</t>
  </si>
  <si>
    <t>3094653721 / 242510157</t>
  </si>
  <si>
    <t>Hafizhoh Maryam Az-Zuhaely</t>
  </si>
  <si>
    <t>0091633107 / 242510168</t>
  </si>
  <si>
    <t>Husnaila Kamil</t>
  </si>
  <si>
    <t>0092593035 / 242510178</t>
  </si>
  <si>
    <t>Jesika Nain Cahaya Siringo Ringo</t>
  </si>
  <si>
    <t>3084804073 / 252611570</t>
  </si>
  <si>
    <t>Keizya Zahra Permana</t>
  </si>
  <si>
    <t>0085208150 / 242510192</t>
  </si>
  <si>
    <t>Kesya Larasati</t>
  </si>
  <si>
    <t>0089115919 / 242510194</t>
  </si>
  <si>
    <t>Kevin Sitanggang</t>
  </si>
  <si>
    <t>0092834368 / 242510198</t>
  </si>
  <si>
    <t>Khaira Rabbani Tsalasa</t>
  </si>
  <si>
    <t>3099484913 / 242510237</t>
  </si>
  <si>
    <t>Mochamad Lewis Batmomolin</t>
  </si>
  <si>
    <t>0087176231 / 242510218</t>
  </si>
  <si>
    <t>MUHAMAD FADLY FADILLAH</t>
  </si>
  <si>
    <t>3097549496 / 242510258</t>
  </si>
  <si>
    <t>Muhammad Faiq Abdurrahman</t>
  </si>
  <si>
    <t>0096931224 / 242510290</t>
  </si>
  <si>
    <t>Nafis Syahri Ramadhan</t>
  </si>
  <si>
    <t>0107494938 / 242510311</t>
  </si>
  <si>
    <t>Nurry Qurata'Ayun Mastiar</t>
  </si>
  <si>
    <t>0095386380 / 242510314</t>
  </si>
  <si>
    <t>Pratamayoga Danishwara Lestiyo</t>
  </si>
  <si>
    <t>0094807008 / 242510331</t>
  </si>
  <si>
    <t>Radhwa Kadzia Salsabila</t>
  </si>
  <si>
    <t>0099423367 / 242510332</t>
  </si>
  <si>
    <t>Radif Ziyan Maryono</t>
  </si>
  <si>
    <t>0094095735 / 242510339</t>
  </si>
  <si>
    <t>Raisya Maulidhina</t>
  </si>
  <si>
    <t>3087304976 / 242510389</t>
  </si>
  <si>
    <t>Syahrul Ramadhan</t>
  </si>
  <si>
    <t>0097734463 / 242510394</t>
  </si>
  <si>
    <t>Syavira Dinar Handayani</t>
  </si>
  <si>
    <t>0094647744 / 242510396</t>
  </si>
  <si>
    <t>Syifa Septia Putri</t>
  </si>
  <si>
    <t>0084357788 / 242510411</t>
  </si>
  <si>
    <t>Waddia Fazila Permana</t>
  </si>
  <si>
    <t>0097253280 / 242510415</t>
  </si>
  <si>
    <t>Windy Kenez Ayu Pramesty</t>
  </si>
  <si>
    <t>KELAS  XI F-2</t>
  </si>
  <si>
    <t>Wali Kelas : Airis Rizkia, S.Pd</t>
  </si>
  <si>
    <t>0083949375 / 242510009</t>
  </si>
  <si>
    <t>Agisha Melandri</t>
  </si>
  <si>
    <t>3091238165 / 242510015</t>
  </si>
  <si>
    <t>Aisha Syakira Putri</t>
  </si>
  <si>
    <t>0084218795 / 242510016</t>
  </si>
  <si>
    <t>Aisyah Nara Purusa Ningsa</t>
  </si>
  <si>
    <t>0098551657 / 242510020</t>
  </si>
  <si>
    <t>Al Gofi Patra</t>
  </si>
  <si>
    <t>0087718590 / 242510060</t>
  </si>
  <si>
    <t>Ashya Navisha</t>
  </si>
  <si>
    <t>0096418415 / 242510078</t>
  </si>
  <si>
    <t>Azka  Abidah Sukma Cahyani</t>
  </si>
  <si>
    <t>0096383417 / 242510089</t>
  </si>
  <si>
    <t>Callysta Sadira Rizqullah Khaniza</t>
  </si>
  <si>
    <t>0093167605 / 242510093</t>
  </si>
  <si>
    <t>Cheysa Dara Maharani</t>
  </si>
  <si>
    <t>0096872219 / 242510106</t>
  </si>
  <si>
    <t>Desya Maulida</t>
  </si>
  <si>
    <t>0093311941 / 242510107</t>
  </si>
  <si>
    <t>Devi Nuraini</t>
  </si>
  <si>
    <t>0091519291 / 242510109</t>
  </si>
  <si>
    <t>Dhiyaul Aqlan Abqory</t>
  </si>
  <si>
    <t>0093772011 / 242510125</t>
  </si>
  <si>
    <t>Evandika Juliandi</t>
  </si>
  <si>
    <t>0083597126 / 242510127</t>
  </si>
  <si>
    <t>Excellita Mayda Nurussyfa</t>
  </si>
  <si>
    <t>0081527579 / 242510147</t>
  </si>
  <si>
    <t>Fx Arya Bima Saputra</t>
  </si>
  <si>
    <t>3088903236 / 242510154</t>
  </si>
  <si>
    <t>Graceya Felisya Sinurat</t>
  </si>
  <si>
    <t>0098700438 / 242510156</t>
  </si>
  <si>
    <t>Hadaya Bassam Faris Sawaftah</t>
  </si>
  <si>
    <t>0095159012 / 242510166</t>
  </si>
  <si>
    <t>Hilwa Zakiyyah</t>
  </si>
  <si>
    <t>0098994125 / 252611567</t>
  </si>
  <si>
    <t>Akhmad Kevin Ahdiansyah Lesmanu</t>
  </si>
  <si>
    <t>0087336074 / 242510195</t>
  </si>
  <si>
    <t>Keysa Novasari</t>
  </si>
  <si>
    <t>0083317171 / 242510203</t>
  </si>
  <si>
    <t>Khansaa Dhiyaa Aqiilaa</t>
  </si>
  <si>
    <t>3081754398 / 242510219</t>
  </si>
  <si>
    <t>M. Fauzan Aifa Hafizh</t>
  </si>
  <si>
    <t>0098773886 / 242510223</t>
  </si>
  <si>
    <t>Malikah Putri Rafan</t>
  </si>
  <si>
    <t>0098848130 / 242510228</t>
  </si>
  <si>
    <t>Maulida Maftuhah</t>
  </si>
  <si>
    <t>0086293694 / 242510229</t>
  </si>
  <si>
    <t>Maykaila Aini Suryaningtyas Tamin</t>
  </si>
  <si>
    <t>0088667313 / 242510236</t>
  </si>
  <si>
    <t>Mochamad Farid Reza</t>
  </si>
  <si>
    <t>0093423349 / 242510245</t>
  </si>
  <si>
    <t>Muhamad Rizki Saputra</t>
  </si>
  <si>
    <t>0089737965 / 242510247</t>
  </si>
  <si>
    <t>Muhamad Zidan</t>
  </si>
  <si>
    <t>0091624427 / 242510249</t>
  </si>
  <si>
    <t>Muhammad Alfiansyah</t>
  </si>
  <si>
    <t>0083876462 / 242510267</t>
  </si>
  <si>
    <t>Muhammad Hiroshi Ali Muzaffar</t>
  </si>
  <si>
    <t>0082604990 / 242510276</t>
  </si>
  <si>
    <t>Muhammad Royyan</t>
  </si>
  <si>
    <t>0087043705 / 242510307</t>
  </si>
  <si>
    <t>Nur Syifa Az Zahra</t>
  </si>
  <si>
    <t>0081683598 / 242510316</t>
  </si>
  <si>
    <t>Puteri Kinnayya Saepudin</t>
  </si>
  <si>
    <t>0094092301 / 252611572</t>
  </si>
  <si>
    <t>Raja Gilang Faizin</t>
  </si>
  <si>
    <t>0092685479 / 252611573</t>
  </si>
  <si>
    <t>Randacaya Hada Sangadji</t>
  </si>
  <si>
    <t>0095319720 / 242510364</t>
  </si>
  <si>
    <t>Sakinah Nasution</t>
  </si>
  <si>
    <t>0084006956 / 242510400</t>
  </si>
  <si>
    <t>Tiara Thalita Dzaky</t>
  </si>
  <si>
    <t>No Baris</t>
  </si>
  <si>
    <t>Mentor</t>
  </si>
  <si>
    <t>Jml Pertemuan Terlaksana
25 Okt, 8 Nov, 22 Nov</t>
  </si>
  <si>
    <t>Total Hadir
25 Okt, 8 Nov, 22 Nov</t>
  </si>
  <si>
    <t>Total Pertemuan
16 Agt - 18 Okt</t>
  </si>
  <si>
    <t>Master Class</t>
  </si>
  <si>
    <t>Total Hadir
16 Agt - 18 Okt</t>
  </si>
  <si>
    <t>Total Pertemuan
16 Agt - 22 Nov</t>
  </si>
  <si>
    <t>Total Hadir
16 Agt - 22 Nov
(Tidak ternasuk Masterclass)</t>
  </si>
  <si>
    <t>Keterangan</t>
  </si>
  <si>
    <t>Bila terlaksana semua, isi: 3</t>
  </si>
  <si>
    <t>Bila terlaksana semua, isi: 5</t>
  </si>
  <si>
    <t xml:space="preserve">Adhie Bramantyo Faqih </t>
  </si>
  <si>
    <t>Rony</t>
  </si>
  <si>
    <t xml:space="preserve">Almira Dwi Safira </t>
  </si>
  <si>
    <t>Syifa</t>
  </si>
  <si>
    <t xml:space="preserve">Alzena Juneeta Talisha Theo </t>
  </si>
  <si>
    <t xml:space="preserve">Arya Aditya Gunawan </t>
  </si>
  <si>
    <t xml:space="preserve">Aryasatia Pradipta </t>
  </si>
  <si>
    <t xml:space="preserve">Asyifa Diandra Bayu </t>
  </si>
  <si>
    <t xml:space="preserve">Asyifa Maulidia Salsabila </t>
  </si>
  <si>
    <t xml:space="preserve">Aurelia Langit Callysta </t>
  </si>
  <si>
    <t xml:space="preserve">Aurelia Septiani Putri </t>
  </si>
  <si>
    <t xml:space="preserve">Azalia Maheswari Christabel </t>
  </si>
  <si>
    <t xml:space="preserve">Bilqis Anwar Thebe </t>
  </si>
  <si>
    <t>Ayun</t>
  </si>
  <si>
    <t>Supermentoring</t>
  </si>
  <si>
    <t xml:space="preserve">Bimo Armani Aulia Putra </t>
  </si>
  <si>
    <t xml:space="preserve">Callysta Tuchi Solin </t>
  </si>
  <si>
    <t xml:space="preserve">Diwangkara Rizki Rabbani </t>
  </si>
  <si>
    <t xml:space="preserve">Dzahra Miftahuljanah </t>
  </si>
  <si>
    <t xml:space="preserve">Fakhri Haikal Alvito Rachmat </t>
  </si>
  <si>
    <t xml:space="preserve">Fathi Azzam Hawwari </t>
  </si>
  <si>
    <t xml:space="preserve">Fatimah Aszahra </t>
  </si>
  <si>
    <t xml:space="preserve">Gwenna Irene Winata </t>
  </si>
  <si>
    <t xml:space="preserve">Jasmine Zahira Ramadhani </t>
  </si>
  <si>
    <t>Oshe</t>
  </si>
  <si>
    <t xml:space="preserve">Jesslyn Quinn Gabrielle Sitorus </t>
  </si>
  <si>
    <t xml:space="preserve">Jihan Al Hasya </t>
  </si>
  <si>
    <t xml:space="preserve">Johanes Satria Yudha </t>
  </si>
  <si>
    <t>Non-Islam</t>
  </si>
  <si>
    <t xml:space="preserve">Kariswan Wahyudi </t>
  </si>
  <si>
    <t xml:space="preserve">Maria Rica Stefany Demu </t>
  </si>
  <si>
    <t xml:space="preserve">Melani Putri Triana </t>
  </si>
  <si>
    <t xml:space="preserve">Michael Mazmur Hatorangan Hutabarat </t>
  </si>
  <si>
    <t xml:space="preserve">Mochamad Nayaka Tuharea </t>
  </si>
  <si>
    <t xml:space="preserve">Muhamad Septian Romadhon </t>
  </si>
  <si>
    <t xml:space="preserve">Muhammad Adrian Gianni Adam </t>
  </si>
  <si>
    <t xml:space="preserve">Muhammad Chaerudin Ramdhani </t>
  </si>
  <si>
    <t xml:space="preserve">Muhammad Fathan Assidiq </t>
  </si>
  <si>
    <t xml:space="preserve">Muhammad Rodzul Amrullah </t>
  </si>
  <si>
    <t xml:space="preserve">Nadya Salwa Altiara </t>
  </si>
  <si>
    <t xml:space="preserve">Nailah Khoirunisa Arsanti </t>
  </si>
  <si>
    <t xml:space="preserve">Novyola Safitri </t>
  </si>
  <si>
    <t xml:space="preserve">Nur Alifah Silvia </t>
  </si>
  <si>
    <t xml:space="preserve">Pungki Yustisia Pertiwi </t>
  </si>
  <si>
    <t xml:space="preserve">Raden Gathan Azaki Soesilo </t>
  </si>
  <si>
    <t xml:space="preserve">Raden Muhammad Rafi Wiranata </t>
  </si>
  <si>
    <t xml:space="preserve">Rayhan Ashabi </t>
  </si>
  <si>
    <t xml:space="preserve">Rayhana Rizkya Al-Multazam </t>
  </si>
  <si>
    <t xml:space="preserve">Riffa Nugraha </t>
  </si>
  <si>
    <t xml:space="preserve">Salsabila Zahwa Mulana </t>
  </si>
  <si>
    <t xml:space="preserve">Shabira Ayatul Husna </t>
  </si>
  <si>
    <t xml:space="preserve">Zavier Lamya Arkanominatha </t>
  </si>
  <si>
    <t xml:space="preserve">Zhafirah Dwi Fauziah </t>
  </si>
  <si>
    <t>M. Rizky</t>
  </si>
  <si>
    <t xml:space="preserve">Adinda Syahira Hariyadi </t>
  </si>
  <si>
    <t xml:space="preserve">Rania </t>
  </si>
  <si>
    <t xml:space="preserve">Aira Aulia Putri </t>
  </si>
  <si>
    <t>Iqlima</t>
  </si>
  <si>
    <t xml:space="preserve">Aisha Faiha Dzakiyah </t>
  </si>
  <si>
    <t>Rania</t>
  </si>
  <si>
    <t xml:space="preserve">Alifa Safa Salsabila </t>
  </si>
  <si>
    <t xml:space="preserve">Alviana Dwie Putery </t>
  </si>
  <si>
    <t xml:space="preserve">Alyya Zahra Kusumadewi </t>
  </si>
  <si>
    <t xml:space="preserve">Ammar Raziq Mahdiya </t>
  </si>
  <si>
    <t>Joko</t>
  </si>
  <si>
    <t xml:space="preserve">Andini Qoriyati Khaerani </t>
  </si>
  <si>
    <t xml:space="preserve">Aqeela Az Zahra </t>
  </si>
  <si>
    <t xml:space="preserve">Arfan Kristian Perlindungan Harefa </t>
  </si>
  <si>
    <t xml:space="preserve">Ashiila Rindu Dwi Laufli </t>
  </si>
  <si>
    <t xml:space="preserve">Atharrayhan Abimanyu Pratama </t>
  </si>
  <si>
    <t xml:space="preserve">Aurelly Diana Zulkarnaen </t>
  </si>
  <si>
    <t xml:space="preserve">Bima Adyatma Ilmiawan </t>
  </si>
  <si>
    <t xml:space="preserve">Cinta Cludia Putri </t>
  </si>
  <si>
    <t xml:space="preserve">Dafsyah Arifa Putra </t>
  </si>
  <si>
    <t xml:space="preserve">Denisa Azka Putri </t>
  </si>
  <si>
    <t xml:space="preserve">Devani Keyla Noris </t>
  </si>
  <si>
    <t xml:space="preserve">Dimas Putra Pribadi </t>
  </si>
  <si>
    <t xml:space="preserve">Elvio Dyahyu Yusanto </t>
  </si>
  <si>
    <t xml:space="preserve">Enisye Putri Zeliawati Limpong </t>
  </si>
  <si>
    <t xml:space="preserve">Fabian Ahza Hidayat </t>
  </si>
  <si>
    <t xml:space="preserve">Fadhilah Raisa Kamilati </t>
  </si>
  <si>
    <t>Nadine</t>
  </si>
  <si>
    <t xml:space="preserve">Jasmine Makayla Putri Arvani </t>
  </si>
  <si>
    <t xml:space="preserve">Khalid Ahmad Ghazali </t>
  </si>
  <si>
    <t xml:space="preserve">Khansa Aulia Damtsa Hylmi </t>
  </si>
  <si>
    <t xml:space="preserve">Lionel Boanerges Raffles Simangunsong </t>
  </si>
  <si>
    <t xml:space="preserve">Mardiansyah Isman </t>
  </si>
  <si>
    <t xml:space="preserve">Mohammad Haikal </t>
  </si>
  <si>
    <t xml:space="preserve">Mohammad Irshad Faizanshah </t>
  </si>
  <si>
    <t>Rekhsa</t>
  </si>
  <si>
    <t xml:space="preserve">Muhamad Thoriq Al Rasyad </t>
  </si>
  <si>
    <t xml:space="preserve">Muhammad Akmaluddin </t>
  </si>
  <si>
    <t xml:space="preserve">Muhammad Ariza Rizkya Irvan </t>
  </si>
  <si>
    <t xml:space="preserve">Muhammad Nazam Rizal </t>
  </si>
  <si>
    <t xml:space="preserve">Muhammad Rasyad Mahdawi </t>
  </si>
  <si>
    <t xml:space="preserve">Neng Rahmi Novianti </t>
  </si>
  <si>
    <t xml:space="preserve">Niesha Anindya Firstsaly </t>
  </si>
  <si>
    <t xml:space="preserve">Oryza Angelina Sitohang </t>
  </si>
  <si>
    <t xml:space="preserve">Priscillia Putri Viona </t>
  </si>
  <si>
    <t xml:space="preserve">Qaniah Mardiyah Salsabila </t>
  </si>
  <si>
    <t xml:space="preserve">Raisha Puri Lianti </t>
  </si>
  <si>
    <t xml:space="preserve">Rasya Arkananta Mulya </t>
  </si>
  <si>
    <t xml:space="preserve">Rusvi Putri Ingguan </t>
  </si>
  <si>
    <t xml:space="preserve">Ruth Rafanela Syeby Siregar </t>
  </si>
  <si>
    <t xml:space="preserve">Titania Dwizita Shahla </t>
  </si>
  <si>
    <t xml:space="preserve">Zaidan Riziq Sakha </t>
  </si>
  <si>
    <t xml:space="preserve">Zalikhah Rasikhah Putri </t>
  </si>
  <si>
    <t xml:space="preserve">Abhinaya Zaidan Akbar </t>
  </si>
  <si>
    <t>Angga</t>
  </si>
  <si>
    <t xml:space="preserve">Andra Rakadityono </t>
  </si>
  <si>
    <t xml:space="preserve">Anjani Safira Salma </t>
  </si>
  <si>
    <t>Hanin</t>
  </si>
  <si>
    <t xml:space="preserve">Ario Bimo Wicaksono </t>
  </si>
  <si>
    <t xml:space="preserve">Arman Firmansyah </t>
  </si>
  <si>
    <t xml:space="preserve">Attaya Putri Faslahi </t>
  </si>
  <si>
    <t xml:space="preserve">Attiyah Naila Adza Alifah </t>
  </si>
  <si>
    <t xml:space="preserve">Aulia Azahra </t>
  </si>
  <si>
    <t xml:space="preserve">Bianca Aurelia Putri Asari </t>
  </si>
  <si>
    <t xml:space="preserve">Bumi Byakta Alfian </t>
  </si>
  <si>
    <t xml:space="preserve">Cheryl Faiha Al-Tair </t>
  </si>
  <si>
    <t xml:space="preserve">Cindy Ramadhani Sinulingga </t>
  </si>
  <si>
    <t xml:space="preserve">Danesh Arrayan Syahreen </t>
  </si>
  <si>
    <t xml:space="preserve">Dhyra Putra Pratama </t>
  </si>
  <si>
    <t xml:space="preserve">Fadya Malikha </t>
  </si>
  <si>
    <t xml:space="preserve">Fajri Pardomuan Pohan </t>
  </si>
  <si>
    <t xml:space="preserve">Farras Putra Zema </t>
  </si>
  <si>
    <t xml:space="preserve">Fathia Amia Rizqi </t>
  </si>
  <si>
    <t xml:space="preserve">Florencia Ivana </t>
  </si>
  <si>
    <t xml:space="preserve">Fricilia Aprilyani Cardoso </t>
  </si>
  <si>
    <t xml:space="preserve">Gerald Samuel Sitanggang </t>
  </si>
  <si>
    <t xml:space="preserve">Jaenal Ikhwan </t>
  </si>
  <si>
    <t xml:space="preserve">Jihan Fauziyyah Latifah </t>
  </si>
  <si>
    <t>Zhafira</t>
  </si>
  <si>
    <t xml:space="preserve">Kartika Larasati </t>
  </si>
  <si>
    <t xml:space="preserve">Keynia Louis Cristin Harianja </t>
  </si>
  <si>
    <t xml:space="preserve">Khairani Asri Utami </t>
  </si>
  <si>
    <t xml:space="preserve">Khalifi Ramadhan Darmawan Anda </t>
  </si>
  <si>
    <t xml:space="preserve">Lathika Aulia Althafunnisa </t>
  </si>
  <si>
    <t xml:space="preserve">Laura Aubrey Gracia Lubis </t>
  </si>
  <si>
    <t xml:space="preserve">Mandariza Arya Pranata Wijaya </t>
  </si>
  <si>
    <t xml:space="preserve">Muhammad Rizzieq Yusuf Natakusumah </t>
  </si>
  <si>
    <t xml:space="preserve">Muhammad Zuhear Alfan </t>
  </si>
  <si>
    <t xml:space="preserve">Nadhifa Farah Falihah </t>
  </si>
  <si>
    <t xml:space="preserve">Nazwa Savira </t>
  </si>
  <si>
    <t xml:space="preserve">Nourman Raditia Putra </t>
  </si>
  <si>
    <t xml:space="preserve">Nursifa Maulidah </t>
  </si>
  <si>
    <t xml:space="preserve">Zhafira </t>
  </si>
  <si>
    <t xml:space="preserve">Pramudhio Sawerigading Ihsan </t>
  </si>
  <si>
    <t xml:space="preserve">Putri Eisya </t>
  </si>
  <si>
    <t xml:space="preserve">Putri Zaqiyah </t>
  </si>
  <si>
    <t xml:space="preserve">Rahma Marissa </t>
  </si>
  <si>
    <t xml:space="preserve">Revan </t>
  </si>
  <si>
    <t xml:space="preserve">Safa Naya Adristi </t>
  </si>
  <si>
    <t xml:space="preserve">Shirane Ghaniyya Ramadhani </t>
  </si>
  <si>
    <t xml:space="preserve">Yasmin Kirani Affifah </t>
  </si>
  <si>
    <t xml:space="preserve">Yasmine Almira Queen </t>
  </si>
  <si>
    <t xml:space="preserve">Ahmad Azmi Mutaarrofi </t>
  </si>
  <si>
    <t>Arumbinang</t>
  </si>
  <si>
    <t xml:space="preserve">Ahmad Farely Azriel </t>
  </si>
  <si>
    <t xml:space="preserve">Alfian Chaniago </t>
  </si>
  <si>
    <t xml:space="preserve">Alleandra Kaif Finandita </t>
  </si>
  <si>
    <t>Najla</t>
  </si>
  <si>
    <t xml:space="preserve">Altaira Aqila Myesha Ario </t>
  </si>
  <si>
    <t xml:space="preserve">Amira Najwa Fauziyah </t>
  </si>
  <si>
    <t xml:space="preserve">Aphrodyta Aurelia Avrilla </t>
  </si>
  <si>
    <t xml:space="preserve">Aqueena Putri Salimah </t>
  </si>
  <si>
    <t xml:space="preserve">Chairani Kanza Wulandaputri </t>
  </si>
  <si>
    <t xml:space="preserve">Dhefa Raditya Putra </t>
  </si>
  <si>
    <t xml:space="preserve">Diaz Syeza Zivanna </t>
  </si>
  <si>
    <t xml:space="preserve">Dwi Nailah Azhara </t>
  </si>
  <si>
    <t xml:space="preserve">Erlangga Ardiyanto </t>
  </si>
  <si>
    <t xml:space="preserve">Fahmi Adilla Pasha </t>
  </si>
  <si>
    <t xml:space="preserve">Fakhi Zulfia Bilqis Nasyifa </t>
  </si>
  <si>
    <t xml:space="preserve">Friska Feby Aulia </t>
  </si>
  <si>
    <t xml:space="preserve">Inaya Janeeta </t>
  </si>
  <si>
    <t xml:space="preserve">Karnizara Ringga Rabbani </t>
  </si>
  <si>
    <t xml:space="preserve">Karunia Dwi Rahmawati </t>
  </si>
  <si>
    <t xml:space="preserve">Keisa Wanda Setiawan </t>
  </si>
  <si>
    <t xml:space="preserve">Keyno Nazmi Afham </t>
  </si>
  <si>
    <t xml:space="preserve">Khansa Vanya Laudya Putri </t>
  </si>
  <si>
    <t>Faliqa</t>
  </si>
  <si>
    <t xml:space="preserve">Lutfi Dwi Melati </t>
  </si>
  <si>
    <t xml:space="preserve">Masayu Ganisha Pembayun Putri </t>
  </si>
  <si>
    <t xml:space="preserve">Mazaya Aqila Betha Diladena </t>
  </si>
  <si>
    <t xml:space="preserve">Muhamad Rizqi Darmawan </t>
  </si>
  <si>
    <t xml:space="preserve">Muhammad Ihsan Putra Pamungkas </t>
  </si>
  <si>
    <t xml:space="preserve">Muhammad Rafi Kurniawan </t>
  </si>
  <si>
    <t xml:space="preserve">Muhammad Sulthon Najib </t>
  </si>
  <si>
    <t xml:space="preserve">Muhammad Zaidan Aqil </t>
  </si>
  <si>
    <t xml:space="preserve">Mutiara Geisya Nuraini </t>
  </si>
  <si>
    <t xml:space="preserve">Priscilia Michelle Pasau </t>
  </si>
  <si>
    <t xml:space="preserve">Puffin Rohis Jusup Manurung </t>
  </si>
  <si>
    <t xml:space="preserve">Quizal Razky Ahmad </t>
  </si>
  <si>
    <t xml:space="preserve">Randy Adiya Pratama Kouw </t>
  </si>
  <si>
    <t xml:space="preserve">Ravino Abbas Subaga </t>
  </si>
  <si>
    <t xml:space="preserve">Rei Dillan Hartedi </t>
  </si>
  <si>
    <t xml:space="preserve">Reni Apriliani </t>
  </si>
  <si>
    <t xml:space="preserve">Rizky Putra Kunta Ajie </t>
  </si>
  <si>
    <t xml:space="preserve">Shabira Andiani </t>
  </si>
  <si>
    <t xml:space="preserve">Shafa Talitha Budiarto </t>
  </si>
  <si>
    <t xml:space="preserve">Shahira Hafiza Putri </t>
  </si>
  <si>
    <t xml:space="preserve">Sheika Rizki Ramadanti Aurelia </t>
  </si>
  <si>
    <t xml:space="preserve">Syahwa Fatmah </t>
  </si>
  <si>
    <t xml:space="preserve">Syakira Alma Annisa </t>
  </si>
  <si>
    <t xml:space="preserve">Tiara Winni Melia </t>
  </si>
  <si>
    <t xml:space="preserve">Achmad Ardiansyah </t>
  </si>
  <si>
    <t xml:space="preserve">Adrian Muhammad Fadillah </t>
  </si>
  <si>
    <t>Taufiq &amp; Adrian</t>
  </si>
  <si>
    <t xml:space="preserve">Aira Alessia Adha </t>
  </si>
  <si>
    <t xml:space="preserve">Aira Febria Sari </t>
  </si>
  <si>
    <t>Farhana</t>
  </si>
  <si>
    <t xml:space="preserve">Al Jadid Syafruddin Lubis </t>
  </si>
  <si>
    <t xml:space="preserve">Alisya Belva Dhio </t>
  </si>
  <si>
    <t xml:space="preserve">Amira Agni Kayla Raisya </t>
  </si>
  <si>
    <t xml:space="preserve">Amirah Khalishah Somoal </t>
  </si>
  <si>
    <t xml:space="preserve">Anas Legawa Riyadi </t>
  </si>
  <si>
    <t xml:space="preserve">Annisa Fitriyani </t>
  </si>
  <si>
    <t xml:space="preserve">Bagaskara Bisma Anoka </t>
  </si>
  <si>
    <t xml:space="preserve">Bilqis Nikita Aylani </t>
  </si>
  <si>
    <t xml:space="preserve">Dilla Novianti Putri </t>
  </si>
  <si>
    <t xml:space="preserve">Dinda Aulia </t>
  </si>
  <si>
    <t xml:space="preserve">Fathimah Septiani Azahra </t>
  </si>
  <si>
    <t xml:space="preserve">Hikmah Septiya </t>
  </si>
  <si>
    <t xml:space="preserve">Hilmi Ardhana Fuady </t>
  </si>
  <si>
    <t xml:space="preserve">Jevelin Ambarep Putri </t>
  </si>
  <si>
    <t xml:space="preserve">Khansa Tabita Aura Sakhi </t>
  </si>
  <si>
    <t xml:space="preserve">Lalitya Namu Wangundahina </t>
  </si>
  <si>
    <t xml:space="preserve">Mahira Aqila Azra </t>
  </si>
  <si>
    <t xml:space="preserve">Muhamad Adri Fachry </t>
  </si>
  <si>
    <t xml:space="preserve">Muhamad Gaza Al-Mahdi </t>
  </si>
  <si>
    <t xml:space="preserve">Muhammad Naufal Rhesa Fernando  </t>
  </si>
  <si>
    <t xml:space="preserve">Muhammad Raya Al Maghfirah </t>
  </si>
  <si>
    <t xml:space="preserve">Muhammad Tristan Sanjaya </t>
  </si>
  <si>
    <t xml:space="preserve">Muhammad Zaidan Wibowo </t>
  </si>
  <si>
    <t>Sabika</t>
  </si>
  <si>
    <t xml:space="preserve">Nabilah Shakeela Kusuma </t>
  </si>
  <si>
    <t xml:space="preserve">Naufal Aditama </t>
  </si>
  <si>
    <t xml:space="preserve">Nayyira Ghania Mehnaz </t>
  </si>
  <si>
    <t xml:space="preserve">Nazwa Nur Rahmah </t>
  </si>
  <si>
    <t xml:space="preserve">Nurul Aulia Ramadhani </t>
  </si>
  <si>
    <t xml:space="preserve">Ohan Marhadi Haryono </t>
  </si>
  <si>
    <t xml:space="preserve">Puthik Ramadani </t>
  </si>
  <si>
    <t xml:space="preserve">Raden Chintya Dewi Maharani </t>
  </si>
  <si>
    <t xml:space="preserve">Raden Ciara Za Syahluna </t>
  </si>
  <si>
    <t xml:space="preserve">Rama Andhika </t>
  </si>
  <si>
    <t xml:space="preserve">Reisha Azzahra Pramesti </t>
  </si>
  <si>
    <t xml:space="preserve">Rheiska Amelia </t>
  </si>
  <si>
    <t xml:space="preserve">Salsabila Kinaya </t>
  </si>
  <si>
    <t xml:space="preserve">Syarafina Nur Alifatuzahro </t>
  </si>
  <si>
    <t xml:space="preserve">Tanty Amelia Al Rasyid </t>
  </si>
  <si>
    <t xml:space="preserve">Teduh Mutiara Hapsari </t>
  </si>
  <si>
    <t xml:space="preserve">Tubagus Mochamad Rizki Fauzan Faris </t>
  </si>
  <si>
    <t xml:space="preserve">Yanza Rizkia Salsabillah </t>
  </si>
  <si>
    <t xml:space="preserve">Achmad Firza Ghibran </t>
  </si>
  <si>
    <t>Rizki Putra</t>
  </si>
  <si>
    <t xml:space="preserve">Adi Pati Jaya Prana </t>
  </si>
  <si>
    <t xml:space="preserve">Alfany Himma Roudina </t>
  </si>
  <si>
    <t>Nisa</t>
  </si>
  <si>
    <t xml:space="preserve">Alisa Putri </t>
  </si>
  <si>
    <t xml:space="preserve">Aqila Noya Faiza </t>
  </si>
  <si>
    <t xml:space="preserve">Bernala Baratama Sirait </t>
  </si>
  <si>
    <t xml:space="preserve">Chempaka Balqist Zavira Mentary Misman </t>
  </si>
  <si>
    <t xml:space="preserve">Defrino Viernadi Laitnis Yusfa </t>
  </si>
  <si>
    <t xml:space="preserve">Dhia Salsabila </t>
  </si>
  <si>
    <t xml:space="preserve">Dinda Dyah Pitaloka </t>
  </si>
  <si>
    <t xml:space="preserve">Dwi Irmawati </t>
  </si>
  <si>
    <t xml:space="preserve">Egi Surjana </t>
  </si>
  <si>
    <t xml:space="preserve">Faiha Raqilla Darmawan </t>
  </si>
  <si>
    <t xml:space="preserve">Fanesya Agfrisfidia </t>
  </si>
  <si>
    <t xml:space="preserve">Fanisa Nurkamila Hamdani </t>
  </si>
  <si>
    <t xml:space="preserve">Farhan Benzema </t>
  </si>
  <si>
    <t xml:space="preserve">Fauzi Castle Satara </t>
  </si>
  <si>
    <t xml:space="preserve">Febri Afriani </t>
  </si>
  <si>
    <t xml:space="preserve">Freja Aira Anindhita </t>
  </si>
  <si>
    <t xml:space="preserve">Hasfa Zulfana Nahdah </t>
  </si>
  <si>
    <t xml:space="preserve">Joceline Sisca Lumongga Manurung </t>
  </si>
  <si>
    <t xml:space="preserve">Keyla Putri Saksono </t>
  </si>
  <si>
    <t xml:space="preserve">Khalisa Silmi Jovita Warsito </t>
  </si>
  <si>
    <t>Bumi</t>
  </si>
  <si>
    <t xml:space="preserve">Kharisma Zahra Tiara Putri </t>
  </si>
  <si>
    <t xml:space="preserve">Mawar Aprilliana </t>
  </si>
  <si>
    <t xml:space="preserve">Mentari Dwi Anggraeni </t>
  </si>
  <si>
    <t xml:space="preserve">Muhammad Azzam Ananda Fatahilah </t>
  </si>
  <si>
    <t xml:space="preserve">Muhammad Hafizh Arrantisi </t>
  </si>
  <si>
    <t xml:space="preserve">Muhammad Musyaffa Latief </t>
  </si>
  <si>
    <t xml:space="preserve">Najwa Citra Lestari </t>
  </si>
  <si>
    <t xml:space="preserve">Nayra Putri Sagita </t>
  </si>
  <si>
    <t xml:space="preserve">Queensha Amiradana Putri Hamka </t>
  </si>
  <si>
    <t xml:space="preserve">Quinsha Rizkya Irawan </t>
  </si>
  <si>
    <t xml:space="preserve">Raasyid Zhariif Santoso </t>
  </si>
  <si>
    <t xml:space="preserve">Raditya Rafa Abdillah </t>
  </si>
  <si>
    <t xml:space="preserve">Raynar Abiyu Diera </t>
  </si>
  <si>
    <t xml:space="preserve">Rayyan Wahyu Ramadhan </t>
  </si>
  <si>
    <t xml:space="preserve">Reva Aulia Putri </t>
  </si>
  <si>
    <t xml:space="preserve">Revina Apriza </t>
  </si>
  <si>
    <t xml:space="preserve">Rossy Indriyati </t>
  </si>
  <si>
    <t xml:space="preserve">Salsa Kirana Putri </t>
  </si>
  <si>
    <t xml:space="preserve">Shalomieta Aira Kinaya </t>
  </si>
  <si>
    <t xml:space="preserve">Syahdan Akbar Mara Putra </t>
  </si>
  <si>
    <t xml:space="preserve">Syahla Adzkannisa Vuzela </t>
  </si>
  <si>
    <t xml:space="preserve">Taufik Hidayah </t>
  </si>
  <si>
    <t xml:space="preserve">Adara Luthfia Putri </t>
  </si>
  <si>
    <t>Shafa Ananda</t>
  </si>
  <si>
    <t xml:space="preserve">Ahmad Fahri Hidayat </t>
  </si>
  <si>
    <t>M. Rizza A</t>
  </si>
  <si>
    <t xml:space="preserve">Aira Kirana </t>
  </si>
  <si>
    <t xml:space="preserve">Aliya Trianzani Putri </t>
  </si>
  <si>
    <t xml:space="preserve">Alya Silvana Sarifah </t>
  </si>
  <si>
    <t xml:space="preserve">Anindya Estyana Damayanti </t>
  </si>
  <si>
    <t xml:space="preserve">Azri Aditya Amada </t>
  </si>
  <si>
    <t xml:space="preserve">Clara Dwi Cahya </t>
  </si>
  <si>
    <t xml:space="preserve">Clarisa Meidiana </t>
  </si>
  <si>
    <t xml:space="preserve">Daffa Khoirul Fajri </t>
  </si>
  <si>
    <t xml:space="preserve">Dhia Devita Ramadhani </t>
  </si>
  <si>
    <t xml:space="preserve">Diajeng Inggil Lintang Aulia </t>
  </si>
  <si>
    <t xml:space="preserve">Elgiva Damara Sanchia </t>
  </si>
  <si>
    <t xml:space="preserve">Enzo Asido Rama Raditya </t>
  </si>
  <si>
    <t xml:space="preserve">Farhan Abdurrahman Yusuf </t>
  </si>
  <si>
    <t xml:space="preserve">Faris Razwa Sambega </t>
  </si>
  <si>
    <t xml:space="preserve">Ghaniyah Adelia </t>
  </si>
  <si>
    <t xml:space="preserve">Hafizh Mumtaz </t>
  </si>
  <si>
    <t xml:space="preserve">Juan Pirlo Benzema </t>
  </si>
  <si>
    <t xml:space="preserve">Kania Putriana Yaswin </t>
  </si>
  <si>
    <t xml:space="preserve">Kaysa Maharani Sofyan </t>
  </si>
  <si>
    <t xml:space="preserve">Keisya Andhita Kirana Putri </t>
  </si>
  <si>
    <t xml:space="preserve">Livia Vidyadhara </t>
  </si>
  <si>
    <t xml:space="preserve">Manar Abbas Bawazir </t>
  </si>
  <si>
    <t xml:space="preserve">Mohammad Arsa Dafansyah </t>
  </si>
  <si>
    <t xml:space="preserve">Muhamad Yusuf Zarkasi </t>
  </si>
  <si>
    <t xml:space="preserve">Muhammad Arsyal Divo Firmansyah </t>
  </si>
  <si>
    <t xml:space="preserve">Muhammad Danish Fathul Ulum </t>
  </si>
  <si>
    <t xml:space="preserve">Muhammad Fathandra Rizki </t>
  </si>
  <si>
    <t xml:space="preserve">Muhammad Gabriel </t>
  </si>
  <si>
    <t xml:space="preserve">Myiesha Lunar Wisesa Putri </t>
  </si>
  <si>
    <t xml:space="preserve">Nadila Safira </t>
  </si>
  <si>
    <t xml:space="preserve">Naurah Afifah Amaliyah </t>
  </si>
  <si>
    <t xml:space="preserve">Nayla Widya Cakraprawartana </t>
  </si>
  <si>
    <t xml:space="preserve">Nydia Aisyah Allifia </t>
  </si>
  <si>
    <t xml:space="preserve">Raihana Humairah Budianto </t>
  </si>
  <si>
    <t xml:space="preserve">Raisa Putri Rahima </t>
  </si>
  <si>
    <t xml:space="preserve">Rindu Gatari Asmiladi </t>
  </si>
  <si>
    <t xml:space="preserve">Salman Latif Anshari </t>
  </si>
  <si>
    <t xml:space="preserve">Siti Iklima Sakurani </t>
  </si>
  <si>
    <t xml:space="preserve">Sultan Reynard Sabdadika </t>
  </si>
  <si>
    <t xml:space="preserve">Syafiqa Bariq Mahya </t>
  </si>
  <si>
    <t xml:space="preserve">Syahluna Ananta Putri </t>
  </si>
  <si>
    <t xml:space="preserve">Tabah Rafie Abdillah </t>
  </si>
  <si>
    <t xml:space="preserve">Tristan Lovriano Aryasatya </t>
  </si>
  <si>
    <t xml:space="preserve">Zafira Salsa Haniah </t>
  </si>
  <si>
    <t xml:space="preserve">Adelia Niken </t>
  </si>
  <si>
    <t>Sakina</t>
  </si>
  <si>
    <t xml:space="preserve">Aisyah Agustiani </t>
  </si>
  <si>
    <t xml:space="preserve">Alenka Meisyarofa </t>
  </si>
  <si>
    <t xml:space="preserve">Alifa Taqqiya Zahwa </t>
  </si>
  <si>
    <t xml:space="preserve">Alifah Hasannah </t>
  </si>
  <si>
    <t xml:space="preserve">Andagita Vilnaria Atha </t>
  </si>
  <si>
    <t xml:space="preserve">Ariqah Putri Nasution </t>
  </si>
  <si>
    <t xml:space="preserve">Aulia Cinta Divia </t>
  </si>
  <si>
    <t xml:space="preserve">Aysha Mahira Dewi Tryana </t>
  </si>
  <si>
    <t xml:space="preserve">Belinda Angelica  </t>
  </si>
  <si>
    <t xml:space="preserve">Bima Anggareksa Yusiansyah </t>
  </si>
  <si>
    <t>Teguh</t>
  </si>
  <si>
    <t xml:space="preserve">Dela Ananda Putri  </t>
  </si>
  <si>
    <t xml:space="preserve">Dian Noer Savitri  </t>
  </si>
  <si>
    <t xml:space="preserve">Diandra Mentari Fazri  </t>
  </si>
  <si>
    <t xml:space="preserve">Divania Kayla Windu Sabrina </t>
  </si>
  <si>
    <t xml:space="preserve">Dyshan Attaya Haq Triatno </t>
  </si>
  <si>
    <t xml:space="preserve">Farid Pradana </t>
  </si>
  <si>
    <t xml:space="preserve">Fathia Adilla Ramsha </t>
  </si>
  <si>
    <t xml:space="preserve">Gracia Valen Manik </t>
  </si>
  <si>
    <t xml:space="preserve">Kania Wismar Adnyana  </t>
  </si>
  <si>
    <t>Arsyila</t>
  </si>
  <si>
    <t xml:space="preserve">Kaysan Umar Azka Setiawan </t>
  </si>
  <si>
    <t xml:space="preserve">Luqman Aziz Saputro </t>
  </si>
  <si>
    <t xml:space="preserve">Mirza Maulana Altamis </t>
  </si>
  <si>
    <t xml:space="preserve">Mouris Marcha Adisty </t>
  </si>
  <si>
    <t xml:space="preserve">Muhamad Ilham Akbar </t>
  </si>
  <si>
    <t xml:space="preserve">Muhamad Mustakim </t>
  </si>
  <si>
    <t xml:space="preserve">Muhammad Faiz Fathian </t>
  </si>
  <si>
    <t xml:space="preserve">Muhammad Fariz Nuh </t>
  </si>
  <si>
    <t xml:space="preserve">Muhammad Fawaz Ali </t>
  </si>
  <si>
    <t xml:space="preserve">Muhammad Rafli Ramsha </t>
  </si>
  <si>
    <t xml:space="preserve">Muhammad Yafiargi Simbangando </t>
  </si>
  <si>
    <t xml:space="preserve">Naila Khansa Rahmawati </t>
  </si>
  <si>
    <t xml:space="preserve">Namira Nur Azkia </t>
  </si>
  <si>
    <t xml:space="preserve">Naswa Ramadhani </t>
  </si>
  <si>
    <t xml:space="preserve">Nayla Ulya Taqiyya </t>
  </si>
  <si>
    <t xml:space="preserve">Nazwa Malika Asral </t>
  </si>
  <si>
    <t xml:space="preserve">Ni'Matul Aulia Ningtias </t>
  </si>
  <si>
    <t xml:space="preserve">Nikesha Nashwa Damara </t>
  </si>
  <si>
    <t xml:space="preserve">Quensha Rahayu Kusuma Agora </t>
  </si>
  <si>
    <t xml:space="preserve">Quincha Aura Brilliani </t>
  </si>
  <si>
    <t xml:space="preserve">Raihan Farras Sutisna </t>
  </si>
  <si>
    <t xml:space="preserve">Raka Syabany Amsyah </t>
  </si>
  <si>
    <t xml:space="preserve">Ryzen Gevandra Wirapratama </t>
  </si>
  <si>
    <t xml:space="preserve">Sinta Dwi Nuri Widodo </t>
  </si>
  <si>
    <t xml:space="preserve">Syarifah Nur Salsabila </t>
  </si>
  <si>
    <t xml:space="preserve">Tsamara Privita Sya'Ban Syahdu </t>
  </si>
  <si>
    <t xml:space="preserve">Yuzusie Aida Nenat </t>
  </si>
  <si>
    <t xml:space="preserve">Abyan Zuka Ibrahim Nasution </t>
  </si>
  <si>
    <t>Veril</t>
  </si>
  <si>
    <t xml:space="preserve">Ahmad Hafidz Anwar </t>
  </si>
  <si>
    <t xml:space="preserve">Aishanna Latifa Harjono </t>
  </si>
  <si>
    <t>Tiara A</t>
  </si>
  <si>
    <t xml:space="preserve">Aqila Elmohri </t>
  </si>
  <si>
    <t xml:space="preserve">Aqilla Al-Farabi </t>
  </si>
  <si>
    <t xml:space="preserve">Ariyo Raditya Putra </t>
  </si>
  <si>
    <t xml:space="preserve">Asshafa Nur Intan </t>
  </si>
  <si>
    <t xml:space="preserve">Attar Palestine Taha </t>
  </si>
  <si>
    <t xml:space="preserve">Aufa Khairunnisa </t>
  </si>
  <si>
    <t xml:space="preserve">Balqis Luthfiyah Zahra </t>
  </si>
  <si>
    <t xml:space="preserve">Chayra Putri Dwinata </t>
  </si>
  <si>
    <t xml:space="preserve">Cheryl Anandiora </t>
  </si>
  <si>
    <t xml:space="preserve">Dahayu Nadhilah Syafa </t>
  </si>
  <si>
    <t xml:space="preserve">Elen Vanesyah Wahyudi </t>
  </si>
  <si>
    <t xml:space="preserve">Fitrah Thirafi </t>
  </si>
  <si>
    <t xml:space="preserve">Fitri Rahmawati </t>
  </si>
  <si>
    <t xml:space="preserve">Ghaniah Aqilah </t>
  </si>
  <si>
    <t xml:space="preserve">Hizam Kynan Putra Purwanto </t>
  </si>
  <si>
    <t xml:space="preserve">Ilham Rizki Pratama </t>
  </si>
  <si>
    <t xml:space="preserve">Izaz Izzatul Islam </t>
  </si>
  <si>
    <t xml:space="preserve">Jazila Abid Niyaz Chan Lase </t>
  </si>
  <si>
    <t xml:space="preserve">Jihan Nailatusy Syarafah </t>
  </si>
  <si>
    <t xml:space="preserve">Kanza Olivia Ramadhani </t>
  </si>
  <si>
    <t>Almira Dian P</t>
  </si>
  <si>
    <t xml:space="preserve">Kayla Tria Fatarani </t>
  </si>
  <si>
    <t xml:space="preserve">Mahera Raisha Davanita Faizal </t>
  </si>
  <si>
    <t xml:space="preserve">Muhamad Juan Arkhan </t>
  </si>
  <si>
    <t xml:space="preserve">Muhammad Ariel Setiawan </t>
  </si>
  <si>
    <t xml:space="preserve">Muhammad Azka Shahizinda </t>
  </si>
  <si>
    <t xml:space="preserve">Muhammad Daffa Alfarizki </t>
  </si>
  <si>
    <t xml:space="preserve">Muhammad Fadil Ranoval </t>
  </si>
  <si>
    <t xml:space="preserve">Muhammad In'Amul Aufa </t>
  </si>
  <si>
    <t xml:space="preserve">Muhammad Reyhan Alfariky </t>
  </si>
  <si>
    <t xml:space="preserve">Muhammad Sayyid Amjad </t>
  </si>
  <si>
    <t xml:space="preserve">Nararya Hylmi Kenzie </t>
  </si>
  <si>
    <t xml:space="preserve">Nur Azizah </t>
  </si>
  <si>
    <t xml:space="preserve">Qitrie Anisa Khaeri </t>
  </si>
  <si>
    <t xml:space="preserve">Radya Camilla Arinda </t>
  </si>
  <si>
    <t xml:space="preserve">Rahardian Muhamad Abisiena Koeswara </t>
  </si>
  <si>
    <t xml:space="preserve">Raihana Syafiqah Andyni </t>
  </si>
  <si>
    <t xml:space="preserve">Rassya Faiq Hibatullah </t>
  </si>
  <si>
    <t xml:space="preserve">Reynaldi </t>
  </si>
  <si>
    <t xml:space="preserve">Sekar Raynaningrum </t>
  </si>
  <si>
    <t xml:space="preserve">Syahla Nurul Arisma </t>
  </si>
  <si>
    <t xml:space="preserve">Syauqi Anandya Putri </t>
  </si>
  <si>
    <t xml:space="preserve">Tayya Dzulhijjah Mokodompit </t>
  </si>
  <si>
    <t>Almira  Dian P</t>
  </si>
  <si>
    <t xml:space="preserve">Abdul Ghofar </t>
  </si>
  <si>
    <t xml:space="preserve">Aditya Bayu Sutanto </t>
  </si>
  <si>
    <t>Irghi</t>
  </si>
  <si>
    <t xml:space="preserve">Affy Kaew Ni'Mitr Alhanafi </t>
  </si>
  <si>
    <t xml:space="preserve">Ahmad Husein Al Latief </t>
  </si>
  <si>
    <t xml:space="preserve">Akram Mubarak </t>
  </si>
  <si>
    <t xml:space="preserve">Alfi Amalia </t>
  </si>
  <si>
    <t>Citra</t>
  </si>
  <si>
    <t xml:space="preserve">Amelia Nur Zahra </t>
  </si>
  <si>
    <t xml:space="preserve">Ananda Bari Al Kausar </t>
  </si>
  <si>
    <t xml:space="preserve">Ataya Arkan Ramadhan </t>
  </si>
  <si>
    <t xml:space="preserve">Athaya Muhammad Daffa </t>
  </si>
  <si>
    <t xml:space="preserve">Aura Nabilah Zahirah </t>
  </si>
  <si>
    <t xml:space="preserve">Aurora Putri Samudra Dwiko </t>
  </si>
  <si>
    <t xml:space="preserve">Belva Thalita Ramadhena </t>
  </si>
  <si>
    <t xml:space="preserve">Bintang Mahardika Abhyoso Ardy </t>
  </si>
  <si>
    <t xml:space="preserve">Claudia Dominique Gabriella Torus </t>
  </si>
  <si>
    <t xml:space="preserve">Dinara Savina </t>
  </si>
  <si>
    <t xml:space="preserve">Dinda Syifa Rahmayanti </t>
  </si>
  <si>
    <t xml:space="preserve">Dindin Andini Suryaman </t>
  </si>
  <si>
    <t xml:space="preserve">Gita Tazkiyatunnisa </t>
  </si>
  <si>
    <t xml:space="preserve">Haifa Aysha Zahira </t>
  </si>
  <si>
    <t xml:space="preserve">Intan Dwi Novianingrum </t>
  </si>
  <si>
    <t xml:space="preserve">Isnaini Fauziyah Utomo </t>
  </si>
  <si>
    <t xml:space="preserve">Jeremia Geraldo Siregar </t>
  </si>
  <si>
    <t xml:space="preserve">Jerry Dwi Cahyono Putro </t>
  </si>
  <si>
    <t xml:space="preserve">Jovan Khayru Affandi </t>
  </si>
  <si>
    <t xml:space="preserve">Kayla Althafunnisa Arrasyid </t>
  </si>
  <si>
    <t xml:space="preserve">Keyla Ananda Safitri </t>
  </si>
  <si>
    <t>Lexa</t>
  </si>
  <si>
    <t xml:space="preserve">Khanza Aprillia Risyadi </t>
  </si>
  <si>
    <t xml:space="preserve">Maroen Al-Fatih Ibrahimessi </t>
  </si>
  <si>
    <t xml:space="preserve">Muhamad Raihan Rizqullah </t>
  </si>
  <si>
    <t xml:space="preserve">Muhammad Akhtar Arkana Ramadhan </t>
  </si>
  <si>
    <t xml:space="preserve">Muhammad Tsafiq Ihsan </t>
  </si>
  <si>
    <t xml:space="preserve">Naqeesyaa Dhanova Al Adzra </t>
  </si>
  <si>
    <t xml:space="preserve">Naufal Arzharel Ibrahimovic </t>
  </si>
  <si>
    <t xml:space="preserve">Naura Luvenavita Krisdianto </t>
  </si>
  <si>
    <t xml:space="preserve">Nava Marietta Siahaan </t>
  </si>
  <si>
    <t xml:space="preserve">Queensha Anindya Azka </t>
  </si>
  <si>
    <t xml:space="preserve">Rafael Anhar Armando </t>
  </si>
  <si>
    <t xml:space="preserve">Rahmania Azahra </t>
  </si>
  <si>
    <t xml:space="preserve">Raivan Elang Pramono </t>
  </si>
  <si>
    <t xml:space="preserve">Rizqiyanah Qaysarania Herawan </t>
  </si>
  <si>
    <t xml:space="preserve">Salsha Aulia Akbar </t>
  </si>
  <si>
    <t xml:space="preserve">Sashikirana Luvena Maheswari </t>
  </si>
  <si>
    <t xml:space="preserve">Silvya Sri Aprilianti </t>
  </si>
  <si>
    <t xml:space="preserve">Syaakhira Fauziah </t>
  </si>
  <si>
    <t xml:space="preserve">Vincentius Daniel Ornando </t>
  </si>
  <si>
    <t xml:space="preserve">Adinda Garnetha Prasistha </t>
  </si>
  <si>
    <t xml:space="preserve">Nia </t>
  </si>
  <si>
    <t xml:space="preserve">Ajeng Adisty Fahira </t>
  </si>
  <si>
    <t xml:space="preserve">Al Fathdry Rizky Wibowo </t>
  </si>
  <si>
    <t>Khadafi</t>
  </si>
  <si>
    <t xml:space="preserve">Almira Aprilia Putri </t>
  </si>
  <si>
    <t>Nia</t>
  </si>
  <si>
    <t xml:space="preserve">Anndita </t>
  </si>
  <si>
    <t xml:space="preserve">Askana Nailazahran Hermansyah </t>
  </si>
  <si>
    <t xml:space="preserve">Aulia Intan Rhamadhani </t>
  </si>
  <si>
    <t xml:space="preserve">Avrillino Herza Pratama </t>
  </si>
  <si>
    <t xml:space="preserve">Aziz Sakhi Zaidan </t>
  </si>
  <si>
    <t xml:space="preserve">Azka Ivano Ananda Hidayat </t>
  </si>
  <si>
    <t xml:space="preserve">Azkiara Andhita </t>
  </si>
  <si>
    <t xml:space="preserve">Azzalea Sakinah Ayura Putri </t>
  </si>
  <si>
    <t xml:space="preserve">Balqis Jauza Sabreenijka </t>
  </si>
  <si>
    <t xml:space="preserve">Carissa Alia Andinaputri </t>
  </si>
  <si>
    <t xml:space="preserve">Chntya Serlin Armedta Hia </t>
  </si>
  <si>
    <t xml:space="preserve">Evan Diaz </t>
  </si>
  <si>
    <t xml:space="preserve">Fannan Hoseki Fayyaz </t>
  </si>
  <si>
    <t xml:space="preserve">Galuh Pria Esa </t>
  </si>
  <si>
    <t xml:space="preserve">Henokh Prada Dhanendra Prasada </t>
  </si>
  <si>
    <t xml:space="preserve">Jazirah Rahmah </t>
  </si>
  <si>
    <t xml:space="preserve">Kaira Fatiya Nurfan </t>
  </si>
  <si>
    <t>Annisa</t>
  </si>
  <si>
    <t xml:space="preserve">Linggara Anugrah </t>
  </si>
  <si>
    <t xml:space="preserve">Luna Majidah Zafira </t>
  </si>
  <si>
    <t xml:space="preserve">Lutfiana Silva </t>
  </si>
  <si>
    <t xml:space="preserve">Mazaya Marva Mardyanti </t>
  </si>
  <si>
    <t xml:space="preserve">Misykah Adzra Maulida </t>
  </si>
  <si>
    <t xml:space="preserve">Muhamad Reyhan Nurhakim </t>
  </si>
  <si>
    <t xml:space="preserve">Muhammad Evan Fadillah </t>
  </si>
  <si>
    <t xml:space="preserve">Muhammad Fahry Tyandra </t>
  </si>
  <si>
    <t xml:space="preserve">Muhammad Ieddzar Haradiya </t>
  </si>
  <si>
    <t xml:space="preserve">Muhammad Revan Adi Saputra </t>
  </si>
  <si>
    <t xml:space="preserve">Muhammad Zaky Winata </t>
  </si>
  <si>
    <t xml:space="preserve">Nadhifa Amelia Garjita </t>
  </si>
  <si>
    <t xml:space="preserve">Nadia Delisa Saefani </t>
  </si>
  <si>
    <t xml:space="preserve">Neysha Aurelya Azzahra </t>
  </si>
  <si>
    <t xml:space="preserve">Rafa Farand Pratama </t>
  </si>
  <si>
    <t xml:space="preserve">Rendy Gilang Novianto </t>
  </si>
  <si>
    <t xml:space="preserve">Ruvita Rinjani </t>
  </si>
  <si>
    <t xml:space="preserve">Salmaa Saalimah Wibowo </t>
  </si>
  <si>
    <t xml:space="preserve">Salsabil Mulki </t>
  </si>
  <si>
    <t xml:space="preserve">Shaquille Putra Yudira </t>
  </si>
  <si>
    <t xml:space="preserve">Siva Muliyanti </t>
  </si>
  <si>
    <t xml:space="preserve">Tiara Zenobia Nafisa </t>
  </si>
  <si>
    <t xml:space="preserve">Vilvizeeya Hazira Kurnia </t>
  </si>
  <si>
    <t xml:space="preserve">Weny Meylieneke Sianipar </t>
  </si>
  <si>
    <t xml:space="preserve">Yoanne Mulin Averina </t>
  </si>
  <si>
    <t xml:space="preserve">Zaki Arya Wicaksono </t>
  </si>
  <si>
    <t xml:space="preserve">Zelda Hanifah Zaneta </t>
  </si>
  <si>
    <t xml:space="preserve">Afgan Prima Rizkia Iskandar </t>
  </si>
  <si>
    <t>Almer</t>
  </si>
  <si>
    <t xml:space="preserve">Aik Novitasari </t>
  </si>
  <si>
    <t>Ninda</t>
  </si>
  <si>
    <t xml:space="preserve">Aisyah Aqilah Agni </t>
  </si>
  <si>
    <t xml:space="preserve">Aisyah Hanifa Redana </t>
  </si>
  <si>
    <t xml:space="preserve">Allya Luthfiah Putri </t>
  </si>
  <si>
    <t xml:space="preserve">Annisa Salsabilla </t>
  </si>
  <si>
    <t xml:space="preserve">Arsyad Khaerul Izzan </t>
  </si>
  <si>
    <t xml:space="preserve">Aruni Khalila Ayu </t>
  </si>
  <si>
    <t xml:space="preserve">Avemarianne Ninetrie Septiane </t>
  </si>
  <si>
    <t xml:space="preserve">Ayi Artadinata </t>
  </si>
  <si>
    <t xml:space="preserve">Ayra Jauzaa Viranda </t>
  </si>
  <si>
    <t xml:space="preserve">Bintang Jati Pratama </t>
  </si>
  <si>
    <t xml:space="preserve">Daffa Hafizh Firdausi </t>
  </si>
  <si>
    <t xml:space="preserve">Damara Dasha Bahi Utomo </t>
  </si>
  <si>
    <t xml:space="preserve">Deana Azalea Belva </t>
  </si>
  <si>
    <t xml:space="preserve">Delfa Maharani </t>
  </si>
  <si>
    <t xml:space="preserve">Fauza Nur Aziema </t>
  </si>
  <si>
    <t xml:space="preserve">Gefira Azizatul Hasanah </t>
  </si>
  <si>
    <t xml:space="preserve">Keisha Nurazizah </t>
  </si>
  <si>
    <t xml:space="preserve">Kenzie Dzakwan Ibrahim </t>
  </si>
  <si>
    <t xml:space="preserve">Kesyha Ramadhani </t>
  </si>
  <si>
    <t xml:space="preserve">Kevin Septian Ramadhan </t>
  </si>
  <si>
    <t xml:space="preserve">Madina Zulfa Aini </t>
  </si>
  <si>
    <t>Fiona</t>
  </si>
  <si>
    <t xml:space="preserve">Maheswara Pekik Hanuraga </t>
  </si>
  <si>
    <t xml:space="preserve">Maria Agatha Cherlin Christiani </t>
  </si>
  <si>
    <t xml:space="preserve">Maulida Ainnurahma </t>
  </si>
  <si>
    <t xml:space="preserve">Muhamad Subkhi </t>
  </si>
  <si>
    <t xml:space="preserve">Muhammad Armanugie Saputra </t>
  </si>
  <si>
    <t xml:space="preserve">Muhammad Javier </t>
  </si>
  <si>
    <t xml:space="preserve">Muhammad Zahran Rifai </t>
  </si>
  <si>
    <t xml:space="preserve">Nadhifa Qeysa Auliani Soehardi </t>
  </si>
  <si>
    <t xml:space="preserve">Naila </t>
  </si>
  <si>
    <t xml:space="preserve">Natiq Tawqir Muniruzzaman Anandamaya </t>
  </si>
  <si>
    <t xml:space="preserve">Naureen Shabiha Zahira </t>
  </si>
  <si>
    <t xml:space="preserve">Nayla Lyra Sagita </t>
  </si>
  <si>
    <t xml:space="preserve">Naywa Dinda Kansana Lubis </t>
  </si>
  <si>
    <t xml:space="preserve">Ni Putu Anjani Dewi Diningrat </t>
  </si>
  <si>
    <t xml:space="preserve">Olivia Desvita Sari </t>
  </si>
  <si>
    <t xml:space="preserve">R.A.M. Fakhri Izzuddin Mashur </t>
  </si>
  <si>
    <t xml:space="preserve">Radinka Alano Hamizan Abqari </t>
  </si>
  <si>
    <t xml:space="preserve">Rifqah Ramadhani </t>
  </si>
  <si>
    <t xml:space="preserve">Roshan Aidan Juro Aprianto </t>
  </si>
  <si>
    <t xml:space="preserve">Ruba Aqeela Hafizha Mecca </t>
  </si>
  <si>
    <t xml:space="preserve">Sajna Jerrusalem Kharima Sugeng Putri </t>
  </si>
  <si>
    <t xml:space="preserve">Shahrazad Aulia Handyanto </t>
  </si>
  <si>
    <t xml:space="preserve">Syahla Salsabila Ramdani </t>
  </si>
  <si>
    <t xml:space="preserve">Velicya Arnelita Zahra Suryana </t>
  </si>
  <si>
    <t xml:space="preserve">Zalfa Rizqia Nur Nadhifa </t>
  </si>
  <si>
    <t>Jml Pertemuan Terlaksana
9 Agustus - 22 Nov</t>
  </si>
  <si>
    <t>MasterClass</t>
  </si>
  <si>
    <t>Jumlah Hadir
9 Agustus -  22 Nov</t>
  </si>
  <si>
    <t>ABSENSI SISWA</t>
  </si>
  <si>
    <t>Total Hadir</t>
  </si>
  <si>
    <t>L</t>
  </si>
  <si>
    <t>P</t>
  </si>
  <si>
    <t>LAKI - LAKI</t>
  </si>
  <si>
    <t>PEREMPUAN</t>
  </si>
  <si>
    <t>Cibinong,  Juli  2025</t>
  </si>
  <si>
    <t>JUMLAH</t>
  </si>
  <si>
    <t>Guru  Mata  Pelajaran,</t>
  </si>
  <si>
    <t>Supermentor</t>
  </si>
  <si>
    <t>Mentor + Supermentor</t>
  </si>
  <si>
    <t>Mentor + Supermentoring</t>
  </si>
  <si>
    <t>Total Pertemuan</t>
  </si>
  <si>
    <t>Jumlah Hadir</t>
  </si>
  <si>
    <t>DAFTAR SISWA KELAS XII</t>
  </si>
  <si>
    <t xml:space="preserve">TAHUN PELAJARAN 2025/2026 </t>
  </si>
  <si>
    <t>KELAS  XII A-1</t>
  </si>
  <si>
    <t>Wali Kelas :  Hj. Sri Endang Wigati, M.Pd</t>
  </si>
  <si>
    <t>0081827201</t>
  </si>
  <si>
    <t>ALYSSA MUTIARA SAPTIA</t>
  </si>
  <si>
    <t>0075982034</t>
  </si>
  <si>
    <t>ARKANULIYA AKRAMINA</t>
  </si>
  <si>
    <t>0088752957</t>
  </si>
  <si>
    <t>ASYKAR HANDA AL MUNAWWAR</t>
  </si>
  <si>
    <t>0076649308</t>
  </si>
  <si>
    <t>ATHIYYA MUMTAZA</t>
  </si>
  <si>
    <t>0086952864</t>
  </si>
  <si>
    <t>AYU WIDYA NINGSIH</t>
  </si>
  <si>
    <t>0086406093</t>
  </si>
  <si>
    <t>ESSI ESTER ANJUANI MANIK</t>
  </si>
  <si>
    <t>0089042282</t>
  </si>
  <si>
    <t>FADILA KURNIA CAHYA</t>
  </si>
  <si>
    <t>0077858999</t>
  </si>
  <si>
    <t>GHAISANI SYIFA INDRIANI</t>
  </si>
  <si>
    <t>0076416354</t>
  </si>
  <si>
    <t>IZRA ELIZA</t>
  </si>
  <si>
    <t>0078188380</t>
  </si>
  <si>
    <t>JIHAN BALQISHA PUTRIANA</t>
  </si>
  <si>
    <t>0073915660</t>
  </si>
  <si>
    <t>LOVITA EMERY SAMUDRO</t>
  </si>
  <si>
    <t>0088226204</t>
  </si>
  <si>
    <t>MIRANDA PUTRI</t>
  </si>
  <si>
    <t>0073774316</t>
  </si>
  <si>
    <t>MONA PUTRI ARYATI</t>
  </si>
  <si>
    <t>0089985671</t>
  </si>
  <si>
    <t>MUHAMMAD AFIF ZARRAR P</t>
  </si>
  <si>
    <t>0077973166</t>
  </si>
  <si>
    <t>MUHAMMAD DAFA</t>
  </si>
  <si>
    <t>0074155023</t>
  </si>
  <si>
    <t>MUHAMMAD DZIKRI SETIAWAN</t>
  </si>
  <si>
    <t>0077309800</t>
  </si>
  <si>
    <t>MUHAMMAD FACHRI ADRIANSYAH</t>
  </si>
  <si>
    <t>0076238206</t>
  </si>
  <si>
    <t>NAILA AULIA SUPRIADI</t>
  </si>
  <si>
    <t>0081190471</t>
  </si>
  <si>
    <t>NAJLA HANIFAH ZULTANI</t>
  </si>
  <si>
    <t>0089749933</t>
  </si>
  <si>
    <t>NIKEISHA VIVIA INDRANI</t>
  </si>
  <si>
    <t>0074254843</t>
  </si>
  <si>
    <t>OKTAVIANI PUTRI SILALAHI</t>
  </si>
  <si>
    <t>0085561843</t>
  </si>
  <si>
    <t>PANNY CHANTIKA PASRA</t>
  </si>
  <si>
    <t>0088156626</t>
  </si>
  <si>
    <t>PUTRI INAYA KHAERANY</t>
  </si>
  <si>
    <t>0087854736</t>
  </si>
  <si>
    <t>RAFEYFA ASYLA</t>
  </si>
  <si>
    <t>0076913614</t>
  </si>
  <si>
    <t>RAIHAN GUSTI RAMADHAN</t>
  </si>
  <si>
    <t>0085216950</t>
  </si>
  <si>
    <t>RAVINA AMALYNA KYUMI</t>
  </si>
  <si>
    <t>0086654765</t>
  </si>
  <si>
    <t>RULA SALSABILAH LUBIS</t>
  </si>
  <si>
    <t>0089746012</t>
  </si>
  <si>
    <t>SALMA LATIEFAH NOER</t>
  </si>
  <si>
    <t>0082814532</t>
  </si>
  <si>
    <t>SHENDY AZIZAH ISNENLY</t>
  </si>
  <si>
    <t>0074140525</t>
  </si>
  <si>
    <t>SHYABILLA NISHRINA S.M</t>
  </si>
  <si>
    <t>0088426253</t>
  </si>
  <si>
    <t>SITI ZASKIYAH</t>
  </si>
  <si>
    <t>0083972733</t>
  </si>
  <si>
    <t>SUCI KAMILA</t>
  </si>
  <si>
    <t>0076246376</t>
  </si>
  <si>
    <t>SYAHRUL FIRDANI SUGANDA</t>
  </si>
  <si>
    <t>0088711881</t>
  </si>
  <si>
    <t>TAMARIN DARITRI NAYLA</t>
  </si>
  <si>
    <t>0088972080</t>
  </si>
  <si>
    <t>THEO RISQI MARLEY</t>
  </si>
  <si>
    <t>2324.10.405</t>
  </si>
  <si>
    <t>0083973195</t>
  </si>
  <si>
    <t>VERIL SATRIA MULYA</t>
  </si>
  <si>
    <t>Supermentoring + mentor</t>
  </si>
  <si>
    <t>KELAS  XII A-2</t>
  </si>
  <si>
    <t>Wali Kelas : Dini Nurhasanah, S.Pd</t>
  </si>
  <si>
    <t>0073886422</t>
  </si>
  <si>
    <t>AZMIRULA SYAHDA WAHADA G.</t>
  </si>
  <si>
    <t>0074944988</t>
  </si>
  <si>
    <t>CINTYA RAMADHANI S.</t>
  </si>
  <si>
    <t>0085137475</t>
  </si>
  <si>
    <t>CYRILLA ELVARETTA N.</t>
  </si>
  <si>
    <t>009441104</t>
  </si>
  <si>
    <t>DAFFA RIZKY DARMAWAN</t>
  </si>
  <si>
    <t>0089690398</t>
  </si>
  <si>
    <t>DIMAS RIZKY SATRIAWAN</t>
  </si>
  <si>
    <t>0084835292</t>
  </si>
  <si>
    <t>DINAR ADILLA MUFIDASARI</t>
  </si>
  <si>
    <t>0086173814</t>
  </si>
  <si>
    <t>ERIKA JULIA GRACIA SIHITE</t>
  </si>
  <si>
    <t>0078231851</t>
  </si>
  <si>
    <t>FARIS FAIZANNAJMY BASYIR</t>
  </si>
  <si>
    <t>0071804532</t>
  </si>
  <si>
    <t>FIRLY MAHESA HARDIANSYAH</t>
  </si>
  <si>
    <t>0086662749</t>
  </si>
  <si>
    <t>GEDE WIRA YUDISTIRA</t>
  </si>
  <si>
    <t>0088494554</t>
  </si>
  <si>
    <t>GRACE GLORYA MIRACLE ZILIWU</t>
  </si>
  <si>
    <t>3071630815</t>
  </si>
  <si>
    <t>HASANI ZAHWAN A.</t>
  </si>
  <si>
    <t>0073641997</t>
  </si>
  <si>
    <t>KANAKA ABHINAYA ZAHRAN S.</t>
  </si>
  <si>
    <t>0089026118</t>
  </si>
  <si>
    <t>KAYLA SALSABIL MAJID</t>
  </si>
  <si>
    <t>0089140087</t>
  </si>
  <si>
    <t>MUHAMMMAD IBNI HADYAN N.</t>
  </si>
  <si>
    <t>0077119490</t>
  </si>
  <si>
    <t>MELANI PUTRI ANGRAINI</t>
  </si>
  <si>
    <t>0086455515</t>
  </si>
  <si>
    <t>NABILA ANGGRAINI</t>
  </si>
  <si>
    <t>0084931170</t>
  </si>
  <si>
    <t>NATASIYA SIHOMBING</t>
  </si>
  <si>
    <t>0085365990</t>
  </si>
  <si>
    <t>NATASYA PUTRI ERWINA</t>
  </si>
  <si>
    <t>0086117592</t>
  </si>
  <si>
    <t>NAUFAL AKHDAN ATHAFARHANI</t>
  </si>
  <si>
    <t>0084353121</t>
  </si>
  <si>
    <t>NAZWA AULIA</t>
  </si>
  <si>
    <t>0089082411</t>
  </si>
  <si>
    <t>NIKEN DWI INTAN SEPTI RAMADHANI</t>
  </si>
  <si>
    <t>0083397798</t>
  </si>
  <si>
    <t>NURUL SYIFA NAYLA</t>
  </si>
  <si>
    <t>2324.10.298</t>
  </si>
  <si>
    <t>0074122304</t>
  </si>
  <si>
    <t>ODILIA SEKAR AYU PRASISTA</t>
  </si>
  <si>
    <t>3066151902</t>
  </si>
  <si>
    <t>QISSYA ALICKA SYAKILA</t>
  </si>
  <si>
    <t>0089413785</t>
  </si>
  <si>
    <t>RAFA AQILA FARIHA</t>
  </si>
  <si>
    <t>0074283202</t>
  </si>
  <si>
    <t>RAISA NUR RIZKY RAMADHANI</t>
  </si>
  <si>
    <t>0105179031</t>
  </si>
  <si>
    <t>RESKYA PUTRI MUTIA</t>
  </si>
  <si>
    <t>0083722868</t>
  </si>
  <si>
    <t>RISKA YULIANTI</t>
  </si>
  <si>
    <t>0073792281</t>
  </si>
  <si>
    <t>SALMA ANJANI MARISSA</t>
  </si>
  <si>
    <t>0088818539</t>
  </si>
  <si>
    <t>SYARIFAH NOOR MAULIDA</t>
  </si>
  <si>
    <t>0085478066</t>
  </si>
  <si>
    <t>TALITA ADISTI PARAMITHA</t>
  </si>
  <si>
    <t>0088503224</t>
  </si>
  <si>
    <t>TIARA AZIZAH WIBOWO</t>
  </si>
  <si>
    <t>0082618272</t>
  </si>
  <si>
    <t>ZESICA KRISTI ANGGRAINY</t>
  </si>
  <si>
    <t>0088777397</t>
  </si>
  <si>
    <t>ZHERHA MAHARANI DJAINUN L.</t>
  </si>
  <si>
    <t>TAHUN PELAJARAN 2025/2026</t>
  </si>
  <si>
    <t>KELAS  XII B-1</t>
  </si>
  <si>
    <t>Wali Kelas :  Ramlan Sulton, S.Pd.I</t>
  </si>
  <si>
    <t>0074358286</t>
  </si>
  <si>
    <t>ADITYA FIRDAUS</t>
  </si>
  <si>
    <t>0081115983</t>
  </si>
  <si>
    <t>ADRIAN RIZKY ALGHIFARI</t>
  </si>
  <si>
    <t>0085814863</t>
  </si>
  <si>
    <t>ALISYA PUTRI KHAIRUNNISA</t>
  </si>
  <si>
    <t>2324.10.069</t>
  </si>
  <si>
    <t>0071912343</t>
  </si>
  <si>
    <t>AZIZ ADITYA PRATAMA</t>
  </si>
  <si>
    <t>0073986511</t>
  </si>
  <si>
    <t>CINDY NURKHALIFAH</t>
  </si>
  <si>
    <t>DIMAS SURYA PRATAMA</t>
  </si>
  <si>
    <t>0082783211</t>
  </si>
  <si>
    <t>FAUZAN HIBATULLAH SUTISNA</t>
  </si>
  <si>
    <t>0088151014</t>
  </si>
  <si>
    <t>HABIBURRAHMAN RYU H. A.</t>
  </si>
  <si>
    <t>0081109182</t>
  </si>
  <si>
    <t>HASYIR FAUZAN NUGRAHA</t>
  </si>
  <si>
    <t>0083253046</t>
  </si>
  <si>
    <t>IFTITA ARRASY KIANANTAN</t>
  </si>
  <si>
    <t>0074966766</t>
  </si>
  <si>
    <t>IRGIE APRILIANO GOTTARDI</t>
  </si>
  <si>
    <t>0087221356</t>
  </si>
  <si>
    <t>KANIA ARKHANINTHA PUTRI</t>
  </si>
  <si>
    <t>0084724823</t>
  </si>
  <si>
    <t>KARTIKA DJAJA NEGARA</t>
  </si>
  <si>
    <t>0097516066</t>
  </si>
  <si>
    <t>MALIA ARIFA YUMNA</t>
  </si>
  <si>
    <t>0075323827</t>
  </si>
  <si>
    <t>MAYZIED ALI LAZUARDI</t>
  </si>
  <si>
    <t>0086024046</t>
  </si>
  <si>
    <t>MEGANVA DIAN PUTRI H.</t>
  </si>
  <si>
    <t>0063725986</t>
  </si>
  <si>
    <t>MOHAMMAD ASYQAR RISQ</t>
  </si>
  <si>
    <t>0089743150</t>
  </si>
  <si>
    <t>MUHAMMAD FADHLAN DHAFIN</t>
  </si>
  <si>
    <t>0088222208</t>
  </si>
  <si>
    <t>MUTIARA PURNAMASARI</t>
  </si>
  <si>
    <t>0086388012</t>
  </si>
  <si>
    <t>NADIRA ADZRA AS SHOFA</t>
  </si>
  <si>
    <t>0083120324</t>
  </si>
  <si>
    <t>NAFILAH FAIRUZ HUMAIRA</t>
  </si>
  <si>
    <t>0082105748</t>
  </si>
  <si>
    <t>NAJLA HUMAIRA PUTRI HIDAYAT</t>
  </si>
  <si>
    <t>0079447699</t>
  </si>
  <si>
    <t>NAOMI AYUDIAH</t>
  </si>
  <si>
    <t>3074961191</t>
  </si>
  <si>
    <t>PEBRYAN ABDAL BAIS</t>
  </si>
  <si>
    <t>0073151784</t>
  </si>
  <si>
    <t>PUTRA GABE MARTOGI LUMBANBATU</t>
  </si>
  <si>
    <t>0076770572</t>
  </si>
  <si>
    <t>RAIHANA CITRA NUR RAMADHANTI</t>
  </si>
  <si>
    <t>0082964949</t>
  </si>
  <si>
    <t>RAKA SEPTIYAN HARJA KHAN</t>
  </si>
  <si>
    <t>0088634715</t>
  </si>
  <si>
    <t>RESTU HIDAYAT</t>
  </si>
  <si>
    <t>0073457714</t>
  </si>
  <si>
    <t>ROYYAN PRADITA</t>
  </si>
  <si>
    <t>0088511008</t>
  </si>
  <si>
    <t>SAFITRI ALI SUKARNO</t>
  </si>
  <si>
    <t>0081541137</t>
  </si>
  <si>
    <t>SEVIOLLA LUNA G.P.</t>
  </si>
  <si>
    <t>0071639715</t>
  </si>
  <si>
    <t>SHAZIA MELIKA</t>
  </si>
  <si>
    <t>0089057501</t>
  </si>
  <si>
    <t>VALEN FANANDA NAY</t>
  </si>
  <si>
    <t>2324.10.402</t>
  </si>
  <si>
    <t>0081997898</t>
  </si>
  <si>
    <t>VARISSA ALMAHAIRA AZRAKAYLA</t>
  </si>
  <si>
    <t>2324.10.413</t>
  </si>
  <si>
    <t>0072999565</t>
  </si>
  <si>
    <t>YURISKA ALYANDRA HUTOMO</t>
  </si>
  <si>
    <t>2324.10.414</t>
  </si>
  <si>
    <t>0082748882</t>
  </si>
  <si>
    <t>YUSSAFIRA</t>
  </si>
  <si>
    <t>KELAS  XII B-2</t>
  </si>
  <si>
    <t>Wali Kelas : Dra. Sapmi Rahmawati, M.Pd</t>
  </si>
  <si>
    <t>0071203059</t>
  </si>
  <si>
    <t>ADAM RISTIAJI MACHFUDZ</t>
  </si>
  <si>
    <t>0071616096</t>
  </si>
  <si>
    <t>AHMAD ABDURRAHMAN A.</t>
  </si>
  <si>
    <t>3082802938</t>
  </si>
  <si>
    <t>ANDREA SALMA AISYA</t>
  </si>
  <si>
    <t>0086873536</t>
  </si>
  <si>
    <t>ARETHA ASYIFA NUR</t>
  </si>
  <si>
    <t>0089590530</t>
  </si>
  <si>
    <t>ARGISKA MARDIYANA</t>
  </si>
  <si>
    <t>0083547396</t>
  </si>
  <si>
    <t>ASFARO MUZAKKI</t>
  </si>
  <si>
    <t>0089083585</t>
  </si>
  <si>
    <t>AURELIA QUABYLA RAMADHANI</t>
  </si>
  <si>
    <t>2324.10.099</t>
  </si>
  <si>
    <t>0075739296</t>
  </si>
  <si>
    <t>DARYS DZAKIR</t>
  </si>
  <si>
    <t>DEANDRA IBNU KAFFA SOFYAN</t>
  </si>
  <si>
    <t>0081045908</t>
  </si>
  <si>
    <t>DINI</t>
  </si>
  <si>
    <t>0089711367</t>
  </si>
  <si>
    <t>ERICH RADITYA</t>
  </si>
  <si>
    <t>2324.10.128</t>
  </si>
  <si>
    <t>0074556688</t>
  </si>
  <si>
    <t>FAKHRI ARKANANTA</t>
  </si>
  <si>
    <t>2324.10.135</t>
  </si>
  <si>
    <t>0085174215</t>
  </si>
  <si>
    <t>FATHIYYA AZZAHRA</t>
  </si>
  <si>
    <t>2324.10.136</t>
  </si>
  <si>
    <t>0082379675</t>
  </si>
  <si>
    <t>FATIH M. ADIWANGSA</t>
  </si>
  <si>
    <t>2324.10.143</t>
  </si>
  <si>
    <t>0085636668</t>
  </si>
  <si>
    <t>FINA NAYLATUL IZZAH</t>
  </si>
  <si>
    <t>2324.10.151</t>
  </si>
  <si>
    <t>0079959291</t>
  </si>
  <si>
    <t>GAMALIEL GLORYAN CHICO C.</t>
  </si>
  <si>
    <t>2324.10.175</t>
  </si>
  <si>
    <t>0072465472</t>
  </si>
  <si>
    <t>INSANADILLA SALAFINA H.</t>
  </si>
  <si>
    <t>2324.10.197</t>
  </si>
  <si>
    <t>0086280673</t>
  </si>
  <si>
    <t>KEISYA AMANDA MEICA</t>
  </si>
  <si>
    <t>2324.10.200</t>
  </si>
  <si>
    <t>0088734774</t>
  </si>
  <si>
    <t>KEYLA WIDYADHANA RAISSA</t>
  </si>
  <si>
    <t>2324.10.213</t>
  </si>
  <si>
    <t>0084656439</t>
  </si>
  <si>
    <t>MAHESH ANDREAS SIAGIAN</t>
  </si>
  <si>
    <t>2324.10.216</t>
  </si>
  <si>
    <t>0084597945</t>
  </si>
  <si>
    <t>MARETTA MANDA MANGUNING P'</t>
  </si>
  <si>
    <t>2324.10.233</t>
  </si>
  <si>
    <t>0087686168</t>
  </si>
  <si>
    <t>MUHAMAD KHADAFI</t>
  </si>
  <si>
    <t>2324.10.259</t>
  </si>
  <si>
    <t>0074422009</t>
  </si>
  <si>
    <t>NABHILLA PUTRI ISNANDAR</t>
  </si>
  <si>
    <t>2324.10.260</t>
  </si>
  <si>
    <t>0079709738</t>
  </si>
  <si>
    <t>NABIL FATIH FIRJATULLAH A.</t>
  </si>
  <si>
    <t>2324.10.262</t>
  </si>
  <si>
    <t>0086298930</t>
  </si>
  <si>
    <t>NABILA DYAH PUSPITA</t>
  </si>
  <si>
    <t>2324.10.265</t>
  </si>
  <si>
    <t>0083025047</t>
  </si>
  <si>
    <t>NADIA CHERRYL AZKIYA</t>
  </si>
  <si>
    <t>2324.10.267</t>
  </si>
  <si>
    <t>0088549426</t>
  </si>
  <si>
    <t>NADYA SAFIRA SETYAWAN</t>
  </si>
  <si>
    <t>2324.10.279</t>
  </si>
  <si>
    <t>0072346516</t>
  </si>
  <si>
    <t>NARENDRA AGRU PRASETYO</t>
  </si>
  <si>
    <t>2324.10.316</t>
  </si>
  <si>
    <t>0084548323</t>
  </si>
  <si>
    <t>RAFA HAFIZH WARADANA</t>
  </si>
  <si>
    <t>2324.10.334</t>
  </si>
  <si>
    <t>0082499164</t>
  </si>
  <si>
    <t>RASHEESA FITRIA NURAINI</t>
  </si>
  <si>
    <t>2324.10.365</t>
  </si>
  <si>
    <t>0078997635</t>
  </si>
  <si>
    <t>SALSABILA FIRLI</t>
  </si>
  <si>
    <t>2324.10.373</t>
  </si>
  <si>
    <t>0084863899</t>
  </si>
  <si>
    <t>SYAFIRA AKHILA NAZIFA</t>
  </si>
  <si>
    <t>2324.10.391</t>
  </si>
  <si>
    <t>0074163475</t>
  </si>
  <si>
    <t>SYIFA AZ ZAHRA</t>
  </si>
  <si>
    <t>2324.10.407</t>
  </si>
  <si>
    <t>0077763943</t>
  </si>
  <si>
    <t>WENDYEA AKTAVIONA</t>
  </si>
  <si>
    <t>2324.10.425</t>
  </si>
  <si>
    <t>3083822721</t>
  </si>
  <si>
    <t>ZUHAIRY</t>
  </si>
  <si>
    <t>2324.10.426</t>
  </si>
  <si>
    <t>0082343172</t>
  </si>
  <si>
    <t>ZYEIRA SHAQUILLA FATIHATU R.</t>
  </si>
  <si>
    <t>KELAS  XII C-1</t>
  </si>
  <si>
    <t>Wali Kelas : Nurlaela, S.Pd</t>
  </si>
  <si>
    <t>232410001</t>
  </si>
  <si>
    <t>0083566956</t>
  </si>
  <si>
    <t>ABIYU AHMAD ZAHRAN</t>
  </si>
  <si>
    <t>2324.10.016</t>
  </si>
  <si>
    <t>0086298653</t>
  </si>
  <si>
    <t>AISYAH SAUSAN AMANI</t>
  </si>
  <si>
    <t>2324.10.021</t>
  </si>
  <si>
    <t>0089560373</t>
  </si>
  <si>
    <t>ALISHA VENITA RAPHELLE ADHITYA</t>
  </si>
  <si>
    <t>2324.10.051</t>
  </si>
  <si>
    <t>0087432831</t>
  </si>
  <si>
    <t>ARYA INDRAWIJAYA</t>
  </si>
  <si>
    <t>2324.10.059</t>
  </si>
  <si>
    <t>0078031156</t>
  </si>
  <si>
    <t>AULIA EKA PUTRI BAKTI</t>
  </si>
  <si>
    <t>2324.10.063</t>
  </si>
  <si>
    <t>0082894035</t>
  </si>
  <si>
    <t>AURELLIO DEAN KEEFA</t>
  </si>
  <si>
    <t>2324.10.065</t>
  </si>
  <si>
    <t>0078575799</t>
  </si>
  <si>
    <t>AYU PUSPITA RAHMAN</t>
  </si>
  <si>
    <t>2324.10.068</t>
  </si>
  <si>
    <t>0078728769</t>
  </si>
  <si>
    <t>AYYASH ARDHANA SHIDDIEQY</t>
  </si>
  <si>
    <t>2324.10.071</t>
  </si>
  <si>
    <t>0087676418</t>
  </si>
  <si>
    <t>AZKA FAIZ ATAULLAH</t>
  </si>
  <si>
    <t>2324.10.075</t>
  </si>
  <si>
    <t>0078250040</t>
  </si>
  <si>
    <t>AZZAM FATHUR RAIHAN</t>
  </si>
  <si>
    <t>2324.10.080</t>
  </si>
  <si>
    <t>0087314689</t>
  </si>
  <si>
    <t>BINTANG PAMUNGKAS S.A.</t>
  </si>
  <si>
    <t>2324.10.086</t>
  </si>
  <si>
    <t>0081927424</t>
  </si>
  <si>
    <t>CALVIN JIREH PARASIAN PASARIBU</t>
  </si>
  <si>
    <t>2324.10.091</t>
  </si>
  <si>
    <t>0081115263</t>
  </si>
  <si>
    <t>CITRA NAYLA</t>
  </si>
  <si>
    <t>2324.10.131</t>
  </si>
  <si>
    <t>0081603311</t>
  </si>
  <si>
    <t>FARIS RIDHA KURNIAWAN</t>
  </si>
  <si>
    <t>2324.10.140</t>
  </si>
  <si>
    <t>0081613552</t>
  </si>
  <si>
    <t>FEBI IHSANUL AZMI</t>
  </si>
  <si>
    <t>2324.10.159</t>
  </si>
  <si>
    <t>0084956925</t>
  </si>
  <si>
    <t>GUNTUR ADIGUNA</t>
  </si>
  <si>
    <t>2324.10.169</t>
  </si>
  <si>
    <t>0083246118</t>
  </si>
  <si>
    <t>HUMAIRA PUTRI SETIAWAN</t>
  </si>
  <si>
    <t>2324.10.193</t>
  </si>
  <si>
    <t>0086919748</t>
  </si>
  <si>
    <t>KAYLA MAHESA PUTRI PRABINDARI</t>
  </si>
  <si>
    <t>2324.10.203</t>
  </si>
  <si>
    <t>0073646664</t>
  </si>
  <si>
    <t>KHANSA</t>
  </si>
  <si>
    <t>2324.10.204</t>
  </si>
  <si>
    <t>0084878741</t>
  </si>
  <si>
    <t>KHEYSHA NAZWA ADINDA</t>
  </si>
  <si>
    <t>2324.10.207</t>
  </si>
  <si>
    <t>0084894791</t>
  </si>
  <si>
    <t>LAVINDRA ANINDITO BUDI PRAMUDYA</t>
  </si>
  <si>
    <t>0079756255</t>
  </si>
  <si>
    <t>M. FAHMY PUTRA RAMADHAN</t>
  </si>
  <si>
    <t>0084967360</t>
  </si>
  <si>
    <t>MUHAMAD FEBRIZIO ALGHIFAHRI</t>
  </si>
  <si>
    <t>2324.10.232</t>
  </si>
  <si>
    <t>0086943552</t>
  </si>
  <si>
    <t>MUHAMAD FIRDAUS</t>
  </si>
  <si>
    <t>2324.10.238</t>
  </si>
  <si>
    <t>0087587189</t>
  </si>
  <si>
    <t>MUHAMMAD ARDIANSYAH</t>
  </si>
  <si>
    <t>2324.10.247</t>
  </si>
  <si>
    <t>0079137192</t>
  </si>
  <si>
    <t>MUHAMMAD IRFAN AHZANI</t>
  </si>
  <si>
    <t>0089011528</t>
  </si>
  <si>
    <t>MUHAMMAD SYAIHAN PRAMONO</t>
  </si>
  <si>
    <t>2324.10.281</t>
  </si>
  <si>
    <t>0082149467</t>
  </si>
  <si>
    <t>NASYWA LILYAN ELVARETTA</t>
  </si>
  <si>
    <t>2324.10.310</t>
  </si>
  <si>
    <t>0088868776</t>
  </si>
  <si>
    <t>RADEN ANTASENA KARTASASMITA</t>
  </si>
  <si>
    <t>2324.10.313</t>
  </si>
  <si>
    <t>0078211943</t>
  </si>
  <si>
    <t>RADIT GILBRAN VILLAREAL LUTVI</t>
  </si>
  <si>
    <t>2324.10.324</t>
  </si>
  <si>
    <t>0089661526</t>
  </si>
  <si>
    <t>RAIHANA SYAHLA YUSTIAJI</t>
  </si>
  <si>
    <t>2324.10.342</t>
  </si>
  <si>
    <t>0073911139</t>
  </si>
  <si>
    <t>REFAH SYAHIDAH</t>
  </si>
  <si>
    <t>2324.10.351</t>
  </si>
  <si>
    <t>0089819274</t>
  </si>
  <si>
    <t>RIFQI SAYUDHA</t>
  </si>
  <si>
    <t>2324.10.403</t>
  </si>
  <si>
    <t>0083315686</t>
  </si>
  <si>
    <t>VENEZIA GILDA SIHOMBING</t>
  </si>
  <si>
    <t>2324.10.416</t>
  </si>
  <si>
    <t>0088213091.</t>
  </si>
  <si>
    <t>ZAHIRA AQILA RABBANI</t>
  </si>
  <si>
    <t>2324.10.438</t>
  </si>
  <si>
    <t>0084336569</t>
  </si>
  <si>
    <t>ZYBA JARSIA BADELWAIR</t>
  </si>
  <si>
    <t>KELAS  XII C-2</t>
  </si>
  <si>
    <t>Wali Kelas : Dewi Rahmawati, S.Pd</t>
  </si>
  <si>
    <t>2324.10.008</t>
  </si>
  <si>
    <t>0079153075</t>
  </si>
  <si>
    <t>ADYATMA HUDA RAMDANI</t>
  </si>
  <si>
    <t>2324.10.025</t>
  </si>
  <si>
    <t>0086362939</t>
  </si>
  <si>
    <t>ALMAQHVIRA HAYDAR SISWOYO</t>
  </si>
  <si>
    <t>2324.10.039</t>
  </si>
  <si>
    <t>0087382551</t>
  </si>
  <si>
    <t>AQILA NAFISA</t>
  </si>
  <si>
    <t>2324.10.044</t>
  </si>
  <si>
    <t>0074340020</t>
  </si>
  <si>
    <t>ARFI ABDAN MUQIMASHAIM</t>
  </si>
  <si>
    <t>2324.10.046</t>
  </si>
  <si>
    <t>0084448990</t>
  </si>
  <si>
    <t>ARIEF DARMAWAN</t>
  </si>
  <si>
    <t>2324.10.083</t>
  </si>
  <si>
    <t>0088818985</t>
  </si>
  <si>
    <t>CALISTA DIANTI HUWAIDAH</t>
  </si>
  <si>
    <t>2324.10.085</t>
  </si>
  <si>
    <t>0088348251</t>
  </si>
  <si>
    <t>CALLYSTA ASTI ARBIA</t>
  </si>
  <si>
    <t>2324.10.087</t>
  </si>
  <si>
    <t>0086843117</t>
  </si>
  <si>
    <t>CESILIA D. ICHWANUDDIN</t>
  </si>
  <si>
    <t>2324.10.102</t>
  </si>
  <si>
    <t>0081133927</t>
  </si>
  <si>
    <t>DENIA ZEVIRA GENARA</t>
  </si>
  <si>
    <t>2324.10.115</t>
  </si>
  <si>
    <t>0078430432</t>
  </si>
  <si>
    <t>ELMA NURSARI</t>
  </si>
  <si>
    <t>2324.10.120</t>
  </si>
  <si>
    <t>0082023211</t>
  </si>
  <si>
    <t>FABIAN SYAFA RIZQULLAH</t>
  </si>
  <si>
    <t>2324.10.121</t>
  </si>
  <si>
    <t>FADHLURAHMAN KAMIL</t>
  </si>
  <si>
    <t>2324.10.155</t>
  </si>
  <si>
    <t>0078000989</t>
  </si>
  <si>
    <t>GHINA AFIAH UYARA</t>
  </si>
  <si>
    <t>2324.10.167</t>
  </si>
  <si>
    <t>0075935238</t>
  </si>
  <si>
    <t>HEINE KLAMMER  HASONANGAN SITORUS</t>
  </si>
  <si>
    <t>2324.10.176</t>
  </si>
  <si>
    <t>0079705331</t>
  </si>
  <si>
    <t>IRFAN BUDI SATRIO</t>
  </si>
  <si>
    <t>2324.10.192</t>
  </si>
  <si>
    <t>0081861577</t>
  </si>
  <si>
    <t>KAYLA FARRAH GINA</t>
  </si>
  <si>
    <t>2324.10.196</t>
  </si>
  <si>
    <t>0086351746</t>
  </si>
  <si>
    <t>KEISHA NABILA ANINDYA</t>
  </si>
  <si>
    <t>2324.10.437</t>
  </si>
  <si>
    <t>0081908416</t>
  </si>
  <si>
    <t>KEYSHA CAHAYA SETIAWAN</t>
  </si>
  <si>
    <t>2324.10.208</t>
  </si>
  <si>
    <t>0085502024</t>
  </si>
  <si>
    <t>LOUISE GARCIA LUMBAN GAOL</t>
  </si>
  <si>
    <t>2324.10.221</t>
  </si>
  <si>
    <t>0089487431</t>
  </si>
  <si>
    <t>MEDINTA PUTRI WIBOWO</t>
  </si>
  <si>
    <t>2324.10.224</t>
  </si>
  <si>
    <t>0086454949</t>
  </si>
  <si>
    <t>MIFTAHUL DAFFA KHOERUL BAHRI</t>
  </si>
  <si>
    <t>0087114532</t>
  </si>
  <si>
    <t>Mirza Mochtadi</t>
  </si>
  <si>
    <t>2324.10.230</t>
  </si>
  <si>
    <t>0082920514</t>
  </si>
  <si>
    <t>MUHAMAD FAHRI NURIHSAN</t>
  </si>
  <si>
    <t>2324.10.235</t>
  </si>
  <si>
    <t>0082065502</t>
  </si>
  <si>
    <t>MUHAMMAD ADITYA FAIRUZZAHRAN</t>
  </si>
  <si>
    <t>2324.10.248</t>
  </si>
  <si>
    <t>0082313320</t>
  </si>
  <si>
    <t>MUHAMMAD IRGHI</t>
  </si>
  <si>
    <t>2324.10.252</t>
  </si>
  <si>
    <t>0084544933</t>
  </si>
  <si>
    <t>MUHAMMAD RAVA ALI</t>
  </si>
  <si>
    <t>2324.10.253</t>
  </si>
  <si>
    <t>0097824876</t>
  </si>
  <si>
    <t>MUHAMMAD REVAN FADILLAH</t>
  </si>
  <si>
    <t>2324.10.255</t>
  </si>
  <si>
    <t>0076770851</t>
  </si>
  <si>
    <t>MUHAMMAD YUSUF HABIBIE</t>
  </si>
  <si>
    <t>2324.10.261</t>
  </si>
  <si>
    <t>0083435691</t>
  </si>
  <si>
    <t>NABIL KHAUFA ZAHRA</t>
  </si>
  <si>
    <t>2324.10.320</t>
  </si>
  <si>
    <t>0077789146</t>
  </si>
  <si>
    <t>RAFLY RESTU ADAM</t>
  </si>
  <si>
    <t>2324.10.332</t>
  </si>
  <si>
    <t>0072725258</t>
  </si>
  <si>
    <t>RANIA ADILA ERYAZTI</t>
  </si>
  <si>
    <t>2324.10.341</t>
  </si>
  <si>
    <t>0076414429</t>
  </si>
  <si>
    <t>RAZAN ZUFAR AHMAD</t>
  </si>
  <si>
    <t>2324.10.348</t>
  </si>
  <si>
    <t>0087450806</t>
  </si>
  <si>
    <t>RHEYNODY EZEKIELANO LOEKMAN</t>
  </si>
  <si>
    <t>2324.10.352</t>
  </si>
  <si>
    <t>0075522985</t>
  </si>
  <si>
    <t>RIMAIRA SANAURAIRBA MARGONO</t>
  </si>
  <si>
    <t>2324.10.409</t>
  </si>
  <si>
    <t>0082134650</t>
  </si>
  <si>
    <t>WIDIA PUTRI</t>
  </si>
  <si>
    <t>2324.10.424</t>
  </si>
  <si>
    <t>0073934144</t>
  </si>
  <si>
    <t>ZIYANDRA KHAIZURAN ALTAF</t>
  </si>
  <si>
    <t>2425.11.438</t>
  </si>
  <si>
    <t>0073043473</t>
  </si>
  <si>
    <t>ZAID MUHAMMAD NAASHIF</t>
  </si>
  <si>
    <t>KELAS  XII D-1</t>
  </si>
  <si>
    <t>Wali Kelas : Fadjar Djaya, S.Pd, M.Pd</t>
  </si>
  <si>
    <t>2324.10.006</t>
  </si>
  <si>
    <t>0073412501</t>
  </si>
  <si>
    <t>ADNAN JULIANDYRA</t>
  </si>
  <si>
    <t>2324.10.014</t>
  </si>
  <si>
    <t>0089479917</t>
  </si>
  <si>
    <t>AISHA MADYSKA PUTRI</t>
  </si>
  <si>
    <t>2324.10.018</t>
  </si>
  <si>
    <t>0081852093</t>
  </si>
  <si>
    <t>ALEYNA NAJMIA SALMA EL HASSAN</t>
  </si>
  <si>
    <t>2324.10.033</t>
  </si>
  <si>
    <t>0074544714</t>
  </si>
  <si>
    <t>ANGGRAINI DISTI MEITASYAH</t>
  </si>
  <si>
    <t>2324.10.037</t>
  </si>
  <si>
    <t>0082121455</t>
  </si>
  <si>
    <t>ANNISA PEBRIANITA</t>
  </si>
  <si>
    <t>2324.10.042</t>
  </si>
  <si>
    <t>0087366796</t>
  </si>
  <si>
    <t>ARDYANTI PRATIWI GUSTI RACHMAN</t>
  </si>
  <si>
    <t>2324.10.049</t>
  </si>
  <si>
    <t>0075260025</t>
  </si>
  <si>
    <t>ARTANTI TALITHA DWIANA</t>
  </si>
  <si>
    <t>2324.10.058</t>
  </si>
  <si>
    <t>0081788097</t>
  </si>
  <si>
    <t>AULIA ASFARINA DHANY</t>
  </si>
  <si>
    <t>2324.10.070</t>
  </si>
  <si>
    <t>0087401101</t>
  </si>
  <si>
    <t>AZIZU ACHMAD FAUZAN</t>
  </si>
  <si>
    <t>2324.10.076</t>
  </si>
  <si>
    <t>0088748138</t>
  </si>
  <si>
    <t>BELELIA CINDIKIA DERA</t>
  </si>
  <si>
    <t>2324.10.103</t>
  </si>
  <si>
    <t>0081475471</t>
  </si>
  <si>
    <t>DEVI AMELIA</t>
  </si>
  <si>
    <t>2324.10.113</t>
  </si>
  <si>
    <t>0082277905</t>
  </si>
  <si>
    <t>DYO EL RIZQI KAMIL</t>
  </si>
  <si>
    <t>2324.10.123</t>
  </si>
  <si>
    <t>0088505733</t>
  </si>
  <si>
    <t>FADLAN RAMADHAN TUASIKAL</t>
  </si>
  <si>
    <t>2324.10.126</t>
  </si>
  <si>
    <t>0032420338</t>
  </si>
  <si>
    <t>FAJAR PRAYOGA WINATA</t>
  </si>
  <si>
    <t>2324.10.132</t>
  </si>
  <si>
    <t>0086431654</t>
  </si>
  <si>
    <t>FARISA TRIANDITA</t>
  </si>
  <si>
    <t>2324.10.146</t>
  </si>
  <si>
    <t>0077521823</t>
  </si>
  <si>
    <t>FIRDAUS WIRAKUSUMA ASY'ARI</t>
  </si>
  <si>
    <t>2324.10.149</t>
  </si>
  <si>
    <t>0088816160</t>
  </si>
  <si>
    <t>FITRI WULANDARI</t>
  </si>
  <si>
    <t>2324.10.150</t>
  </si>
  <si>
    <t>0079707237</t>
  </si>
  <si>
    <t>GABRIEL PERNANDO</t>
  </si>
  <si>
    <t>2324.10.153</t>
  </si>
  <si>
    <t>0088365281</t>
  </si>
  <si>
    <t>GENNEVA PUTRI SAMINGGAR</t>
  </si>
  <si>
    <t>2324.10.164</t>
  </si>
  <si>
    <t>0089128816</t>
  </si>
  <si>
    <t>HANIFAH NIZRINA RANIAH</t>
  </si>
  <si>
    <t>2324.10.179</t>
  </si>
  <si>
    <t>0088169936</t>
  </si>
  <si>
    <t>JEANETHA ROSMALA PUTERI</t>
  </si>
  <si>
    <t>2324.10.186</t>
  </si>
  <si>
    <t>0088389564</t>
  </si>
  <si>
    <t>JUNEETA MAHYA ATHARI</t>
  </si>
  <si>
    <t>2324.10.195</t>
  </si>
  <si>
    <t>008561826</t>
  </si>
  <si>
    <t>KAYLLA CHANDRIKA</t>
  </si>
  <si>
    <t>2324.10.211</t>
  </si>
  <si>
    <t>0088466451</t>
  </si>
  <si>
    <t>LUTHFIA AZZAHRA</t>
  </si>
  <si>
    <t>2324.10.234</t>
  </si>
  <si>
    <t>0079126834</t>
  </si>
  <si>
    <t>MUHAMAD RAFLI RAMADHAN</t>
  </si>
  <si>
    <t>2324.10.258</t>
  </si>
  <si>
    <t>00842645310</t>
  </si>
  <si>
    <t>MUZAKY KHAIRULLOH</t>
  </si>
  <si>
    <t>2425,11,436</t>
  </si>
  <si>
    <t>0089649558</t>
  </si>
  <si>
    <t>NANDA FIRDAUS</t>
  </si>
  <si>
    <t>2324.10.294</t>
  </si>
  <si>
    <t>0081989700</t>
  </si>
  <si>
    <t>NUR NAJMI NUHA CHAMSYAH SUTANDI</t>
  </si>
  <si>
    <t>2324.10.317</t>
  </si>
  <si>
    <t>0081324611</t>
  </si>
  <si>
    <t>RAFAEL MARIO JUSAG PRASETYO</t>
  </si>
  <si>
    <t>2324.10.336</t>
  </si>
  <si>
    <t>0074135122</t>
  </si>
  <si>
    <t>RASYA NAZIRA RADITIYA PUTRA</t>
  </si>
  <si>
    <t>2324.10.339</t>
  </si>
  <si>
    <t>0083428278</t>
  </si>
  <si>
    <t>RAYA THALITA HASNA ANJANI</t>
  </si>
  <si>
    <t>2324.10.340</t>
  </si>
  <si>
    <t>0087464626</t>
  </si>
  <si>
    <t>RAYYAN ALIFA RIVENA</t>
  </si>
  <si>
    <t>2324.10.343</t>
  </si>
  <si>
    <t>0079348283</t>
  </si>
  <si>
    <t>REFI DWI ZULIANTO</t>
  </si>
  <si>
    <t>2324.10.364</t>
  </si>
  <si>
    <t>0082716634</t>
  </si>
  <si>
    <t>SALSABILA AZIMA MAHMUDDIN</t>
  </si>
  <si>
    <t>2324.10.375</t>
  </si>
  <si>
    <t>0086805776</t>
  </si>
  <si>
    <t>SHASKIA ROVIQOH AZIZAH</t>
  </si>
  <si>
    <t>0088293283</t>
  </si>
  <si>
    <t>YONATHAN ZIRMI PUTRADI</t>
  </si>
  <si>
    <t>KELAS  XII D-2</t>
  </si>
  <si>
    <t>Wali Kelas : Hj. Sri Rohayati, M.Pd</t>
  </si>
  <si>
    <t>2324.10.013</t>
  </si>
  <si>
    <t>0079704726</t>
  </si>
  <si>
    <t>AHMAD MAULANA JIBAN</t>
  </si>
  <si>
    <t>2324.10.024</t>
  </si>
  <si>
    <t>0075379721</t>
  </si>
  <si>
    <t>ALLYSIA NURFAUZIYAH</t>
  </si>
  <si>
    <t>0074929411</t>
  </si>
  <si>
    <t>ANISA RIHHADATUL AISY</t>
  </si>
  <si>
    <t>2324.10.038</t>
  </si>
  <si>
    <t>0088718964</t>
  </si>
  <si>
    <t>ANNISA PUTRI SANDI</t>
  </si>
  <si>
    <t>2324.10.041</t>
  </si>
  <si>
    <t>0073128949</t>
  </si>
  <si>
    <t>ARDITA SEPTYANINGRUM</t>
  </si>
  <si>
    <t>2324.10.055</t>
  </si>
  <si>
    <t>0087858544</t>
  </si>
  <si>
    <t>ATHIFALUNA MUTIA DARMAWAN</t>
  </si>
  <si>
    <t>2324.10.057</t>
  </si>
  <si>
    <t>0073898605</t>
  </si>
  <si>
    <t>AUDYAH PUTRI MURNI N.</t>
  </si>
  <si>
    <t>2324.10 .094</t>
  </si>
  <si>
    <t>0081012661</t>
  </si>
  <si>
    <t>DAFFA MUHAZZIB IBNI</t>
  </si>
  <si>
    <t>2324.10.104</t>
  </si>
  <si>
    <t>0074947139</t>
  </si>
  <si>
    <t>DEVINA KEYSA MAHARANI</t>
  </si>
  <si>
    <t>2324.10.116</t>
  </si>
  <si>
    <t>0076766099</t>
  </si>
  <si>
    <t>ELVIRA ECA MAHARANI</t>
  </si>
  <si>
    <t>2324.10.117</t>
  </si>
  <si>
    <t>EMERALD TSABBITA ADRISTI</t>
  </si>
  <si>
    <t>2324.10.125</t>
  </si>
  <si>
    <t>0081430092</t>
  </si>
  <si>
    <t>FAIZAH HAFIYYAN</t>
  </si>
  <si>
    <t>2324.10.133</t>
  </si>
  <si>
    <t>FARISHTA GAISHANI</t>
  </si>
  <si>
    <t>2324.10.139</t>
  </si>
  <si>
    <t>0074871623</t>
  </si>
  <si>
    <t>FAZRURRAHMAN TIJANI</t>
  </si>
  <si>
    <t>2324.10.174</t>
  </si>
  <si>
    <t>0083701424</t>
  </si>
  <si>
    <t>INDAH MUSTABAH</t>
  </si>
  <si>
    <t>2324.10.199</t>
  </si>
  <si>
    <t>0083458263</t>
  </si>
  <si>
    <t>KESYA YEMIMA</t>
  </si>
  <si>
    <t>2324.10.201</t>
  </si>
  <si>
    <t>0085806993</t>
  </si>
  <si>
    <t>KHAIRUNNISA AZZAHRA</t>
  </si>
  <si>
    <t>2324.10.210</t>
  </si>
  <si>
    <t>0072438987</t>
  </si>
  <si>
    <t>LUTHFI BINTANG BAYUAJI</t>
  </si>
  <si>
    <t>2324.10.439</t>
  </si>
  <si>
    <t>0086003612</t>
  </si>
  <si>
    <t>MUHAMMAD FARIS</t>
  </si>
  <si>
    <t>2324.10.251</t>
  </si>
  <si>
    <t>0081058742</t>
  </si>
  <si>
    <t>MUHAMMAD NIZAR AL GHIFARI</t>
  </si>
  <si>
    <t>2324.10.305</t>
  </si>
  <si>
    <t>0071752283</t>
  </si>
  <si>
    <t>NAJLA AZIZAH</t>
  </si>
  <si>
    <t>2324.10.286</t>
  </si>
  <si>
    <t>0081528613</t>
  </si>
  <si>
    <t>NAYLA WARNI RAHAYU</t>
  </si>
  <si>
    <t>2324.10.289</t>
  </si>
  <si>
    <t>0085234690</t>
  </si>
  <si>
    <t>NAZWA BALQIS ARLYA</t>
  </si>
  <si>
    <t>2324.10.319</t>
  </si>
  <si>
    <t>0085141191</t>
  </si>
  <si>
    <t>RAFIEL CAHAYA YUSUP</t>
  </si>
  <si>
    <t>2324.10.327</t>
  </si>
  <si>
    <t>0087422681</t>
  </si>
  <si>
    <t>RAJUWAA AMMARTAYUDA</t>
  </si>
  <si>
    <t>2324.10.329</t>
  </si>
  <si>
    <t>0089250161</t>
  </si>
  <si>
    <t>RAKHA ARIYANTO PRAWIRA</t>
  </si>
  <si>
    <t>2423.10.330</t>
  </si>
  <si>
    <t>0082371331</t>
  </si>
  <si>
    <t>RAKHA SURYANA</t>
  </si>
  <si>
    <t>2324.10.347</t>
  </si>
  <si>
    <t>0087055371</t>
  </si>
  <si>
    <t>REZKI BANYU MILLIE</t>
  </si>
  <si>
    <t>2324.10.360</t>
  </si>
  <si>
    <t>0081053691</t>
  </si>
  <si>
    <t>SALIKA NADINA</t>
  </si>
  <si>
    <t>2324.10.366</t>
  </si>
  <si>
    <t>202107115</t>
  </si>
  <si>
    <t>SALSABILA NASUTION</t>
  </si>
  <si>
    <t>2324.10.377</t>
  </si>
  <si>
    <t>0075416420</t>
  </si>
  <si>
    <t>SHEILA NAMIRA ZHEIN</t>
  </si>
  <si>
    <t>2324.10.394</t>
  </si>
  <si>
    <t>0085184663</t>
  </si>
  <si>
    <t>SYIFA AULIA GUMELAR</t>
  </si>
  <si>
    <t>2324.10.392</t>
  </si>
  <si>
    <t>0086007573</t>
  </si>
  <si>
    <t>SYIFA HANDAYANI</t>
  </si>
  <si>
    <t>0075671998</t>
  </si>
  <si>
    <t>WIANDRA ADYA PRADANA</t>
  </si>
  <si>
    <t>2324.10.422</t>
  </si>
  <si>
    <t>0086601525</t>
  </si>
  <si>
    <t>ZAHRA AULIA PUTRI</t>
  </si>
  <si>
    <t>2324.10.421</t>
  </si>
  <si>
    <t>0082804522</t>
  </si>
  <si>
    <t>ZASKYA NILAM EFASA</t>
  </si>
  <si>
    <t>KELAS  XII E</t>
  </si>
  <si>
    <t>Wali Kelas : M. Yusup, S.Pd</t>
  </si>
  <si>
    <t>2324.10.005</t>
  </si>
  <si>
    <t>0077130196</t>
  </si>
  <si>
    <t>ADITYA NUFAIL RIZQULLAH</t>
  </si>
  <si>
    <t>2324.10.012</t>
  </si>
  <si>
    <t>0071754993</t>
  </si>
  <si>
    <t>AHMAD HAIDAR ROSYIIQ</t>
  </si>
  <si>
    <t>2324.10.031</t>
  </si>
  <si>
    <t>0082671794</t>
  </si>
  <si>
    <t>ANDI NASYA KAMILA AZZAHRA</t>
  </si>
  <si>
    <t>2324.10.082</t>
  </si>
  <si>
    <t>0082250651</t>
  </si>
  <si>
    <t>CAHAYA EDINA JATMIKO</t>
  </si>
  <si>
    <t>2324.10.096</t>
  </si>
  <si>
    <t>0085508756</t>
  </si>
  <si>
    <t>DANIAL RIZKY JONSA</t>
  </si>
  <si>
    <t>2324.10.097</t>
  </si>
  <si>
    <t>0072931128</t>
  </si>
  <si>
    <t>DANIEL IHSAN</t>
  </si>
  <si>
    <t>2324.10.101</t>
  </si>
  <si>
    <t>DEF KHALIF YAZ</t>
  </si>
  <si>
    <t>2324.10.114</t>
  </si>
  <si>
    <t>0082994951</t>
  </si>
  <si>
    <t>EGALITA ADLIYAH</t>
  </si>
  <si>
    <t>2324.10.124</t>
  </si>
  <si>
    <t>0075133346</t>
  </si>
  <si>
    <t>FADRI</t>
  </si>
  <si>
    <t>2324.10.129</t>
  </si>
  <si>
    <t>0088442156</t>
  </si>
  <si>
    <t>FARDHAN ALIF RAYYANDI</t>
  </si>
  <si>
    <t>2324.10.141</t>
  </si>
  <si>
    <t>0072049089</t>
  </si>
  <si>
    <t>FERDINAN FEBRIANO</t>
  </si>
  <si>
    <t>2324.10.161</t>
  </si>
  <si>
    <t>0076185672</t>
  </si>
  <si>
    <t>HAFIZ ABDUL RASYID</t>
  </si>
  <si>
    <t>2324.10.162</t>
  </si>
  <si>
    <t>0072139972</t>
  </si>
  <si>
    <t>HANA SITI NAZWA</t>
  </si>
  <si>
    <t>2324.10.171</t>
  </si>
  <si>
    <t>0089640091</t>
  </si>
  <si>
    <t>HYPATIA ACHMAD</t>
  </si>
  <si>
    <t>0085054858</t>
  </si>
  <si>
    <t>2324.10.180</t>
  </si>
  <si>
    <t>JESSICA PRISCILIA SIAGIAN</t>
  </si>
  <si>
    <t>2324.10.185</t>
  </si>
  <si>
    <t>0077850732</t>
  </si>
  <si>
    <t>JONATHAN STEFANUS MANURUNG</t>
  </si>
  <si>
    <t>2324.10.187</t>
  </si>
  <si>
    <t>0081254175</t>
  </si>
  <si>
    <t>JUNIKA NUR RIZQI</t>
  </si>
  <si>
    <t>2324.10.215</t>
  </si>
  <si>
    <t>MARCELL DAMIAN SETIAWAN</t>
  </si>
  <si>
    <t>2324.10.217</t>
  </si>
  <si>
    <t>0063252201</t>
  </si>
  <si>
    <t>MAULA SAFITA NAPITUPULU</t>
  </si>
  <si>
    <t>2324.10.218</t>
  </si>
  <si>
    <t>0084976190</t>
  </si>
  <si>
    <t>MAYA QUMAYIROH</t>
  </si>
  <si>
    <t>2324.10.256</t>
  </si>
  <si>
    <t>0071538496</t>
  </si>
  <si>
    <t>MUHAMMAD ZAKI NURHADI AHSYAR</t>
  </si>
  <si>
    <t>2324.10.264</t>
  </si>
  <si>
    <t>0076202597</t>
  </si>
  <si>
    <t>NADIA AYU PRAMESTI</t>
  </si>
  <si>
    <t>2324.10.270</t>
  </si>
  <si>
    <t>NAHLATU BILQIS</t>
  </si>
  <si>
    <t>2324.10.277</t>
  </si>
  <si>
    <t>0087444033</t>
  </si>
  <si>
    <t>NANDA PUTRI TANIA</t>
  </si>
  <si>
    <t>2324.10.297</t>
  </si>
  <si>
    <t>0084163507</t>
  </si>
  <si>
    <t>ODE IRVA KHUMAIRA</t>
  </si>
  <si>
    <t>2324.10.312</t>
  </si>
  <si>
    <t>0078628005</t>
  </si>
  <si>
    <t>RADEN DIRGHAM HANIFAN AL-BASYAM</t>
  </si>
  <si>
    <t>2324.10.314</t>
  </si>
  <si>
    <t>0078876556</t>
  </si>
  <si>
    <t>RADITYA DWI FAUZI</t>
  </si>
  <si>
    <t>2324.10.321</t>
  </si>
  <si>
    <t>0075735377</t>
  </si>
  <si>
    <t>RAHIL ALFAQIH</t>
  </si>
  <si>
    <t>2324.10.333</t>
  </si>
  <si>
    <t>0083428956</t>
  </si>
  <si>
    <t>RASHEED PUTRA KEYSHADI</t>
  </si>
  <si>
    <t>2324.10.337</t>
  </si>
  <si>
    <t>0075598356</t>
  </si>
  <si>
    <t>RATU NINDA TABINA</t>
  </si>
  <si>
    <t>2324.10.344</t>
  </si>
  <si>
    <t>3085105053</t>
  </si>
  <si>
    <t>REISYA AULIA RIZKY</t>
  </si>
  <si>
    <t>2324.10.349</t>
  </si>
  <si>
    <t>0079509100</t>
  </si>
  <si>
    <t>RIA HANDAYANI</t>
  </si>
  <si>
    <t>0084582856</t>
  </si>
  <si>
    <t>SHAKILANOVVA AL KANZ SAVVANA</t>
  </si>
  <si>
    <t>2324.10.385</t>
  </si>
  <si>
    <t>SYAFIQ AUNUR RAFI</t>
  </si>
  <si>
    <t>2324.10.404</t>
  </si>
  <si>
    <t>0072049142</t>
  </si>
  <si>
    <t>VERA INDRIANI SITORUS</t>
  </si>
  <si>
    <t>2324.10.411</t>
  </si>
  <si>
    <t>0086192710</t>
  </si>
  <si>
    <t>YOAS DHEO SANDIVO</t>
  </si>
  <si>
    <t>KELAS  XII F</t>
  </si>
  <si>
    <t>Wali Kelas : Ai Siti Rohima, S.Pd</t>
  </si>
  <si>
    <t>2324.10.010</t>
  </si>
  <si>
    <t>0083687023</t>
  </si>
  <si>
    <t>AGATRIE SELLA SIREGAR</t>
  </si>
  <si>
    <t>2324.10.015</t>
  </si>
  <si>
    <t>0082167999</t>
  </si>
  <si>
    <t>AISHAURA PUTRI DEA</t>
  </si>
  <si>
    <t>2324.10.017</t>
  </si>
  <si>
    <t>0084087226</t>
  </si>
  <si>
    <t>ALFATHAN RADITYA GUNARA</t>
  </si>
  <si>
    <t>2324.10.019</t>
  </si>
  <si>
    <t>0083473841</t>
  </si>
  <si>
    <t>ALICIA MARCELLA GULO</t>
  </si>
  <si>
    <t>2324.10.020</t>
  </si>
  <si>
    <t>0078342012</t>
  </si>
  <si>
    <t>ALIF NUR RIZKI</t>
  </si>
  <si>
    <t>2324.10.023</t>
  </si>
  <si>
    <t>0085520789</t>
  </si>
  <si>
    <t>ALLBIE AVICENNA</t>
  </si>
  <si>
    <t>2324.10.027</t>
  </si>
  <si>
    <t>0081088641</t>
  </si>
  <si>
    <t>ALMIRA MAULIDA PUTRI APSARI</t>
  </si>
  <si>
    <t>2324.10.035</t>
  </si>
  <si>
    <t>0082685366</t>
  </si>
  <si>
    <t>ANITA TRI ANGGRAINI</t>
  </si>
  <si>
    <t>2324.10.036</t>
  </si>
  <si>
    <t>0087823230</t>
  </si>
  <si>
    <t>ANNISA ALYA MAHARANI</t>
  </si>
  <si>
    <t>2324.10.064</t>
  </si>
  <si>
    <t>0079217224</t>
  </si>
  <si>
    <t>AYU ARYANI</t>
  </si>
  <si>
    <t>2324.10.067</t>
  </si>
  <si>
    <t>0082382091</t>
  </si>
  <si>
    <t>AYUDYA RACHMAWATI</t>
  </si>
  <si>
    <t>2324.10.074</t>
  </si>
  <si>
    <t>0072978615</t>
  </si>
  <si>
    <t>AZUAN PUTRA SATIA</t>
  </si>
  <si>
    <t>2324.10.078</t>
  </si>
  <si>
    <t>0071343192</t>
  </si>
  <si>
    <t>BIANCA INDHIRA HANUUN</t>
  </si>
  <si>
    <t>2324.10.079</t>
  </si>
  <si>
    <t>0081754947</t>
  </si>
  <si>
    <t>BILQIS AFRILIA NAZWA RANI</t>
  </si>
  <si>
    <t>2324.10.084</t>
  </si>
  <si>
    <t>0089112426</t>
  </si>
  <si>
    <t>CALLISTA DOMINIC LAURA GINTA</t>
  </si>
  <si>
    <t>2324.10.088</t>
  </si>
  <si>
    <t>0074316755</t>
  </si>
  <si>
    <t>CHECHILLIA AZZAHRA PUTRI KURNIADI</t>
  </si>
  <si>
    <t>2324.10.093</t>
  </si>
  <si>
    <t>0081348287</t>
  </si>
  <si>
    <t>DAFFA KHAIRU RAMADHAN</t>
  </si>
  <si>
    <t>2324.10.098</t>
  </si>
  <si>
    <t>0078189303</t>
  </si>
  <si>
    <t>DARY DZAKWAN PUTRA CAHYADI</t>
  </si>
  <si>
    <t>2324.10.106</t>
  </si>
  <si>
    <t>0087513149</t>
  </si>
  <si>
    <t>DIANDRA ZAHRA ADANI</t>
  </si>
  <si>
    <t>2324.10.107</t>
  </si>
  <si>
    <t>0087242889</t>
  </si>
  <si>
    <t>DIMAS ARIANSYAH SIAGIAN</t>
  </si>
  <si>
    <t>2324.10.145</t>
  </si>
  <si>
    <t>0061383159</t>
  </si>
  <si>
    <t>FIRDA AULIA RAMADHANI</t>
  </si>
  <si>
    <t>2324.10.168</t>
  </si>
  <si>
    <t>0081488517</t>
  </si>
  <si>
    <t>HERDICSON F. H. SIREGAR</t>
  </si>
  <si>
    <t>2324.10.188</t>
  </si>
  <si>
    <t>0079428976</t>
  </si>
  <si>
    <t>KAMILIA KEYSHA RAMADHANI</t>
  </si>
  <si>
    <t>2324.10.206</t>
  </si>
  <si>
    <t>0074872374</t>
  </si>
  <si>
    <t>LANA SHAFIRA</t>
  </si>
  <si>
    <t>2324.10.219</t>
  </si>
  <si>
    <t>0085658144</t>
  </si>
  <si>
    <t>MAYSARI HIDAYAH</t>
  </si>
  <si>
    <t>2324.10.237</t>
  </si>
  <si>
    <t>0077669643</t>
  </si>
  <si>
    <t>MUHAMMAD ALIF FAIZ ASSYAROF</t>
  </si>
  <si>
    <t>2324.10.254</t>
  </si>
  <si>
    <t>0084850250</t>
  </si>
  <si>
    <t>MUHAMMAD UMMUL LUHUR WISESA</t>
  </si>
  <si>
    <t>2324.10.290</t>
  </si>
  <si>
    <t>0076972929</t>
  </si>
  <si>
    <t>NAZWA NURUL ABIDA</t>
  </si>
  <si>
    <t>2324.10.304</t>
  </si>
  <si>
    <t>0084962687</t>
  </si>
  <si>
    <t>PERDI SYAFAR WAHYUDI</t>
  </si>
  <si>
    <t>2324.10.311</t>
  </si>
  <si>
    <t>0086511111</t>
  </si>
  <si>
    <t>RADEN DIFA AQILLAH LUKMAN</t>
  </si>
  <si>
    <t>2324.10.331</t>
  </si>
  <si>
    <t>0083825468</t>
  </si>
  <si>
    <t>RANDY MAIDYKA</t>
  </si>
  <si>
    <t>2324.10.380</t>
  </si>
  <si>
    <t>0073746046</t>
  </si>
  <si>
    <t>SITI KEYSHIA AZZAHRA</t>
  </si>
  <si>
    <t>2324.10.381</t>
  </si>
  <si>
    <t>0077430989</t>
  </si>
  <si>
    <t>SITI LATESA</t>
  </si>
  <si>
    <t>2324.10.397</t>
  </si>
  <si>
    <t>0077414689</t>
  </si>
  <si>
    <t>TEUNGKU MUHAMMAD AL-FACHRI SYAH JEUMPA</t>
  </si>
  <si>
    <t>2324.10.400</t>
  </si>
  <si>
    <t>0075574187</t>
  </si>
  <si>
    <t>ULLY ARTHA RAMADHANI SIMANJUNTAK</t>
  </si>
  <si>
    <t>2324.10.406</t>
  </si>
  <si>
    <t>0073779987</t>
  </si>
  <si>
    <t>WAFAA' SALSABILAH HARDIN</t>
  </si>
  <si>
    <t>KELAS  XII G-1</t>
  </si>
  <si>
    <t>Wali Kelas : Yanti Kurniati, S.Pd</t>
  </si>
  <si>
    <t>2324.10.026</t>
  </si>
  <si>
    <t>0079539859</t>
  </si>
  <si>
    <t>ALMER ATHALLAH KHAIRY</t>
  </si>
  <si>
    <t>2324.10.029</t>
  </si>
  <si>
    <t>0078995367</t>
  </si>
  <si>
    <t>ALVIRA RACHMAT LESTARI</t>
  </si>
  <si>
    <t>00842784490</t>
  </si>
  <si>
    <t>ANDIKA PUTRA PRANATA</t>
  </si>
  <si>
    <t>2324.10.040</t>
  </si>
  <si>
    <t>0083437756</t>
  </si>
  <si>
    <t>AQILA SYADID</t>
  </si>
  <si>
    <t>2324.10.060</t>
  </si>
  <si>
    <t>0081289813</t>
  </si>
  <si>
    <t>AURA SCARLETTA JAYA</t>
  </si>
  <si>
    <t>2324.10.077</t>
  </si>
  <si>
    <t>0071596947</t>
  </si>
  <si>
    <t>BENAYA AMARASTI WIDIATMA</t>
  </si>
  <si>
    <t>2324.10.081</t>
  </si>
  <si>
    <t>0078600357</t>
  </si>
  <si>
    <t>BUNGA CLARESTA TUMANUNG</t>
  </si>
  <si>
    <t>2324.10.127</t>
  </si>
  <si>
    <t>0089816097</t>
  </si>
  <si>
    <t>FAKHIRA FIRLIZA AL KAF SAIFUDDIN</t>
  </si>
  <si>
    <t>2324.10.134</t>
  </si>
  <si>
    <t>0071169682</t>
  </si>
  <si>
    <t>FATHIA KHAIRAYA HASAN</t>
  </si>
  <si>
    <t>2324.10.137</t>
  </si>
  <si>
    <t>0086348628</t>
  </si>
  <si>
    <t>FATIHAH MORGIANA</t>
  </si>
  <si>
    <t>2324.10.142</t>
  </si>
  <si>
    <t>FEY NASYWA SYAHLI</t>
  </si>
  <si>
    <t>2324.10.148</t>
  </si>
  <si>
    <t>0088384581</t>
  </si>
  <si>
    <t>FIRYAL RAMADHANI</t>
  </si>
  <si>
    <t>2324.10.158</t>
  </si>
  <si>
    <t>0079609512</t>
  </si>
  <si>
    <t>GRACIA NATALIA NAPITUPULU</t>
  </si>
  <si>
    <t>2324.10.170</t>
  </si>
  <si>
    <t>0088363788</t>
  </si>
  <si>
    <t>HUMAM AHMAD MUSYAFFA</t>
  </si>
  <si>
    <t>2324.10.202</t>
  </si>
  <si>
    <t>0081424818</t>
  </si>
  <si>
    <t>KHAIRUNNISA NUR IBTIHAL</t>
  </si>
  <si>
    <t>2324.10.244</t>
  </si>
  <si>
    <t>0081039639</t>
  </si>
  <si>
    <t>MUHAMMAD FIKRI ADYA AULIA</t>
  </si>
  <si>
    <t>2324.10.245</t>
  </si>
  <si>
    <t>0068926505</t>
  </si>
  <si>
    <t>MUHAMMAD HISYAM SAURI RIFADI</t>
  </si>
  <si>
    <t>2324.10.249</t>
  </si>
  <si>
    <t>0086819831</t>
  </si>
  <si>
    <t>MUHAMMAD KSATRIA AL FARISI</t>
  </si>
  <si>
    <t>2324.10.250</t>
  </si>
  <si>
    <t>0073379114</t>
  </si>
  <si>
    <t>MUHAMMAD NAVIS AFIF ALKINDY</t>
  </si>
  <si>
    <t>2324.10.275</t>
  </si>
  <si>
    <t>0072045142</t>
  </si>
  <si>
    <t>NAJUWA KHAIRUNNISA</t>
  </si>
  <si>
    <t>2324.10.285</t>
  </si>
  <si>
    <t>0085513622</t>
  </si>
  <si>
    <t>NAYLA GHINA PRAMESTI</t>
  </si>
  <si>
    <t>2324.10.291</t>
  </si>
  <si>
    <t>0085449197</t>
  </si>
  <si>
    <t>NEYSA CALLUELA DHIYA ACHMAD</t>
  </si>
  <si>
    <t>2324.10.301</t>
  </si>
  <si>
    <t>0087937442</t>
  </si>
  <si>
    <t>ORCHIDA ADHIYA HANIN</t>
  </si>
  <si>
    <t>2324.10.307</t>
  </si>
  <si>
    <t>0074830715</t>
  </si>
  <si>
    <t>QIRRENT OCTAVIANT WARDHANI SADIMAN PUTRI</t>
  </si>
  <si>
    <t>2324.10.309</t>
  </si>
  <si>
    <t>0078307989</t>
  </si>
  <si>
    <t>RADEN AMANULLAH DHAIFULLAH</t>
  </si>
  <si>
    <t>2324.10.354</t>
  </si>
  <si>
    <t>0088424984</t>
  </si>
  <si>
    <t>RIVALDI FAATHIR</t>
  </si>
  <si>
    <t>2324.10.358</t>
  </si>
  <si>
    <t>0075217746</t>
  </si>
  <si>
    <t>SAFIRA KHAIRUNNISA</t>
  </si>
  <si>
    <t>0072367668</t>
  </si>
  <si>
    <t>SALMA NUR KAMILA</t>
  </si>
  <si>
    <t>2324.10.368</t>
  </si>
  <si>
    <t>0081167272</t>
  </si>
  <si>
    <t>SANIA JULIANA ENSAN</t>
  </si>
  <si>
    <t>2324.10.370</t>
  </si>
  <si>
    <t>0074239025</t>
  </si>
  <si>
    <t>SATRYA RANGGABARANI</t>
  </si>
  <si>
    <t>2324.10.371</t>
  </si>
  <si>
    <t>0097356455</t>
  </si>
  <si>
    <t>SEKAR KANAYA AZZAHRA</t>
  </si>
  <si>
    <t>2324.10.383</t>
  </si>
  <si>
    <t>0082578548</t>
  </si>
  <si>
    <t>STEPHEN HADY GUNAWAN</t>
  </si>
  <si>
    <t>2324.10.387</t>
  </si>
  <si>
    <t>0082118879</t>
  </si>
  <si>
    <t>SYAKIRA AMALIA ZULFA</t>
  </si>
  <si>
    <t>2324.10.389</t>
  </si>
  <si>
    <t>0089835538</t>
  </si>
  <si>
    <t>SYEIRAN ARESTIA PUTERI</t>
  </si>
  <si>
    <t>2324.10.393</t>
  </si>
  <si>
    <t>0088899762</t>
  </si>
  <si>
    <t>SYIFA SAKHIA SAFIRA</t>
  </si>
  <si>
    <t>2324.10.410</t>
  </si>
  <si>
    <t>0085635154</t>
  </si>
  <si>
    <t>WISNU FEBRIANSYAH</t>
  </si>
  <si>
    <t>2324.10.420</t>
  </si>
  <si>
    <t>0089244335</t>
  </si>
  <si>
    <t>ZASKYA NAURA KESUMAH PUTRI</t>
  </si>
  <si>
    <t>KELAS  XII G-2</t>
  </si>
  <si>
    <t>Wali Kelas : Wawan Kurniawan, S.Sos</t>
  </si>
  <si>
    <t>2324.10.003</t>
  </si>
  <si>
    <t>0079089082</t>
  </si>
  <si>
    <t>Adinda Haifa Syahidah</t>
  </si>
  <si>
    <t>2324.10.009</t>
  </si>
  <si>
    <t>0072553223</t>
  </si>
  <si>
    <t>Adzkia Alma Muyassar</t>
  </si>
  <si>
    <t>2324.10.048</t>
  </si>
  <si>
    <t>0073885660</t>
  </si>
  <si>
    <t>Armanita Dhiva Trisnaningtyas</t>
  </si>
  <si>
    <t>2324.10.050</t>
  </si>
  <si>
    <t>0084711885</t>
  </si>
  <si>
    <t>Arven Fadelto Wirda Muhandava</t>
  </si>
  <si>
    <t>2324.10.061</t>
  </si>
  <si>
    <t>0076999190</t>
  </si>
  <si>
    <t>Aurel Amanda Sari</t>
  </si>
  <si>
    <t>2324.10.435</t>
  </si>
  <si>
    <t>0087220996</t>
  </si>
  <si>
    <t>Avesenna Vivaldi Zahri</t>
  </si>
  <si>
    <t>2324.10.072</t>
  </si>
  <si>
    <t>0073604299</t>
  </si>
  <si>
    <t>Azkia Rayzanaya Puteri</t>
  </si>
  <si>
    <t>2324.10.105</t>
  </si>
  <si>
    <t>Dewa Arga Harsono Putro</t>
  </si>
  <si>
    <t>2324.10.112</t>
  </si>
  <si>
    <t>Dionisius Evandra</t>
  </si>
  <si>
    <t>2324.10.144</t>
  </si>
  <si>
    <t>0085950341</t>
  </si>
  <si>
    <t>Fina Wulandari</t>
  </si>
  <si>
    <t>2324.10.156</t>
  </si>
  <si>
    <t>0085731780</t>
  </si>
  <si>
    <t>Gita Anjani Santoso</t>
  </si>
  <si>
    <t>2324.10.163</t>
  </si>
  <si>
    <t>0076073444</t>
  </si>
  <si>
    <t>Hanif Mumtaazah</t>
  </si>
  <si>
    <t>2324.10.172</t>
  </si>
  <si>
    <t>0078040603</t>
  </si>
  <si>
    <t>Iffa</t>
  </si>
  <si>
    <t>2324.10.183</t>
  </si>
  <si>
    <t>0073006514</t>
  </si>
  <si>
    <t>Jihan Dzakiyyah Azhaar</t>
  </si>
  <si>
    <t>2324.10.184</t>
  </si>
  <si>
    <t>0082272411</t>
  </si>
  <si>
    <t>Jihan Fajri</t>
  </si>
  <si>
    <t>2324.10.198</t>
  </si>
  <si>
    <t>0081731873</t>
  </si>
  <si>
    <t>Kemal Rizky Ramadhan</t>
  </si>
  <si>
    <t>2324.10.225</t>
  </si>
  <si>
    <t>0086489600</t>
  </si>
  <si>
    <t>Minanda Rizki Zakiyah</t>
  </si>
  <si>
    <t>2324.10.239</t>
  </si>
  <si>
    <t>0085468607</t>
  </si>
  <si>
    <t>Muhammad Dytra Afif</t>
  </si>
  <si>
    <t>2324.10.242</t>
  </si>
  <si>
    <t>0086957802</t>
  </si>
  <si>
    <t>Muhammad Fadly Syahdan Risyadi</t>
  </si>
  <si>
    <t>2324.10.263</t>
  </si>
  <si>
    <t>0079761330</t>
  </si>
  <si>
    <t>Nabila Nurshyfa</t>
  </si>
  <si>
    <t>2324.10.269</t>
  </si>
  <si>
    <t>0077898712</t>
  </si>
  <si>
    <t>Naflah Diva Nabilah</t>
  </si>
  <si>
    <t>2324.10.276</t>
  </si>
  <si>
    <t>0077233887</t>
  </si>
  <si>
    <t>Nakamura Ramadhan Sanmoon</t>
  </si>
  <si>
    <t>2324.10.280</t>
  </si>
  <si>
    <t>0073457859</t>
  </si>
  <si>
    <t>Nasywa Adinda Putri Romli</t>
  </si>
  <si>
    <t>2324.10.288</t>
  </si>
  <si>
    <t>0062516435</t>
  </si>
  <si>
    <t>Nazwa Aulia Fitrah</t>
  </si>
  <si>
    <t>2324.10.295</t>
  </si>
  <si>
    <t>0084342226</t>
  </si>
  <si>
    <t>Nurifa Putri Imansyah</t>
  </si>
  <si>
    <t>2324.10.300</t>
  </si>
  <si>
    <t>0076303224</t>
  </si>
  <si>
    <t>Olympias Viola Artha Natally</t>
  </si>
  <si>
    <t>2324.10.440</t>
  </si>
  <si>
    <t>0083012680</t>
  </si>
  <si>
    <t>Radhika Eshan Susantya</t>
  </si>
  <si>
    <t>2324.10.326</t>
  </si>
  <si>
    <t>0082461362</t>
  </si>
  <si>
    <t>Raisya Maurizka Kurniawan</t>
  </si>
  <si>
    <t>2324.10.335</t>
  </si>
  <si>
    <t>0099521398</t>
  </si>
  <si>
    <t>Rasya Jihan</t>
  </si>
  <si>
    <t>2324.10.350</t>
  </si>
  <si>
    <t>0088925273</t>
  </si>
  <si>
    <t>Rifelia Alib Putri Kurniawan</t>
  </si>
  <si>
    <t>2324.10.355</t>
  </si>
  <si>
    <t>0087777190</t>
  </si>
  <si>
    <t>Rizky Nurina Azzahra</t>
  </si>
  <si>
    <t>2324.10.369</t>
  </si>
  <si>
    <t>0088460072</t>
  </si>
  <si>
    <t>Sasikirana Abhinaya Suhara</t>
  </si>
  <si>
    <t>2324.10.374</t>
  </si>
  <si>
    <t>0081048708</t>
  </si>
  <si>
    <t>Shaquil Fattah Alchair</t>
  </si>
  <si>
    <t>2324.10.396</t>
  </si>
  <si>
    <t>0084298957</t>
  </si>
  <si>
    <t>Tegar Wibowo</t>
  </si>
  <si>
    <t>0084389845</t>
  </si>
  <si>
    <t>Wa Ode Ayu Silfia Pinara</t>
  </si>
  <si>
    <t>2324.10.415</t>
  </si>
  <si>
    <t>0084693218</t>
  </si>
  <si>
    <t>Zaharani Eriska Damayanti</t>
  </si>
  <si>
    <t>2324.10.419</t>
  </si>
  <si>
    <t>0074421553</t>
  </si>
  <si>
    <t>Zahrina Ghassani Isna</t>
  </si>
  <si>
    <t>KHUSUS KELAS X-XI:   PANDUAN PENGISIAN LAPORAN MENTORING</t>
  </si>
  <si>
    <t>Mentor cukup mengisi di kolom berwarna hijau, KECUALI bila ada data yang tidak sesuai pada kolom total pertemuan tgl 16 Agustus - 18 Oktober,  BOLEH LANGSUNG DIREVISI. Agenda Master Class masuk dalam hitungan jumlah pertemuan, namun pada jumlah kehadiran mentee TIDAK, data kehadiran tsb akan ditambahkan oleh tim SCC berdasarkan data QR kehadiran saat acara.</t>
  </si>
  <si>
    <t>Total Hadir
9 Agustus -  22 Nov</t>
  </si>
  <si>
    <t xml:space="preserve">TAHUN PELAJARAN 2024/2025 </t>
  </si>
  <si>
    <t>KELAS  X-1</t>
  </si>
  <si>
    <t>Wali Kelas : Wawan Kurniawan, S.Pd.</t>
  </si>
  <si>
    <t>0092385645</t>
  </si>
  <si>
    <t>ADINDA KHAYLA</t>
  </si>
  <si>
    <t>Ramania</t>
  </si>
  <si>
    <t>0098551657</t>
  </si>
  <si>
    <t>AL GOFI PATRA</t>
  </si>
  <si>
    <t>Arya</t>
  </si>
  <si>
    <t>0087298416</t>
  </si>
  <si>
    <t>ALMIRA TUNGGA DEWI</t>
  </si>
  <si>
    <t>0095546511</t>
  </si>
  <si>
    <t>AULYA MAWAL JUNIAR</t>
  </si>
  <si>
    <t>0094015905</t>
  </si>
  <si>
    <t>AURELLIA SYIFA HAFIANTI</t>
  </si>
  <si>
    <t>0107163370</t>
  </si>
  <si>
    <t>CHIARA NANDA SETIYO FAZRIA</t>
  </si>
  <si>
    <t>0092348709</t>
  </si>
  <si>
    <t>CINTIA ZAHFIRAH ASYIAH SIREGAR</t>
  </si>
  <si>
    <t>3081717964</t>
  </si>
  <si>
    <t>DISHA RAMANDA PUTRA</t>
  </si>
  <si>
    <t>0089925170</t>
  </si>
  <si>
    <t>ESKISAN OKTRI FEMISTA</t>
  </si>
  <si>
    <t>0095657957</t>
  </si>
  <si>
    <t>FAIZA RAMADHANI</t>
  </si>
  <si>
    <t>0082690807</t>
  </si>
  <si>
    <t>FAZA AZIMA WAALIDAEN</t>
  </si>
  <si>
    <t>0082256467</t>
  </si>
  <si>
    <t>FIRAS RIZQY WICAKSONO</t>
  </si>
  <si>
    <t>0092821103</t>
  </si>
  <si>
    <t>IRSYAD NABIHAN</t>
  </si>
  <si>
    <t>0082185766</t>
  </si>
  <si>
    <t>JUWINSYAH DWI ARGA</t>
  </si>
  <si>
    <t>0099940887</t>
  </si>
  <si>
    <t>KAMIILA PUTRI KHAIRUNNISA</t>
  </si>
  <si>
    <t>0081936585</t>
  </si>
  <si>
    <t>KAYLA DHEA NURMA FAUZIAH</t>
  </si>
  <si>
    <t>0091012038</t>
  </si>
  <si>
    <t>KEISHA JUAN</t>
  </si>
  <si>
    <t>0089115919</t>
  </si>
  <si>
    <t>KEVIN SITANGGANG</t>
  </si>
  <si>
    <t>0087176231</t>
  </si>
  <si>
    <t>M. FADLY FADILLAH</t>
  </si>
  <si>
    <t>0081087411</t>
  </si>
  <si>
    <t>MARCEL TRI HERMAWAN</t>
  </si>
  <si>
    <t>0092053150</t>
  </si>
  <si>
    <t>MUHAMMAD ABIDZAR</t>
  </si>
  <si>
    <t>3083447726</t>
  </si>
  <si>
    <t>MUHAMMAD DZAKY</t>
  </si>
  <si>
    <t>3092211203</t>
  </si>
  <si>
    <t>MUHAMMAD RIZKI SALIM</t>
  </si>
  <si>
    <t>0091225757</t>
  </si>
  <si>
    <t>NADYA FAYZA AULIA</t>
  </si>
  <si>
    <t>0082650076</t>
  </si>
  <si>
    <t>NI MADE NAZELA</t>
  </si>
  <si>
    <t>0083111399</t>
  </si>
  <si>
    <t>NI PUTU NAYAKA PRAKASAYATI PASEK</t>
  </si>
  <si>
    <t>0089608543</t>
  </si>
  <si>
    <t>NURI SABILATUL ASPIYA</t>
  </si>
  <si>
    <t>0094095735</t>
  </si>
  <si>
    <t>RAISYA MAULIDHINA</t>
  </si>
  <si>
    <t>0096689975</t>
  </si>
  <si>
    <t>RAMADITYA TANGGUH ALFIAN</t>
  </si>
  <si>
    <t>0094272879</t>
  </si>
  <si>
    <t>REYHAN SAPUTRA</t>
  </si>
  <si>
    <t>0099920490</t>
  </si>
  <si>
    <t>RIFQI ANINDYA PUTRA</t>
  </si>
  <si>
    <t>0089336981</t>
  </si>
  <si>
    <t>SABRINA FIRDAUS ZAHRATUS ZAKARIA</t>
  </si>
  <si>
    <t>0096304229</t>
  </si>
  <si>
    <t>SYADIEN KAMILLIA AGUSTIN</t>
  </si>
  <si>
    <t>0092533632</t>
  </si>
  <si>
    <t>TALITA PUTRIA CAHYANI</t>
  </si>
  <si>
    <t>0082646713</t>
  </si>
  <si>
    <t>TALITA SHAKI AULIA</t>
  </si>
  <si>
    <t>0085011294</t>
  </si>
  <si>
    <t>ZULFA LAILA MASHURAH</t>
  </si>
  <si>
    <t>PEMERINTAH DAERAH PROPINSI JAWA BARAT
DINAS PENDIDIKAN 
 SMA   NEGERI 2 CIBINONG
Jln. Karadenan No. 5 Cibinong Telp/Fax. ( 0251 ) 8654347 Bogor 16913
http://www.sman2-cibinong.sch.id    email: info@sman2-cibinong.sch.id</t>
  </si>
  <si>
    <t>DAFTAR SISWA KELAS X</t>
  </si>
  <si>
    <t>KELAS  X-2</t>
  </si>
  <si>
    <t>Wali Kelas : Dra. Kristina K, M.Pd</t>
  </si>
  <si>
    <t>Kelas Saat Ini</t>
  </si>
  <si>
    <t>0096738562</t>
  </si>
  <si>
    <t>AIRA EVA FAJARINA</t>
  </si>
  <si>
    <t>Iga</t>
  </si>
  <si>
    <t>XI-C</t>
  </si>
  <si>
    <t>0095391975</t>
  </si>
  <si>
    <t>ALYA RAMADHANI</t>
  </si>
  <si>
    <t>Pindah Sekolah</t>
  </si>
  <si>
    <t>0092388902</t>
  </si>
  <si>
    <t>AQILA KHAIRUNNISA PUTRI</t>
  </si>
  <si>
    <t>XI-D3</t>
  </si>
  <si>
    <t>0093831279</t>
  </si>
  <si>
    <t>AULIA ERLIN MUMMAIZAH</t>
  </si>
  <si>
    <t>XI-D1</t>
  </si>
  <si>
    <t>0091072005</t>
  </si>
  <si>
    <t>BAGUS SUGIHARTO</t>
  </si>
  <si>
    <t>Rafli</t>
  </si>
  <si>
    <t>0096383417</t>
  </si>
  <si>
    <t>CALLYSTA SADIRA RIZQULLAH KHANIZA</t>
  </si>
  <si>
    <t>XI-F1</t>
  </si>
  <si>
    <t>0092463348</t>
  </si>
  <si>
    <t>DANISH ALGHIFARI</t>
  </si>
  <si>
    <t>0086078004</t>
  </si>
  <si>
    <t>DEANDRA NASHWAN DANISH</t>
  </si>
  <si>
    <t>0092889165</t>
  </si>
  <si>
    <t>ELLO SASMITHA JATI</t>
  </si>
  <si>
    <t>XI-D2</t>
  </si>
  <si>
    <t>0087551985</t>
  </si>
  <si>
    <t>ELSAMONIC</t>
  </si>
  <si>
    <t>XI-F2</t>
  </si>
  <si>
    <t>0087777223</t>
  </si>
  <si>
    <t>FAIDA ANNAILA ZAHRA</t>
  </si>
  <si>
    <t>0098951883</t>
  </si>
  <si>
    <t>FARIHA TIARA JINAANI</t>
  </si>
  <si>
    <t>XI-B1</t>
  </si>
  <si>
    <t>0081916428</t>
  </si>
  <si>
    <t>FELLYSIA OKTAFIA FERNANDA</t>
  </si>
  <si>
    <t>XI-A2</t>
  </si>
  <si>
    <t>0084693493</t>
  </si>
  <si>
    <t>HAIDAR AL FATHIN</t>
  </si>
  <si>
    <t>0097062478</t>
  </si>
  <si>
    <t>ISLAMIAN IKHSA FIRMAWAN</t>
  </si>
  <si>
    <t>0084382398</t>
  </si>
  <si>
    <t>JESSICA CALISTA DEWI</t>
  </si>
  <si>
    <t>0099418331</t>
  </si>
  <si>
    <t>KEISYA NURMAULIDA</t>
  </si>
  <si>
    <t>0098191015</t>
  </si>
  <si>
    <t>KESYA ARDELIA KUSUMA</t>
  </si>
  <si>
    <t>XI-B2</t>
  </si>
  <si>
    <t>0087336074</t>
  </si>
  <si>
    <t>KEYSA NOVASARI</t>
  </si>
  <si>
    <t>0086293694</t>
  </si>
  <si>
    <t>MAYKAILA AINI SURYANINGTYAS TAMIN</t>
  </si>
  <si>
    <t>0085378932</t>
  </si>
  <si>
    <t>MUHAMAD AKBAR</t>
  </si>
  <si>
    <t>0086360763</t>
  </si>
  <si>
    <t>MUHAMMAD ATHA FAUZANSYAH</t>
  </si>
  <si>
    <t>0095059901</t>
  </si>
  <si>
    <t>MUHAMMAD HABIL MULYANA</t>
  </si>
  <si>
    <t>0082222599</t>
  </si>
  <si>
    <t>MUHAMMAD NAUFAL SURYADI</t>
  </si>
  <si>
    <t>0098849381</t>
  </si>
  <si>
    <t>MUHAMMAD ZAKI ARRAHMAN</t>
  </si>
  <si>
    <t>0099551790</t>
  </si>
  <si>
    <t>NAURAH KHANSA WIBAWA</t>
  </si>
  <si>
    <t>0086704012</t>
  </si>
  <si>
    <t>NURISYA AULIA SHABIIRA</t>
  </si>
  <si>
    <t>0081683598</t>
  </si>
  <si>
    <t>PUTERI KINNAYYA SAEPUDIN</t>
  </si>
  <si>
    <t>0084114869</t>
  </si>
  <si>
    <t>PUTRI WIDA AZ-ZAHRA</t>
  </si>
  <si>
    <t>XI-E2</t>
  </si>
  <si>
    <t>0091126559</t>
  </si>
  <si>
    <t>RAIS ALIYAN</t>
  </si>
  <si>
    <t>0087374524</t>
  </si>
  <si>
    <t>RIZKY BAIHAQI</t>
  </si>
  <si>
    <t>0072787144</t>
  </si>
  <si>
    <t>SAVIRA OKTAVIA PRASETYO</t>
  </si>
  <si>
    <t>0093441573</t>
  </si>
  <si>
    <t>SHAYANG CAMILA AHSANIE</t>
  </si>
  <si>
    <t>0085904748</t>
  </si>
  <si>
    <t>TRI ANDIKA</t>
  </si>
  <si>
    <t>0094935892</t>
  </si>
  <si>
    <t>WANDA ZHAFIRAH</t>
  </si>
  <si>
    <t>0082670071</t>
  </si>
  <si>
    <t>ZHAFRAN RAMADHAN DRAJAT SUKMA</t>
  </si>
  <si>
    <t>KELAS  X-3</t>
  </si>
  <si>
    <t>Wali Kelas : Rr. Tatra Sudhawati, S.Pd., M.Pd</t>
  </si>
  <si>
    <t>0085027044</t>
  </si>
  <si>
    <t>AHMAD HUMAM RIFQI</t>
  </si>
  <si>
    <t>Taufik</t>
  </si>
  <si>
    <t>0084218795</t>
  </si>
  <si>
    <t>AISYAH NARA PURUSA NINGSA</t>
  </si>
  <si>
    <t>Devi</t>
  </si>
  <si>
    <t>0081317101</t>
  </si>
  <si>
    <t>ANDIKA ARTHA KUSUMA</t>
  </si>
  <si>
    <t>0084789093</t>
  </si>
  <si>
    <t>ANNIDA KHAIRUNNISA</t>
  </si>
  <si>
    <t>0087718590</t>
  </si>
  <si>
    <t>ASHYA NAVISHA</t>
  </si>
  <si>
    <t>0092404259</t>
  </si>
  <si>
    <t>AULIA PUTRI SYAFIRA</t>
  </si>
  <si>
    <t>0086475767</t>
  </si>
  <si>
    <t>AULIA RAHMADITIA DANANG</t>
  </si>
  <si>
    <t>0084865750</t>
  </si>
  <si>
    <t>AYU WIDYANINGSIH</t>
  </si>
  <si>
    <t>0097660827</t>
  </si>
  <si>
    <t>BANUWARMAN</t>
  </si>
  <si>
    <t>0083503418</t>
  </si>
  <si>
    <t>CHELSY ASHYLA NAFIZA</t>
  </si>
  <si>
    <t>0098666843</t>
  </si>
  <si>
    <t>DANISY NAHDHAN PRATAMA</t>
  </si>
  <si>
    <t>0095136014</t>
  </si>
  <si>
    <t>DAVINA MUTIARA ARFI</t>
  </si>
  <si>
    <t>0098889247</t>
  </si>
  <si>
    <t>FAIZA ZALFA NADIFA</t>
  </si>
  <si>
    <t>0091736459</t>
  </si>
  <si>
    <t>FIONA WAHIDAH SALSABILA</t>
  </si>
  <si>
    <t>0081527579</t>
  </si>
  <si>
    <t>FX ARYA BIMA SAPUTRA</t>
  </si>
  <si>
    <t>3090828690</t>
  </si>
  <si>
    <t>HANAN DZUL HILMI</t>
  </si>
  <si>
    <t>0099310873</t>
  </si>
  <si>
    <t>HANIF AULIA RIFQY</t>
  </si>
  <si>
    <t>0097101002</t>
  </si>
  <si>
    <t>KAYLA PELANGI HARUPI</t>
  </si>
  <si>
    <t>0095872117</t>
  </si>
  <si>
    <t>KIRANA NUR'AINI</t>
  </si>
  <si>
    <t>0094698679</t>
  </si>
  <si>
    <t>LINA AMELIA DWI ANJANI</t>
  </si>
  <si>
    <t>3095285309</t>
  </si>
  <si>
    <t>LUVIYANI</t>
  </si>
  <si>
    <t>3081754398</t>
  </si>
  <si>
    <t>M. FAUZAN AIFA HAFIZH</t>
  </si>
  <si>
    <t>0098773886</t>
  </si>
  <si>
    <t>MALIKAH PUTRI RAFAN</t>
  </si>
  <si>
    <t>0093504759</t>
  </si>
  <si>
    <t>MUHAMMAD AQILA ZHAFRAN KHAIR</t>
  </si>
  <si>
    <t>0091626296</t>
  </si>
  <si>
    <t>MUHAMMAD DAFFA KHAIRY MUFID</t>
  </si>
  <si>
    <t>0082604990</t>
  </si>
  <si>
    <t>MUHAMMAD ROYYAN</t>
  </si>
  <si>
    <t>0085810407</t>
  </si>
  <si>
    <t>MUHAMMAD SYAWAL</t>
  </si>
  <si>
    <t>0083048491</t>
  </si>
  <si>
    <t>NI KADEK MASAYU SAVITAR HANDAYANI</t>
  </si>
  <si>
    <t>0091033788</t>
  </si>
  <si>
    <t>RAIHANNA ZAHRA AQILAH</t>
  </si>
  <si>
    <t>3083166460</t>
  </si>
  <si>
    <t>RAUFAN NABIH FIRMANSYAH</t>
  </si>
  <si>
    <t>0095610000</t>
  </si>
  <si>
    <t>ROSLIANI SARRAH</t>
  </si>
  <si>
    <t>0095319720</t>
  </si>
  <si>
    <t>SAKINAH NASUTION</t>
  </si>
  <si>
    <t>0092184814</t>
  </si>
  <si>
    <t>SALWA AMANDA PUTRI</t>
  </si>
  <si>
    <t>0094484878</t>
  </si>
  <si>
    <t>TROY RHEZKY LEMBONG</t>
  </si>
  <si>
    <t>0097253280</t>
  </si>
  <si>
    <t>WINDY KENEZ AYU PRAMESTY</t>
  </si>
  <si>
    <t>0094494926</t>
  </si>
  <si>
    <t>ZAFARANI AMALIA PUTRI</t>
  </si>
  <si>
    <t>KELAS  X-4</t>
  </si>
  <si>
    <t>Wali Kelas : Dra. Nani Suryani, M.Pd</t>
  </si>
  <si>
    <t>0099205215</t>
  </si>
  <si>
    <t>ABHIPRAYA FAHIM GHAZAL ADHIATMA</t>
  </si>
  <si>
    <t>0082151570</t>
  </si>
  <si>
    <t>ALIFIA RADYA PRAMESTI</t>
  </si>
  <si>
    <t>Nadira</t>
  </si>
  <si>
    <t>0095916190</t>
  </si>
  <si>
    <t>ALTHAFUNISA RADISTY SAMIADJI</t>
  </si>
  <si>
    <t>Najmi</t>
  </si>
  <si>
    <t>0098762657</t>
  </si>
  <si>
    <t>ANINDYA ZHAFIRA SANI</t>
  </si>
  <si>
    <t>Ukhti</t>
  </si>
  <si>
    <t>0087588818</t>
  </si>
  <si>
    <t>ANNEIRA HENDRYTO</t>
  </si>
  <si>
    <t>0083016159</t>
  </si>
  <si>
    <t>ANNISA NUR FAJRIYA</t>
  </si>
  <si>
    <t>0081177343</t>
  </si>
  <si>
    <t>ARSYILA KAYYISAH BIYANTO</t>
  </si>
  <si>
    <t>Supermentoring + Mentor</t>
  </si>
  <si>
    <t>2093857917</t>
  </si>
  <si>
    <t>ASRI FATIMA AZZAHRA</t>
  </si>
  <si>
    <t>0098812831</t>
  </si>
  <si>
    <t>BILAL KAKA PRATAMA HARTOYO</t>
  </si>
  <si>
    <t>0093123066</t>
  </si>
  <si>
    <t>DELLA WIDYA WATI</t>
  </si>
  <si>
    <t>0093311941</t>
  </si>
  <si>
    <t>DEVI NURAINI</t>
  </si>
  <si>
    <t>0086688060</t>
  </si>
  <si>
    <t>FALIQA HAQ HASANAH</t>
  </si>
  <si>
    <t>0084853605</t>
  </si>
  <si>
    <t>HIBBAN ABDURRAHMAN</t>
  </si>
  <si>
    <t>0094995394</t>
  </si>
  <si>
    <t>JANUAR OBED HOLAND SITOPU</t>
  </si>
  <si>
    <t>0092593035</t>
  </si>
  <si>
    <t>JESIKA NAIN CAHAYA SIRINGO RINGO</t>
  </si>
  <si>
    <t>0096213576</t>
  </si>
  <si>
    <t>KEISHA EDSEL DARMAWAN</t>
  </si>
  <si>
    <t>0098415432</t>
  </si>
  <si>
    <t>KEZIA AULIA HATTALAIBESSIJ</t>
  </si>
  <si>
    <t>0092834368</t>
  </si>
  <si>
    <t>KHAIRA RABBANI TSALASA</t>
  </si>
  <si>
    <t>0098256549</t>
  </si>
  <si>
    <t>KIRANA AURA AZZAHRA PERMANA</t>
  </si>
  <si>
    <t>0093623036</t>
  </si>
  <si>
    <t>KIRANI AIRA SALSABILA PERMANA</t>
  </si>
  <si>
    <t>3091944997</t>
  </si>
  <si>
    <t>LAIS YUSUF GHAZALI</t>
  </si>
  <si>
    <t>0094551974</t>
  </si>
  <si>
    <t>LEXA EL SOHBIA</t>
  </si>
  <si>
    <t>0092786372</t>
  </si>
  <si>
    <t>MIRZA FAIZ AL RAZAK</t>
  </si>
  <si>
    <t>0091624427</t>
  </si>
  <si>
    <t>MUHAMMAD ALFIANSYAH</t>
  </si>
  <si>
    <t>0094864081</t>
  </si>
  <si>
    <t>MUHAMMAD AMMAR FIRDAUS PUTRA</t>
  </si>
  <si>
    <t>0091447390</t>
  </si>
  <si>
    <t>0092210321</t>
  </si>
  <si>
    <t>MUHAMMAD NABIL MA'RUF</t>
  </si>
  <si>
    <t>0084998907</t>
  </si>
  <si>
    <t>MUHAMMAD RIFQI HADZAMI</t>
  </si>
  <si>
    <t>3097947979</t>
  </si>
  <si>
    <t>MUHAMMAD YUSRIL IHZA BUSTOMI</t>
  </si>
  <si>
    <t>0088243290</t>
  </si>
  <si>
    <t>NABILLA ALYA ROHHADI</t>
  </si>
  <si>
    <t>0083634869</t>
  </si>
  <si>
    <t>NAZWA MUFIDA</t>
  </si>
  <si>
    <t>0081976297</t>
  </si>
  <si>
    <t>RIFKY AKBAR MAULANA</t>
  </si>
  <si>
    <t>0094079262</t>
  </si>
  <si>
    <t>SANTIKA FEBYANTI</t>
  </si>
  <si>
    <t>0093523017</t>
  </si>
  <si>
    <t>SAVRYA ALWI AMANI</t>
  </si>
  <si>
    <t>0094647744</t>
  </si>
  <si>
    <t>SYIFA SEPTIA PUTRI</t>
  </si>
  <si>
    <t>0094426892</t>
  </si>
  <si>
    <t>ZAINA HUSNIYATI HAMDANI</t>
  </si>
  <si>
    <t>KELAS  X-5</t>
  </si>
  <si>
    <t>Wali Kelas : Helfy M Ilfa, S.Pd., M.Pd</t>
  </si>
  <si>
    <t>0083691625</t>
  </si>
  <si>
    <t>AINI NUR FAUZIAH GUNAWAN</t>
  </si>
  <si>
    <t>Amel</t>
  </si>
  <si>
    <t>0099505768</t>
  </si>
  <si>
    <t>ALEX SAPUTRA SURANTA TARIGAN</t>
  </si>
  <si>
    <t>0098715904</t>
  </si>
  <si>
    <t>ALEXIA LUIGI LIAN</t>
  </si>
  <si>
    <t>0081265372</t>
  </si>
  <si>
    <t>ALLAYDA CINDY ADDRIAN</t>
  </si>
  <si>
    <t>0084373144</t>
  </si>
  <si>
    <t>ALOYSIUS ARTHUR SINURAT</t>
  </si>
  <si>
    <t>0081501338</t>
  </si>
  <si>
    <t>ANDI ALMAGHFIRA SHABILA SAWERIGADING</t>
  </si>
  <si>
    <t>0092707821</t>
  </si>
  <si>
    <t>ANINDITA NARANISA JATI</t>
  </si>
  <si>
    <t>0089202112</t>
  </si>
  <si>
    <t>ARIIJ ARRIYAD</t>
  </si>
  <si>
    <t>2081404817</t>
  </si>
  <si>
    <t>ARYASATYA TRIDAYA ALAM</t>
  </si>
  <si>
    <t>0092260536</t>
  </si>
  <si>
    <t>ATHALIA MAYROSSA KENZIE</t>
  </si>
  <si>
    <t>3086190678</t>
  </si>
  <si>
    <t>BAGASKARA ARYA PERKASA</t>
  </si>
  <si>
    <t>0093616890</t>
  </si>
  <si>
    <t>DAFFA DIAZ ARSYA BASHARI</t>
  </si>
  <si>
    <t>0093262366</t>
  </si>
  <si>
    <t>DEIVAR BRIMANTARA</t>
  </si>
  <si>
    <t>0082910392</t>
  </si>
  <si>
    <t>ECHA PUTRI RAMADHANI</t>
  </si>
  <si>
    <t>0092622229</t>
  </si>
  <si>
    <t>FADHILAH DWI SABRINA NUGRAHANING PUTRI</t>
  </si>
  <si>
    <t>0083924202</t>
  </si>
  <si>
    <t>FAUZAN NUR HAIDAR</t>
  </si>
  <si>
    <t>0092223653</t>
  </si>
  <si>
    <t>FEYZA ALYA MUKHBITA</t>
  </si>
  <si>
    <t>0091633107</t>
  </si>
  <si>
    <t>HUSNA ILA KAMIL</t>
  </si>
  <si>
    <t>0083510857</t>
  </si>
  <si>
    <t>KHOMAIRAH</t>
  </si>
  <si>
    <t>3095174589</t>
  </si>
  <si>
    <t>MAZAYA KAMILAH MANIK</t>
  </si>
  <si>
    <t>MUHAMAD IKMAL</t>
  </si>
  <si>
    <t>0093423349</t>
  </si>
  <si>
    <t>MUHAMAD RIZKI SAPUTRA</t>
  </si>
  <si>
    <t>0089737965</t>
  </si>
  <si>
    <t>MUHAMAD ZIDAN</t>
  </si>
  <si>
    <t>3097549496</t>
  </si>
  <si>
    <t>MUHAMMAD FAIQ ABDURRAHMAN</t>
  </si>
  <si>
    <t>3092559431</t>
  </si>
  <si>
    <t>MUSYAFFA NURESHAN PAHLEVI</t>
  </si>
  <si>
    <t>0097736512</t>
  </si>
  <si>
    <t>NAILATUL ULLYA</t>
  </si>
  <si>
    <t>3099271994</t>
  </si>
  <si>
    <t>NAYSHILA DHIYA ADZKIA</t>
  </si>
  <si>
    <t>0086863385</t>
  </si>
  <si>
    <t>NAZUA RISTIYANA VIRAGUPTI</t>
  </si>
  <si>
    <t>0095386380</t>
  </si>
  <si>
    <t>PRATAMAYOGA DANISHWARA LESTIYO</t>
  </si>
  <si>
    <t>0092577014</t>
  </si>
  <si>
    <t>RADEN DEVAN ALANZULFIAN</t>
  </si>
  <si>
    <t>3098805753</t>
  </si>
  <si>
    <t>RANIA SALSABILA</t>
  </si>
  <si>
    <t>0094232336</t>
  </si>
  <si>
    <t>RAZAN MUHAMMAD IHSAN SOLIHIN</t>
  </si>
  <si>
    <t>0092343794</t>
  </si>
  <si>
    <t>RIZKA RANA NAILA</t>
  </si>
  <si>
    <t>0087540462</t>
  </si>
  <si>
    <t>SALSABILA ALFEEANSYAH PUTRI</t>
  </si>
  <si>
    <t>0086771046</t>
  </si>
  <si>
    <t>ZASKYA RISQITA ANDRIANI</t>
  </si>
  <si>
    <t>0082747470</t>
  </si>
  <si>
    <t>ZHALIDA DAUMIXY MORA SIREGAR</t>
  </si>
  <si>
    <t>KELAS  X-6</t>
  </si>
  <si>
    <t>Wali Kelas : Dwi Lestari, S.Pd</t>
  </si>
  <si>
    <t>0091972857</t>
  </si>
  <si>
    <t>ABHISTA ANGGORO PURNOMO</t>
  </si>
  <si>
    <t>Febryan</t>
  </si>
  <si>
    <t>0083949375</t>
  </si>
  <si>
    <t>AGISHA MELANDRI</t>
  </si>
  <si>
    <t>Zalika</t>
  </si>
  <si>
    <t>0099375029</t>
  </si>
  <si>
    <t>AKRAM DIKA SETIAWAN</t>
  </si>
  <si>
    <t>0092697249</t>
  </si>
  <si>
    <t>ANANDIO ALFATHIR SUHERMAN</t>
  </si>
  <si>
    <t>0097959305</t>
  </si>
  <si>
    <t>ANINDITO PANDU FAHRINUGROHO</t>
  </si>
  <si>
    <t>0093167605</t>
  </si>
  <si>
    <t>CHEYSA DARA MAHARANI</t>
  </si>
  <si>
    <t>0096872219</t>
  </si>
  <si>
    <t>DESYA MAULIDA</t>
  </si>
  <si>
    <t>p</t>
  </si>
  <si>
    <t>0084629336</t>
  </si>
  <si>
    <t>DIANDRA AULIA WANDA</t>
  </si>
  <si>
    <t>0082284975</t>
  </si>
  <si>
    <t>DISYA CAHAYA CARRISA</t>
  </si>
  <si>
    <t>0095691756</t>
  </si>
  <si>
    <t>FIQUITA NAPU</t>
  </si>
  <si>
    <t>0098451979</t>
  </si>
  <si>
    <t>HASNA AZMALEA RADHINA SANTOSA</t>
  </si>
  <si>
    <t>0099954531</t>
  </si>
  <si>
    <t>HAYKAL WISNU BAYU WIEMANJI</t>
  </si>
  <si>
    <t>0095159012</t>
  </si>
  <si>
    <t>HILWA ZAKIYYAH</t>
  </si>
  <si>
    <t>0095965332</t>
  </si>
  <si>
    <t>KHANSA NABILAH FATIN</t>
  </si>
  <si>
    <t>0083317171</t>
  </si>
  <si>
    <t>KHANSAA DHIYAA AQIILAA</t>
  </si>
  <si>
    <t>3089802088</t>
  </si>
  <si>
    <t>KHOFIFAH ASRINING PANGASTUTI</t>
  </si>
  <si>
    <t>0087551275</t>
  </si>
  <si>
    <t>LANGLANG SYAHADAT PULUNG JATI</t>
  </si>
  <si>
    <t>0099224342</t>
  </si>
  <si>
    <t>LINGGA ARGAN ZINGGARA</t>
  </si>
  <si>
    <t>0088976294</t>
  </si>
  <si>
    <t>MUHAMAD RISKI ADITIYA</t>
  </si>
  <si>
    <t>0095554126</t>
  </si>
  <si>
    <t>MUHAMMAD BAGUS HARYO PRATAMA</t>
  </si>
  <si>
    <t>0086270372</t>
  </si>
  <si>
    <t>MUHAMMAD NOVAL IRFANDI</t>
  </si>
  <si>
    <t>0095657800</t>
  </si>
  <si>
    <t>MUTHIA JASMINE MUTHMA INNAH</t>
  </si>
  <si>
    <t>0091089933</t>
  </si>
  <si>
    <t>NABILAH KHOIRUNNISAA</t>
  </si>
  <si>
    <t>0091524851</t>
  </si>
  <si>
    <t>NADIAN PUTRI SYAFINA</t>
  </si>
  <si>
    <t>0096704827</t>
  </si>
  <si>
    <t>NAURA PRAPRINCESS ANANDA ANBIYA</t>
  </si>
  <si>
    <t>0095420383</t>
  </si>
  <si>
    <t>NIKEN ZAHROTHUL SITA</t>
  </si>
  <si>
    <t>0096488875</t>
  </si>
  <si>
    <t>RAFA IBNU KANAKA</t>
  </si>
  <si>
    <t>0087033208</t>
  </si>
  <si>
    <t>RAHEL ESRA RATUA MANURUNG</t>
  </si>
  <si>
    <t>0087172262</t>
  </si>
  <si>
    <t>RAYA FITRI ANJAINI</t>
  </si>
  <si>
    <t>3097356141</t>
  </si>
  <si>
    <t>RIFZKI YUSRIN</t>
  </si>
  <si>
    <t>3108459157</t>
  </si>
  <si>
    <t>SALWA AISYA PUTRI</t>
  </si>
  <si>
    <t>0098177122</t>
  </si>
  <si>
    <t>SAMUEL SAHAT VITO SIREGAR</t>
  </si>
  <si>
    <t>0093513380</t>
  </si>
  <si>
    <t>SHINTA AULIA</t>
  </si>
  <si>
    <t>0084006956</t>
  </si>
  <si>
    <t>TIARA THALITA DZAKY</t>
  </si>
  <si>
    <t>0083550559</t>
  </si>
  <si>
    <t>ZAHRA TALITA DZAKIRA</t>
  </si>
  <si>
    <t>0098965422</t>
  </si>
  <si>
    <t>ZIKRA ARIB ROZAAN</t>
  </si>
  <si>
    <t>KELAS  X-7</t>
  </si>
  <si>
    <t>Wali Kelas : Ai Siti Rohimah, S.Pd</t>
  </si>
  <si>
    <t>0097313548</t>
  </si>
  <si>
    <t>AHMAD RIYAD SUGIARTO</t>
  </si>
  <si>
    <t>Fadhlan</t>
  </si>
  <si>
    <t>0099463036</t>
  </si>
  <si>
    <t>AINA NISA ASYIFA</t>
  </si>
  <si>
    <t>0099988861</t>
  </si>
  <si>
    <t>ALDY PRATAMA</t>
  </si>
  <si>
    <t>0086733881</t>
  </si>
  <si>
    <t>ALMA DESTIANTI</t>
  </si>
  <si>
    <t>0098621054</t>
  </si>
  <si>
    <t>ALYA MUKHBITA HENDRIANA</t>
  </si>
  <si>
    <t>0097798929</t>
  </si>
  <si>
    <t>ANIDA DEWI ANJANI</t>
  </si>
  <si>
    <t>0097044189</t>
  </si>
  <si>
    <t>AUFA SYAFIQ DISASTRA</t>
  </si>
  <si>
    <t>0085437129</t>
  </si>
  <si>
    <t>AURA HUMAIRA PUTRI GUNAWAN</t>
  </si>
  <si>
    <t>0099561898</t>
  </si>
  <si>
    <t>AURELI VALENCY ACHILES</t>
  </si>
  <si>
    <t>0099087317</t>
  </si>
  <si>
    <t>DANIA ANINDITA TUNGGADEWI</t>
  </si>
  <si>
    <t>0083076557</t>
  </si>
  <si>
    <t>DONITA AULIA RAMADHANI</t>
  </si>
  <si>
    <t>0096763243</t>
  </si>
  <si>
    <t>ELIZABETH FRANSISKA SIREGAR</t>
  </si>
  <si>
    <t>0097500016</t>
  </si>
  <si>
    <t>FATHAN MUBINA</t>
  </si>
  <si>
    <t>3088903236</t>
  </si>
  <si>
    <t>GRACEYA FELISYA SINURAT</t>
  </si>
  <si>
    <t>0085278931</t>
  </si>
  <si>
    <t>HILMA SANDRIA</t>
  </si>
  <si>
    <t>0088101729</t>
  </si>
  <si>
    <t>IRSYAD ABRIAN AL-WARID</t>
  </si>
  <si>
    <t>0093778675</t>
  </si>
  <si>
    <t>KEZIA FEODORA SIMARNALA CIBERRO</t>
  </si>
  <si>
    <t>0083558880</t>
  </si>
  <si>
    <t>LUKMAN HARUN ADITYA</t>
  </si>
  <si>
    <t>3099484913</t>
  </si>
  <si>
    <t>MOCHAMAD LEWIS BATMOMOLIN</t>
  </si>
  <si>
    <t>0096643467</t>
  </si>
  <si>
    <t>MUHAMMAD RAYZA IJUDIN</t>
  </si>
  <si>
    <t>0096931224</t>
  </si>
  <si>
    <t>NAFIS SYAHRI RAMADHAN</t>
  </si>
  <si>
    <t>0099524653</t>
  </si>
  <si>
    <t>QUEEN AQILA ALTHAFUNNISA</t>
  </si>
  <si>
    <t>0094989387</t>
  </si>
  <si>
    <t>QUEENSHA ANJANI SUDRAJAT</t>
  </si>
  <si>
    <t>0092205557</t>
  </si>
  <si>
    <t>RAY ANITA NATASYA</t>
  </si>
  <si>
    <t>0073027831</t>
  </si>
  <si>
    <t>RIZKI MAULANA FADILLAH</t>
  </si>
  <si>
    <t>0094865307</t>
  </si>
  <si>
    <t>SABIKA ZAURA KHUMAIRO</t>
  </si>
  <si>
    <t>0085930059</t>
  </si>
  <si>
    <t>SAMY ABDURRAHMAN ROMDHONY</t>
  </si>
  <si>
    <t>0089191714</t>
  </si>
  <si>
    <t>SANDRIA SALSALINA SEMBIRING KEMBAREN</t>
  </si>
  <si>
    <t>0095672527</t>
  </si>
  <si>
    <t>SYARIFAH KULTSUM SALSABILA</t>
  </si>
  <si>
    <t>0096480588</t>
  </si>
  <si>
    <t>SYIFA APRILIA</t>
  </si>
  <si>
    <t>0084548048</t>
  </si>
  <si>
    <t>TUMPAL DAVID HOTBONARDO NAPITUPULU</t>
  </si>
  <si>
    <t>0084316906</t>
  </si>
  <si>
    <t>WIN MAHARA KUSWANTO</t>
  </si>
  <si>
    <t>0093286737</t>
  </si>
  <si>
    <t>WINDA MAHARANI</t>
  </si>
  <si>
    <t>0091061057</t>
  </si>
  <si>
    <t>WINTANG HIKMAH KUSUMA DEWI</t>
  </si>
  <si>
    <t>0095848946</t>
  </si>
  <si>
    <t>ZAIDAN ALIFAHRIDHO KOESWANTO</t>
  </si>
  <si>
    <t>0094008926</t>
  </si>
  <si>
    <t>ZALFA ANAYA PUTRI</t>
  </si>
  <si>
    <t>KELAS  X-8</t>
  </si>
  <si>
    <t>Wali Kelas : Dian Chaerunisa, S.Pd.</t>
  </si>
  <si>
    <t>0096176025</t>
  </si>
  <si>
    <t>ABIMANYU CAKRANINGRAT</t>
  </si>
  <si>
    <t>0093390743</t>
  </si>
  <si>
    <t>ADINDA QUEENA MAHESWARI</t>
  </si>
  <si>
    <t>0085348468</t>
  </si>
  <si>
    <t>AL-HABI SYEHAR IRAWAN</t>
  </si>
  <si>
    <t>0093801090</t>
  </si>
  <si>
    <t>ALWINSA SUGIHARTO</t>
  </si>
  <si>
    <t>0094538769</t>
  </si>
  <si>
    <t>ALYSHA FARRAS</t>
  </si>
  <si>
    <t>0083641645</t>
  </si>
  <si>
    <t>ATMA PERTIWI</t>
  </si>
  <si>
    <t>0091234811</t>
  </si>
  <si>
    <t>CEMARA ANGGRAENY</t>
  </si>
  <si>
    <t>0083352872</t>
  </si>
  <si>
    <t>DAFFA IQRAM AL FACHREZA</t>
  </si>
  <si>
    <t>0098656322</t>
  </si>
  <si>
    <t>DINDA SYAFANA ALFATIHA .N .R .K</t>
  </si>
  <si>
    <t>0097482971</t>
  </si>
  <si>
    <t>DZAKIRA AFTANI HERDIANTO</t>
  </si>
  <si>
    <t>0093969715</t>
  </si>
  <si>
    <t>FADEL MALIQ FATHANI</t>
  </si>
  <si>
    <t>0087585288</t>
  </si>
  <si>
    <t>FUTRI HANDAYANI</t>
  </si>
  <si>
    <t>0096321568</t>
  </si>
  <si>
    <t>GAN MUHAMMAD RIZKY</t>
  </si>
  <si>
    <t>0087408326</t>
  </si>
  <si>
    <t>GEDE AIRA SAGITA PUTRI KSY</t>
  </si>
  <si>
    <t>3094028221</t>
  </si>
  <si>
    <t>INTAN TANIA</t>
  </si>
  <si>
    <t>0097193046</t>
  </si>
  <si>
    <t>KARIMAH BASSAM FARIS SAWAFTAH</t>
  </si>
  <si>
    <t>0085208150</t>
  </si>
  <si>
    <t>KESYA LARASATI</t>
  </si>
  <si>
    <t>0097202517</t>
  </si>
  <si>
    <t>KHANSA MAKAILA KAYYASAH</t>
  </si>
  <si>
    <t>0086508497</t>
  </si>
  <si>
    <t>MUHAMAD DAFFA SUGIANTO</t>
  </si>
  <si>
    <t>0095937371</t>
  </si>
  <si>
    <t>MUHAMMAD FIKRA BURHAMZAH</t>
  </si>
  <si>
    <t>0098122055</t>
  </si>
  <si>
    <t>MUHAMMAD RIZQULLAH SALIM WIBOWO</t>
  </si>
  <si>
    <t>0094412664</t>
  </si>
  <si>
    <t>MUHAMMAD SHAFA</t>
  </si>
  <si>
    <t>0094087712</t>
  </si>
  <si>
    <t>NADINE KIRANA SARASWATI</t>
  </si>
  <si>
    <t>SUPERMENTOR</t>
  </si>
  <si>
    <t>0096304188</t>
  </si>
  <si>
    <t>NADYA PUTRI</t>
  </si>
  <si>
    <t>0097295872</t>
  </si>
  <si>
    <t>NASYWA NENO FAUZIAH</t>
  </si>
  <si>
    <t>0082898817</t>
  </si>
  <si>
    <t>NATANAEL NADAPDAP</t>
  </si>
  <si>
    <t>0087043705</t>
  </si>
  <si>
    <t>NUR SYIFA AZ ZAHRA</t>
  </si>
  <si>
    <t>0093298242</t>
  </si>
  <si>
    <t>PUTRI DITA APRILIYA</t>
  </si>
  <si>
    <t>0093266742</t>
  </si>
  <si>
    <t>PUTRI KEYSHA M. C</t>
  </si>
  <si>
    <t>0083833819</t>
  </si>
  <si>
    <t>QATRUN NADA TANNAQI</t>
  </si>
  <si>
    <t>0097830870</t>
  </si>
  <si>
    <t>RIZIEQ ZIDAN RIZAL</t>
  </si>
  <si>
    <t>0097311898</t>
  </si>
  <si>
    <t>SHAFIRA GHASSANI</t>
  </si>
  <si>
    <t>0099130256</t>
  </si>
  <si>
    <t>SULAIM APENINO ABDULHAQ</t>
  </si>
  <si>
    <t>0091356987</t>
  </si>
  <si>
    <t>SYAKIRA</t>
  </si>
  <si>
    <t>0094958254</t>
  </si>
  <si>
    <t>VALENTINO AZKA FEBRIAN PUTRA</t>
  </si>
  <si>
    <t>0089659957</t>
  </si>
  <si>
    <t>YASMIN SAKURA ARMAWAN</t>
  </si>
  <si>
    <t>KELAS  X-9</t>
  </si>
  <si>
    <t>Wali Kelas : Syamsi Jawawi, S.Pd</t>
  </si>
  <si>
    <t>0097029152</t>
  </si>
  <si>
    <t>ABDURRAHMAN SYAUQI</t>
  </si>
  <si>
    <t>Ibrahim</t>
  </si>
  <si>
    <t>0083581318</t>
  </si>
  <si>
    <t>AISYAH SYUJA LARASATI SIGIT</t>
  </si>
  <si>
    <t>Athaya</t>
  </si>
  <si>
    <t>0094510551</t>
  </si>
  <si>
    <t>ALIFAH KHAIRANI SAWALUDIN</t>
  </si>
  <si>
    <t>0093240247</t>
  </si>
  <si>
    <t>ANJAR RAUF FAHRIZAL</t>
  </si>
  <si>
    <t>0089373986</t>
  </si>
  <si>
    <t>AYUDIAS RAINA ZARA</t>
  </si>
  <si>
    <t>0095745176</t>
  </si>
  <si>
    <t>BUMI RAFFAH AL ISLAHI</t>
  </si>
  <si>
    <t>0096589760</t>
  </si>
  <si>
    <t>GIZELLA ANGGRIETTA</t>
  </si>
  <si>
    <t>0091325828</t>
  </si>
  <si>
    <t>GRASELA RIYANTI</t>
  </si>
  <si>
    <t>0098700438</t>
  </si>
  <si>
    <t>HADAYA BASSAM FARIS SAWAFTAH</t>
  </si>
  <si>
    <t>0088791024</t>
  </si>
  <si>
    <t>INTAN ZAHIRA AULIA</t>
  </si>
  <si>
    <t>0084361496</t>
  </si>
  <si>
    <t>KESYA RASHAN SYILBIYY FIRDAUS</t>
  </si>
  <si>
    <t>0094057771</t>
  </si>
  <si>
    <t>KHAIRUNNISA RAHADATUL AISY</t>
  </si>
  <si>
    <t>0081855086</t>
  </si>
  <si>
    <t>MADINA SILVANA DEWI</t>
  </si>
  <si>
    <t>0081476668</t>
  </si>
  <si>
    <t>MALIKA NURZAHIRA</t>
  </si>
  <si>
    <t>0098908539</t>
  </si>
  <si>
    <t>MAYSA KHUMAIRA</t>
  </si>
  <si>
    <t>0099030651</t>
  </si>
  <si>
    <t>MEYDINA KHALIILAH BRAMANTYA</t>
  </si>
  <si>
    <t>0091530728</t>
  </si>
  <si>
    <t>MIRZA MUHAMMAD RAFI HANIFALDIN</t>
  </si>
  <si>
    <t>0088667313</t>
  </si>
  <si>
    <t>MOCHAMAD FARID REZA</t>
  </si>
  <si>
    <t>0089204896</t>
  </si>
  <si>
    <t>MOEHAMAD PUTRA AULIA</t>
  </si>
  <si>
    <t>0098268916</t>
  </si>
  <si>
    <t>MOHAMMED ALVARO FAUZAN PURNOMO</t>
  </si>
  <si>
    <t>0095029451</t>
  </si>
  <si>
    <t>MUHAMMAD DAFFA RIFAI</t>
  </si>
  <si>
    <t>0094596470</t>
  </si>
  <si>
    <t>0088807404</t>
  </si>
  <si>
    <t>MUHAMMAD GHAIZYAN ATHAR</t>
  </si>
  <si>
    <t>0092404318</t>
  </si>
  <si>
    <t>MUHAMMAD GHIFARAIDOSATA SUWONDO</t>
  </si>
  <si>
    <t>0083974334</t>
  </si>
  <si>
    <t>NAZHERA IRBA IWEL</t>
  </si>
  <si>
    <t>0107494938</t>
  </si>
  <si>
    <t>NURRY QURATA'AYUN MASTIAR</t>
  </si>
  <si>
    <t>0094414485</t>
  </si>
  <si>
    <t>PRITA SELIANA</t>
  </si>
  <si>
    <t>0082766789</t>
  </si>
  <si>
    <t>PUTI PELANGI MAHARANI</t>
  </si>
  <si>
    <t>0094807008</t>
  </si>
  <si>
    <t>RADHWA KADZIA SALSABILA</t>
  </si>
  <si>
    <t>0099423367</t>
  </si>
  <si>
    <t>RADIF ZIYAN MARYONO</t>
  </si>
  <si>
    <t>0091228007</t>
  </si>
  <si>
    <t>SAKILA NASUTION</t>
  </si>
  <si>
    <t>3087304976</t>
  </si>
  <si>
    <t>SYAHRUL RAMADHAN</t>
  </si>
  <si>
    <t>0800902092</t>
  </si>
  <si>
    <t>TEGAR HERMAWAN ANGGORO</t>
  </si>
  <si>
    <t>0091537746</t>
  </si>
  <si>
    <t>VINDY APRILIA KHANAYA</t>
  </si>
  <si>
    <t>0089237233</t>
  </si>
  <si>
    <t>VIOLA ANINDITA KURNIAWAN</t>
  </si>
  <si>
    <t>0084616257</t>
  </si>
  <si>
    <t>ZAHARA ROMADHONA</t>
  </si>
  <si>
    <t>KELAS  X-10</t>
  </si>
  <si>
    <t>Wali Kelas : Airis Rizkia,  S.Pd.</t>
  </si>
  <si>
    <t>0083638898</t>
  </si>
  <si>
    <t>ADITYA NARAYAN</t>
  </si>
  <si>
    <t>Dimas</t>
  </si>
  <si>
    <t>3091238165</t>
  </si>
  <si>
    <t>AISHA SYAKIRA PUTRI</t>
  </si>
  <si>
    <t>0098441334</t>
  </si>
  <si>
    <t>ALMIRA CHAIRUNNISA IMAWAN</t>
  </si>
  <si>
    <t>0092027940</t>
  </si>
  <si>
    <t>ALUNA KALILA FAUZAN</t>
  </si>
  <si>
    <t>0096990480</t>
  </si>
  <si>
    <t>ANDREA KAIRA NEZZA</t>
  </si>
  <si>
    <t>0081271561</t>
  </si>
  <si>
    <t>ARDHITO HIMAWAN DWANTARA</t>
  </si>
  <si>
    <t>0088260272</t>
  </si>
  <si>
    <t>ARINDA KHALISHA PAMBUDI</t>
  </si>
  <si>
    <t>0088625335</t>
  </si>
  <si>
    <t>ATHA REZKY RIYANSYAH</t>
  </si>
  <si>
    <t>0085534034</t>
  </si>
  <si>
    <t>BINTANG ALIF PUTRA SATRIYA</t>
  </si>
  <si>
    <t>0084745418</t>
  </si>
  <si>
    <t>CHAERANI YULIANTI</t>
  </si>
  <si>
    <t>0091519291</t>
  </si>
  <si>
    <t>DHIYAUL AQLAN ABQORY</t>
  </si>
  <si>
    <t>0095504110</t>
  </si>
  <si>
    <t>DIAZ PRADANA PUTRA</t>
  </si>
  <si>
    <t>0093772011</t>
  </si>
  <si>
    <t>EVANDIKA JULIANDI</t>
  </si>
  <si>
    <t>0094252138</t>
  </si>
  <si>
    <t>FAJRA ANIQ KHALISHA</t>
  </si>
  <si>
    <t>0084614966</t>
  </si>
  <si>
    <t>HINEZTA NAILAH SANMAGHFIRAH</t>
  </si>
  <si>
    <t>0097408336</t>
  </si>
  <si>
    <t>ILMA NUR AGNIA</t>
  </si>
  <si>
    <t>3092618789</t>
  </si>
  <si>
    <t>IMAM AL ASHFIA PRASTOMO</t>
  </si>
  <si>
    <t>0094722345</t>
  </si>
  <si>
    <t>JUAN TRI ALEXANDRO IMMANUEL</t>
  </si>
  <si>
    <t>0083440916</t>
  </si>
  <si>
    <t>KAHLA MULIA</t>
  </si>
  <si>
    <t>0083667654</t>
  </si>
  <si>
    <t>KIREINA ZAHRA YASMAINI</t>
  </si>
  <si>
    <t>0087939718</t>
  </si>
  <si>
    <t>M. BINTANG ALIANSYAH TUKUBOYA</t>
  </si>
  <si>
    <t>0086404055</t>
  </si>
  <si>
    <t>MUHAMAD GATFAN SURYABAKTI</t>
  </si>
  <si>
    <t>0094465097</t>
  </si>
  <si>
    <t>NAUFAL ALGHIFARY ZULYA</t>
  </si>
  <si>
    <t>0096224183</t>
  </si>
  <si>
    <t>NAZIRA MEISA</t>
  </si>
  <si>
    <t>0085675402</t>
  </si>
  <si>
    <t>NEISHA ARINTA PUTRI SARJANA</t>
  </si>
  <si>
    <t>0087189022</t>
  </si>
  <si>
    <t>QUENNA VALENCIA</t>
  </si>
  <si>
    <t>0098495672</t>
  </si>
  <si>
    <t>QUINSHA NAURA ADITY</t>
  </si>
  <si>
    <t>0093556204</t>
  </si>
  <si>
    <t>QUINTANIA AURA PUTRI</t>
  </si>
  <si>
    <t>0099332666</t>
  </si>
  <si>
    <t>RANIA SALSABILLA</t>
  </si>
  <si>
    <t>3094789704</t>
  </si>
  <si>
    <t>RIZKY ABDUL BASHIR TUHAREA</t>
  </si>
  <si>
    <t>0094686903</t>
  </si>
  <si>
    <t>SAFA ADALIA</t>
  </si>
  <si>
    <t>0096344538</t>
  </si>
  <si>
    <t>SANLIA MORANDA BR SILABAN</t>
  </si>
  <si>
    <t>0084182636</t>
  </si>
  <si>
    <t>SATRIA ANDHIKA RAISSA</t>
  </si>
  <si>
    <t>0088535031</t>
  </si>
  <si>
    <t>SYAIRA FAKHRUDINA PUTRI</t>
  </si>
  <si>
    <t>0097734463</t>
  </si>
  <si>
    <t>SYAVIRA DINAR HANDAYANI</t>
  </si>
  <si>
    <t>0092434039</t>
  </si>
  <si>
    <t>VIRA APRILIA PUTRI</t>
  </si>
  <si>
    <t>KELAS  X-11</t>
  </si>
  <si>
    <t>Wali Kelas :  Lina Yudiastuti, S.Pd</t>
  </si>
  <si>
    <t>0082590495</t>
  </si>
  <si>
    <t>AGIL UMAR</t>
  </si>
  <si>
    <t>0091989218</t>
  </si>
  <si>
    <t>AISYAH NUR IZZAH</t>
  </si>
  <si>
    <t>Kia</t>
  </si>
  <si>
    <t>0093555544</t>
  </si>
  <si>
    <t>ALMIRA DIAN PRATIWI</t>
  </si>
  <si>
    <t>0093270004</t>
  </si>
  <si>
    <t>AMORA ROMADEARNI SINAGA</t>
  </si>
  <si>
    <t>0099130384</t>
  </si>
  <si>
    <t>AURELLIA ODELINA ASKANAH HAN</t>
  </si>
  <si>
    <t>0099056940</t>
  </si>
  <si>
    <t>AYUKI NIRWASITA SAPUTRO</t>
  </si>
  <si>
    <t>0099851224</t>
  </si>
  <si>
    <t>BILQIST AYU WULANDARI</t>
  </si>
  <si>
    <t>3092678408</t>
  </si>
  <si>
    <t>DEVIN ANANDYA SYUJA</t>
  </si>
  <si>
    <t>0096851574</t>
  </si>
  <si>
    <t>DZAKIA FITRI</t>
  </si>
  <si>
    <t>0098775856</t>
  </si>
  <si>
    <t>ERZAN FAUZY ZULKARNAEN</t>
  </si>
  <si>
    <t>0083597126</t>
  </si>
  <si>
    <t>EXCELLITA MAYDA NURUSSYFA</t>
  </si>
  <si>
    <t>0096026876</t>
  </si>
  <si>
    <t>FARREL LUTHFI ARVIANSYAH</t>
  </si>
  <si>
    <t>0082539116</t>
  </si>
  <si>
    <t>GLENN HUBERT JONATHAN HAHOLONGAN SIMANUNGKALIT</t>
  </si>
  <si>
    <t>3094653721</t>
  </si>
  <si>
    <t>HAFIZHOH MARYAM AZ-ZUHAELY</t>
  </si>
  <si>
    <t>0082472809</t>
  </si>
  <si>
    <t>JAVASANDA PUTRA PERDANA</t>
  </si>
  <si>
    <t>0093505380</t>
  </si>
  <si>
    <t>KAYLA RAHMAH MUMTAZAH</t>
  </si>
  <si>
    <t>0084845522</t>
  </si>
  <si>
    <t>KHALISTA BISI ELMYRA</t>
  </si>
  <si>
    <t>0093479168</t>
  </si>
  <si>
    <t>MARITZA ALISHA FATHI</t>
  </si>
  <si>
    <t>0087441371</t>
  </si>
  <si>
    <t>MAULANA YUSUF PURNAMA</t>
  </si>
  <si>
    <t>0084468197</t>
  </si>
  <si>
    <t>MUHAMAD ZAHRAN RAMADHAN</t>
  </si>
  <si>
    <t>3086429713</t>
  </si>
  <si>
    <t>MUHAMMAD DALFIN SYAWALDI PUTRA SETIAWAN</t>
  </si>
  <si>
    <t>0099674979</t>
  </si>
  <si>
    <t>MUHAMMAD IRGI AVICENNA FACHRIDHO PUTRA</t>
  </si>
  <si>
    <t>0091257095</t>
  </si>
  <si>
    <t>OSHE BILQIS NADHIFAH</t>
  </si>
  <si>
    <t>0095501589</t>
  </si>
  <si>
    <t>PUTRI ALLYSIA YUSUP</t>
  </si>
  <si>
    <t>0093570911</t>
  </si>
  <si>
    <t>PUTRI KHAILA AZZAHRA</t>
  </si>
  <si>
    <t>0098835028</t>
  </si>
  <si>
    <t>RAFFA MEYZAIDAN</t>
  </si>
  <si>
    <t>0089992734</t>
  </si>
  <si>
    <t>REVALIA SABRINA SAFA</t>
  </si>
  <si>
    <t>0089954401</t>
  </si>
  <si>
    <t>SALSABILA PUTRI</t>
  </si>
  <si>
    <t>0081915133</t>
  </si>
  <si>
    <t>SATRIA AHMAD NURFAISAL ARIYANTO</t>
  </si>
  <si>
    <t>0089493881</t>
  </si>
  <si>
    <t>SILA NUR FAUZIAH</t>
  </si>
  <si>
    <t>0092827580</t>
  </si>
  <si>
    <t>SYAHRENA PITA PINASIH</t>
  </si>
  <si>
    <t>0083624999</t>
  </si>
  <si>
    <t>TRISTAN MUHAMMAD JIBRIL</t>
  </si>
  <si>
    <t>0084290235</t>
  </si>
  <si>
    <t>VALETA FEBIOLA IRMADANI</t>
  </si>
  <si>
    <t>0084357788</t>
  </si>
  <si>
    <t>WADDIA FAZILA PERMANA</t>
  </si>
  <si>
    <t>0082801587</t>
  </si>
  <si>
    <t>ZAHISA RAUDHATUL JANNAH</t>
  </si>
  <si>
    <t>0095163025</t>
  </si>
  <si>
    <t>ZASKIA AULIA PUTRI</t>
  </si>
  <si>
    <t>KELAS  X-12</t>
  </si>
  <si>
    <t>Wali Kelas :  Ichsan, S.Pd</t>
  </si>
  <si>
    <t>0095154966</t>
  </si>
  <si>
    <t>ALYA ATIFA EDFIYANTI</t>
  </si>
  <si>
    <t>0097111779</t>
  </si>
  <si>
    <t>ARYA MUHAMMAD RAIHAN</t>
  </si>
  <si>
    <t>Syafiq</t>
  </si>
  <si>
    <t>0096065165</t>
  </si>
  <si>
    <t>AURELIA SYIFA FIANDRA</t>
  </si>
  <si>
    <t>0096418415</t>
  </si>
  <si>
    <t>AZKA  ABIDAH SUKMA CAHYANI</t>
  </si>
  <si>
    <t>Farisa</t>
  </si>
  <si>
    <t>0094394514</t>
  </si>
  <si>
    <t>BAREP AGHA RIOYO</t>
  </si>
  <si>
    <t>0096109567</t>
  </si>
  <si>
    <t>BILQIS KHUMAIRAH PUTRI</t>
  </si>
  <si>
    <t>0091681862</t>
  </si>
  <si>
    <t>CAESY APRILIA BAUSIR</t>
  </si>
  <si>
    <t>0091342789</t>
  </si>
  <si>
    <t>CHIARA ANGGUN DAMEYANTI SIRAIT</t>
  </si>
  <si>
    <t>0087242368</t>
  </si>
  <si>
    <t>DICKY MAULANA</t>
  </si>
  <si>
    <t>0093137843</t>
  </si>
  <si>
    <t>EVANIA SARAH ILMIRA</t>
  </si>
  <si>
    <t>0087035501</t>
  </si>
  <si>
    <t>FAIZ ALFARIZ</t>
  </si>
  <si>
    <t>0097494303</t>
  </si>
  <si>
    <t>GHINA YUMNA</t>
  </si>
  <si>
    <t>0083473619</t>
  </si>
  <si>
    <t>GIAN FABRIZIO</t>
  </si>
  <si>
    <t>0097179421</t>
  </si>
  <si>
    <t>HERU KURNIA</t>
  </si>
  <si>
    <t>0083951567</t>
  </si>
  <si>
    <t>MALA NIRMALA</t>
  </si>
  <si>
    <t>0094260903</t>
  </si>
  <si>
    <t>MAULIDA AZ ZAHRA NURRAYANI</t>
  </si>
  <si>
    <t>0098848130</t>
  </si>
  <si>
    <t>MAULIDA MAFTUHAH</t>
  </si>
  <si>
    <t>0098437864</t>
  </si>
  <si>
    <t>MEYSA YOSI SALSABILA</t>
  </si>
  <si>
    <t>0088924007</t>
  </si>
  <si>
    <t>MUHAMMAD FAIRUZ PRATAMA</t>
  </si>
  <si>
    <t>0091944011</t>
  </si>
  <si>
    <t>MUHAMMAD FAISAL GHANI</t>
  </si>
  <si>
    <t>0083876462</t>
  </si>
  <si>
    <t>MUHAMMAD HIROSHI ALI MUZAFFAR</t>
  </si>
  <si>
    <t>0096947097</t>
  </si>
  <si>
    <t>MUHAMMAD SALMAN IRIANSAR</t>
  </si>
  <si>
    <t>3097669813</t>
  </si>
  <si>
    <t>NURAFNI MAISA</t>
  </si>
  <si>
    <t>0084584228</t>
  </si>
  <si>
    <t>PIONA ABIGAIL ZAMAR SINAGA</t>
  </si>
  <si>
    <t>0095788052</t>
  </si>
  <si>
    <t>RACHMAT SAIDI KOES MULYANA</t>
  </si>
  <si>
    <t>0094946777</t>
  </si>
  <si>
    <t>RAISSA ZAHRA HIDAYAT</t>
  </si>
  <si>
    <t>0083216448</t>
  </si>
  <si>
    <t>RAMA AR RIFATUL ANBIYA</t>
  </si>
  <si>
    <t>0087745551</t>
  </si>
  <si>
    <t>RHADITIA FAJAR KASYAHVANI</t>
  </si>
  <si>
    <t>0095556013</t>
  </si>
  <si>
    <t>SALSABILA MAULANI</t>
  </si>
  <si>
    <t>0095117423</t>
  </si>
  <si>
    <t>SHANAZ MUFIDA</t>
  </si>
  <si>
    <t>0096820534</t>
  </si>
  <si>
    <t>SHERYN VALENTIA</t>
  </si>
  <si>
    <t>0086778655</t>
  </si>
  <si>
    <t>SURYA RANGGA WISUTA</t>
  </si>
  <si>
    <t>0093907013</t>
  </si>
  <si>
    <t>SYAIKHAH ANBAR</t>
  </si>
  <si>
    <t>0085108715</t>
  </si>
  <si>
    <t>VINNY VIONITA</t>
  </si>
  <si>
    <t>0098438052</t>
  </si>
  <si>
    <t>YASMIN DIVA NURFIQRA</t>
  </si>
  <si>
    <t>0096998389</t>
  </si>
  <si>
    <t>ZHAFIRA FATHIN ILMIRA</t>
  </si>
  <si>
    <t>Rekap Laporan Semester 1 TA 2025-2026</t>
  </si>
  <si>
    <t>Angkatan 33 (Kelas X)</t>
  </si>
  <si>
    <t>Ikhwan</t>
  </si>
  <si>
    <t>Absen</t>
  </si>
  <si>
    <t>Feedback</t>
  </si>
  <si>
    <t>Akhwat</t>
  </si>
  <si>
    <t>Mentor Grup A</t>
  </si>
  <si>
    <t>Mentor Grup B</t>
  </si>
  <si>
    <t>X-1</t>
  </si>
  <si>
    <t>Oshe (XI)</t>
  </si>
  <si>
    <t>X-2</t>
  </si>
  <si>
    <t>Rania (XII)</t>
  </si>
  <si>
    <t>Nadine (XI)</t>
  </si>
  <si>
    <t>X-3</t>
  </si>
  <si>
    <t>Zhafira (XI)</t>
  </si>
  <si>
    <t>X-4</t>
  </si>
  <si>
    <t>Faliqa (XI)</t>
  </si>
  <si>
    <t>X-5</t>
  </si>
  <si>
    <t>Topik &amp; Adrian</t>
  </si>
  <si>
    <t>Hana</t>
  </si>
  <si>
    <t>Sabika (XI)</t>
  </si>
  <si>
    <t>X-6</t>
  </si>
  <si>
    <t>Khairunnisa (XII)</t>
  </si>
  <si>
    <t>Bumi (XI)</t>
  </si>
  <si>
    <t>X-7</t>
  </si>
  <si>
    <t>Rizza Al-Farisi</t>
  </si>
  <si>
    <t>Shafa</t>
  </si>
  <si>
    <t>Desya (XI)</t>
  </si>
  <si>
    <t>X-8</t>
  </si>
  <si>
    <t>Arsyila (XI)</t>
  </si>
  <si>
    <t>X-9</t>
  </si>
  <si>
    <t>Veril (XII)</t>
  </si>
  <si>
    <t>Tiara (XII)</t>
  </si>
  <si>
    <t>Almira (XI)</t>
  </si>
  <si>
    <t>X-10</t>
  </si>
  <si>
    <t>Irghi (XII)</t>
  </si>
  <si>
    <t>Lexa (XI)</t>
  </si>
  <si>
    <t>X-11</t>
  </si>
  <si>
    <t>Khadafi (XII)</t>
  </si>
  <si>
    <t>Kusniawati</t>
  </si>
  <si>
    <t>Annisa Alya (XII)</t>
  </si>
  <si>
    <t>X-12</t>
  </si>
  <si>
    <t>Almeer (XII)</t>
  </si>
  <si>
    <t>Ninda (XII)</t>
  </si>
  <si>
    <t>Fiona (XI)</t>
  </si>
  <si>
    <t>Xsumen</t>
  </si>
  <si>
    <t>Xsumen1</t>
  </si>
  <si>
    <t>Xsumen2</t>
  </si>
  <si>
    <t>Angkatan 32 (Kelas XI)</t>
  </si>
  <si>
    <t>Supermentoring 32</t>
  </si>
  <si>
    <t>Randy</t>
  </si>
  <si>
    <t xml:space="preserve">Rafli (XII) </t>
  </si>
  <si>
    <t>Akhwat-1</t>
  </si>
  <si>
    <t>Akhwat-2</t>
  </si>
  <si>
    <t>Eka</t>
  </si>
  <si>
    <t>Supermentoring 31</t>
  </si>
  <si>
    <t>Febryan (XII)</t>
  </si>
  <si>
    <t>Ikhwan-1</t>
  </si>
  <si>
    <t>Hamzah</t>
  </si>
  <si>
    <t xml:space="preserve">Fadhlan (XII) </t>
  </si>
  <si>
    <t>Najmi (XII)</t>
  </si>
  <si>
    <t>Amel (XII)</t>
  </si>
  <si>
    <t>Ikhwan-2</t>
  </si>
  <si>
    <t>Budi</t>
  </si>
  <si>
    <t>Abim Ibrahim</t>
  </si>
  <si>
    <t>Ulfi</t>
  </si>
  <si>
    <t>Kia (XII)</t>
  </si>
  <si>
    <t>Farisa (XII)</t>
  </si>
  <si>
    <t>Angkatan 31 (Kelas XII)</t>
  </si>
  <si>
    <t>Pengganti</t>
  </si>
  <si>
    <t>Lisana</t>
  </si>
  <si>
    <t>Nadia</t>
  </si>
  <si>
    <t>Mia</t>
  </si>
  <si>
    <t>Timestamp</t>
  </si>
  <si>
    <t>Kamu?</t>
  </si>
  <si>
    <t>Nama Lengkap Kamu</t>
  </si>
  <si>
    <t>Nomor HP</t>
  </si>
  <si>
    <t>Kamu Kelas Berapa?</t>
  </si>
  <si>
    <t>Kakak Mentor Kamu Siapa?</t>
  </si>
  <si>
    <t>Check</t>
  </si>
  <si>
    <t>Boy</t>
  </si>
  <si>
    <t>Abiyu Ahmad Zahran</t>
  </si>
  <si>
    <t>XII-C1</t>
  </si>
  <si>
    <t>081295101249</t>
  </si>
  <si>
    <t>Girl</t>
  </si>
  <si>
    <t>085213264676</t>
  </si>
  <si>
    <t>Aditya Firdaus</t>
  </si>
  <si>
    <t>0887433336911</t>
  </si>
  <si>
    <t>XII-A1</t>
  </si>
  <si>
    <t>Ahmad Abdurrahman A.</t>
  </si>
  <si>
    <t>085179607536</t>
  </si>
  <si>
    <t>Xll-B2</t>
  </si>
  <si>
    <t>Aisha Madyska Putri</t>
  </si>
  <si>
    <t>081218675758</t>
  </si>
  <si>
    <t>XII - D1</t>
  </si>
  <si>
    <t>081398115677</t>
  </si>
  <si>
    <t>082311188809</t>
  </si>
  <si>
    <t>085941087890</t>
  </si>
  <si>
    <t>XI - B2</t>
  </si>
  <si>
    <t>082112175799</t>
  </si>
  <si>
    <t>088294224020</t>
  </si>
  <si>
    <t xml:space="preserve">X-1 </t>
  </si>
  <si>
    <t>082129517335</t>
  </si>
  <si>
    <t>081380303361</t>
  </si>
  <si>
    <t>X - 5</t>
  </si>
  <si>
    <t>081284212272</t>
  </si>
  <si>
    <t>088976331693</t>
  </si>
  <si>
    <t>Aqila Syadid</t>
  </si>
  <si>
    <t>081219103735</t>
  </si>
  <si>
    <t>XII - G1</t>
  </si>
  <si>
    <t>081283479728</t>
  </si>
  <si>
    <t>081283647117</t>
  </si>
  <si>
    <t>XI - E1</t>
  </si>
  <si>
    <t>081293653093</t>
  </si>
  <si>
    <t>081513697475</t>
  </si>
  <si>
    <t>081210468595</t>
  </si>
  <si>
    <t>085156664448</t>
  </si>
  <si>
    <t>081323955089</t>
  </si>
  <si>
    <t>X - 1</t>
  </si>
  <si>
    <t>08997074777</t>
  </si>
  <si>
    <t>081298592168</t>
  </si>
  <si>
    <t>Xl-D3</t>
  </si>
  <si>
    <t>085892784154</t>
  </si>
  <si>
    <t>X.11</t>
  </si>
  <si>
    <t>081385037255</t>
  </si>
  <si>
    <t>Xl-E2</t>
  </si>
  <si>
    <t>085215674347</t>
  </si>
  <si>
    <t>08978376811</t>
  </si>
  <si>
    <t>089622807046</t>
  </si>
  <si>
    <t>Dary Dzakwan Putra Cahyadi</t>
  </si>
  <si>
    <t>081331666586</t>
  </si>
  <si>
    <t>XII-F</t>
  </si>
  <si>
    <t>Darys Dzakir</t>
  </si>
  <si>
    <t>082123155021</t>
  </si>
  <si>
    <t>XII-B2</t>
  </si>
  <si>
    <t>081287356541</t>
  </si>
  <si>
    <t>089670381198</t>
  </si>
  <si>
    <t xml:space="preserve">XI-E1 </t>
  </si>
  <si>
    <t>Rafli (XII)</t>
  </si>
  <si>
    <t>089662154433</t>
  </si>
  <si>
    <t xml:space="preserve">Xl-A2 </t>
  </si>
  <si>
    <t>0895404162109</t>
  </si>
  <si>
    <t>0895364630900</t>
  </si>
  <si>
    <t>085770761093</t>
  </si>
  <si>
    <t>082173720987</t>
  </si>
  <si>
    <t>089515583049</t>
  </si>
  <si>
    <t>081210099797</t>
  </si>
  <si>
    <t>XI - D1</t>
  </si>
  <si>
    <t>081915851142</t>
  </si>
  <si>
    <t>XI - F1</t>
  </si>
  <si>
    <t>082124598337</t>
  </si>
  <si>
    <t>085157046644</t>
  </si>
  <si>
    <t>085283522435</t>
  </si>
  <si>
    <t xml:space="preserve">XI-B2 </t>
  </si>
  <si>
    <t>082223337020</t>
  </si>
  <si>
    <t>Faris Faizannajmy Basyir</t>
  </si>
  <si>
    <t>081908088185</t>
  </si>
  <si>
    <t xml:space="preserve">XII-A2 </t>
  </si>
  <si>
    <t>Farisa Triandita</t>
  </si>
  <si>
    <t>0895326124821</t>
  </si>
  <si>
    <t>XII-D1</t>
  </si>
  <si>
    <t>082124873755</t>
  </si>
  <si>
    <t>087819700260</t>
  </si>
  <si>
    <t>Fina Naylatul Izzah</t>
  </si>
  <si>
    <t>082321472439</t>
  </si>
  <si>
    <t>XI-A1</t>
  </si>
  <si>
    <t>Gan muhammad rizky</t>
  </si>
  <si>
    <t>08990534030</t>
  </si>
  <si>
    <t>082113728662</t>
  </si>
  <si>
    <t>081297427066</t>
  </si>
  <si>
    <t>085157362005</t>
  </si>
  <si>
    <t>082124188140</t>
  </si>
  <si>
    <t>Ilma nur agnia</t>
  </si>
  <si>
    <t>0811196455</t>
  </si>
  <si>
    <t>085714192120</t>
  </si>
  <si>
    <t>Fadhlan (XII)</t>
  </si>
  <si>
    <t>085692207545</t>
  </si>
  <si>
    <t>081282135158</t>
  </si>
  <si>
    <t xml:space="preserve">XI-D1 </t>
  </si>
  <si>
    <t>Kanaka Abhinaya Zahran S.</t>
  </si>
  <si>
    <t>Keyla Widyadhana Raissa</t>
  </si>
  <si>
    <t>087774304052</t>
  </si>
  <si>
    <t>XII B2 (ex X-8)</t>
  </si>
  <si>
    <t>089517069007</t>
  </si>
  <si>
    <t>XI - F</t>
  </si>
  <si>
    <t>082125777167</t>
  </si>
  <si>
    <t>XI-E</t>
  </si>
  <si>
    <t>085218538223</t>
  </si>
  <si>
    <t>0895613109860</t>
  </si>
  <si>
    <t>XI - C</t>
  </si>
  <si>
    <t>081319071381</t>
  </si>
  <si>
    <t>XI F2</t>
  </si>
  <si>
    <t>085720348969</t>
  </si>
  <si>
    <t>08979556056</t>
  </si>
  <si>
    <t>Muhamad Rafli Ramadhan</t>
  </si>
  <si>
    <t>089516570518</t>
  </si>
  <si>
    <t>08977569422</t>
  </si>
  <si>
    <t>089618712198</t>
  </si>
  <si>
    <t xml:space="preserve">XI-D3 </t>
  </si>
  <si>
    <t>085215544197</t>
  </si>
  <si>
    <t>081210204322</t>
  </si>
  <si>
    <t>081296600890</t>
  </si>
  <si>
    <t>Muhammad Fadly Syahdan R.</t>
  </si>
  <si>
    <t>083129217453</t>
  </si>
  <si>
    <t>Xl-F1</t>
  </si>
  <si>
    <t>085811840268</t>
  </si>
  <si>
    <t>087773791887</t>
  </si>
  <si>
    <t>0895401659343</t>
  </si>
  <si>
    <t>085397151620</t>
  </si>
  <si>
    <t>Muhammad Irfan Ahzani</t>
  </si>
  <si>
    <t>085174094647</t>
  </si>
  <si>
    <t xml:space="preserve">XII-C1 </t>
  </si>
  <si>
    <t>085697065033</t>
  </si>
  <si>
    <t>08111913761</t>
  </si>
  <si>
    <t>XI-E1</t>
  </si>
  <si>
    <t>087888847534</t>
  </si>
  <si>
    <t>085892125707</t>
  </si>
  <si>
    <t>089687182018</t>
  </si>
  <si>
    <t xml:space="preserve">XI-D2 </t>
  </si>
  <si>
    <t>Nadira Adzra As Shofa</t>
  </si>
  <si>
    <t>0881024883273</t>
  </si>
  <si>
    <t>XII-B1</t>
  </si>
  <si>
    <t>081286440230</t>
  </si>
  <si>
    <t>XI - E2</t>
  </si>
  <si>
    <t>088976287053</t>
  </si>
  <si>
    <t xml:space="preserve">Xl-C </t>
  </si>
  <si>
    <t>089509930079</t>
  </si>
  <si>
    <t>0895379074747</t>
  </si>
  <si>
    <t>08997438406</t>
  </si>
  <si>
    <t>081280267537</t>
  </si>
  <si>
    <t>087779294594</t>
  </si>
  <si>
    <t>085894456926</t>
  </si>
  <si>
    <t>088297624117</t>
  </si>
  <si>
    <t xml:space="preserve">XI-A2 </t>
  </si>
  <si>
    <t>08871485092</t>
  </si>
  <si>
    <t xml:space="preserve">XI-F1 </t>
  </si>
  <si>
    <t>081311761115</t>
  </si>
  <si>
    <t>Restu Hidayat</t>
  </si>
  <si>
    <t>085781208971</t>
  </si>
  <si>
    <t>XII - B1</t>
  </si>
  <si>
    <t>081210075226</t>
  </si>
  <si>
    <t>081223471249</t>
  </si>
  <si>
    <t>Riska Yulianti</t>
  </si>
  <si>
    <t>089616309450</t>
  </si>
  <si>
    <t xml:space="preserve">XII A-2 </t>
  </si>
  <si>
    <t>085198648405</t>
  </si>
  <si>
    <t>081413226982</t>
  </si>
  <si>
    <t>081384186858</t>
  </si>
  <si>
    <t>087712780836</t>
  </si>
  <si>
    <t>085929018622</t>
  </si>
  <si>
    <t>Xl-D1</t>
  </si>
  <si>
    <t>shanaz mufida</t>
  </si>
  <si>
    <t>089675625402</t>
  </si>
  <si>
    <t>087724841600</t>
  </si>
  <si>
    <t>085591314527</t>
  </si>
  <si>
    <t>XI D3</t>
  </si>
  <si>
    <t>085722542158</t>
  </si>
  <si>
    <t xml:space="preserve">XI - C </t>
  </si>
  <si>
    <t>081310406799</t>
  </si>
  <si>
    <t>Syifa Sakhia Safira</t>
  </si>
  <si>
    <t>089611822234</t>
  </si>
  <si>
    <t>XII-G1</t>
  </si>
  <si>
    <t>089524127075</t>
  </si>
  <si>
    <t>XI f1</t>
  </si>
  <si>
    <t>085283394884</t>
  </si>
  <si>
    <t>085814109863</t>
  </si>
  <si>
    <t>083106095599</t>
  </si>
  <si>
    <t>Zaskya Nilam Efasa</t>
  </si>
  <si>
    <t>081226757113</t>
  </si>
  <si>
    <t>XI - D3</t>
  </si>
  <si>
    <t>081213080541</t>
  </si>
  <si>
    <t>Ziyandra Khaizuran Altaf</t>
  </si>
  <si>
    <t>081321192529</t>
  </si>
  <si>
    <t>XII - C2</t>
  </si>
  <si>
    <t>PEMERINTAH DAERAH PROPINSI JAWA BARAT
DINAS PENDIDIKAN 
 SMA NEGERI 2 CIBINONG
Jln. Karadenan No. 5 Cibinong Telp/Fax. ( 0251 ) 8654347 Bogor 16913
http://www.sman2-cibinong.sch.id    email: info@sman2-cibinong.sch.id</t>
  </si>
  <si>
    <t>ADINDA HAIFA SYAHIDAH</t>
  </si>
  <si>
    <t>ADZKIA ALMA MUYASSAR</t>
  </si>
  <si>
    <t>ARDYANTI PRATIWI G.R</t>
  </si>
  <si>
    <t>ARMANITA DHIVA TRISNANINGTYAS</t>
  </si>
  <si>
    <t>ARVEN FADELTO WIRDA MUHANDAVA</t>
  </si>
  <si>
    <t>AUREL AMANDA SARI</t>
  </si>
  <si>
    <t>AVESENNA VIVALDI ZAHRI</t>
  </si>
  <si>
    <t>AZKIA RAYZANAYA PUTERI</t>
  </si>
  <si>
    <t>DEWA ARGA HARSONO PUTRO</t>
  </si>
  <si>
    <t>DIONISIUS EVANDRA</t>
  </si>
  <si>
    <t>FAJAR PRAYOGA W.</t>
  </si>
  <si>
    <t>FINA WULANDARI</t>
  </si>
  <si>
    <t>GITA ANJANI SANTOSO</t>
  </si>
  <si>
    <t>GRACE GLORYA MIRACLE Z.</t>
  </si>
  <si>
    <t>HANIF MUMTAAZAH</t>
  </si>
  <si>
    <t>IFFA</t>
  </si>
  <si>
    <t>JIHAN DZAKIYYAH AZHAAR</t>
  </si>
  <si>
    <t>JIHAN FAJRI</t>
  </si>
  <si>
    <t>KEMAL RIZKY RAMADHAN</t>
  </si>
  <si>
    <t>MINANDA RIZKI ZAKIYAH</t>
  </si>
  <si>
    <t>MUHAMMAD DYTRA AFIF</t>
  </si>
  <si>
    <t>MUHAMMAD FADLY SYAHDAN R.</t>
  </si>
  <si>
    <t>NABILA NURSHYFA</t>
  </si>
  <si>
    <t>NAFLAH DIVA NABILAH</t>
  </si>
  <si>
    <t>NAKAMURA RAMADHAN SANMOON</t>
  </si>
  <si>
    <t>NASYWA ADINDA PUTRI ROMLI</t>
  </si>
  <si>
    <t>NAZWA AULIA FITRAH</t>
  </si>
  <si>
    <t>NURIFA PUTRI IMANSYAH</t>
  </si>
  <si>
    <t>OLYMPIAS VIOLA ARTHA NATALLLY</t>
  </si>
  <si>
    <t>RADHIKA ESHAN SUSANTYA</t>
  </si>
  <si>
    <t>RAISYA MAURIZKA KURNIAWAN</t>
  </si>
  <si>
    <t>RASYA JIHAN</t>
  </si>
  <si>
    <t>2122.10.341</t>
  </si>
  <si>
    <t>0063349910</t>
  </si>
  <si>
    <t>REZA NURFALAH</t>
  </si>
  <si>
    <t>RIFELIA ALIB PUTRI KURNIAWAN</t>
  </si>
  <si>
    <t>RIZKY NURINA AZZAHRA</t>
  </si>
  <si>
    <t>SASIKIRANA ABHINAYA SUHARA</t>
  </si>
  <si>
    <t>SHAQUIL FATTAH ALCHAIR</t>
  </si>
  <si>
    <t>TEGAR WIBOWO</t>
  </si>
  <si>
    <t>ZAHARANI ERISKA DAMAYANTI</t>
  </si>
  <si>
    <t>ZAHRINA GHASSANI ISNA</t>
  </si>
  <si>
    <r>
      <rPr>
        <rFont val="Times New Roman"/>
        <color theme="1"/>
        <sz val="10.0"/>
      </rPr>
      <t>PEMERINTAH DAERAH PROVINSI JAWA BARAT</t>
    </r>
    <r>
      <rPr>
        <rFont val="Arial Narrow"/>
        <color theme="1"/>
        <sz val="10.0"/>
      </rPr>
      <t xml:space="preserve">
</t>
    </r>
    <r>
      <rPr>
        <rFont val="Times New Roman"/>
        <color theme="1"/>
        <sz val="10.0"/>
      </rPr>
      <t xml:space="preserve">DINAS PENDIDIKAN 
</t>
    </r>
    <r>
      <rPr>
        <rFont val="Times New Roman"/>
        <b/>
        <color theme="1"/>
        <sz val="10.0"/>
      </rPr>
      <t xml:space="preserve">SMA  NEGERI 2 CIBINONG
</t>
    </r>
    <r>
      <rPr>
        <rFont val="Times New Roman"/>
        <color theme="1"/>
        <sz val="10.0"/>
      </rPr>
      <t>Jln. Karadenan No. 5 Cibinong Telp/Fax. ( 0251 ) 8654347 Bogor 16913
http://www.sman2cibinong.sch.id    email: info@sman2cibinong.sch.id</t>
    </r>
  </si>
  <si>
    <t>: XI-A1</t>
  </si>
  <si>
    <t>Jml Pertemuan Terlaksana
9 Agustus -  22 Nov</t>
  </si>
  <si>
    <t>Total Hadir
9 Agustus - 22 Nov</t>
  </si>
  <si>
    <t>Kelas X</t>
  </si>
  <si>
    <t>0082590495 / 242510008</t>
  </si>
  <si>
    <t>0097313548 / 242510011</t>
  </si>
  <si>
    <t>0094510551 / 242510025</t>
  </si>
  <si>
    <t>0087298416 / 242510031</t>
  </si>
  <si>
    <t>0095546511 / 242510069</t>
  </si>
  <si>
    <t>3086190678 / 242510079</t>
  </si>
  <si>
    <t>0107163370 / 242510095</t>
  </si>
  <si>
    <t>3092678408 / 242510108</t>
  </si>
  <si>
    <t>0095504110 / 242510111</t>
  </si>
  <si>
    <t>3081717964 / 242510114</t>
  </si>
  <si>
    <t>0083076557 / 242510116</t>
  </si>
  <si>
    <t>0093137843 / 242510126</t>
  </si>
  <si>
    <t>3090828690 / 242510159</t>
  </si>
  <si>
    <t>0088101729 / 242510173</t>
  </si>
  <si>
    <t>0099940887 / 242510183</t>
  </si>
  <si>
    <t>0096213576 / 242510188</t>
  </si>
  <si>
    <t>0091012038 / 242510189</t>
  </si>
  <si>
    <t>0097202517 / 242510201</t>
  </si>
  <si>
    <t>0098256549 / 242510206</t>
  </si>
  <si>
    <t>0093623036 / 242510208</t>
  </si>
  <si>
    <t>0083667654 / 242510209</t>
  </si>
  <si>
    <t>3083447726 / 242510257</t>
  </si>
  <si>
    <t>0098849381 / 242510281</t>
  </si>
  <si>
    <t>0097736512 / 242510291</t>
  </si>
  <si>
    <t>0083833819 / 242510323</t>
  </si>
  <si>
    <t>0094989387 / 242510325</t>
  </si>
  <si>
    <t>0091033788 / 242510336</t>
  </si>
  <si>
    <t>3098805753 / 242510342</t>
  </si>
  <si>
    <t>0092827580 / 242510388</t>
  </si>
  <si>
    <t>0083624999 / 242510402</t>
  </si>
  <si>
    <t>0084290235 / 242510406</t>
  </si>
  <si>
    <t>0093286737 / 242510414</t>
  </si>
  <si>
    <t>0091061057 / 242510416</t>
  </si>
  <si>
    <t>0095163025 / 242510426</t>
  </si>
  <si>
    <t>Zasqia Aulia Putri</t>
  </si>
  <si>
    <t>0082747470 / 242510430</t>
  </si>
  <si>
    <t>0085011294 / 242510432</t>
  </si>
  <si>
    <t>Nama Proper</t>
  </si>
  <si>
    <t>LAKI-LAKI</t>
  </si>
  <si>
    <t>DAFTAR SISWA KELAS XI</t>
  </si>
  <si>
    <t>Laki-laki</t>
  </si>
  <si>
    <t>Perempuan</t>
  </si>
  <si>
    <t>Jumlah</t>
  </si>
  <si>
    <t>BULAN ………. / Pertemuan Ke- …….</t>
  </si>
  <si>
    <t>JML</t>
  </si>
  <si>
    <t>S</t>
  </si>
  <si>
    <t>I</t>
  </si>
  <si>
    <t>Cerdig | Laporan Absensi Kehadiran Siswa</t>
  </si>
  <si>
    <t>Nama Lengkap</t>
  </si>
  <si>
    <t>Hadir Tepat Waktu</t>
  </si>
  <si>
    <t>Hadir Terlambat</t>
  </si>
  <si>
    <t>Izin</t>
  </si>
  <si>
    <t>Alfa</t>
  </si>
  <si>
    <t>Sakit</t>
  </si>
  <si>
    <t>Aryasatia Pradipta - P</t>
  </si>
  <si>
    <t>Pungki Yustisia Pertiwi - L</t>
  </si>
  <si>
    <t>Riffa Nugraha - P</t>
  </si>
  <si>
    <t>Azka Ivano Ananda Hidayat - L</t>
  </si>
  <si>
    <t>Galuh Pria Esa - P</t>
  </si>
  <si>
    <t>Mazaya Marva Mardyanti - L</t>
  </si>
  <si>
    <t>Misykah Adzra Maulida - L</t>
  </si>
  <si>
    <t>Gefira Azizatul Hasanah - L</t>
  </si>
  <si>
    <t>Elang Bramasta - L</t>
  </si>
  <si>
    <t>Fakhri Ahza Setiawan - L</t>
  </si>
  <si>
    <t>Muhammad Naufal Rhesa - L Fernando</t>
  </si>
  <si>
    <t>Dwi Irmawati - L</t>
  </si>
  <si>
    <t>Fauzi Castle Satara - P</t>
  </si>
  <si>
    <t>Kasih Yuliana Putri - P</t>
  </si>
  <si>
    <t>Raden Muhamad Zaki - L</t>
  </si>
  <si>
    <t>Syahla Adzkannisa Vuzela - P</t>
  </si>
  <si>
    <t>Kharira P. Pradea - P</t>
  </si>
  <si>
    <t>Raissya Aurellyona Carollyta Putri - P</t>
  </si>
  <si>
    <t>Atharrayhan Abimanyu Pratama - P</t>
  </si>
  <si>
    <t>Fatimah Ayu Sekarsari - P</t>
  </si>
  <si>
    <t>Danesh Arrayan Syahreen - P</t>
  </si>
  <si>
    <t>Dhyra Putra Pratama - P</t>
  </si>
  <si>
    <t>Muhammad Rizky Aditya Putra Sukmawijayaguna - L</t>
  </si>
  <si>
    <t>Dhefa Raditya Putra - P</t>
  </si>
  <si>
    <t>Diaz Syeza Zivanna - L</t>
  </si>
  <si>
    <t>Fakhi Zulfia Bilqis Nasyifa - L</t>
  </si>
  <si>
    <t>Dyshan Attaya Haq Triatno - P</t>
  </si>
  <si>
    <t>Mochammad Hafizh Fadlurahman - L</t>
  </si>
  <si>
    <t>Attar Palestine Taha - P</t>
  </si>
  <si>
    <t>Cheryl Anandiora - L</t>
  </si>
  <si>
    <t>Izaz Izzatul Islam - P</t>
  </si>
  <si>
    <t>Nararya Hylmi Kenzie - P</t>
  </si>
  <si>
    <t>Nariyahingtyas Wientarya - P</t>
  </si>
  <si>
    <t>Syauqi Anandya Putri - L</t>
  </si>
  <si>
    <t>Affy Kaew Ni'Mitr Alhanafi - P</t>
  </si>
  <si>
    <t>Ataya Arkan Ramadhan - P</t>
  </si>
  <si>
    <t>Athaya Muhammad Daffa - P</t>
  </si>
  <si>
    <t>Dindin Andini Suryaman - L</t>
  </si>
  <si>
    <t>Rekhsa Angkasawan</t>
  </si>
  <si>
    <t>Agil Umar - L</t>
  </si>
  <si>
    <t>XI A1</t>
  </si>
  <si>
    <t>Ahmad Riyad Sugiarto - L</t>
  </si>
  <si>
    <t>Alifah Khairani Sawaludin - P</t>
  </si>
  <si>
    <t>Almira Tungga Dewi - P</t>
  </si>
  <si>
    <t>Aulya Mawal Juniar - P</t>
  </si>
  <si>
    <t>Bagaskara Arya Perkasa - L</t>
  </si>
  <si>
    <t>Chiara Nanda Setiyo Fazria - P</t>
  </si>
  <si>
    <t>Devin Anandya Syuja - L</t>
  </si>
  <si>
    <t>Diaz Pradana Putra - L</t>
  </si>
  <si>
    <t>Disha Ramanda Putra - L</t>
  </si>
  <si>
    <t>Donita Aulia Ramadhani - P</t>
  </si>
  <si>
    <t>Evania Sarah Ilmira - P</t>
  </si>
  <si>
    <t>Hanan Dzul Hilmi - L</t>
  </si>
  <si>
    <t>Irsyad Abrian Al-Warid - L</t>
  </si>
  <si>
    <t>Kamiila Putri Khairunnisa - P</t>
  </si>
  <si>
    <t>Keisha Edsel Darmawan - P</t>
  </si>
  <si>
    <t>Keisha Juan - P</t>
  </si>
  <si>
    <t>Khansa Makaila Kayyasah - P</t>
  </si>
  <si>
    <t>Kirana Aura Azzahra Permana - P</t>
  </si>
  <si>
    <t>Kirani Aira Salsabila Permana - P</t>
  </si>
  <si>
    <t>Kireina Zahra Yasmaini - P</t>
  </si>
  <si>
    <t>Muhammad Dzaky - L</t>
  </si>
  <si>
    <t>Muhammad Zaki Arrahman - L</t>
  </si>
  <si>
    <t>Nailatul Ullya - P</t>
  </si>
  <si>
    <t>Qatrun Nada Tannaqi - P</t>
  </si>
  <si>
    <t>Queensha Anjani Sudrajat - P</t>
  </si>
  <si>
    <t>Raihanna Zahra Aqilah - P</t>
  </si>
  <si>
    <t>Rania Salsabila - P</t>
  </si>
  <si>
    <t>Syahrena Pita Pinasih - P</t>
  </si>
  <si>
    <t>Tristan Muhammad Jibril - L</t>
  </si>
  <si>
    <t>Winda Maharani - P</t>
  </si>
  <si>
    <t>Wintang Hikmah Kusuma Dewi - P</t>
  </si>
  <si>
    <t>Zaskia Aulia Putri - P</t>
  </si>
  <si>
    <t>Zhalida Daumixy Mora Siregar - P</t>
  </si>
  <si>
    <t>Zulfa Laila Mashurah - P</t>
  </si>
  <si>
    <t>Adinda Khayla - P</t>
  </si>
  <si>
    <t>XI A2</t>
  </si>
  <si>
    <t>Aditya Narayan - L</t>
  </si>
  <si>
    <t>Aisyah Syuja Larasati Sigit - P</t>
  </si>
  <si>
    <t>Alma Destianti - P</t>
  </si>
  <si>
    <t>Alya Mukhbita Hendriana - P</t>
  </si>
  <si>
    <t>Anindita Naranisa Jati - P</t>
  </si>
  <si>
    <t>Annisa Nur Fajriya - P</t>
  </si>
  <si>
    <t>Atma Pertiwi - P</t>
  </si>
  <si>
    <t>Deivar Brimantara - L</t>
  </si>
  <si>
    <t>Dzakia Fitri - P</t>
  </si>
  <si>
    <t>Fadhilah Dwi Sabrina Nugrahaning Putri - P</t>
  </si>
  <si>
    <t>Fellysia Oktafia Fernanda - P</t>
  </si>
  <si>
    <t>Fiquita Napu - P</t>
  </si>
  <si>
    <t>Glenn Hubert Jonathan Haholongan Simanungkalit - L</t>
  </si>
  <si>
    <t>Hanif Aulia Rifqy - L</t>
  </si>
  <si>
    <t>Haykal Wisnu Bayu Wiemanji - L</t>
  </si>
  <si>
    <t>Maulida Az Zahra Nurrayani - P</t>
  </si>
  <si>
    <t>Moehamad Putra Aulia - L</t>
  </si>
  <si>
    <t>Muhammad Fariz Duta Ehsan - L</t>
  </si>
  <si>
    <t>Muhammad Rizki Salim - L</t>
  </si>
  <si>
    <t>Muthia Jasmine Muthma Innah - P</t>
  </si>
  <si>
    <t>Ni Made Nazela - P</t>
  </si>
  <si>
    <t>Niken Zahrothul Sita - P</t>
  </si>
  <si>
    <t>Nurafni Maisa - P</t>
  </si>
  <si>
    <t>Nurisya Aulia Shabiira - P</t>
  </si>
  <si>
    <t>Rachmat Saidi Koes Mulyana - L</t>
  </si>
  <si>
    <t>Raissa Zahra Hidayat - P</t>
  </si>
  <si>
    <t>Rizieq Zidan Rizal - L</t>
  </si>
  <si>
    <t>Rizka Rana Naila - P</t>
  </si>
  <si>
    <t>Salsabila Maulani - P</t>
  </si>
  <si>
    <t>Santika Febyanti - P</t>
  </si>
  <si>
    <t>Savira Oktavia Prasetyo - P</t>
  </si>
  <si>
    <t>Syadien Kamillia Agustin - P</t>
  </si>
  <si>
    <t>Syaikhah Anbar - P</t>
  </si>
  <si>
    <t>Tumpal David Hotbonardo Napitupulu - L</t>
  </si>
  <si>
    <t>Wanda Zhafirah - P</t>
  </si>
  <si>
    <t>Ahmad Humam Rifqi - L</t>
  </si>
  <si>
    <t>XI B1</t>
  </si>
  <si>
    <t>Allayda Cindy Addrian - P</t>
  </si>
  <si>
    <t>Anandio Alfathir Suherman - L</t>
  </si>
  <si>
    <t>Aura Humaira Putri Gunawan - P</t>
  </si>
  <si>
    <t>Dinda Syafana Alfatiha .N .R .K - P</t>
  </si>
  <si>
    <t>Elizabeth Fransiska Siregar - P</t>
  </si>
  <si>
    <t>Fariha Tiara Jinaani - P</t>
  </si>
  <si>
    <t>Juan Tri Alexandro Immanuel - L</t>
  </si>
  <si>
    <t>Karimah Bassam Faris Sawaftah - P</t>
  </si>
  <si>
    <t>Kayla Rahmah Mumtazah - P</t>
  </si>
  <si>
    <t>Kesya Rashan Syilbiyy Firdaus - P</t>
  </si>
  <si>
    <t>Kezia Feodora Simarnala Ciberro - P</t>
  </si>
  <si>
    <t>Lina Amelia Dwi Anjani - P</t>
  </si>
  <si>
    <t>Luviyani - P</t>
  </si>
  <si>
    <t>Malika Nurzahira - P</t>
  </si>
  <si>
    <t>Maysa Khumaira - P</t>
  </si>
  <si>
    <t>Mazaya Kamilah Manik - P</t>
  </si>
  <si>
    <t>Meydina Khaliilah Bramantya - P</t>
  </si>
  <si>
    <t>Meysa Yosi Salsabila - P</t>
  </si>
  <si>
    <t>Muhamad Riski Aditiya - L</t>
  </si>
  <si>
    <t>Muhammad Shafa - L</t>
  </si>
  <si>
    <t>Nadian Putri Syafina - P</t>
  </si>
  <si>
    <t>Nayshila Dhiya Adzkia - P</t>
  </si>
  <si>
    <t>Nazhera Irba Iwel - P</t>
  </si>
  <si>
    <t>Piona Abigail Zamar Sinaga - P</t>
  </si>
  <si>
    <t>Quintania Aura Putri - P</t>
  </si>
  <si>
    <t>Rania Salsabilla - P</t>
  </si>
  <si>
    <t>Rhaditia Fajar Kasyahvani - L</t>
  </si>
  <si>
    <t>Samy Abdurrahman Romdhony - L</t>
  </si>
  <si>
    <t>Sanlia Moranda Br Silaban - P</t>
  </si>
  <si>
    <t>Syifa Aprilia - P</t>
  </si>
  <si>
    <t>Valentino Azka Febrian Putra - L</t>
  </si>
  <si>
    <t>Vinny Vionita - P</t>
  </si>
  <si>
    <t>Viola Anindita Kurniawan - P</t>
  </si>
  <si>
    <t>Yasmin Diva Nurfiqra - P</t>
  </si>
  <si>
    <t>Zahisa Raudhatul Jannah - P</t>
  </si>
  <si>
    <t>Aisyah Nur Izzah - P</t>
  </si>
  <si>
    <t>XI B2</t>
  </si>
  <si>
    <t>Alexandria Prameswari Prawira - P</t>
  </si>
  <si>
    <t>Alexia Luigi Lian - P</t>
  </si>
  <si>
    <t>Andi Almaghfira Shabila Sawerigading - L</t>
  </si>
  <si>
    <t>Bintang Alif Putra Satriya - P</t>
  </si>
  <si>
    <t>Chaerani Yulianti - P</t>
  </si>
  <si>
    <t>Davina Mutiara Arfi - P</t>
  </si>
  <si>
    <t>Faiza Zalfa Nadifa - P</t>
  </si>
  <si>
    <t>Fajra Aniq Khalisha - P</t>
  </si>
  <si>
    <t>Faliqa Haq Hasanah - P</t>
  </si>
  <si>
    <t>Feyza Alya Mukhbita - P</t>
  </si>
  <si>
    <t>Hilma Sandria - P</t>
  </si>
  <si>
    <t>Hinezta Nailah Sanmaghfirah - P</t>
  </si>
  <si>
    <t>Ilma Nur Agnia - P</t>
  </si>
  <si>
    <t>Intan Tania - L</t>
  </si>
  <si>
    <t>Januar Obed Holand Sitopu - P</t>
  </si>
  <si>
    <t>Kayla Dhea Nurma Fauziah - P</t>
  </si>
  <si>
    <t>Kesya Ardelia Kusuma - P</t>
  </si>
  <si>
    <t>Khairunnisa Rahadatul Aisy - P</t>
  </si>
  <si>
    <t>Kirana Nur'Aini - L</t>
  </si>
  <si>
    <t>Mohammed Alvaro Fauzan Purnomo - L</t>
  </si>
  <si>
    <t>Muhamad Daffa Sugianto - L</t>
  </si>
  <si>
    <t>Muhammad Daffa Khairy Mufid - L</t>
  </si>
  <si>
    <t>Musyaffa Nureshan Pahlevi - P</t>
  </si>
  <si>
    <t>Nazwa Mufida - P</t>
  </si>
  <si>
    <t>Oshe Bilqis Nadhifah - P</t>
  </si>
  <si>
    <t>Putri Khaila Azzahra - P</t>
  </si>
  <si>
    <t>Queen Aqila Althafunnisa - L</t>
  </si>
  <si>
    <t>Ramaditya Tangguh Alfian - P</t>
  </si>
  <si>
    <t>Raya Fitri Anjaini - P</t>
  </si>
  <si>
    <t>Revalia Sabrina Safa - L</t>
  </si>
  <si>
    <t>Reyhan Saputra - P</t>
  </si>
  <si>
    <t>Safa Adalia - P</t>
  </si>
  <si>
    <t>Sheryn Valentia - P</t>
  </si>
  <si>
    <t>Syakira - P</t>
  </si>
  <si>
    <t>Zahara Romadhona - P</t>
  </si>
  <si>
    <t>Abdurrahman Syauqi - L</t>
  </si>
  <si>
    <t>XI C</t>
  </si>
  <si>
    <t>Aira Eva Fajarina - P</t>
  </si>
  <si>
    <t>Akram Dika Setiawan - L</t>
  </si>
  <si>
    <t>Al-Habi Syehar Irawan - L</t>
  </si>
  <si>
    <t>Alya Atifa Edfiyanti - P</t>
  </si>
  <si>
    <t>Andrea Kaira Nezza - P</t>
  </si>
  <si>
    <t>Ardhito Himawan Dwantara - L</t>
  </si>
  <si>
    <t>Aureli Valency Achiles - P</t>
  </si>
  <si>
    <t>Caesy Aprilia Bausir - P</t>
  </si>
  <si>
    <t>Hasna Azmalea Radhina Santosa - P</t>
  </si>
  <si>
    <t>Khalista Bisi Elmyra - P</t>
  </si>
  <si>
    <t>Khansa Nadya Rahman - P</t>
  </si>
  <si>
    <t>Lexa El Sohbia - P</t>
  </si>
  <si>
    <t>Madina Silvana Dewi - P</t>
  </si>
  <si>
    <t>Mala Nirmala - P</t>
  </si>
  <si>
    <t>Muhammad Aqila Zhafran Khair - L</t>
  </si>
  <si>
    <t>Muhammad Noval Irfandi - L</t>
  </si>
  <si>
    <t>Muhammad Rayza Ijudin - L</t>
  </si>
  <si>
    <t>Nabilah Khoirunnisaa - P</t>
  </si>
  <si>
    <t>Nadya Putri - P</t>
  </si>
  <si>
    <t>Nasywa Neno Fauziah - P</t>
  </si>
  <si>
    <t>Nazira Meisa - P</t>
  </si>
  <si>
    <t>Ni Kadek Masayu Savitar Handayani - P</t>
  </si>
  <si>
    <t>Prita Seliana - P</t>
  </si>
  <si>
    <t>Putri Allysia Yusup - P</t>
  </si>
  <si>
    <t>Putri Dita Apriliya - P</t>
  </si>
  <si>
    <t>Putri Keysha M. C - P</t>
  </si>
  <si>
    <t>Ray Anita Natasya - P</t>
  </si>
  <si>
    <t>Rizki Maulana Fadillah - L</t>
  </si>
  <si>
    <t>Sakila Nasution - P</t>
  </si>
  <si>
    <t>Salsabila Putri - P</t>
  </si>
  <si>
    <t>Sandria Salsalina Sembiring Kembaren - P</t>
  </si>
  <si>
    <t>Shanaz Mufida - P</t>
  </si>
  <si>
    <t>Syaira Fakhrudina Putri - P</t>
  </si>
  <si>
    <t>Tegar Hermawan Anggoro - L</t>
  </si>
  <si>
    <t>Vira Aprilia Putri - P</t>
  </si>
  <si>
    <t>Anindya Zhafira Sani - P</t>
  </si>
  <si>
    <t>XI D1</t>
  </si>
  <si>
    <t>Ariij Arriyad - P</t>
  </si>
  <si>
    <t>Arinda Khalisha Pambudi - P</t>
  </si>
  <si>
    <t>Arya Muhammad Raihan - L</t>
  </si>
  <si>
    <t>Aulia Erlin Mummaizah - P</t>
  </si>
  <si>
    <t>Aurelia Syifa Fiandra - P</t>
  </si>
  <si>
    <t>Bilqist Ayu Wulandari - P</t>
  </si>
  <si>
    <t>Cintia Zahfirah Asyiah Siregar - P</t>
  </si>
  <si>
    <t>Dania Anindita Tunggadewi - P</t>
  </si>
  <si>
    <t>Danisy Nahdhan Pratama - L</t>
  </si>
  <si>
    <t>Dicky Maulana - L</t>
  </si>
  <si>
    <t>Faida Annaila Zahra - P</t>
  </si>
  <si>
    <t>Gan Muhammad Rizky - L</t>
  </si>
  <si>
    <t>Haidar Al Fathin - L</t>
  </si>
  <si>
    <t>Intan Zahira Aulia - P</t>
  </si>
  <si>
    <t>Kahla Mulia - P</t>
  </si>
  <si>
    <t>Kayla Pelangi Harupi - P</t>
  </si>
  <si>
    <t>Khomairah - P</t>
  </si>
  <si>
    <t>Lingga Argan Zinggara - L</t>
  </si>
  <si>
    <t>Maulana Yusuf Purnama - L</t>
  </si>
  <si>
    <t>Muhammad Abidzar - L</t>
  </si>
  <si>
    <t>Muhammad Irgi Avicenna Fachridho Putra - L</t>
  </si>
  <si>
    <t>Nadine Kirana Saraswati - P</t>
  </si>
  <si>
    <t>Naura Praprincess Ananda Anbiya - P</t>
  </si>
  <si>
    <t>Puti Pelangi Maharani - P</t>
  </si>
  <si>
    <t>Quenna Valencia - P</t>
  </si>
  <si>
    <t>Rama Ar Rifatul Anbiya - L</t>
  </si>
  <si>
    <t>Rifky Akbar Maulana - L</t>
  </si>
  <si>
    <t>Rizky Baihaqi - L</t>
  </si>
  <si>
    <t>Rosliani Sarrah - P</t>
  </si>
  <si>
    <t>Salwa Aisya Putri - P</t>
  </si>
  <si>
    <t>Salwa Amanda Putri - P</t>
  </si>
  <si>
    <t>Shinta Aulia - P</t>
  </si>
  <si>
    <t>Troy Rhezky Lembong - L</t>
  </si>
  <si>
    <t>Zalfa Anaya Putri - P</t>
  </si>
  <si>
    <t>Zhafira Fathin Ilmira - P</t>
  </si>
  <si>
    <t>Abhipraya Fahim Ghazal Adhiatma - L</t>
  </si>
  <si>
    <t>XI D2</t>
  </si>
  <si>
    <t>Abimanyu Cakraningrat - L</t>
  </si>
  <si>
    <t>Aini Nur Fauziah Gunawan - P</t>
  </si>
  <si>
    <t>Almira Dian Pratiwi - P</t>
  </si>
  <si>
    <t>Anjar Rauf Fahrizal - L</t>
  </si>
  <si>
    <t>Arsyila Kayyisah Biyanto - P</t>
  </si>
  <si>
    <t>Aufa Syafiq Disastra - P</t>
  </si>
  <si>
    <t>Aurellia Syifa Hafianti - P</t>
  </si>
  <si>
    <t>Ayuki Nirwasita Saputro - P</t>
  </si>
  <si>
    <t>Chelsy Ashyla Nafiza - P</t>
  </si>
  <si>
    <t>Echa Putri Ramadhani - P</t>
  </si>
  <si>
    <t>Ello Sasmitha Jati - P</t>
  </si>
  <si>
    <t>Eskisan Oktri Femista - L</t>
  </si>
  <si>
    <t>Fathan Mubina - L</t>
  </si>
  <si>
    <t>Fiona Wahidah Salsabila - P</t>
  </si>
  <si>
    <t>Gian Fabrizio - L</t>
  </si>
  <si>
    <t>Khansa Nabilah Fatin - P</t>
  </si>
  <si>
    <t>Khofifah Asrining Pangastuti - P</t>
  </si>
  <si>
    <t>Lukman Harun Aditya - L</t>
  </si>
  <si>
    <t>M. Bintang Aliansyah Tukuboya - L</t>
  </si>
  <si>
    <t>Muhammad Dalfin Syawaldi Putra Setiawan - L</t>
  </si>
  <si>
    <t>Muhammad Naufal Suryadi - L</t>
  </si>
  <si>
    <t>Muhammad Salman Iriansar - L</t>
  </si>
  <si>
    <t>Nabilla Alya Rohhadi - P</t>
  </si>
  <si>
    <t>Ni Putu Nayaka Prakasayati Pasek - P</t>
  </si>
  <si>
    <t>Quinsha Naura Adity - P</t>
  </si>
  <si>
    <t>Rahel Esra Ratua Manurung - P</t>
  </si>
  <si>
    <t>Salsabila Alfeeansyah Putri - P</t>
  </si>
  <si>
    <t>Samuel Sahat Vito Siregar - L</t>
  </si>
  <si>
    <t>Satria Andhika Raissa - L</t>
  </si>
  <si>
    <t>Talita Putria Cahyani - P</t>
  </si>
  <si>
    <t>Yasmin Sakura Armawan - P</t>
  </si>
  <si>
    <t>Zafarani Amalia Putri - P</t>
  </si>
  <si>
    <t>Zahra Talita Dzakira - P</t>
  </si>
  <si>
    <t>Zaskya Risqita Andriani - P</t>
  </si>
  <si>
    <t>Zikra Arib Rozaan - L</t>
  </si>
  <si>
    <t>Abhista Anggoro Purnomo - L</t>
  </si>
  <si>
    <t>Aina Nisa Asyifa - P</t>
  </si>
  <si>
    <t>Aloysius Arthur Sinurat - L</t>
  </si>
  <si>
    <t>Aluna Kalila Fauzan - P</t>
  </si>
  <si>
    <t>Anida Dewi Anjani - P</t>
  </si>
  <si>
    <t>Aqila Khairunnisa Putri - P</t>
  </si>
  <si>
    <t>Athalia Mayrossa Kenzie - P</t>
  </si>
  <si>
    <t>Aulia Putri Syafira - P</t>
  </si>
  <si>
    <t>Aulia Rahmaditia Danang - P</t>
  </si>
  <si>
    <t>Aurellia Odelina Askanah Han - P</t>
  </si>
  <si>
    <t>Banuwarman - L</t>
  </si>
  <si>
    <t>Bilqis Khumairah Putri - P</t>
  </si>
  <si>
    <t>Bumi Raffah Al Islahi - P</t>
  </si>
  <si>
    <t>Cemara Anggraeny - P</t>
  </si>
  <si>
    <t>Chiara Anggun Dameyanti Sirait - P</t>
  </si>
  <si>
    <t>Disya Cahaya Carrisa - P</t>
  </si>
  <si>
    <t>Farrel Luthfi Arviansyah - L</t>
  </si>
  <si>
    <t>Ghina Yumna - P</t>
  </si>
  <si>
    <t>Grasela Riyanti - P</t>
  </si>
  <si>
    <t>Keisya Nurmaulida - P</t>
  </si>
  <si>
    <t>Kezia Aulia Hattalaibessij - P</t>
  </si>
  <si>
    <t>Muhamad Ikmal - L</t>
  </si>
  <si>
    <t>Muhamad Zahran Ramadhan - L</t>
  </si>
  <si>
    <t>Muhammad Bagus Haryo Pratama - L</t>
  </si>
  <si>
    <t>Muhammad Daffa Rifai - L</t>
  </si>
  <si>
    <t>Muhammad Rifqi Hadzami - L</t>
  </si>
  <si>
    <t>Muhammad Yusril Ihza Bustomi - L</t>
  </si>
  <si>
    <t>Nadya Fayza Aulia - P</t>
  </si>
  <si>
    <t>Naurah Khansa Wibawa - P</t>
  </si>
  <si>
    <t>Nuri Sabilatul Aspiya - P</t>
  </si>
  <si>
    <t>Raffa Meyzaidan - L</t>
  </si>
  <si>
    <t>Rifzki Yusrin - L</t>
  </si>
  <si>
    <t>Shafira Ghassani - P</t>
  </si>
  <si>
    <t>Sulaim Apenino Abdulhaq - L</t>
  </si>
  <si>
    <t>Talita Shaki Aulia - P</t>
  </si>
  <si>
    <t>Vindy Aprilia Khanaya - P</t>
  </si>
  <si>
    <t>Adinda Queena Maheswari - P</t>
  </si>
  <si>
    <t>XI E1</t>
  </si>
  <si>
    <t>Alex Saputra Suranta Tarigan - L</t>
  </si>
  <si>
    <t>Alwinsa Sugiharto - P</t>
  </si>
  <si>
    <t>Anindito Pandu Fahrinugroho - L</t>
  </si>
  <si>
    <t>Annida Khairunnisa - P</t>
  </si>
  <si>
    <t>Aryasatya Tridaya Alam - L</t>
  </si>
  <si>
    <t>Bilal Kaka Pratama Hartoyo - L</t>
  </si>
  <si>
    <t>Daffa Iqram Al Fachreza - L</t>
  </si>
  <si>
    <t>Deandra Nashwan Danish - L</t>
  </si>
  <si>
    <t>Erzan Fauzy Zulkarnaen - L</t>
  </si>
  <si>
    <t>Fadel Maliq Fathani - L</t>
  </si>
  <si>
    <t>Islamian Ikhsa Firmawan - L</t>
  </si>
  <si>
    <t>Juwinsyah Dwi Arga - P</t>
  </si>
  <si>
    <t>Langlang Syahadat Pulung Jati - L</t>
  </si>
  <si>
    <t>Maritza Alisha Fathi - P</t>
  </si>
  <si>
    <t>Mirza Faiz Al Razak - L</t>
  </si>
  <si>
    <t>Mirza Muhammad Rafi Hanifaldin - L</t>
  </si>
  <si>
    <t>Muhamad Akbar - L</t>
  </si>
  <si>
    <t>Muhamad Gatfan Suryabakti - L</t>
  </si>
  <si>
    <t>Muhammad Atha Fauzansyah - L</t>
  </si>
  <si>
    <t>Muhammad Fairuz Pratama - L</t>
  </si>
  <si>
    <t>Muhammad Faisal Ghani - L</t>
  </si>
  <si>
    <t>Muhammad Fatih Rayyan Niago - L</t>
  </si>
  <si>
    <t>Muhammad Ghifaraidosata Suwondo - L</t>
  </si>
  <si>
    <t>Muhammad Habil Mulyana - L</t>
  </si>
  <si>
    <t>Muhammad Rizqullah Salim Wibowo - L</t>
  </si>
  <si>
    <t>Nazua Ristiyana Viragupti - P</t>
  </si>
  <si>
    <t>Neisha Arinta Putri Sarjana - P</t>
  </si>
  <si>
    <t>Rafa Ibnu Kanaka - L</t>
  </si>
  <si>
    <t>Rais Aliyan - L</t>
  </si>
  <si>
    <t>Razan Muhammad Ihsan Solihin - L</t>
  </si>
  <si>
    <t>Rifqi Anindya Putra - L</t>
  </si>
  <si>
    <t>Sabika Zaura Khumairo - P</t>
  </si>
  <si>
    <t>Savrya Alwi Amani - L</t>
  </si>
  <si>
    <t>Zaina Husniyati Hamdani - P</t>
  </si>
  <si>
    <t>Zhafran Ramadhan Drajat Sukma - L</t>
  </si>
  <si>
    <t>Almira Chairunnisa Imawan - P</t>
  </si>
  <si>
    <t>XI E2</t>
  </si>
  <si>
    <t>Althafunisa Radisty Samiadji - P</t>
  </si>
  <si>
    <t>Amora Romadearni Sinaga - P</t>
  </si>
  <si>
    <t>Andika Artha Kusuma - L</t>
  </si>
  <si>
    <t>Atha Rezky Riyansyah - L</t>
  </si>
  <si>
    <t>Ayu Widyaningsih - P</t>
  </si>
  <si>
    <t>Ayudias Raina Zara - P</t>
  </si>
  <si>
    <t>Barep Agha Rioyo - L</t>
  </si>
  <si>
    <t>Daffa Diaz Arsya Bashari - L</t>
  </si>
  <si>
    <t>Danish Alghifari - L</t>
  </si>
  <si>
    <t>Faiz Alfariz - L</t>
  </si>
  <si>
    <t>Heru Kurnia - L</t>
  </si>
  <si>
    <t>Hibban Abdurrahman - L</t>
  </si>
  <si>
    <t>Imam Al Ashfia Prastomo - L</t>
  </si>
  <si>
    <t>Irsyad Nabihan - L</t>
  </si>
  <si>
    <t>Javasanda Putra Perdana - L</t>
  </si>
  <si>
    <t>Lais Yusuf Ghazali - L</t>
  </si>
  <si>
    <t>Marcel Tri Hermawan - L</t>
  </si>
  <si>
    <t>Muhammad Ammar Firdaus Putra - L</t>
  </si>
  <si>
    <t>Muhammad Fikra Burhamzah - L</t>
  </si>
  <si>
    <t>Muhammad Ghaizyan Athar - L</t>
  </si>
  <si>
    <t>Muhammad Syawal - L</t>
  </si>
  <si>
    <t>Natanael Nadapdap - L</t>
  </si>
  <si>
    <t>Naufal Alghifary Zulya - L</t>
  </si>
  <si>
    <t>Putri Wida Az-Zahra - P</t>
  </si>
  <si>
    <t>Raden Devan Alanzulfian - L</t>
  </si>
  <si>
    <t>Raufan Nabih Firmansyah - L</t>
  </si>
  <si>
    <t>Rizky Abdul Bashir Tuharea - L</t>
  </si>
  <si>
    <t>Sabrina Firdaus Zahratus Zakaria - P</t>
  </si>
  <si>
    <t>Shayang Camila Ahsanie - P</t>
  </si>
  <si>
    <t>Sila Nur Fauziah - P</t>
  </si>
  <si>
    <t>Surya Rangga Wisuta - L</t>
  </si>
  <si>
    <t>Tri Andika - L</t>
  </si>
  <si>
    <t>Win Mahara Kuswanto - L</t>
  </si>
  <si>
    <t>Zaidan Alifahridho Koeswanto - L</t>
  </si>
  <si>
    <t>Zihni Falih Safaras - P</t>
  </si>
  <si>
    <t>Aldy Pratama - L</t>
  </si>
  <si>
    <t>XI F1</t>
  </si>
  <si>
    <t>Alifia Radya Pramesti - P</t>
  </si>
  <si>
    <t>Anneira Hendryto - P</t>
  </si>
  <si>
    <t>Asri Fatima Azzahra - P</t>
  </si>
  <si>
    <t>Audi Nur Chantika Putri - P</t>
  </si>
  <si>
    <t>Bagus Sugiharto - L</t>
  </si>
  <si>
    <t>Della Widya Wati - P</t>
  </si>
  <si>
    <t>Dzakira Aftani Herdianto - P</t>
  </si>
  <si>
    <t>Elsamonic - P</t>
  </si>
  <si>
    <t>Faiza Ramadhani - P</t>
  </si>
  <si>
    <t>Fauzan Nur Haidar - L</t>
  </si>
  <si>
    <t>Faza Azima Waalidaen - P</t>
  </si>
  <si>
    <t>Firas Rizqy Wicaksono - L</t>
  </si>
  <si>
    <t>Gede Aira Sagita Putri Ksy - P</t>
  </si>
  <si>
    <t>Gizella Anggrietta - P</t>
  </si>
  <si>
    <t>Hafizhoh Maryam Az-Zuhaely - P</t>
  </si>
  <si>
    <t>Husnaila Kamil - P</t>
  </si>
  <si>
    <t>Jesika Nain Cahaya Siringo Ringo - P</t>
  </si>
  <si>
    <t>Keizya Zahra Permana - P</t>
  </si>
  <si>
    <t>Kesya Larasati - P</t>
  </si>
  <si>
    <t>Kevin Sitanggang - L</t>
  </si>
  <si>
    <t>Khaira Rabbani Tsalasa - P</t>
  </si>
  <si>
    <t>Mochamad Lewis Batmomolin - L</t>
  </si>
  <si>
    <t>MUHAMAD FADLY FADILLAH - L</t>
  </si>
  <si>
    <t>Muhammad Faiq Abdurrahman - L</t>
  </si>
  <si>
    <t>Nafis Syahri Ramadhan - L</t>
  </si>
  <si>
    <t>Nurry Qurata'Ayun Mastiar - P</t>
  </si>
  <si>
    <t>Pratamayoga Danishwara Lestiyo - L</t>
  </si>
  <si>
    <t>Radhwa Kadzia Salsabila - P</t>
  </si>
  <si>
    <t>Radif Ziyan Maryono - L</t>
  </si>
  <si>
    <t>Raisya Maulidhina - P</t>
  </si>
  <si>
    <t>Syahrul Ramadhan - L</t>
  </si>
  <si>
    <t>Syavira Dinar Handayani - P</t>
  </si>
  <si>
    <t>Syifa Septia Putri - P</t>
  </si>
  <si>
    <t>Waddia Fazila Permana - P</t>
  </si>
  <si>
    <t>Windy Kenez Ayu Pramesty - P</t>
  </si>
  <si>
    <t>Agisha Melandri - P</t>
  </si>
  <si>
    <t>Aisha Syakira Putri - P</t>
  </si>
  <si>
    <t>Aisyah Nara Purusa Ningsa - P</t>
  </si>
  <si>
    <t>Al Gofi Patra - L</t>
  </si>
  <si>
    <t>Ashya Navisha - P</t>
  </si>
  <si>
    <t>Azka  Abidah Sukma Cahyani - P</t>
  </si>
  <si>
    <t>Callysta Sadira Rizqullah Khaniza - P</t>
  </si>
  <si>
    <t>Cheysa Dara Maharani - P</t>
  </si>
  <si>
    <t>Desya Maulida - P</t>
  </si>
  <si>
    <t>Devi Nuraini - P</t>
  </si>
  <si>
    <t>Dhiyaul Aqlan Abqory - L</t>
  </si>
  <si>
    <t>Evandika Juliandi - L</t>
  </si>
  <si>
    <t>Excellita Mayda Nurussyfa - P</t>
  </si>
  <si>
    <t>Fx Arya Bima Saputra - L</t>
  </si>
  <si>
    <t>Graceya Felisya Sinurat - P</t>
  </si>
  <si>
    <t>Hadaya Bassam Faris Sawaftah - P</t>
  </si>
  <si>
    <t>Hilwa Zakiyyah - P</t>
  </si>
  <si>
    <t>Akhmad Kevin Ahdiansyah Lesmanu - L</t>
  </si>
  <si>
    <t>Keysa Novasari - P</t>
  </si>
  <si>
    <t>Khansaa Dhiyaa Aqiilaa - P</t>
  </si>
  <si>
    <t>M. Fauzan Aifa Hafizh - L</t>
  </si>
  <si>
    <t>Malikah Putri Rafan - P</t>
  </si>
  <si>
    <t>Maulida Maftuhah - P</t>
  </si>
  <si>
    <t>Maykaila Aini Suryaningtyas Tamin - P</t>
  </si>
  <si>
    <t>Mochamad Farid Reza - L</t>
  </si>
  <si>
    <t>Muhamad Rizki Saputra - L</t>
  </si>
  <si>
    <t>Muhamad Zidan - L</t>
  </si>
  <si>
    <t>Muhammad Alfiansyah - L</t>
  </si>
  <si>
    <t>Muhammad Hiroshi Ali Muzaffar - L</t>
  </si>
  <si>
    <t>Muhammad Royyan - L</t>
  </si>
  <si>
    <t>Nur Syifa Az Zahra - P</t>
  </si>
  <si>
    <t>Puteri Kinnayya Saepudin - P</t>
  </si>
  <si>
    <t>Raja Gilang Faizin - L</t>
  </si>
  <si>
    <t>Randacaya Hada Sangadji - P</t>
  </si>
  <si>
    <t>Sakinah Nasution - P</t>
  </si>
  <si>
    <t>Tiara Thalita Dzaky - P</t>
  </si>
  <si>
    <t>ALYSSA MUTIARA SAPTIA - P</t>
  </si>
  <si>
    <t>XII A-1</t>
  </si>
  <si>
    <t>ARKANULIYA AKRAMINA - P</t>
  </si>
  <si>
    <t>ASYKAR HANDA AL MUNAWWAR - L</t>
  </si>
  <si>
    <t>ATHIYYA MUMTAZA - P</t>
  </si>
  <si>
    <t>AYU WIDYA NINGSIH - P</t>
  </si>
  <si>
    <t>ESSI ESTER ANJUANI MANIK - P</t>
  </si>
  <si>
    <t>FADILA KURNIA CAHYA - P</t>
  </si>
  <si>
    <t>GHAISANI SYIFA INDRIANI - P</t>
  </si>
  <si>
    <t>IZRA ELIZA - P</t>
  </si>
  <si>
    <t>JIHAN BALQISHA PUTRIANA - P</t>
  </si>
  <si>
    <t>LOVITA EMERY SAMUDRO - P</t>
  </si>
  <si>
    <t>MIRANDA PUTRI - P</t>
  </si>
  <si>
    <t>MONA PUTRI ARYATI - P</t>
  </si>
  <si>
    <t>MUHAMMAD AFIF ZARRAR P - L</t>
  </si>
  <si>
    <t>MUHAMMAD DAFA - L</t>
  </si>
  <si>
    <t>MUHAMMAD DZIKRI SETIAWAN - L</t>
  </si>
  <si>
    <t>MUHAMMAD FACHRI ADRIANSYAH - L</t>
  </si>
  <si>
    <t>NAILA AULIA SUPRIADI - P</t>
  </si>
  <si>
    <t>NAJLA HANIFAH ZULTANI - P</t>
  </si>
  <si>
    <t>NIKEISHA VIVIA INDRANI - P</t>
  </si>
  <si>
    <t>OKTAVIANI PUTRI SILALAHI - P</t>
  </si>
  <si>
    <t>PANNY CHANTIKA PASRA - P</t>
  </si>
  <si>
    <t>PUTRI INAYA KHAERANY - P</t>
  </si>
  <si>
    <t>RAFEYFA ASYLA - P</t>
  </si>
  <si>
    <t>RAIHAN GUSTI RAMADHAN - L</t>
  </si>
  <si>
    <t>RAVINA AMALYNA KYUMI - P</t>
  </si>
  <si>
    <t>RULA SALSABILAH LUBIS - P</t>
  </si>
  <si>
    <t>SALMA LATIEFAH NOER - P</t>
  </si>
  <si>
    <t>SHENDY AZIZAH ISNENLY - P</t>
  </si>
  <si>
    <t>SHYABILLA NISHRINA S.M - P</t>
  </si>
  <si>
    <t>SITI ZASKIYAH - P</t>
  </si>
  <si>
    <t>SUCI KAMILA - P</t>
  </si>
  <si>
    <t>SYAHRUL FIRDANI SUGANDA - L</t>
  </si>
  <si>
    <t>TAMARIN DARITRI NAYLA - P</t>
  </si>
  <si>
    <t>THEO RISQI MARLEY - L</t>
  </si>
  <si>
    <t>VERIL SATRIA MULYA - L</t>
  </si>
  <si>
    <t>AZMIRULA SYAHDA WAHADA G. - P</t>
  </si>
  <si>
    <t>XII A-2</t>
  </si>
  <si>
    <t>CINTYA RAMADHANI S. - P</t>
  </si>
  <si>
    <t>CYRILLA ELVARETTA N. - P</t>
  </si>
  <si>
    <t>DAFFA RIZKY DARMAWAN - L</t>
  </si>
  <si>
    <t>DIMAS RIZKY SATRIAWAN - L</t>
  </si>
  <si>
    <t>DINAR ADILLA MUFIDASARI - P</t>
  </si>
  <si>
    <t>EMERALD TSABBITA ADRISTI - P</t>
  </si>
  <si>
    <t>XII D-2</t>
  </si>
  <si>
    <t>FARIS FAIZANNAJMY BASYIR - L</t>
  </si>
  <si>
    <t>FIRLY MAHESA HARDIANSYAH - P</t>
  </si>
  <si>
    <t>GEDE WIRA YUDISTIRA - L</t>
  </si>
  <si>
    <t>GRACE GLORYA MIRACLE ZILIWU - P</t>
  </si>
  <si>
    <t>HASANI ZAHWAN A. - L</t>
  </si>
  <si>
    <t>KANAKA ABHINAYA ZAHRAN S. - L</t>
  </si>
  <si>
    <t>KAYLA SALSABIL MAJID - P</t>
  </si>
  <si>
    <t>MUHAMMMAD IBNI HADYAN N. - L</t>
  </si>
  <si>
    <t>MELANI PUTRI ANGRAINI - P</t>
  </si>
  <si>
    <t>NABILA ANGGRAINI - P</t>
  </si>
  <si>
    <t>NATASIYA SIHOMBING - P</t>
  </si>
  <si>
    <t>NATASYA PUTRI ERWINA - P</t>
  </si>
  <si>
    <t>NAUFAL AKHDAN ATHAFARHANI - L</t>
  </si>
  <si>
    <t>NAZWA AULIA - P</t>
  </si>
  <si>
    <t>NIKEN DWI INTAN SEPTI RAMADHANI - P</t>
  </si>
  <si>
    <t>NURUL SYIFA NAYLA - P</t>
  </si>
  <si>
    <t>ODILIA SEKAR AYU PRASISTA - P</t>
  </si>
  <si>
    <t>QISSYA ALICKA SYAKILA - P</t>
  </si>
  <si>
    <t>RAFA AQILA FARIHA - P</t>
  </si>
  <si>
    <t>RAISA NUR RIZKY RAMADHANI - P</t>
  </si>
  <si>
    <t>RESKYA PUTRI MUTIA - P</t>
  </si>
  <si>
    <t>RISKA YULIANTI - P</t>
  </si>
  <si>
    <t>SALMA ANJANI MARISSA - P</t>
  </si>
  <si>
    <t>SYARIFAH NOOR MAULIDA - P</t>
  </si>
  <si>
    <t>TALITA ADISTI PARAMITHA - P</t>
  </si>
  <si>
    <t>TIARA AZIZAH WIBOWO - P</t>
  </si>
  <si>
    <t>ZESICA KRISTI ANGGRAINY - P</t>
  </si>
  <si>
    <t>ZHERHA MAHARANI DJAINUN L. - P</t>
  </si>
  <si>
    <t>ADITYA FIRDAUS - L</t>
  </si>
  <si>
    <t>XII B-1</t>
  </si>
  <si>
    <t>ADRIAN RIZKY ALGHIFARI - L</t>
  </si>
  <si>
    <t>ALISYA PUTRI KHAIRUNNISA - P</t>
  </si>
  <si>
    <t>AZIZ ADITYA PRATAMA - L</t>
  </si>
  <si>
    <t>CINDY NURKHALIFAH - P</t>
  </si>
  <si>
    <t>FAUZAN HIBATULLAH SUTISNA - L</t>
  </si>
  <si>
    <t>HABIBURRAHMAN RYU H. A. - L</t>
  </si>
  <si>
    <t>HASYIR FAUZAN NUGRAHA - L</t>
  </si>
  <si>
    <t>IFTITA ARRASY KIANANTAN - P</t>
  </si>
  <si>
    <t>IRGIE APRILIANO GOTTARDI - L</t>
  </si>
  <si>
    <t>KANIA ARKHANINTHA PUTRI - P</t>
  </si>
  <si>
    <t>KARTIKA DJAJA NEGARA - P</t>
  </si>
  <si>
    <t>MALIA ARIFA YUMNA - P</t>
  </si>
  <si>
    <t>MAYZIED ALI LAZUARDI - L</t>
  </si>
  <si>
    <t>MEGANVA DIAN PUTRI H. - P</t>
  </si>
  <si>
    <t>MOHAMMAD ASYQAR RISQ - L</t>
  </si>
  <si>
    <t>MUHAMMAD FADHLAN DHAFIN - L</t>
  </si>
  <si>
    <t>MUTIARA PURNAMASARI - P</t>
  </si>
  <si>
    <t>NADIRA ADZRA AS SHOFA - P</t>
  </si>
  <si>
    <t>NAFILAH FAIRUZ HUMAIRA - P</t>
  </si>
  <si>
    <t>NAJLA HUMAIRA PUTRI HIDAYAT - P</t>
  </si>
  <si>
    <t>NAOMI AYUDIAH - P</t>
  </si>
  <si>
    <t>PEBRYAN ABDAL BAIS - L</t>
  </si>
  <si>
    <t>PUTRA GABE MARTOGI LUMBANBATU - L</t>
  </si>
  <si>
    <t>RAIHANA CITRA NUR RAMADHANTI - P</t>
  </si>
  <si>
    <t>RAKA SEPTIYAN HARJA KHAN - L</t>
  </si>
  <si>
    <t>RESTU HIDAYAT - L</t>
  </si>
  <si>
    <t>ROYYAN PRADITA - L</t>
  </si>
  <si>
    <t>SAFITRI ALI SUKARNO - P</t>
  </si>
  <si>
    <t>SEVIOLLA LUNA G.P. - P</t>
  </si>
  <si>
    <t>SHAZIA MELIKA - P</t>
  </si>
  <si>
    <t>VALEN FANANDA NAY - L</t>
  </si>
  <si>
    <t>VARISSA ALMAHAIRA AZRAKAYLA - P</t>
  </si>
  <si>
    <t>YURISKA ALYANDRA HUTOMO - P</t>
  </si>
  <si>
    <t>YUSSAFIRA - P</t>
  </si>
  <si>
    <t>ADAM RISTIAJI MACHFUDZ - L</t>
  </si>
  <si>
    <t>XII B-2</t>
  </si>
  <si>
    <t>AHMAD ABDURRAHMAN A. - L</t>
  </si>
  <si>
    <t>ANDREA SALMA AISYA - P</t>
  </si>
  <si>
    <t>ARETHA ASYIFA NUR - P</t>
  </si>
  <si>
    <t>ARGISKA MARDIYANA - P</t>
  </si>
  <si>
    <t>ASFARO MUZAKKI - L</t>
  </si>
  <si>
    <t>AURELIA QUABYLA RAMADHANI - P</t>
  </si>
  <si>
    <t>DARYS DZAKIR - L</t>
  </si>
  <si>
    <t>DINI - P</t>
  </si>
  <si>
    <t>ERICH RADITYA - L</t>
  </si>
  <si>
    <t>FAKHRI ARKANANTA - L</t>
  </si>
  <si>
    <t>FATHIYYA AZZAHRA - P</t>
  </si>
  <si>
    <t>FATIH M. ADIWANGSA - L</t>
  </si>
  <si>
    <t>FINA NAYLATUL IZZAH - P</t>
  </si>
  <si>
    <t>GAMALIEL GLORYAN CHICO C. - L</t>
  </si>
  <si>
    <t>INSANADILLA SALAFINA H. - P</t>
  </si>
  <si>
    <t>KEISYA AMANDA MEICA - P</t>
  </si>
  <si>
    <t>KEYLA WIDYADHANA RAISSA - P</t>
  </si>
  <si>
    <t>MAHESH ANDREAS SIAGIAN - L</t>
  </si>
  <si>
    <t>MARETTA MANDA MANGUNING P' - P</t>
  </si>
  <si>
    <t>MUHAMAD KHADAFI - L</t>
  </si>
  <si>
    <t>NABHILLA PUTRI ISNANDAR - P</t>
  </si>
  <si>
    <t>NABIL FATIH FIRJATULLAH A. - L</t>
  </si>
  <si>
    <t>NABILA DYAH PUSPITA - P</t>
  </si>
  <si>
    <t>NADIA CHERRYL AZKIYA - P</t>
  </si>
  <si>
    <t>NADYA SAFIRA SETYAWAN - P</t>
  </si>
  <si>
    <t>NARENDRA AGRU PRASETYO - L</t>
  </si>
  <si>
    <t>RAFA HAFIZH WARADANA - L</t>
  </si>
  <si>
    <t>RASHEESA FITRIA NURAINI - P</t>
  </si>
  <si>
    <t>SALSABILA FIRLI - P</t>
  </si>
  <si>
    <t>SYAFIRA AKHILA NAZIFA - P</t>
  </si>
  <si>
    <t>SYIFA AZ ZAHRA - P</t>
  </si>
  <si>
    <t>WENDYEA AKTAVIONA - P</t>
  </si>
  <si>
    <t>ZUHAIRY - L</t>
  </si>
  <si>
    <t>ZYEIRA SHAQUILLA FATIHATU R. - P</t>
  </si>
  <si>
    <t>ABIYU AHMAD ZAHRAN - L</t>
  </si>
  <si>
    <t>XII C-1</t>
  </si>
  <si>
    <t>AISYAH SAUSAN AMANI - P</t>
  </si>
  <si>
    <t>ALISHA VENITA RAPHELLE ADHITYA - P</t>
  </si>
  <si>
    <t>ARYA INDRAWIJAYA - L</t>
  </si>
  <si>
    <t>AULIA EKA PUTRI BAKTI - P</t>
  </si>
  <si>
    <t>AURELLIO DEAN KEEFA - L</t>
  </si>
  <si>
    <t>AYU PUSPITA RAHMAN - P</t>
  </si>
  <si>
    <t>AYYASH ARDHANA SHIDDIEQY - L</t>
  </si>
  <si>
    <t>AZKA FAIZ ATAULLAH - L</t>
  </si>
  <si>
    <t>AZZAM FATHUR RAIHAN - L</t>
  </si>
  <si>
    <t>BINTANG PAMUNGKAS S.A. - L</t>
  </si>
  <si>
    <t>CALVIN JIREH PARASIAN PASARIBU - L</t>
  </si>
  <si>
    <t>CITRA NAYLA - P</t>
  </si>
  <si>
    <t>FARIS RIDHA KURNIAWAN - L</t>
  </si>
  <si>
    <t>FEBI IHSANUL AZMI - L</t>
  </si>
  <si>
    <t>GUNTUR ADIGUNA - L</t>
  </si>
  <si>
    <t>HUMAIRA PUTRI SETIAWAN - P</t>
  </si>
  <si>
    <t>KAYLA MAHESA PUTRI PRABINDARI - P</t>
  </si>
  <si>
    <t>KHANSA - P</t>
  </si>
  <si>
    <t>KHEYSHA NAZWA ADINDA - P</t>
  </si>
  <si>
    <t>LAVINDRA ANINDITO BUDI PRAMUDYA - L</t>
  </si>
  <si>
    <t>M. FAHMY PUTRA RAMADHAN - L</t>
  </si>
  <si>
    <t>MUHAMAD FEBRIZIO ALGHIFAHRI - L</t>
  </si>
  <si>
    <t>MUHAMAD FIRDAUS - L</t>
  </si>
  <si>
    <t>MUHAMMAD ARDIANSYAH - L</t>
  </si>
  <si>
    <t>MUHAMMAD IRFAN AHZANI - L</t>
  </si>
  <si>
    <t>MUHAMMAD SYAIHAN PRAMONO - L</t>
  </si>
  <si>
    <t>NASYWA LILYAN ELVARETTA - P</t>
  </si>
  <si>
    <t>RADEN ANTASENA KARTASASMITA - L</t>
  </si>
  <si>
    <t>RADIT GILBRAN VILLAREAL LUTVI - L</t>
  </si>
  <si>
    <t>RAIHANA SYAHLA YUSTIAJI - P</t>
  </si>
  <si>
    <t>REFAH SYAHIDAH - P</t>
  </si>
  <si>
    <t>RIFQI SAYUDHA - L</t>
  </si>
  <si>
    <t>VENEZIA GILDA SIHOMBING - P</t>
  </si>
  <si>
    <t>ZAHIRA AQILA RABBANI - P</t>
  </si>
  <si>
    <t>ZYBA JARSIA BADELWAIR - L</t>
  </si>
  <si>
    <t>ADYATMA HUDA RAMDANI - L</t>
  </si>
  <si>
    <t>XII C-2</t>
  </si>
  <si>
    <t>ALMAQHVIRA HAYDAR SISWOYO - P</t>
  </si>
  <si>
    <t>AQILA NAFISA - P</t>
  </si>
  <si>
    <t>ARFI ABDAN MUQIMASHAIM - L</t>
  </si>
  <si>
    <t>ARIEF DARMAWAN - L</t>
  </si>
  <si>
    <t>CALISTA DIANTI HUWAIDAH - P</t>
  </si>
  <si>
    <t>CALLYSTA ASTI ARBIA - P</t>
  </si>
  <si>
    <t>CESILIA D. ICHWANUDDIN - P</t>
  </si>
  <si>
    <t>DENIA ZEVIRA GENARA - P</t>
  </si>
  <si>
    <t>ELMA NURSARI - P</t>
  </si>
  <si>
    <t>FABIAN SYAFA RIZQULLAH - L</t>
  </si>
  <si>
    <t>GHINA AFIAH UYARA - P</t>
  </si>
  <si>
    <t>HEINE KLAMMER  HASONANGAN SITORUS - L</t>
  </si>
  <si>
    <t>IRFAN BUDI SATRIO - L</t>
  </si>
  <si>
    <t>KAYLA FARRAH GINA - P</t>
  </si>
  <si>
    <t>KEISHA NABILA ANINDYA - P</t>
  </si>
  <si>
    <t>KEYSHA CAHAYA SETIAWAN - P</t>
  </si>
  <si>
    <t>LOUISE GARCIA LUMBAN GAOL - L</t>
  </si>
  <si>
    <t>MEDINTA PUTRI WIBOWO - P</t>
  </si>
  <si>
    <t>MIFTAHUL DAFFA KHOERUL BAHRI - L</t>
  </si>
  <si>
    <t>Mirza Mochtadi - L</t>
  </si>
  <si>
    <t>MUHAMAD FAHRI NURIHSAN - L</t>
  </si>
  <si>
    <t>MUHAMMAD ADITYA FAIRUZZAHRAN - L</t>
  </si>
  <si>
    <t>MUHAMMAD IRGHI - L</t>
  </si>
  <si>
    <t>MUHAMMAD RAVA ALI - L</t>
  </si>
  <si>
    <t>MUHAMMAD REVAN FADILLAH - L</t>
  </si>
  <si>
    <t>MUHAMMAD YUSUF HABIBIE - L</t>
  </si>
  <si>
    <t>NABIL KHAUFA ZAHRA - P</t>
  </si>
  <si>
    <t>RAFLY RESTU ADAM - L</t>
  </si>
  <si>
    <t>RANIA ADILA ERYAZTI - P</t>
  </si>
  <si>
    <t>RAZAN ZUFAR AHMAD - L</t>
  </si>
  <si>
    <t>RHEYNODY EZEKIELANO LOEKMAN - L</t>
  </si>
  <si>
    <t>RIMAIRA SANAURAIRBA MARGONO - P</t>
  </si>
  <si>
    <t>WIDIA PUTRI - P</t>
  </si>
  <si>
    <t>ZIYANDRA KHAIZURAN ALTAF - L</t>
  </si>
  <si>
    <t>ZAID MUHAMMAD NAASHIF - L</t>
  </si>
  <si>
    <t>ADNAN JULIANDYRA - L</t>
  </si>
  <si>
    <t>XII D-1</t>
  </si>
  <si>
    <t>AISHA MADYSKA PUTRI - P</t>
  </si>
  <si>
    <t>ALEYNA NAJMIA SALMA EL HASSAN - P</t>
  </si>
  <si>
    <t>ANGGRAINI DISTI MEITASYAH - P</t>
  </si>
  <si>
    <t>ANNISA PEBRIANITA - P</t>
  </si>
  <si>
    <t>ARDYANTI PRATIWI GUSTI RACHMAN - P</t>
  </si>
  <si>
    <t>ARTANTI TALITHA DWIANA - P</t>
  </si>
  <si>
    <t>AULIA ASFARINA DHANY - P</t>
  </si>
  <si>
    <t>AZIZU ACHMAD FAUZAN - L</t>
  </si>
  <si>
    <t>BELELIA CINDIKIA DERA - P</t>
  </si>
  <si>
    <t>DEVI AMELIA - P</t>
  </si>
  <si>
    <t>DYO EL RIZQI KAMIL - L</t>
  </si>
  <si>
    <t>FADLAN RAMADHAN TUASIKAL - L</t>
  </si>
  <si>
    <t>FAJAR PRAYOGA WINATA - L</t>
  </si>
  <si>
    <t>FARISA TRIANDITA - P</t>
  </si>
  <si>
    <t>FIRDAUS WIRAKUSUMA ASY'ARI - L</t>
  </si>
  <si>
    <t>FITRI WULANDARI - P</t>
  </si>
  <si>
    <t>GABRIEL PERNANDO - L</t>
  </si>
  <si>
    <t>GENNEVA PUTRI SAMINGGAR - P</t>
  </si>
  <si>
    <t>HANIFAH NIZRINA RANIAH - P</t>
  </si>
  <si>
    <t>JEANETHA ROSMALA PUTERI - P</t>
  </si>
  <si>
    <t>JUNEETA MAHYA ATHARI - P</t>
  </si>
  <si>
    <t>KAYLLA CHANDRIKA - P</t>
  </si>
  <si>
    <t>LUTHFIA AZZAHRA - P</t>
  </si>
  <si>
    <t>MUHAMAD RAFLI RAMADHAN - L</t>
  </si>
  <si>
    <t>MUZAKY KHAIRULLOH - L</t>
  </si>
  <si>
    <t>NANDA FIRDAUS - L</t>
  </si>
  <si>
    <t>NUR NAJMI NUHA CHAMSYAH SUTANDI - P</t>
  </si>
  <si>
    <t>RAFAEL MARIO JUSAG PRASETYO - L</t>
  </si>
  <si>
    <t>RASYA NAZIRA RADITIYA PUTRA - L</t>
  </si>
  <si>
    <t>RAYA THALITA HASNA ANJANI - P</t>
  </si>
  <si>
    <t>RAYYAN ALIFA RIVENA - P</t>
  </si>
  <si>
    <t>REFI DWI ZULIANTO - L</t>
  </si>
  <si>
    <t>SALSABILA AZIMA MAHMUDDIN - P</t>
  </si>
  <si>
    <t>SHASKIA ROVIQOH AZIZAH - P</t>
  </si>
  <si>
    <t>YONATHAN ZIRMI PUTRADI - L</t>
  </si>
  <si>
    <t>AHMAD MAULANA JIBAN - L</t>
  </si>
  <si>
    <t>ALLYSIA NURFAUZIYAH - P</t>
  </si>
  <si>
    <t>ANISA RIHHADATUL AISY - P</t>
  </si>
  <si>
    <t>ANNISA PUTRI SANDI - P</t>
  </si>
  <si>
    <t>ARDITA SEPTYANINGRUM - P</t>
  </si>
  <si>
    <t>ATHIFALUNA MUTIA DARMAWAN - P</t>
  </si>
  <si>
    <t>AUDYAH PUTRI MURNI N. - P</t>
  </si>
  <si>
    <t>DAFFA MUHAZZIB IBNI - L</t>
  </si>
  <si>
    <t>DEVINA KEYSA MAHARANI - P</t>
  </si>
  <si>
    <t>ELVIRA ECA MAHARANI - P</t>
  </si>
  <si>
    <t>FAIZAH HAFIYYAN - P</t>
  </si>
  <si>
    <t>FAZRURRAHMAN TIJANI - L</t>
  </si>
  <si>
    <t>INDAH MUSTABAH - P</t>
  </si>
  <si>
    <t>KESYA YEMIMA - P</t>
  </si>
  <si>
    <t>KHAIRUNNISA AZZAHRA - P</t>
  </si>
  <si>
    <t>LUTHFI BINTANG BAYUAJI - L</t>
  </si>
  <si>
    <t>MUHAMMAD FARIS - L</t>
  </si>
  <si>
    <t>MUHAMMAD NIZAR AL GHIFARI - L</t>
  </si>
  <si>
    <t>NAJLA AZIZAH - P</t>
  </si>
  <si>
    <t>NAYLA WARNI RAHAYU - P</t>
  </si>
  <si>
    <t>NAZWA BALQIS ARLYA - P</t>
  </si>
  <si>
    <t>RAFIEL CAHAYA YUSUP - P</t>
  </si>
  <si>
    <t>RAJUWAA AMMARTAYUDA - L</t>
  </si>
  <si>
    <t>RAKHA ARIYANTO PRAWIRA - L</t>
  </si>
  <si>
    <t>RAKHA SURYANA - L</t>
  </si>
  <si>
    <t>REZKI BANYU MILLIE - L</t>
  </si>
  <si>
    <t>SALIKA NADINA - P</t>
  </si>
  <si>
    <t>SALSABILA NASUTION - P</t>
  </si>
  <si>
    <t>SHEILA NAMIRA ZHEIN - P</t>
  </si>
  <si>
    <t>SYIFA AULIA GUMELAR - P</t>
  </si>
  <si>
    <t>SYIFA HANDAYANI - P</t>
  </si>
  <si>
    <t>WIANDRA ADYA PRADANA - L</t>
  </si>
  <si>
    <t>ZAHRA AULIA PUTRI - P</t>
  </si>
  <si>
    <t>ZASKYA NILAM EFASA - P</t>
  </si>
  <si>
    <t>ADITYA NUFAIL RIZQULLAH - L</t>
  </si>
  <si>
    <t>XII E</t>
  </si>
  <si>
    <t>AHMAD HAIDAR ROSYIIQ - L</t>
  </si>
  <si>
    <t>ANDI NASYA KAMILA AZZAHRA - P</t>
  </si>
  <si>
    <t>CAHAYA EDINA JATMIKO - P</t>
  </si>
  <si>
    <t>DANIAL RIZKY JONSA - L</t>
  </si>
  <si>
    <t>DANIEL IHSAN - L</t>
  </si>
  <si>
    <t>EGALITA ADLIYAH - P</t>
  </si>
  <si>
    <t>FADRI - L</t>
  </si>
  <si>
    <t>FARDHAN ALIF RAYYANDI - L</t>
  </si>
  <si>
    <t>FERDINAN FEBRIANO - L</t>
  </si>
  <si>
    <t>HAFIZ ABDUL RASYID - L</t>
  </si>
  <si>
    <t>HANA SITI NAZWA - P</t>
  </si>
  <si>
    <t>HYPATIA ACHMAD - P</t>
  </si>
  <si>
    <t>JESSICA PRISCILIA SIAGIAN - P</t>
  </si>
  <si>
    <t>JONATHAN STEFANUS MANURUNG - L</t>
  </si>
  <si>
    <t>JUNIKA NUR RIZQI - P</t>
  </si>
  <si>
    <t>MARCELL DAMIAN SETIAWAN - L</t>
  </si>
  <si>
    <t>MAULA SAFITA NAPITUPULU - P</t>
  </si>
  <si>
    <t>MAYA QUMAYIROH - P</t>
  </si>
  <si>
    <t>MUHAMMAD ZAKI NURHADI AHSYAR - L</t>
  </si>
  <si>
    <t>NADIA AYU PRAMESTI - P</t>
  </si>
  <si>
    <t>NAHLATU BILQIS - P</t>
  </si>
  <si>
    <t>NANDA PUTRI TANIA - P</t>
  </si>
  <si>
    <t>ODE IRVA KHUMAIRA - P</t>
  </si>
  <si>
    <t>RADEN DIRGHAM HANIFAN AL-BASYAM - L</t>
  </si>
  <si>
    <t>RADITYA DWI FAUZI - L</t>
  </si>
  <si>
    <t>RAHIL ALFAQIH - L</t>
  </si>
  <si>
    <t>RASHEED PUTRA KEYSHADI - L</t>
  </si>
  <si>
    <t>RATU NINDA TABINA - P</t>
  </si>
  <si>
    <t>REISYA AULIA RIZKY - P</t>
  </si>
  <si>
    <t>RIA HANDAYANI - P</t>
  </si>
  <si>
    <t>SHAKILANOVVA AL KANZ SAVVANA - P</t>
  </si>
  <si>
    <t>SYAFIQ AUNUR RAFI - L</t>
  </si>
  <si>
    <t>VERA INDRIANI SITORUS - P</t>
  </si>
  <si>
    <t>YOAS DHEO SANDIVO - L</t>
  </si>
  <si>
    <t>AGATRIE SELLA SIREGAR - P</t>
  </si>
  <si>
    <t>XII F</t>
  </si>
  <si>
    <t>AISHAURA PUTRI DEA - P</t>
  </si>
  <si>
    <t>ALFATHAN RADITYA GUNARA - L</t>
  </si>
  <si>
    <t>ALICIA MARCELLA GULO - P</t>
  </si>
  <si>
    <t>ALIF NUR RIZKI - L</t>
  </si>
  <si>
    <t>ALLBIE AVICENNA - L</t>
  </si>
  <si>
    <t>ALMIRA MAULIDA PUTRI APSARI - P</t>
  </si>
  <si>
    <t>ANITA TRI ANGGRAINI - P</t>
  </si>
  <si>
    <t>ANNISA ALYA MAHARANI - P</t>
  </si>
  <si>
    <t>AYU ARYANI - P</t>
  </si>
  <si>
    <t>AYUDYA RACHMAWATI - P</t>
  </si>
  <si>
    <t>AZUAN PUTRA SATIA - L</t>
  </si>
  <si>
    <t>BIANCA INDHIRA HANUUN - P</t>
  </si>
  <si>
    <t>BILQIS AFRILIA NAZWA RANI - P</t>
  </si>
  <si>
    <t>CALLISTA DOMINIC LAURA GINTA - P</t>
  </si>
  <si>
    <t>CHECHILLIA AZZAHRA PUTRI KURNIADI - P</t>
  </si>
  <si>
    <t>DAFFA KHAIRU RAMADHAN - L</t>
  </si>
  <si>
    <t>DARY DZAKWAN PUTRA CAHYADI - L</t>
  </si>
  <si>
    <t>DIANDRA ZAHRA ADANI - P</t>
  </si>
  <si>
    <t>DIMAS ARIANSYAH SIAGIAN - L</t>
  </si>
  <si>
    <t>FIRDA AULIA RAMADHANI - P</t>
  </si>
  <si>
    <t>HERDICSON F. H. SIREGAR - L</t>
  </si>
  <si>
    <t>KAMILIA KEYSHA RAMADHANI - P</t>
  </si>
  <si>
    <t>LANA SHAFIRA - P</t>
  </si>
  <si>
    <t>MAYSARI HIDAYAH - P</t>
  </si>
  <si>
    <t>MUHAMMAD ALIF FAIZ ASSYAROF - L</t>
  </si>
  <si>
    <t>MUHAMMAD UMMUL LUHUR WISESA - L</t>
  </si>
  <si>
    <t>NAZWA NURUL ABIDA - P</t>
  </si>
  <si>
    <t>PERDI SYAFAR WAHYUDI - L</t>
  </si>
  <si>
    <t>RADEN DIFA AQILLAH LUKMAN - P</t>
  </si>
  <si>
    <t>RANDY MAIDYKA - L</t>
  </si>
  <si>
    <t>SITI KEYSHIA AZZAHRA - P</t>
  </si>
  <si>
    <t>SITI LATESA - P</t>
  </si>
  <si>
    <t>TEUNGKU MUHAMMAD AL-FACHRI SYAH JEUMPA - L</t>
  </si>
  <si>
    <t>ULLY ARTHA RAMADHANI SIMANJUNTAK - P</t>
  </si>
  <si>
    <t>WAFAA' SALSABILAH HARDIN - P</t>
  </si>
  <si>
    <t>ALMER ATHALLAH KHAIRY - L</t>
  </si>
  <si>
    <t>XII G-1</t>
  </si>
  <si>
    <t>ALVIRA RACHMAT LESTARI - P</t>
  </si>
  <si>
    <t>ANDIKA PUTRA PRANATA - L</t>
  </si>
  <si>
    <t>AQILA SYADID - L</t>
  </si>
  <si>
    <t>AURA SCARLETTA JAYA - P</t>
  </si>
  <si>
    <t>BENAYA AMARASTI WIDIATMA - P</t>
  </si>
  <si>
    <t>BUNGA CLARESTA TUMANUNG - P</t>
  </si>
  <si>
    <t>FAKHIRA FIRLIZA AL KAF SAIFUDDIN - P</t>
  </si>
  <si>
    <t>FATHIA KHAIRAYA HASAN - P</t>
  </si>
  <si>
    <t>FATIHAH MORGIANA - P</t>
  </si>
  <si>
    <t>FIRYAL RAMADHANI - P</t>
  </si>
  <si>
    <t>GRACIA NATALIA NAPITUPULU - P</t>
  </si>
  <si>
    <t>HUMAM AHMAD MUSYAFFA - L</t>
  </si>
  <si>
    <t>KHAIRUNNISA NUR IBTIHAL - P</t>
  </si>
  <si>
    <t>MUHAMMAD FIKRI ADYA AULIA - L</t>
  </si>
  <si>
    <t>MUHAMMAD HISYAM SAURI RIFADI - L</t>
  </si>
  <si>
    <t>MUHAMMAD KSATRIA AL FARISI - L</t>
  </si>
  <si>
    <t>MUHAMMAD NAVIS AFIF ALKINDY - L</t>
  </si>
  <si>
    <t>NAJUWA KHAIRUNNISA - P</t>
  </si>
  <si>
    <t>NAYLA GHINA PRAMESTI - P</t>
  </si>
  <si>
    <t>NEYSA CALLUELA DHIYA ACHMAD - P</t>
  </si>
  <si>
    <t>ORCHIDA ADHIYA HANIN - P</t>
  </si>
  <si>
    <t>QIRRENT OCTAVIANT WARDHANI SADIMAN PUTRI - P</t>
  </si>
  <si>
    <t>RADEN AMANULLAH DHAIFULLAH - L</t>
  </si>
  <si>
    <t>RIVALDI FAATHIR - L</t>
  </si>
  <si>
    <t>SAFIRA KHAIRUNNISA - P</t>
  </si>
  <si>
    <t>SALMA NUR KAMILA - P</t>
  </si>
  <si>
    <t>SANIA JULIANA ENSAN - P</t>
  </si>
  <si>
    <t>SATRYA RANGGABARANI - L</t>
  </si>
  <si>
    <t>SEKAR KANAYA AZZAHRA - P</t>
  </si>
  <si>
    <t>STEPHEN HADY GUNAWAN - L</t>
  </si>
  <si>
    <t>SYAKIRA AMALIA ZULFA - P</t>
  </si>
  <si>
    <t>SYEIRAN ARESTIA PUTERI - P</t>
  </si>
  <si>
    <t>SYIFA SAKHIA SAFIRA - P</t>
  </si>
  <si>
    <t>WISNU FEBRIANSYAH - L</t>
  </si>
  <si>
    <t>ZASKYA NAURA KESUMAH PUTRI - L</t>
  </si>
  <si>
    <t>Adinda Haifa Syahidah - P</t>
  </si>
  <si>
    <t>XII G-2</t>
  </si>
  <si>
    <t>Adzkia Alma Muyassar - P</t>
  </si>
  <si>
    <t>Armanita Dhiva Trisnaningtyas - P</t>
  </si>
  <si>
    <t>Arven Fadelto Wirda Muhandava - L</t>
  </si>
  <si>
    <t>Aurel Amanda Sari - P</t>
  </si>
  <si>
    <t>Avesenna Vivaldi Zahri - L</t>
  </si>
  <si>
    <t>Azkia Rayzanaya Puteri - P</t>
  </si>
  <si>
    <t>Fina Wulandari - P</t>
  </si>
  <si>
    <t>Gita Anjani Santoso - P</t>
  </si>
  <si>
    <t>Hanif Mumtaazah - L</t>
  </si>
  <si>
    <t>Iffa - P</t>
  </si>
  <si>
    <t>Jihan Dzakiyyah Azhaar - P</t>
  </si>
  <si>
    <t>Jihan Fajri - P</t>
  </si>
  <si>
    <t>Kemal Rizky Ramadhan - L</t>
  </si>
  <si>
    <t>Minanda Rizki Zakiyah - P</t>
  </si>
  <si>
    <t>Muhammad Dytra Afif - L</t>
  </si>
  <si>
    <t>Muhammad Fadly Syahdan Risyadi - L</t>
  </si>
  <si>
    <t>Nabila Nurshyfa - P</t>
  </si>
  <si>
    <t>Naflah Diva Nabilah - P</t>
  </si>
  <si>
    <t>Nakamura Ramadhan Sanmoon - L</t>
  </si>
  <si>
    <t>Nasywa Adinda Putri Romli - P</t>
  </si>
  <si>
    <t>Nazwa Aulia Fitrah - P</t>
  </si>
  <si>
    <t>Nurifa Putri Imansyah - P</t>
  </si>
  <si>
    <t>Olympias Viola Artha Natally - P</t>
  </si>
  <si>
    <t>Radhika Eshan Susantya - L</t>
  </si>
  <si>
    <t>Raisya Maurizka Kurniawan - P</t>
  </si>
  <si>
    <t>Rasya Jihan - P</t>
  </si>
  <si>
    <t>Rifelia Alib Putri Kurniawan - P</t>
  </si>
  <si>
    <t>Rizky Nurina Azzahra - P</t>
  </si>
  <si>
    <t>Sasikirana Abhinaya Suhara - P</t>
  </si>
  <si>
    <t>Shaquil Fattah Alchair - L</t>
  </si>
  <si>
    <t>Tegar Wibowo - L</t>
  </si>
  <si>
    <t>Wa Ode Ayu Silfia Pinara - P</t>
  </si>
  <si>
    <t>Zaharani Eriska Damayanti - P</t>
  </si>
  <si>
    <t>Zahrina Ghassani Isna - 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</si>
</sst>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7">
    <font>
      <sz val="11.0"/>
      <color theme="1"/>
      <name val="Calibri"/>
      <scheme val="minor"/>
    </font>
    <font>
      <sz val="10.0"/>
      <color theme="1"/>
      <name val="Arial Narrow"/>
    </font>
    <font/>
    <font>
      <b/>
      <sz val="12.0"/>
      <color theme="1"/>
      <name val="Calibri"/>
    </font>
    <font>
      <b/>
      <sz val="11.0"/>
      <color theme="1"/>
      <name val="Calibri"/>
    </font>
    <font>
      <sz val="11.0"/>
      <color theme="1"/>
      <name val="Calibri"/>
    </font>
    <font>
      <b/>
      <sz val="10.0"/>
      <color theme="1"/>
      <name val="Calibri"/>
    </font>
    <font>
      <sz val="9.0"/>
      <color theme="1"/>
      <name val="Calibri"/>
    </font>
    <font>
      <sz val="8.0"/>
      <color theme="1"/>
      <name val="Calibri"/>
    </font>
    <font>
      <sz val="10.0"/>
      <color rgb="FF000000"/>
      <name val="Calibri"/>
    </font>
    <font>
      <sz val="10.0"/>
      <color theme="1"/>
      <name val="Calibri"/>
    </font>
    <font>
      <color theme="1"/>
      <name val="Calibri"/>
    </font>
    <font>
      <sz val="10.0"/>
      <color theme="1"/>
      <name val="Calibri"/>
      <scheme val="minor"/>
    </font>
    <font>
      <b/>
      <color theme="1"/>
      <name val="Calibri"/>
    </font>
    <font>
      <color theme="1"/>
      <name val="Calibri"/>
      <scheme val="minor"/>
    </font>
    <font>
      <b/>
      <sz val="15.0"/>
      <color theme="1"/>
      <name val="Calibri"/>
    </font>
    <font>
      <b/>
      <sz val="12.0"/>
      <color theme="1"/>
      <name val="Arial"/>
    </font>
    <font>
      <b/>
      <color theme="1"/>
      <name val="Arial"/>
    </font>
    <font>
      <color theme="1"/>
      <name val="Arial"/>
    </font>
    <font>
      <b/>
      <sz val="9.0"/>
      <color theme="1"/>
      <name val="Arial"/>
    </font>
    <font>
      <sz val="9.0"/>
      <color theme="1"/>
      <name val="Arial"/>
    </font>
    <font>
      <sz val="9.0"/>
      <color rgb="FF1F1F1F"/>
      <name val="Arial"/>
    </font>
    <font>
      <b/>
      <sz val="11.0"/>
      <color theme="1"/>
      <name val="Arial"/>
    </font>
    <font>
      <sz val="8.0"/>
      <color theme="1"/>
      <name val="Arial"/>
    </font>
    <font>
      <b/>
      <color theme="1"/>
      <name val="Calibri"/>
      <scheme val="minor"/>
    </font>
    <font>
      <b/>
      <sz val="8.0"/>
      <color theme="1"/>
      <name val="Calibri"/>
    </font>
    <font>
      <b/>
      <sz val="9.0"/>
      <color theme="1"/>
      <name val="Calibri"/>
    </font>
    <font>
      <sz val="11.0"/>
      <color rgb="FF000000"/>
      <name val="Calibri"/>
    </font>
    <font>
      <sz val="11.0"/>
      <color theme="1"/>
      <name val="Arial"/>
    </font>
    <font>
      <sz val="10.0"/>
      <color rgb="FFFFFFFF"/>
      <name val="Lexend"/>
    </font>
    <font>
      <sz val="10.0"/>
      <color theme="1"/>
      <name val="Lexend"/>
    </font>
    <font>
      <color rgb="FF1E293B"/>
      <name val="Arial"/>
    </font>
    <font>
      <b/>
      <sz val="18.0"/>
      <color theme="1"/>
      <name val="Arial"/>
    </font>
    <font>
      <i/>
      <color theme="1"/>
      <name val="Arial"/>
    </font>
    <font>
      <b/>
      <i/>
      <color theme="1"/>
      <name val="Arial"/>
    </font>
    <font>
      <color rgb="FFFFFFFF"/>
      <name val="Roboto"/>
    </font>
    <font>
      <color rgb="FF434343"/>
      <name val="Roboto"/>
    </font>
  </fonts>
  <fills count="24">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00B0F0"/>
        <bgColor rgb="FF00B0F0"/>
      </patternFill>
    </fill>
    <fill>
      <patternFill patternType="solid">
        <fgColor rgb="FFFFD965"/>
        <bgColor rgb="FFFFD965"/>
      </patternFill>
    </fill>
    <fill>
      <patternFill patternType="solid">
        <fgColor theme="5"/>
        <bgColor theme="5"/>
      </patternFill>
    </fill>
    <fill>
      <patternFill patternType="solid">
        <fgColor rgb="FFBDD6EE"/>
        <bgColor rgb="FFBDD6EE"/>
      </patternFill>
    </fill>
    <fill>
      <patternFill patternType="solid">
        <fgColor rgb="FFF7CAAC"/>
        <bgColor rgb="FFF7CAAC"/>
      </patternFill>
    </fill>
    <fill>
      <patternFill patternType="solid">
        <fgColor rgb="FFFEF2CB"/>
        <bgColor rgb="FFFEF2CB"/>
      </patternFill>
    </fill>
    <fill>
      <patternFill patternType="solid">
        <fgColor rgb="FFA4C2F4"/>
        <bgColor rgb="FFA4C2F4"/>
      </patternFill>
    </fill>
    <fill>
      <patternFill patternType="solid">
        <fgColor rgb="FFEAD1DC"/>
        <bgColor rgb="FFEAD1DC"/>
      </patternFill>
    </fill>
    <fill>
      <patternFill patternType="solid">
        <fgColor rgb="FFFFFFFF"/>
        <bgColor rgb="FFFFFFFF"/>
      </patternFill>
    </fill>
    <fill>
      <patternFill patternType="solid">
        <fgColor rgb="FFBFBFBF"/>
        <bgColor rgb="FFBFBFBF"/>
      </patternFill>
    </fill>
    <fill>
      <patternFill patternType="solid">
        <fgColor rgb="FFED7D31"/>
        <bgColor rgb="FFED7D31"/>
      </patternFill>
    </fill>
    <fill>
      <patternFill patternType="solid">
        <fgColor rgb="FF00FF00"/>
        <bgColor rgb="FF00FF00"/>
      </patternFill>
    </fill>
    <fill>
      <patternFill patternType="solid">
        <fgColor rgb="FFFFD966"/>
        <bgColor rgb="FFFFD966"/>
      </patternFill>
    </fill>
    <fill>
      <patternFill patternType="solid">
        <fgColor rgb="FFFF0000"/>
        <bgColor rgb="FFFF0000"/>
      </patternFill>
    </fill>
    <fill>
      <patternFill patternType="solid">
        <fgColor rgb="FFF6B26B"/>
        <bgColor rgb="FFF6B26B"/>
      </patternFill>
    </fill>
    <fill>
      <patternFill patternType="solid">
        <fgColor rgb="FF5B3F86"/>
        <bgColor rgb="FF5B3F86"/>
      </patternFill>
    </fill>
    <fill>
      <patternFill patternType="solid">
        <fgColor rgb="FFF8F9FA"/>
        <bgColor rgb="FFF8F9FA"/>
      </patternFill>
    </fill>
    <fill>
      <patternFill patternType="solid">
        <fgColor rgb="FF156082"/>
        <bgColor rgb="FF156082"/>
      </patternFill>
    </fill>
    <fill>
      <patternFill patternType="solid">
        <fgColor rgb="FFC1E4F5"/>
        <bgColor rgb="FFC1E4F5"/>
      </patternFill>
    </fill>
    <fill>
      <patternFill patternType="solid">
        <fgColor rgb="FF83CAEB"/>
        <bgColor rgb="FF83CAEB"/>
      </patternFill>
    </fill>
  </fills>
  <borders count="46">
    <border/>
    <border>
      <bottom style="double">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ttom/>
    </border>
    <border>
      <top style="thin">
        <color rgb="FF000000"/>
      </top>
    </border>
    <border>
      <left/>
      <top/>
      <bottom/>
    </border>
    <border>
      <top/>
      <bottom/>
    </border>
    <border>
      <right/>
      <top/>
      <bottom/>
    </border>
    <border>
      <left/>
      <right/>
      <top/>
    </border>
    <border>
      <left/>
      <right/>
      <top/>
      <bottom style="thin">
        <color rgb="FF000000"/>
      </bottom>
    </border>
    <border>
      <right style="medium">
        <color rgb="FF000000"/>
      </right>
      <top style="thin">
        <color rgb="FF000000"/>
      </top>
      <bottom style="thin">
        <color rgb="FF000000"/>
      </bottom>
    </border>
    <border>
      <bottom style="thin">
        <color rgb="FF000000"/>
      </bottom>
    </border>
    <border>
      <left/>
      <top style="double">
        <color rgb="FF000000"/>
      </top>
      <bottom/>
    </border>
    <border>
      <top style="double">
        <color rgb="FF000000"/>
      </top>
      <bottom/>
    </border>
    <border>
      <right/>
      <top style="double">
        <color rgb="FF000000"/>
      </top>
      <bottom/>
    </border>
    <border>
      <left/>
      <top style="thin">
        <color rgb="FF000000"/>
      </top>
    </border>
    <border>
      <left/>
      <bottom style="thin">
        <color rgb="FF000000"/>
      </bottom>
    </border>
    <border>
      <left style="thin">
        <color rgb="FF000000"/>
      </left>
      <right style="thin">
        <color rgb="FF000000"/>
      </right>
      <bottom/>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medium">
        <color rgb="FF000000"/>
      </left>
      <right style="medium">
        <color rgb="FF000000"/>
      </right>
      <top style="medium">
        <color rgb="FF000000"/>
      </top>
      <bottom style="medium">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568">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1" fillId="0" fontId="2" numFmtId="0" xfId="0" applyBorder="1" applyFont="1"/>
    <xf borderId="0" fillId="0" fontId="3" numFmtId="0" xfId="0" applyAlignment="1" applyFont="1">
      <alignment horizontal="center"/>
    </xf>
    <xf borderId="0" fillId="0" fontId="3" numFmtId="0" xfId="0" applyFont="1"/>
    <xf borderId="0" fillId="0" fontId="4" numFmtId="0" xfId="0" applyFont="1"/>
    <xf borderId="2" fillId="0" fontId="5" numFmtId="0" xfId="0" applyAlignment="1" applyBorder="1" applyFont="1">
      <alignment horizontal="center" vertical="center"/>
    </xf>
    <xf borderId="2" fillId="0" fontId="6" numFmtId="0" xfId="0" applyAlignment="1" applyBorder="1" applyFont="1">
      <alignment horizontal="center" vertical="center"/>
    </xf>
    <xf borderId="3" fillId="0" fontId="6" numFmtId="0" xfId="0" applyAlignment="1" applyBorder="1" applyFont="1">
      <alignment horizontal="center" vertical="center"/>
    </xf>
    <xf borderId="4" fillId="0" fontId="2" numFmtId="0" xfId="0" applyBorder="1" applyFont="1"/>
    <xf borderId="5" fillId="0" fontId="2" numFmtId="0" xfId="0" applyBorder="1" applyFont="1"/>
    <xf borderId="6" fillId="0" fontId="2" numFmtId="0" xfId="0" applyBorder="1" applyFont="1"/>
    <xf borderId="3" fillId="2" fontId="7" numFmtId="0" xfId="0" applyAlignment="1" applyBorder="1" applyFill="1" applyFont="1">
      <alignment horizontal="center" shrinkToFit="0" vertical="center" wrapText="1"/>
    </xf>
    <xf borderId="3" fillId="2" fontId="7" numFmtId="0" xfId="0" applyAlignment="1" applyBorder="1" applyFont="1">
      <alignment horizontal="center" vertical="center"/>
    </xf>
    <xf borderId="2" fillId="3" fontId="7" numFmtId="0" xfId="0" applyAlignment="1" applyBorder="1" applyFill="1" applyFont="1">
      <alignment horizontal="center" vertical="center"/>
    </xf>
    <xf borderId="7" fillId="3" fontId="7" numFmtId="0" xfId="0" applyAlignment="1" applyBorder="1" applyFont="1">
      <alignment horizontal="center" vertical="center"/>
    </xf>
    <xf borderId="8" fillId="4" fontId="7" numFmtId="0" xfId="0" applyAlignment="1" applyBorder="1" applyFill="1" applyFont="1">
      <alignment horizontal="center" vertical="center"/>
    </xf>
    <xf borderId="8" fillId="5" fontId="7" numFmtId="0" xfId="0" applyAlignment="1" applyBorder="1" applyFill="1" applyFont="1">
      <alignment horizontal="center" vertical="center"/>
    </xf>
    <xf borderId="8" fillId="6" fontId="7" numFmtId="0" xfId="0" applyAlignment="1" applyBorder="1" applyFill="1" applyFont="1">
      <alignment horizontal="center" vertical="center"/>
    </xf>
    <xf borderId="9" fillId="2" fontId="7" numFmtId="0" xfId="0" applyAlignment="1" applyBorder="1" applyFont="1">
      <alignment horizontal="center" vertical="center"/>
    </xf>
    <xf borderId="10" fillId="0" fontId="2" numFmtId="0" xfId="0" applyBorder="1" applyFont="1"/>
    <xf borderId="0" fillId="0" fontId="8" numFmtId="0" xfId="0" applyAlignment="1" applyFont="1">
      <alignment horizontal="center" shrinkToFit="0" vertical="center" wrapText="1"/>
    </xf>
    <xf borderId="10" fillId="0" fontId="8" numFmtId="0" xfId="0" applyAlignment="1" applyBorder="1" applyFont="1">
      <alignment horizontal="center" shrinkToFit="0" vertical="center" wrapText="1"/>
    </xf>
    <xf borderId="10" fillId="0" fontId="7" numFmtId="0" xfId="0" applyAlignment="1" applyBorder="1" applyFont="1">
      <alignment horizontal="center" shrinkToFit="0" vertical="center" wrapText="1"/>
    </xf>
    <xf borderId="11" fillId="7" fontId="7" numFmtId="0" xfId="0" applyAlignment="1" applyBorder="1" applyFill="1" applyFont="1">
      <alignment horizontal="center" vertical="center"/>
    </xf>
    <xf borderId="11" fillId="8" fontId="7" numFmtId="0" xfId="0" applyAlignment="1" applyBorder="1" applyFill="1" applyFont="1">
      <alignment horizontal="center" vertical="center"/>
    </xf>
    <xf borderId="11" fillId="9" fontId="7" numFmtId="0" xfId="0" applyAlignment="1" applyBorder="1" applyFill="1" applyFont="1">
      <alignment horizontal="center" vertical="center"/>
    </xf>
    <xf borderId="12" fillId="0" fontId="2" numFmtId="0" xfId="0" applyBorder="1" applyFont="1"/>
    <xf borderId="13" fillId="0" fontId="2" numFmtId="0" xfId="0" applyBorder="1" applyFont="1"/>
    <xf borderId="14" fillId="0" fontId="2" numFmtId="0" xfId="0" applyBorder="1" applyFont="1"/>
    <xf borderId="15" fillId="0" fontId="7" numFmtId="0" xfId="0" applyAlignment="1" applyBorder="1" applyFont="1">
      <alignment horizontal="center" vertical="center"/>
    </xf>
    <xf quotePrefix="1" borderId="15" fillId="0" fontId="9" numFmtId="1" xfId="0" applyAlignment="1" applyBorder="1" applyFont="1" applyNumberFormat="1">
      <alignment horizontal="left"/>
    </xf>
    <xf borderId="15" fillId="0" fontId="10" numFmtId="0" xfId="0" applyAlignment="1" applyBorder="1" applyFont="1">
      <alignment horizontal="left" vertical="top"/>
    </xf>
    <xf borderId="15" fillId="0" fontId="5" numFmtId="0" xfId="0" applyAlignment="1" applyBorder="1" applyFont="1">
      <alignment horizontal="center"/>
    </xf>
    <xf borderId="15" fillId="0" fontId="5" numFmtId="0" xfId="0" applyAlignment="1" applyBorder="1" applyFont="1">
      <alignment horizontal="left"/>
    </xf>
    <xf borderId="15" fillId="7" fontId="7" numFmtId="0" xfId="0" applyAlignment="1" applyBorder="1" applyFont="1">
      <alignment horizontal="center" vertical="center"/>
    </xf>
    <xf borderId="15" fillId="8" fontId="7" numFmtId="0" xfId="0" applyAlignment="1" applyBorder="1" applyFont="1">
      <alignment horizontal="center" vertical="center"/>
    </xf>
    <xf borderId="15" fillId="9" fontId="7" numFmtId="0" xfId="0" applyAlignment="1" applyBorder="1" applyFont="1">
      <alignment horizontal="center" vertical="center"/>
    </xf>
    <xf borderId="15" fillId="3" fontId="7" numFmtId="0" xfId="0" applyAlignment="1" applyBorder="1" applyFont="1">
      <alignment horizontal="center" vertical="center"/>
    </xf>
    <xf borderId="15" fillId="4" fontId="7" numFmtId="0" xfId="0" applyAlignment="1" applyBorder="1" applyFont="1">
      <alignment horizontal="center" vertical="center"/>
    </xf>
    <xf borderId="15" fillId="0" fontId="7" numFmtId="0" xfId="0" applyAlignment="1" applyBorder="1" applyFont="1">
      <alignment horizontal="center"/>
    </xf>
    <xf borderId="15" fillId="0" fontId="7" numFmtId="9" xfId="0" applyAlignment="1" applyBorder="1" applyFont="1" applyNumberFormat="1">
      <alignment horizontal="center"/>
    </xf>
    <xf borderId="15" fillId="2" fontId="7" numFmtId="0" xfId="0" applyAlignment="1" applyBorder="1" applyFont="1">
      <alignment horizontal="center"/>
    </xf>
    <xf borderId="2" fillId="0" fontId="7" numFmtId="0" xfId="0" applyAlignment="1" applyBorder="1" applyFont="1">
      <alignment horizontal="center" vertical="center"/>
    </xf>
    <xf borderId="2" fillId="0" fontId="5" numFmtId="0" xfId="0" applyAlignment="1" applyBorder="1" applyFont="1">
      <alignment horizontal="center"/>
    </xf>
    <xf borderId="16" fillId="7" fontId="7" numFmtId="0" xfId="0" applyAlignment="1" applyBorder="1" applyFont="1">
      <alignment horizontal="center" vertical="center"/>
    </xf>
    <xf borderId="16" fillId="8" fontId="7" numFmtId="0" xfId="0" applyAlignment="1" applyBorder="1" applyFont="1">
      <alignment horizontal="center" vertical="center"/>
    </xf>
    <xf borderId="16" fillId="9" fontId="7" numFmtId="0" xfId="0" applyAlignment="1" applyBorder="1" applyFont="1">
      <alignment horizontal="center" vertical="center"/>
    </xf>
    <xf borderId="16" fillId="3" fontId="7" numFmtId="0" xfId="0" applyAlignment="1" applyBorder="1" applyFont="1">
      <alignment horizontal="center" vertical="center"/>
    </xf>
    <xf borderId="16" fillId="4" fontId="7" numFmtId="0" xfId="0" applyAlignment="1" applyBorder="1" applyFont="1">
      <alignment horizontal="center" vertical="center"/>
    </xf>
    <xf borderId="2" fillId="0" fontId="7" numFmtId="0" xfId="0" applyAlignment="1" applyBorder="1" applyFont="1">
      <alignment horizontal="center"/>
    </xf>
    <xf borderId="2" fillId="0" fontId="7" numFmtId="9" xfId="0" applyAlignment="1" applyBorder="1" applyFont="1" applyNumberFormat="1">
      <alignment horizontal="center"/>
    </xf>
    <xf borderId="16" fillId="2" fontId="7" numFmtId="0" xfId="0" applyAlignment="1" applyBorder="1" applyFont="1">
      <alignment horizontal="center"/>
    </xf>
    <xf borderId="15" fillId="0" fontId="5" numFmtId="0" xfId="0" applyBorder="1" applyFont="1"/>
    <xf borderId="0" fillId="0" fontId="7" numFmtId="0" xfId="0" applyAlignment="1" applyFont="1">
      <alignment horizontal="center"/>
    </xf>
    <xf borderId="8" fillId="5" fontId="7" numFmtId="0" xfId="0" applyAlignment="1" applyBorder="1" applyFont="1">
      <alignment horizontal="center" readingOrder="0" vertical="center"/>
    </xf>
    <xf borderId="15" fillId="0" fontId="7" numFmtId="0" xfId="0" applyAlignment="1" applyBorder="1" applyFont="1">
      <alignment horizontal="center" readingOrder="0"/>
    </xf>
    <xf borderId="2" fillId="0" fontId="7" numFmtId="0" xfId="0" applyAlignment="1" applyBorder="1" applyFont="1">
      <alignment horizontal="center" readingOrder="0"/>
    </xf>
    <xf borderId="17" fillId="2" fontId="7" numFmtId="0" xfId="0" applyAlignment="1" applyBorder="1" applyFont="1">
      <alignment horizontal="center"/>
    </xf>
    <xf borderId="0" fillId="0" fontId="11" numFmtId="0" xfId="0" applyFont="1"/>
    <xf borderId="0" fillId="0" fontId="7" numFmtId="0" xfId="0" applyFont="1"/>
    <xf borderId="3" fillId="2" fontId="7" numFmtId="0" xfId="0" applyAlignment="1" applyBorder="1" applyFont="1">
      <alignment horizontal="left" shrinkToFit="0" vertical="center" wrapText="1"/>
    </xf>
    <xf borderId="0" fillId="0" fontId="6" numFmtId="0" xfId="0" applyFont="1"/>
    <xf borderId="0" fillId="0" fontId="12" numFmtId="0" xfId="0" applyFont="1"/>
    <xf borderId="2" fillId="0" fontId="6" numFmtId="0" xfId="0" applyAlignment="1" applyBorder="1" applyFont="1">
      <alignment horizontal="center" shrinkToFit="0" vertical="center" wrapText="1"/>
    </xf>
    <xf borderId="2" fillId="5" fontId="6" numFmtId="0" xfId="0" applyAlignment="1" applyBorder="1" applyFont="1">
      <alignment horizontal="center" readingOrder="0" vertical="center"/>
    </xf>
    <xf borderId="2" fillId="10" fontId="6" numFmtId="0" xfId="0" applyAlignment="1" applyBorder="1" applyFill="1" applyFont="1">
      <alignment horizontal="center" vertical="center"/>
    </xf>
    <xf borderId="15" fillId="0" fontId="10" numFmtId="0" xfId="0" applyAlignment="1" applyBorder="1" applyFont="1">
      <alignment horizontal="center" vertical="center"/>
    </xf>
    <xf borderId="15" fillId="0" fontId="10" numFmtId="0" xfId="0" applyAlignment="1" applyBorder="1" applyFont="1">
      <alignment horizontal="left" vertical="top"/>
    </xf>
    <xf borderId="15" fillId="0" fontId="10" numFmtId="0" xfId="0" applyAlignment="1" applyBorder="1" applyFont="1">
      <alignment horizontal="center" readingOrder="0"/>
    </xf>
    <xf borderId="15" fillId="0" fontId="10" numFmtId="0" xfId="0" applyAlignment="1" applyBorder="1" applyFont="1">
      <alignment horizontal="center"/>
    </xf>
    <xf borderId="15" fillId="0" fontId="10" numFmtId="0" xfId="0" applyAlignment="1" applyBorder="1" applyFont="1">
      <alignment horizontal="left" readingOrder="0" vertical="top"/>
    </xf>
    <xf borderId="15" fillId="0" fontId="10" numFmtId="0" xfId="0" applyAlignment="1" applyBorder="1" applyFont="1">
      <alignment horizontal="center" readingOrder="0" vertical="center"/>
    </xf>
    <xf borderId="15" fillId="0" fontId="12" numFmtId="0" xfId="0" applyBorder="1" applyFont="1"/>
    <xf borderId="15" fillId="0" fontId="12" numFmtId="0" xfId="0" applyAlignment="1" applyBorder="1" applyFont="1">
      <alignment readingOrder="0"/>
    </xf>
    <xf borderId="0" fillId="0" fontId="10" numFmtId="0" xfId="0" applyAlignment="1" applyFont="1">
      <alignment horizontal="center"/>
    </xf>
    <xf borderId="2" fillId="0" fontId="13" numFmtId="0" xfId="0" applyAlignment="1" applyBorder="1" applyFont="1">
      <alignment horizontal="center" vertical="center"/>
    </xf>
    <xf borderId="2" fillId="0" fontId="13" numFmtId="0" xfId="0" applyAlignment="1" applyBorder="1" applyFont="1">
      <alignment horizontal="center" shrinkToFit="0" vertical="center" wrapText="1"/>
    </xf>
    <xf borderId="2" fillId="5" fontId="13" numFmtId="0" xfId="0" applyAlignment="1" applyBorder="1" applyFont="1">
      <alignment horizontal="center" vertical="center"/>
    </xf>
    <xf borderId="2" fillId="10" fontId="13" numFmtId="0" xfId="0" applyAlignment="1" applyBorder="1" applyFont="1">
      <alignment horizontal="center" vertical="center"/>
    </xf>
    <xf borderId="2" fillId="0" fontId="4" numFmtId="0" xfId="0" applyAlignment="1" applyBorder="1" applyFont="1">
      <alignment horizontal="center" vertical="center"/>
    </xf>
    <xf borderId="2" fillId="0" fontId="4" numFmtId="0" xfId="0" applyAlignment="1" applyBorder="1" applyFont="1">
      <alignment horizontal="center" shrinkToFit="0" vertical="center" wrapText="1"/>
    </xf>
    <xf borderId="2" fillId="5" fontId="4" numFmtId="0" xfId="0" applyAlignment="1" applyBorder="1" applyFont="1">
      <alignment horizontal="center" vertical="center"/>
    </xf>
    <xf borderId="2" fillId="10" fontId="4" numFmtId="0" xfId="0" applyAlignment="1" applyBorder="1" applyFont="1">
      <alignment horizontal="center" vertical="center"/>
    </xf>
    <xf borderId="0" fillId="0" fontId="5" numFmtId="0" xfId="0" applyAlignment="1" applyFont="1">
      <alignment horizontal="center" vertical="bottom"/>
    </xf>
    <xf borderId="2" fillId="5" fontId="4" numFmtId="0" xfId="0" applyAlignment="1" applyBorder="1" applyFont="1">
      <alignment horizontal="center" vertical="center"/>
    </xf>
    <xf borderId="15" fillId="11" fontId="10" numFmtId="0" xfId="0" applyAlignment="1" applyBorder="1" applyFill="1" applyFont="1">
      <alignment horizontal="left" readingOrder="0" vertical="top"/>
    </xf>
    <xf borderId="1" fillId="0" fontId="1" numFmtId="0" xfId="0" applyAlignment="1" applyBorder="1" applyFont="1">
      <alignment horizontal="center" readingOrder="0" shrinkToFit="0" wrapText="1"/>
    </xf>
    <xf borderId="0" fillId="0" fontId="14" numFmtId="0" xfId="0" applyAlignment="1" applyFont="1">
      <alignment horizontal="center"/>
    </xf>
    <xf borderId="0" fillId="0" fontId="15" numFmtId="0" xfId="0" applyAlignment="1" applyFont="1">
      <alignment horizontal="center"/>
    </xf>
    <xf borderId="0" fillId="12" fontId="16" numFmtId="0" xfId="0" applyAlignment="1" applyFill="1" applyFont="1">
      <alignment horizontal="center" readingOrder="0" shrinkToFit="0" wrapText="0"/>
    </xf>
    <xf borderId="0" fillId="12" fontId="16" numFmtId="0" xfId="0" applyAlignment="1" applyFont="1">
      <alignment horizontal="center" readingOrder="0"/>
    </xf>
    <xf borderId="0" fillId="12" fontId="17" numFmtId="0" xfId="0" applyAlignment="1" applyFont="1">
      <alignment horizontal="center" readingOrder="0" shrinkToFit="0" wrapText="0"/>
    </xf>
    <xf borderId="0" fillId="12" fontId="18" numFmtId="0" xfId="0" applyAlignment="1" applyFont="1">
      <alignment horizontal="center"/>
    </xf>
    <xf borderId="2" fillId="13" fontId="19" numFmtId="0" xfId="0" applyAlignment="1" applyBorder="1" applyFill="1" applyFont="1">
      <alignment horizontal="center" readingOrder="0" shrinkToFit="0" vertical="center" wrapText="0"/>
    </xf>
    <xf borderId="2" fillId="13" fontId="19" numFmtId="0" xfId="0" applyAlignment="1" applyBorder="1" applyFont="1">
      <alignment horizontal="center" readingOrder="0" shrinkToFit="0" vertical="center" wrapText="1"/>
    </xf>
    <xf borderId="15" fillId="0" fontId="20" numFmtId="0" xfId="0" applyAlignment="1" applyBorder="1" applyFont="1">
      <alignment horizontal="center" shrinkToFit="0" wrapText="0"/>
    </xf>
    <xf borderId="15" fillId="0" fontId="20" numFmtId="0" xfId="0" applyAlignment="1" applyBorder="1" applyFont="1">
      <alignment horizontal="left"/>
    </xf>
    <xf borderId="15" fillId="0" fontId="20" numFmtId="0" xfId="0" applyAlignment="1" applyBorder="1" applyFont="1">
      <alignment horizontal="center"/>
    </xf>
    <xf borderId="15" fillId="0" fontId="20" numFmtId="0" xfId="0" applyAlignment="1" applyBorder="1" applyFont="1">
      <alignment horizontal="left"/>
    </xf>
    <xf borderId="15" fillId="0" fontId="20" numFmtId="0" xfId="0" applyAlignment="1" applyBorder="1" applyFont="1">
      <alignment horizontal="center"/>
    </xf>
    <xf borderId="15" fillId="12" fontId="21" numFmtId="0" xfId="0" applyAlignment="1" applyBorder="1" applyFont="1">
      <alignment horizontal="left" vertical="bottom"/>
    </xf>
    <xf borderId="15" fillId="0" fontId="20" numFmtId="0" xfId="0" applyAlignment="1" applyBorder="1" applyFont="1">
      <alignment horizontal="center" readingOrder="0"/>
    </xf>
    <xf borderId="0" fillId="0" fontId="18" numFmtId="0" xfId="0" applyAlignment="1" applyFont="1">
      <alignment horizontal="center" shrinkToFit="0" wrapText="0"/>
    </xf>
    <xf borderId="0" fillId="0" fontId="20" numFmtId="0" xfId="0" applyAlignment="1" applyFont="1">
      <alignment horizontal="left" readingOrder="0"/>
    </xf>
    <xf borderId="0" fillId="0" fontId="18" numFmtId="0" xfId="0" applyAlignment="1" applyFont="1">
      <alignment horizontal="left"/>
    </xf>
    <xf borderId="0" fillId="0" fontId="18" numFmtId="0" xfId="0" applyAlignment="1" applyFont="1">
      <alignment horizontal="center"/>
    </xf>
    <xf borderId="15" fillId="0" fontId="18" numFmtId="0" xfId="0" applyAlignment="1" applyBorder="1" applyFont="1">
      <alignment horizontal="center" vertical="bottom"/>
    </xf>
    <xf borderId="15" fillId="0" fontId="20" numFmtId="0" xfId="0" applyAlignment="1" applyBorder="1" applyFont="1">
      <alignment horizontal="left" shrinkToFit="0" wrapText="1"/>
    </xf>
    <xf borderId="15" fillId="0" fontId="19" numFmtId="0" xfId="0" applyAlignment="1" applyBorder="1" applyFont="1">
      <alignment horizontal="left"/>
    </xf>
    <xf borderId="0" fillId="12" fontId="16" numFmtId="0" xfId="0" applyAlignment="1" applyFont="1">
      <alignment horizontal="center"/>
    </xf>
    <xf borderId="15" fillId="12" fontId="20" numFmtId="0" xfId="0" applyAlignment="1" applyBorder="1" applyFont="1">
      <alignment horizontal="left"/>
    </xf>
    <xf borderId="15" fillId="12" fontId="20" numFmtId="0" xfId="0" applyAlignment="1" applyBorder="1" applyFont="1">
      <alignment horizontal="center"/>
    </xf>
    <xf borderId="0" fillId="12" fontId="22" numFmtId="0" xfId="0" applyAlignment="1" applyFont="1">
      <alignment horizontal="center" readingOrder="0" shrinkToFit="0" vertical="bottom" wrapText="0"/>
    </xf>
    <xf borderId="0" fillId="12" fontId="22" numFmtId="0" xfId="0" applyAlignment="1" applyFont="1">
      <alignment horizontal="center" vertical="bottom"/>
    </xf>
    <xf borderId="15" fillId="12" fontId="20" numFmtId="0" xfId="0" applyAlignment="1" applyBorder="1" applyFont="1">
      <alignment horizontal="left"/>
    </xf>
    <xf borderId="15" fillId="0" fontId="20" numFmtId="0" xfId="0" applyAlignment="1" applyBorder="1" applyFont="1">
      <alignment horizontal="center" shrinkToFit="0" wrapText="1"/>
    </xf>
    <xf borderId="15" fillId="0" fontId="20" numFmtId="3" xfId="0" applyAlignment="1" applyBorder="1" applyFont="1" applyNumberFormat="1">
      <alignment horizontal="left"/>
    </xf>
    <xf borderId="15" fillId="0" fontId="20" numFmtId="0" xfId="0" applyAlignment="1" applyBorder="1" applyFont="1">
      <alignment horizontal="center" vertical="bottom"/>
    </xf>
    <xf borderId="15" fillId="0" fontId="20" numFmtId="0" xfId="0" applyAlignment="1" applyBorder="1" applyFont="1">
      <alignment horizontal="center" vertical="bottom"/>
    </xf>
    <xf borderId="15" fillId="0" fontId="20" numFmtId="1" xfId="0" applyAlignment="1" applyBorder="1" applyFont="1" applyNumberFormat="1">
      <alignment horizontal="left"/>
    </xf>
    <xf borderId="15" fillId="0" fontId="18" numFmtId="0" xfId="0" applyAlignment="1" applyBorder="1" applyFont="1">
      <alignment horizontal="center" vertical="bottom"/>
    </xf>
    <xf borderId="15" fillId="0" fontId="23" numFmtId="0" xfId="0" applyAlignment="1" applyBorder="1" applyFont="1">
      <alignment horizontal="left" shrinkToFit="0" wrapText="1"/>
    </xf>
    <xf borderId="15" fillId="0" fontId="18" numFmtId="0" xfId="0" applyAlignment="1" applyBorder="1" applyFont="1">
      <alignment horizontal="left"/>
    </xf>
    <xf borderId="15" fillId="12" fontId="20" numFmtId="0" xfId="0" applyAlignment="1" applyBorder="1" applyFont="1">
      <alignment horizontal="left" shrinkToFit="0" wrapText="0"/>
    </xf>
    <xf borderId="0" fillId="0" fontId="6" numFmtId="0" xfId="0" applyAlignment="1" applyFont="1">
      <alignment horizontal="left"/>
    </xf>
    <xf borderId="0" fillId="0" fontId="6" numFmtId="0" xfId="0" applyAlignment="1" applyFont="1">
      <alignment horizontal="center"/>
    </xf>
    <xf borderId="0" fillId="0" fontId="12" numFmtId="0" xfId="0" applyAlignment="1" applyFont="1">
      <alignment horizontal="left" readingOrder="0"/>
    </xf>
    <xf borderId="0" fillId="5" fontId="10" numFmtId="0" xfId="0" applyAlignment="1" applyFont="1">
      <alignment horizontal="center" readingOrder="0" vertical="center"/>
    </xf>
    <xf borderId="0" fillId="14" fontId="7" numFmtId="0" xfId="0" applyAlignment="1" applyFill="1" applyFont="1">
      <alignment horizontal="center" readingOrder="0" vertical="center"/>
    </xf>
    <xf borderId="0" fillId="14" fontId="10" numFmtId="0" xfId="0" applyAlignment="1" applyFont="1">
      <alignment horizontal="center" readingOrder="0" vertical="center"/>
    </xf>
    <xf borderId="0" fillId="14" fontId="10" numFmtId="0" xfId="0" applyAlignment="1" applyFont="1">
      <alignment horizontal="center" readingOrder="0" shrinkToFit="0" vertical="center" wrapText="1"/>
    </xf>
    <xf borderId="0" fillId="14" fontId="10" numFmtId="0" xfId="0" applyAlignment="1" applyFont="1">
      <alignment horizontal="center" vertical="center"/>
    </xf>
    <xf borderId="0" fillId="10" fontId="10" numFmtId="0" xfId="0" applyAlignment="1" applyFont="1">
      <alignment horizontal="center" vertical="center"/>
    </xf>
    <xf borderId="0" fillId="0" fontId="24" numFmtId="0" xfId="0" applyAlignment="1" applyFont="1">
      <alignment horizontal="center" readingOrder="0"/>
    </xf>
    <xf borderId="0" fillId="0" fontId="6" numFmtId="0" xfId="0" applyAlignment="1" applyFont="1">
      <alignment horizontal="left" readingOrder="0"/>
    </xf>
    <xf borderId="15" fillId="0" fontId="6" numFmtId="0" xfId="0" applyAlignment="1" applyBorder="1" applyFont="1">
      <alignment horizontal="center" vertical="center"/>
    </xf>
    <xf borderId="15" fillId="0" fontId="25" numFmtId="0" xfId="0" applyAlignment="1" applyBorder="1" applyFont="1">
      <alignment horizontal="center" readingOrder="0" vertical="center"/>
    </xf>
    <xf borderId="15" fillId="0" fontId="25" numFmtId="0" xfId="0" applyAlignment="1" applyBorder="1" applyFont="1">
      <alignment horizontal="center" readingOrder="0" shrinkToFit="0" vertical="center" wrapText="1"/>
    </xf>
    <xf borderId="2" fillId="14" fontId="6" numFmtId="0" xfId="0" applyAlignment="1" applyBorder="1" applyFont="1">
      <alignment horizontal="center" readingOrder="0" vertical="center"/>
    </xf>
    <xf borderId="2" fillId="14" fontId="6" numFmtId="0" xfId="0" applyAlignment="1" applyBorder="1" applyFont="1">
      <alignment horizontal="center" vertical="center"/>
    </xf>
    <xf borderId="15" fillId="5" fontId="6" numFmtId="0" xfId="0" applyAlignment="1" applyBorder="1" applyFont="1">
      <alignment horizontal="center" readingOrder="0" vertical="center"/>
    </xf>
    <xf borderId="15" fillId="14" fontId="26" numFmtId="0" xfId="0" applyAlignment="1" applyBorder="1" applyFont="1">
      <alignment horizontal="center" readingOrder="0" vertical="center"/>
    </xf>
    <xf borderId="15" fillId="14" fontId="6" numFmtId="0" xfId="0" applyAlignment="1" applyBorder="1" applyFont="1">
      <alignment horizontal="center" readingOrder="0" vertical="center"/>
    </xf>
    <xf borderId="15" fillId="14" fontId="6" numFmtId="0" xfId="0" applyAlignment="1" applyBorder="1" applyFont="1">
      <alignment horizontal="center" readingOrder="0" shrinkToFit="0" vertical="center" wrapText="1"/>
    </xf>
    <xf borderId="15" fillId="15" fontId="10" numFmtId="0" xfId="0" applyAlignment="1" applyBorder="1" applyFill="1" applyFont="1">
      <alignment horizontal="center" readingOrder="0"/>
    </xf>
    <xf borderId="15" fillId="0" fontId="10" numFmtId="9" xfId="0" applyAlignment="1" applyBorder="1" applyFont="1" applyNumberFormat="1">
      <alignment horizontal="center"/>
    </xf>
    <xf borderId="15" fillId="0" fontId="12" numFmtId="0" xfId="0" applyAlignment="1" applyBorder="1" applyFont="1">
      <alignment horizontal="center" readingOrder="0"/>
    </xf>
    <xf borderId="15" fillId="15" fontId="12" numFmtId="0" xfId="0" applyAlignment="1" applyBorder="1" applyFont="1">
      <alignment horizontal="center" readingOrder="0"/>
    </xf>
    <xf borderId="0" fillId="0" fontId="10" numFmtId="0" xfId="0" applyAlignment="1" applyFont="1">
      <alignment horizontal="left" vertical="top"/>
    </xf>
    <xf borderId="0" fillId="0" fontId="10" numFmtId="0" xfId="0" applyAlignment="1" applyFont="1">
      <alignment horizontal="center" readingOrder="0"/>
    </xf>
    <xf borderId="15" fillId="0" fontId="5" numFmtId="0" xfId="0" applyAlignment="1" applyBorder="1" applyFont="1">
      <alignment vertical="center"/>
    </xf>
    <xf borderId="15" fillId="0" fontId="5" numFmtId="0" xfId="0" applyAlignment="1" applyBorder="1" applyFont="1">
      <alignment vertical="center"/>
    </xf>
    <xf borderId="15" fillId="0" fontId="25" numFmtId="0" xfId="0" applyAlignment="1" applyBorder="1" applyFont="1">
      <alignment horizontal="center" vertical="center"/>
    </xf>
    <xf borderId="15" fillId="0" fontId="25" numFmtId="0" xfId="0" applyAlignment="1" applyBorder="1" applyFont="1">
      <alignment horizontal="center" shrinkToFit="0" vertical="center" wrapText="1"/>
    </xf>
    <xf borderId="15" fillId="0" fontId="5" numFmtId="0" xfId="0" applyAlignment="1" applyBorder="1" applyFont="1">
      <alignment vertical="center"/>
    </xf>
    <xf borderId="2" fillId="14" fontId="13" numFmtId="0" xfId="0" applyAlignment="1" applyBorder="1" applyFont="1">
      <alignment horizontal="center" vertical="center"/>
    </xf>
    <xf borderId="15" fillId="5" fontId="13" numFmtId="0" xfId="0" applyAlignment="1" applyBorder="1" applyFont="1">
      <alignment horizontal="center" vertical="center"/>
    </xf>
    <xf borderId="15" fillId="14" fontId="26" numFmtId="0" xfId="0" applyAlignment="1" applyBorder="1" applyFont="1">
      <alignment horizontal="center" vertical="center"/>
    </xf>
    <xf borderId="15" fillId="14" fontId="13" numFmtId="0" xfId="0" applyAlignment="1" applyBorder="1" applyFont="1">
      <alignment horizontal="center" vertical="center"/>
    </xf>
    <xf borderId="15" fillId="14" fontId="13" numFmtId="0" xfId="0" applyAlignment="1" applyBorder="1" applyFont="1">
      <alignment horizontal="center" shrinkToFit="0" vertical="center" wrapText="1"/>
    </xf>
    <xf borderId="0" fillId="0" fontId="6" numFmtId="0" xfId="0" applyAlignment="1" applyFont="1">
      <alignment horizontal="left" readingOrder="0" vertical="center"/>
    </xf>
    <xf borderId="2" fillId="14" fontId="4" numFmtId="0" xfId="0" applyAlignment="1" applyBorder="1" applyFont="1">
      <alignment horizontal="center" vertical="center"/>
    </xf>
    <xf borderId="0" fillId="0" fontId="12" numFmtId="0" xfId="0" applyAlignment="1" applyFont="1">
      <alignment vertical="center"/>
    </xf>
    <xf borderId="15" fillId="5" fontId="4" numFmtId="0" xfId="0" applyAlignment="1" applyBorder="1" applyFont="1">
      <alignment horizontal="center" vertical="center"/>
    </xf>
    <xf borderId="15" fillId="14" fontId="4" numFmtId="0" xfId="0" applyAlignment="1" applyBorder="1" applyFont="1">
      <alignment horizontal="center" vertical="center"/>
    </xf>
    <xf borderId="15" fillId="14" fontId="4" numFmtId="0" xfId="0" applyAlignment="1" applyBorder="1" applyFont="1">
      <alignment horizontal="center" shrinkToFit="0" vertical="center" wrapText="1"/>
    </xf>
    <xf borderId="0" fillId="0" fontId="13" numFmtId="0" xfId="0" applyAlignment="1" applyFont="1">
      <alignment vertical="center"/>
    </xf>
    <xf borderId="0" fillId="0" fontId="5" numFmtId="0" xfId="0" applyAlignment="1" applyFont="1">
      <alignment vertical="center"/>
    </xf>
    <xf borderId="0" fillId="0" fontId="13" numFmtId="0" xfId="0" applyAlignment="1" applyFont="1">
      <alignment vertical="bottom"/>
    </xf>
    <xf borderId="0" fillId="0" fontId="5" numFmtId="0" xfId="0" applyAlignment="1" applyFont="1">
      <alignment horizontal="center" vertical="top"/>
    </xf>
    <xf borderId="0" fillId="0" fontId="5" numFmtId="0" xfId="0" applyAlignment="1" applyFont="1">
      <alignment horizontal="center" vertical="bottom"/>
    </xf>
    <xf borderId="0" fillId="0" fontId="5" numFmtId="0" xfId="0" applyAlignment="1" applyFont="1">
      <alignment horizontal="center" vertical="bottom"/>
    </xf>
    <xf borderId="0" fillId="0" fontId="4" numFmtId="0" xfId="0" applyAlignment="1" applyFont="1">
      <alignment horizontal="right"/>
    </xf>
    <xf borderId="15" fillId="0" fontId="5" numFmtId="0" xfId="0" applyAlignment="1" applyBorder="1" applyFont="1">
      <alignment horizontal="center" vertical="center"/>
    </xf>
    <xf borderId="15" fillId="0" fontId="5" numFmtId="0" xfId="0" applyAlignment="1" applyBorder="1" applyFont="1">
      <alignment horizontal="center" vertical="center"/>
    </xf>
    <xf borderId="2" fillId="14" fontId="4" numFmtId="0" xfId="0" applyAlignment="1" applyBorder="1" applyFont="1">
      <alignment horizontal="center" vertical="center"/>
    </xf>
    <xf borderId="0" fillId="0" fontId="5" numFmtId="0" xfId="0" applyAlignment="1" applyFont="1">
      <alignment horizontal="center"/>
    </xf>
    <xf borderId="15" fillId="0" fontId="27" numFmtId="0" xfId="0" applyAlignment="1" applyBorder="1" applyFont="1">
      <alignment horizontal="center" readingOrder="0" shrinkToFit="0" vertical="bottom" wrapText="0"/>
    </xf>
    <xf borderId="0" fillId="0" fontId="27" numFmtId="0" xfId="0" applyAlignment="1" applyFont="1">
      <alignment readingOrder="0" shrinkToFit="0" vertical="bottom" wrapText="0"/>
    </xf>
    <xf borderId="0" fillId="0" fontId="27" numFmtId="0" xfId="0" applyAlignment="1" applyFont="1">
      <alignment horizontal="right" readingOrder="0" shrinkToFit="0" vertical="bottom" wrapText="0"/>
    </xf>
    <xf borderId="15" fillId="0" fontId="10" numFmtId="0" xfId="0" applyAlignment="1" applyBorder="1" applyFont="1">
      <alignment horizontal="center"/>
    </xf>
    <xf borderId="0" fillId="0" fontId="12" numFmtId="0" xfId="0" applyAlignment="1" applyFont="1">
      <alignment readingOrder="0"/>
    </xf>
    <xf borderId="15" fillId="15" fontId="10" numFmtId="0" xfId="0" applyAlignment="1" applyBorder="1" applyFont="1">
      <alignment horizontal="center"/>
    </xf>
    <xf borderId="0" fillId="0" fontId="12" numFmtId="0" xfId="0" applyAlignment="1" applyFont="1">
      <alignment horizontal="center"/>
    </xf>
    <xf borderId="10" fillId="0" fontId="10" numFmtId="0" xfId="0" applyAlignment="1" applyBorder="1" applyFont="1">
      <alignment horizontal="center" readingOrder="0"/>
    </xf>
    <xf borderId="0" fillId="0" fontId="12" numFmtId="0" xfId="0" applyAlignment="1" applyFont="1">
      <alignment horizontal="left"/>
    </xf>
    <xf borderId="0" fillId="0" fontId="17" numFmtId="0" xfId="0" applyAlignment="1" applyFont="1">
      <alignment horizontal="left" shrinkToFit="0" wrapText="0"/>
    </xf>
    <xf borderId="0" fillId="0" fontId="17" numFmtId="0" xfId="0" applyAlignment="1" applyFont="1">
      <alignment horizontal="center" shrinkToFit="0" wrapText="0"/>
    </xf>
    <xf borderId="0" fillId="0" fontId="17" numFmtId="0" xfId="0" applyAlignment="1" applyFont="1">
      <alignment horizontal="left" shrinkToFit="0" wrapText="1"/>
    </xf>
    <xf borderId="0" fillId="16" fontId="10" numFmtId="0" xfId="0" applyAlignment="1" applyFill="1" applyFont="1">
      <alignment horizontal="left" readingOrder="0" shrinkToFit="0" vertical="center" wrapText="1"/>
    </xf>
    <xf borderId="0" fillId="6" fontId="10" numFmtId="0" xfId="0" applyAlignment="1" applyFont="1">
      <alignment horizontal="center" readingOrder="0" vertical="center"/>
    </xf>
    <xf borderId="0" fillId="5" fontId="10" numFmtId="0" xfId="0" applyAlignment="1" applyFont="1">
      <alignment horizontal="center" readingOrder="0" shrinkToFit="0" vertical="center" wrapText="1"/>
    </xf>
    <xf borderId="0" fillId="16" fontId="10" numFmtId="0" xfId="0" applyAlignment="1" applyFont="1">
      <alignment horizontal="center" vertical="center"/>
    </xf>
    <xf borderId="0" fillId="14" fontId="10" numFmtId="0" xfId="0" applyAlignment="1" applyFont="1">
      <alignment horizontal="left" readingOrder="0" vertical="center"/>
    </xf>
    <xf borderId="0" fillId="0" fontId="18" numFmtId="0" xfId="0" applyAlignment="1" applyFont="1">
      <alignment horizontal="left" vertical="bottom"/>
    </xf>
    <xf borderId="0" fillId="0" fontId="18" numFmtId="0" xfId="0" applyAlignment="1" applyFont="1">
      <alignment horizontal="left" readingOrder="0" shrinkToFit="0" wrapText="0"/>
    </xf>
    <xf borderId="0" fillId="0" fontId="17" numFmtId="0" xfId="0" applyAlignment="1" applyFont="1">
      <alignment horizontal="center" shrinkToFit="0" wrapText="1"/>
    </xf>
    <xf borderId="0" fillId="12" fontId="28" numFmtId="0" xfId="0" applyAlignment="1" applyFont="1">
      <alignment horizontal="left" readingOrder="0" shrinkToFit="0" vertical="bottom" wrapText="0"/>
    </xf>
    <xf borderId="0" fillId="12" fontId="16" numFmtId="0" xfId="0" applyAlignment="1" applyFont="1">
      <alignment horizontal="left" readingOrder="0"/>
    </xf>
    <xf borderId="0" fillId="12" fontId="18" numFmtId="0" xfId="0" applyAlignment="1" applyFont="1">
      <alignment horizontal="left"/>
    </xf>
    <xf borderId="0" fillId="13" fontId="19" numFmtId="0" xfId="0" applyAlignment="1" applyFont="1">
      <alignment horizontal="center" readingOrder="0" shrinkToFit="0" vertical="center" wrapText="0"/>
    </xf>
    <xf borderId="0" fillId="13" fontId="19" numFmtId="0" xfId="0" applyAlignment="1" applyFont="1">
      <alignment horizontal="left" readingOrder="0" shrinkToFit="0" wrapText="1"/>
    </xf>
    <xf borderId="0" fillId="13" fontId="20" numFmtId="0" xfId="0" applyAlignment="1" applyFont="1">
      <alignment horizontal="left"/>
    </xf>
    <xf borderId="0" fillId="13" fontId="19" numFmtId="0" xfId="0" applyAlignment="1" applyFont="1">
      <alignment horizontal="center"/>
    </xf>
    <xf borderId="0" fillId="13" fontId="19" numFmtId="0" xfId="0" applyAlignment="1" applyFont="1">
      <alignment horizontal="left" shrinkToFit="0" wrapText="1"/>
    </xf>
    <xf borderId="0" fillId="14" fontId="6" numFmtId="0" xfId="0" applyAlignment="1" applyFont="1">
      <alignment horizontal="center" readingOrder="0" shrinkToFit="0" vertical="center" wrapText="1"/>
    </xf>
    <xf borderId="0" fillId="6" fontId="6" numFmtId="0" xfId="0" applyAlignment="1" applyFont="1">
      <alignment horizontal="center" readingOrder="0" vertical="center"/>
    </xf>
    <xf borderId="0" fillId="5" fontId="6" numFmtId="0" xfId="0" applyAlignment="1" applyFont="1">
      <alignment horizontal="center" readingOrder="0" shrinkToFit="0" vertical="center" wrapText="1"/>
    </xf>
    <xf borderId="0" fillId="16" fontId="6" numFmtId="0" xfId="0" applyAlignment="1" applyFont="1">
      <alignment horizontal="center" vertical="center"/>
    </xf>
    <xf borderId="0" fillId="14" fontId="6" numFmtId="0" xfId="0" applyAlignment="1" applyFont="1">
      <alignment horizontal="center" readingOrder="0" vertical="center"/>
    </xf>
    <xf borderId="0" fillId="10" fontId="6" numFmtId="0" xfId="0" applyAlignment="1" applyFont="1">
      <alignment horizontal="center" vertical="center"/>
    </xf>
    <xf borderId="2" fillId="0" fontId="20" numFmtId="0" xfId="0" applyAlignment="1" applyBorder="1" applyFont="1">
      <alignment horizontal="center" readingOrder="0" shrinkToFit="0" wrapText="0"/>
    </xf>
    <xf borderId="2" fillId="0" fontId="20" numFmtId="0" xfId="0" applyAlignment="1" applyBorder="1" applyFont="1">
      <alignment horizontal="left" readingOrder="0"/>
    </xf>
    <xf borderId="15" fillId="0" fontId="20" numFmtId="0" xfId="0" applyAlignment="1" applyBorder="1" applyFont="1">
      <alignment horizontal="left" readingOrder="0"/>
    </xf>
    <xf borderId="15" fillId="0" fontId="10" numFmtId="0" xfId="0" applyAlignment="1" applyBorder="1" applyFont="1">
      <alignment horizontal="left" readingOrder="0"/>
    </xf>
    <xf borderId="0" fillId="0" fontId="10" numFmtId="3" xfId="0" applyAlignment="1" applyFont="1" applyNumberFormat="1">
      <alignment horizontal="center" readingOrder="0"/>
    </xf>
    <xf borderId="0" fillId="0" fontId="10" numFmtId="3" xfId="0" applyAlignment="1" applyFont="1" applyNumberFormat="1">
      <alignment horizontal="center"/>
    </xf>
    <xf borderId="0" fillId="0" fontId="10" numFmtId="9" xfId="0" applyAlignment="1" applyFont="1" applyNumberFormat="1">
      <alignment horizontal="center"/>
    </xf>
    <xf borderId="0" fillId="0" fontId="10" numFmtId="0" xfId="0" applyAlignment="1" applyFont="1">
      <alignment horizontal="left"/>
    </xf>
    <xf borderId="10" fillId="0" fontId="20" numFmtId="0" xfId="0" applyAlignment="1" applyBorder="1" applyFont="1">
      <alignment horizontal="center" readingOrder="0" shrinkToFit="0" wrapText="0"/>
    </xf>
    <xf borderId="10" fillId="0" fontId="20" numFmtId="0" xfId="0" applyAlignment="1" applyBorder="1" applyFont="1">
      <alignment horizontal="left" readingOrder="0"/>
    </xf>
    <xf borderId="15" fillId="0" fontId="10" numFmtId="3" xfId="0" applyAlignment="1" applyBorder="1" applyFont="1" applyNumberFormat="1">
      <alignment horizontal="center" readingOrder="0"/>
    </xf>
    <xf borderId="15" fillId="0" fontId="10" numFmtId="3" xfId="0" applyAlignment="1" applyBorder="1" applyFont="1" applyNumberFormat="1">
      <alignment horizontal="center"/>
    </xf>
    <xf borderId="15" fillId="0" fontId="10" numFmtId="0" xfId="0" applyAlignment="1" applyBorder="1" applyFont="1">
      <alignment horizontal="left"/>
    </xf>
    <xf borderId="15" fillId="0" fontId="20" numFmtId="0" xfId="0" applyAlignment="1" applyBorder="1" applyFont="1">
      <alignment horizontal="center" readingOrder="0" shrinkToFit="0" wrapText="0"/>
    </xf>
    <xf borderId="15" fillId="12" fontId="21" numFmtId="0" xfId="0" applyAlignment="1" applyBorder="1" applyFont="1">
      <alignment horizontal="left" readingOrder="0" vertical="bottom"/>
    </xf>
    <xf borderId="15" fillId="0" fontId="18" numFmtId="0" xfId="0" applyAlignment="1" applyBorder="1" applyFont="1">
      <alignment horizontal="center" shrinkToFit="0" wrapText="0"/>
    </xf>
    <xf borderId="15" fillId="0" fontId="18" numFmtId="0" xfId="0" applyAlignment="1" applyBorder="1" applyFont="1">
      <alignment horizontal="left"/>
    </xf>
    <xf borderId="15" fillId="0" fontId="18" numFmtId="0" xfId="0" applyAlignment="1" applyBorder="1" applyFont="1">
      <alignment horizontal="center"/>
    </xf>
    <xf borderId="15" fillId="12" fontId="18" numFmtId="0" xfId="0" applyAlignment="1" applyBorder="1" applyFont="1">
      <alignment horizontal="left" vertical="bottom"/>
    </xf>
    <xf borderId="15" fillId="12" fontId="18" numFmtId="0" xfId="0" applyAlignment="1" applyBorder="1" applyFont="1">
      <alignment horizontal="center" vertical="bottom"/>
    </xf>
    <xf borderId="0" fillId="12" fontId="18" numFmtId="0" xfId="0" applyAlignment="1" applyFont="1">
      <alignment horizontal="left" vertical="bottom"/>
    </xf>
    <xf borderId="0" fillId="12" fontId="18" numFmtId="0" xfId="0" applyAlignment="1" applyFont="1">
      <alignment horizontal="center" vertical="bottom"/>
    </xf>
    <xf borderId="0" fillId="0" fontId="20" numFmtId="0" xfId="0" applyAlignment="1" applyFont="1">
      <alignment horizontal="center" readingOrder="0" shrinkToFit="0" wrapText="0"/>
    </xf>
    <xf borderId="0" fillId="0" fontId="10" numFmtId="0" xfId="0" applyAlignment="1" applyFont="1">
      <alignment horizontal="left" readingOrder="0"/>
    </xf>
    <xf borderId="15" fillId="0" fontId="10" numFmtId="3" xfId="0" applyAlignment="1" applyBorder="1" applyFont="1" applyNumberFormat="1">
      <alignment horizontal="left" readingOrder="0"/>
    </xf>
    <xf borderId="15" fillId="0" fontId="20" numFmtId="0" xfId="0" applyAlignment="1" applyBorder="1" applyFont="1">
      <alignment horizontal="left" readingOrder="0" shrinkToFit="0" wrapText="1"/>
    </xf>
    <xf borderId="15" fillId="0" fontId="19" numFmtId="0" xfId="0" applyAlignment="1" applyBorder="1" applyFont="1">
      <alignment horizontal="left" readingOrder="0"/>
    </xf>
    <xf borderId="15" fillId="0" fontId="17" numFmtId="0" xfId="0" applyAlignment="1" applyBorder="1" applyFont="1">
      <alignment horizontal="center" shrinkToFit="0" wrapText="0"/>
    </xf>
    <xf borderId="15" fillId="0" fontId="17" numFmtId="0" xfId="0" applyAlignment="1" applyBorder="1" applyFont="1">
      <alignment horizontal="left" readingOrder="0" shrinkToFit="0" wrapText="1"/>
    </xf>
    <xf borderId="15" fillId="0" fontId="17" numFmtId="0" xfId="0" applyAlignment="1" applyBorder="1" applyFont="1">
      <alignment horizontal="left" shrinkToFit="0" wrapText="1"/>
    </xf>
    <xf borderId="15" fillId="0" fontId="17" numFmtId="0" xfId="0" applyAlignment="1" applyBorder="1" applyFont="1">
      <alignment horizontal="center" shrinkToFit="0" wrapText="1"/>
    </xf>
    <xf borderId="3" fillId="12" fontId="16" numFmtId="0" xfId="0" applyAlignment="1" applyBorder="1" applyFont="1">
      <alignment horizontal="center" readingOrder="0" shrinkToFit="0" wrapText="0"/>
    </xf>
    <xf borderId="15" fillId="12" fontId="16" numFmtId="0" xfId="0" applyAlignment="1" applyBorder="1" applyFont="1">
      <alignment horizontal="left"/>
    </xf>
    <xf borderId="15" fillId="12" fontId="16" numFmtId="0" xfId="0" applyAlignment="1" applyBorder="1" applyFont="1">
      <alignment horizontal="center"/>
    </xf>
    <xf borderId="0" fillId="0" fontId="20" numFmtId="0" xfId="0" applyAlignment="1" applyFont="1">
      <alignment horizontal="left"/>
    </xf>
    <xf borderId="15" fillId="12" fontId="20" numFmtId="0" xfId="0" applyAlignment="1" applyBorder="1" applyFont="1">
      <alignment horizontal="left" readingOrder="0"/>
    </xf>
    <xf borderId="15" fillId="0" fontId="14" numFmtId="0" xfId="0" applyAlignment="1" applyBorder="1" applyFont="1">
      <alignment horizontal="left" readingOrder="0"/>
    </xf>
    <xf borderId="15" fillId="0" fontId="17" numFmtId="0" xfId="0" applyAlignment="1" applyBorder="1" applyFont="1">
      <alignment horizontal="center" readingOrder="0" shrinkToFit="0" wrapText="0"/>
    </xf>
    <xf borderId="3" fillId="12" fontId="17" numFmtId="0" xfId="0" applyAlignment="1" applyBorder="1" applyFont="1">
      <alignment horizontal="center" readingOrder="0" shrinkToFit="0" wrapText="0"/>
    </xf>
    <xf borderId="15" fillId="12" fontId="18" numFmtId="0" xfId="0" applyAlignment="1" applyBorder="1" applyFont="1">
      <alignment horizontal="left"/>
    </xf>
    <xf borderId="15" fillId="12" fontId="18" numFmtId="0" xfId="0" applyAlignment="1" applyBorder="1" applyFont="1">
      <alignment horizontal="center"/>
    </xf>
    <xf borderId="15" fillId="13" fontId="19" numFmtId="0" xfId="0" applyAlignment="1" applyBorder="1" applyFont="1">
      <alignment horizontal="center" readingOrder="0" shrinkToFit="0" vertical="center" wrapText="0"/>
    </xf>
    <xf borderId="15" fillId="13" fontId="19" numFmtId="0" xfId="0" applyAlignment="1" applyBorder="1" applyFont="1">
      <alignment horizontal="left" readingOrder="0" shrinkToFit="0" wrapText="1"/>
    </xf>
    <xf borderId="15" fillId="13" fontId="20" numFmtId="0" xfId="0" applyAlignment="1" applyBorder="1" applyFont="1">
      <alignment horizontal="left"/>
    </xf>
    <xf borderId="3" fillId="13" fontId="19" numFmtId="0" xfId="0" applyAlignment="1" applyBorder="1" applyFont="1">
      <alignment horizontal="center"/>
    </xf>
    <xf borderId="0" fillId="0" fontId="14" numFmtId="0" xfId="0" applyAlignment="1" applyFont="1">
      <alignment horizontal="left" readingOrder="0"/>
    </xf>
    <xf borderId="2" fillId="0" fontId="20" numFmtId="0" xfId="0" applyAlignment="1" applyBorder="1" applyFont="1">
      <alignment horizontal="left"/>
    </xf>
    <xf borderId="10" fillId="0" fontId="20" numFmtId="0" xfId="0" applyAlignment="1" applyBorder="1" applyFont="1">
      <alignment horizontal="left"/>
    </xf>
    <xf borderId="15" fillId="0" fontId="20" numFmtId="0" xfId="0" applyAlignment="1" applyBorder="1" applyFont="1">
      <alignment horizontal="left" shrinkToFit="0" wrapText="1"/>
    </xf>
    <xf borderId="15" fillId="0" fontId="14" numFmtId="0" xfId="0" applyAlignment="1" applyBorder="1" applyFont="1">
      <alignment horizontal="center" readingOrder="0"/>
    </xf>
    <xf borderId="15" fillId="13" fontId="19" numFmtId="0" xfId="0" applyAlignment="1" applyBorder="1" applyFont="1">
      <alignment horizontal="left" shrinkToFit="0" wrapText="1"/>
    </xf>
    <xf borderId="15" fillId="16" fontId="10" numFmtId="0" xfId="0" applyAlignment="1" applyBorder="1" applyFont="1">
      <alignment horizontal="left" readingOrder="0" shrinkToFit="0" vertical="center" wrapText="1"/>
    </xf>
    <xf borderId="15" fillId="6" fontId="6" numFmtId="0" xfId="0" applyAlignment="1" applyBorder="1" applyFont="1">
      <alignment horizontal="center" readingOrder="0" vertical="center"/>
    </xf>
    <xf borderId="15" fillId="5" fontId="6" numFmtId="0" xfId="0" applyAlignment="1" applyBorder="1" applyFont="1">
      <alignment horizontal="center" readingOrder="0" shrinkToFit="0" vertical="center" wrapText="1"/>
    </xf>
    <xf borderId="15" fillId="16" fontId="6" numFmtId="0" xfId="0" applyAlignment="1" applyBorder="1" applyFont="1">
      <alignment horizontal="center" vertical="center"/>
    </xf>
    <xf borderId="15" fillId="10" fontId="6" numFmtId="0" xfId="0" applyAlignment="1" applyBorder="1" applyFont="1">
      <alignment horizontal="center" vertical="center"/>
    </xf>
    <xf borderId="15" fillId="0" fontId="18" numFmtId="0" xfId="0" applyAlignment="1" applyBorder="1" applyFont="1">
      <alignment horizontal="left" readingOrder="0"/>
    </xf>
    <xf borderId="15" fillId="0" fontId="14" numFmtId="0" xfId="0" applyAlignment="1" applyBorder="1" applyFont="1">
      <alignment readingOrder="0"/>
    </xf>
    <xf borderId="15" fillId="0" fontId="18" numFmtId="0" xfId="0" applyAlignment="1" applyBorder="1" applyFont="1">
      <alignment horizontal="left" vertical="bottom"/>
    </xf>
    <xf borderId="0" fillId="0" fontId="10" numFmtId="3" xfId="0" applyAlignment="1" applyFont="1" applyNumberFormat="1">
      <alignment horizontal="left" readingOrder="0"/>
    </xf>
    <xf borderId="0" fillId="12" fontId="20" numFmtId="0" xfId="0" applyAlignment="1" applyFont="1">
      <alignment horizontal="left" readingOrder="0"/>
    </xf>
    <xf borderId="0" fillId="12" fontId="20" numFmtId="0" xfId="0" applyAlignment="1" applyFont="1">
      <alignment horizontal="left"/>
    </xf>
    <xf borderId="15" fillId="0" fontId="18" numFmtId="0" xfId="0" applyAlignment="1" applyBorder="1" applyFont="1">
      <alignment horizontal="left" readingOrder="0" vertical="bottom"/>
    </xf>
    <xf borderId="0" fillId="0" fontId="20" numFmtId="3" xfId="0" applyAlignment="1" applyFont="1" applyNumberFormat="1">
      <alignment horizontal="left"/>
    </xf>
    <xf borderId="0" fillId="0" fontId="20" numFmtId="0" xfId="0" applyAlignment="1" applyFont="1">
      <alignment horizontal="left" readingOrder="0" shrinkToFit="0" wrapText="1"/>
    </xf>
    <xf borderId="15" fillId="0" fontId="23" numFmtId="0" xfId="0" applyAlignment="1" applyBorder="1" applyFont="1">
      <alignment horizontal="left" readingOrder="0" shrinkToFit="0" wrapText="1"/>
    </xf>
    <xf borderId="0" fillId="0" fontId="18" numFmtId="0" xfId="0" applyAlignment="1" applyFont="1">
      <alignment horizontal="left" readingOrder="0"/>
    </xf>
    <xf borderId="2" fillId="0" fontId="18" numFmtId="0" xfId="0" applyAlignment="1" applyBorder="1" applyFont="1">
      <alignment horizontal="left" readingOrder="0"/>
    </xf>
    <xf borderId="10" fillId="0" fontId="18" numFmtId="0" xfId="0" applyAlignment="1" applyBorder="1" applyFont="1">
      <alignment horizontal="left" readingOrder="0"/>
    </xf>
    <xf borderId="15" fillId="12" fontId="20" numFmtId="0" xfId="0" applyAlignment="1" applyBorder="1" applyFont="1">
      <alignment horizontal="left" readingOrder="0" shrinkToFit="0" wrapText="0"/>
    </xf>
    <xf borderId="15" fillId="0" fontId="18" numFmtId="0" xfId="0" applyAlignment="1" applyBorder="1" applyFont="1">
      <alignment horizontal="center" shrinkToFit="0" vertical="bottom" wrapText="0"/>
    </xf>
    <xf borderId="3" fillId="12" fontId="22" numFmtId="0" xfId="0" applyAlignment="1" applyBorder="1" applyFont="1">
      <alignment horizontal="center" readingOrder="0" shrinkToFit="0" vertical="bottom" wrapText="0"/>
    </xf>
    <xf borderId="15" fillId="12" fontId="22" numFmtId="0" xfId="0" applyAlignment="1" applyBorder="1" applyFont="1">
      <alignment horizontal="left" vertical="bottom"/>
    </xf>
    <xf borderId="15" fillId="12" fontId="22" numFmtId="0" xfId="0" applyAlignment="1" applyBorder="1" applyFont="1">
      <alignment horizontal="center" vertical="bottom"/>
    </xf>
    <xf borderId="3" fillId="12" fontId="22" numFmtId="0" xfId="0" applyAlignment="1" applyBorder="1" applyFont="1">
      <alignment horizontal="center" shrinkToFit="0" vertical="bottom" wrapText="0"/>
    </xf>
    <xf borderId="0" fillId="12" fontId="22" numFmtId="0" xfId="0" applyAlignment="1" applyFont="1">
      <alignment horizontal="left" vertical="bottom"/>
    </xf>
    <xf borderId="0" fillId="12" fontId="22" numFmtId="0" xfId="0" applyAlignment="1" applyFont="1">
      <alignment horizontal="left" readingOrder="0" shrinkToFit="0" vertical="bottom" wrapText="0"/>
    </xf>
    <xf borderId="0" fillId="0" fontId="18" numFmtId="0" xfId="0" applyAlignment="1" applyFont="1">
      <alignment horizontal="center" shrinkToFit="0" vertical="bottom" wrapText="0"/>
    </xf>
    <xf borderId="0" fillId="0" fontId="17" numFmtId="0" xfId="0" applyAlignment="1" applyFont="1">
      <alignment horizontal="left" readingOrder="0" shrinkToFit="0" wrapText="0"/>
    </xf>
    <xf borderId="0" fillId="0" fontId="18" numFmtId="0" xfId="0" applyAlignment="1" applyFont="1">
      <alignment horizontal="left" shrinkToFit="0" vertical="bottom" wrapText="0"/>
    </xf>
    <xf borderId="0" fillId="0" fontId="18" numFmtId="0" xfId="0" applyAlignment="1" applyFont="1">
      <alignment horizontal="left" shrinkToFit="0" wrapText="0"/>
    </xf>
    <xf borderId="0" fillId="5" fontId="10" numFmtId="0" xfId="0" applyAlignment="1" applyFont="1">
      <alignment horizontal="left" readingOrder="0" shrinkToFit="0" vertical="center" wrapText="1"/>
    </xf>
    <xf borderId="0" fillId="6" fontId="10" numFmtId="0" xfId="0" applyAlignment="1" applyFont="1">
      <alignment horizontal="center" vertical="center"/>
    </xf>
    <xf borderId="0" fillId="6" fontId="10" numFmtId="0" xfId="0" applyAlignment="1" applyFont="1">
      <alignment horizontal="left" readingOrder="0" vertical="center"/>
    </xf>
    <xf borderId="0" fillId="2" fontId="10" numFmtId="0" xfId="0" applyAlignment="1" applyFont="1">
      <alignment horizontal="left" vertical="center"/>
    </xf>
    <xf borderId="0" fillId="0" fontId="20" numFmtId="0" xfId="0" applyAlignment="1" applyFont="1">
      <alignment horizontal="left"/>
    </xf>
    <xf borderId="0" fillId="12" fontId="17" numFmtId="0" xfId="0" applyAlignment="1" applyFont="1">
      <alignment horizontal="center"/>
    </xf>
    <xf borderId="2" fillId="13" fontId="19" numFmtId="0" xfId="0" applyAlignment="1" applyBorder="1" applyFont="1">
      <alignment horizontal="center" vertical="center"/>
    </xf>
    <xf borderId="15" fillId="5" fontId="10" numFmtId="0" xfId="0" applyAlignment="1" applyBorder="1" applyFont="1">
      <alignment horizontal="left" readingOrder="0" shrinkToFit="0" vertical="center" wrapText="1"/>
    </xf>
    <xf borderId="2" fillId="5" fontId="6" numFmtId="0" xfId="0" applyAlignment="1" applyBorder="1" applyFont="1">
      <alignment horizontal="center" readingOrder="0" shrinkToFit="0" vertical="center" wrapText="1"/>
    </xf>
    <xf borderId="2" fillId="6" fontId="6" numFmtId="0" xfId="0" applyAlignment="1" applyBorder="1" applyFont="1">
      <alignment horizontal="center" readingOrder="0" vertical="center"/>
    </xf>
    <xf borderId="2" fillId="6" fontId="6" numFmtId="0" xfId="0" applyAlignment="1" applyBorder="1" applyFont="1">
      <alignment horizontal="center" vertical="center"/>
    </xf>
    <xf borderId="2" fillId="2" fontId="6" numFmtId="0" xfId="0" applyAlignment="1" applyBorder="1" applyFont="1">
      <alignment horizontal="center" vertical="center"/>
    </xf>
    <xf borderId="15" fillId="0" fontId="10" numFmtId="9" xfId="0" applyAlignment="1" applyBorder="1" applyFont="1" applyNumberFormat="1">
      <alignment horizontal="left"/>
    </xf>
    <xf borderId="15" fillId="2" fontId="10" numFmtId="0" xfId="0" applyAlignment="1" applyBorder="1" applyFont="1">
      <alignment horizontal="left"/>
    </xf>
    <xf quotePrefix="1" borderId="15" fillId="0" fontId="20" numFmtId="0" xfId="0" applyAlignment="1" applyBorder="1" applyFont="1">
      <alignment horizontal="left"/>
    </xf>
    <xf borderId="15" fillId="12" fontId="21" numFmtId="0" xfId="0" applyAlignment="1" applyBorder="1" applyFont="1">
      <alignment horizontal="left" vertical="bottom"/>
    </xf>
    <xf quotePrefix="1" borderId="0" fillId="0" fontId="20" numFmtId="0" xfId="0" applyAlignment="1" applyFont="1">
      <alignment horizontal="left"/>
    </xf>
    <xf borderId="0" fillId="12" fontId="16" numFmtId="0" xfId="0" applyAlignment="1" applyFont="1">
      <alignment horizontal="left"/>
    </xf>
    <xf borderId="15" fillId="2" fontId="10" numFmtId="0" xfId="0" applyAlignment="1" applyBorder="1" applyFont="1">
      <alignment horizontal="left" readingOrder="0"/>
    </xf>
    <xf borderId="15" fillId="0" fontId="19" numFmtId="0" xfId="0" applyAlignment="1" applyBorder="1" applyFont="1">
      <alignment horizontal="left"/>
    </xf>
    <xf borderId="15" fillId="0" fontId="18" numFmtId="0" xfId="0" applyAlignment="1" applyBorder="1" applyFont="1">
      <alignment horizontal="center" readingOrder="0"/>
    </xf>
    <xf quotePrefix="1" borderId="15" fillId="12" fontId="20" numFmtId="0" xfId="0" applyAlignment="1" applyBorder="1" applyFont="1">
      <alignment horizontal="left"/>
    </xf>
    <xf quotePrefix="1" borderId="15" fillId="0" fontId="18" numFmtId="0" xfId="0" applyAlignment="1" applyBorder="1" applyFont="1">
      <alignment horizontal="left"/>
    </xf>
    <xf borderId="15" fillId="12" fontId="18" numFmtId="0" xfId="0" applyAlignment="1" applyBorder="1" applyFont="1">
      <alignment horizontal="center" readingOrder="0"/>
    </xf>
    <xf quotePrefix="1" borderId="15" fillId="0" fontId="20" numFmtId="3" xfId="0" applyAlignment="1" applyBorder="1" applyFont="1" applyNumberFormat="1">
      <alignment horizontal="left"/>
    </xf>
    <xf quotePrefix="1" borderId="15" fillId="0" fontId="20" numFmtId="1" xfId="0" applyAlignment="1" applyBorder="1" applyFont="1" applyNumberFormat="1">
      <alignment horizontal="left"/>
    </xf>
    <xf borderId="15" fillId="0" fontId="23" numFmtId="0" xfId="0" applyAlignment="1" applyBorder="1" applyFont="1">
      <alignment horizontal="left" shrinkToFit="0" wrapText="1"/>
    </xf>
    <xf borderId="15" fillId="12" fontId="20" numFmtId="0" xfId="0" applyAlignment="1" applyBorder="1" applyFont="1">
      <alignment horizontal="left" shrinkToFit="0" wrapText="1"/>
    </xf>
    <xf borderId="0" fillId="0" fontId="18" numFmtId="0" xfId="0" applyAlignment="1" applyFont="1">
      <alignment horizontal="center" vertical="bottom"/>
    </xf>
    <xf borderId="0" fillId="17" fontId="29" numFmtId="0" xfId="0" applyAlignment="1" applyFill="1" applyFont="1">
      <alignment horizontal="center" readingOrder="0" shrinkToFit="0" vertical="center" wrapText="0"/>
    </xf>
    <xf borderId="0" fillId="0" fontId="1" numFmtId="0" xfId="0" applyAlignment="1" applyFont="1">
      <alignment horizontal="center" shrinkToFit="0" wrapText="0"/>
    </xf>
    <xf borderId="0" fillId="2" fontId="30" numFmtId="0" xfId="0" applyAlignment="1" applyFont="1">
      <alignment horizontal="center" readingOrder="0" shrinkToFit="0" vertical="center" wrapText="1"/>
    </xf>
    <xf borderId="18" fillId="18" fontId="7" numFmtId="0" xfId="0" applyAlignment="1" applyBorder="1" applyFill="1" applyFont="1">
      <alignment horizontal="center" readingOrder="0" shrinkToFit="0" vertical="center" wrapText="0"/>
    </xf>
    <xf borderId="8" fillId="14" fontId="7" numFmtId="0" xfId="0" applyAlignment="1" applyBorder="1" applyFont="1">
      <alignment horizontal="center" readingOrder="0" shrinkToFit="0" vertical="center" wrapText="0"/>
    </xf>
    <xf borderId="8" fillId="5" fontId="10" numFmtId="0" xfId="0" applyAlignment="1" applyBorder="1" applyFont="1">
      <alignment horizontal="center" readingOrder="0" shrinkToFit="0" vertical="center" wrapText="0"/>
    </xf>
    <xf borderId="0" fillId="5" fontId="10" numFmtId="0" xfId="0" applyAlignment="1" applyFont="1">
      <alignment horizontal="center" readingOrder="0" shrinkToFit="0" vertical="center" wrapText="0"/>
    </xf>
    <xf borderId="19" fillId="12" fontId="22" numFmtId="0" xfId="0" applyAlignment="1" applyBorder="1" applyFont="1">
      <alignment horizontal="left" shrinkToFit="0" vertical="bottom" wrapText="0"/>
    </xf>
    <xf borderId="20" fillId="12" fontId="22" numFmtId="0" xfId="0" applyAlignment="1" applyBorder="1" applyFont="1">
      <alignment horizontal="left" shrinkToFit="0" vertical="bottom" wrapText="0"/>
    </xf>
    <xf borderId="21" fillId="12" fontId="22" numFmtId="0" xfId="0" applyAlignment="1" applyBorder="1" applyFont="1">
      <alignment horizontal="left" shrinkToFit="0" vertical="bottom" wrapText="0"/>
    </xf>
    <xf borderId="0" fillId="12" fontId="22" numFmtId="0" xfId="0" applyAlignment="1" applyFont="1">
      <alignment horizontal="left" shrinkToFit="0" vertical="bottom" wrapText="0"/>
    </xf>
    <xf borderId="0" fillId="0" fontId="14" numFmtId="0" xfId="0" applyAlignment="1" applyFont="1">
      <alignment horizontal="left" shrinkToFit="0" wrapText="0"/>
    </xf>
    <xf borderId="19" fillId="12" fontId="16" numFmtId="0" xfId="0" applyAlignment="1" applyBorder="1" applyFont="1">
      <alignment horizontal="left" shrinkToFit="0" wrapText="0"/>
    </xf>
    <xf borderId="20" fillId="12" fontId="16" numFmtId="0" xfId="0" applyAlignment="1" applyBorder="1" applyFont="1">
      <alignment horizontal="left" shrinkToFit="0" wrapText="0"/>
    </xf>
    <xf borderId="21" fillId="12" fontId="16" numFmtId="0" xfId="0" applyAlignment="1" applyBorder="1" applyFont="1">
      <alignment horizontal="left" shrinkToFit="0" wrapText="0"/>
    </xf>
    <xf borderId="0" fillId="12" fontId="16" numFmtId="0" xfId="0" applyAlignment="1" applyFont="1">
      <alignment horizontal="left" shrinkToFit="0" wrapText="0"/>
    </xf>
    <xf borderId="22" fillId="12" fontId="17" numFmtId="0" xfId="0" applyAlignment="1" applyBorder="1" applyFont="1">
      <alignment horizontal="left" shrinkToFit="0" wrapText="0"/>
    </xf>
    <xf borderId="22" fillId="12" fontId="5" numFmtId="0" xfId="0" applyAlignment="1" applyBorder="1" applyFont="1">
      <alignment horizontal="left" shrinkToFit="0" wrapText="0"/>
    </xf>
    <xf borderId="23" fillId="12" fontId="5" numFmtId="0" xfId="0" applyAlignment="1" applyBorder="1" applyFont="1">
      <alignment horizontal="left" shrinkToFit="0" wrapText="0"/>
    </xf>
    <xf borderId="0" fillId="12" fontId="5" numFmtId="0" xfId="0" applyAlignment="1" applyFont="1">
      <alignment horizontal="left" shrinkToFit="0" wrapText="0"/>
    </xf>
    <xf borderId="2" fillId="13" fontId="19" numFmtId="0" xfId="0" applyAlignment="1" applyBorder="1" applyFont="1">
      <alignment horizontal="left" shrinkToFit="0" wrapText="0"/>
    </xf>
    <xf borderId="3" fillId="13" fontId="20" numFmtId="0" xfId="0" applyAlignment="1" applyBorder="1" applyFont="1">
      <alignment horizontal="left" shrinkToFit="0" wrapText="0"/>
    </xf>
    <xf borderId="24" fillId="13" fontId="20" numFmtId="0" xfId="0" applyAlignment="1" applyBorder="1" applyFont="1">
      <alignment horizontal="left" shrinkToFit="0" wrapText="0"/>
    </xf>
    <xf borderId="0" fillId="13" fontId="20" numFmtId="0" xfId="0" applyAlignment="1" applyFont="1">
      <alignment horizontal="left" shrinkToFit="0" wrapText="0"/>
    </xf>
    <xf borderId="6" fillId="13" fontId="19" numFmtId="0" xfId="0" applyAlignment="1" applyBorder="1" applyFont="1">
      <alignment horizontal="left" shrinkToFit="0" wrapText="0"/>
    </xf>
    <xf borderId="18" fillId="18" fontId="7" numFmtId="0" xfId="0" applyAlignment="1" applyBorder="1" applyFont="1">
      <alignment horizontal="left" readingOrder="0" shrinkToFit="0" vertical="center" wrapText="0"/>
    </xf>
    <xf borderId="8" fillId="14" fontId="7" numFmtId="0" xfId="0" applyAlignment="1" applyBorder="1" applyFont="1">
      <alignment horizontal="left" readingOrder="0" shrinkToFit="0" vertical="center" wrapText="0"/>
    </xf>
    <xf borderId="8" fillId="5" fontId="10" numFmtId="0" xfId="0" applyAlignment="1" applyBorder="1" applyFont="1">
      <alignment horizontal="left" readingOrder="0" shrinkToFit="0" vertical="center" wrapText="0"/>
    </xf>
    <xf borderId="0" fillId="5" fontId="10" numFmtId="0" xfId="0" applyAlignment="1" applyFont="1">
      <alignment horizontal="left" readingOrder="0" shrinkToFit="0" vertical="center" wrapText="0"/>
    </xf>
    <xf borderId="10" fillId="13" fontId="19" numFmtId="0" xfId="0" applyAlignment="1" applyBorder="1" applyFont="1">
      <alignment horizontal="left" shrinkToFit="0" wrapText="0"/>
    </xf>
    <xf borderId="25" fillId="18" fontId="7" numFmtId="0" xfId="0" applyAlignment="1" applyBorder="1" applyFont="1">
      <alignment horizontal="left" readingOrder="0" shrinkToFit="0" vertical="center" wrapText="0"/>
    </xf>
    <xf borderId="13" fillId="14" fontId="7" numFmtId="0" xfId="0" applyAlignment="1" applyBorder="1" applyFont="1">
      <alignment horizontal="left" readingOrder="0" shrinkToFit="0" vertical="center" wrapText="0"/>
    </xf>
    <xf borderId="13" fillId="5" fontId="10" numFmtId="0" xfId="0" applyAlignment="1" applyBorder="1" applyFont="1">
      <alignment horizontal="left" readingOrder="0" shrinkToFit="0" vertical="center" wrapText="0"/>
    </xf>
    <xf borderId="15" fillId="0" fontId="20" numFmtId="0" xfId="0" applyAlignment="1" applyBorder="1" applyFont="1">
      <alignment horizontal="left" shrinkToFit="0" wrapText="0"/>
    </xf>
    <xf borderId="15" fillId="0" fontId="5" numFmtId="0" xfId="0" applyAlignment="1" applyBorder="1" applyFont="1">
      <alignment horizontal="left" shrinkToFit="0" vertical="bottom" wrapText="0"/>
    </xf>
    <xf borderId="15" fillId="15" fontId="10" numFmtId="0" xfId="0" applyAlignment="1" applyBorder="1" applyFont="1">
      <alignment horizontal="left" readingOrder="0" shrinkToFit="0" wrapText="0"/>
    </xf>
    <xf borderId="0" fillId="15" fontId="10" numFmtId="0" xfId="0" applyAlignment="1" applyFont="1">
      <alignment horizontal="left" readingOrder="0" shrinkToFit="0" wrapText="0"/>
    </xf>
    <xf borderId="15" fillId="0" fontId="5" numFmtId="0" xfId="0" applyAlignment="1" applyBorder="1" applyFont="1">
      <alignment horizontal="left" readingOrder="0" shrinkToFit="0" vertical="bottom" wrapText="0"/>
    </xf>
    <xf borderId="15" fillId="15" fontId="5" numFmtId="0" xfId="0" applyAlignment="1" applyBorder="1" applyFont="1">
      <alignment horizontal="left" shrinkToFit="0" wrapText="0"/>
    </xf>
    <xf borderId="0" fillId="15" fontId="5" numFmtId="0" xfId="0" applyAlignment="1" applyFont="1">
      <alignment horizontal="left" shrinkToFit="0" wrapText="0"/>
    </xf>
    <xf borderId="15" fillId="15" fontId="5" numFmtId="0" xfId="0" applyAlignment="1" applyBorder="1" applyFont="1">
      <alignment horizontal="left" readingOrder="0" shrinkToFit="0" wrapText="0"/>
    </xf>
    <xf borderId="0" fillId="15" fontId="5" numFmtId="0" xfId="0" applyAlignment="1" applyFont="1">
      <alignment horizontal="left" readingOrder="0" shrinkToFit="0" wrapText="0"/>
    </xf>
    <xf borderId="15" fillId="0" fontId="5" numFmtId="0" xfId="0" applyAlignment="1" applyBorder="1" applyFont="1">
      <alignment horizontal="left" shrinkToFit="0" wrapText="0"/>
    </xf>
    <xf borderId="0" fillId="0" fontId="5" numFmtId="0" xfId="0" applyAlignment="1" applyFont="1">
      <alignment horizontal="left" shrinkToFit="0" wrapText="0"/>
    </xf>
    <xf quotePrefix="1" borderId="0" fillId="0" fontId="20" numFmtId="0" xfId="0" applyAlignment="1" applyFont="1">
      <alignment horizontal="left" shrinkToFit="0" wrapText="0"/>
    </xf>
    <xf borderId="0" fillId="0" fontId="20" numFmtId="0" xfId="0" applyAlignment="1" applyFont="1">
      <alignment horizontal="left" shrinkToFit="0" wrapText="0"/>
    </xf>
    <xf borderId="1" fillId="0" fontId="17" numFmtId="0" xfId="0" applyAlignment="1" applyBorder="1" applyFont="1">
      <alignment horizontal="left" shrinkToFit="0" wrapText="0"/>
    </xf>
    <xf borderId="26" fillId="12" fontId="22" numFmtId="0" xfId="0" applyAlignment="1" applyBorder="1" applyFont="1">
      <alignment horizontal="left" shrinkToFit="0" vertical="bottom" wrapText="0"/>
    </xf>
    <xf borderId="27" fillId="12" fontId="22" numFmtId="0" xfId="0" applyAlignment="1" applyBorder="1" applyFont="1">
      <alignment horizontal="left" shrinkToFit="0" vertical="bottom" wrapText="0"/>
    </xf>
    <xf borderId="28" fillId="12" fontId="22" numFmtId="0" xfId="0" applyAlignment="1" applyBorder="1" applyFont="1">
      <alignment horizontal="left" shrinkToFit="0" vertical="bottom" wrapText="0"/>
    </xf>
    <xf borderId="4" fillId="13" fontId="20" numFmtId="0" xfId="0" applyAlignment="1" applyBorder="1" applyFont="1">
      <alignment horizontal="left" shrinkToFit="0" wrapText="0"/>
    </xf>
    <xf borderId="29" fillId="5" fontId="10" numFmtId="0" xfId="0" applyAlignment="1" applyBorder="1" applyFont="1">
      <alignment horizontal="left" readingOrder="0" shrinkToFit="0" vertical="center" wrapText="0"/>
    </xf>
    <xf borderId="18" fillId="5" fontId="10" numFmtId="0" xfId="0" applyAlignment="1" applyBorder="1" applyFont="1">
      <alignment horizontal="left" readingOrder="0" shrinkToFit="0" vertical="center" wrapText="0"/>
    </xf>
    <xf borderId="2" fillId="0" fontId="14" numFmtId="0" xfId="0" applyAlignment="1" applyBorder="1" applyFont="1">
      <alignment horizontal="left" readingOrder="0" shrinkToFit="0" vertical="center" wrapText="0"/>
    </xf>
    <xf borderId="30" fillId="5" fontId="10" numFmtId="0" xfId="0" applyAlignment="1" applyBorder="1" applyFont="1">
      <alignment horizontal="left" readingOrder="0" shrinkToFit="0" vertical="center" wrapText="0"/>
    </xf>
    <xf borderId="25" fillId="5" fontId="10" numFmtId="0" xfId="0" applyAlignment="1" applyBorder="1" applyFont="1">
      <alignment horizontal="left" readingOrder="0" shrinkToFit="0" vertical="center" wrapText="0"/>
    </xf>
    <xf borderId="10" fillId="0" fontId="14" numFmtId="0" xfId="0" applyAlignment="1" applyBorder="1" applyFont="1">
      <alignment horizontal="left" readingOrder="0" shrinkToFit="0" vertical="center" wrapText="0"/>
    </xf>
    <xf borderId="2" fillId="15" fontId="10" numFmtId="0" xfId="0" applyAlignment="1" applyBorder="1" applyFont="1">
      <alignment horizontal="left" readingOrder="0" shrinkToFit="0" wrapText="0"/>
    </xf>
    <xf borderId="2" fillId="0" fontId="14" numFmtId="0" xfId="0" applyAlignment="1" applyBorder="1" applyFont="1">
      <alignment horizontal="left" readingOrder="0" shrinkToFit="0" wrapText="0"/>
    </xf>
    <xf borderId="6" fillId="15" fontId="10" numFmtId="0" xfId="0" applyAlignment="1" applyBorder="1" applyFont="1">
      <alignment horizontal="left" readingOrder="0" shrinkToFit="0" wrapText="0"/>
    </xf>
    <xf borderId="6" fillId="0" fontId="14" numFmtId="0" xfId="0" applyAlignment="1" applyBorder="1" applyFont="1">
      <alignment horizontal="left" readingOrder="0" shrinkToFit="0" wrapText="0"/>
    </xf>
    <xf borderId="6" fillId="0" fontId="14" numFmtId="0" xfId="0" applyAlignment="1" applyBorder="1" applyFont="1">
      <alignment horizontal="left" shrinkToFit="0" wrapText="0"/>
    </xf>
    <xf borderId="6" fillId="15" fontId="5" numFmtId="0" xfId="0" applyAlignment="1" applyBorder="1" applyFont="1">
      <alignment horizontal="left" readingOrder="0" shrinkToFit="0" wrapText="0"/>
    </xf>
    <xf borderId="6" fillId="15" fontId="5" numFmtId="0" xfId="0" applyAlignment="1" applyBorder="1" applyFont="1">
      <alignment horizontal="left" shrinkToFit="0" wrapText="0"/>
    </xf>
    <xf borderId="10" fillId="15" fontId="5" numFmtId="0" xfId="0" applyAlignment="1" applyBorder="1" applyFont="1">
      <alignment horizontal="left" readingOrder="0" shrinkToFit="0" wrapText="0"/>
    </xf>
    <xf borderId="10" fillId="0" fontId="14" numFmtId="0" xfId="0" applyAlignment="1" applyBorder="1" applyFont="1">
      <alignment horizontal="left" shrinkToFit="0" wrapText="0"/>
    </xf>
    <xf borderId="0" fillId="0" fontId="5" numFmtId="0" xfId="0" applyFont="1"/>
    <xf borderId="17" fillId="12" fontId="17" numFmtId="0" xfId="0" applyAlignment="1" applyBorder="1" applyFont="1">
      <alignment horizontal="left" shrinkToFit="0" wrapText="0"/>
    </xf>
    <xf borderId="17" fillId="12" fontId="5" numFmtId="0" xfId="0" applyAlignment="1" applyBorder="1" applyFont="1">
      <alignment horizontal="left" shrinkToFit="0" wrapText="0"/>
    </xf>
    <xf borderId="2" fillId="13" fontId="19" numFmtId="0" xfId="0" applyAlignment="1" applyBorder="1" applyFont="1">
      <alignment horizontal="center"/>
    </xf>
    <xf borderId="2" fillId="13" fontId="19" numFmtId="0" xfId="0" applyAlignment="1" applyBorder="1" applyFont="1">
      <alignment horizontal="center" shrinkToFit="0" wrapText="1"/>
    </xf>
    <xf borderId="3" fillId="13" fontId="20" numFmtId="0" xfId="0" applyAlignment="1" applyBorder="1" applyFont="1">
      <alignment horizontal="center"/>
    </xf>
    <xf borderId="24" fillId="0" fontId="2" numFmtId="0" xfId="0" applyBorder="1" applyFont="1"/>
    <xf borderId="0" fillId="13" fontId="20" numFmtId="0" xfId="0" applyAlignment="1" applyFont="1">
      <alignment horizontal="center"/>
    </xf>
    <xf borderId="18" fillId="18" fontId="7" numFmtId="0" xfId="0" applyAlignment="1" applyBorder="1" applyFont="1">
      <alignment horizontal="center" readingOrder="0" vertical="center"/>
    </xf>
    <xf borderId="8" fillId="14" fontId="7" numFmtId="0" xfId="0" applyAlignment="1" applyBorder="1" applyFont="1">
      <alignment horizontal="center" readingOrder="0" vertical="center"/>
    </xf>
    <xf borderId="8" fillId="5" fontId="10" numFmtId="0" xfId="0" applyAlignment="1" applyBorder="1" applyFont="1">
      <alignment horizontal="center" readingOrder="0" vertical="center"/>
    </xf>
    <xf borderId="25" fillId="0" fontId="2" numFmtId="0" xfId="0" applyBorder="1" applyFont="1"/>
    <xf borderId="15" fillId="0" fontId="5" numFmtId="0" xfId="0" applyAlignment="1" applyBorder="1" applyFont="1">
      <alignment vertical="bottom"/>
    </xf>
    <xf borderId="15" fillId="0" fontId="5" numFmtId="0" xfId="0" applyAlignment="1" applyBorder="1" applyFont="1">
      <alignment horizontal="right" vertical="bottom"/>
    </xf>
    <xf borderId="15" fillId="0" fontId="5" numFmtId="0" xfId="0" applyAlignment="1" applyBorder="1" applyFont="1">
      <alignment horizontal="center" vertical="bottom"/>
    </xf>
    <xf borderId="15" fillId="15" fontId="5" numFmtId="0" xfId="0" applyAlignment="1" applyBorder="1" applyFont="1">
      <alignment horizontal="center" readingOrder="0"/>
    </xf>
    <xf borderId="0" fillId="15" fontId="5" numFmtId="0" xfId="0" applyAlignment="1" applyFont="1">
      <alignment horizontal="center" readingOrder="0"/>
    </xf>
    <xf borderId="0" fillId="15" fontId="10" numFmtId="0" xfId="0" applyAlignment="1" applyFont="1">
      <alignment horizontal="center" readingOrder="0"/>
    </xf>
    <xf borderId="15" fillId="15" fontId="5" numFmtId="0" xfId="0" applyAlignment="1" applyBorder="1" applyFont="1">
      <alignment horizontal="center"/>
    </xf>
    <xf borderId="0" fillId="15" fontId="5" numFmtId="0" xfId="0" applyAlignment="1" applyFont="1">
      <alignment horizontal="center"/>
    </xf>
    <xf borderId="15" fillId="0" fontId="5" numFmtId="0" xfId="0" applyBorder="1" applyFont="1"/>
    <xf borderId="15" fillId="0" fontId="5" numFmtId="0" xfId="0" applyAlignment="1" applyBorder="1" applyFont="1">
      <alignment horizontal="center"/>
    </xf>
    <xf borderId="15" fillId="12" fontId="5" numFmtId="0" xfId="0" applyBorder="1" applyFont="1"/>
    <xf quotePrefix="1" borderId="0" fillId="0" fontId="20" numFmtId="0" xfId="0" applyAlignment="1" applyFont="1">
      <alignment horizontal="center"/>
    </xf>
    <xf borderId="0" fillId="0" fontId="20" numFmtId="0" xfId="0" applyAlignment="1" applyFont="1">
      <alignment horizontal="center"/>
    </xf>
    <xf borderId="18" fillId="14" fontId="7" numFmtId="0" xfId="0" applyAlignment="1" applyBorder="1" applyFont="1">
      <alignment horizontal="left" readingOrder="0" shrinkToFit="0" vertical="center" wrapText="0"/>
    </xf>
    <xf borderId="31" fillId="13" fontId="19" numFmtId="0" xfId="0" applyAlignment="1" applyBorder="1" applyFont="1">
      <alignment horizontal="left" shrinkToFit="0" wrapText="0"/>
    </xf>
    <xf borderId="25" fillId="14" fontId="7" numFmtId="0" xfId="0" applyAlignment="1" applyBorder="1" applyFont="1">
      <alignment horizontal="left" readingOrder="0" shrinkToFit="0" vertical="center" wrapText="0"/>
    </xf>
    <xf borderId="10" fillId="0" fontId="20" numFmtId="0" xfId="0" applyAlignment="1" applyBorder="1" applyFont="1">
      <alignment horizontal="left" shrinkToFit="0" wrapText="0"/>
    </xf>
    <xf borderId="0" fillId="0" fontId="14" numFmtId="0" xfId="0" applyAlignment="1" applyFont="1">
      <alignment readingOrder="0"/>
    </xf>
    <xf borderId="15" fillId="12" fontId="20" numFmtId="0" xfId="0" applyAlignment="1" applyBorder="1" applyFont="1">
      <alignment horizontal="left" shrinkToFit="0" wrapText="0"/>
    </xf>
    <xf quotePrefix="1" borderId="15" fillId="0" fontId="5" numFmtId="0" xfId="0" applyAlignment="1" applyBorder="1" applyFont="1">
      <alignment horizontal="left" shrinkToFit="0" vertical="bottom" wrapText="0"/>
    </xf>
    <xf borderId="15" fillId="0" fontId="31" numFmtId="0" xfId="0" applyAlignment="1" applyBorder="1" applyFont="1">
      <alignment horizontal="left" shrinkToFit="0" vertical="bottom" wrapText="0"/>
    </xf>
    <xf quotePrefix="1" borderId="15" fillId="0" fontId="31" numFmtId="0" xfId="0" applyAlignment="1" applyBorder="1" applyFont="1">
      <alignment horizontal="left" shrinkToFit="0" vertical="bottom" wrapText="0"/>
    </xf>
    <xf borderId="4" fillId="14" fontId="7" numFmtId="0" xfId="0" applyAlignment="1" applyBorder="1" applyFont="1">
      <alignment horizontal="left" readingOrder="0" shrinkToFit="0" vertical="center" wrapText="0"/>
    </xf>
    <xf borderId="0" fillId="0" fontId="5" numFmtId="0" xfId="0" applyAlignment="1" applyFont="1">
      <alignment vertical="bottom"/>
    </xf>
    <xf borderId="0" fillId="0" fontId="32" numFmtId="0" xfId="0" applyAlignment="1" applyFont="1">
      <alignment horizontal="center" readingOrder="0" vertical="bottom"/>
    </xf>
    <xf borderId="0" fillId="0" fontId="18" numFmtId="0" xfId="0" applyAlignment="1" applyFont="1">
      <alignment vertical="bottom"/>
    </xf>
    <xf borderId="0" fillId="0" fontId="17" numFmtId="0" xfId="0" applyAlignment="1" applyFont="1">
      <alignment vertical="bottom"/>
    </xf>
    <xf borderId="15" fillId="0" fontId="17" numFmtId="0" xfId="0" applyAlignment="1" applyBorder="1" applyFont="1">
      <alignment vertical="bottom"/>
    </xf>
    <xf borderId="15" fillId="0" fontId="17" numFmtId="0" xfId="0" applyAlignment="1" applyBorder="1" applyFont="1">
      <alignment horizontal="center" readingOrder="0" shrinkToFit="0" vertical="bottom" wrapText="1"/>
    </xf>
    <xf borderId="15" fillId="0" fontId="17" numFmtId="0" xfId="0" applyAlignment="1" applyBorder="1" applyFont="1">
      <alignment readingOrder="0" vertical="bottom"/>
    </xf>
    <xf borderId="15" fillId="0" fontId="18" numFmtId="0" xfId="0" applyAlignment="1" applyBorder="1" applyFont="1">
      <alignment vertical="bottom"/>
    </xf>
    <xf borderId="10" fillId="0" fontId="17" numFmtId="0" xfId="0" applyAlignment="1" applyBorder="1" applyFont="1">
      <alignment vertical="bottom"/>
    </xf>
    <xf borderId="6" fillId="0" fontId="17" numFmtId="0" xfId="0" applyAlignment="1" applyBorder="1" applyFont="1">
      <alignment vertical="bottom"/>
    </xf>
    <xf borderId="3" fillId="0" fontId="17" numFmtId="0" xfId="0" applyAlignment="1" applyBorder="1" applyFont="1">
      <alignment vertical="bottom"/>
    </xf>
    <xf borderId="5" fillId="0" fontId="17" numFmtId="0" xfId="0" applyAlignment="1" applyBorder="1" applyFont="1">
      <alignment vertical="bottom"/>
    </xf>
    <xf borderId="15" fillId="0" fontId="33" numFmtId="0" xfId="0" applyAlignment="1" applyBorder="1" applyFont="1">
      <alignment vertical="bottom"/>
    </xf>
    <xf borderId="6" fillId="0" fontId="17" numFmtId="0" xfId="0" applyAlignment="1" applyBorder="1" applyFont="1">
      <alignment horizontal="center"/>
    </xf>
    <xf borderId="15" fillId="0" fontId="34" numFmtId="0" xfId="0" applyAlignment="1" applyBorder="1" applyFont="1">
      <alignment vertical="bottom"/>
    </xf>
    <xf borderId="32" fillId="19" fontId="35" numFmtId="0" xfId="0" applyAlignment="1" applyBorder="1" applyFill="1" applyFont="1">
      <alignment horizontal="left" readingOrder="0" shrinkToFit="0" vertical="center" wrapText="0"/>
    </xf>
    <xf borderId="33" fillId="19" fontId="35" numFmtId="0" xfId="0" applyAlignment="1" applyBorder="1" applyFont="1">
      <alignment horizontal="left" readingOrder="0" shrinkToFit="0" vertical="center" wrapText="0"/>
    </xf>
    <xf borderId="34" fillId="19" fontId="35" numFmtId="0" xfId="0" applyAlignment="1" applyBorder="1" applyFont="1">
      <alignment horizontal="left" readingOrder="0" shrinkToFit="0" vertical="center" wrapText="0"/>
    </xf>
    <xf borderId="0" fillId="19" fontId="35" numFmtId="0" xfId="0" applyAlignment="1" applyFont="1">
      <alignment horizontal="left" readingOrder="0" shrinkToFit="0" vertical="center" wrapText="0"/>
    </xf>
    <xf borderId="35" fillId="20" fontId="36" numFmtId="164" xfId="0" applyAlignment="1" applyBorder="1" applyFill="1" applyFont="1" applyNumberFormat="1">
      <alignment horizontal="right" shrinkToFit="0" vertical="center" wrapText="0"/>
    </xf>
    <xf borderId="36" fillId="20" fontId="36" numFmtId="0" xfId="0" applyAlignment="1" applyBorder="1" applyFont="1">
      <alignment shrinkToFit="0" vertical="center" wrapText="0"/>
    </xf>
    <xf borderId="36" fillId="20" fontId="36" numFmtId="0" xfId="0" applyAlignment="1" applyBorder="1" applyFont="1">
      <alignment readingOrder="0" shrinkToFit="0" vertical="center" wrapText="0"/>
    </xf>
    <xf borderId="36" fillId="20" fontId="36" numFmtId="0" xfId="0" applyAlignment="1" applyBorder="1" applyFont="1">
      <alignment horizontal="right" shrinkToFit="0" vertical="center" wrapText="0"/>
    </xf>
    <xf borderId="37" fillId="20" fontId="36" numFmtId="0" xfId="0" applyAlignment="1" applyBorder="1" applyFont="1">
      <alignment shrinkToFit="0" vertical="center" wrapText="0"/>
    </xf>
    <xf borderId="0" fillId="20" fontId="36" numFmtId="0" xfId="0" applyAlignment="1" applyFont="1">
      <alignment readingOrder="0" shrinkToFit="0" vertical="center" wrapText="0"/>
    </xf>
    <xf borderId="38" fillId="12" fontId="36" numFmtId="164" xfId="0" applyAlignment="1" applyBorder="1" applyFont="1" applyNumberFormat="1">
      <alignment horizontal="right" shrinkToFit="0" vertical="center" wrapText="0"/>
    </xf>
    <xf borderId="39" fillId="12" fontId="36" numFmtId="0" xfId="0" applyAlignment="1" applyBorder="1" applyFont="1">
      <alignment shrinkToFit="0" vertical="center" wrapText="0"/>
    </xf>
    <xf borderId="39" fillId="12" fontId="36" numFmtId="0" xfId="0" applyAlignment="1" applyBorder="1" applyFont="1">
      <alignment readingOrder="0" shrinkToFit="0" vertical="center" wrapText="0"/>
    </xf>
    <xf quotePrefix="1" borderId="39" fillId="12" fontId="36" numFmtId="0" xfId="0" applyAlignment="1" applyBorder="1" applyFont="1">
      <alignment shrinkToFit="0" vertical="center" wrapText="0"/>
    </xf>
    <xf borderId="40" fillId="12" fontId="36" numFmtId="0" xfId="0" applyAlignment="1" applyBorder="1" applyFont="1">
      <alignment shrinkToFit="0" vertical="center" wrapText="0"/>
    </xf>
    <xf borderId="36" fillId="20" fontId="36" numFmtId="0" xfId="0" applyAlignment="1" applyBorder="1" applyFont="1">
      <alignment shrinkToFit="0" vertical="center" wrapText="0"/>
    </xf>
    <xf quotePrefix="1" borderId="36" fillId="20" fontId="36" numFmtId="0" xfId="0" applyAlignment="1" applyBorder="1" applyFont="1">
      <alignment shrinkToFit="0" vertical="center" wrapText="0"/>
    </xf>
    <xf borderId="35" fillId="12" fontId="36" numFmtId="164" xfId="0" applyAlignment="1" applyBorder="1" applyFont="1" applyNumberFormat="1">
      <alignment horizontal="right" shrinkToFit="0" vertical="center" wrapText="0"/>
    </xf>
    <xf borderId="36" fillId="12" fontId="36" numFmtId="0" xfId="0" applyAlignment="1" applyBorder="1" applyFont="1">
      <alignment shrinkToFit="0" vertical="center" wrapText="0"/>
    </xf>
    <xf borderId="36" fillId="12" fontId="36" numFmtId="0" xfId="0" applyAlignment="1" applyBorder="1" applyFont="1">
      <alignment readingOrder="0" shrinkToFit="0" vertical="center" wrapText="0"/>
    </xf>
    <xf quotePrefix="1" borderId="36" fillId="12" fontId="36" numFmtId="0" xfId="0" applyAlignment="1" applyBorder="1" applyFont="1">
      <alignment shrinkToFit="0" vertical="center" wrapText="0"/>
    </xf>
    <xf borderId="37" fillId="12" fontId="36" numFmtId="0" xfId="0" applyAlignment="1" applyBorder="1" applyFont="1">
      <alignment shrinkToFit="0" vertical="center" wrapText="0"/>
    </xf>
    <xf borderId="39" fillId="12" fontId="36" numFmtId="0" xfId="0" applyAlignment="1" applyBorder="1" applyFont="1">
      <alignment shrinkToFit="0" vertical="center" wrapText="0"/>
    </xf>
    <xf borderId="38" fillId="20" fontId="36" numFmtId="164" xfId="0" applyAlignment="1" applyBorder="1" applyFont="1" applyNumberFormat="1">
      <alignment horizontal="right" shrinkToFit="0" vertical="center" wrapText="0"/>
    </xf>
    <xf borderId="39" fillId="20" fontId="36" numFmtId="0" xfId="0" applyAlignment="1" applyBorder="1" applyFont="1">
      <alignment shrinkToFit="0" vertical="center" wrapText="0"/>
    </xf>
    <xf borderId="39" fillId="20" fontId="36" numFmtId="0" xfId="0" applyAlignment="1" applyBorder="1" applyFont="1">
      <alignment readingOrder="0" shrinkToFit="0" vertical="center" wrapText="0"/>
    </xf>
    <xf quotePrefix="1" borderId="39" fillId="20" fontId="36" numFmtId="0" xfId="0" applyAlignment="1" applyBorder="1" applyFont="1">
      <alignment shrinkToFit="0" vertical="center" wrapText="0"/>
    </xf>
    <xf borderId="40" fillId="20" fontId="36" numFmtId="0" xfId="0" applyAlignment="1" applyBorder="1" applyFont="1">
      <alignment shrinkToFit="0" vertical="center" wrapText="0"/>
    </xf>
    <xf borderId="39" fillId="20" fontId="36" numFmtId="0" xfId="0" applyAlignment="1" applyBorder="1" applyFont="1">
      <alignment shrinkToFit="0" vertical="center" wrapText="0"/>
    </xf>
    <xf borderId="36" fillId="12" fontId="36" numFmtId="0" xfId="0" applyAlignment="1" applyBorder="1" applyFont="1">
      <alignment shrinkToFit="0" vertical="center" wrapText="0"/>
    </xf>
    <xf borderId="39" fillId="12" fontId="36" numFmtId="0" xfId="0" applyAlignment="1" applyBorder="1" applyFont="1">
      <alignment horizontal="right" shrinkToFit="0" vertical="center" wrapText="0"/>
    </xf>
    <xf borderId="36" fillId="12" fontId="36" numFmtId="0" xfId="0" applyAlignment="1" applyBorder="1" applyFont="1">
      <alignment readingOrder="0" shrinkToFit="0" vertical="center" wrapText="0"/>
    </xf>
    <xf borderId="37" fillId="12" fontId="36" numFmtId="0" xfId="0" applyAlignment="1" applyBorder="1" applyFont="1">
      <alignment readingOrder="0" shrinkToFit="0" vertical="center" wrapText="0"/>
    </xf>
    <xf borderId="36" fillId="12" fontId="36" numFmtId="0" xfId="0" applyAlignment="1" applyBorder="1" applyFont="1">
      <alignment horizontal="right" shrinkToFit="0" vertical="center" wrapText="0"/>
    </xf>
    <xf borderId="39" fillId="20" fontId="36" numFmtId="0" xfId="0" applyAlignment="1" applyBorder="1" applyFont="1">
      <alignment horizontal="right" shrinkToFit="0" vertical="center" wrapText="0"/>
    </xf>
    <xf borderId="41" fillId="12" fontId="36" numFmtId="164" xfId="0" applyAlignment="1" applyBorder="1" applyFont="1" applyNumberFormat="1">
      <alignment horizontal="right" shrinkToFit="0" vertical="center" wrapText="0"/>
    </xf>
    <xf borderId="42" fillId="12" fontId="36" numFmtId="0" xfId="0" applyAlignment="1" applyBorder="1" applyFont="1">
      <alignment shrinkToFit="0" vertical="center" wrapText="0"/>
    </xf>
    <xf borderId="42" fillId="12" fontId="36" numFmtId="0" xfId="0" applyAlignment="1" applyBorder="1" applyFont="1">
      <alignment readingOrder="0" shrinkToFit="0" vertical="center" wrapText="0"/>
    </xf>
    <xf quotePrefix="1" borderId="42" fillId="12" fontId="36" numFmtId="0" xfId="0" applyAlignment="1" applyBorder="1" applyFont="1">
      <alignment shrinkToFit="0" vertical="center" wrapText="0"/>
    </xf>
    <xf borderId="43" fillId="12" fontId="36" numFmtId="0" xfId="0" applyAlignment="1" applyBorder="1" applyFont="1">
      <alignment shrinkToFit="0" vertical="center" wrapText="0"/>
    </xf>
    <xf borderId="0" fillId="12" fontId="36" numFmtId="0" xfId="0" applyAlignment="1" applyFont="1">
      <alignment shrinkToFit="0" vertical="center" wrapText="0"/>
    </xf>
    <xf borderId="0" fillId="12" fontId="36" numFmtId="0" xfId="0" applyAlignment="1" applyFont="1">
      <alignment readingOrder="0" shrinkToFit="0" vertical="center" wrapText="0"/>
    </xf>
    <xf quotePrefix="1" borderId="0" fillId="12" fontId="36" numFmtId="0" xfId="0" applyAlignment="1" applyFont="1">
      <alignment shrinkToFit="0" vertical="center" wrapText="0"/>
    </xf>
    <xf borderId="0" fillId="0" fontId="17" numFmtId="0" xfId="0" applyAlignment="1" applyFont="1">
      <alignment horizontal="center" shrinkToFit="0" vertical="bottom" wrapText="0"/>
    </xf>
    <xf borderId="15" fillId="0" fontId="20" numFmtId="0" xfId="0" applyAlignment="1" applyBorder="1" applyFont="1">
      <alignment horizontal="center" shrinkToFit="0" vertical="bottom" wrapText="0"/>
    </xf>
    <xf quotePrefix="1" borderId="15" fillId="0" fontId="20" numFmtId="0" xfId="0" applyAlignment="1" applyBorder="1" applyFont="1">
      <alignment horizontal="center" shrinkToFit="0" vertical="bottom" wrapText="0"/>
    </xf>
    <xf borderId="15" fillId="0" fontId="20" numFmtId="0" xfId="0" applyAlignment="1" applyBorder="1" applyFont="1">
      <alignment shrinkToFit="0" vertical="bottom" wrapText="0"/>
    </xf>
    <xf borderId="0" fillId="0" fontId="14" numFmtId="0" xfId="0" applyFont="1"/>
    <xf borderId="0" fillId="0" fontId="20" numFmtId="0" xfId="0" applyAlignment="1" applyFont="1">
      <alignment horizontal="center" shrinkToFit="0" vertical="bottom" wrapText="0"/>
    </xf>
    <xf borderId="0" fillId="0" fontId="20" numFmtId="0" xfId="0" applyAlignment="1" applyFont="1">
      <alignment shrinkToFit="0" vertical="bottom" wrapText="0"/>
    </xf>
    <xf quotePrefix="1" borderId="0" fillId="0" fontId="20" numFmtId="0" xfId="0" applyAlignment="1" applyFont="1">
      <alignment horizontal="center" shrinkToFit="0" vertical="bottom" wrapText="0"/>
    </xf>
    <xf borderId="1" fillId="0" fontId="20" numFmtId="0" xfId="0" applyAlignment="1" applyBorder="1" applyFont="1">
      <alignment horizontal="center" shrinkToFit="0" vertical="bottom" wrapText="0"/>
    </xf>
    <xf quotePrefix="1" borderId="1" fillId="0" fontId="20" numFmtId="0" xfId="0" applyAlignment="1" applyBorder="1" applyFont="1">
      <alignment shrinkToFit="0" vertical="bottom" wrapText="0"/>
    </xf>
    <xf borderId="1" fillId="0" fontId="20" numFmtId="0" xfId="0" applyAlignment="1" applyBorder="1" applyFont="1">
      <alignment shrinkToFit="0" vertical="bottom" wrapText="0"/>
    </xf>
    <xf borderId="26" fillId="0" fontId="20" numFmtId="0" xfId="0" applyAlignment="1" applyBorder="1" applyFont="1">
      <alignment horizontal="center" shrinkToFit="0" vertical="bottom" wrapText="0"/>
    </xf>
    <xf borderId="27" fillId="0" fontId="20" numFmtId="0" xfId="0" applyAlignment="1" applyBorder="1" applyFont="1">
      <alignment horizontal="center" shrinkToFit="0" vertical="bottom" wrapText="0"/>
    </xf>
    <xf quotePrefix="1" borderId="27" fillId="0" fontId="20" numFmtId="0" xfId="0" applyAlignment="1" applyBorder="1" applyFont="1">
      <alignment horizontal="center" shrinkToFit="0" vertical="bottom" wrapText="0"/>
    </xf>
    <xf borderId="27" fillId="0" fontId="20" numFmtId="0" xfId="0" applyAlignment="1" applyBorder="1" applyFont="1">
      <alignment shrinkToFit="0" vertical="bottom" wrapText="0"/>
    </xf>
    <xf borderId="19" fillId="0" fontId="20" numFmtId="0" xfId="0" applyAlignment="1" applyBorder="1" applyFont="1">
      <alignment horizontal="center" shrinkToFit="0" vertical="bottom" wrapText="0"/>
    </xf>
    <xf borderId="20" fillId="0" fontId="20" numFmtId="0" xfId="0" applyAlignment="1" applyBorder="1" applyFont="1">
      <alignment horizontal="center" shrinkToFit="0" vertical="bottom" wrapText="0"/>
    </xf>
    <xf borderId="20" fillId="0" fontId="20" numFmtId="0" xfId="0" applyAlignment="1" applyBorder="1" applyFont="1">
      <alignment shrinkToFit="0" vertical="bottom" wrapText="0"/>
    </xf>
    <xf borderId="22" fillId="0" fontId="20" numFmtId="0" xfId="0" applyAlignment="1" applyBorder="1" applyFont="1">
      <alignment horizontal="center" shrinkToFit="0" vertical="bottom" wrapText="0"/>
    </xf>
    <xf borderId="22" fillId="0" fontId="20" numFmtId="0" xfId="0" applyAlignment="1" applyBorder="1" applyFont="1">
      <alignment shrinkToFit="0" vertical="bottom" wrapText="0"/>
    </xf>
    <xf borderId="2" fillId="0" fontId="20" numFmtId="0" xfId="0" applyAlignment="1" applyBorder="1" applyFont="1">
      <alignment horizontal="center" shrinkToFit="0" vertical="bottom" wrapText="0"/>
    </xf>
    <xf borderId="2" fillId="0" fontId="23" numFmtId="0" xfId="0" applyAlignment="1" applyBorder="1" applyFont="1">
      <alignment shrinkToFit="0" vertical="bottom" wrapText="0"/>
    </xf>
    <xf borderId="6" fillId="0" fontId="20" numFmtId="0" xfId="0" applyAlignment="1" applyBorder="1" applyFont="1">
      <alignment horizontal="center" shrinkToFit="0" vertical="bottom" wrapText="0"/>
    </xf>
    <xf borderId="6" fillId="12" fontId="20" numFmtId="0" xfId="0" applyAlignment="1" applyBorder="1" applyFont="1">
      <alignment horizontal="center" shrinkToFit="0" vertical="bottom" wrapText="0"/>
    </xf>
    <xf borderId="6" fillId="12" fontId="20" numFmtId="0" xfId="0" applyAlignment="1" applyBorder="1" applyFont="1">
      <alignment shrinkToFit="0" vertical="bottom" wrapText="0"/>
    </xf>
    <xf borderId="10" fillId="0" fontId="20" numFmtId="0" xfId="0" applyAlignment="1" applyBorder="1" applyFont="1">
      <alignment horizontal="center" shrinkToFit="0" vertical="bottom" wrapText="0"/>
    </xf>
    <xf borderId="10" fillId="0" fontId="20" numFmtId="0" xfId="0" applyAlignment="1" applyBorder="1" applyFont="1">
      <alignment shrinkToFit="0" vertical="bottom" wrapText="0"/>
    </xf>
    <xf borderId="15" fillId="0" fontId="23" numFmtId="0" xfId="0" applyAlignment="1" applyBorder="1" applyFont="1">
      <alignment shrinkToFit="0" vertical="bottom" wrapText="0"/>
    </xf>
    <xf borderId="15" fillId="12" fontId="20" numFmtId="0" xfId="0" applyAlignment="1" applyBorder="1" applyFont="1">
      <alignment horizontal="center" shrinkToFit="0" vertical="bottom" wrapText="0"/>
    </xf>
    <xf quotePrefix="1" borderId="15" fillId="12" fontId="20" numFmtId="0" xfId="0" applyAlignment="1" applyBorder="1" applyFont="1">
      <alignment horizontal="center" shrinkToFit="0" vertical="bottom" wrapText="0"/>
    </xf>
    <xf borderId="15" fillId="12" fontId="20" numFmtId="0" xfId="0" applyAlignment="1" applyBorder="1" applyFont="1">
      <alignment shrinkToFit="0" vertical="bottom" wrapText="0"/>
    </xf>
    <xf borderId="0" fillId="12" fontId="20" numFmtId="0" xfId="0" applyAlignment="1" applyFont="1">
      <alignment horizontal="center" shrinkToFit="0" vertical="bottom" wrapText="0"/>
    </xf>
    <xf quotePrefix="1" borderId="0" fillId="12" fontId="20" numFmtId="0" xfId="0" applyAlignment="1" applyFont="1">
      <alignment horizontal="center" shrinkToFit="0" vertical="bottom" wrapText="0"/>
    </xf>
    <xf borderId="0" fillId="12" fontId="20" numFmtId="0" xfId="0" applyAlignment="1" applyFont="1">
      <alignment shrinkToFit="0" vertical="bottom" wrapText="0"/>
    </xf>
    <xf quotePrefix="1" borderId="20" fillId="0" fontId="20" numFmtId="0" xfId="0" applyAlignment="1" applyBorder="1" applyFont="1">
      <alignment horizontal="center" shrinkToFit="0" vertical="bottom" wrapText="0"/>
    </xf>
    <xf borderId="2" fillId="0" fontId="20" numFmtId="0" xfId="0" applyAlignment="1" applyBorder="1" applyFont="1">
      <alignment shrinkToFit="0" vertical="bottom" wrapText="0"/>
    </xf>
    <xf quotePrefix="1" borderId="6" fillId="0" fontId="20" numFmtId="0" xfId="0" applyAlignment="1" applyBorder="1" applyFont="1">
      <alignment horizontal="center" shrinkToFit="0" vertical="bottom" wrapText="0"/>
    </xf>
    <xf borderId="6" fillId="0" fontId="20" numFmtId="0" xfId="0" applyAlignment="1" applyBorder="1" applyFont="1">
      <alignment shrinkToFit="0" vertical="bottom" wrapText="0"/>
    </xf>
    <xf borderId="17" fillId="0" fontId="20" numFmtId="0" xfId="0" applyAlignment="1" applyBorder="1" applyFont="1">
      <alignment horizontal="center" shrinkToFit="0" vertical="bottom" wrapText="0"/>
    </xf>
    <xf borderId="0" fillId="0" fontId="18" numFmtId="0" xfId="0" applyAlignment="1" applyFont="1">
      <alignment shrinkToFit="0" vertical="bottom" wrapText="0"/>
    </xf>
    <xf quotePrefix="1" borderId="1" fillId="0" fontId="20" numFmtId="0" xfId="0" applyAlignment="1" applyBorder="1" applyFont="1">
      <alignment horizontal="center" shrinkToFit="0" vertical="bottom" wrapText="0"/>
    </xf>
    <xf borderId="31" fillId="0" fontId="20" numFmtId="0" xfId="0" applyAlignment="1" applyBorder="1" applyFont="1">
      <alignment horizontal="center" shrinkToFit="0" vertical="bottom" wrapText="0"/>
    </xf>
    <xf quotePrefix="1" borderId="15" fillId="0" fontId="20" numFmtId="3" xfId="0" applyAlignment="1" applyBorder="1" applyFont="1" applyNumberFormat="1">
      <alignment horizontal="center" shrinkToFit="0" vertical="bottom" wrapText="0"/>
    </xf>
    <xf borderId="44" fillId="0" fontId="20" numFmtId="0" xfId="0" applyAlignment="1" applyBorder="1" applyFont="1">
      <alignment horizontal="center" shrinkToFit="0" vertical="bottom" wrapText="0"/>
    </xf>
    <xf quotePrefix="1" borderId="22" fillId="0" fontId="20" numFmtId="0" xfId="0" applyAlignment="1" applyBorder="1" applyFont="1">
      <alignment horizontal="center" shrinkToFit="0" vertical="bottom" wrapText="0"/>
    </xf>
    <xf quotePrefix="1" borderId="2" fillId="0" fontId="20" numFmtId="0" xfId="0" applyAlignment="1" applyBorder="1" applyFont="1">
      <alignment horizontal="center" shrinkToFit="0" vertical="bottom" wrapText="0"/>
    </xf>
    <xf quotePrefix="1" borderId="15" fillId="0" fontId="20" numFmtId="0" xfId="0" applyAlignment="1" applyBorder="1" applyFont="1">
      <alignment shrinkToFit="0" vertical="bottom" wrapText="0"/>
    </xf>
    <xf borderId="27" fillId="0" fontId="23" numFmtId="0" xfId="0" applyAlignment="1" applyBorder="1" applyFont="1">
      <alignment shrinkToFit="0" vertical="bottom" wrapText="0"/>
    </xf>
    <xf borderId="45" fillId="0" fontId="20" numFmtId="0" xfId="0" applyAlignment="1" applyBorder="1" applyFont="1">
      <alignment shrinkToFit="0" vertical="bottom" wrapText="0"/>
    </xf>
    <xf borderId="20" fillId="0" fontId="23" numFmtId="0" xfId="0" applyAlignment="1" applyBorder="1" applyFont="1">
      <alignment shrinkToFit="0" vertical="bottom" wrapText="0"/>
    </xf>
    <xf borderId="10" fillId="12" fontId="20" numFmtId="0" xfId="0" applyAlignment="1" applyBorder="1" applyFont="1">
      <alignment horizontal="center" shrinkToFit="0" vertical="bottom" wrapText="0"/>
    </xf>
    <xf borderId="15" fillId="12" fontId="21" numFmtId="0" xfId="0" applyAlignment="1" applyBorder="1" applyFont="1">
      <alignment shrinkToFit="0" vertical="bottom" wrapText="0"/>
    </xf>
    <xf borderId="6" fillId="0" fontId="19" numFmtId="0" xfId="0" applyAlignment="1" applyBorder="1" applyFont="1">
      <alignment horizontal="center" shrinkToFit="0" vertical="bottom" wrapText="0"/>
    </xf>
    <xf borderId="10" fillId="0" fontId="23" numFmtId="0" xfId="0" applyAlignment="1" applyBorder="1" applyFont="1">
      <alignment shrinkToFit="0" vertical="bottom" wrapText="0"/>
    </xf>
    <xf borderId="15" fillId="0" fontId="19" numFmtId="0" xfId="0" applyAlignment="1" applyBorder="1" applyFont="1">
      <alignment horizontal="center" shrinkToFit="0" vertical="bottom" wrapText="0"/>
    </xf>
    <xf borderId="15" fillId="0" fontId="18" numFmtId="0" xfId="0" applyAlignment="1" applyBorder="1" applyFont="1">
      <alignment shrinkToFit="0" vertical="bottom" wrapText="0"/>
    </xf>
    <xf borderId="15" fillId="0" fontId="18" numFmtId="0" xfId="0" applyAlignment="1" applyBorder="1" applyFont="1">
      <alignment horizontal="center" shrinkToFit="0" vertical="bottom" wrapText="0"/>
    </xf>
    <xf quotePrefix="1" borderId="10" fillId="0" fontId="20" numFmtId="0" xfId="0" applyAlignment="1" applyBorder="1" applyFont="1">
      <alignment horizontal="center" shrinkToFit="0" vertical="bottom" wrapText="0"/>
    </xf>
    <xf borderId="15" fillId="0" fontId="20" numFmtId="3" xfId="0" applyAlignment="1" applyBorder="1" applyFont="1" applyNumberFormat="1">
      <alignment horizontal="center" shrinkToFit="0" vertical="bottom" wrapText="0"/>
    </xf>
    <xf quotePrefix="1" borderId="15" fillId="0" fontId="20" numFmtId="1" xfId="0" applyAlignment="1" applyBorder="1" applyFont="1" applyNumberFormat="1">
      <alignment horizontal="center" shrinkToFit="0" vertical="bottom" wrapText="0"/>
    </xf>
    <xf quotePrefix="1" borderId="15" fillId="12" fontId="20" numFmtId="0" xfId="0" applyAlignment="1" applyBorder="1" applyFont="1">
      <alignment shrinkToFit="0" vertical="bottom" wrapText="0"/>
    </xf>
    <xf borderId="0" fillId="0" fontId="20" numFmtId="0" xfId="0" applyAlignment="1" applyFont="1">
      <alignment horizontal="center" readingOrder="0" shrinkToFit="0" vertical="bottom" wrapText="0"/>
    </xf>
    <xf borderId="0" fillId="0" fontId="14" numFmtId="0" xfId="0" applyFont="1"/>
    <xf borderId="1" fillId="0" fontId="1" numFmtId="0" xfId="0" applyAlignment="1" applyBorder="1" applyFont="1">
      <alignment horizontal="center" shrinkToFit="0" wrapText="0"/>
    </xf>
    <xf borderId="0" fillId="0" fontId="6" numFmtId="0" xfId="0" applyAlignment="1" applyFont="1">
      <alignment vertical="bottom"/>
    </xf>
    <xf borderId="0" fillId="0" fontId="10" numFmtId="0" xfId="0" applyAlignment="1" applyFont="1">
      <alignment vertical="bottom"/>
    </xf>
    <xf borderId="2" fillId="0" fontId="6" numFmtId="0" xfId="0" applyAlignment="1" applyBorder="1" applyFont="1">
      <alignment horizontal="center" vertical="center"/>
    </xf>
    <xf borderId="3" fillId="0" fontId="25" numFmtId="0" xfId="0" applyAlignment="1" applyBorder="1" applyFont="1">
      <alignment horizontal="center" readingOrder="0" vertical="center"/>
    </xf>
    <xf borderId="4" fillId="0" fontId="6" numFmtId="0" xfId="0" applyAlignment="1" applyBorder="1" applyFont="1">
      <alignment horizontal="center" vertical="center"/>
    </xf>
    <xf borderId="5" fillId="0" fontId="6" numFmtId="0" xfId="0" applyAlignment="1" applyBorder="1" applyFont="1">
      <alignment horizontal="center" vertical="center"/>
    </xf>
    <xf borderId="4" fillId="14" fontId="7" numFmtId="0" xfId="0" applyAlignment="1" applyBorder="1" applyFont="1">
      <alignment horizontal="center" readingOrder="0" vertical="center"/>
    </xf>
    <xf borderId="8" fillId="6" fontId="10" numFmtId="0" xfId="0" applyAlignment="1" applyBorder="1" applyFont="1">
      <alignment horizontal="center" vertical="center"/>
    </xf>
    <xf borderId="9" fillId="2" fontId="10" numFmtId="0" xfId="0" applyAlignment="1" applyBorder="1" applyFont="1">
      <alignment horizontal="center" vertical="center"/>
    </xf>
    <xf borderId="15" fillId="0" fontId="10" numFmtId="0" xfId="0" applyAlignment="1" applyBorder="1" applyFont="1">
      <alignment horizontal="center"/>
    </xf>
    <xf quotePrefix="1" borderId="15" fillId="0" fontId="10" numFmtId="1" xfId="0" applyAlignment="1" applyBorder="1" applyFont="1" applyNumberFormat="1">
      <alignment vertical="bottom"/>
    </xf>
    <xf borderId="15" fillId="0" fontId="10" numFmtId="0" xfId="0" applyAlignment="1" applyBorder="1" applyFont="1">
      <alignment vertical="top"/>
    </xf>
    <xf borderId="15" fillId="2" fontId="10" numFmtId="0" xfId="0" applyAlignment="1" applyBorder="1" applyFont="1">
      <alignment horizontal="center"/>
    </xf>
    <xf borderId="2" fillId="0" fontId="10" numFmtId="0" xfId="0" applyAlignment="1" applyBorder="1" applyFont="1">
      <alignment horizontal="center"/>
    </xf>
    <xf borderId="2" fillId="15" fontId="10" numFmtId="0" xfId="0" applyAlignment="1" applyBorder="1" applyFont="1">
      <alignment horizontal="center" readingOrder="0"/>
    </xf>
    <xf borderId="0" fillId="0" fontId="5" numFmtId="1" xfId="0" applyAlignment="1" applyFont="1" applyNumberFormat="1">
      <alignment horizontal="center" vertical="bottom"/>
    </xf>
    <xf borderId="0" fillId="21" fontId="4" numFmtId="0" xfId="0" applyAlignment="1" applyFill="1" applyFont="1">
      <alignment vertical="bottom"/>
    </xf>
    <xf borderId="0" fillId="22" fontId="5" numFmtId="1" xfId="0" applyAlignment="1" applyFill="1" applyFont="1" applyNumberFormat="1">
      <alignment horizontal="right" vertical="bottom"/>
    </xf>
    <xf borderId="0" fillId="22" fontId="5" numFmtId="0" xfId="0" applyAlignment="1" applyFont="1">
      <alignment vertical="bottom"/>
    </xf>
    <xf borderId="0" fillId="23" fontId="5" numFmtId="1" xfId="0" applyAlignment="1" applyFill="1" applyFont="1" applyNumberFormat="1">
      <alignment horizontal="right" vertical="bottom"/>
    </xf>
    <xf borderId="0" fillId="23" fontId="5" numFmtId="0" xfId="0" applyAlignment="1" applyFont="1">
      <alignment vertical="bottom"/>
    </xf>
    <xf borderId="0" fillId="0" fontId="5" numFmtId="1" xfId="0" applyAlignment="1" applyFont="1" applyNumberFormat="1">
      <alignment vertical="bottom"/>
    </xf>
    <xf borderId="0" fillId="9" fontId="5" numFmtId="0" xfId="0" applyAlignment="1" applyFont="1">
      <alignment vertical="bottom"/>
    </xf>
  </cellXfs>
  <cellStyles count="1">
    <cellStyle xfId="0" name="Normal" builtinId="0"/>
  </cellStyles>
  <dxfs count="7">
    <dxf>
      <font/>
      <fill>
        <patternFill patternType="solid">
          <fgColor rgb="FFCFE2F3"/>
          <bgColor rgb="FFCFE2F3"/>
        </patternFill>
      </fill>
      <border/>
    </dxf>
    <dxf>
      <font/>
      <fill>
        <patternFill patternType="solid">
          <fgColor rgb="FFEAD1DC"/>
          <bgColor rgb="FFEAD1DC"/>
        </patternFill>
      </fill>
      <border/>
    </dxf>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MasterClas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123825</xdr:rowOff>
    </xdr:from>
    <xdr:ext cx="6762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25" displayName="Tabel1" name="Tabel1" id="1">
  <autoFilter ref="$A$1:$G$125"/>
  <tableColumns count="7">
    <tableColumn name="Timestamp" id="1"/>
    <tableColumn name="Kamu?" id="2"/>
    <tableColumn name="Nama Lengkap Kamu" id="3"/>
    <tableColumn name="Nomor HP" id="4"/>
    <tableColumn name="Kamu Kelas Berapa?" id="5"/>
    <tableColumn name="Kakak Mentor Kamu Siapa?" id="6"/>
    <tableColumn name="Check" id="7"/>
  </tableColumns>
  <tableStyleInfo name="MasterClas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9.86"/>
    <col customWidth="1" min="3" max="3" width="31.14"/>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7" width="5.14"/>
  </cols>
  <sheetData>
    <row r="1" ht="78.0" customHeight="1">
      <c r="A1" s="1" t="s">
        <v>0</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6</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36.0" customHeight="1">
      <c r="A11" s="11"/>
      <c r="B11" s="11"/>
      <c r="C11" s="11"/>
      <c r="D11" s="12"/>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3">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23</v>
      </c>
      <c r="C13" s="32" t="s">
        <v>24</v>
      </c>
      <c r="D13" s="33"/>
      <c r="E13" s="34"/>
      <c r="F13" s="33"/>
      <c r="G13" s="33"/>
      <c r="H13" s="33"/>
      <c r="I13" s="33"/>
      <c r="J13" s="33"/>
      <c r="K13" s="33"/>
      <c r="L13" s="33"/>
      <c r="M13" s="33"/>
      <c r="N13" s="33"/>
      <c r="O13" s="33"/>
      <c r="P13" s="33"/>
      <c r="Q13" s="33"/>
      <c r="R13" s="33"/>
      <c r="S13" s="35" t="str">
        <f t="shared" ref="S13:S59" si="1">AVERAGE(D13:H13)</f>
        <v>#DIV/0!</v>
      </c>
      <c r="T13" s="36" t="str">
        <f t="shared" ref="T13:T59" si="2">AVERAGE(I13:M13)</f>
        <v>#DIV/0!</v>
      </c>
      <c r="U13" s="37" t="str">
        <f t="shared" ref="U13:U59" si="3">AVERAGE(N13:R13)</f>
        <v>#DIV/0!</v>
      </c>
      <c r="V13" s="38"/>
      <c r="W13" s="38" t="str">
        <f t="shared" ref="W13:W59" si="4">AVERAGE(S13:U13)</f>
        <v>#DIV/0!</v>
      </c>
      <c r="X13" s="39" t="str">
        <f t="shared" ref="X13:X59" si="5">ROUND(AVERAGE(V13:W13),0)</f>
        <v>#DIV/0!</v>
      </c>
      <c r="Y13" s="40"/>
      <c r="Z13" s="41">
        <v>1.0</v>
      </c>
      <c r="AA13" s="42" t="str">
        <f t="shared" ref="AA13:AA59" si="6">ROUND(IF((X13*(IF(Y13="A",105%,IF(Y13="B",102%,IF(Y13="C",75%,50%))))*Z13)&gt;100,100,(X13*(IF(Y13="A",105%,IF(Y13="B",102%,IF(Y13="C",75%,50%))))*Z13)),0)</f>
        <v>#DIV/0!</v>
      </c>
    </row>
    <row r="14" ht="14.25" customHeight="1">
      <c r="A14" s="30">
        <v>2.0</v>
      </c>
      <c r="B14" s="31" t="s">
        <v>25</v>
      </c>
      <c r="C14" s="32" t="s">
        <v>26</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row>
    <row r="15" ht="14.25" customHeight="1">
      <c r="A15" s="30">
        <v>3.0</v>
      </c>
      <c r="B15" s="31" t="s">
        <v>27</v>
      </c>
      <c r="C15" s="32" t="s">
        <v>28</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row>
    <row r="16" ht="14.25" customHeight="1">
      <c r="A16" s="30">
        <v>4.0</v>
      </c>
      <c r="B16" s="31" t="s">
        <v>29</v>
      </c>
      <c r="C16" s="32" t="s">
        <v>30</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row>
    <row r="17" ht="14.25" customHeight="1">
      <c r="A17" s="30">
        <v>5.0</v>
      </c>
      <c r="B17" s="31" t="s">
        <v>31</v>
      </c>
      <c r="C17" s="32" t="s">
        <v>32</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row>
    <row r="18" ht="14.25" customHeight="1">
      <c r="A18" s="30">
        <v>6.0</v>
      </c>
      <c r="B18" s="31" t="s">
        <v>33</v>
      </c>
      <c r="C18" s="32" t="s">
        <v>34</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row>
    <row r="19" ht="14.25" customHeight="1">
      <c r="A19" s="30">
        <v>7.0</v>
      </c>
      <c r="B19" s="31" t="s">
        <v>35</v>
      </c>
      <c r="C19" s="32" t="s">
        <v>36</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row>
    <row r="20" ht="14.25" customHeight="1">
      <c r="A20" s="30">
        <v>8.0</v>
      </c>
      <c r="B20" s="31" t="s">
        <v>37</v>
      </c>
      <c r="C20" s="32" t="s">
        <v>38</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row>
    <row r="21" ht="14.25" customHeight="1">
      <c r="A21" s="30">
        <v>9.0</v>
      </c>
      <c r="B21" s="31" t="s">
        <v>39</v>
      </c>
      <c r="C21" s="32" t="s">
        <v>40</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row>
    <row r="22" ht="14.25" customHeight="1">
      <c r="A22" s="30">
        <v>10.0</v>
      </c>
      <c r="B22" s="31" t="s">
        <v>41</v>
      </c>
      <c r="C22" s="32" t="s">
        <v>42</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row>
    <row r="23" ht="14.25" customHeight="1">
      <c r="A23" s="30">
        <v>11.0</v>
      </c>
      <c r="B23" s="31" t="s">
        <v>43</v>
      </c>
      <c r="C23" s="32" t="s">
        <v>44</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row>
    <row r="24" ht="14.25" customHeight="1">
      <c r="A24" s="30">
        <v>12.0</v>
      </c>
      <c r="B24" s="31" t="s">
        <v>45</v>
      </c>
      <c r="C24" s="32" t="s">
        <v>46</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row>
    <row r="25" ht="14.25" customHeight="1">
      <c r="A25" s="30">
        <v>13.0</v>
      </c>
      <c r="B25" s="31" t="s">
        <v>47</v>
      </c>
      <c r="C25" s="32" t="s">
        <v>48</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row>
    <row r="26" ht="14.25" customHeight="1">
      <c r="A26" s="30">
        <v>14.0</v>
      </c>
      <c r="B26" s="31" t="s">
        <v>49</v>
      </c>
      <c r="C26" s="32" t="s">
        <v>50</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row>
    <row r="27" ht="14.25" customHeight="1">
      <c r="A27" s="30">
        <v>15.0</v>
      </c>
      <c r="B27" s="31" t="s">
        <v>51</v>
      </c>
      <c r="C27" s="32" t="s">
        <v>52</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row>
    <row r="28" ht="14.25" customHeight="1">
      <c r="A28" s="30">
        <v>16.0</v>
      </c>
      <c r="B28" s="31" t="s">
        <v>53</v>
      </c>
      <c r="C28" s="32" t="s">
        <v>54</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row>
    <row r="29" ht="14.25" customHeight="1">
      <c r="A29" s="30">
        <v>17.0</v>
      </c>
      <c r="B29" s="31" t="s">
        <v>55</v>
      </c>
      <c r="C29" s="32" t="s">
        <v>56</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row>
    <row r="30" ht="14.25" customHeight="1">
      <c r="A30" s="30">
        <v>18.0</v>
      </c>
      <c r="B30" s="31" t="s">
        <v>57</v>
      </c>
      <c r="C30" s="32" t="s">
        <v>58</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row>
    <row r="31" ht="14.25" customHeight="1">
      <c r="A31" s="30">
        <v>19.0</v>
      </c>
      <c r="B31" s="31" t="s">
        <v>59</v>
      </c>
      <c r="C31" s="32" t="s">
        <v>60</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row>
    <row r="32" ht="14.25" customHeight="1">
      <c r="A32" s="30">
        <v>20.0</v>
      </c>
      <c r="B32" s="31" t="s">
        <v>61</v>
      </c>
      <c r="C32" s="32" t="s">
        <v>62</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row>
    <row r="33" ht="14.25" customHeight="1">
      <c r="A33" s="30">
        <v>21.0</v>
      </c>
      <c r="B33" s="31" t="s">
        <v>63</v>
      </c>
      <c r="C33" s="32" t="s">
        <v>64</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row>
    <row r="34" ht="14.25" customHeight="1">
      <c r="A34" s="30">
        <v>22.0</v>
      </c>
      <c r="B34" s="31" t="s">
        <v>65</v>
      </c>
      <c r="C34" s="32" t="s">
        <v>66</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row>
    <row r="35" ht="14.25" customHeight="1">
      <c r="A35" s="30">
        <v>23.0</v>
      </c>
      <c r="B35" s="31" t="s">
        <v>67</v>
      </c>
      <c r="C35" s="32" t="s">
        <v>68</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row>
    <row r="36" ht="14.25" customHeight="1">
      <c r="A36" s="30">
        <v>24.0</v>
      </c>
      <c r="B36" s="31" t="s">
        <v>69</v>
      </c>
      <c r="C36" s="32" t="s">
        <v>70</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row>
    <row r="37" ht="14.25" customHeight="1">
      <c r="A37" s="30">
        <v>25.0</v>
      </c>
      <c r="B37" s="31" t="s">
        <v>71</v>
      </c>
      <c r="C37" s="32" t="s">
        <v>72</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row>
    <row r="38" ht="14.25" customHeight="1">
      <c r="A38" s="30">
        <v>26.0</v>
      </c>
      <c r="B38" s="31" t="s">
        <v>73</v>
      </c>
      <c r="C38" s="32" t="s">
        <v>74</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row>
    <row r="39" ht="14.25" customHeight="1">
      <c r="A39" s="30">
        <v>27.0</v>
      </c>
      <c r="B39" s="31" t="s">
        <v>75</v>
      </c>
      <c r="C39" s="32" t="s">
        <v>76</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row>
    <row r="40" ht="14.25" customHeight="1">
      <c r="A40" s="30">
        <v>28.0</v>
      </c>
      <c r="B40" s="31" t="s">
        <v>77</v>
      </c>
      <c r="C40" s="32" t="s">
        <v>78</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row>
    <row r="41" ht="14.25" customHeight="1">
      <c r="A41" s="30">
        <v>29.0</v>
      </c>
      <c r="B41" s="31" t="s">
        <v>79</v>
      </c>
      <c r="C41" s="32" t="s">
        <v>80</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row>
    <row r="42" ht="14.25" customHeight="1">
      <c r="A42" s="30">
        <v>30.0</v>
      </c>
      <c r="B42" s="31" t="s">
        <v>81</v>
      </c>
      <c r="C42" s="32" t="s">
        <v>82</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row>
    <row r="43" ht="14.25" customHeight="1">
      <c r="A43" s="30">
        <v>31.0</v>
      </c>
      <c r="B43" s="31" t="s">
        <v>83</v>
      </c>
      <c r="C43" s="32" t="s">
        <v>84</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row>
    <row r="44" ht="14.25" customHeight="1">
      <c r="A44" s="30">
        <v>32.0</v>
      </c>
      <c r="B44" s="31" t="s">
        <v>85</v>
      </c>
      <c r="C44" s="32" t="s">
        <v>86</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row>
    <row r="45" ht="14.25" customHeight="1">
      <c r="A45" s="30">
        <v>33.0</v>
      </c>
      <c r="B45" s="31" t="s">
        <v>87</v>
      </c>
      <c r="C45" s="32" t="s">
        <v>88</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row>
    <row r="46" ht="14.25" customHeight="1">
      <c r="A46" s="43">
        <v>34.0</v>
      </c>
      <c r="B46" s="31" t="s">
        <v>89</v>
      </c>
      <c r="C46" s="32" t="s">
        <v>90</v>
      </c>
      <c r="D46" s="44"/>
      <c r="E46" s="34"/>
      <c r="F46" s="44"/>
      <c r="G46" s="44"/>
      <c r="H46" s="44"/>
      <c r="I46" s="44"/>
      <c r="J46" s="44"/>
      <c r="K46" s="44"/>
      <c r="L46" s="44"/>
      <c r="M46" s="44"/>
      <c r="N46" s="44"/>
      <c r="O46" s="44"/>
      <c r="P46" s="44"/>
      <c r="Q46" s="44"/>
      <c r="R46" s="44"/>
      <c r="S46" s="45" t="str">
        <f t="shared" si="1"/>
        <v>#DIV/0!</v>
      </c>
      <c r="T46" s="46" t="str">
        <f t="shared" si="2"/>
        <v>#DIV/0!</v>
      </c>
      <c r="U46" s="47" t="str">
        <f t="shared" si="3"/>
        <v>#DIV/0!</v>
      </c>
      <c r="V46" s="48"/>
      <c r="W46" s="48" t="str">
        <f t="shared" si="4"/>
        <v>#DIV/0!</v>
      </c>
      <c r="X46" s="49" t="str">
        <f t="shared" si="5"/>
        <v>#DIV/0!</v>
      </c>
      <c r="Y46" s="50"/>
      <c r="Z46" s="51">
        <v>1.0</v>
      </c>
      <c r="AA46" s="52" t="str">
        <f t="shared" si="6"/>
        <v>#DIV/0!</v>
      </c>
    </row>
    <row r="47" ht="14.25" customHeight="1">
      <c r="A47" s="30">
        <v>35.0</v>
      </c>
      <c r="B47" s="31" t="s">
        <v>91</v>
      </c>
      <c r="C47" s="32" t="s">
        <v>92</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row>
    <row r="48" ht="14.25" customHeight="1">
      <c r="A48" s="30">
        <v>36.0</v>
      </c>
      <c r="B48" s="31" t="s">
        <v>93</v>
      </c>
      <c r="C48" s="32" t="s">
        <v>94</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row>
    <row r="49" ht="14.25" customHeight="1">
      <c r="A49" s="30">
        <v>37.0</v>
      </c>
      <c r="B49" s="31" t="s">
        <v>95</v>
      </c>
      <c r="C49" s="32" t="s">
        <v>96</v>
      </c>
      <c r="D49" s="53"/>
      <c r="E49" s="34"/>
      <c r="F49" s="53"/>
      <c r="G49" s="53"/>
      <c r="H49" s="53"/>
      <c r="I49" s="53"/>
      <c r="J49" s="53"/>
      <c r="K49" s="53"/>
      <c r="L49" s="53"/>
      <c r="M49" s="53"/>
      <c r="N49" s="53"/>
      <c r="O49" s="53"/>
      <c r="P49" s="53"/>
      <c r="Q49" s="53"/>
      <c r="R49" s="53"/>
      <c r="S49" s="35" t="str">
        <f t="shared" si="1"/>
        <v>#DIV/0!</v>
      </c>
      <c r="T49" s="36" t="str">
        <f t="shared" si="2"/>
        <v>#DIV/0!</v>
      </c>
      <c r="U49" s="37" t="str">
        <f t="shared" si="3"/>
        <v>#DIV/0!</v>
      </c>
      <c r="V49" s="38"/>
      <c r="W49" s="38" t="str">
        <f t="shared" si="4"/>
        <v>#DIV/0!</v>
      </c>
      <c r="X49" s="39" t="str">
        <f t="shared" si="5"/>
        <v>#DIV/0!</v>
      </c>
      <c r="Y49" s="40"/>
      <c r="Z49" s="41"/>
      <c r="AA49" s="42" t="str">
        <f t="shared" si="6"/>
        <v>#DIV/0!</v>
      </c>
    </row>
    <row r="50" ht="14.25" customHeight="1">
      <c r="A50" s="30">
        <v>38.0</v>
      </c>
      <c r="B50" s="31" t="s">
        <v>97</v>
      </c>
      <c r="C50" s="32" t="s">
        <v>98</v>
      </c>
      <c r="D50" s="53"/>
      <c r="E50" s="34"/>
      <c r="F50" s="53"/>
      <c r="G50" s="53"/>
      <c r="H50" s="53"/>
      <c r="I50" s="53"/>
      <c r="J50" s="53"/>
      <c r="K50" s="53"/>
      <c r="L50" s="53"/>
      <c r="M50" s="53"/>
      <c r="N50" s="53"/>
      <c r="O50" s="53"/>
      <c r="P50" s="53"/>
      <c r="Q50" s="53"/>
      <c r="R50" s="53"/>
      <c r="S50" s="35" t="str">
        <f t="shared" si="1"/>
        <v>#DIV/0!</v>
      </c>
      <c r="T50" s="36" t="str">
        <f t="shared" si="2"/>
        <v>#DIV/0!</v>
      </c>
      <c r="U50" s="37" t="str">
        <f t="shared" si="3"/>
        <v>#DIV/0!</v>
      </c>
      <c r="V50" s="38"/>
      <c r="W50" s="38" t="str">
        <f t="shared" si="4"/>
        <v>#DIV/0!</v>
      </c>
      <c r="X50" s="39" t="str">
        <f t="shared" si="5"/>
        <v>#DIV/0!</v>
      </c>
      <c r="Y50" s="40"/>
      <c r="Z50" s="41"/>
      <c r="AA50" s="42" t="str">
        <f t="shared" si="6"/>
        <v>#DIV/0!</v>
      </c>
    </row>
    <row r="51" ht="14.25" customHeight="1">
      <c r="A51" s="30">
        <v>39.0</v>
      </c>
      <c r="B51" s="31" t="s">
        <v>99</v>
      </c>
      <c r="C51" s="32" t="s">
        <v>100</v>
      </c>
      <c r="D51" s="53"/>
      <c r="E51" s="34"/>
      <c r="F51" s="53"/>
      <c r="G51" s="53"/>
      <c r="H51" s="53"/>
      <c r="I51" s="53"/>
      <c r="J51" s="53"/>
      <c r="K51" s="53"/>
      <c r="L51" s="53"/>
      <c r="M51" s="53"/>
      <c r="N51" s="53"/>
      <c r="O51" s="53"/>
      <c r="P51" s="53"/>
      <c r="Q51" s="53"/>
      <c r="R51" s="53"/>
      <c r="S51" s="35" t="str">
        <f t="shared" si="1"/>
        <v>#DIV/0!</v>
      </c>
      <c r="T51" s="36" t="str">
        <f t="shared" si="2"/>
        <v>#DIV/0!</v>
      </c>
      <c r="U51" s="37" t="str">
        <f t="shared" si="3"/>
        <v>#DIV/0!</v>
      </c>
      <c r="V51" s="38"/>
      <c r="W51" s="38" t="str">
        <f t="shared" si="4"/>
        <v>#DIV/0!</v>
      </c>
      <c r="X51" s="39" t="str">
        <f t="shared" si="5"/>
        <v>#DIV/0!</v>
      </c>
      <c r="Y51" s="40"/>
      <c r="Z51" s="41"/>
      <c r="AA51" s="42" t="str">
        <f t="shared" si="6"/>
        <v>#DIV/0!</v>
      </c>
    </row>
    <row r="52" ht="14.25" customHeight="1">
      <c r="A52" s="30">
        <v>40.0</v>
      </c>
      <c r="B52" s="31" t="s">
        <v>101</v>
      </c>
      <c r="C52" s="32" t="s">
        <v>102</v>
      </c>
      <c r="D52" s="53"/>
      <c r="E52" s="34"/>
      <c r="F52" s="53"/>
      <c r="G52" s="53"/>
      <c r="H52" s="53"/>
      <c r="I52" s="53"/>
      <c r="J52" s="53"/>
      <c r="K52" s="53"/>
      <c r="L52" s="53"/>
      <c r="M52" s="53"/>
      <c r="N52" s="53"/>
      <c r="O52" s="53"/>
      <c r="P52" s="53"/>
      <c r="Q52" s="53"/>
      <c r="R52" s="53"/>
      <c r="S52" s="35" t="str">
        <f t="shared" si="1"/>
        <v>#DIV/0!</v>
      </c>
      <c r="T52" s="36" t="str">
        <f t="shared" si="2"/>
        <v>#DIV/0!</v>
      </c>
      <c r="U52" s="37" t="str">
        <f t="shared" si="3"/>
        <v>#DIV/0!</v>
      </c>
      <c r="V52" s="38"/>
      <c r="W52" s="38" t="str">
        <f t="shared" si="4"/>
        <v>#DIV/0!</v>
      </c>
      <c r="X52" s="39" t="str">
        <f t="shared" si="5"/>
        <v>#DIV/0!</v>
      </c>
      <c r="Y52" s="40"/>
      <c r="Z52" s="41"/>
      <c r="AA52" s="42" t="str">
        <f t="shared" si="6"/>
        <v>#DIV/0!</v>
      </c>
    </row>
    <row r="53" ht="14.25" customHeight="1">
      <c r="A53" s="30">
        <v>41.0</v>
      </c>
      <c r="B53" s="31" t="s">
        <v>103</v>
      </c>
      <c r="C53" s="32" t="s">
        <v>104</v>
      </c>
      <c r="D53" s="53"/>
      <c r="E53" s="34"/>
      <c r="F53" s="53"/>
      <c r="G53" s="53"/>
      <c r="H53" s="53"/>
      <c r="I53" s="53"/>
      <c r="J53" s="53"/>
      <c r="K53" s="53"/>
      <c r="L53" s="53"/>
      <c r="M53" s="53"/>
      <c r="N53" s="53"/>
      <c r="O53" s="53"/>
      <c r="P53" s="53"/>
      <c r="Q53" s="53"/>
      <c r="R53" s="53"/>
      <c r="S53" s="35" t="str">
        <f t="shared" si="1"/>
        <v>#DIV/0!</v>
      </c>
      <c r="T53" s="36" t="str">
        <f t="shared" si="2"/>
        <v>#DIV/0!</v>
      </c>
      <c r="U53" s="37" t="str">
        <f t="shared" si="3"/>
        <v>#DIV/0!</v>
      </c>
      <c r="V53" s="38"/>
      <c r="W53" s="38" t="str">
        <f t="shared" si="4"/>
        <v>#DIV/0!</v>
      </c>
      <c r="X53" s="39" t="str">
        <f t="shared" si="5"/>
        <v>#DIV/0!</v>
      </c>
      <c r="Y53" s="40"/>
      <c r="Z53" s="41"/>
      <c r="AA53" s="42" t="str">
        <f t="shared" si="6"/>
        <v>#DIV/0!</v>
      </c>
    </row>
    <row r="54" ht="14.25" customHeight="1">
      <c r="A54" s="30">
        <v>42.0</v>
      </c>
      <c r="B54" s="31" t="s">
        <v>105</v>
      </c>
      <c r="C54" s="32" t="s">
        <v>106</v>
      </c>
      <c r="D54" s="53"/>
      <c r="E54" s="34"/>
      <c r="F54" s="53"/>
      <c r="G54" s="53"/>
      <c r="H54" s="53"/>
      <c r="I54" s="53"/>
      <c r="J54" s="53"/>
      <c r="K54" s="53"/>
      <c r="L54" s="53"/>
      <c r="M54" s="53"/>
      <c r="N54" s="53"/>
      <c r="O54" s="53"/>
      <c r="P54" s="53"/>
      <c r="Q54" s="53"/>
      <c r="R54" s="53"/>
      <c r="S54" s="35" t="str">
        <f t="shared" si="1"/>
        <v>#DIV/0!</v>
      </c>
      <c r="T54" s="36" t="str">
        <f t="shared" si="2"/>
        <v>#DIV/0!</v>
      </c>
      <c r="U54" s="37" t="str">
        <f t="shared" si="3"/>
        <v>#DIV/0!</v>
      </c>
      <c r="V54" s="38"/>
      <c r="W54" s="38" t="str">
        <f t="shared" si="4"/>
        <v>#DIV/0!</v>
      </c>
      <c r="X54" s="39" t="str">
        <f t="shared" si="5"/>
        <v>#DIV/0!</v>
      </c>
      <c r="Y54" s="40"/>
      <c r="Z54" s="41"/>
      <c r="AA54" s="42" t="str">
        <f t="shared" si="6"/>
        <v>#DIV/0!</v>
      </c>
    </row>
    <row r="55" ht="14.25" customHeight="1">
      <c r="A55" s="30">
        <v>43.0</v>
      </c>
      <c r="B55" s="31" t="s">
        <v>107</v>
      </c>
      <c r="C55" s="32" t="s">
        <v>108</v>
      </c>
      <c r="D55" s="53"/>
      <c r="E55" s="34"/>
      <c r="F55" s="53"/>
      <c r="G55" s="53"/>
      <c r="H55" s="53"/>
      <c r="I55" s="53"/>
      <c r="J55" s="53"/>
      <c r="K55" s="53"/>
      <c r="L55" s="53"/>
      <c r="M55" s="53"/>
      <c r="N55" s="53"/>
      <c r="O55" s="53"/>
      <c r="P55" s="53"/>
      <c r="Q55" s="53"/>
      <c r="R55" s="53"/>
      <c r="S55" s="35" t="str">
        <f t="shared" si="1"/>
        <v>#DIV/0!</v>
      </c>
      <c r="T55" s="36" t="str">
        <f t="shared" si="2"/>
        <v>#DIV/0!</v>
      </c>
      <c r="U55" s="37" t="str">
        <f t="shared" si="3"/>
        <v>#DIV/0!</v>
      </c>
      <c r="V55" s="38"/>
      <c r="W55" s="38" t="str">
        <f t="shared" si="4"/>
        <v>#DIV/0!</v>
      </c>
      <c r="X55" s="39" t="str">
        <f t="shared" si="5"/>
        <v>#DIV/0!</v>
      </c>
      <c r="Y55" s="40"/>
      <c r="Z55" s="41"/>
      <c r="AA55" s="42" t="str">
        <f t="shared" si="6"/>
        <v>#DIV/0!</v>
      </c>
    </row>
    <row r="56" ht="14.25" customHeight="1">
      <c r="A56" s="30">
        <v>44.0</v>
      </c>
      <c r="B56" s="31" t="s">
        <v>109</v>
      </c>
      <c r="C56" s="32" t="s">
        <v>110</v>
      </c>
      <c r="D56" s="53"/>
      <c r="E56" s="34"/>
      <c r="F56" s="53"/>
      <c r="G56" s="53"/>
      <c r="H56" s="53"/>
      <c r="I56" s="53"/>
      <c r="J56" s="53"/>
      <c r="K56" s="53"/>
      <c r="L56" s="53"/>
      <c r="M56" s="53"/>
      <c r="N56" s="53"/>
      <c r="O56" s="53"/>
      <c r="P56" s="53"/>
      <c r="Q56" s="53"/>
      <c r="R56" s="53"/>
      <c r="S56" s="35" t="str">
        <f t="shared" si="1"/>
        <v>#DIV/0!</v>
      </c>
      <c r="T56" s="36" t="str">
        <f t="shared" si="2"/>
        <v>#DIV/0!</v>
      </c>
      <c r="U56" s="37" t="str">
        <f t="shared" si="3"/>
        <v>#DIV/0!</v>
      </c>
      <c r="V56" s="38"/>
      <c r="W56" s="38" t="str">
        <f t="shared" si="4"/>
        <v>#DIV/0!</v>
      </c>
      <c r="X56" s="39" t="str">
        <f t="shared" si="5"/>
        <v>#DIV/0!</v>
      </c>
      <c r="Y56" s="40"/>
      <c r="Z56" s="41"/>
      <c r="AA56" s="42" t="str">
        <f t="shared" si="6"/>
        <v>#DIV/0!</v>
      </c>
    </row>
    <row r="57" ht="14.25" customHeight="1">
      <c r="A57" s="30">
        <v>45.0</v>
      </c>
      <c r="B57" s="31" t="s">
        <v>111</v>
      </c>
      <c r="C57" s="32" t="s">
        <v>112</v>
      </c>
      <c r="D57" s="53"/>
      <c r="E57" s="34"/>
      <c r="F57" s="53"/>
      <c r="G57" s="53"/>
      <c r="H57" s="53"/>
      <c r="I57" s="53"/>
      <c r="J57" s="53"/>
      <c r="K57" s="53"/>
      <c r="L57" s="53"/>
      <c r="M57" s="53"/>
      <c r="N57" s="53"/>
      <c r="O57" s="53"/>
      <c r="P57" s="53"/>
      <c r="Q57" s="53"/>
      <c r="R57" s="53"/>
      <c r="S57" s="35" t="str">
        <f t="shared" si="1"/>
        <v>#DIV/0!</v>
      </c>
      <c r="T57" s="36" t="str">
        <f t="shared" si="2"/>
        <v>#DIV/0!</v>
      </c>
      <c r="U57" s="37" t="str">
        <f t="shared" si="3"/>
        <v>#DIV/0!</v>
      </c>
      <c r="V57" s="38"/>
      <c r="W57" s="38" t="str">
        <f t="shared" si="4"/>
        <v>#DIV/0!</v>
      </c>
      <c r="X57" s="39" t="str">
        <f t="shared" si="5"/>
        <v>#DIV/0!</v>
      </c>
      <c r="Y57" s="40"/>
      <c r="Z57" s="41"/>
      <c r="AA57" s="42" t="str">
        <f t="shared" si="6"/>
        <v>#DIV/0!</v>
      </c>
    </row>
    <row r="58" ht="14.25" customHeight="1">
      <c r="A58" s="30">
        <v>46.0</v>
      </c>
      <c r="B58" s="31" t="s">
        <v>113</v>
      </c>
      <c r="C58" s="32" t="s">
        <v>114</v>
      </c>
      <c r="D58" s="53"/>
      <c r="E58" s="34"/>
      <c r="F58" s="53"/>
      <c r="G58" s="53"/>
      <c r="H58" s="53"/>
      <c r="I58" s="53"/>
      <c r="J58" s="53"/>
      <c r="K58" s="53"/>
      <c r="L58" s="53"/>
      <c r="M58" s="53"/>
      <c r="N58" s="53"/>
      <c r="O58" s="53"/>
      <c r="P58" s="53"/>
      <c r="Q58" s="53"/>
      <c r="R58" s="53"/>
      <c r="S58" s="35" t="str">
        <f t="shared" si="1"/>
        <v>#DIV/0!</v>
      </c>
      <c r="T58" s="36" t="str">
        <f t="shared" si="2"/>
        <v>#DIV/0!</v>
      </c>
      <c r="U58" s="37" t="str">
        <f t="shared" si="3"/>
        <v>#DIV/0!</v>
      </c>
      <c r="V58" s="38"/>
      <c r="W58" s="38" t="str">
        <f t="shared" si="4"/>
        <v>#DIV/0!</v>
      </c>
      <c r="X58" s="39" t="str">
        <f t="shared" si="5"/>
        <v>#DIV/0!</v>
      </c>
      <c r="Y58" s="40"/>
      <c r="Z58" s="41"/>
      <c r="AA58" s="42" t="str">
        <f t="shared" si="6"/>
        <v>#DIV/0!</v>
      </c>
    </row>
    <row r="59" ht="14.25" customHeight="1">
      <c r="A59" s="30">
        <v>47.0</v>
      </c>
      <c r="B59" s="31" t="s">
        <v>115</v>
      </c>
      <c r="C59" s="32" t="s">
        <v>116</v>
      </c>
      <c r="D59" s="53"/>
      <c r="E59" s="34"/>
      <c r="F59" s="53"/>
      <c r="G59" s="53"/>
      <c r="H59" s="53"/>
      <c r="I59" s="53"/>
      <c r="J59" s="53"/>
      <c r="K59" s="53"/>
      <c r="L59" s="53"/>
      <c r="M59" s="53"/>
      <c r="N59" s="53"/>
      <c r="O59" s="53"/>
      <c r="P59" s="53"/>
      <c r="Q59" s="53"/>
      <c r="R59" s="53"/>
      <c r="S59" s="35" t="str">
        <f t="shared" si="1"/>
        <v>#DIV/0!</v>
      </c>
      <c r="T59" s="36" t="str">
        <f t="shared" si="2"/>
        <v>#DIV/0!</v>
      </c>
      <c r="U59" s="37" t="str">
        <f t="shared" si="3"/>
        <v>#DIV/0!</v>
      </c>
      <c r="V59" s="38"/>
      <c r="W59" s="38" t="str">
        <f t="shared" si="4"/>
        <v>#DIV/0!</v>
      </c>
      <c r="X59" s="39" t="str">
        <f t="shared" si="5"/>
        <v>#DIV/0!</v>
      </c>
      <c r="Y59" s="40"/>
      <c r="Z59" s="41"/>
      <c r="AA59" s="42" t="str">
        <f t="shared" si="6"/>
        <v>#DIV/0!</v>
      </c>
    </row>
    <row r="60" ht="14.25" customHeight="1"/>
    <row r="61" ht="14.25" customHeight="1">
      <c r="Y61" s="54" t="s">
        <v>117</v>
      </c>
      <c r="AA61" s="54"/>
    </row>
    <row r="62" ht="14.25" customHeight="1">
      <c r="Y62" s="54" t="s">
        <v>118</v>
      </c>
    </row>
    <row r="63" ht="14.25" customHeight="1">
      <c r="Y63" s="54" t="s">
        <v>119</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21.71"/>
    <col customWidth="1" min="3" max="3" width="38.71"/>
    <col customWidth="1" min="4" max="4" width="4.86"/>
    <col customWidth="1" min="5" max="5" width="5.43"/>
    <col customWidth="1" min="6" max="6" width="5.14"/>
  </cols>
  <sheetData>
    <row r="1" ht="78.0" customHeight="1">
      <c r="A1" s="1" t="s">
        <v>120</v>
      </c>
      <c r="B1" s="2"/>
      <c r="C1" s="2"/>
      <c r="D1" s="2"/>
      <c r="E1" s="2"/>
      <c r="F1" s="2"/>
    </row>
    <row r="2" ht="9.0" customHeight="1"/>
    <row r="3" ht="14.25" customHeight="1">
      <c r="A3" s="3" t="s">
        <v>1</v>
      </c>
    </row>
    <row r="4" ht="14.25" customHeight="1">
      <c r="A4" s="3" t="s">
        <v>2</v>
      </c>
    </row>
    <row r="5" ht="3.75" customHeight="1">
      <c r="B5" s="4"/>
    </row>
    <row r="6" ht="14.25" customHeight="1">
      <c r="A6" s="4" t="s">
        <v>3</v>
      </c>
      <c r="C6" s="5" t="s">
        <v>4</v>
      </c>
    </row>
    <row r="7" ht="14.25" customHeight="1">
      <c r="A7" s="4" t="s">
        <v>5</v>
      </c>
      <c r="C7" s="5" t="s">
        <v>121</v>
      </c>
    </row>
    <row r="8" ht="14.25" customHeight="1">
      <c r="A8" s="4" t="s">
        <v>7</v>
      </c>
      <c r="C8" s="5" t="s">
        <v>8</v>
      </c>
    </row>
    <row r="9" ht="14.25" customHeight="1"/>
    <row r="10" ht="14.25" customHeight="1">
      <c r="A10" s="6" t="s">
        <v>9</v>
      </c>
      <c r="B10" s="6" t="s">
        <v>10</v>
      </c>
      <c r="C10" s="7" t="s">
        <v>11</v>
      </c>
      <c r="D10" s="8"/>
      <c r="E10" s="9"/>
      <c r="F10" s="10"/>
    </row>
    <row r="11" ht="32.25" customHeight="1">
      <c r="A11" s="11"/>
      <c r="B11" s="11"/>
      <c r="C11" s="11"/>
      <c r="D11" s="55" t="s">
        <v>122</v>
      </c>
      <c r="E11" s="18" t="s">
        <v>18</v>
      </c>
      <c r="F11" s="19" t="s">
        <v>19</v>
      </c>
    </row>
    <row r="12" ht="15.75" customHeight="1">
      <c r="A12" s="20"/>
      <c r="B12" s="20"/>
      <c r="C12" s="20"/>
      <c r="D12" s="28"/>
      <c r="E12" s="28"/>
      <c r="F12" s="29"/>
    </row>
    <row r="13" ht="14.25" customHeight="1">
      <c r="A13" s="30">
        <v>1.0</v>
      </c>
      <c r="B13" s="31" t="s">
        <v>123</v>
      </c>
      <c r="C13" s="32" t="s">
        <v>124</v>
      </c>
      <c r="D13" s="56">
        <v>3.0</v>
      </c>
      <c r="E13" s="41">
        <f t="shared" ref="E13:E59" si="1">D13/5</f>
        <v>0.6</v>
      </c>
      <c r="F13" s="42" t="str">
        <f t="shared" ref="F13:F59" si="2">if(E13&gt;=50%,"A","B")</f>
        <v>A</v>
      </c>
    </row>
    <row r="14" ht="14.25" customHeight="1">
      <c r="A14" s="30">
        <v>2.0</v>
      </c>
      <c r="B14" s="31" t="s">
        <v>125</v>
      </c>
      <c r="C14" s="32" t="s">
        <v>126</v>
      </c>
      <c r="D14" s="56">
        <v>2.0</v>
      </c>
      <c r="E14" s="41">
        <f t="shared" si="1"/>
        <v>0.4</v>
      </c>
      <c r="F14" s="42" t="str">
        <f t="shared" si="2"/>
        <v>B</v>
      </c>
    </row>
    <row r="15" ht="14.25" customHeight="1">
      <c r="A15" s="30">
        <v>3.0</v>
      </c>
      <c r="B15" s="31" t="s">
        <v>127</v>
      </c>
      <c r="C15" s="32" t="s">
        <v>128</v>
      </c>
      <c r="D15" s="56">
        <v>1.0</v>
      </c>
      <c r="E15" s="41">
        <f t="shared" si="1"/>
        <v>0.2</v>
      </c>
      <c r="F15" s="42" t="str">
        <f t="shared" si="2"/>
        <v>B</v>
      </c>
    </row>
    <row r="16" ht="14.25" customHeight="1">
      <c r="A16" s="30">
        <v>4.0</v>
      </c>
      <c r="B16" s="31" t="s">
        <v>129</v>
      </c>
      <c r="C16" s="32" t="s">
        <v>130</v>
      </c>
      <c r="D16" s="56">
        <v>3.0</v>
      </c>
      <c r="E16" s="41">
        <f t="shared" si="1"/>
        <v>0.6</v>
      </c>
      <c r="F16" s="42" t="str">
        <f t="shared" si="2"/>
        <v>A</v>
      </c>
    </row>
    <row r="17" ht="14.25" customHeight="1">
      <c r="A17" s="30">
        <v>5.0</v>
      </c>
      <c r="B17" s="31" t="s">
        <v>131</v>
      </c>
      <c r="C17" s="32" t="s">
        <v>132</v>
      </c>
      <c r="D17" s="56">
        <v>1.0</v>
      </c>
      <c r="E17" s="41">
        <f t="shared" si="1"/>
        <v>0.2</v>
      </c>
      <c r="F17" s="42" t="str">
        <f t="shared" si="2"/>
        <v>B</v>
      </c>
    </row>
    <row r="18" ht="14.25" customHeight="1">
      <c r="A18" s="30">
        <v>6.0</v>
      </c>
      <c r="B18" s="31" t="s">
        <v>133</v>
      </c>
      <c r="C18" s="32" t="s">
        <v>134</v>
      </c>
      <c r="D18" s="56">
        <v>2.0</v>
      </c>
      <c r="E18" s="41">
        <f t="shared" si="1"/>
        <v>0.4</v>
      </c>
      <c r="F18" s="42" t="str">
        <f t="shared" si="2"/>
        <v>B</v>
      </c>
    </row>
    <row r="19" ht="14.25" customHeight="1">
      <c r="A19" s="30">
        <v>7.0</v>
      </c>
      <c r="B19" s="31" t="s">
        <v>135</v>
      </c>
      <c r="C19" s="32" t="s">
        <v>136</v>
      </c>
      <c r="D19" s="56">
        <v>1.0</v>
      </c>
      <c r="E19" s="41">
        <f t="shared" si="1"/>
        <v>0.2</v>
      </c>
      <c r="F19" s="42" t="str">
        <f t="shared" si="2"/>
        <v>B</v>
      </c>
    </row>
    <row r="20" ht="14.25" customHeight="1">
      <c r="A20" s="30">
        <v>8.0</v>
      </c>
      <c r="B20" s="31" t="s">
        <v>137</v>
      </c>
      <c r="C20" s="32" t="s">
        <v>138</v>
      </c>
      <c r="D20" s="56">
        <v>2.0</v>
      </c>
      <c r="E20" s="41">
        <f t="shared" si="1"/>
        <v>0.4</v>
      </c>
      <c r="F20" s="42" t="str">
        <f t="shared" si="2"/>
        <v>B</v>
      </c>
    </row>
    <row r="21" ht="14.25" customHeight="1">
      <c r="A21" s="30">
        <v>9.0</v>
      </c>
      <c r="B21" s="31" t="s">
        <v>139</v>
      </c>
      <c r="C21" s="32" t="s">
        <v>140</v>
      </c>
      <c r="D21" s="56">
        <v>2.0</v>
      </c>
      <c r="E21" s="41">
        <f t="shared" si="1"/>
        <v>0.4</v>
      </c>
      <c r="F21" s="42" t="str">
        <f t="shared" si="2"/>
        <v>B</v>
      </c>
    </row>
    <row r="22" ht="14.25" customHeight="1">
      <c r="A22" s="30">
        <v>10.0</v>
      </c>
      <c r="B22" s="31" t="s">
        <v>141</v>
      </c>
      <c r="C22" s="32" t="s">
        <v>142</v>
      </c>
      <c r="D22" s="56">
        <v>0.0</v>
      </c>
      <c r="E22" s="41">
        <f t="shared" si="1"/>
        <v>0</v>
      </c>
      <c r="F22" s="42" t="str">
        <f t="shared" si="2"/>
        <v>B</v>
      </c>
    </row>
    <row r="23" ht="14.25" customHeight="1">
      <c r="A23" s="30">
        <v>11.0</v>
      </c>
      <c r="B23" s="31" t="s">
        <v>143</v>
      </c>
      <c r="C23" s="32" t="s">
        <v>144</v>
      </c>
      <c r="D23" s="56">
        <v>2.0</v>
      </c>
      <c r="E23" s="41">
        <f t="shared" si="1"/>
        <v>0.4</v>
      </c>
      <c r="F23" s="42" t="str">
        <f t="shared" si="2"/>
        <v>B</v>
      </c>
    </row>
    <row r="24" ht="14.25" customHeight="1">
      <c r="A24" s="30">
        <v>12.0</v>
      </c>
      <c r="B24" s="31" t="s">
        <v>145</v>
      </c>
      <c r="C24" s="32" t="s">
        <v>146</v>
      </c>
      <c r="D24" s="56">
        <v>3.0</v>
      </c>
      <c r="E24" s="41">
        <f t="shared" si="1"/>
        <v>0.6</v>
      </c>
      <c r="F24" s="42" t="str">
        <f t="shared" si="2"/>
        <v>A</v>
      </c>
    </row>
    <row r="25" ht="14.25" customHeight="1">
      <c r="A25" s="30">
        <v>13.0</v>
      </c>
      <c r="B25" s="31" t="s">
        <v>147</v>
      </c>
      <c r="C25" s="32" t="s">
        <v>148</v>
      </c>
      <c r="D25" s="56">
        <v>1.0</v>
      </c>
      <c r="E25" s="41">
        <f t="shared" si="1"/>
        <v>0.2</v>
      </c>
      <c r="F25" s="42" t="str">
        <f t="shared" si="2"/>
        <v>B</v>
      </c>
    </row>
    <row r="26" ht="14.25" customHeight="1">
      <c r="A26" s="30">
        <v>14.0</v>
      </c>
      <c r="B26" s="31" t="s">
        <v>149</v>
      </c>
      <c r="C26" s="32" t="s">
        <v>150</v>
      </c>
      <c r="D26" s="56">
        <v>3.0</v>
      </c>
      <c r="E26" s="41">
        <f t="shared" si="1"/>
        <v>0.6</v>
      </c>
      <c r="F26" s="42" t="str">
        <f t="shared" si="2"/>
        <v>A</v>
      </c>
    </row>
    <row r="27" ht="14.25" customHeight="1">
      <c r="A27" s="30">
        <v>15.0</v>
      </c>
      <c r="B27" s="31" t="s">
        <v>151</v>
      </c>
      <c r="C27" s="32" t="s">
        <v>152</v>
      </c>
      <c r="D27" s="56">
        <v>1.0</v>
      </c>
      <c r="E27" s="41">
        <f t="shared" si="1"/>
        <v>0.2</v>
      </c>
      <c r="F27" s="42" t="str">
        <f t="shared" si="2"/>
        <v>B</v>
      </c>
    </row>
    <row r="28" ht="14.25" customHeight="1">
      <c r="A28" s="30">
        <v>16.0</v>
      </c>
      <c r="B28" s="31" t="s">
        <v>153</v>
      </c>
      <c r="C28" s="32" t="s">
        <v>154</v>
      </c>
      <c r="D28" s="56">
        <v>3.0</v>
      </c>
      <c r="E28" s="41">
        <f t="shared" si="1"/>
        <v>0.6</v>
      </c>
      <c r="F28" s="42" t="str">
        <f t="shared" si="2"/>
        <v>A</v>
      </c>
    </row>
    <row r="29" ht="14.25" customHeight="1">
      <c r="A29" s="30">
        <v>17.0</v>
      </c>
      <c r="B29" s="31" t="s">
        <v>155</v>
      </c>
      <c r="C29" s="32" t="s">
        <v>156</v>
      </c>
      <c r="D29" s="56">
        <v>1.0</v>
      </c>
      <c r="E29" s="41">
        <f t="shared" si="1"/>
        <v>0.2</v>
      </c>
      <c r="F29" s="42" t="str">
        <f t="shared" si="2"/>
        <v>B</v>
      </c>
    </row>
    <row r="30" ht="14.25" customHeight="1">
      <c r="A30" s="30">
        <v>18.0</v>
      </c>
      <c r="B30" s="31" t="s">
        <v>157</v>
      </c>
      <c r="C30" s="32" t="s">
        <v>158</v>
      </c>
      <c r="D30" s="56">
        <v>2.0</v>
      </c>
      <c r="E30" s="41">
        <f t="shared" si="1"/>
        <v>0.4</v>
      </c>
      <c r="F30" s="42" t="str">
        <f t="shared" si="2"/>
        <v>B</v>
      </c>
    </row>
    <row r="31" ht="14.25" customHeight="1">
      <c r="A31" s="30">
        <v>19.0</v>
      </c>
      <c r="B31" s="31" t="s">
        <v>159</v>
      </c>
      <c r="C31" s="32" t="s">
        <v>160</v>
      </c>
      <c r="D31" s="56">
        <v>2.0</v>
      </c>
      <c r="E31" s="41">
        <f t="shared" si="1"/>
        <v>0.4</v>
      </c>
      <c r="F31" s="42" t="str">
        <f t="shared" si="2"/>
        <v>B</v>
      </c>
    </row>
    <row r="32" ht="14.25" customHeight="1">
      <c r="A32" s="30">
        <v>20.0</v>
      </c>
      <c r="B32" s="31" t="s">
        <v>161</v>
      </c>
      <c r="C32" s="32" t="s">
        <v>162</v>
      </c>
      <c r="D32" s="56">
        <v>0.0</v>
      </c>
      <c r="E32" s="41">
        <f t="shared" si="1"/>
        <v>0</v>
      </c>
      <c r="F32" s="42" t="str">
        <f t="shared" si="2"/>
        <v>B</v>
      </c>
    </row>
    <row r="33" ht="14.25" customHeight="1">
      <c r="A33" s="30">
        <v>21.0</v>
      </c>
      <c r="B33" s="31" t="s">
        <v>163</v>
      </c>
      <c r="C33" s="32" t="s">
        <v>164</v>
      </c>
      <c r="D33" s="56">
        <v>0.0</v>
      </c>
      <c r="E33" s="41">
        <f t="shared" si="1"/>
        <v>0</v>
      </c>
      <c r="F33" s="42" t="str">
        <f t="shared" si="2"/>
        <v>B</v>
      </c>
    </row>
    <row r="34" ht="14.25" customHeight="1">
      <c r="A34" s="30">
        <v>22.0</v>
      </c>
      <c r="B34" s="31" t="s">
        <v>165</v>
      </c>
      <c r="C34" s="32" t="s">
        <v>166</v>
      </c>
      <c r="D34" s="56">
        <v>0.0</v>
      </c>
      <c r="E34" s="41">
        <f t="shared" si="1"/>
        <v>0</v>
      </c>
      <c r="F34" s="42" t="str">
        <f t="shared" si="2"/>
        <v>B</v>
      </c>
    </row>
    <row r="35" ht="14.25" customHeight="1">
      <c r="A35" s="30">
        <v>23.0</v>
      </c>
      <c r="B35" s="31" t="s">
        <v>167</v>
      </c>
      <c r="C35" s="32" t="s">
        <v>168</v>
      </c>
      <c r="D35" s="56">
        <v>0.0</v>
      </c>
      <c r="E35" s="41">
        <f t="shared" si="1"/>
        <v>0</v>
      </c>
      <c r="F35" s="42" t="str">
        <f t="shared" si="2"/>
        <v>B</v>
      </c>
    </row>
    <row r="36" ht="14.25" customHeight="1">
      <c r="A36" s="30">
        <v>24.0</v>
      </c>
      <c r="B36" s="31" t="s">
        <v>169</v>
      </c>
      <c r="C36" s="32" t="s">
        <v>170</v>
      </c>
      <c r="D36" s="56">
        <v>0.0</v>
      </c>
      <c r="E36" s="41">
        <f t="shared" si="1"/>
        <v>0</v>
      </c>
      <c r="F36" s="42" t="str">
        <f t="shared" si="2"/>
        <v>B</v>
      </c>
    </row>
    <row r="37" ht="14.25" customHeight="1">
      <c r="A37" s="30">
        <v>25.0</v>
      </c>
      <c r="B37" s="31" t="s">
        <v>171</v>
      </c>
      <c r="C37" s="32" t="s">
        <v>172</v>
      </c>
      <c r="D37" s="56">
        <v>0.0</v>
      </c>
      <c r="E37" s="41">
        <f t="shared" si="1"/>
        <v>0</v>
      </c>
      <c r="F37" s="42" t="str">
        <f t="shared" si="2"/>
        <v>B</v>
      </c>
    </row>
    <row r="38" ht="14.25" customHeight="1">
      <c r="A38" s="30">
        <v>26.0</v>
      </c>
      <c r="B38" s="31" t="s">
        <v>173</v>
      </c>
      <c r="C38" s="32" t="s">
        <v>174</v>
      </c>
      <c r="D38" s="56">
        <v>0.0</v>
      </c>
      <c r="E38" s="41">
        <f t="shared" si="1"/>
        <v>0</v>
      </c>
      <c r="F38" s="42" t="str">
        <f t="shared" si="2"/>
        <v>B</v>
      </c>
    </row>
    <row r="39" ht="14.25" customHeight="1">
      <c r="A39" s="30">
        <v>27.0</v>
      </c>
      <c r="B39" s="31" t="s">
        <v>175</v>
      </c>
      <c r="C39" s="32" t="s">
        <v>176</v>
      </c>
      <c r="D39" s="56">
        <v>0.0</v>
      </c>
      <c r="E39" s="41">
        <f t="shared" si="1"/>
        <v>0</v>
      </c>
      <c r="F39" s="42" t="str">
        <f t="shared" si="2"/>
        <v>B</v>
      </c>
    </row>
    <row r="40" ht="14.25" customHeight="1">
      <c r="A40" s="30">
        <v>28.0</v>
      </c>
      <c r="B40" s="31" t="s">
        <v>177</v>
      </c>
      <c r="C40" s="32" t="s">
        <v>178</v>
      </c>
      <c r="D40" s="56">
        <v>1.0</v>
      </c>
      <c r="E40" s="41">
        <f t="shared" si="1"/>
        <v>0.2</v>
      </c>
      <c r="F40" s="42" t="str">
        <f t="shared" si="2"/>
        <v>B</v>
      </c>
    </row>
    <row r="41" ht="14.25" customHeight="1">
      <c r="A41" s="30">
        <v>29.0</v>
      </c>
      <c r="B41" s="31" t="s">
        <v>179</v>
      </c>
      <c r="C41" s="32" t="s">
        <v>180</v>
      </c>
      <c r="D41" s="56">
        <v>2.0</v>
      </c>
      <c r="E41" s="41">
        <f t="shared" si="1"/>
        <v>0.4</v>
      </c>
      <c r="F41" s="42" t="str">
        <f t="shared" si="2"/>
        <v>B</v>
      </c>
    </row>
    <row r="42" ht="14.25" customHeight="1">
      <c r="A42" s="30">
        <v>30.0</v>
      </c>
      <c r="B42" s="31" t="s">
        <v>181</v>
      </c>
      <c r="C42" s="32" t="s">
        <v>182</v>
      </c>
      <c r="D42" s="56">
        <v>3.0</v>
      </c>
      <c r="E42" s="41">
        <f t="shared" si="1"/>
        <v>0.6</v>
      </c>
      <c r="F42" s="42" t="str">
        <f t="shared" si="2"/>
        <v>A</v>
      </c>
    </row>
    <row r="43" ht="14.25" customHeight="1">
      <c r="A43" s="30">
        <v>31.0</v>
      </c>
      <c r="B43" s="31" t="s">
        <v>183</v>
      </c>
      <c r="C43" s="32" t="s">
        <v>184</v>
      </c>
      <c r="D43" s="56">
        <v>1.0</v>
      </c>
      <c r="E43" s="41">
        <f t="shared" si="1"/>
        <v>0.2</v>
      </c>
      <c r="F43" s="42" t="str">
        <f t="shared" si="2"/>
        <v>B</v>
      </c>
    </row>
    <row r="44" ht="14.25" customHeight="1">
      <c r="A44" s="30">
        <v>32.0</v>
      </c>
      <c r="B44" s="31" t="s">
        <v>185</v>
      </c>
      <c r="C44" s="32" t="s">
        <v>186</v>
      </c>
      <c r="D44" s="56">
        <v>3.0</v>
      </c>
      <c r="E44" s="41">
        <f t="shared" si="1"/>
        <v>0.6</v>
      </c>
      <c r="F44" s="42" t="str">
        <f t="shared" si="2"/>
        <v>A</v>
      </c>
    </row>
    <row r="45" ht="14.25" customHeight="1">
      <c r="A45" s="30">
        <v>33.0</v>
      </c>
      <c r="B45" s="31" t="s">
        <v>187</v>
      </c>
      <c r="C45" s="32" t="s">
        <v>188</v>
      </c>
      <c r="D45" s="56">
        <v>1.0</v>
      </c>
      <c r="E45" s="41">
        <f t="shared" si="1"/>
        <v>0.2</v>
      </c>
      <c r="F45" s="42" t="str">
        <f t="shared" si="2"/>
        <v>B</v>
      </c>
    </row>
    <row r="46" ht="14.25" customHeight="1">
      <c r="A46" s="43">
        <v>34.0</v>
      </c>
      <c r="B46" s="31" t="s">
        <v>189</v>
      </c>
      <c r="C46" s="32" t="s">
        <v>190</v>
      </c>
      <c r="D46" s="57">
        <v>1.0</v>
      </c>
      <c r="E46" s="41">
        <f t="shared" si="1"/>
        <v>0.2</v>
      </c>
      <c r="F46" s="42" t="str">
        <f t="shared" si="2"/>
        <v>B</v>
      </c>
    </row>
    <row r="47" ht="14.25" customHeight="1">
      <c r="A47" s="30">
        <v>35.0</v>
      </c>
      <c r="B47" s="31" t="s">
        <v>191</v>
      </c>
      <c r="C47" s="32" t="s">
        <v>192</v>
      </c>
      <c r="D47" s="56">
        <v>1.0</v>
      </c>
      <c r="E47" s="41">
        <f t="shared" si="1"/>
        <v>0.2</v>
      </c>
      <c r="F47" s="42" t="str">
        <f t="shared" si="2"/>
        <v>B</v>
      </c>
    </row>
    <row r="48" ht="14.25" customHeight="1">
      <c r="A48" s="30">
        <v>36.0</v>
      </c>
      <c r="B48" s="31" t="s">
        <v>193</v>
      </c>
      <c r="C48" s="32" t="s">
        <v>194</v>
      </c>
      <c r="D48" s="56">
        <v>2.0</v>
      </c>
      <c r="E48" s="41">
        <f t="shared" si="1"/>
        <v>0.4</v>
      </c>
      <c r="F48" s="42" t="str">
        <f t="shared" si="2"/>
        <v>B</v>
      </c>
    </row>
    <row r="49" ht="14.25" customHeight="1">
      <c r="A49" s="30">
        <v>37.0</v>
      </c>
      <c r="B49" s="31" t="s">
        <v>195</v>
      </c>
      <c r="C49" s="32" t="s">
        <v>196</v>
      </c>
      <c r="D49" s="56">
        <v>0.0</v>
      </c>
      <c r="E49" s="41">
        <f t="shared" si="1"/>
        <v>0</v>
      </c>
      <c r="F49" s="42" t="str">
        <f t="shared" si="2"/>
        <v>B</v>
      </c>
    </row>
    <row r="50" ht="14.25" customHeight="1">
      <c r="A50" s="30">
        <v>38.0</v>
      </c>
      <c r="B50" s="31" t="s">
        <v>197</v>
      </c>
      <c r="C50" s="32" t="s">
        <v>198</v>
      </c>
      <c r="D50" s="56">
        <v>0.0</v>
      </c>
      <c r="E50" s="41">
        <f t="shared" si="1"/>
        <v>0</v>
      </c>
      <c r="F50" s="42" t="str">
        <f t="shared" si="2"/>
        <v>B</v>
      </c>
    </row>
    <row r="51" ht="14.25" customHeight="1">
      <c r="A51" s="30">
        <v>39.0</v>
      </c>
      <c r="B51" s="31" t="s">
        <v>199</v>
      </c>
      <c r="C51" s="32" t="s">
        <v>200</v>
      </c>
      <c r="D51" s="56">
        <v>2.0</v>
      </c>
      <c r="E51" s="41">
        <f t="shared" si="1"/>
        <v>0.4</v>
      </c>
      <c r="F51" s="42" t="str">
        <f t="shared" si="2"/>
        <v>B</v>
      </c>
    </row>
    <row r="52" ht="14.25" customHeight="1">
      <c r="A52" s="30">
        <v>40.0</v>
      </c>
      <c r="B52" s="31" t="s">
        <v>201</v>
      </c>
      <c r="C52" s="32" t="s">
        <v>202</v>
      </c>
      <c r="D52" s="56">
        <v>2.0</v>
      </c>
      <c r="E52" s="41">
        <f t="shared" si="1"/>
        <v>0.4</v>
      </c>
      <c r="F52" s="42" t="str">
        <f t="shared" si="2"/>
        <v>B</v>
      </c>
    </row>
    <row r="53" ht="14.25" customHeight="1">
      <c r="A53" s="30">
        <v>41.0</v>
      </c>
      <c r="B53" s="31" t="s">
        <v>203</v>
      </c>
      <c r="C53" s="32" t="s">
        <v>204</v>
      </c>
      <c r="D53" s="56">
        <v>2.0</v>
      </c>
      <c r="E53" s="41">
        <f t="shared" si="1"/>
        <v>0.4</v>
      </c>
      <c r="F53" s="42" t="str">
        <f t="shared" si="2"/>
        <v>B</v>
      </c>
    </row>
    <row r="54" ht="14.25" customHeight="1">
      <c r="A54" s="30">
        <v>42.0</v>
      </c>
      <c r="B54" s="31" t="s">
        <v>205</v>
      </c>
      <c r="C54" s="32" t="s">
        <v>206</v>
      </c>
      <c r="D54" s="56">
        <v>3.0</v>
      </c>
      <c r="E54" s="41">
        <f t="shared" si="1"/>
        <v>0.6</v>
      </c>
      <c r="F54" s="42" t="str">
        <f t="shared" si="2"/>
        <v>A</v>
      </c>
    </row>
    <row r="55" ht="14.25" customHeight="1">
      <c r="A55" s="30">
        <v>43.0</v>
      </c>
      <c r="B55" s="31" t="s">
        <v>207</v>
      </c>
      <c r="C55" s="32" t="s">
        <v>208</v>
      </c>
      <c r="D55" s="56">
        <v>3.0</v>
      </c>
      <c r="E55" s="41">
        <f t="shared" si="1"/>
        <v>0.6</v>
      </c>
      <c r="F55" s="42" t="str">
        <f t="shared" si="2"/>
        <v>A</v>
      </c>
    </row>
    <row r="56" ht="14.25" customHeight="1">
      <c r="A56" s="30">
        <v>44.0</v>
      </c>
      <c r="B56" s="31" t="s">
        <v>209</v>
      </c>
      <c r="C56" s="32" t="s">
        <v>210</v>
      </c>
      <c r="D56" s="56">
        <v>0.0</v>
      </c>
      <c r="E56" s="41">
        <f t="shared" si="1"/>
        <v>0</v>
      </c>
      <c r="F56" s="42" t="str">
        <f t="shared" si="2"/>
        <v>B</v>
      </c>
    </row>
    <row r="57" ht="14.25" customHeight="1">
      <c r="A57" s="30">
        <v>45.0</v>
      </c>
      <c r="B57" s="31" t="s">
        <v>211</v>
      </c>
      <c r="C57" s="32" t="s">
        <v>212</v>
      </c>
      <c r="D57" s="56">
        <v>1.0</v>
      </c>
      <c r="E57" s="41">
        <f t="shared" si="1"/>
        <v>0.2</v>
      </c>
      <c r="F57" s="42" t="str">
        <f t="shared" si="2"/>
        <v>B</v>
      </c>
    </row>
    <row r="58" ht="14.25" customHeight="1">
      <c r="A58" s="30">
        <v>46.0</v>
      </c>
      <c r="B58" s="31" t="s">
        <v>213</v>
      </c>
      <c r="C58" s="32" t="s">
        <v>214</v>
      </c>
      <c r="D58" s="56">
        <v>3.0</v>
      </c>
      <c r="E58" s="41">
        <f t="shared" si="1"/>
        <v>0.6</v>
      </c>
      <c r="F58" s="42" t="str">
        <f t="shared" si="2"/>
        <v>A</v>
      </c>
    </row>
    <row r="59" ht="14.25" customHeight="1">
      <c r="A59" s="30">
        <v>47.0</v>
      </c>
      <c r="B59" s="31" t="s">
        <v>215</v>
      </c>
      <c r="C59" s="32" t="s">
        <v>216</v>
      </c>
      <c r="D59" s="56">
        <v>0.0</v>
      </c>
      <c r="E59" s="41">
        <f t="shared" si="1"/>
        <v>0</v>
      </c>
      <c r="F59" s="42" t="str">
        <f t="shared" si="2"/>
        <v>B</v>
      </c>
    </row>
    <row r="60" ht="14.25" customHeight="1"/>
    <row r="61" ht="14.25" customHeight="1">
      <c r="D61" s="54" t="s">
        <v>117</v>
      </c>
      <c r="F61" s="54"/>
    </row>
    <row r="62" ht="14.25" customHeight="1">
      <c r="D62" s="54" t="s">
        <v>118</v>
      </c>
    </row>
    <row r="63" ht="14.25" customHeight="1">
      <c r="D63" s="54" t="s">
        <v>119</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D11:D12"/>
    <mergeCell ref="E11:E12"/>
    <mergeCell ref="A1:F1"/>
    <mergeCell ref="A3:F3"/>
    <mergeCell ref="A4:F4"/>
    <mergeCell ref="A10:A12"/>
    <mergeCell ref="B10:B12"/>
    <mergeCell ref="C10:C12"/>
    <mergeCell ref="D10:F10"/>
    <mergeCell ref="F11:F1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9.86"/>
    <col customWidth="1" min="3" max="3" width="32.86"/>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7" width="5.14"/>
  </cols>
  <sheetData>
    <row r="1" ht="78.0" customHeight="1">
      <c r="A1" s="1" t="s">
        <v>217</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218</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36.75" customHeight="1">
      <c r="A11" s="11"/>
      <c r="B11" s="11"/>
      <c r="C11" s="11"/>
      <c r="D11" s="12"/>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3">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219</v>
      </c>
      <c r="C13" s="32" t="s">
        <v>220</v>
      </c>
      <c r="D13" s="33"/>
      <c r="E13" s="34"/>
      <c r="F13" s="33"/>
      <c r="G13" s="33"/>
      <c r="H13" s="33"/>
      <c r="I13" s="33"/>
      <c r="J13" s="33"/>
      <c r="K13" s="33"/>
      <c r="L13" s="33"/>
      <c r="M13" s="33"/>
      <c r="N13" s="33"/>
      <c r="O13" s="33"/>
      <c r="P13" s="33"/>
      <c r="Q13" s="33"/>
      <c r="R13" s="33"/>
      <c r="S13" s="35" t="str">
        <f t="shared" ref="S13:S57" si="1">AVERAGE(D13:H13)</f>
        <v>#DIV/0!</v>
      </c>
      <c r="T13" s="36" t="str">
        <f t="shared" ref="T13:T57" si="2">AVERAGE(I13:M13)</f>
        <v>#DIV/0!</v>
      </c>
      <c r="U13" s="37" t="str">
        <f t="shared" ref="U13:U57" si="3">AVERAGE(N13:R13)</f>
        <v>#DIV/0!</v>
      </c>
      <c r="V13" s="38"/>
      <c r="W13" s="38" t="str">
        <f t="shared" ref="W13:W57" si="4">AVERAGE(S13:U13)</f>
        <v>#DIV/0!</v>
      </c>
      <c r="X13" s="39" t="str">
        <f t="shared" ref="X13:X57" si="5">ROUND(AVERAGE(V13:W13),0)</f>
        <v>#DIV/0!</v>
      </c>
      <c r="Y13" s="40"/>
      <c r="Z13" s="41">
        <v>1.0</v>
      </c>
      <c r="AA13" s="42" t="str">
        <f t="shared" ref="AA13:AA57" si="6">ROUND(IF((X13*(IF(Y13="A",105%,IF(Y13="B",102%,IF(Y13="C",75%,50%))))*Z13)&gt;100,100,(X13*(IF(Y13="A",105%,IF(Y13="B",102%,IF(Y13="C",75%,50%))))*Z13)),0)</f>
        <v>#DIV/0!</v>
      </c>
    </row>
    <row r="14" ht="14.25" customHeight="1">
      <c r="A14" s="30">
        <v>2.0</v>
      </c>
      <c r="B14" s="31" t="s">
        <v>221</v>
      </c>
      <c r="C14" s="32" t="s">
        <v>222</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row>
    <row r="15" ht="14.25" customHeight="1">
      <c r="A15" s="30">
        <v>3.0</v>
      </c>
      <c r="B15" s="31" t="s">
        <v>223</v>
      </c>
      <c r="C15" s="32" t="s">
        <v>224</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row>
    <row r="16" ht="14.25" customHeight="1">
      <c r="A16" s="30">
        <v>4.0</v>
      </c>
      <c r="B16" s="31" t="s">
        <v>225</v>
      </c>
      <c r="C16" s="32" t="s">
        <v>226</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row>
    <row r="17" ht="14.25" customHeight="1">
      <c r="A17" s="30">
        <v>5.0</v>
      </c>
      <c r="B17" s="31" t="s">
        <v>227</v>
      </c>
      <c r="C17" s="32" t="s">
        <v>228</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row>
    <row r="18" ht="14.25" customHeight="1">
      <c r="A18" s="30">
        <v>6.0</v>
      </c>
      <c r="B18" s="31" t="s">
        <v>229</v>
      </c>
      <c r="C18" s="32" t="s">
        <v>230</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row>
    <row r="19" ht="14.25" customHeight="1">
      <c r="A19" s="30">
        <v>7.0</v>
      </c>
      <c r="B19" s="31" t="s">
        <v>231</v>
      </c>
      <c r="C19" s="32" t="s">
        <v>232</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row>
    <row r="20" ht="14.25" customHeight="1">
      <c r="A20" s="30">
        <v>8.0</v>
      </c>
      <c r="B20" s="31" t="s">
        <v>233</v>
      </c>
      <c r="C20" s="32" t="s">
        <v>234</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row>
    <row r="21" ht="14.25" customHeight="1">
      <c r="A21" s="30">
        <v>9.0</v>
      </c>
      <c r="B21" s="31" t="s">
        <v>235</v>
      </c>
      <c r="C21" s="32" t="s">
        <v>236</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row>
    <row r="22" ht="14.25" customHeight="1">
      <c r="A22" s="30">
        <v>10.0</v>
      </c>
      <c r="B22" s="31" t="s">
        <v>237</v>
      </c>
      <c r="C22" s="32" t="s">
        <v>238</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row>
    <row r="23" ht="14.25" customHeight="1">
      <c r="A23" s="30">
        <v>11.0</v>
      </c>
      <c r="B23" s="31" t="s">
        <v>239</v>
      </c>
      <c r="C23" s="32" t="s">
        <v>240</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row>
    <row r="24" ht="14.25" customHeight="1">
      <c r="A24" s="30">
        <v>12.0</v>
      </c>
      <c r="B24" s="31" t="s">
        <v>241</v>
      </c>
      <c r="C24" s="32" t="s">
        <v>242</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row>
    <row r="25" ht="14.25" customHeight="1">
      <c r="A25" s="30">
        <v>13.0</v>
      </c>
      <c r="B25" s="31" t="s">
        <v>243</v>
      </c>
      <c r="C25" s="32" t="s">
        <v>244</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row>
    <row r="26" ht="14.25" customHeight="1">
      <c r="A26" s="30">
        <v>14.0</v>
      </c>
      <c r="B26" s="31" t="s">
        <v>245</v>
      </c>
      <c r="C26" s="32" t="s">
        <v>246</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row>
    <row r="27" ht="14.25" customHeight="1">
      <c r="A27" s="30">
        <v>15.0</v>
      </c>
      <c r="B27" s="31" t="s">
        <v>247</v>
      </c>
      <c r="C27" s="32" t="s">
        <v>248</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row>
    <row r="28" ht="14.25" customHeight="1">
      <c r="A28" s="30">
        <v>16.0</v>
      </c>
      <c r="B28" s="31" t="s">
        <v>249</v>
      </c>
      <c r="C28" s="32" t="s">
        <v>250</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row>
    <row r="29" ht="14.25" customHeight="1">
      <c r="A29" s="30">
        <v>17.0</v>
      </c>
      <c r="B29" s="31" t="s">
        <v>251</v>
      </c>
      <c r="C29" s="32" t="s">
        <v>252</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row>
    <row r="30" ht="14.25" customHeight="1">
      <c r="A30" s="30">
        <v>18.0</v>
      </c>
      <c r="B30" s="31" t="s">
        <v>253</v>
      </c>
      <c r="C30" s="32" t="s">
        <v>254</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row>
    <row r="31" ht="14.25" customHeight="1">
      <c r="A31" s="30">
        <v>19.0</v>
      </c>
      <c r="B31" s="31" t="s">
        <v>255</v>
      </c>
      <c r="C31" s="32" t="s">
        <v>256</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row>
    <row r="32" ht="14.25" customHeight="1">
      <c r="A32" s="30">
        <v>20.0</v>
      </c>
      <c r="B32" s="31" t="s">
        <v>257</v>
      </c>
      <c r="C32" s="32" t="s">
        <v>258</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row>
    <row r="33" ht="14.25" customHeight="1">
      <c r="A33" s="30">
        <v>21.0</v>
      </c>
      <c r="B33" s="31" t="s">
        <v>259</v>
      </c>
      <c r="C33" s="32" t="s">
        <v>260</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row>
    <row r="34" ht="14.25" customHeight="1">
      <c r="A34" s="30">
        <v>22.0</v>
      </c>
      <c r="B34" s="31" t="s">
        <v>261</v>
      </c>
      <c r="C34" s="32" t="s">
        <v>262</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row>
    <row r="35" ht="14.25" customHeight="1">
      <c r="A35" s="30">
        <v>23.0</v>
      </c>
      <c r="B35" s="31" t="s">
        <v>263</v>
      </c>
      <c r="C35" s="32" t="s">
        <v>264</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row>
    <row r="36" ht="14.25" customHeight="1">
      <c r="A36" s="30">
        <v>24.0</v>
      </c>
      <c r="B36" s="31" t="s">
        <v>265</v>
      </c>
      <c r="C36" s="32" t="s">
        <v>266</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row>
    <row r="37" ht="14.25" customHeight="1">
      <c r="A37" s="30">
        <v>25.0</v>
      </c>
      <c r="B37" s="31" t="s">
        <v>267</v>
      </c>
      <c r="C37" s="32" t="s">
        <v>268</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row>
    <row r="38" ht="14.25" customHeight="1">
      <c r="A38" s="30">
        <v>26.0</v>
      </c>
      <c r="B38" s="31" t="s">
        <v>269</v>
      </c>
      <c r="C38" s="32" t="s">
        <v>270</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row>
    <row r="39" ht="14.25" customHeight="1">
      <c r="A39" s="30">
        <v>27.0</v>
      </c>
      <c r="B39" s="31" t="s">
        <v>271</v>
      </c>
      <c r="C39" s="32" t="s">
        <v>272</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row>
    <row r="40" ht="14.25" customHeight="1">
      <c r="A40" s="30">
        <v>28.0</v>
      </c>
      <c r="B40" s="31" t="s">
        <v>273</v>
      </c>
      <c r="C40" s="32" t="s">
        <v>274</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row>
    <row r="41" ht="14.25" customHeight="1">
      <c r="A41" s="30">
        <v>29.0</v>
      </c>
      <c r="B41" s="31" t="s">
        <v>275</v>
      </c>
      <c r="C41" s="32" t="s">
        <v>276</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row>
    <row r="42" ht="14.25" customHeight="1">
      <c r="A42" s="30">
        <v>30.0</v>
      </c>
      <c r="B42" s="31" t="s">
        <v>277</v>
      </c>
      <c r="C42" s="32" t="s">
        <v>278</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row>
    <row r="43" ht="14.25" customHeight="1">
      <c r="A43" s="30">
        <v>31.0</v>
      </c>
      <c r="B43" s="31" t="s">
        <v>279</v>
      </c>
      <c r="C43" s="32" t="s">
        <v>280</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row>
    <row r="44" ht="14.25" customHeight="1">
      <c r="A44" s="30">
        <v>32.0</v>
      </c>
      <c r="B44" s="31" t="s">
        <v>281</v>
      </c>
      <c r="C44" s="32" t="s">
        <v>282</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row>
    <row r="45" ht="14.25" customHeight="1">
      <c r="A45" s="30">
        <v>33.0</v>
      </c>
      <c r="B45" s="31" t="s">
        <v>283</v>
      </c>
      <c r="C45" s="32" t="s">
        <v>284</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row>
    <row r="46" ht="14.25" customHeight="1">
      <c r="A46" s="43">
        <v>34.0</v>
      </c>
      <c r="B46" s="31" t="s">
        <v>285</v>
      </c>
      <c r="C46" s="32" t="s">
        <v>286</v>
      </c>
      <c r="D46" s="44"/>
      <c r="E46" s="34"/>
      <c r="F46" s="44"/>
      <c r="G46" s="44"/>
      <c r="H46" s="44"/>
      <c r="I46" s="44"/>
      <c r="J46" s="44"/>
      <c r="K46" s="44"/>
      <c r="L46" s="44"/>
      <c r="M46" s="44"/>
      <c r="N46" s="44"/>
      <c r="O46" s="44"/>
      <c r="P46" s="44"/>
      <c r="Q46" s="44"/>
      <c r="R46" s="44"/>
      <c r="S46" s="45" t="str">
        <f t="shared" si="1"/>
        <v>#DIV/0!</v>
      </c>
      <c r="T46" s="46" t="str">
        <f t="shared" si="2"/>
        <v>#DIV/0!</v>
      </c>
      <c r="U46" s="47" t="str">
        <f t="shared" si="3"/>
        <v>#DIV/0!</v>
      </c>
      <c r="V46" s="48"/>
      <c r="W46" s="48" t="str">
        <f t="shared" si="4"/>
        <v>#DIV/0!</v>
      </c>
      <c r="X46" s="49" t="str">
        <f t="shared" si="5"/>
        <v>#DIV/0!</v>
      </c>
      <c r="Y46" s="50"/>
      <c r="Z46" s="51">
        <v>1.0</v>
      </c>
      <c r="AA46" s="52" t="str">
        <f t="shared" si="6"/>
        <v>#DIV/0!</v>
      </c>
    </row>
    <row r="47" ht="14.25" customHeight="1">
      <c r="A47" s="30">
        <v>35.0</v>
      </c>
      <c r="B47" s="31" t="s">
        <v>287</v>
      </c>
      <c r="C47" s="32" t="s">
        <v>288</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row>
    <row r="48" ht="14.25" customHeight="1">
      <c r="A48" s="30">
        <v>36.0</v>
      </c>
      <c r="B48" s="31" t="s">
        <v>289</v>
      </c>
      <c r="C48" s="32" t="s">
        <v>290</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row>
    <row r="49" ht="14.25" customHeight="1">
      <c r="A49" s="30">
        <v>37.0</v>
      </c>
      <c r="B49" s="31" t="s">
        <v>291</v>
      </c>
      <c r="C49" s="32" t="s">
        <v>292</v>
      </c>
      <c r="D49" s="53"/>
      <c r="E49" s="34"/>
      <c r="F49" s="53"/>
      <c r="G49" s="53"/>
      <c r="H49" s="53"/>
      <c r="I49" s="53"/>
      <c r="J49" s="53"/>
      <c r="K49" s="53"/>
      <c r="L49" s="53"/>
      <c r="M49" s="53"/>
      <c r="N49" s="53"/>
      <c r="O49" s="53"/>
      <c r="P49" s="53"/>
      <c r="Q49" s="53"/>
      <c r="R49" s="53"/>
      <c r="S49" s="35" t="str">
        <f t="shared" si="1"/>
        <v>#DIV/0!</v>
      </c>
      <c r="T49" s="36" t="str">
        <f t="shared" si="2"/>
        <v>#DIV/0!</v>
      </c>
      <c r="U49" s="37" t="str">
        <f t="shared" si="3"/>
        <v>#DIV/0!</v>
      </c>
      <c r="V49" s="38"/>
      <c r="W49" s="38" t="str">
        <f t="shared" si="4"/>
        <v>#DIV/0!</v>
      </c>
      <c r="X49" s="39" t="str">
        <f t="shared" si="5"/>
        <v>#DIV/0!</v>
      </c>
      <c r="Y49" s="40"/>
      <c r="Z49" s="41"/>
      <c r="AA49" s="42" t="str">
        <f t="shared" si="6"/>
        <v>#DIV/0!</v>
      </c>
    </row>
    <row r="50" ht="14.25" customHeight="1">
      <c r="A50" s="30">
        <v>38.0</v>
      </c>
      <c r="B50" s="31" t="s">
        <v>293</v>
      </c>
      <c r="C50" s="32" t="s">
        <v>294</v>
      </c>
      <c r="D50" s="53"/>
      <c r="E50" s="34"/>
      <c r="F50" s="53"/>
      <c r="G50" s="53"/>
      <c r="H50" s="53"/>
      <c r="I50" s="53"/>
      <c r="J50" s="53"/>
      <c r="K50" s="53"/>
      <c r="L50" s="53"/>
      <c r="M50" s="53"/>
      <c r="N50" s="53"/>
      <c r="O50" s="53"/>
      <c r="P50" s="53"/>
      <c r="Q50" s="53"/>
      <c r="R50" s="53"/>
      <c r="S50" s="35" t="str">
        <f t="shared" si="1"/>
        <v>#DIV/0!</v>
      </c>
      <c r="T50" s="36" t="str">
        <f t="shared" si="2"/>
        <v>#DIV/0!</v>
      </c>
      <c r="U50" s="37" t="str">
        <f t="shared" si="3"/>
        <v>#DIV/0!</v>
      </c>
      <c r="V50" s="38"/>
      <c r="W50" s="38" t="str">
        <f t="shared" si="4"/>
        <v>#DIV/0!</v>
      </c>
      <c r="X50" s="39" t="str">
        <f t="shared" si="5"/>
        <v>#DIV/0!</v>
      </c>
      <c r="Y50" s="40"/>
      <c r="Z50" s="41"/>
      <c r="AA50" s="42" t="str">
        <f t="shared" si="6"/>
        <v>#DIV/0!</v>
      </c>
    </row>
    <row r="51" ht="14.25" customHeight="1">
      <c r="A51" s="30">
        <v>39.0</v>
      </c>
      <c r="B51" s="31" t="s">
        <v>295</v>
      </c>
      <c r="C51" s="32" t="s">
        <v>296</v>
      </c>
      <c r="D51" s="53"/>
      <c r="E51" s="34"/>
      <c r="F51" s="53"/>
      <c r="G51" s="53"/>
      <c r="H51" s="53"/>
      <c r="I51" s="53"/>
      <c r="J51" s="53"/>
      <c r="K51" s="53"/>
      <c r="L51" s="53"/>
      <c r="M51" s="53"/>
      <c r="N51" s="53"/>
      <c r="O51" s="53"/>
      <c r="P51" s="53"/>
      <c r="Q51" s="53"/>
      <c r="R51" s="53"/>
      <c r="S51" s="35" t="str">
        <f t="shared" si="1"/>
        <v>#DIV/0!</v>
      </c>
      <c r="T51" s="36" t="str">
        <f t="shared" si="2"/>
        <v>#DIV/0!</v>
      </c>
      <c r="U51" s="37" t="str">
        <f t="shared" si="3"/>
        <v>#DIV/0!</v>
      </c>
      <c r="V51" s="38"/>
      <c r="W51" s="38" t="str">
        <f t="shared" si="4"/>
        <v>#DIV/0!</v>
      </c>
      <c r="X51" s="39" t="str">
        <f t="shared" si="5"/>
        <v>#DIV/0!</v>
      </c>
      <c r="Y51" s="40"/>
      <c r="Z51" s="41"/>
      <c r="AA51" s="42" t="str">
        <f t="shared" si="6"/>
        <v>#DIV/0!</v>
      </c>
    </row>
    <row r="52" ht="14.25" customHeight="1">
      <c r="A52" s="30">
        <v>40.0</v>
      </c>
      <c r="B52" s="31" t="s">
        <v>297</v>
      </c>
      <c r="C52" s="32" t="s">
        <v>298</v>
      </c>
      <c r="D52" s="53"/>
      <c r="E52" s="34"/>
      <c r="F52" s="53"/>
      <c r="G52" s="53"/>
      <c r="H52" s="53"/>
      <c r="I52" s="53"/>
      <c r="J52" s="53"/>
      <c r="K52" s="53"/>
      <c r="L52" s="53"/>
      <c r="M52" s="53"/>
      <c r="N52" s="53"/>
      <c r="O52" s="53"/>
      <c r="P52" s="53"/>
      <c r="Q52" s="53"/>
      <c r="R52" s="53"/>
      <c r="S52" s="35" t="str">
        <f t="shared" si="1"/>
        <v>#DIV/0!</v>
      </c>
      <c r="T52" s="36" t="str">
        <f t="shared" si="2"/>
        <v>#DIV/0!</v>
      </c>
      <c r="U52" s="37" t="str">
        <f t="shared" si="3"/>
        <v>#DIV/0!</v>
      </c>
      <c r="V52" s="38"/>
      <c r="W52" s="38" t="str">
        <f t="shared" si="4"/>
        <v>#DIV/0!</v>
      </c>
      <c r="X52" s="39" t="str">
        <f t="shared" si="5"/>
        <v>#DIV/0!</v>
      </c>
      <c r="Y52" s="40"/>
      <c r="Z52" s="41"/>
      <c r="AA52" s="42" t="str">
        <f t="shared" si="6"/>
        <v>#DIV/0!</v>
      </c>
    </row>
    <row r="53" ht="14.25" customHeight="1">
      <c r="A53" s="30">
        <v>41.0</v>
      </c>
      <c r="B53" s="31" t="s">
        <v>299</v>
      </c>
      <c r="C53" s="32" t="s">
        <v>300</v>
      </c>
      <c r="D53" s="53"/>
      <c r="E53" s="34"/>
      <c r="F53" s="53"/>
      <c r="G53" s="53"/>
      <c r="H53" s="53"/>
      <c r="I53" s="53"/>
      <c r="J53" s="53"/>
      <c r="K53" s="53"/>
      <c r="L53" s="53"/>
      <c r="M53" s="53"/>
      <c r="N53" s="53"/>
      <c r="O53" s="53"/>
      <c r="P53" s="53"/>
      <c r="Q53" s="53"/>
      <c r="R53" s="53"/>
      <c r="S53" s="35" t="str">
        <f t="shared" si="1"/>
        <v>#DIV/0!</v>
      </c>
      <c r="T53" s="36" t="str">
        <f t="shared" si="2"/>
        <v>#DIV/0!</v>
      </c>
      <c r="U53" s="37" t="str">
        <f t="shared" si="3"/>
        <v>#DIV/0!</v>
      </c>
      <c r="V53" s="38"/>
      <c r="W53" s="38" t="str">
        <f t="shared" si="4"/>
        <v>#DIV/0!</v>
      </c>
      <c r="X53" s="39" t="str">
        <f t="shared" si="5"/>
        <v>#DIV/0!</v>
      </c>
      <c r="Y53" s="40"/>
      <c r="Z53" s="41"/>
      <c r="AA53" s="42" t="str">
        <f t="shared" si="6"/>
        <v>#DIV/0!</v>
      </c>
    </row>
    <row r="54" ht="14.25" customHeight="1">
      <c r="A54" s="30">
        <v>42.0</v>
      </c>
      <c r="B54" s="31" t="s">
        <v>301</v>
      </c>
      <c r="C54" s="32" t="s">
        <v>302</v>
      </c>
      <c r="D54" s="53"/>
      <c r="E54" s="34"/>
      <c r="F54" s="53"/>
      <c r="G54" s="53"/>
      <c r="H54" s="53"/>
      <c r="I54" s="53"/>
      <c r="J54" s="53"/>
      <c r="K54" s="53"/>
      <c r="L54" s="53"/>
      <c r="M54" s="53"/>
      <c r="N54" s="53"/>
      <c r="O54" s="53"/>
      <c r="P54" s="53"/>
      <c r="Q54" s="53"/>
      <c r="R54" s="53"/>
      <c r="S54" s="35" t="str">
        <f t="shared" si="1"/>
        <v>#DIV/0!</v>
      </c>
      <c r="T54" s="36" t="str">
        <f t="shared" si="2"/>
        <v>#DIV/0!</v>
      </c>
      <c r="U54" s="37" t="str">
        <f t="shared" si="3"/>
        <v>#DIV/0!</v>
      </c>
      <c r="V54" s="38"/>
      <c r="W54" s="38" t="str">
        <f t="shared" si="4"/>
        <v>#DIV/0!</v>
      </c>
      <c r="X54" s="39" t="str">
        <f t="shared" si="5"/>
        <v>#DIV/0!</v>
      </c>
      <c r="Y54" s="40"/>
      <c r="Z54" s="41"/>
      <c r="AA54" s="42" t="str">
        <f t="shared" si="6"/>
        <v>#DIV/0!</v>
      </c>
    </row>
    <row r="55" ht="14.25" customHeight="1">
      <c r="A55" s="30">
        <v>43.0</v>
      </c>
      <c r="B55" s="31" t="s">
        <v>303</v>
      </c>
      <c r="C55" s="32" t="s">
        <v>304</v>
      </c>
      <c r="D55" s="53"/>
      <c r="E55" s="34"/>
      <c r="F55" s="53"/>
      <c r="G55" s="53"/>
      <c r="H55" s="53"/>
      <c r="I55" s="53"/>
      <c r="J55" s="53"/>
      <c r="K55" s="53"/>
      <c r="L55" s="53"/>
      <c r="M55" s="53"/>
      <c r="N55" s="53"/>
      <c r="O55" s="53"/>
      <c r="P55" s="53"/>
      <c r="Q55" s="53"/>
      <c r="R55" s="53"/>
      <c r="S55" s="35" t="str">
        <f t="shared" si="1"/>
        <v>#DIV/0!</v>
      </c>
      <c r="T55" s="36" t="str">
        <f t="shared" si="2"/>
        <v>#DIV/0!</v>
      </c>
      <c r="U55" s="37" t="str">
        <f t="shared" si="3"/>
        <v>#DIV/0!</v>
      </c>
      <c r="V55" s="38"/>
      <c r="W55" s="38" t="str">
        <f t="shared" si="4"/>
        <v>#DIV/0!</v>
      </c>
      <c r="X55" s="39" t="str">
        <f t="shared" si="5"/>
        <v>#DIV/0!</v>
      </c>
      <c r="Y55" s="40"/>
      <c r="Z55" s="41"/>
      <c r="AA55" s="42" t="str">
        <f t="shared" si="6"/>
        <v>#DIV/0!</v>
      </c>
    </row>
    <row r="56" ht="14.25" customHeight="1">
      <c r="A56" s="30">
        <v>44.0</v>
      </c>
      <c r="B56" s="31" t="s">
        <v>305</v>
      </c>
      <c r="C56" s="32" t="s">
        <v>306</v>
      </c>
      <c r="D56" s="53"/>
      <c r="E56" s="34"/>
      <c r="F56" s="53"/>
      <c r="G56" s="53"/>
      <c r="H56" s="53"/>
      <c r="I56" s="53"/>
      <c r="J56" s="53"/>
      <c r="K56" s="53"/>
      <c r="L56" s="53"/>
      <c r="M56" s="53"/>
      <c r="N56" s="53"/>
      <c r="O56" s="53"/>
      <c r="P56" s="53"/>
      <c r="Q56" s="53"/>
      <c r="R56" s="53"/>
      <c r="S56" s="35" t="str">
        <f t="shared" si="1"/>
        <v>#DIV/0!</v>
      </c>
      <c r="T56" s="36" t="str">
        <f t="shared" si="2"/>
        <v>#DIV/0!</v>
      </c>
      <c r="U56" s="37" t="str">
        <f t="shared" si="3"/>
        <v>#DIV/0!</v>
      </c>
      <c r="V56" s="38"/>
      <c r="W56" s="38" t="str">
        <f t="shared" si="4"/>
        <v>#DIV/0!</v>
      </c>
      <c r="X56" s="39" t="str">
        <f t="shared" si="5"/>
        <v>#DIV/0!</v>
      </c>
      <c r="Y56" s="40"/>
      <c r="Z56" s="41"/>
      <c r="AA56" s="42" t="str">
        <f t="shared" si="6"/>
        <v>#DIV/0!</v>
      </c>
    </row>
    <row r="57" ht="14.25" customHeight="1">
      <c r="A57" s="30">
        <v>45.0</v>
      </c>
      <c r="B57" s="31" t="s">
        <v>307</v>
      </c>
      <c r="C57" s="32" t="s">
        <v>308</v>
      </c>
      <c r="D57" s="53"/>
      <c r="E57" s="34"/>
      <c r="F57" s="53"/>
      <c r="G57" s="53"/>
      <c r="H57" s="53"/>
      <c r="I57" s="53"/>
      <c r="J57" s="53"/>
      <c r="K57" s="53"/>
      <c r="L57" s="53"/>
      <c r="M57" s="53"/>
      <c r="N57" s="53"/>
      <c r="O57" s="53"/>
      <c r="P57" s="53"/>
      <c r="Q57" s="53"/>
      <c r="R57" s="53"/>
      <c r="S57" s="35" t="str">
        <f t="shared" si="1"/>
        <v>#DIV/0!</v>
      </c>
      <c r="T57" s="36" t="str">
        <f t="shared" si="2"/>
        <v>#DIV/0!</v>
      </c>
      <c r="U57" s="37" t="str">
        <f t="shared" si="3"/>
        <v>#DIV/0!</v>
      </c>
      <c r="V57" s="38"/>
      <c r="W57" s="38" t="str">
        <f t="shared" si="4"/>
        <v>#DIV/0!</v>
      </c>
      <c r="X57" s="39" t="str">
        <f t="shared" si="5"/>
        <v>#DIV/0!</v>
      </c>
      <c r="Y57" s="40"/>
      <c r="Z57" s="41"/>
      <c r="AA57" s="42" t="str">
        <f t="shared" si="6"/>
        <v>#DIV/0!</v>
      </c>
    </row>
    <row r="58" ht="14.25" customHeight="1"/>
    <row r="59" ht="14.25" customHeight="1">
      <c r="Y59" s="54" t="s">
        <v>117</v>
      </c>
      <c r="AA59" s="54"/>
    </row>
    <row r="60" ht="14.25" customHeight="1">
      <c r="Y60" s="54" t="s">
        <v>118</v>
      </c>
    </row>
    <row r="61" ht="14.25" customHeight="1">
      <c r="Y61" s="54" t="s">
        <v>119</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9.86"/>
    <col customWidth="1" min="3" max="3" width="28.86"/>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7" width="5.14"/>
  </cols>
  <sheetData>
    <row r="1" ht="78.0" customHeight="1">
      <c r="A1" s="1" t="s">
        <v>309</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310</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35.25" customHeight="1">
      <c r="A11" s="11"/>
      <c r="B11" s="11"/>
      <c r="C11" s="11"/>
      <c r="D11" s="12"/>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3">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311</v>
      </c>
      <c r="C13" s="32" t="s">
        <v>312</v>
      </c>
      <c r="D13" s="33"/>
      <c r="E13" s="34"/>
      <c r="F13" s="33"/>
      <c r="G13" s="33"/>
      <c r="H13" s="33"/>
      <c r="I13" s="33"/>
      <c r="J13" s="33"/>
      <c r="K13" s="33"/>
      <c r="L13" s="33"/>
      <c r="M13" s="33"/>
      <c r="N13" s="33"/>
      <c r="O13" s="33"/>
      <c r="P13" s="33"/>
      <c r="Q13" s="33"/>
      <c r="R13" s="33"/>
      <c r="S13" s="35" t="str">
        <f t="shared" ref="S13:S58" si="1">AVERAGE(D13:H13)</f>
        <v>#DIV/0!</v>
      </c>
      <c r="T13" s="36" t="str">
        <f t="shared" ref="T13:T58" si="2">AVERAGE(I13:M13)</f>
        <v>#DIV/0!</v>
      </c>
      <c r="U13" s="37" t="str">
        <f t="shared" ref="U13:U58" si="3">AVERAGE(N13:R13)</f>
        <v>#DIV/0!</v>
      </c>
      <c r="V13" s="38"/>
      <c r="W13" s="38" t="str">
        <f t="shared" ref="W13:W58" si="4">AVERAGE(S13:U13)</f>
        <v>#DIV/0!</v>
      </c>
      <c r="X13" s="39" t="str">
        <f t="shared" ref="X13:X58" si="5">ROUND(AVERAGE(V13:W13),0)</f>
        <v>#DIV/0!</v>
      </c>
      <c r="Y13" s="40"/>
      <c r="Z13" s="41">
        <v>1.0</v>
      </c>
      <c r="AA13" s="42" t="str">
        <f t="shared" ref="AA13:AA58" si="6">ROUND(IF((X13*(IF(Y13="A",105%,IF(Y13="B",102%,IF(Y13="C",75%,50%))))*Z13)&gt;100,100,(X13*(IF(Y13="A",105%,IF(Y13="B",102%,IF(Y13="C",75%,50%))))*Z13)),0)</f>
        <v>#DIV/0!</v>
      </c>
    </row>
    <row r="14" ht="14.25" customHeight="1">
      <c r="A14" s="30">
        <v>2.0</v>
      </c>
      <c r="B14" s="31" t="s">
        <v>313</v>
      </c>
      <c r="C14" s="32" t="s">
        <v>314</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row>
    <row r="15" ht="14.25" customHeight="1">
      <c r="A15" s="30">
        <v>3.0</v>
      </c>
      <c r="B15" s="31" t="s">
        <v>315</v>
      </c>
      <c r="C15" s="32" t="s">
        <v>316</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row>
    <row r="16" ht="14.25" customHeight="1">
      <c r="A16" s="30">
        <v>4.0</v>
      </c>
      <c r="B16" s="31" t="s">
        <v>317</v>
      </c>
      <c r="C16" s="32" t="s">
        <v>318</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row>
    <row r="17" ht="14.25" customHeight="1">
      <c r="A17" s="30">
        <v>5.0</v>
      </c>
      <c r="B17" s="31" t="s">
        <v>319</v>
      </c>
      <c r="C17" s="32" t="s">
        <v>320</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row>
    <row r="18" ht="14.25" customHeight="1">
      <c r="A18" s="30">
        <v>6.0</v>
      </c>
      <c r="B18" s="31" t="s">
        <v>321</v>
      </c>
      <c r="C18" s="32" t="s">
        <v>322</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row>
    <row r="19" ht="14.25" customHeight="1">
      <c r="A19" s="30">
        <v>7.0</v>
      </c>
      <c r="B19" s="31" t="s">
        <v>323</v>
      </c>
      <c r="C19" s="32" t="s">
        <v>324</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row>
    <row r="20" ht="14.25" customHeight="1">
      <c r="A20" s="30">
        <v>8.0</v>
      </c>
      <c r="B20" s="31" t="s">
        <v>325</v>
      </c>
      <c r="C20" s="32" t="s">
        <v>326</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row>
    <row r="21" ht="14.25" customHeight="1">
      <c r="A21" s="30">
        <v>9.0</v>
      </c>
      <c r="B21" s="31" t="s">
        <v>327</v>
      </c>
      <c r="C21" s="32" t="s">
        <v>328</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row>
    <row r="22" ht="14.25" customHeight="1">
      <c r="A22" s="30">
        <v>10.0</v>
      </c>
      <c r="B22" s="31" t="s">
        <v>329</v>
      </c>
      <c r="C22" s="32" t="s">
        <v>330</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row>
    <row r="23" ht="14.25" customHeight="1">
      <c r="A23" s="30">
        <v>11.0</v>
      </c>
      <c r="B23" s="31" t="s">
        <v>331</v>
      </c>
      <c r="C23" s="32" t="s">
        <v>332</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row>
    <row r="24" ht="14.25" customHeight="1">
      <c r="A24" s="30">
        <v>12.0</v>
      </c>
      <c r="B24" s="31" t="s">
        <v>333</v>
      </c>
      <c r="C24" s="32" t="s">
        <v>334</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row>
    <row r="25" ht="14.25" customHeight="1">
      <c r="A25" s="30">
        <v>13.0</v>
      </c>
      <c r="B25" s="31" t="s">
        <v>335</v>
      </c>
      <c r="C25" s="32" t="s">
        <v>336</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row>
    <row r="26" ht="14.25" customHeight="1">
      <c r="A26" s="30">
        <v>14.0</v>
      </c>
      <c r="B26" s="31" t="s">
        <v>337</v>
      </c>
      <c r="C26" s="32" t="s">
        <v>338</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row>
    <row r="27" ht="14.25" customHeight="1">
      <c r="A27" s="30">
        <v>15.0</v>
      </c>
      <c r="B27" s="31" t="s">
        <v>339</v>
      </c>
      <c r="C27" s="32" t="s">
        <v>340</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row>
    <row r="28" ht="14.25" customHeight="1">
      <c r="A28" s="30">
        <v>16.0</v>
      </c>
      <c r="B28" s="31" t="s">
        <v>341</v>
      </c>
      <c r="C28" s="32" t="s">
        <v>342</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row>
    <row r="29" ht="14.25" customHeight="1">
      <c r="A29" s="30">
        <v>17.0</v>
      </c>
      <c r="B29" s="31" t="s">
        <v>343</v>
      </c>
      <c r="C29" s="32" t="s">
        <v>344</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row>
    <row r="30" ht="14.25" customHeight="1">
      <c r="A30" s="30">
        <v>18.0</v>
      </c>
      <c r="B30" s="31" t="s">
        <v>345</v>
      </c>
      <c r="C30" s="32" t="s">
        <v>346</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row>
    <row r="31" ht="14.25" customHeight="1">
      <c r="A31" s="30">
        <v>19.0</v>
      </c>
      <c r="B31" s="31" t="s">
        <v>347</v>
      </c>
      <c r="C31" s="32" t="s">
        <v>348</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row>
    <row r="32" ht="14.25" customHeight="1">
      <c r="A32" s="30">
        <v>20.0</v>
      </c>
      <c r="B32" s="31" t="s">
        <v>349</v>
      </c>
      <c r="C32" s="32" t="s">
        <v>350</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row>
    <row r="33" ht="14.25" customHeight="1">
      <c r="A33" s="30">
        <v>21.0</v>
      </c>
      <c r="B33" s="31" t="s">
        <v>351</v>
      </c>
      <c r="C33" s="32" t="s">
        <v>352</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row>
    <row r="34" ht="14.25" customHeight="1">
      <c r="A34" s="30">
        <v>22.0</v>
      </c>
      <c r="B34" s="31" t="s">
        <v>353</v>
      </c>
      <c r="C34" s="32" t="s">
        <v>354</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row>
    <row r="35" ht="14.25" customHeight="1">
      <c r="A35" s="30">
        <v>23.0</v>
      </c>
      <c r="B35" s="31" t="s">
        <v>355</v>
      </c>
      <c r="C35" s="32" t="s">
        <v>356</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row>
    <row r="36" ht="14.25" customHeight="1">
      <c r="A36" s="30">
        <v>24.0</v>
      </c>
      <c r="B36" s="31" t="s">
        <v>357</v>
      </c>
      <c r="C36" s="32" t="s">
        <v>358</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row>
    <row r="37" ht="14.25" customHeight="1">
      <c r="A37" s="30">
        <v>25.0</v>
      </c>
      <c r="B37" s="31" t="s">
        <v>359</v>
      </c>
      <c r="C37" s="32" t="s">
        <v>360</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row>
    <row r="38" ht="14.25" customHeight="1">
      <c r="A38" s="30">
        <v>26.0</v>
      </c>
      <c r="B38" s="31" t="s">
        <v>361</v>
      </c>
      <c r="C38" s="32" t="s">
        <v>362</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row>
    <row r="39" ht="14.25" customHeight="1">
      <c r="A39" s="30">
        <v>27.0</v>
      </c>
      <c r="B39" s="31" t="s">
        <v>363</v>
      </c>
      <c r="C39" s="32" t="s">
        <v>364</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row>
    <row r="40" ht="14.25" customHeight="1">
      <c r="A40" s="30">
        <v>28.0</v>
      </c>
      <c r="B40" s="31" t="s">
        <v>365</v>
      </c>
      <c r="C40" s="32" t="s">
        <v>366</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row>
    <row r="41" ht="14.25" customHeight="1">
      <c r="A41" s="30">
        <v>29.0</v>
      </c>
      <c r="B41" s="31" t="s">
        <v>367</v>
      </c>
      <c r="C41" s="32" t="s">
        <v>368</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row>
    <row r="42" ht="14.25" customHeight="1">
      <c r="A42" s="30">
        <v>30.0</v>
      </c>
      <c r="B42" s="31" t="s">
        <v>369</v>
      </c>
      <c r="C42" s="32" t="s">
        <v>370</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row>
    <row r="43" ht="14.25" customHeight="1">
      <c r="A43" s="30">
        <v>31.0</v>
      </c>
      <c r="B43" s="31" t="s">
        <v>371</v>
      </c>
      <c r="C43" s="32" t="s">
        <v>372</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row>
    <row r="44" ht="14.25" customHeight="1">
      <c r="A44" s="30">
        <v>32.0</v>
      </c>
      <c r="B44" s="31" t="s">
        <v>373</v>
      </c>
      <c r="C44" s="32" t="s">
        <v>374</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row>
    <row r="45" ht="14.25" customHeight="1">
      <c r="A45" s="30">
        <v>33.0</v>
      </c>
      <c r="B45" s="31" t="s">
        <v>375</v>
      </c>
      <c r="C45" s="32" t="s">
        <v>376</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row>
    <row r="46" ht="14.25" customHeight="1">
      <c r="A46" s="43">
        <v>34.0</v>
      </c>
      <c r="B46" s="31" t="s">
        <v>377</v>
      </c>
      <c r="C46" s="32" t="s">
        <v>378</v>
      </c>
      <c r="D46" s="44"/>
      <c r="E46" s="34"/>
      <c r="F46" s="44"/>
      <c r="G46" s="44"/>
      <c r="H46" s="44"/>
      <c r="I46" s="44"/>
      <c r="J46" s="44"/>
      <c r="K46" s="44"/>
      <c r="L46" s="44"/>
      <c r="M46" s="44"/>
      <c r="N46" s="44"/>
      <c r="O46" s="44"/>
      <c r="P46" s="44"/>
      <c r="Q46" s="44"/>
      <c r="R46" s="44"/>
      <c r="S46" s="45" t="str">
        <f t="shared" si="1"/>
        <v>#DIV/0!</v>
      </c>
      <c r="T46" s="46" t="str">
        <f t="shared" si="2"/>
        <v>#DIV/0!</v>
      </c>
      <c r="U46" s="47" t="str">
        <f t="shared" si="3"/>
        <v>#DIV/0!</v>
      </c>
      <c r="V46" s="48"/>
      <c r="W46" s="48" t="str">
        <f t="shared" si="4"/>
        <v>#DIV/0!</v>
      </c>
      <c r="X46" s="49" t="str">
        <f t="shared" si="5"/>
        <v>#DIV/0!</v>
      </c>
      <c r="Y46" s="50"/>
      <c r="Z46" s="51">
        <v>1.0</v>
      </c>
      <c r="AA46" s="52" t="str">
        <f t="shared" si="6"/>
        <v>#DIV/0!</v>
      </c>
    </row>
    <row r="47" ht="14.25" customHeight="1">
      <c r="A47" s="30">
        <v>35.0</v>
      </c>
      <c r="B47" s="31" t="s">
        <v>379</v>
      </c>
      <c r="C47" s="32" t="s">
        <v>380</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row>
    <row r="48" ht="14.25" customHeight="1">
      <c r="A48" s="30">
        <v>36.0</v>
      </c>
      <c r="B48" s="31" t="s">
        <v>381</v>
      </c>
      <c r="C48" s="32" t="s">
        <v>382</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row>
    <row r="49" ht="14.25" customHeight="1">
      <c r="A49" s="30">
        <v>37.0</v>
      </c>
      <c r="B49" s="31" t="s">
        <v>383</v>
      </c>
      <c r="C49" s="32" t="s">
        <v>384</v>
      </c>
      <c r="D49" s="53"/>
      <c r="E49" s="34"/>
      <c r="F49" s="53"/>
      <c r="G49" s="53"/>
      <c r="H49" s="53"/>
      <c r="I49" s="53"/>
      <c r="J49" s="53"/>
      <c r="K49" s="53"/>
      <c r="L49" s="53"/>
      <c r="M49" s="53"/>
      <c r="N49" s="53"/>
      <c r="O49" s="53"/>
      <c r="P49" s="53"/>
      <c r="Q49" s="53"/>
      <c r="R49" s="53"/>
      <c r="S49" s="35" t="str">
        <f t="shared" si="1"/>
        <v>#DIV/0!</v>
      </c>
      <c r="T49" s="36" t="str">
        <f t="shared" si="2"/>
        <v>#DIV/0!</v>
      </c>
      <c r="U49" s="37" t="str">
        <f t="shared" si="3"/>
        <v>#DIV/0!</v>
      </c>
      <c r="V49" s="38"/>
      <c r="W49" s="38" t="str">
        <f t="shared" si="4"/>
        <v>#DIV/0!</v>
      </c>
      <c r="X49" s="39" t="str">
        <f t="shared" si="5"/>
        <v>#DIV/0!</v>
      </c>
      <c r="Y49" s="40"/>
      <c r="Z49" s="41"/>
      <c r="AA49" s="42" t="str">
        <f t="shared" si="6"/>
        <v>#DIV/0!</v>
      </c>
    </row>
    <row r="50" ht="14.25" customHeight="1">
      <c r="A50" s="30">
        <v>38.0</v>
      </c>
      <c r="B50" s="31" t="s">
        <v>385</v>
      </c>
      <c r="C50" s="32" t="s">
        <v>386</v>
      </c>
      <c r="D50" s="53"/>
      <c r="E50" s="34"/>
      <c r="F50" s="53"/>
      <c r="G50" s="53"/>
      <c r="H50" s="53"/>
      <c r="I50" s="53"/>
      <c r="J50" s="53"/>
      <c r="K50" s="53"/>
      <c r="L50" s="53"/>
      <c r="M50" s="53"/>
      <c r="N50" s="53"/>
      <c r="O50" s="53"/>
      <c r="P50" s="53"/>
      <c r="Q50" s="53"/>
      <c r="R50" s="53"/>
      <c r="S50" s="35" t="str">
        <f t="shared" si="1"/>
        <v>#DIV/0!</v>
      </c>
      <c r="T50" s="36" t="str">
        <f t="shared" si="2"/>
        <v>#DIV/0!</v>
      </c>
      <c r="U50" s="37" t="str">
        <f t="shared" si="3"/>
        <v>#DIV/0!</v>
      </c>
      <c r="V50" s="38"/>
      <c r="W50" s="38" t="str">
        <f t="shared" si="4"/>
        <v>#DIV/0!</v>
      </c>
      <c r="X50" s="39" t="str">
        <f t="shared" si="5"/>
        <v>#DIV/0!</v>
      </c>
      <c r="Y50" s="40"/>
      <c r="Z50" s="41"/>
      <c r="AA50" s="42" t="str">
        <f t="shared" si="6"/>
        <v>#DIV/0!</v>
      </c>
    </row>
    <row r="51" ht="14.25" customHeight="1">
      <c r="A51" s="30">
        <v>39.0</v>
      </c>
      <c r="B51" s="31" t="s">
        <v>387</v>
      </c>
      <c r="C51" s="32" t="s">
        <v>388</v>
      </c>
      <c r="D51" s="53"/>
      <c r="E51" s="34"/>
      <c r="F51" s="53"/>
      <c r="G51" s="53"/>
      <c r="H51" s="53"/>
      <c r="I51" s="53"/>
      <c r="J51" s="53"/>
      <c r="K51" s="53"/>
      <c r="L51" s="53"/>
      <c r="M51" s="53"/>
      <c r="N51" s="53"/>
      <c r="O51" s="53"/>
      <c r="P51" s="53"/>
      <c r="Q51" s="53"/>
      <c r="R51" s="53"/>
      <c r="S51" s="35" t="str">
        <f t="shared" si="1"/>
        <v>#DIV/0!</v>
      </c>
      <c r="T51" s="36" t="str">
        <f t="shared" si="2"/>
        <v>#DIV/0!</v>
      </c>
      <c r="U51" s="37" t="str">
        <f t="shared" si="3"/>
        <v>#DIV/0!</v>
      </c>
      <c r="V51" s="38"/>
      <c r="W51" s="38" t="str">
        <f t="shared" si="4"/>
        <v>#DIV/0!</v>
      </c>
      <c r="X51" s="39" t="str">
        <f t="shared" si="5"/>
        <v>#DIV/0!</v>
      </c>
      <c r="Y51" s="40"/>
      <c r="Z51" s="41"/>
      <c r="AA51" s="42" t="str">
        <f t="shared" si="6"/>
        <v>#DIV/0!</v>
      </c>
    </row>
    <row r="52" ht="14.25" customHeight="1">
      <c r="A52" s="30">
        <v>40.0</v>
      </c>
      <c r="B52" s="31" t="s">
        <v>389</v>
      </c>
      <c r="C52" s="32" t="s">
        <v>390</v>
      </c>
      <c r="D52" s="53"/>
      <c r="E52" s="34"/>
      <c r="F52" s="53"/>
      <c r="G52" s="53"/>
      <c r="H52" s="53"/>
      <c r="I52" s="53"/>
      <c r="J52" s="53"/>
      <c r="K52" s="53"/>
      <c r="L52" s="53"/>
      <c r="M52" s="53"/>
      <c r="N52" s="53"/>
      <c r="O52" s="53"/>
      <c r="P52" s="53"/>
      <c r="Q52" s="53"/>
      <c r="R52" s="53"/>
      <c r="S52" s="35" t="str">
        <f t="shared" si="1"/>
        <v>#DIV/0!</v>
      </c>
      <c r="T52" s="36" t="str">
        <f t="shared" si="2"/>
        <v>#DIV/0!</v>
      </c>
      <c r="U52" s="37" t="str">
        <f t="shared" si="3"/>
        <v>#DIV/0!</v>
      </c>
      <c r="V52" s="38"/>
      <c r="W52" s="38" t="str">
        <f t="shared" si="4"/>
        <v>#DIV/0!</v>
      </c>
      <c r="X52" s="39" t="str">
        <f t="shared" si="5"/>
        <v>#DIV/0!</v>
      </c>
      <c r="Y52" s="40"/>
      <c r="Z52" s="41"/>
      <c r="AA52" s="42" t="str">
        <f t="shared" si="6"/>
        <v>#DIV/0!</v>
      </c>
    </row>
    <row r="53" ht="14.25" customHeight="1">
      <c r="A53" s="30">
        <v>41.0</v>
      </c>
      <c r="B53" s="31" t="s">
        <v>391</v>
      </c>
      <c r="C53" s="32" t="s">
        <v>392</v>
      </c>
      <c r="D53" s="53"/>
      <c r="E53" s="34"/>
      <c r="F53" s="53"/>
      <c r="G53" s="53"/>
      <c r="H53" s="53"/>
      <c r="I53" s="53"/>
      <c r="J53" s="53"/>
      <c r="K53" s="53"/>
      <c r="L53" s="53"/>
      <c r="M53" s="53"/>
      <c r="N53" s="53"/>
      <c r="O53" s="53"/>
      <c r="P53" s="53"/>
      <c r="Q53" s="53"/>
      <c r="R53" s="53"/>
      <c r="S53" s="35" t="str">
        <f t="shared" si="1"/>
        <v>#DIV/0!</v>
      </c>
      <c r="T53" s="36" t="str">
        <f t="shared" si="2"/>
        <v>#DIV/0!</v>
      </c>
      <c r="U53" s="37" t="str">
        <f t="shared" si="3"/>
        <v>#DIV/0!</v>
      </c>
      <c r="V53" s="38"/>
      <c r="W53" s="38" t="str">
        <f t="shared" si="4"/>
        <v>#DIV/0!</v>
      </c>
      <c r="X53" s="39" t="str">
        <f t="shared" si="5"/>
        <v>#DIV/0!</v>
      </c>
      <c r="Y53" s="40"/>
      <c r="Z53" s="41"/>
      <c r="AA53" s="42" t="str">
        <f t="shared" si="6"/>
        <v>#DIV/0!</v>
      </c>
    </row>
    <row r="54" ht="14.25" customHeight="1">
      <c r="A54" s="30">
        <v>42.0</v>
      </c>
      <c r="B54" s="31" t="s">
        <v>393</v>
      </c>
      <c r="C54" s="32" t="s">
        <v>394</v>
      </c>
      <c r="D54" s="53"/>
      <c r="E54" s="34"/>
      <c r="F54" s="53"/>
      <c r="G54" s="53"/>
      <c r="H54" s="53"/>
      <c r="I54" s="53"/>
      <c r="J54" s="53"/>
      <c r="K54" s="53"/>
      <c r="L54" s="53"/>
      <c r="M54" s="53"/>
      <c r="N54" s="53"/>
      <c r="O54" s="53"/>
      <c r="P54" s="53"/>
      <c r="Q54" s="53"/>
      <c r="R54" s="53"/>
      <c r="S54" s="35" t="str">
        <f t="shared" si="1"/>
        <v>#DIV/0!</v>
      </c>
      <c r="T54" s="36" t="str">
        <f t="shared" si="2"/>
        <v>#DIV/0!</v>
      </c>
      <c r="U54" s="37" t="str">
        <f t="shared" si="3"/>
        <v>#DIV/0!</v>
      </c>
      <c r="V54" s="38"/>
      <c r="W54" s="38" t="str">
        <f t="shared" si="4"/>
        <v>#DIV/0!</v>
      </c>
      <c r="X54" s="39" t="str">
        <f t="shared" si="5"/>
        <v>#DIV/0!</v>
      </c>
      <c r="Y54" s="40"/>
      <c r="Z54" s="41"/>
      <c r="AA54" s="42" t="str">
        <f t="shared" si="6"/>
        <v>#DIV/0!</v>
      </c>
    </row>
    <row r="55" ht="14.25" customHeight="1">
      <c r="A55" s="30">
        <v>43.0</v>
      </c>
      <c r="B55" s="31" t="s">
        <v>395</v>
      </c>
      <c r="C55" s="32" t="s">
        <v>396</v>
      </c>
      <c r="D55" s="53"/>
      <c r="E55" s="34"/>
      <c r="F55" s="53"/>
      <c r="G55" s="53"/>
      <c r="H55" s="53"/>
      <c r="I55" s="53"/>
      <c r="J55" s="53"/>
      <c r="K55" s="53"/>
      <c r="L55" s="53"/>
      <c r="M55" s="53"/>
      <c r="N55" s="53"/>
      <c r="O55" s="53"/>
      <c r="P55" s="53"/>
      <c r="Q55" s="53"/>
      <c r="R55" s="53"/>
      <c r="S55" s="35" t="str">
        <f t="shared" si="1"/>
        <v>#DIV/0!</v>
      </c>
      <c r="T55" s="36" t="str">
        <f t="shared" si="2"/>
        <v>#DIV/0!</v>
      </c>
      <c r="U55" s="37" t="str">
        <f t="shared" si="3"/>
        <v>#DIV/0!</v>
      </c>
      <c r="V55" s="38"/>
      <c r="W55" s="38" t="str">
        <f t="shared" si="4"/>
        <v>#DIV/0!</v>
      </c>
      <c r="X55" s="39" t="str">
        <f t="shared" si="5"/>
        <v>#DIV/0!</v>
      </c>
      <c r="Y55" s="40"/>
      <c r="Z55" s="41"/>
      <c r="AA55" s="42" t="str">
        <f t="shared" si="6"/>
        <v>#DIV/0!</v>
      </c>
    </row>
    <row r="56" ht="14.25" customHeight="1">
      <c r="A56" s="30">
        <v>44.0</v>
      </c>
      <c r="B56" s="31" t="s">
        <v>397</v>
      </c>
      <c r="C56" s="32" t="s">
        <v>398</v>
      </c>
      <c r="D56" s="53"/>
      <c r="E56" s="34"/>
      <c r="F56" s="53"/>
      <c r="G56" s="53"/>
      <c r="H56" s="53"/>
      <c r="I56" s="53"/>
      <c r="J56" s="53"/>
      <c r="K56" s="53"/>
      <c r="L56" s="53"/>
      <c r="M56" s="53"/>
      <c r="N56" s="53"/>
      <c r="O56" s="53"/>
      <c r="P56" s="53"/>
      <c r="Q56" s="53"/>
      <c r="R56" s="53"/>
      <c r="S56" s="35" t="str">
        <f t="shared" si="1"/>
        <v>#DIV/0!</v>
      </c>
      <c r="T56" s="36" t="str">
        <f t="shared" si="2"/>
        <v>#DIV/0!</v>
      </c>
      <c r="U56" s="37" t="str">
        <f t="shared" si="3"/>
        <v>#DIV/0!</v>
      </c>
      <c r="V56" s="38"/>
      <c r="W56" s="38" t="str">
        <f t="shared" si="4"/>
        <v>#DIV/0!</v>
      </c>
      <c r="X56" s="39" t="str">
        <f t="shared" si="5"/>
        <v>#DIV/0!</v>
      </c>
      <c r="Y56" s="40"/>
      <c r="Z56" s="41"/>
      <c r="AA56" s="42" t="str">
        <f t="shared" si="6"/>
        <v>#DIV/0!</v>
      </c>
    </row>
    <row r="57" ht="14.25" customHeight="1">
      <c r="A57" s="30">
        <v>45.0</v>
      </c>
      <c r="B57" s="31" t="s">
        <v>399</v>
      </c>
      <c r="C57" s="32" t="s">
        <v>400</v>
      </c>
      <c r="D57" s="53"/>
      <c r="E57" s="34"/>
      <c r="F57" s="53"/>
      <c r="G57" s="53"/>
      <c r="H57" s="53"/>
      <c r="I57" s="53"/>
      <c r="J57" s="53"/>
      <c r="K57" s="53"/>
      <c r="L57" s="53"/>
      <c r="M57" s="53"/>
      <c r="N57" s="53"/>
      <c r="O57" s="53"/>
      <c r="P57" s="53"/>
      <c r="Q57" s="53"/>
      <c r="R57" s="53"/>
      <c r="S57" s="35" t="str">
        <f t="shared" si="1"/>
        <v>#DIV/0!</v>
      </c>
      <c r="T57" s="36" t="str">
        <f t="shared" si="2"/>
        <v>#DIV/0!</v>
      </c>
      <c r="U57" s="37" t="str">
        <f t="shared" si="3"/>
        <v>#DIV/0!</v>
      </c>
      <c r="V57" s="38"/>
      <c r="W57" s="38" t="str">
        <f t="shared" si="4"/>
        <v>#DIV/0!</v>
      </c>
      <c r="X57" s="39" t="str">
        <f t="shared" si="5"/>
        <v>#DIV/0!</v>
      </c>
      <c r="Y57" s="40"/>
      <c r="Z57" s="41"/>
      <c r="AA57" s="42" t="str">
        <f t="shared" si="6"/>
        <v>#DIV/0!</v>
      </c>
    </row>
    <row r="58" ht="14.25" customHeight="1">
      <c r="A58" s="30">
        <v>46.0</v>
      </c>
      <c r="B58" s="31" t="s">
        <v>401</v>
      </c>
      <c r="C58" s="32" t="s">
        <v>402</v>
      </c>
      <c r="D58" s="53"/>
      <c r="E58" s="34"/>
      <c r="F58" s="53"/>
      <c r="G58" s="53"/>
      <c r="H58" s="53"/>
      <c r="I58" s="53"/>
      <c r="J58" s="53"/>
      <c r="K58" s="53"/>
      <c r="L58" s="53"/>
      <c r="M58" s="53"/>
      <c r="N58" s="53"/>
      <c r="O58" s="53"/>
      <c r="P58" s="53"/>
      <c r="Q58" s="53"/>
      <c r="R58" s="53"/>
      <c r="S58" s="35" t="str">
        <f t="shared" si="1"/>
        <v>#DIV/0!</v>
      </c>
      <c r="T58" s="36" t="str">
        <f t="shared" si="2"/>
        <v>#DIV/0!</v>
      </c>
      <c r="U58" s="37" t="str">
        <f t="shared" si="3"/>
        <v>#DIV/0!</v>
      </c>
      <c r="V58" s="38"/>
      <c r="W58" s="38" t="str">
        <f t="shared" si="4"/>
        <v>#DIV/0!</v>
      </c>
      <c r="X58" s="39" t="str">
        <f t="shared" si="5"/>
        <v>#DIV/0!</v>
      </c>
      <c r="Y58" s="40"/>
      <c r="Z58" s="41"/>
      <c r="AA58" s="42" t="str">
        <f t="shared" si="6"/>
        <v>#DIV/0!</v>
      </c>
    </row>
    <row r="59" ht="14.25" customHeight="1"/>
    <row r="60" ht="14.25" customHeight="1">
      <c r="Y60" s="54" t="s">
        <v>117</v>
      </c>
      <c r="AA60" s="54"/>
    </row>
    <row r="61" ht="14.25" customHeight="1">
      <c r="Y61" s="54" t="s">
        <v>118</v>
      </c>
    </row>
    <row r="62" ht="14.25" customHeight="1">
      <c r="Y62" s="54" t="s">
        <v>119</v>
      </c>
    </row>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9.86"/>
    <col customWidth="1" min="3" max="3" width="32.43"/>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7" width="5.14"/>
  </cols>
  <sheetData>
    <row r="1" ht="78.0" customHeight="1">
      <c r="A1" s="1" t="s">
        <v>403</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404</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31.5" customHeight="1">
      <c r="A11" s="11"/>
      <c r="B11" s="11"/>
      <c r="C11" s="11"/>
      <c r="D11" s="12"/>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3">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405</v>
      </c>
      <c r="C13" s="32" t="s">
        <v>406</v>
      </c>
      <c r="D13" s="33"/>
      <c r="E13" s="34"/>
      <c r="F13" s="33"/>
      <c r="G13" s="33"/>
      <c r="H13" s="33"/>
      <c r="I13" s="33"/>
      <c r="J13" s="33"/>
      <c r="K13" s="33"/>
      <c r="L13" s="33"/>
      <c r="M13" s="33"/>
      <c r="N13" s="33"/>
      <c r="O13" s="33"/>
      <c r="P13" s="33"/>
      <c r="Q13" s="33"/>
      <c r="R13" s="33"/>
      <c r="S13" s="35" t="str">
        <f t="shared" ref="S13:S57" si="1">AVERAGE(D13:H13)</f>
        <v>#DIV/0!</v>
      </c>
      <c r="T13" s="36" t="str">
        <f t="shared" ref="T13:T57" si="2">AVERAGE(I13:M13)</f>
        <v>#DIV/0!</v>
      </c>
      <c r="U13" s="37" t="str">
        <f t="shared" ref="U13:U57" si="3">AVERAGE(N13:R13)</f>
        <v>#DIV/0!</v>
      </c>
      <c r="V13" s="38"/>
      <c r="W13" s="38" t="str">
        <f t="shared" ref="W13:W57" si="4">AVERAGE(S13:U13)</f>
        <v>#DIV/0!</v>
      </c>
      <c r="X13" s="39" t="str">
        <f t="shared" ref="X13:X57" si="5">ROUND(AVERAGE(V13:W13),0)</f>
        <v>#DIV/0!</v>
      </c>
      <c r="Y13" s="40"/>
      <c r="Z13" s="41">
        <v>1.0</v>
      </c>
      <c r="AA13" s="42" t="str">
        <f t="shared" ref="AA13:AA57" si="6">ROUND(IF((X13*(IF(Y13="A",105%,IF(Y13="B",102%,IF(Y13="C",75%,50%))))*Z13)&gt;100,100,(X13*(IF(Y13="A",105%,IF(Y13="B",102%,IF(Y13="C",75%,50%))))*Z13)),0)</f>
        <v>#DIV/0!</v>
      </c>
    </row>
    <row r="14" ht="14.25" customHeight="1">
      <c r="A14" s="30">
        <v>2.0</v>
      </c>
      <c r="B14" s="31" t="s">
        <v>407</v>
      </c>
      <c r="C14" s="32" t="s">
        <v>408</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row>
    <row r="15" ht="14.25" customHeight="1">
      <c r="A15" s="30">
        <v>3.0</v>
      </c>
      <c r="B15" s="31" t="s">
        <v>409</v>
      </c>
      <c r="C15" s="32" t="s">
        <v>410</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row>
    <row r="16" ht="14.25" customHeight="1">
      <c r="A16" s="30">
        <v>4.0</v>
      </c>
      <c r="B16" s="31" t="s">
        <v>411</v>
      </c>
      <c r="C16" s="32" t="s">
        <v>412</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row>
    <row r="17" ht="14.25" customHeight="1">
      <c r="A17" s="30">
        <v>5.0</v>
      </c>
      <c r="B17" s="31" t="s">
        <v>413</v>
      </c>
      <c r="C17" s="32" t="s">
        <v>414</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row>
    <row r="18" ht="14.25" customHeight="1">
      <c r="A18" s="30">
        <v>6.0</v>
      </c>
      <c r="B18" s="31" t="s">
        <v>415</v>
      </c>
      <c r="C18" s="32" t="s">
        <v>416</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row>
    <row r="19" ht="14.25" customHeight="1">
      <c r="A19" s="30">
        <v>7.0</v>
      </c>
      <c r="B19" s="31" t="s">
        <v>417</v>
      </c>
      <c r="C19" s="32" t="s">
        <v>418</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row>
    <row r="20" ht="14.25" customHeight="1">
      <c r="A20" s="30">
        <v>8.0</v>
      </c>
      <c r="B20" s="31" t="s">
        <v>419</v>
      </c>
      <c r="C20" s="32" t="s">
        <v>420</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row>
    <row r="21" ht="14.25" customHeight="1">
      <c r="A21" s="30">
        <v>9.0</v>
      </c>
      <c r="B21" s="31" t="s">
        <v>421</v>
      </c>
      <c r="C21" s="32" t="s">
        <v>422</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row>
    <row r="22" ht="14.25" customHeight="1">
      <c r="A22" s="30">
        <v>10.0</v>
      </c>
      <c r="B22" s="31" t="s">
        <v>423</v>
      </c>
      <c r="C22" s="32" t="s">
        <v>424</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row>
    <row r="23" ht="14.25" customHeight="1">
      <c r="A23" s="30">
        <v>11.0</v>
      </c>
      <c r="B23" s="31" t="s">
        <v>425</v>
      </c>
      <c r="C23" s="32" t="s">
        <v>426</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row>
    <row r="24" ht="14.25" customHeight="1">
      <c r="A24" s="30">
        <v>12.0</v>
      </c>
      <c r="B24" s="31" t="s">
        <v>427</v>
      </c>
      <c r="C24" s="32" t="s">
        <v>428</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row>
    <row r="25" ht="14.25" customHeight="1">
      <c r="A25" s="30">
        <v>13.0</v>
      </c>
      <c r="B25" s="31" t="s">
        <v>429</v>
      </c>
      <c r="C25" s="32" t="s">
        <v>430</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row>
    <row r="26" ht="14.25" customHeight="1">
      <c r="A26" s="30">
        <v>14.0</v>
      </c>
      <c r="B26" s="31" t="s">
        <v>431</v>
      </c>
      <c r="C26" s="32" t="s">
        <v>432</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row>
    <row r="27" ht="14.25" customHeight="1">
      <c r="A27" s="30">
        <v>15.0</v>
      </c>
      <c r="B27" s="31" t="s">
        <v>433</v>
      </c>
      <c r="C27" s="32" t="s">
        <v>434</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row>
    <row r="28" ht="14.25" customHeight="1">
      <c r="A28" s="30">
        <v>16.0</v>
      </c>
      <c r="B28" s="31" t="s">
        <v>435</v>
      </c>
      <c r="C28" s="32" t="s">
        <v>436</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row>
    <row r="29" ht="14.25" customHeight="1">
      <c r="A29" s="30">
        <v>17.0</v>
      </c>
      <c r="B29" s="31" t="s">
        <v>437</v>
      </c>
      <c r="C29" s="32" t="s">
        <v>438</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row>
    <row r="30" ht="14.25" customHeight="1">
      <c r="A30" s="30">
        <v>18.0</v>
      </c>
      <c r="B30" s="31" t="s">
        <v>439</v>
      </c>
      <c r="C30" s="32" t="s">
        <v>440</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row>
    <row r="31" ht="14.25" customHeight="1">
      <c r="A31" s="30">
        <v>19.0</v>
      </c>
      <c r="B31" s="31" t="s">
        <v>441</v>
      </c>
      <c r="C31" s="32" t="s">
        <v>442</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row>
    <row r="32" ht="14.25" customHeight="1">
      <c r="A32" s="30">
        <v>20.0</v>
      </c>
      <c r="B32" s="31" t="s">
        <v>443</v>
      </c>
      <c r="C32" s="32" t="s">
        <v>444</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row>
    <row r="33" ht="14.25" customHeight="1">
      <c r="A33" s="30">
        <v>21.0</v>
      </c>
      <c r="B33" s="31" t="s">
        <v>445</v>
      </c>
      <c r="C33" s="32" t="s">
        <v>446</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row>
    <row r="34" ht="14.25" customHeight="1">
      <c r="A34" s="30">
        <v>22.0</v>
      </c>
      <c r="B34" s="31" t="s">
        <v>447</v>
      </c>
      <c r="C34" s="32" t="s">
        <v>448</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row>
    <row r="35" ht="14.25" customHeight="1">
      <c r="A35" s="30">
        <v>23.0</v>
      </c>
      <c r="B35" s="31" t="s">
        <v>449</v>
      </c>
      <c r="C35" s="32" t="s">
        <v>450</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row>
    <row r="36" ht="14.25" customHeight="1">
      <c r="A36" s="30">
        <v>24.0</v>
      </c>
      <c r="B36" s="31" t="s">
        <v>451</v>
      </c>
      <c r="C36" s="32" t="s">
        <v>452</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row>
    <row r="37" ht="14.25" customHeight="1">
      <c r="A37" s="30">
        <v>25.0</v>
      </c>
      <c r="B37" s="31" t="s">
        <v>453</v>
      </c>
      <c r="C37" s="32" t="s">
        <v>454</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row>
    <row r="38" ht="14.25" customHeight="1">
      <c r="A38" s="30">
        <v>26.0</v>
      </c>
      <c r="B38" s="31" t="s">
        <v>455</v>
      </c>
      <c r="C38" s="32" t="s">
        <v>456</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row>
    <row r="39" ht="14.25" customHeight="1">
      <c r="A39" s="30">
        <v>27.0</v>
      </c>
      <c r="B39" s="31" t="s">
        <v>457</v>
      </c>
      <c r="C39" s="32" t="s">
        <v>458</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row>
    <row r="40" ht="14.25" customHeight="1">
      <c r="A40" s="30">
        <v>28.0</v>
      </c>
      <c r="B40" s="31" t="s">
        <v>459</v>
      </c>
      <c r="C40" s="32" t="s">
        <v>460</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row>
    <row r="41" ht="14.25" customHeight="1">
      <c r="A41" s="30">
        <v>29.0</v>
      </c>
      <c r="B41" s="31" t="s">
        <v>461</v>
      </c>
      <c r="C41" s="32" t="s">
        <v>462</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row>
    <row r="42" ht="14.25" customHeight="1">
      <c r="A42" s="30">
        <v>30.0</v>
      </c>
      <c r="B42" s="31" t="s">
        <v>463</v>
      </c>
      <c r="C42" s="32" t="s">
        <v>464</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row>
    <row r="43" ht="14.25" customHeight="1">
      <c r="A43" s="30">
        <v>31.0</v>
      </c>
      <c r="B43" s="31" t="s">
        <v>465</v>
      </c>
      <c r="C43" s="32" t="s">
        <v>466</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row>
    <row r="44" ht="14.25" customHeight="1">
      <c r="A44" s="30">
        <v>32.0</v>
      </c>
      <c r="B44" s="31" t="s">
        <v>467</v>
      </c>
      <c r="C44" s="32" t="s">
        <v>468</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row>
    <row r="45" ht="14.25" customHeight="1">
      <c r="A45" s="30">
        <v>33.0</v>
      </c>
      <c r="B45" s="31" t="s">
        <v>469</v>
      </c>
      <c r="C45" s="32" t="s">
        <v>470</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row>
    <row r="46" ht="14.25" customHeight="1">
      <c r="A46" s="43">
        <v>34.0</v>
      </c>
      <c r="B46" s="31" t="s">
        <v>471</v>
      </c>
      <c r="C46" s="32" t="s">
        <v>472</v>
      </c>
      <c r="D46" s="44"/>
      <c r="E46" s="34"/>
      <c r="F46" s="44"/>
      <c r="G46" s="44"/>
      <c r="H46" s="44"/>
      <c r="I46" s="44"/>
      <c r="J46" s="44"/>
      <c r="K46" s="44"/>
      <c r="L46" s="44"/>
      <c r="M46" s="44"/>
      <c r="N46" s="44"/>
      <c r="O46" s="44"/>
      <c r="P46" s="44"/>
      <c r="Q46" s="44"/>
      <c r="R46" s="44"/>
      <c r="S46" s="45" t="str">
        <f t="shared" si="1"/>
        <v>#DIV/0!</v>
      </c>
      <c r="T46" s="46" t="str">
        <f t="shared" si="2"/>
        <v>#DIV/0!</v>
      </c>
      <c r="U46" s="47" t="str">
        <f t="shared" si="3"/>
        <v>#DIV/0!</v>
      </c>
      <c r="V46" s="48"/>
      <c r="W46" s="48" t="str">
        <f t="shared" si="4"/>
        <v>#DIV/0!</v>
      </c>
      <c r="X46" s="49" t="str">
        <f t="shared" si="5"/>
        <v>#DIV/0!</v>
      </c>
      <c r="Y46" s="50"/>
      <c r="Z46" s="51">
        <v>1.0</v>
      </c>
      <c r="AA46" s="52" t="str">
        <f t="shared" si="6"/>
        <v>#DIV/0!</v>
      </c>
    </row>
    <row r="47" ht="14.25" customHeight="1">
      <c r="A47" s="30">
        <v>35.0</v>
      </c>
      <c r="B47" s="31" t="s">
        <v>473</v>
      </c>
      <c r="C47" s="32" t="s">
        <v>474</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row>
    <row r="48" ht="14.25" customHeight="1">
      <c r="A48" s="30">
        <v>36.0</v>
      </c>
      <c r="B48" s="31" t="s">
        <v>475</v>
      </c>
      <c r="C48" s="32" t="s">
        <v>476</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row>
    <row r="49" ht="14.25" customHeight="1">
      <c r="A49" s="30">
        <v>37.0</v>
      </c>
      <c r="B49" s="31" t="s">
        <v>477</v>
      </c>
      <c r="C49" s="32" t="s">
        <v>478</v>
      </c>
      <c r="D49" s="53"/>
      <c r="E49" s="34"/>
      <c r="F49" s="53"/>
      <c r="G49" s="53"/>
      <c r="H49" s="53"/>
      <c r="I49" s="53"/>
      <c r="J49" s="53"/>
      <c r="K49" s="53"/>
      <c r="L49" s="53"/>
      <c r="M49" s="53"/>
      <c r="N49" s="53"/>
      <c r="O49" s="53"/>
      <c r="P49" s="53"/>
      <c r="Q49" s="53"/>
      <c r="R49" s="53"/>
      <c r="S49" s="35" t="str">
        <f t="shared" si="1"/>
        <v>#DIV/0!</v>
      </c>
      <c r="T49" s="36" t="str">
        <f t="shared" si="2"/>
        <v>#DIV/0!</v>
      </c>
      <c r="U49" s="37" t="str">
        <f t="shared" si="3"/>
        <v>#DIV/0!</v>
      </c>
      <c r="V49" s="38"/>
      <c r="W49" s="38" t="str">
        <f t="shared" si="4"/>
        <v>#DIV/0!</v>
      </c>
      <c r="X49" s="39" t="str">
        <f t="shared" si="5"/>
        <v>#DIV/0!</v>
      </c>
      <c r="Y49" s="40"/>
      <c r="Z49" s="41"/>
      <c r="AA49" s="42" t="str">
        <f t="shared" si="6"/>
        <v>#DIV/0!</v>
      </c>
    </row>
    <row r="50" ht="14.25" customHeight="1">
      <c r="A50" s="30">
        <v>38.0</v>
      </c>
      <c r="B50" s="31" t="s">
        <v>479</v>
      </c>
      <c r="C50" s="32" t="s">
        <v>480</v>
      </c>
      <c r="D50" s="53"/>
      <c r="E50" s="34"/>
      <c r="F50" s="53"/>
      <c r="G50" s="53"/>
      <c r="H50" s="53"/>
      <c r="I50" s="53"/>
      <c r="J50" s="53"/>
      <c r="K50" s="53"/>
      <c r="L50" s="53"/>
      <c r="M50" s="53"/>
      <c r="N50" s="53"/>
      <c r="O50" s="53"/>
      <c r="P50" s="53"/>
      <c r="Q50" s="53"/>
      <c r="R50" s="53"/>
      <c r="S50" s="35" t="str">
        <f t="shared" si="1"/>
        <v>#DIV/0!</v>
      </c>
      <c r="T50" s="36" t="str">
        <f t="shared" si="2"/>
        <v>#DIV/0!</v>
      </c>
      <c r="U50" s="37" t="str">
        <f t="shared" si="3"/>
        <v>#DIV/0!</v>
      </c>
      <c r="V50" s="38"/>
      <c r="W50" s="38" t="str">
        <f t="shared" si="4"/>
        <v>#DIV/0!</v>
      </c>
      <c r="X50" s="39" t="str">
        <f t="shared" si="5"/>
        <v>#DIV/0!</v>
      </c>
      <c r="Y50" s="40"/>
      <c r="Z50" s="41"/>
      <c r="AA50" s="42" t="str">
        <f t="shared" si="6"/>
        <v>#DIV/0!</v>
      </c>
    </row>
    <row r="51" ht="14.25" customHeight="1">
      <c r="A51" s="30">
        <v>39.0</v>
      </c>
      <c r="B51" s="31" t="s">
        <v>481</v>
      </c>
      <c r="C51" s="32" t="s">
        <v>482</v>
      </c>
      <c r="D51" s="53"/>
      <c r="E51" s="34"/>
      <c r="F51" s="53"/>
      <c r="G51" s="53"/>
      <c r="H51" s="53"/>
      <c r="I51" s="53"/>
      <c r="J51" s="53"/>
      <c r="K51" s="53"/>
      <c r="L51" s="53"/>
      <c r="M51" s="53"/>
      <c r="N51" s="53"/>
      <c r="O51" s="53"/>
      <c r="P51" s="53"/>
      <c r="Q51" s="53"/>
      <c r="R51" s="53"/>
      <c r="S51" s="35" t="str">
        <f t="shared" si="1"/>
        <v>#DIV/0!</v>
      </c>
      <c r="T51" s="36" t="str">
        <f t="shared" si="2"/>
        <v>#DIV/0!</v>
      </c>
      <c r="U51" s="37" t="str">
        <f t="shared" si="3"/>
        <v>#DIV/0!</v>
      </c>
      <c r="V51" s="38"/>
      <c r="W51" s="38" t="str">
        <f t="shared" si="4"/>
        <v>#DIV/0!</v>
      </c>
      <c r="X51" s="39" t="str">
        <f t="shared" si="5"/>
        <v>#DIV/0!</v>
      </c>
      <c r="Y51" s="40"/>
      <c r="Z51" s="41"/>
      <c r="AA51" s="42" t="str">
        <f t="shared" si="6"/>
        <v>#DIV/0!</v>
      </c>
    </row>
    <row r="52" ht="14.25" customHeight="1">
      <c r="A52" s="30">
        <v>40.0</v>
      </c>
      <c r="B52" s="31" t="s">
        <v>483</v>
      </c>
      <c r="C52" s="32" t="s">
        <v>484</v>
      </c>
      <c r="D52" s="53"/>
      <c r="E52" s="34"/>
      <c r="F52" s="53"/>
      <c r="G52" s="53"/>
      <c r="H52" s="53"/>
      <c r="I52" s="53"/>
      <c r="J52" s="53"/>
      <c r="K52" s="53"/>
      <c r="L52" s="53"/>
      <c r="M52" s="53"/>
      <c r="N52" s="53"/>
      <c r="O52" s="53"/>
      <c r="P52" s="53"/>
      <c r="Q52" s="53"/>
      <c r="R52" s="53"/>
      <c r="S52" s="35" t="str">
        <f t="shared" si="1"/>
        <v>#DIV/0!</v>
      </c>
      <c r="T52" s="36" t="str">
        <f t="shared" si="2"/>
        <v>#DIV/0!</v>
      </c>
      <c r="U52" s="37" t="str">
        <f t="shared" si="3"/>
        <v>#DIV/0!</v>
      </c>
      <c r="V52" s="38"/>
      <c r="W52" s="38" t="str">
        <f t="shared" si="4"/>
        <v>#DIV/0!</v>
      </c>
      <c r="X52" s="39" t="str">
        <f t="shared" si="5"/>
        <v>#DIV/0!</v>
      </c>
      <c r="Y52" s="40"/>
      <c r="Z52" s="41"/>
      <c r="AA52" s="42" t="str">
        <f t="shared" si="6"/>
        <v>#DIV/0!</v>
      </c>
    </row>
    <row r="53" ht="14.25" customHeight="1">
      <c r="A53" s="30">
        <v>41.0</v>
      </c>
      <c r="B53" s="31" t="s">
        <v>485</v>
      </c>
      <c r="C53" s="32" t="s">
        <v>486</v>
      </c>
      <c r="D53" s="53"/>
      <c r="E53" s="34"/>
      <c r="F53" s="53"/>
      <c r="G53" s="53"/>
      <c r="H53" s="53"/>
      <c r="I53" s="53"/>
      <c r="J53" s="53"/>
      <c r="K53" s="53"/>
      <c r="L53" s="53"/>
      <c r="M53" s="53"/>
      <c r="N53" s="53"/>
      <c r="O53" s="53"/>
      <c r="P53" s="53"/>
      <c r="Q53" s="53"/>
      <c r="R53" s="53"/>
      <c r="S53" s="35" t="str">
        <f t="shared" si="1"/>
        <v>#DIV/0!</v>
      </c>
      <c r="T53" s="36" t="str">
        <f t="shared" si="2"/>
        <v>#DIV/0!</v>
      </c>
      <c r="U53" s="37" t="str">
        <f t="shared" si="3"/>
        <v>#DIV/0!</v>
      </c>
      <c r="V53" s="38"/>
      <c r="W53" s="38" t="str">
        <f t="shared" si="4"/>
        <v>#DIV/0!</v>
      </c>
      <c r="X53" s="39" t="str">
        <f t="shared" si="5"/>
        <v>#DIV/0!</v>
      </c>
      <c r="Y53" s="40"/>
      <c r="Z53" s="41"/>
      <c r="AA53" s="42" t="str">
        <f t="shared" si="6"/>
        <v>#DIV/0!</v>
      </c>
    </row>
    <row r="54" ht="14.25" customHeight="1">
      <c r="A54" s="30">
        <v>42.0</v>
      </c>
      <c r="B54" s="31" t="s">
        <v>487</v>
      </c>
      <c r="C54" s="32" t="s">
        <v>488</v>
      </c>
      <c r="D54" s="53"/>
      <c r="E54" s="34"/>
      <c r="F54" s="53"/>
      <c r="G54" s="53"/>
      <c r="H54" s="53"/>
      <c r="I54" s="53"/>
      <c r="J54" s="53"/>
      <c r="K54" s="53"/>
      <c r="L54" s="53"/>
      <c r="M54" s="53"/>
      <c r="N54" s="53"/>
      <c r="O54" s="53"/>
      <c r="P54" s="53"/>
      <c r="Q54" s="53"/>
      <c r="R54" s="53"/>
      <c r="S54" s="35" t="str">
        <f t="shared" si="1"/>
        <v>#DIV/0!</v>
      </c>
      <c r="T54" s="36" t="str">
        <f t="shared" si="2"/>
        <v>#DIV/0!</v>
      </c>
      <c r="U54" s="37" t="str">
        <f t="shared" si="3"/>
        <v>#DIV/0!</v>
      </c>
      <c r="V54" s="38"/>
      <c r="W54" s="38" t="str">
        <f t="shared" si="4"/>
        <v>#DIV/0!</v>
      </c>
      <c r="X54" s="39" t="str">
        <f t="shared" si="5"/>
        <v>#DIV/0!</v>
      </c>
      <c r="Y54" s="40"/>
      <c r="Z54" s="41"/>
      <c r="AA54" s="42" t="str">
        <f t="shared" si="6"/>
        <v>#DIV/0!</v>
      </c>
    </row>
    <row r="55" ht="14.25" customHeight="1">
      <c r="A55" s="30">
        <v>43.0</v>
      </c>
      <c r="B55" s="31" t="s">
        <v>489</v>
      </c>
      <c r="C55" s="32" t="s">
        <v>490</v>
      </c>
      <c r="D55" s="53"/>
      <c r="E55" s="34"/>
      <c r="F55" s="53"/>
      <c r="G55" s="53"/>
      <c r="H55" s="53"/>
      <c r="I55" s="53"/>
      <c r="J55" s="53"/>
      <c r="K55" s="53"/>
      <c r="L55" s="53"/>
      <c r="M55" s="53"/>
      <c r="N55" s="53"/>
      <c r="O55" s="53"/>
      <c r="P55" s="53"/>
      <c r="Q55" s="53"/>
      <c r="R55" s="53"/>
      <c r="S55" s="35" t="str">
        <f t="shared" si="1"/>
        <v>#DIV/0!</v>
      </c>
      <c r="T55" s="36" t="str">
        <f t="shared" si="2"/>
        <v>#DIV/0!</v>
      </c>
      <c r="U55" s="37" t="str">
        <f t="shared" si="3"/>
        <v>#DIV/0!</v>
      </c>
      <c r="V55" s="38"/>
      <c r="W55" s="38" t="str">
        <f t="shared" si="4"/>
        <v>#DIV/0!</v>
      </c>
      <c r="X55" s="39" t="str">
        <f t="shared" si="5"/>
        <v>#DIV/0!</v>
      </c>
      <c r="Y55" s="40"/>
      <c r="Z55" s="41"/>
      <c r="AA55" s="42" t="str">
        <f t="shared" si="6"/>
        <v>#DIV/0!</v>
      </c>
    </row>
    <row r="56" ht="14.25" customHeight="1">
      <c r="A56" s="30">
        <v>44.0</v>
      </c>
      <c r="B56" s="31" t="s">
        <v>491</v>
      </c>
      <c r="C56" s="32" t="s">
        <v>492</v>
      </c>
      <c r="D56" s="53"/>
      <c r="E56" s="34"/>
      <c r="F56" s="53"/>
      <c r="G56" s="53"/>
      <c r="H56" s="53"/>
      <c r="I56" s="53"/>
      <c r="J56" s="53"/>
      <c r="K56" s="53"/>
      <c r="L56" s="53"/>
      <c r="M56" s="53"/>
      <c r="N56" s="53"/>
      <c r="O56" s="53"/>
      <c r="P56" s="53"/>
      <c r="Q56" s="53"/>
      <c r="R56" s="53"/>
      <c r="S56" s="35" t="str">
        <f t="shared" si="1"/>
        <v>#DIV/0!</v>
      </c>
      <c r="T56" s="36" t="str">
        <f t="shared" si="2"/>
        <v>#DIV/0!</v>
      </c>
      <c r="U56" s="37" t="str">
        <f t="shared" si="3"/>
        <v>#DIV/0!</v>
      </c>
      <c r="V56" s="38"/>
      <c r="W56" s="38" t="str">
        <f t="shared" si="4"/>
        <v>#DIV/0!</v>
      </c>
      <c r="X56" s="39" t="str">
        <f t="shared" si="5"/>
        <v>#DIV/0!</v>
      </c>
      <c r="Y56" s="40"/>
      <c r="Z56" s="41"/>
      <c r="AA56" s="42" t="str">
        <f t="shared" si="6"/>
        <v>#DIV/0!</v>
      </c>
    </row>
    <row r="57" ht="14.25" customHeight="1">
      <c r="A57" s="30">
        <v>45.0</v>
      </c>
      <c r="B57" s="31" t="s">
        <v>493</v>
      </c>
      <c r="C57" s="32" t="s">
        <v>494</v>
      </c>
      <c r="D57" s="53"/>
      <c r="E57" s="34"/>
      <c r="F57" s="53"/>
      <c r="G57" s="53"/>
      <c r="H57" s="53"/>
      <c r="I57" s="53"/>
      <c r="J57" s="53"/>
      <c r="K57" s="53"/>
      <c r="L57" s="53"/>
      <c r="M57" s="53"/>
      <c r="N57" s="53"/>
      <c r="O57" s="53"/>
      <c r="P57" s="53"/>
      <c r="Q57" s="53"/>
      <c r="R57" s="53"/>
      <c r="S57" s="35" t="str">
        <f t="shared" si="1"/>
        <v>#DIV/0!</v>
      </c>
      <c r="T57" s="36" t="str">
        <f t="shared" si="2"/>
        <v>#DIV/0!</v>
      </c>
      <c r="U57" s="37" t="str">
        <f t="shared" si="3"/>
        <v>#DIV/0!</v>
      </c>
      <c r="V57" s="38"/>
      <c r="W57" s="38" t="str">
        <f t="shared" si="4"/>
        <v>#DIV/0!</v>
      </c>
      <c r="X57" s="39" t="str">
        <f t="shared" si="5"/>
        <v>#DIV/0!</v>
      </c>
      <c r="Y57" s="40"/>
      <c r="Z57" s="41"/>
      <c r="AA57" s="42" t="str">
        <f t="shared" si="6"/>
        <v>#DIV/0!</v>
      </c>
    </row>
    <row r="58" ht="14.25" customHeight="1"/>
    <row r="59" ht="14.25" customHeight="1">
      <c r="Y59" s="54" t="s">
        <v>117</v>
      </c>
      <c r="AA59" s="54"/>
    </row>
    <row r="60" ht="14.25" customHeight="1">
      <c r="Y60" s="54" t="s">
        <v>118</v>
      </c>
    </row>
    <row r="61" ht="14.25" customHeight="1">
      <c r="Y61" s="54" t="s">
        <v>119</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9.86"/>
    <col customWidth="1" min="3" max="3" width="32.86"/>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7" width="5.14"/>
  </cols>
  <sheetData>
    <row r="1" ht="78.0" customHeight="1">
      <c r="A1" s="1" t="s">
        <v>495</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496</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33.75" customHeight="1">
      <c r="A11" s="11"/>
      <c r="B11" s="11"/>
      <c r="C11" s="11"/>
      <c r="D11" s="12"/>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3">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497</v>
      </c>
      <c r="C13" s="32" t="s">
        <v>498</v>
      </c>
      <c r="D13" s="33"/>
      <c r="E13" s="34"/>
      <c r="F13" s="33"/>
      <c r="G13" s="33"/>
      <c r="H13" s="33"/>
      <c r="I13" s="33"/>
      <c r="J13" s="33"/>
      <c r="K13" s="33"/>
      <c r="L13" s="33"/>
      <c r="M13" s="33"/>
      <c r="N13" s="33"/>
      <c r="O13" s="33"/>
      <c r="P13" s="33"/>
      <c r="Q13" s="33"/>
      <c r="R13" s="33"/>
      <c r="S13" s="35" t="str">
        <f t="shared" ref="S13:S57" si="1">AVERAGE(D13:H13)</f>
        <v>#DIV/0!</v>
      </c>
      <c r="T13" s="36" t="str">
        <f t="shared" ref="T13:T57" si="2">AVERAGE(I13:M13)</f>
        <v>#DIV/0!</v>
      </c>
      <c r="U13" s="37" t="str">
        <f t="shared" ref="U13:U57" si="3">AVERAGE(N13:R13)</f>
        <v>#DIV/0!</v>
      </c>
      <c r="V13" s="38"/>
      <c r="W13" s="38" t="str">
        <f t="shared" ref="W13:W57" si="4">AVERAGE(S13:U13)</f>
        <v>#DIV/0!</v>
      </c>
      <c r="X13" s="39" t="str">
        <f t="shared" ref="X13:X57" si="5">ROUND(AVERAGE(V13:W13),0)</f>
        <v>#DIV/0!</v>
      </c>
      <c r="Y13" s="40"/>
      <c r="Z13" s="41">
        <v>1.0</v>
      </c>
      <c r="AA13" s="42" t="str">
        <f t="shared" ref="AA13:AA57" si="6">ROUND(IF((X13*(IF(Y13="A",105%,IF(Y13="B",102%,IF(Y13="C",75%,50%))))*Z13)&gt;100,100,(X13*(IF(Y13="A",105%,IF(Y13="B",102%,IF(Y13="C",75%,50%))))*Z13)),0)</f>
        <v>#DIV/0!</v>
      </c>
    </row>
    <row r="14" ht="14.25" customHeight="1">
      <c r="A14" s="30">
        <v>2.0</v>
      </c>
      <c r="B14" s="31" t="s">
        <v>499</v>
      </c>
      <c r="C14" s="32" t="s">
        <v>500</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row>
    <row r="15" ht="14.25" customHeight="1">
      <c r="A15" s="30">
        <v>3.0</v>
      </c>
      <c r="B15" s="31" t="s">
        <v>501</v>
      </c>
      <c r="C15" s="32" t="s">
        <v>502</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row>
    <row r="16" ht="14.25" customHeight="1">
      <c r="A16" s="30">
        <v>4.0</v>
      </c>
      <c r="B16" s="31" t="s">
        <v>503</v>
      </c>
      <c r="C16" s="32" t="s">
        <v>504</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row>
    <row r="17" ht="14.25" customHeight="1">
      <c r="A17" s="30">
        <v>5.0</v>
      </c>
      <c r="B17" s="31" t="s">
        <v>505</v>
      </c>
      <c r="C17" s="32" t="s">
        <v>506</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row>
    <row r="18" ht="14.25" customHeight="1">
      <c r="A18" s="30">
        <v>6.0</v>
      </c>
      <c r="B18" s="31" t="s">
        <v>507</v>
      </c>
      <c r="C18" s="32" t="s">
        <v>508</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row>
    <row r="19" ht="14.25" customHeight="1">
      <c r="A19" s="30">
        <v>7.0</v>
      </c>
      <c r="B19" s="31" t="s">
        <v>509</v>
      </c>
      <c r="C19" s="32" t="s">
        <v>510</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row>
    <row r="20" ht="14.25" customHeight="1">
      <c r="A20" s="30">
        <v>8.0</v>
      </c>
      <c r="B20" s="31" t="s">
        <v>511</v>
      </c>
      <c r="C20" s="32" t="s">
        <v>512</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row>
    <row r="21" ht="14.25" customHeight="1">
      <c r="A21" s="30">
        <v>9.0</v>
      </c>
      <c r="B21" s="31" t="s">
        <v>513</v>
      </c>
      <c r="C21" s="32" t="s">
        <v>514</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row>
    <row r="22" ht="14.25" customHeight="1">
      <c r="A22" s="30">
        <v>10.0</v>
      </c>
      <c r="B22" s="31" t="s">
        <v>515</v>
      </c>
      <c r="C22" s="32" t="s">
        <v>516</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row>
    <row r="23" ht="14.25" customHeight="1">
      <c r="A23" s="30">
        <v>11.0</v>
      </c>
      <c r="B23" s="31" t="s">
        <v>517</v>
      </c>
      <c r="C23" s="32" t="s">
        <v>518</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row>
    <row r="24" ht="14.25" customHeight="1">
      <c r="A24" s="30">
        <v>12.0</v>
      </c>
      <c r="B24" s="31" t="s">
        <v>519</v>
      </c>
      <c r="C24" s="32" t="s">
        <v>520</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row>
    <row r="25" ht="14.25" customHeight="1">
      <c r="A25" s="30">
        <v>13.0</v>
      </c>
      <c r="B25" s="31" t="s">
        <v>521</v>
      </c>
      <c r="C25" s="32" t="s">
        <v>522</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row>
    <row r="26" ht="14.25" customHeight="1">
      <c r="A26" s="30">
        <v>14.0</v>
      </c>
      <c r="B26" s="31" t="s">
        <v>523</v>
      </c>
      <c r="C26" s="32" t="s">
        <v>524</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row>
    <row r="27" ht="14.25" customHeight="1">
      <c r="A27" s="30">
        <v>15.0</v>
      </c>
      <c r="B27" s="31" t="s">
        <v>525</v>
      </c>
      <c r="C27" s="32" t="s">
        <v>526</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row>
    <row r="28" ht="14.25" customHeight="1">
      <c r="A28" s="30">
        <v>16.0</v>
      </c>
      <c r="B28" s="31" t="s">
        <v>527</v>
      </c>
      <c r="C28" s="32" t="s">
        <v>528</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row>
    <row r="29" ht="14.25" customHeight="1">
      <c r="A29" s="30">
        <v>17.0</v>
      </c>
      <c r="B29" s="31" t="s">
        <v>529</v>
      </c>
      <c r="C29" s="32" t="s">
        <v>530</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row>
    <row r="30" ht="14.25" customHeight="1">
      <c r="A30" s="30">
        <v>18.0</v>
      </c>
      <c r="B30" s="31" t="s">
        <v>531</v>
      </c>
      <c r="C30" s="32" t="s">
        <v>532</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row>
    <row r="31" ht="14.25" customHeight="1">
      <c r="A31" s="30">
        <v>19.0</v>
      </c>
      <c r="B31" s="31" t="s">
        <v>533</v>
      </c>
      <c r="C31" s="32" t="s">
        <v>534</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row>
    <row r="32" ht="14.25" customHeight="1">
      <c r="A32" s="30">
        <v>20.0</v>
      </c>
      <c r="B32" s="31" t="s">
        <v>535</v>
      </c>
      <c r="C32" s="32" t="s">
        <v>536</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row>
    <row r="33" ht="14.25" customHeight="1">
      <c r="A33" s="30">
        <v>21.0</v>
      </c>
      <c r="B33" s="31" t="s">
        <v>537</v>
      </c>
      <c r="C33" s="32" t="s">
        <v>538</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row>
    <row r="34" ht="14.25" customHeight="1">
      <c r="A34" s="30">
        <v>22.0</v>
      </c>
      <c r="B34" s="31" t="s">
        <v>539</v>
      </c>
      <c r="C34" s="32" t="s">
        <v>540</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row>
    <row r="35" ht="14.25" customHeight="1">
      <c r="A35" s="30">
        <v>23.0</v>
      </c>
      <c r="B35" s="31" t="s">
        <v>541</v>
      </c>
      <c r="C35" s="32" t="s">
        <v>542</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row>
    <row r="36" ht="14.25" customHeight="1">
      <c r="A36" s="30">
        <v>24.0</v>
      </c>
      <c r="B36" s="31" t="s">
        <v>543</v>
      </c>
      <c r="C36" s="32" t="s">
        <v>544</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row>
    <row r="37" ht="14.25" customHeight="1">
      <c r="A37" s="30">
        <v>25.0</v>
      </c>
      <c r="B37" s="31" t="s">
        <v>545</v>
      </c>
      <c r="C37" s="32" t="s">
        <v>546</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row>
    <row r="38" ht="14.25" customHeight="1">
      <c r="A38" s="30">
        <v>26.0</v>
      </c>
      <c r="B38" s="31" t="s">
        <v>547</v>
      </c>
      <c r="C38" s="32" t="s">
        <v>548</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row>
    <row r="39" ht="14.25" customHeight="1">
      <c r="A39" s="30">
        <v>27.0</v>
      </c>
      <c r="B39" s="31" t="s">
        <v>549</v>
      </c>
      <c r="C39" s="32" t="s">
        <v>550</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row>
    <row r="40" ht="14.25" customHeight="1">
      <c r="A40" s="30">
        <v>28.0</v>
      </c>
      <c r="B40" s="31" t="s">
        <v>551</v>
      </c>
      <c r="C40" s="32" t="s">
        <v>552</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row>
    <row r="41" ht="14.25" customHeight="1">
      <c r="A41" s="30">
        <v>29.0</v>
      </c>
      <c r="B41" s="31" t="s">
        <v>553</v>
      </c>
      <c r="C41" s="32" t="s">
        <v>554</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row>
    <row r="42" ht="14.25" customHeight="1">
      <c r="A42" s="30">
        <v>30.0</v>
      </c>
      <c r="B42" s="31" t="s">
        <v>555</v>
      </c>
      <c r="C42" s="32" t="s">
        <v>556</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row>
    <row r="43" ht="14.25" customHeight="1">
      <c r="A43" s="30">
        <v>31.0</v>
      </c>
      <c r="B43" s="31" t="s">
        <v>557</v>
      </c>
      <c r="C43" s="32" t="s">
        <v>558</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row>
    <row r="44" ht="14.25" customHeight="1">
      <c r="A44" s="30">
        <v>32.0</v>
      </c>
      <c r="B44" s="31" t="s">
        <v>559</v>
      </c>
      <c r="C44" s="32" t="s">
        <v>560</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row>
    <row r="45" ht="14.25" customHeight="1">
      <c r="A45" s="30">
        <v>33.0</v>
      </c>
      <c r="B45" s="31" t="s">
        <v>561</v>
      </c>
      <c r="C45" s="32" t="s">
        <v>562</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row>
    <row r="46" ht="14.25" customHeight="1">
      <c r="A46" s="43">
        <v>34.0</v>
      </c>
      <c r="B46" s="31" t="s">
        <v>563</v>
      </c>
      <c r="C46" s="32" t="s">
        <v>564</v>
      </c>
      <c r="D46" s="44"/>
      <c r="E46" s="34"/>
      <c r="F46" s="44"/>
      <c r="G46" s="44"/>
      <c r="H46" s="44"/>
      <c r="I46" s="44"/>
      <c r="J46" s="44"/>
      <c r="K46" s="44"/>
      <c r="L46" s="44"/>
      <c r="M46" s="44"/>
      <c r="N46" s="44"/>
      <c r="O46" s="44"/>
      <c r="P46" s="44"/>
      <c r="Q46" s="44"/>
      <c r="R46" s="44"/>
      <c r="S46" s="45" t="str">
        <f t="shared" si="1"/>
        <v>#DIV/0!</v>
      </c>
      <c r="T46" s="46" t="str">
        <f t="shared" si="2"/>
        <v>#DIV/0!</v>
      </c>
      <c r="U46" s="47" t="str">
        <f t="shared" si="3"/>
        <v>#DIV/0!</v>
      </c>
      <c r="V46" s="48"/>
      <c r="W46" s="48" t="str">
        <f t="shared" si="4"/>
        <v>#DIV/0!</v>
      </c>
      <c r="X46" s="49" t="str">
        <f t="shared" si="5"/>
        <v>#DIV/0!</v>
      </c>
      <c r="Y46" s="50"/>
      <c r="Z46" s="51">
        <v>1.0</v>
      </c>
      <c r="AA46" s="52" t="str">
        <f t="shared" si="6"/>
        <v>#DIV/0!</v>
      </c>
    </row>
    <row r="47" ht="14.25" customHeight="1">
      <c r="A47" s="30">
        <v>35.0</v>
      </c>
      <c r="B47" s="31" t="s">
        <v>565</v>
      </c>
      <c r="C47" s="32" t="s">
        <v>566</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row>
    <row r="48" ht="14.25" customHeight="1">
      <c r="A48" s="30">
        <v>36.0</v>
      </c>
      <c r="B48" s="31" t="s">
        <v>567</v>
      </c>
      <c r="C48" s="32" t="s">
        <v>568</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row>
    <row r="49" ht="14.25" customHeight="1">
      <c r="A49" s="30">
        <v>37.0</v>
      </c>
      <c r="B49" s="31" t="s">
        <v>569</v>
      </c>
      <c r="C49" s="32" t="s">
        <v>570</v>
      </c>
      <c r="D49" s="53"/>
      <c r="E49" s="34"/>
      <c r="F49" s="53"/>
      <c r="G49" s="53"/>
      <c r="H49" s="53"/>
      <c r="I49" s="53"/>
      <c r="J49" s="53"/>
      <c r="K49" s="53"/>
      <c r="L49" s="53"/>
      <c r="M49" s="53"/>
      <c r="N49" s="53"/>
      <c r="O49" s="53"/>
      <c r="P49" s="53"/>
      <c r="Q49" s="53"/>
      <c r="R49" s="53"/>
      <c r="S49" s="35" t="str">
        <f t="shared" si="1"/>
        <v>#DIV/0!</v>
      </c>
      <c r="T49" s="36" t="str">
        <f t="shared" si="2"/>
        <v>#DIV/0!</v>
      </c>
      <c r="U49" s="37" t="str">
        <f t="shared" si="3"/>
        <v>#DIV/0!</v>
      </c>
      <c r="V49" s="38"/>
      <c r="W49" s="38" t="str">
        <f t="shared" si="4"/>
        <v>#DIV/0!</v>
      </c>
      <c r="X49" s="39" t="str">
        <f t="shared" si="5"/>
        <v>#DIV/0!</v>
      </c>
      <c r="Y49" s="40"/>
      <c r="Z49" s="41"/>
      <c r="AA49" s="42" t="str">
        <f t="shared" si="6"/>
        <v>#DIV/0!</v>
      </c>
    </row>
    <row r="50" ht="14.25" customHeight="1">
      <c r="A50" s="30">
        <v>38.0</v>
      </c>
      <c r="B50" s="31" t="s">
        <v>571</v>
      </c>
      <c r="C50" s="32" t="s">
        <v>572</v>
      </c>
      <c r="D50" s="53"/>
      <c r="E50" s="34"/>
      <c r="F50" s="53"/>
      <c r="G50" s="53"/>
      <c r="H50" s="53"/>
      <c r="I50" s="53"/>
      <c r="J50" s="53"/>
      <c r="K50" s="53"/>
      <c r="L50" s="53"/>
      <c r="M50" s="53"/>
      <c r="N50" s="53"/>
      <c r="O50" s="53"/>
      <c r="P50" s="53"/>
      <c r="Q50" s="53"/>
      <c r="R50" s="53"/>
      <c r="S50" s="35" t="str">
        <f t="shared" si="1"/>
        <v>#DIV/0!</v>
      </c>
      <c r="T50" s="36" t="str">
        <f t="shared" si="2"/>
        <v>#DIV/0!</v>
      </c>
      <c r="U50" s="37" t="str">
        <f t="shared" si="3"/>
        <v>#DIV/0!</v>
      </c>
      <c r="V50" s="38"/>
      <c r="W50" s="38" t="str">
        <f t="shared" si="4"/>
        <v>#DIV/0!</v>
      </c>
      <c r="X50" s="39" t="str">
        <f t="shared" si="5"/>
        <v>#DIV/0!</v>
      </c>
      <c r="Y50" s="40"/>
      <c r="Z50" s="41"/>
      <c r="AA50" s="42" t="str">
        <f t="shared" si="6"/>
        <v>#DIV/0!</v>
      </c>
    </row>
    <row r="51" ht="14.25" customHeight="1">
      <c r="A51" s="30">
        <v>39.0</v>
      </c>
      <c r="B51" s="31" t="s">
        <v>573</v>
      </c>
      <c r="C51" s="32" t="s">
        <v>574</v>
      </c>
      <c r="D51" s="53"/>
      <c r="E51" s="34"/>
      <c r="F51" s="53"/>
      <c r="G51" s="53"/>
      <c r="H51" s="53"/>
      <c r="I51" s="53"/>
      <c r="J51" s="53"/>
      <c r="K51" s="53"/>
      <c r="L51" s="53"/>
      <c r="M51" s="53"/>
      <c r="N51" s="53"/>
      <c r="O51" s="53"/>
      <c r="P51" s="53"/>
      <c r="Q51" s="53"/>
      <c r="R51" s="53"/>
      <c r="S51" s="35" t="str">
        <f t="shared" si="1"/>
        <v>#DIV/0!</v>
      </c>
      <c r="T51" s="36" t="str">
        <f t="shared" si="2"/>
        <v>#DIV/0!</v>
      </c>
      <c r="U51" s="37" t="str">
        <f t="shared" si="3"/>
        <v>#DIV/0!</v>
      </c>
      <c r="V51" s="38"/>
      <c r="W51" s="38" t="str">
        <f t="shared" si="4"/>
        <v>#DIV/0!</v>
      </c>
      <c r="X51" s="39" t="str">
        <f t="shared" si="5"/>
        <v>#DIV/0!</v>
      </c>
      <c r="Y51" s="40"/>
      <c r="Z51" s="41"/>
      <c r="AA51" s="42" t="str">
        <f t="shared" si="6"/>
        <v>#DIV/0!</v>
      </c>
    </row>
    <row r="52" ht="14.25" customHeight="1">
      <c r="A52" s="30">
        <v>40.0</v>
      </c>
      <c r="B52" s="31" t="s">
        <v>575</v>
      </c>
      <c r="C52" s="32" t="s">
        <v>576</v>
      </c>
      <c r="D52" s="53"/>
      <c r="E52" s="34"/>
      <c r="F52" s="53"/>
      <c r="G52" s="53"/>
      <c r="H52" s="53"/>
      <c r="I52" s="53"/>
      <c r="J52" s="53"/>
      <c r="K52" s="53"/>
      <c r="L52" s="53"/>
      <c r="M52" s="53"/>
      <c r="N52" s="53"/>
      <c r="O52" s="53"/>
      <c r="P52" s="53"/>
      <c r="Q52" s="53"/>
      <c r="R52" s="53"/>
      <c r="S52" s="35" t="str">
        <f t="shared" si="1"/>
        <v>#DIV/0!</v>
      </c>
      <c r="T52" s="36" t="str">
        <f t="shared" si="2"/>
        <v>#DIV/0!</v>
      </c>
      <c r="U52" s="37" t="str">
        <f t="shared" si="3"/>
        <v>#DIV/0!</v>
      </c>
      <c r="V52" s="38"/>
      <c r="W52" s="38" t="str">
        <f t="shared" si="4"/>
        <v>#DIV/0!</v>
      </c>
      <c r="X52" s="39" t="str">
        <f t="shared" si="5"/>
        <v>#DIV/0!</v>
      </c>
      <c r="Y52" s="40"/>
      <c r="Z52" s="41"/>
      <c r="AA52" s="42" t="str">
        <f t="shared" si="6"/>
        <v>#DIV/0!</v>
      </c>
    </row>
    <row r="53" ht="14.25" customHeight="1">
      <c r="A53" s="30">
        <v>41.0</v>
      </c>
      <c r="B53" s="31" t="s">
        <v>577</v>
      </c>
      <c r="C53" s="32" t="s">
        <v>578</v>
      </c>
      <c r="D53" s="53"/>
      <c r="E53" s="34"/>
      <c r="F53" s="53"/>
      <c r="G53" s="53"/>
      <c r="H53" s="53"/>
      <c r="I53" s="53"/>
      <c r="J53" s="53"/>
      <c r="K53" s="53"/>
      <c r="L53" s="53"/>
      <c r="M53" s="53"/>
      <c r="N53" s="53"/>
      <c r="O53" s="53"/>
      <c r="P53" s="53"/>
      <c r="Q53" s="53"/>
      <c r="R53" s="53"/>
      <c r="S53" s="35" t="str">
        <f t="shared" si="1"/>
        <v>#DIV/0!</v>
      </c>
      <c r="T53" s="36" t="str">
        <f t="shared" si="2"/>
        <v>#DIV/0!</v>
      </c>
      <c r="U53" s="37" t="str">
        <f t="shared" si="3"/>
        <v>#DIV/0!</v>
      </c>
      <c r="V53" s="38"/>
      <c r="W53" s="38" t="str">
        <f t="shared" si="4"/>
        <v>#DIV/0!</v>
      </c>
      <c r="X53" s="39" t="str">
        <f t="shared" si="5"/>
        <v>#DIV/0!</v>
      </c>
      <c r="Y53" s="40"/>
      <c r="Z53" s="41"/>
      <c r="AA53" s="42" t="str">
        <f t="shared" si="6"/>
        <v>#DIV/0!</v>
      </c>
    </row>
    <row r="54" ht="14.25" customHeight="1">
      <c r="A54" s="30">
        <v>42.0</v>
      </c>
      <c r="B54" s="31" t="s">
        <v>579</v>
      </c>
      <c r="C54" s="32" t="s">
        <v>580</v>
      </c>
      <c r="D54" s="53"/>
      <c r="E54" s="34"/>
      <c r="F54" s="53"/>
      <c r="G54" s="53"/>
      <c r="H54" s="53"/>
      <c r="I54" s="53"/>
      <c r="J54" s="53"/>
      <c r="K54" s="53"/>
      <c r="L54" s="53"/>
      <c r="M54" s="53"/>
      <c r="N54" s="53"/>
      <c r="O54" s="53"/>
      <c r="P54" s="53"/>
      <c r="Q54" s="53"/>
      <c r="R54" s="53"/>
      <c r="S54" s="35" t="str">
        <f t="shared" si="1"/>
        <v>#DIV/0!</v>
      </c>
      <c r="T54" s="36" t="str">
        <f t="shared" si="2"/>
        <v>#DIV/0!</v>
      </c>
      <c r="U54" s="37" t="str">
        <f t="shared" si="3"/>
        <v>#DIV/0!</v>
      </c>
      <c r="V54" s="38"/>
      <c r="W54" s="38" t="str">
        <f t="shared" si="4"/>
        <v>#DIV/0!</v>
      </c>
      <c r="X54" s="39" t="str">
        <f t="shared" si="5"/>
        <v>#DIV/0!</v>
      </c>
      <c r="Y54" s="40"/>
      <c r="Z54" s="41"/>
      <c r="AA54" s="42" t="str">
        <f t="shared" si="6"/>
        <v>#DIV/0!</v>
      </c>
    </row>
    <row r="55" ht="14.25" customHeight="1">
      <c r="A55" s="30">
        <v>43.0</v>
      </c>
      <c r="B55" s="31" t="s">
        <v>581</v>
      </c>
      <c r="C55" s="32" t="s">
        <v>582</v>
      </c>
      <c r="D55" s="53"/>
      <c r="E55" s="34"/>
      <c r="F55" s="53"/>
      <c r="G55" s="53"/>
      <c r="H55" s="53"/>
      <c r="I55" s="53"/>
      <c r="J55" s="53"/>
      <c r="K55" s="53"/>
      <c r="L55" s="53"/>
      <c r="M55" s="53"/>
      <c r="N55" s="53"/>
      <c r="O55" s="53"/>
      <c r="P55" s="53"/>
      <c r="Q55" s="53"/>
      <c r="R55" s="53"/>
      <c r="S55" s="35" t="str">
        <f t="shared" si="1"/>
        <v>#DIV/0!</v>
      </c>
      <c r="T55" s="36" t="str">
        <f t="shared" si="2"/>
        <v>#DIV/0!</v>
      </c>
      <c r="U55" s="37" t="str">
        <f t="shared" si="3"/>
        <v>#DIV/0!</v>
      </c>
      <c r="V55" s="38"/>
      <c r="W55" s="38" t="str">
        <f t="shared" si="4"/>
        <v>#DIV/0!</v>
      </c>
      <c r="X55" s="39" t="str">
        <f t="shared" si="5"/>
        <v>#DIV/0!</v>
      </c>
      <c r="Y55" s="40"/>
      <c r="Z55" s="41"/>
      <c r="AA55" s="42" t="str">
        <f t="shared" si="6"/>
        <v>#DIV/0!</v>
      </c>
    </row>
    <row r="56" ht="14.25" customHeight="1">
      <c r="A56" s="30">
        <v>44.0</v>
      </c>
      <c r="B56" s="31" t="s">
        <v>583</v>
      </c>
      <c r="C56" s="32" t="s">
        <v>584</v>
      </c>
      <c r="D56" s="53"/>
      <c r="E56" s="34"/>
      <c r="F56" s="53"/>
      <c r="G56" s="53"/>
      <c r="H56" s="53"/>
      <c r="I56" s="53"/>
      <c r="J56" s="53"/>
      <c r="K56" s="53"/>
      <c r="L56" s="53"/>
      <c r="M56" s="53"/>
      <c r="N56" s="53"/>
      <c r="O56" s="53"/>
      <c r="P56" s="53"/>
      <c r="Q56" s="53"/>
      <c r="R56" s="53"/>
      <c r="S56" s="35" t="str">
        <f t="shared" si="1"/>
        <v>#DIV/0!</v>
      </c>
      <c r="T56" s="36" t="str">
        <f t="shared" si="2"/>
        <v>#DIV/0!</v>
      </c>
      <c r="U56" s="37" t="str">
        <f t="shared" si="3"/>
        <v>#DIV/0!</v>
      </c>
      <c r="V56" s="38"/>
      <c r="W56" s="38" t="str">
        <f t="shared" si="4"/>
        <v>#DIV/0!</v>
      </c>
      <c r="X56" s="39" t="str">
        <f t="shared" si="5"/>
        <v>#DIV/0!</v>
      </c>
      <c r="Y56" s="40"/>
      <c r="Z56" s="41"/>
      <c r="AA56" s="42" t="str">
        <f t="shared" si="6"/>
        <v>#DIV/0!</v>
      </c>
    </row>
    <row r="57" ht="14.25" customHeight="1">
      <c r="A57" s="30">
        <v>45.0</v>
      </c>
      <c r="B57" s="31" t="s">
        <v>585</v>
      </c>
      <c r="C57" s="32" t="s">
        <v>586</v>
      </c>
      <c r="D57" s="53"/>
      <c r="E57" s="34"/>
      <c r="F57" s="53"/>
      <c r="G57" s="53"/>
      <c r="H57" s="53"/>
      <c r="I57" s="53"/>
      <c r="J57" s="53"/>
      <c r="K57" s="53"/>
      <c r="L57" s="53"/>
      <c r="M57" s="53"/>
      <c r="N57" s="53"/>
      <c r="O57" s="53"/>
      <c r="P57" s="53"/>
      <c r="Q57" s="53"/>
      <c r="R57" s="53"/>
      <c r="S57" s="35" t="str">
        <f t="shared" si="1"/>
        <v>#DIV/0!</v>
      </c>
      <c r="T57" s="36" t="str">
        <f t="shared" si="2"/>
        <v>#DIV/0!</v>
      </c>
      <c r="U57" s="37" t="str">
        <f t="shared" si="3"/>
        <v>#DIV/0!</v>
      </c>
      <c r="V57" s="38"/>
      <c r="W57" s="38" t="str">
        <f t="shared" si="4"/>
        <v>#DIV/0!</v>
      </c>
      <c r="X57" s="39" t="str">
        <f t="shared" si="5"/>
        <v>#DIV/0!</v>
      </c>
      <c r="Y57" s="40"/>
      <c r="Z57" s="41"/>
      <c r="AA57" s="42" t="str">
        <f t="shared" si="6"/>
        <v>#DIV/0!</v>
      </c>
    </row>
    <row r="58" ht="14.25" customHeight="1"/>
    <row r="59" ht="14.25" customHeight="1">
      <c r="Y59" s="54" t="s">
        <v>117</v>
      </c>
      <c r="AA59" s="54"/>
    </row>
    <row r="60" ht="14.25" customHeight="1">
      <c r="Y60" s="54" t="s">
        <v>118</v>
      </c>
    </row>
    <row r="61" ht="14.25" customHeight="1">
      <c r="Y61" s="54" t="s">
        <v>119</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21.71"/>
    <col customWidth="1" min="3" max="3" width="28.57"/>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7" width="5.14"/>
  </cols>
  <sheetData>
    <row r="1" ht="78.0" customHeight="1">
      <c r="A1" s="1" t="s">
        <v>587</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588</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34.5" customHeight="1">
      <c r="A11" s="11"/>
      <c r="B11" s="11"/>
      <c r="C11" s="11"/>
      <c r="D11" s="12"/>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3">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589</v>
      </c>
      <c r="C13" s="32" t="s">
        <v>590</v>
      </c>
      <c r="D13" s="33"/>
      <c r="E13" s="34"/>
      <c r="F13" s="33"/>
      <c r="G13" s="33"/>
      <c r="H13" s="33"/>
      <c r="I13" s="33"/>
      <c r="J13" s="33"/>
      <c r="K13" s="33"/>
      <c r="L13" s="33"/>
      <c r="M13" s="33"/>
      <c r="N13" s="33"/>
      <c r="O13" s="33"/>
      <c r="P13" s="33"/>
      <c r="Q13" s="33"/>
      <c r="R13" s="33"/>
      <c r="S13" s="35" t="str">
        <f t="shared" ref="S13:S58" si="1">AVERAGE(D13:H13)</f>
        <v>#DIV/0!</v>
      </c>
      <c r="T13" s="36" t="str">
        <f t="shared" ref="T13:T58" si="2">AVERAGE(I13:M13)</f>
        <v>#DIV/0!</v>
      </c>
      <c r="U13" s="37" t="str">
        <f t="shared" ref="U13:U58" si="3">AVERAGE(N13:R13)</f>
        <v>#DIV/0!</v>
      </c>
      <c r="V13" s="38"/>
      <c r="W13" s="38" t="str">
        <f t="shared" ref="W13:W58" si="4">AVERAGE(S13:U13)</f>
        <v>#DIV/0!</v>
      </c>
      <c r="X13" s="39" t="str">
        <f t="shared" ref="X13:X58" si="5">ROUND(AVERAGE(V13:W13),0)</f>
        <v>#DIV/0!</v>
      </c>
      <c r="Y13" s="40"/>
      <c r="Z13" s="41">
        <v>1.0</v>
      </c>
      <c r="AA13" s="42" t="str">
        <f t="shared" ref="AA13:AA58" si="6">ROUND(IF((X13*(IF(Y13="A",105%,IF(Y13="B",102%,IF(Y13="C",75%,50%))))*Z13)&gt;100,100,(X13*(IF(Y13="A",105%,IF(Y13="B",102%,IF(Y13="C",75%,50%))))*Z13)),0)</f>
        <v>#DIV/0!</v>
      </c>
    </row>
    <row r="14" ht="14.25" customHeight="1">
      <c r="A14" s="30">
        <v>2.0</v>
      </c>
      <c r="B14" s="31" t="s">
        <v>591</v>
      </c>
      <c r="C14" s="32" t="s">
        <v>592</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row>
    <row r="15" ht="14.25" customHeight="1">
      <c r="A15" s="30">
        <v>3.0</v>
      </c>
      <c r="B15" s="31" t="s">
        <v>593</v>
      </c>
      <c r="C15" s="32" t="s">
        <v>594</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row>
    <row r="16" ht="14.25" customHeight="1">
      <c r="A16" s="30">
        <v>4.0</v>
      </c>
      <c r="B16" s="31" t="s">
        <v>595</v>
      </c>
      <c r="C16" s="32" t="s">
        <v>596</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row>
    <row r="17" ht="14.25" customHeight="1">
      <c r="A17" s="30">
        <v>5.0</v>
      </c>
      <c r="B17" s="31" t="s">
        <v>597</v>
      </c>
      <c r="C17" s="32" t="s">
        <v>598</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row>
    <row r="18" ht="14.25" customHeight="1">
      <c r="A18" s="30">
        <v>6.0</v>
      </c>
      <c r="B18" s="31" t="s">
        <v>599</v>
      </c>
      <c r="C18" s="32" t="s">
        <v>600</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row>
    <row r="19" ht="14.25" customHeight="1">
      <c r="A19" s="30">
        <v>7.0</v>
      </c>
      <c r="B19" s="31" t="s">
        <v>601</v>
      </c>
      <c r="C19" s="32" t="s">
        <v>602</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row>
    <row r="20" ht="14.25" customHeight="1">
      <c r="A20" s="30">
        <v>8.0</v>
      </c>
      <c r="B20" s="31" t="s">
        <v>603</v>
      </c>
      <c r="C20" s="32" t="s">
        <v>604</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row>
    <row r="21" ht="14.25" customHeight="1">
      <c r="A21" s="30">
        <v>9.0</v>
      </c>
      <c r="B21" s="31" t="s">
        <v>605</v>
      </c>
      <c r="C21" s="32" t="s">
        <v>606</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row>
    <row r="22" ht="14.25" customHeight="1">
      <c r="A22" s="30">
        <v>10.0</v>
      </c>
      <c r="B22" s="31" t="s">
        <v>607</v>
      </c>
      <c r="C22" s="32" t="s">
        <v>608</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row>
    <row r="23" ht="14.25" customHeight="1">
      <c r="A23" s="30">
        <v>11.0</v>
      </c>
      <c r="B23" s="31" t="s">
        <v>609</v>
      </c>
      <c r="C23" s="32" t="s">
        <v>610</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row>
    <row r="24" ht="14.25" customHeight="1">
      <c r="A24" s="30">
        <v>12.0</v>
      </c>
      <c r="B24" s="31" t="s">
        <v>611</v>
      </c>
      <c r="C24" s="32" t="s">
        <v>612</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row>
    <row r="25" ht="14.25" customHeight="1">
      <c r="A25" s="30">
        <v>13.0</v>
      </c>
      <c r="B25" s="31" t="s">
        <v>613</v>
      </c>
      <c r="C25" s="32" t="s">
        <v>614</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row>
    <row r="26" ht="14.25" customHeight="1">
      <c r="A26" s="30">
        <v>14.0</v>
      </c>
      <c r="B26" s="31" t="s">
        <v>615</v>
      </c>
      <c r="C26" s="32" t="s">
        <v>616</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row>
    <row r="27" ht="14.25" customHeight="1">
      <c r="A27" s="30">
        <v>15.0</v>
      </c>
      <c r="B27" s="31" t="s">
        <v>617</v>
      </c>
      <c r="C27" s="32" t="s">
        <v>618</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row>
    <row r="28" ht="14.25" customHeight="1">
      <c r="A28" s="30">
        <v>16.0</v>
      </c>
      <c r="B28" s="31" t="s">
        <v>619</v>
      </c>
      <c r="C28" s="32" t="s">
        <v>620</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row>
    <row r="29" ht="14.25" customHeight="1">
      <c r="A29" s="30">
        <v>17.0</v>
      </c>
      <c r="B29" s="31" t="s">
        <v>621</v>
      </c>
      <c r="C29" s="32" t="s">
        <v>622</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row>
    <row r="30" ht="14.25" customHeight="1">
      <c r="A30" s="30">
        <v>18.0</v>
      </c>
      <c r="B30" s="31" t="s">
        <v>623</v>
      </c>
      <c r="C30" s="32" t="s">
        <v>624</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row>
    <row r="31" ht="14.25" customHeight="1">
      <c r="A31" s="30">
        <v>19.0</v>
      </c>
      <c r="B31" s="31" t="s">
        <v>625</v>
      </c>
      <c r="C31" s="32" t="s">
        <v>626</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row>
    <row r="32" ht="14.25" customHeight="1">
      <c r="A32" s="30">
        <v>20.0</v>
      </c>
      <c r="B32" s="31" t="s">
        <v>627</v>
      </c>
      <c r="C32" s="32" t="s">
        <v>628</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row>
    <row r="33" ht="14.25" customHeight="1">
      <c r="A33" s="30">
        <v>21.0</v>
      </c>
      <c r="B33" s="31" t="s">
        <v>629</v>
      </c>
      <c r="C33" s="32" t="s">
        <v>630</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row>
    <row r="34" ht="14.25" customHeight="1">
      <c r="A34" s="30">
        <v>22.0</v>
      </c>
      <c r="B34" s="31" t="s">
        <v>631</v>
      </c>
      <c r="C34" s="32" t="s">
        <v>632</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row>
    <row r="35" ht="14.25" customHeight="1">
      <c r="A35" s="30">
        <v>23.0</v>
      </c>
      <c r="B35" s="31" t="s">
        <v>633</v>
      </c>
      <c r="C35" s="32" t="s">
        <v>634</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row>
    <row r="36" ht="14.25" customHeight="1">
      <c r="A36" s="30">
        <v>24.0</v>
      </c>
      <c r="B36" s="31" t="s">
        <v>635</v>
      </c>
      <c r="C36" s="32" t="s">
        <v>636</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row>
    <row r="37" ht="14.25" customHeight="1">
      <c r="A37" s="30">
        <v>25.0</v>
      </c>
      <c r="B37" s="31" t="s">
        <v>637</v>
      </c>
      <c r="C37" s="32" t="s">
        <v>638</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row>
    <row r="38" ht="14.25" customHeight="1">
      <c r="A38" s="30">
        <v>26.0</v>
      </c>
      <c r="B38" s="31" t="s">
        <v>639</v>
      </c>
      <c r="C38" s="32" t="s">
        <v>640</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row>
    <row r="39" ht="14.25" customHeight="1">
      <c r="A39" s="30">
        <v>27.0</v>
      </c>
      <c r="B39" s="31" t="s">
        <v>641</v>
      </c>
      <c r="C39" s="32" t="s">
        <v>642</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row>
    <row r="40" ht="14.25" customHeight="1">
      <c r="A40" s="30">
        <v>28.0</v>
      </c>
      <c r="B40" s="31" t="s">
        <v>643</v>
      </c>
      <c r="C40" s="32" t="s">
        <v>644</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row>
    <row r="41" ht="14.25" customHeight="1">
      <c r="A41" s="30">
        <v>29.0</v>
      </c>
      <c r="B41" s="31" t="s">
        <v>645</v>
      </c>
      <c r="C41" s="32" t="s">
        <v>646</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row>
    <row r="42" ht="14.25" customHeight="1">
      <c r="A42" s="30">
        <v>30.0</v>
      </c>
      <c r="B42" s="31" t="s">
        <v>647</v>
      </c>
      <c r="C42" s="32" t="s">
        <v>648</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row>
    <row r="43" ht="14.25" customHeight="1">
      <c r="A43" s="30">
        <v>31.0</v>
      </c>
      <c r="B43" s="31" t="s">
        <v>649</v>
      </c>
      <c r="C43" s="32" t="s">
        <v>650</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row>
    <row r="44" ht="14.25" customHeight="1">
      <c r="A44" s="30">
        <v>32.0</v>
      </c>
      <c r="B44" s="31" t="s">
        <v>651</v>
      </c>
      <c r="C44" s="32" t="s">
        <v>652</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row>
    <row r="45" ht="14.25" customHeight="1">
      <c r="A45" s="30">
        <v>33.0</v>
      </c>
      <c r="B45" s="31" t="s">
        <v>653</v>
      </c>
      <c r="C45" s="32" t="s">
        <v>654</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row>
    <row r="46" ht="14.25" customHeight="1">
      <c r="A46" s="43">
        <v>34.0</v>
      </c>
      <c r="B46" s="31" t="s">
        <v>655</v>
      </c>
      <c r="C46" s="32" t="s">
        <v>656</v>
      </c>
      <c r="D46" s="44"/>
      <c r="E46" s="34"/>
      <c r="F46" s="44"/>
      <c r="G46" s="44"/>
      <c r="H46" s="44"/>
      <c r="I46" s="44"/>
      <c r="J46" s="44"/>
      <c r="K46" s="44"/>
      <c r="L46" s="44"/>
      <c r="M46" s="44"/>
      <c r="N46" s="44"/>
      <c r="O46" s="44"/>
      <c r="P46" s="44"/>
      <c r="Q46" s="44"/>
      <c r="R46" s="44"/>
      <c r="S46" s="45" t="str">
        <f t="shared" si="1"/>
        <v>#DIV/0!</v>
      </c>
      <c r="T46" s="46" t="str">
        <f t="shared" si="2"/>
        <v>#DIV/0!</v>
      </c>
      <c r="U46" s="47" t="str">
        <f t="shared" si="3"/>
        <v>#DIV/0!</v>
      </c>
      <c r="V46" s="48"/>
      <c r="W46" s="48" t="str">
        <f t="shared" si="4"/>
        <v>#DIV/0!</v>
      </c>
      <c r="X46" s="49" t="str">
        <f t="shared" si="5"/>
        <v>#DIV/0!</v>
      </c>
      <c r="Y46" s="50"/>
      <c r="Z46" s="51">
        <v>1.0</v>
      </c>
      <c r="AA46" s="52" t="str">
        <f t="shared" si="6"/>
        <v>#DIV/0!</v>
      </c>
    </row>
    <row r="47" ht="14.25" customHeight="1">
      <c r="A47" s="30">
        <v>35.0</v>
      </c>
      <c r="B47" s="31" t="s">
        <v>657</v>
      </c>
      <c r="C47" s="32" t="s">
        <v>658</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row>
    <row r="48" ht="14.25" customHeight="1">
      <c r="A48" s="30">
        <v>36.0</v>
      </c>
      <c r="B48" s="31" t="s">
        <v>659</v>
      </c>
      <c r="C48" s="32" t="s">
        <v>660</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row>
    <row r="49" ht="14.25" customHeight="1">
      <c r="A49" s="30">
        <v>37.0</v>
      </c>
      <c r="B49" s="31" t="s">
        <v>661</v>
      </c>
      <c r="C49" s="32" t="s">
        <v>662</v>
      </c>
      <c r="D49" s="53"/>
      <c r="E49" s="34"/>
      <c r="F49" s="53"/>
      <c r="G49" s="53"/>
      <c r="H49" s="53"/>
      <c r="I49" s="53"/>
      <c r="J49" s="53"/>
      <c r="K49" s="53"/>
      <c r="L49" s="53"/>
      <c r="M49" s="53"/>
      <c r="N49" s="53"/>
      <c r="O49" s="53"/>
      <c r="P49" s="53"/>
      <c r="Q49" s="53"/>
      <c r="R49" s="53"/>
      <c r="S49" s="35" t="str">
        <f t="shared" si="1"/>
        <v>#DIV/0!</v>
      </c>
      <c r="T49" s="36" t="str">
        <f t="shared" si="2"/>
        <v>#DIV/0!</v>
      </c>
      <c r="U49" s="37" t="str">
        <f t="shared" si="3"/>
        <v>#DIV/0!</v>
      </c>
      <c r="V49" s="38"/>
      <c r="W49" s="38" t="str">
        <f t="shared" si="4"/>
        <v>#DIV/0!</v>
      </c>
      <c r="X49" s="39" t="str">
        <f t="shared" si="5"/>
        <v>#DIV/0!</v>
      </c>
      <c r="Y49" s="40"/>
      <c r="Z49" s="41"/>
      <c r="AA49" s="42" t="str">
        <f t="shared" si="6"/>
        <v>#DIV/0!</v>
      </c>
    </row>
    <row r="50" ht="14.25" customHeight="1">
      <c r="A50" s="30">
        <v>38.0</v>
      </c>
      <c r="B50" s="31" t="s">
        <v>663</v>
      </c>
      <c r="C50" s="32" t="s">
        <v>664</v>
      </c>
      <c r="D50" s="53"/>
      <c r="E50" s="34"/>
      <c r="F50" s="53"/>
      <c r="G50" s="53"/>
      <c r="H50" s="53"/>
      <c r="I50" s="53"/>
      <c r="J50" s="53"/>
      <c r="K50" s="53"/>
      <c r="L50" s="53"/>
      <c r="M50" s="53"/>
      <c r="N50" s="53"/>
      <c r="O50" s="53"/>
      <c r="P50" s="53"/>
      <c r="Q50" s="53"/>
      <c r="R50" s="53"/>
      <c r="S50" s="35" t="str">
        <f t="shared" si="1"/>
        <v>#DIV/0!</v>
      </c>
      <c r="T50" s="36" t="str">
        <f t="shared" si="2"/>
        <v>#DIV/0!</v>
      </c>
      <c r="U50" s="37" t="str">
        <f t="shared" si="3"/>
        <v>#DIV/0!</v>
      </c>
      <c r="V50" s="38"/>
      <c r="W50" s="38" t="str">
        <f t="shared" si="4"/>
        <v>#DIV/0!</v>
      </c>
      <c r="X50" s="39" t="str">
        <f t="shared" si="5"/>
        <v>#DIV/0!</v>
      </c>
      <c r="Y50" s="40"/>
      <c r="Z50" s="41"/>
      <c r="AA50" s="42" t="str">
        <f t="shared" si="6"/>
        <v>#DIV/0!</v>
      </c>
    </row>
    <row r="51" ht="14.25" customHeight="1">
      <c r="A51" s="30">
        <v>39.0</v>
      </c>
      <c r="B51" s="31" t="s">
        <v>665</v>
      </c>
      <c r="C51" s="32" t="s">
        <v>666</v>
      </c>
      <c r="D51" s="53"/>
      <c r="E51" s="34"/>
      <c r="F51" s="53"/>
      <c r="G51" s="53"/>
      <c r="H51" s="53"/>
      <c r="I51" s="53"/>
      <c r="J51" s="53"/>
      <c r="K51" s="53"/>
      <c r="L51" s="53"/>
      <c r="M51" s="53"/>
      <c r="N51" s="53"/>
      <c r="O51" s="53"/>
      <c r="P51" s="53"/>
      <c r="Q51" s="53"/>
      <c r="R51" s="53"/>
      <c r="S51" s="35" t="str">
        <f t="shared" si="1"/>
        <v>#DIV/0!</v>
      </c>
      <c r="T51" s="36" t="str">
        <f t="shared" si="2"/>
        <v>#DIV/0!</v>
      </c>
      <c r="U51" s="37" t="str">
        <f t="shared" si="3"/>
        <v>#DIV/0!</v>
      </c>
      <c r="V51" s="38"/>
      <c r="W51" s="38" t="str">
        <f t="shared" si="4"/>
        <v>#DIV/0!</v>
      </c>
      <c r="X51" s="39" t="str">
        <f t="shared" si="5"/>
        <v>#DIV/0!</v>
      </c>
      <c r="Y51" s="40"/>
      <c r="Z51" s="41"/>
      <c r="AA51" s="42" t="str">
        <f t="shared" si="6"/>
        <v>#DIV/0!</v>
      </c>
    </row>
    <row r="52" ht="14.25" customHeight="1">
      <c r="A52" s="30">
        <v>40.0</v>
      </c>
      <c r="B52" s="31" t="s">
        <v>667</v>
      </c>
      <c r="C52" s="32" t="s">
        <v>668</v>
      </c>
      <c r="D52" s="53"/>
      <c r="E52" s="34"/>
      <c r="F52" s="53"/>
      <c r="G52" s="53"/>
      <c r="H52" s="53"/>
      <c r="I52" s="53"/>
      <c r="J52" s="53"/>
      <c r="K52" s="53"/>
      <c r="L52" s="53"/>
      <c r="M52" s="53"/>
      <c r="N52" s="53"/>
      <c r="O52" s="53"/>
      <c r="P52" s="53"/>
      <c r="Q52" s="53"/>
      <c r="R52" s="53"/>
      <c r="S52" s="35" t="str">
        <f t="shared" si="1"/>
        <v>#DIV/0!</v>
      </c>
      <c r="T52" s="36" t="str">
        <f t="shared" si="2"/>
        <v>#DIV/0!</v>
      </c>
      <c r="U52" s="37" t="str">
        <f t="shared" si="3"/>
        <v>#DIV/0!</v>
      </c>
      <c r="V52" s="38"/>
      <c r="W52" s="38" t="str">
        <f t="shared" si="4"/>
        <v>#DIV/0!</v>
      </c>
      <c r="X52" s="39" t="str">
        <f t="shared" si="5"/>
        <v>#DIV/0!</v>
      </c>
      <c r="Y52" s="40"/>
      <c r="Z52" s="41"/>
      <c r="AA52" s="42" t="str">
        <f t="shared" si="6"/>
        <v>#DIV/0!</v>
      </c>
    </row>
    <row r="53" ht="14.25" customHeight="1">
      <c r="A53" s="30">
        <v>41.0</v>
      </c>
      <c r="B53" s="31" t="s">
        <v>669</v>
      </c>
      <c r="C53" s="32" t="s">
        <v>670</v>
      </c>
      <c r="D53" s="53"/>
      <c r="E53" s="34"/>
      <c r="F53" s="53"/>
      <c r="G53" s="53"/>
      <c r="H53" s="53"/>
      <c r="I53" s="53"/>
      <c r="J53" s="53"/>
      <c r="K53" s="53"/>
      <c r="L53" s="53"/>
      <c r="M53" s="53"/>
      <c r="N53" s="53"/>
      <c r="O53" s="53"/>
      <c r="P53" s="53"/>
      <c r="Q53" s="53"/>
      <c r="R53" s="53"/>
      <c r="S53" s="35" t="str">
        <f t="shared" si="1"/>
        <v>#DIV/0!</v>
      </c>
      <c r="T53" s="36" t="str">
        <f t="shared" si="2"/>
        <v>#DIV/0!</v>
      </c>
      <c r="U53" s="37" t="str">
        <f t="shared" si="3"/>
        <v>#DIV/0!</v>
      </c>
      <c r="V53" s="38"/>
      <c r="W53" s="38" t="str">
        <f t="shared" si="4"/>
        <v>#DIV/0!</v>
      </c>
      <c r="X53" s="39" t="str">
        <f t="shared" si="5"/>
        <v>#DIV/0!</v>
      </c>
      <c r="Y53" s="40"/>
      <c r="Z53" s="41"/>
      <c r="AA53" s="42" t="str">
        <f t="shared" si="6"/>
        <v>#DIV/0!</v>
      </c>
    </row>
    <row r="54" ht="14.25" customHeight="1">
      <c r="A54" s="30">
        <v>42.0</v>
      </c>
      <c r="B54" s="31" t="s">
        <v>671</v>
      </c>
      <c r="C54" s="32" t="s">
        <v>672</v>
      </c>
      <c r="D54" s="53"/>
      <c r="E54" s="34"/>
      <c r="F54" s="53"/>
      <c r="G54" s="53"/>
      <c r="H54" s="53"/>
      <c r="I54" s="53"/>
      <c r="J54" s="53"/>
      <c r="K54" s="53"/>
      <c r="L54" s="53"/>
      <c r="M54" s="53"/>
      <c r="N54" s="53"/>
      <c r="O54" s="53"/>
      <c r="P54" s="53"/>
      <c r="Q54" s="53"/>
      <c r="R54" s="53"/>
      <c r="S54" s="35" t="str">
        <f t="shared" si="1"/>
        <v>#DIV/0!</v>
      </c>
      <c r="T54" s="36" t="str">
        <f t="shared" si="2"/>
        <v>#DIV/0!</v>
      </c>
      <c r="U54" s="37" t="str">
        <f t="shared" si="3"/>
        <v>#DIV/0!</v>
      </c>
      <c r="V54" s="38"/>
      <c r="W54" s="38" t="str">
        <f t="shared" si="4"/>
        <v>#DIV/0!</v>
      </c>
      <c r="X54" s="39" t="str">
        <f t="shared" si="5"/>
        <v>#DIV/0!</v>
      </c>
      <c r="Y54" s="40"/>
      <c r="Z54" s="41"/>
      <c r="AA54" s="42" t="str">
        <f t="shared" si="6"/>
        <v>#DIV/0!</v>
      </c>
    </row>
    <row r="55" ht="14.25" customHeight="1">
      <c r="A55" s="30">
        <v>43.0</v>
      </c>
      <c r="B55" s="31" t="s">
        <v>673</v>
      </c>
      <c r="C55" s="32" t="s">
        <v>674</v>
      </c>
      <c r="D55" s="53"/>
      <c r="E55" s="34"/>
      <c r="F55" s="53"/>
      <c r="G55" s="53"/>
      <c r="H55" s="53"/>
      <c r="I55" s="53"/>
      <c r="J55" s="53"/>
      <c r="K55" s="53"/>
      <c r="L55" s="53"/>
      <c r="M55" s="53"/>
      <c r="N55" s="53"/>
      <c r="O55" s="53"/>
      <c r="P55" s="53"/>
      <c r="Q55" s="53"/>
      <c r="R55" s="53"/>
      <c r="S55" s="35" t="str">
        <f t="shared" si="1"/>
        <v>#DIV/0!</v>
      </c>
      <c r="T55" s="36" t="str">
        <f t="shared" si="2"/>
        <v>#DIV/0!</v>
      </c>
      <c r="U55" s="37" t="str">
        <f t="shared" si="3"/>
        <v>#DIV/0!</v>
      </c>
      <c r="V55" s="38"/>
      <c r="W55" s="38" t="str">
        <f t="shared" si="4"/>
        <v>#DIV/0!</v>
      </c>
      <c r="X55" s="39" t="str">
        <f t="shared" si="5"/>
        <v>#DIV/0!</v>
      </c>
      <c r="Y55" s="40"/>
      <c r="Z55" s="41"/>
      <c r="AA55" s="42" t="str">
        <f t="shared" si="6"/>
        <v>#DIV/0!</v>
      </c>
    </row>
    <row r="56" ht="14.25" customHeight="1">
      <c r="A56" s="30">
        <v>44.0</v>
      </c>
      <c r="B56" s="31" t="s">
        <v>675</v>
      </c>
      <c r="C56" s="32" t="s">
        <v>676</v>
      </c>
      <c r="D56" s="53"/>
      <c r="E56" s="34"/>
      <c r="F56" s="53"/>
      <c r="G56" s="53"/>
      <c r="H56" s="53"/>
      <c r="I56" s="53"/>
      <c r="J56" s="53"/>
      <c r="K56" s="53"/>
      <c r="L56" s="53"/>
      <c r="M56" s="53"/>
      <c r="N56" s="53"/>
      <c r="O56" s="53"/>
      <c r="P56" s="53"/>
      <c r="Q56" s="53"/>
      <c r="R56" s="53"/>
      <c r="S56" s="35" t="str">
        <f t="shared" si="1"/>
        <v>#DIV/0!</v>
      </c>
      <c r="T56" s="36" t="str">
        <f t="shared" si="2"/>
        <v>#DIV/0!</v>
      </c>
      <c r="U56" s="37" t="str">
        <f t="shared" si="3"/>
        <v>#DIV/0!</v>
      </c>
      <c r="V56" s="38"/>
      <c r="W56" s="38" t="str">
        <f t="shared" si="4"/>
        <v>#DIV/0!</v>
      </c>
      <c r="X56" s="39" t="str">
        <f t="shared" si="5"/>
        <v>#DIV/0!</v>
      </c>
      <c r="Y56" s="40"/>
      <c r="Z56" s="41"/>
      <c r="AA56" s="42" t="str">
        <f t="shared" si="6"/>
        <v>#DIV/0!</v>
      </c>
    </row>
    <row r="57" ht="14.25" customHeight="1">
      <c r="A57" s="30">
        <v>45.0</v>
      </c>
      <c r="B57" s="31" t="s">
        <v>677</v>
      </c>
      <c r="C57" s="32" t="s">
        <v>678</v>
      </c>
      <c r="D57" s="53"/>
      <c r="E57" s="34"/>
      <c r="F57" s="53"/>
      <c r="G57" s="53"/>
      <c r="H57" s="53"/>
      <c r="I57" s="53"/>
      <c r="J57" s="53"/>
      <c r="K57" s="53"/>
      <c r="L57" s="53"/>
      <c r="M57" s="53"/>
      <c r="N57" s="53"/>
      <c r="O57" s="53"/>
      <c r="P57" s="53"/>
      <c r="Q57" s="53"/>
      <c r="R57" s="53"/>
      <c r="S57" s="35" t="str">
        <f t="shared" si="1"/>
        <v>#DIV/0!</v>
      </c>
      <c r="T57" s="36" t="str">
        <f t="shared" si="2"/>
        <v>#DIV/0!</v>
      </c>
      <c r="U57" s="37" t="str">
        <f t="shared" si="3"/>
        <v>#DIV/0!</v>
      </c>
      <c r="V57" s="38"/>
      <c r="W57" s="38" t="str">
        <f t="shared" si="4"/>
        <v>#DIV/0!</v>
      </c>
      <c r="X57" s="39" t="str">
        <f t="shared" si="5"/>
        <v>#DIV/0!</v>
      </c>
      <c r="Y57" s="40"/>
      <c r="Z57" s="41"/>
      <c r="AA57" s="42" t="str">
        <f t="shared" si="6"/>
        <v>#DIV/0!</v>
      </c>
    </row>
    <row r="58" ht="14.25" customHeight="1">
      <c r="A58" s="30">
        <v>46.0</v>
      </c>
      <c r="B58" s="31" t="s">
        <v>679</v>
      </c>
      <c r="C58" s="32" t="s">
        <v>680</v>
      </c>
      <c r="D58" s="53"/>
      <c r="E58" s="34"/>
      <c r="F58" s="53"/>
      <c r="G58" s="53"/>
      <c r="H58" s="53"/>
      <c r="I58" s="53"/>
      <c r="J58" s="53"/>
      <c r="K58" s="53"/>
      <c r="L58" s="53"/>
      <c r="M58" s="53"/>
      <c r="N58" s="53"/>
      <c r="O58" s="53"/>
      <c r="P58" s="53"/>
      <c r="Q58" s="53"/>
      <c r="R58" s="53"/>
      <c r="S58" s="35" t="str">
        <f t="shared" si="1"/>
        <v>#DIV/0!</v>
      </c>
      <c r="T58" s="36" t="str">
        <f t="shared" si="2"/>
        <v>#DIV/0!</v>
      </c>
      <c r="U58" s="37" t="str">
        <f t="shared" si="3"/>
        <v>#DIV/0!</v>
      </c>
      <c r="V58" s="38"/>
      <c r="W58" s="38" t="str">
        <f t="shared" si="4"/>
        <v>#DIV/0!</v>
      </c>
      <c r="X58" s="39" t="str">
        <f t="shared" si="5"/>
        <v>#DIV/0!</v>
      </c>
      <c r="Y58" s="40"/>
      <c r="Z58" s="41"/>
      <c r="AA58" s="42" t="str">
        <f t="shared" si="6"/>
        <v>#DIV/0!</v>
      </c>
    </row>
    <row r="59" ht="14.25" customHeight="1"/>
    <row r="60" ht="14.25" customHeight="1">
      <c r="Y60" s="54" t="s">
        <v>117</v>
      </c>
      <c r="AA60" s="58" t="str">
        <f>MAX(AA13:AA48)</f>
        <v>#DIV/0!</v>
      </c>
    </row>
    <row r="61" ht="14.25" customHeight="1">
      <c r="Y61" s="54" t="s">
        <v>118</v>
      </c>
      <c r="AA61" s="59" t="str">
        <f>MIN(AA13:AA48)</f>
        <v>#DIV/0!</v>
      </c>
    </row>
    <row r="62" ht="14.25" customHeight="1">
      <c r="Y62" s="54" t="s">
        <v>119</v>
      </c>
      <c r="AA62" s="59" t="str">
        <f>AVERAGE(AA13:AA48)</f>
        <v>#DIV/0!</v>
      </c>
    </row>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9.86"/>
    <col customWidth="1" min="3" max="3" width="27.86"/>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8" width="5.14"/>
    <col customWidth="1" min="29" max="29" width="7.0"/>
    <col customWidth="1" min="30" max="30" width="8.71"/>
    <col customWidth="1" min="31" max="31" width="6.0"/>
  </cols>
  <sheetData>
    <row r="1" ht="78.0" customHeight="1">
      <c r="A1" s="1" t="s">
        <v>681</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682</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30.0" customHeight="1">
      <c r="A11" s="11"/>
      <c r="B11" s="11"/>
      <c r="C11" s="11"/>
      <c r="D11" s="12"/>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2">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683</v>
      </c>
      <c r="C13" s="32" t="s">
        <v>684</v>
      </c>
      <c r="D13" s="33"/>
      <c r="E13" s="34"/>
      <c r="F13" s="33"/>
      <c r="G13" s="33"/>
      <c r="H13" s="33"/>
      <c r="I13" s="33"/>
      <c r="J13" s="33"/>
      <c r="K13" s="33"/>
      <c r="L13" s="33"/>
      <c r="M13" s="33"/>
      <c r="N13" s="33"/>
      <c r="O13" s="33"/>
      <c r="P13" s="33"/>
      <c r="Q13" s="33"/>
      <c r="R13" s="33"/>
      <c r="S13" s="35" t="str">
        <f t="shared" ref="S13:S59" si="1">AVERAGE(D13:H13)</f>
        <v>#DIV/0!</v>
      </c>
      <c r="T13" s="36" t="str">
        <f t="shared" ref="T13:T59" si="2">AVERAGE(I13:M13)</f>
        <v>#DIV/0!</v>
      </c>
      <c r="U13" s="37" t="str">
        <f t="shared" ref="U13:U59" si="3">AVERAGE(N13:R13)</f>
        <v>#DIV/0!</v>
      </c>
      <c r="V13" s="38"/>
      <c r="W13" s="38" t="str">
        <f t="shared" ref="W13:W59" si="4">AVERAGE(S13:U13)</f>
        <v>#DIV/0!</v>
      </c>
      <c r="X13" s="39" t="str">
        <f t="shared" ref="X13:X59" si="5">ROUND(AVERAGE(V13:W13),0)</f>
        <v>#DIV/0!</v>
      </c>
      <c r="Y13" s="40"/>
      <c r="Z13" s="41">
        <v>1.0</v>
      </c>
      <c r="AA13" s="42" t="str">
        <f t="shared" ref="AA13:AA59" si="6">ROUND(IF((X13*(IF(Y13="A",105%,IF(Y13="B",102%,IF(Y13="C",75%,50%))))*Z13)&gt;100,100,(X13*(IF(Y13="A",105%,IF(Y13="B",102%,IF(Y13="C",75%,50%))))*Z13)),0)</f>
        <v>#DIV/0!</v>
      </c>
      <c r="AB13" s="60"/>
      <c r="AC13" s="60"/>
      <c r="AD13" s="60"/>
      <c r="AE13" s="60"/>
    </row>
    <row r="14" ht="14.25" customHeight="1">
      <c r="A14" s="30">
        <v>2.0</v>
      </c>
      <c r="B14" s="31" t="s">
        <v>685</v>
      </c>
      <c r="C14" s="32" t="s">
        <v>686</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c r="AB14" s="60"/>
      <c r="AC14" s="60"/>
      <c r="AD14" s="60"/>
      <c r="AE14" s="60"/>
    </row>
    <row r="15" ht="14.25" customHeight="1">
      <c r="A15" s="30">
        <v>3.0</v>
      </c>
      <c r="B15" s="31" t="s">
        <v>687</v>
      </c>
      <c r="C15" s="32" t="s">
        <v>688</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c r="AB15" s="60"/>
      <c r="AC15" s="60"/>
      <c r="AD15" s="60"/>
      <c r="AE15" s="60"/>
    </row>
    <row r="16" ht="14.25" customHeight="1">
      <c r="A16" s="30">
        <v>4.0</v>
      </c>
      <c r="B16" s="31" t="s">
        <v>689</v>
      </c>
      <c r="C16" s="32" t="s">
        <v>690</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c r="AB16" s="60"/>
      <c r="AC16" s="60"/>
      <c r="AD16" s="60"/>
      <c r="AE16" s="60"/>
    </row>
    <row r="17" ht="14.25" customHeight="1">
      <c r="A17" s="30">
        <v>5.0</v>
      </c>
      <c r="B17" s="31" t="s">
        <v>691</v>
      </c>
      <c r="C17" s="32" t="s">
        <v>692</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c r="AB17" s="60"/>
      <c r="AC17" s="60"/>
      <c r="AD17" s="60"/>
      <c r="AE17" s="60"/>
    </row>
    <row r="18" ht="14.25" customHeight="1">
      <c r="A18" s="30">
        <v>6.0</v>
      </c>
      <c r="B18" s="31" t="s">
        <v>693</v>
      </c>
      <c r="C18" s="32" t="s">
        <v>694</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c r="AB18" s="60"/>
      <c r="AC18" s="60"/>
      <c r="AD18" s="60"/>
      <c r="AE18" s="60"/>
    </row>
    <row r="19" ht="14.25" customHeight="1">
      <c r="A19" s="30">
        <v>7.0</v>
      </c>
      <c r="B19" s="31" t="s">
        <v>695</v>
      </c>
      <c r="C19" s="32" t="s">
        <v>696</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c r="AB19" s="60"/>
      <c r="AC19" s="60"/>
      <c r="AD19" s="60"/>
      <c r="AE19" s="60"/>
    </row>
    <row r="20" ht="14.25" customHeight="1">
      <c r="A20" s="30">
        <v>8.0</v>
      </c>
      <c r="B20" s="31" t="s">
        <v>697</v>
      </c>
      <c r="C20" s="32" t="s">
        <v>698</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c r="AB20" s="60"/>
      <c r="AC20" s="60"/>
      <c r="AD20" s="60"/>
      <c r="AE20" s="60"/>
    </row>
    <row r="21" ht="14.25" customHeight="1">
      <c r="A21" s="30">
        <v>9.0</v>
      </c>
      <c r="B21" s="31" t="s">
        <v>699</v>
      </c>
      <c r="C21" s="32" t="s">
        <v>700</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c r="AB21" s="60"/>
      <c r="AC21" s="60"/>
      <c r="AD21" s="60"/>
      <c r="AE21" s="60"/>
    </row>
    <row r="22" ht="14.25" customHeight="1">
      <c r="A22" s="30">
        <v>10.0</v>
      </c>
      <c r="B22" s="31" t="s">
        <v>701</v>
      </c>
      <c r="C22" s="32" t="s">
        <v>702</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c r="AB22" s="60"/>
      <c r="AC22" s="60"/>
      <c r="AD22" s="60"/>
      <c r="AE22" s="60"/>
    </row>
    <row r="23" ht="14.25" customHeight="1">
      <c r="A23" s="30">
        <v>11.0</v>
      </c>
      <c r="B23" s="31" t="s">
        <v>703</v>
      </c>
      <c r="C23" s="32" t="s">
        <v>704</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c r="AB23" s="60"/>
      <c r="AC23" s="60"/>
      <c r="AD23" s="60"/>
      <c r="AE23" s="60"/>
    </row>
    <row r="24" ht="14.25" customHeight="1">
      <c r="A24" s="30">
        <v>12.0</v>
      </c>
      <c r="B24" s="31" t="s">
        <v>705</v>
      </c>
      <c r="C24" s="32" t="s">
        <v>706</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c r="AB24" s="60"/>
      <c r="AC24" s="60"/>
      <c r="AD24" s="60"/>
      <c r="AE24" s="60"/>
    </row>
    <row r="25" ht="14.25" customHeight="1">
      <c r="A25" s="30">
        <v>13.0</v>
      </c>
      <c r="B25" s="31" t="s">
        <v>707</v>
      </c>
      <c r="C25" s="32" t="s">
        <v>708</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c r="AB25" s="60"/>
      <c r="AC25" s="60"/>
      <c r="AD25" s="60"/>
      <c r="AE25" s="60"/>
    </row>
    <row r="26" ht="14.25" customHeight="1">
      <c r="A26" s="30">
        <v>14.0</v>
      </c>
      <c r="B26" s="31" t="s">
        <v>709</v>
      </c>
      <c r="C26" s="32" t="s">
        <v>710</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c r="AB26" s="60"/>
      <c r="AC26" s="60"/>
      <c r="AD26" s="60"/>
      <c r="AE26" s="60"/>
    </row>
    <row r="27" ht="14.25" customHeight="1">
      <c r="A27" s="30">
        <v>15.0</v>
      </c>
      <c r="B27" s="31" t="s">
        <v>711</v>
      </c>
      <c r="C27" s="32" t="s">
        <v>712</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c r="AB27" s="60"/>
      <c r="AC27" s="60"/>
      <c r="AD27" s="60"/>
      <c r="AE27" s="60"/>
    </row>
    <row r="28" ht="14.25" customHeight="1">
      <c r="A28" s="30">
        <v>16.0</v>
      </c>
      <c r="B28" s="31" t="s">
        <v>713</v>
      </c>
      <c r="C28" s="32" t="s">
        <v>714</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c r="AB28" s="60"/>
      <c r="AC28" s="60"/>
      <c r="AD28" s="60"/>
      <c r="AE28" s="60"/>
    </row>
    <row r="29" ht="14.25" customHeight="1">
      <c r="A29" s="30">
        <v>17.0</v>
      </c>
      <c r="B29" s="31" t="s">
        <v>715</v>
      </c>
      <c r="C29" s="32" t="s">
        <v>716</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c r="AB29" s="60"/>
      <c r="AC29" s="60"/>
      <c r="AD29" s="60"/>
      <c r="AE29" s="60"/>
    </row>
    <row r="30" ht="14.25" customHeight="1">
      <c r="A30" s="30">
        <v>18.0</v>
      </c>
      <c r="B30" s="31" t="s">
        <v>717</v>
      </c>
      <c r="C30" s="32" t="s">
        <v>718</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c r="AB30" s="60"/>
      <c r="AC30" s="60"/>
      <c r="AD30" s="60"/>
      <c r="AE30" s="60"/>
    </row>
    <row r="31" ht="14.25" customHeight="1">
      <c r="A31" s="30">
        <v>19.0</v>
      </c>
      <c r="B31" s="31" t="s">
        <v>719</v>
      </c>
      <c r="C31" s="32" t="s">
        <v>720</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c r="AB31" s="60"/>
      <c r="AC31" s="60"/>
      <c r="AD31" s="60"/>
      <c r="AE31" s="60"/>
    </row>
    <row r="32" ht="14.25" customHeight="1">
      <c r="A32" s="30">
        <v>20.0</v>
      </c>
      <c r="B32" s="31" t="s">
        <v>721</v>
      </c>
      <c r="C32" s="32" t="s">
        <v>722</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c r="AB32" s="60"/>
      <c r="AC32" s="60"/>
      <c r="AD32" s="60"/>
      <c r="AE32" s="60"/>
    </row>
    <row r="33" ht="14.25" customHeight="1">
      <c r="A33" s="30">
        <v>21.0</v>
      </c>
      <c r="B33" s="31" t="s">
        <v>723</v>
      </c>
      <c r="C33" s="32" t="s">
        <v>724</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c r="AB33" s="60"/>
      <c r="AC33" s="60"/>
      <c r="AD33" s="60"/>
      <c r="AE33" s="60"/>
    </row>
    <row r="34" ht="14.25" customHeight="1">
      <c r="A34" s="30">
        <v>22.0</v>
      </c>
      <c r="B34" s="31" t="s">
        <v>725</v>
      </c>
      <c r="C34" s="32" t="s">
        <v>726</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c r="AB34" s="60"/>
      <c r="AC34" s="60"/>
      <c r="AD34" s="60"/>
      <c r="AE34" s="60"/>
    </row>
    <row r="35" ht="14.25" customHeight="1">
      <c r="A35" s="30">
        <v>23.0</v>
      </c>
      <c r="B35" s="31" t="s">
        <v>727</v>
      </c>
      <c r="C35" s="32" t="s">
        <v>728</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c r="AB35" s="60"/>
      <c r="AC35" s="60"/>
      <c r="AD35" s="60"/>
      <c r="AE35" s="60"/>
    </row>
    <row r="36" ht="14.25" customHeight="1">
      <c r="A36" s="30">
        <v>24.0</v>
      </c>
      <c r="B36" s="31" t="s">
        <v>729</v>
      </c>
      <c r="C36" s="32" t="s">
        <v>730</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c r="AB36" s="60"/>
      <c r="AC36" s="60"/>
      <c r="AD36" s="60"/>
      <c r="AE36" s="60"/>
    </row>
    <row r="37" ht="14.25" customHeight="1">
      <c r="A37" s="30">
        <v>25.0</v>
      </c>
      <c r="B37" s="31" t="s">
        <v>731</v>
      </c>
      <c r="C37" s="32" t="s">
        <v>732</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c r="AB37" s="60"/>
      <c r="AC37" s="60"/>
      <c r="AD37" s="60"/>
      <c r="AE37" s="60"/>
    </row>
    <row r="38" ht="14.25" customHeight="1">
      <c r="A38" s="30">
        <v>26.0</v>
      </c>
      <c r="B38" s="31" t="s">
        <v>733</v>
      </c>
      <c r="C38" s="32" t="s">
        <v>734</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c r="AB38" s="60"/>
      <c r="AC38" s="60"/>
      <c r="AD38" s="60"/>
      <c r="AE38" s="60"/>
    </row>
    <row r="39" ht="14.25" customHeight="1">
      <c r="A39" s="30">
        <v>27.0</v>
      </c>
      <c r="B39" s="31" t="s">
        <v>735</v>
      </c>
      <c r="C39" s="32" t="s">
        <v>736</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c r="AB39" s="60"/>
      <c r="AC39" s="60"/>
      <c r="AD39" s="60"/>
      <c r="AE39" s="60"/>
    </row>
    <row r="40" ht="14.25" customHeight="1">
      <c r="A40" s="30">
        <v>28.0</v>
      </c>
      <c r="B40" s="31" t="s">
        <v>737</v>
      </c>
      <c r="C40" s="32" t="s">
        <v>738</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c r="AB40" s="60"/>
      <c r="AC40" s="60"/>
      <c r="AD40" s="60"/>
      <c r="AE40" s="60"/>
    </row>
    <row r="41" ht="14.25" customHeight="1">
      <c r="A41" s="30">
        <v>29.0</v>
      </c>
      <c r="B41" s="31" t="s">
        <v>739</v>
      </c>
      <c r="C41" s="32" t="s">
        <v>740</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c r="AB41" s="60"/>
      <c r="AC41" s="60"/>
      <c r="AD41" s="60"/>
      <c r="AE41" s="60"/>
    </row>
    <row r="42" ht="14.25" customHeight="1">
      <c r="A42" s="30">
        <v>30.0</v>
      </c>
      <c r="B42" s="31" t="s">
        <v>741</v>
      </c>
      <c r="C42" s="32" t="s">
        <v>742</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c r="AB42" s="60"/>
      <c r="AC42" s="60"/>
      <c r="AD42" s="60"/>
      <c r="AE42" s="60"/>
    </row>
    <row r="43" ht="14.25" customHeight="1">
      <c r="A43" s="30">
        <v>31.0</v>
      </c>
      <c r="B43" s="31" t="s">
        <v>743</v>
      </c>
      <c r="C43" s="32" t="s">
        <v>744</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c r="AB43" s="60"/>
      <c r="AC43" s="60"/>
      <c r="AD43" s="60"/>
      <c r="AE43" s="60"/>
    </row>
    <row r="44" ht="14.25" customHeight="1">
      <c r="A44" s="30">
        <v>32.0</v>
      </c>
      <c r="B44" s="31" t="s">
        <v>745</v>
      </c>
      <c r="C44" s="32" t="s">
        <v>746</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c r="AB44" s="60"/>
      <c r="AC44" s="60"/>
      <c r="AD44" s="60"/>
      <c r="AE44" s="60"/>
    </row>
    <row r="45" ht="14.25" customHeight="1">
      <c r="A45" s="30">
        <v>33.0</v>
      </c>
      <c r="B45" s="31" t="s">
        <v>747</v>
      </c>
      <c r="C45" s="32" t="s">
        <v>748</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c r="AB45" s="60"/>
      <c r="AC45" s="60"/>
      <c r="AD45" s="60"/>
      <c r="AE45" s="60"/>
    </row>
    <row r="46" ht="14.25" customHeight="1">
      <c r="A46" s="30">
        <v>34.0</v>
      </c>
      <c r="B46" s="31" t="s">
        <v>749</v>
      </c>
      <c r="C46" s="32" t="s">
        <v>750</v>
      </c>
      <c r="D46" s="33"/>
      <c r="E46" s="34"/>
      <c r="F46" s="33"/>
      <c r="G46" s="33"/>
      <c r="H46" s="33"/>
      <c r="I46" s="33"/>
      <c r="J46" s="33"/>
      <c r="K46" s="33"/>
      <c r="L46" s="33"/>
      <c r="M46" s="33"/>
      <c r="N46" s="33"/>
      <c r="O46" s="33"/>
      <c r="P46" s="33"/>
      <c r="Q46" s="33"/>
      <c r="R46" s="33"/>
      <c r="S46" s="35" t="str">
        <f t="shared" si="1"/>
        <v>#DIV/0!</v>
      </c>
      <c r="T46" s="36" t="str">
        <f t="shared" si="2"/>
        <v>#DIV/0!</v>
      </c>
      <c r="U46" s="37" t="str">
        <f t="shared" si="3"/>
        <v>#DIV/0!</v>
      </c>
      <c r="V46" s="38"/>
      <c r="W46" s="38" t="str">
        <f t="shared" si="4"/>
        <v>#DIV/0!</v>
      </c>
      <c r="X46" s="39" t="str">
        <f t="shared" si="5"/>
        <v>#DIV/0!</v>
      </c>
      <c r="Y46" s="40"/>
      <c r="Z46" s="41">
        <v>1.0</v>
      </c>
      <c r="AA46" s="42" t="str">
        <f t="shared" si="6"/>
        <v>#DIV/0!</v>
      </c>
      <c r="AB46" s="60"/>
      <c r="AC46" s="60"/>
      <c r="AD46" s="60"/>
      <c r="AE46" s="60"/>
    </row>
    <row r="47" ht="14.25" customHeight="1">
      <c r="A47" s="30">
        <v>35.0</v>
      </c>
      <c r="B47" s="31" t="s">
        <v>751</v>
      </c>
      <c r="C47" s="32" t="s">
        <v>752</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c r="AB47" s="60"/>
      <c r="AC47" s="60"/>
      <c r="AD47" s="60"/>
      <c r="AE47" s="60"/>
    </row>
    <row r="48" ht="14.25" customHeight="1">
      <c r="A48" s="30">
        <v>36.0</v>
      </c>
      <c r="B48" s="31" t="s">
        <v>753</v>
      </c>
      <c r="C48" s="32" t="s">
        <v>754</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c r="AB48" s="60"/>
      <c r="AC48" s="60"/>
      <c r="AD48" s="60"/>
      <c r="AE48" s="60"/>
    </row>
    <row r="49" ht="14.25" customHeight="1">
      <c r="A49" s="30">
        <v>37.0</v>
      </c>
      <c r="B49" s="31" t="s">
        <v>755</v>
      </c>
      <c r="C49" s="32" t="s">
        <v>756</v>
      </c>
      <c r="D49" s="33"/>
      <c r="E49" s="34"/>
      <c r="F49" s="33"/>
      <c r="G49" s="33"/>
      <c r="H49" s="33"/>
      <c r="I49" s="33"/>
      <c r="J49" s="33"/>
      <c r="K49" s="33"/>
      <c r="L49" s="33"/>
      <c r="M49" s="33"/>
      <c r="N49" s="33"/>
      <c r="O49" s="33"/>
      <c r="P49" s="33"/>
      <c r="Q49" s="33"/>
      <c r="R49" s="33"/>
      <c r="S49" s="35" t="str">
        <f t="shared" si="1"/>
        <v>#DIV/0!</v>
      </c>
      <c r="T49" s="36" t="str">
        <f t="shared" si="2"/>
        <v>#DIV/0!</v>
      </c>
      <c r="U49" s="37" t="str">
        <f t="shared" si="3"/>
        <v>#DIV/0!</v>
      </c>
      <c r="V49" s="38"/>
      <c r="W49" s="38" t="str">
        <f t="shared" si="4"/>
        <v>#DIV/0!</v>
      </c>
      <c r="X49" s="39" t="str">
        <f t="shared" si="5"/>
        <v>#DIV/0!</v>
      </c>
      <c r="Y49" s="40"/>
      <c r="Z49" s="41">
        <v>1.0</v>
      </c>
      <c r="AA49" s="42" t="str">
        <f t="shared" si="6"/>
        <v>#DIV/0!</v>
      </c>
      <c r="AB49" s="60"/>
      <c r="AC49" s="60"/>
      <c r="AE49" s="60"/>
    </row>
    <row r="50" ht="14.25" customHeight="1">
      <c r="A50" s="30">
        <v>38.0</v>
      </c>
      <c r="B50" s="31" t="s">
        <v>757</v>
      </c>
      <c r="C50" s="32" t="s">
        <v>758</v>
      </c>
      <c r="D50" s="53"/>
      <c r="E50" s="34"/>
      <c r="F50" s="53"/>
      <c r="G50" s="53"/>
      <c r="H50" s="53"/>
      <c r="I50" s="53"/>
      <c r="J50" s="53"/>
      <c r="K50" s="53"/>
      <c r="L50" s="53"/>
      <c r="M50" s="53"/>
      <c r="N50" s="53"/>
      <c r="O50" s="53"/>
      <c r="P50" s="53"/>
      <c r="Q50" s="53"/>
      <c r="R50" s="53"/>
      <c r="S50" s="35" t="str">
        <f t="shared" si="1"/>
        <v>#DIV/0!</v>
      </c>
      <c r="T50" s="36" t="str">
        <f t="shared" si="2"/>
        <v>#DIV/0!</v>
      </c>
      <c r="U50" s="37" t="str">
        <f t="shared" si="3"/>
        <v>#DIV/0!</v>
      </c>
      <c r="V50" s="38"/>
      <c r="W50" s="38" t="str">
        <f t="shared" si="4"/>
        <v>#DIV/0!</v>
      </c>
      <c r="X50" s="39" t="str">
        <f t="shared" si="5"/>
        <v>#DIV/0!</v>
      </c>
      <c r="Y50" s="40"/>
      <c r="Z50" s="41"/>
      <c r="AA50" s="42" t="str">
        <f t="shared" si="6"/>
        <v>#DIV/0!</v>
      </c>
    </row>
    <row r="51" ht="14.25" customHeight="1">
      <c r="A51" s="30">
        <v>39.0</v>
      </c>
      <c r="B51" s="31" t="s">
        <v>759</v>
      </c>
      <c r="C51" s="32" t="s">
        <v>760</v>
      </c>
      <c r="D51" s="53"/>
      <c r="E51" s="34"/>
      <c r="F51" s="53"/>
      <c r="G51" s="53"/>
      <c r="H51" s="53"/>
      <c r="I51" s="53"/>
      <c r="J51" s="53"/>
      <c r="K51" s="53"/>
      <c r="L51" s="53"/>
      <c r="M51" s="53"/>
      <c r="N51" s="53"/>
      <c r="O51" s="53"/>
      <c r="P51" s="53"/>
      <c r="Q51" s="53"/>
      <c r="R51" s="53"/>
      <c r="S51" s="35" t="str">
        <f t="shared" si="1"/>
        <v>#DIV/0!</v>
      </c>
      <c r="T51" s="36" t="str">
        <f t="shared" si="2"/>
        <v>#DIV/0!</v>
      </c>
      <c r="U51" s="37" t="str">
        <f t="shared" si="3"/>
        <v>#DIV/0!</v>
      </c>
      <c r="V51" s="38"/>
      <c r="W51" s="38" t="str">
        <f t="shared" si="4"/>
        <v>#DIV/0!</v>
      </c>
      <c r="X51" s="39" t="str">
        <f t="shared" si="5"/>
        <v>#DIV/0!</v>
      </c>
      <c r="Y51" s="40"/>
      <c r="Z51" s="41"/>
      <c r="AA51" s="42" t="str">
        <f t="shared" si="6"/>
        <v>#DIV/0!</v>
      </c>
    </row>
    <row r="52" ht="14.25" customHeight="1">
      <c r="A52" s="30">
        <v>40.0</v>
      </c>
      <c r="B52" s="31" t="s">
        <v>761</v>
      </c>
      <c r="C52" s="32" t="s">
        <v>762</v>
      </c>
      <c r="D52" s="53"/>
      <c r="E52" s="34"/>
      <c r="F52" s="53"/>
      <c r="G52" s="53"/>
      <c r="H52" s="53"/>
      <c r="I52" s="53"/>
      <c r="J52" s="53"/>
      <c r="K52" s="53"/>
      <c r="L52" s="53"/>
      <c r="M52" s="53"/>
      <c r="N52" s="53"/>
      <c r="O52" s="53"/>
      <c r="P52" s="53"/>
      <c r="Q52" s="53"/>
      <c r="R52" s="53"/>
      <c r="S52" s="35" t="str">
        <f t="shared" si="1"/>
        <v>#DIV/0!</v>
      </c>
      <c r="T52" s="36" t="str">
        <f t="shared" si="2"/>
        <v>#DIV/0!</v>
      </c>
      <c r="U52" s="37" t="str">
        <f t="shared" si="3"/>
        <v>#DIV/0!</v>
      </c>
      <c r="V52" s="38"/>
      <c r="W52" s="38" t="str">
        <f t="shared" si="4"/>
        <v>#DIV/0!</v>
      </c>
      <c r="X52" s="39" t="str">
        <f t="shared" si="5"/>
        <v>#DIV/0!</v>
      </c>
      <c r="Y52" s="40"/>
      <c r="Z52" s="41"/>
      <c r="AA52" s="42" t="str">
        <f t="shared" si="6"/>
        <v>#DIV/0!</v>
      </c>
    </row>
    <row r="53" ht="14.25" customHeight="1">
      <c r="A53" s="30">
        <v>41.0</v>
      </c>
      <c r="B53" s="31" t="s">
        <v>763</v>
      </c>
      <c r="C53" s="32" t="s">
        <v>764</v>
      </c>
      <c r="D53" s="53"/>
      <c r="E53" s="34"/>
      <c r="F53" s="53"/>
      <c r="G53" s="53"/>
      <c r="H53" s="53"/>
      <c r="I53" s="53"/>
      <c r="J53" s="53"/>
      <c r="K53" s="53"/>
      <c r="L53" s="53"/>
      <c r="M53" s="53"/>
      <c r="N53" s="53"/>
      <c r="O53" s="53"/>
      <c r="P53" s="53"/>
      <c r="Q53" s="53"/>
      <c r="R53" s="53"/>
      <c r="S53" s="35" t="str">
        <f t="shared" si="1"/>
        <v>#DIV/0!</v>
      </c>
      <c r="T53" s="36" t="str">
        <f t="shared" si="2"/>
        <v>#DIV/0!</v>
      </c>
      <c r="U53" s="37" t="str">
        <f t="shared" si="3"/>
        <v>#DIV/0!</v>
      </c>
      <c r="V53" s="38"/>
      <c r="W53" s="38" t="str">
        <f t="shared" si="4"/>
        <v>#DIV/0!</v>
      </c>
      <c r="X53" s="39" t="str">
        <f t="shared" si="5"/>
        <v>#DIV/0!</v>
      </c>
      <c r="Y53" s="40"/>
      <c r="Z53" s="41"/>
      <c r="AA53" s="42" t="str">
        <f t="shared" si="6"/>
        <v>#DIV/0!</v>
      </c>
    </row>
    <row r="54" ht="14.25" customHeight="1">
      <c r="A54" s="30">
        <v>42.0</v>
      </c>
      <c r="B54" s="31" t="s">
        <v>765</v>
      </c>
      <c r="C54" s="32" t="s">
        <v>766</v>
      </c>
      <c r="D54" s="53"/>
      <c r="E54" s="34"/>
      <c r="F54" s="53"/>
      <c r="G54" s="53"/>
      <c r="H54" s="53"/>
      <c r="I54" s="53"/>
      <c r="J54" s="53"/>
      <c r="K54" s="53"/>
      <c r="L54" s="53"/>
      <c r="M54" s="53"/>
      <c r="N54" s="53"/>
      <c r="O54" s="53"/>
      <c r="P54" s="53"/>
      <c r="Q54" s="53"/>
      <c r="R54" s="53"/>
      <c r="S54" s="35" t="str">
        <f t="shared" si="1"/>
        <v>#DIV/0!</v>
      </c>
      <c r="T54" s="36" t="str">
        <f t="shared" si="2"/>
        <v>#DIV/0!</v>
      </c>
      <c r="U54" s="37" t="str">
        <f t="shared" si="3"/>
        <v>#DIV/0!</v>
      </c>
      <c r="V54" s="38"/>
      <c r="W54" s="38" t="str">
        <f t="shared" si="4"/>
        <v>#DIV/0!</v>
      </c>
      <c r="X54" s="39" t="str">
        <f t="shared" si="5"/>
        <v>#DIV/0!</v>
      </c>
      <c r="Y54" s="40"/>
      <c r="Z54" s="41"/>
      <c r="AA54" s="42" t="str">
        <f t="shared" si="6"/>
        <v>#DIV/0!</v>
      </c>
    </row>
    <row r="55" ht="14.25" customHeight="1">
      <c r="A55" s="30">
        <v>43.0</v>
      </c>
      <c r="B55" s="31" t="s">
        <v>767</v>
      </c>
      <c r="C55" s="32" t="s">
        <v>768</v>
      </c>
      <c r="D55" s="53"/>
      <c r="E55" s="34"/>
      <c r="F55" s="53"/>
      <c r="G55" s="53"/>
      <c r="H55" s="53"/>
      <c r="I55" s="53"/>
      <c r="J55" s="53"/>
      <c r="K55" s="53"/>
      <c r="L55" s="53"/>
      <c r="M55" s="53"/>
      <c r="N55" s="53"/>
      <c r="O55" s="53"/>
      <c r="P55" s="53"/>
      <c r="Q55" s="53"/>
      <c r="R55" s="53"/>
      <c r="S55" s="35" t="str">
        <f t="shared" si="1"/>
        <v>#DIV/0!</v>
      </c>
      <c r="T55" s="36" t="str">
        <f t="shared" si="2"/>
        <v>#DIV/0!</v>
      </c>
      <c r="U55" s="37" t="str">
        <f t="shared" si="3"/>
        <v>#DIV/0!</v>
      </c>
      <c r="V55" s="38"/>
      <c r="W55" s="38" t="str">
        <f t="shared" si="4"/>
        <v>#DIV/0!</v>
      </c>
      <c r="X55" s="39" t="str">
        <f t="shared" si="5"/>
        <v>#DIV/0!</v>
      </c>
      <c r="Y55" s="40"/>
      <c r="Z55" s="41"/>
      <c r="AA55" s="42" t="str">
        <f t="shared" si="6"/>
        <v>#DIV/0!</v>
      </c>
    </row>
    <row r="56" ht="14.25" customHeight="1">
      <c r="A56" s="30">
        <v>44.0</v>
      </c>
      <c r="B56" s="31" t="s">
        <v>769</v>
      </c>
      <c r="C56" s="32" t="s">
        <v>770</v>
      </c>
      <c r="D56" s="53"/>
      <c r="E56" s="34"/>
      <c r="F56" s="53"/>
      <c r="G56" s="53"/>
      <c r="H56" s="53"/>
      <c r="I56" s="53"/>
      <c r="J56" s="53"/>
      <c r="K56" s="53"/>
      <c r="L56" s="53"/>
      <c r="M56" s="53"/>
      <c r="N56" s="53"/>
      <c r="O56" s="53"/>
      <c r="P56" s="53"/>
      <c r="Q56" s="53"/>
      <c r="R56" s="53"/>
      <c r="S56" s="35" t="str">
        <f t="shared" si="1"/>
        <v>#DIV/0!</v>
      </c>
      <c r="T56" s="36" t="str">
        <f t="shared" si="2"/>
        <v>#DIV/0!</v>
      </c>
      <c r="U56" s="37" t="str">
        <f t="shared" si="3"/>
        <v>#DIV/0!</v>
      </c>
      <c r="V56" s="38"/>
      <c r="W56" s="38" t="str">
        <f t="shared" si="4"/>
        <v>#DIV/0!</v>
      </c>
      <c r="X56" s="39" t="str">
        <f t="shared" si="5"/>
        <v>#DIV/0!</v>
      </c>
      <c r="Y56" s="40"/>
      <c r="Z56" s="41"/>
      <c r="AA56" s="42" t="str">
        <f t="shared" si="6"/>
        <v>#DIV/0!</v>
      </c>
    </row>
    <row r="57" ht="14.25" customHeight="1">
      <c r="A57" s="30">
        <v>45.0</v>
      </c>
      <c r="B57" s="31" t="s">
        <v>771</v>
      </c>
      <c r="C57" s="32" t="s">
        <v>772</v>
      </c>
      <c r="D57" s="53"/>
      <c r="E57" s="34"/>
      <c r="F57" s="53"/>
      <c r="G57" s="53"/>
      <c r="H57" s="53"/>
      <c r="I57" s="53"/>
      <c r="J57" s="53"/>
      <c r="K57" s="53"/>
      <c r="L57" s="53"/>
      <c r="M57" s="53"/>
      <c r="N57" s="53"/>
      <c r="O57" s="53"/>
      <c r="P57" s="53"/>
      <c r="Q57" s="53"/>
      <c r="R57" s="53"/>
      <c r="S57" s="35" t="str">
        <f t="shared" si="1"/>
        <v>#DIV/0!</v>
      </c>
      <c r="T57" s="36" t="str">
        <f t="shared" si="2"/>
        <v>#DIV/0!</v>
      </c>
      <c r="U57" s="37" t="str">
        <f t="shared" si="3"/>
        <v>#DIV/0!</v>
      </c>
      <c r="V57" s="38"/>
      <c r="W57" s="38" t="str">
        <f t="shared" si="4"/>
        <v>#DIV/0!</v>
      </c>
      <c r="X57" s="39" t="str">
        <f t="shared" si="5"/>
        <v>#DIV/0!</v>
      </c>
      <c r="Y57" s="40"/>
      <c r="Z57" s="41"/>
      <c r="AA57" s="42" t="str">
        <f t="shared" si="6"/>
        <v>#DIV/0!</v>
      </c>
    </row>
    <row r="58" ht="14.25" customHeight="1">
      <c r="A58" s="30">
        <v>46.0</v>
      </c>
      <c r="B58" s="31" t="s">
        <v>773</v>
      </c>
      <c r="C58" s="32" t="s">
        <v>774</v>
      </c>
      <c r="D58" s="53"/>
      <c r="E58" s="34"/>
      <c r="F58" s="53"/>
      <c r="G58" s="53"/>
      <c r="H58" s="53"/>
      <c r="I58" s="53"/>
      <c r="J58" s="53"/>
      <c r="K58" s="53"/>
      <c r="L58" s="53"/>
      <c r="M58" s="53"/>
      <c r="N58" s="53"/>
      <c r="O58" s="53"/>
      <c r="P58" s="53"/>
      <c r="Q58" s="53"/>
      <c r="R58" s="53"/>
      <c r="S58" s="35" t="str">
        <f t="shared" si="1"/>
        <v>#DIV/0!</v>
      </c>
      <c r="T58" s="36" t="str">
        <f t="shared" si="2"/>
        <v>#DIV/0!</v>
      </c>
      <c r="U58" s="37" t="str">
        <f t="shared" si="3"/>
        <v>#DIV/0!</v>
      </c>
      <c r="V58" s="38"/>
      <c r="W58" s="38" t="str">
        <f t="shared" si="4"/>
        <v>#DIV/0!</v>
      </c>
      <c r="X58" s="39" t="str">
        <f t="shared" si="5"/>
        <v>#DIV/0!</v>
      </c>
      <c r="Y58" s="40"/>
      <c r="Z58" s="41"/>
      <c r="AA58" s="42" t="str">
        <f t="shared" si="6"/>
        <v>#DIV/0!</v>
      </c>
    </row>
    <row r="59" ht="14.25" customHeight="1">
      <c r="A59" s="30">
        <v>47.0</v>
      </c>
      <c r="B59" s="31" t="s">
        <v>775</v>
      </c>
      <c r="C59" s="32" t="s">
        <v>776</v>
      </c>
      <c r="D59" s="53"/>
      <c r="E59" s="34"/>
      <c r="F59" s="53"/>
      <c r="G59" s="53"/>
      <c r="H59" s="53"/>
      <c r="I59" s="53"/>
      <c r="J59" s="53"/>
      <c r="K59" s="53"/>
      <c r="L59" s="53"/>
      <c r="M59" s="53"/>
      <c r="N59" s="53"/>
      <c r="O59" s="53"/>
      <c r="P59" s="53"/>
      <c r="Q59" s="53"/>
      <c r="R59" s="53"/>
      <c r="S59" s="35" t="str">
        <f t="shared" si="1"/>
        <v>#DIV/0!</v>
      </c>
      <c r="T59" s="36" t="str">
        <f t="shared" si="2"/>
        <v>#DIV/0!</v>
      </c>
      <c r="U59" s="37" t="str">
        <f t="shared" si="3"/>
        <v>#DIV/0!</v>
      </c>
      <c r="V59" s="38"/>
      <c r="W59" s="38" t="str">
        <f t="shared" si="4"/>
        <v>#DIV/0!</v>
      </c>
      <c r="X59" s="39" t="str">
        <f t="shared" si="5"/>
        <v>#DIV/0!</v>
      </c>
      <c r="Y59" s="40"/>
      <c r="Z59" s="41"/>
      <c r="AA59" s="42" t="str">
        <f t="shared" si="6"/>
        <v>#DIV/0!</v>
      </c>
    </row>
    <row r="60" ht="14.25" customHeight="1"/>
    <row r="61" ht="14.25" customHeight="1"/>
    <row r="62" ht="14.25" customHeight="1">
      <c r="Y62" s="40" t="s">
        <v>117</v>
      </c>
      <c r="Z62" s="53"/>
      <c r="AA62" s="42" t="str">
        <f>MAX(AA25:AA60)</f>
        <v>#DIV/0!</v>
      </c>
    </row>
    <row r="63" ht="14.25" customHeight="1">
      <c r="Y63" s="40" t="s">
        <v>118</v>
      </c>
      <c r="Z63" s="53"/>
      <c r="AA63" s="53" t="str">
        <f>MIN(AA25:AA60)</f>
        <v>#DIV/0!</v>
      </c>
    </row>
    <row r="64" ht="14.25" customHeight="1">
      <c r="Y64" s="40" t="s">
        <v>119</v>
      </c>
      <c r="Z64" s="53"/>
      <c r="AA64" s="53" t="str">
        <f>AVERAGE(AA25:AA60)</f>
        <v>#DIV/0!</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9.86"/>
    <col customWidth="1" min="3" max="3" width="32.86"/>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8" width="5.14"/>
    <col customWidth="1" min="29" max="29" width="7.0"/>
    <col customWidth="1" min="30" max="30" width="8.71"/>
    <col customWidth="1" min="31" max="31" width="6.0"/>
  </cols>
  <sheetData>
    <row r="1" ht="78.0" customHeight="1">
      <c r="A1" s="1" t="s">
        <v>777</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778</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27.0" customHeight="1">
      <c r="A11" s="11"/>
      <c r="B11" s="11"/>
      <c r="C11" s="11"/>
      <c r="D11" s="12"/>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2">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779</v>
      </c>
      <c r="C13" s="32" t="s">
        <v>780</v>
      </c>
      <c r="D13" s="33"/>
      <c r="E13" s="34"/>
      <c r="F13" s="33"/>
      <c r="G13" s="33"/>
      <c r="H13" s="33"/>
      <c r="I13" s="33"/>
      <c r="J13" s="33"/>
      <c r="K13" s="33"/>
      <c r="L13" s="33"/>
      <c r="M13" s="33"/>
      <c r="N13" s="33"/>
      <c r="O13" s="33"/>
      <c r="P13" s="33"/>
      <c r="Q13" s="33"/>
      <c r="R13" s="33"/>
      <c r="S13" s="35" t="str">
        <f t="shared" ref="S13:S57" si="1">AVERAGE(D13:H13)</f>
        <v>#DIV/0!</v>
      </c>
      <c r="T13" s="36" t="str">
        <f t="shared" ref="T13:T57" si="2">AVERAGE(I13:M13)</f>
        <v>#DIV/0!</v>
      </c>
      <c r="U13" s="37" t="str">
        <f t="shared" ref="U13:U57" si="3">AVERAGE(N13:R13)</f>
        <v>#DIV/0!</v>
      </c>
      <c r="V13" s="38"/>
      <c r="W13" s="38" t="str">
        <f t="shared" ref="W13:W57" si="4">AVERAGE(S13:U13)</f>
        <v>#DIV/0!</v>
      </c>
      <c r="X13" s="39" t="str">
        <f t="shared" ref="X13:X57" si="5">ROUND(AVERAGE(V13:W13),0)</f>
        <v>#DIV/0!</v>
      </c>
      <c r="Y13" s="40"/>
      <c r="Z13" s="41">
        <v>1.0</v>
      </c>
      <c r="AA13" s="42" t="str">
        <f t="shared" ref="AA13:AA57" si="6">ROUND(IF((X13*(IF(Y13="A",105%,IF(Y13="B",102%,IF(Y13="C",75%,50%))))*Z13)&gt;100,100,(X13*(IF(Y13="A",105%,IF(Y13="B",102%,IF(Y13="C",75%,50%))))*Z13)),0)</f>
        <v>#DIV/0!</v>
      </c>
      <c r="AB13" s="60"/>
      <c r="AC13" s="60"/>
      <c r="AD13" s="60"/>
      <c r="AE13" s="60"/>
    </row>
    <row r="14" ht="14.25" customHeight="1">
      <c r="A14" s="30">
        <v>2.0</v>
      </c>
      <c r="B14" s="31" t="s">
        <v>781</v>
      </c>
      <c r="C14" s="32" t="s">
        <v>782</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c r="AB14" s="60"/>
      <c r="AC14" s="60"/>
      <c r="AD14" s="60"/>
      <c r="AE14" s="60"/>
    </row>
    <row r="15" ht="14.25" customHeight="1">
      <c r="A15" s="30">
        <v>3.0</v>
      </c>
      <c r="B15" s="31" t="s">
        <v>783</v>
      </c>
      <c r="C15" s="32" t="s">
        <v>784</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c r="AB15" s="60"/>
      <c r="AC15" s="60"/>
      <c r="AD15" s="60"/>
      <c r="AE15" s="60"/>
    </row>
    <row r="16" ht="14.25" customHeight="1">
      <c r="A16" s="30">
        <v>4.0</v>
      </c>
      <c r="B16" s="31" t="s">
        <v>785</v>
      </c>
      <c r="C16" s="32" t="s">
        <v>786</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c r="AB16" s="60"/>
      <c r="AC16" s="60"/>
      <c r="AD16" s="60"/>
      <c r="AE16" s="60"/>
    </row>
    <row r="17" ht="14.25" customHeight="1">
      <c r="A17" s="30">
        <v>5.0</v>
      </c>
      <c r="B17" s="31" t="s">
        <v>787</v>
      </c>
      <c r="C17" s="32" t="s">
        <v>788</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c r="AB17" s="60"/>
      <c r="AC17" s="60"/>
      <c r="AD17" s="60"/>
      <c r="AE17" s="60"/>
    </row>
    <row r="18" ht="14.25" customHeight="1">
      <c r="A18" s="30">
        <v>6.0</v>
      </c>
      <c r="B18" s="31" t="s">
        <v>789</v>
      </c>
      <c r="C18" s="32" t="s">
        <v>790</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c r="AB18" s="60"/>
      <c r="AC18" s="60"/>
      <c r="AD18" s="60"/>
      <c r="AE18" s="60"/>
    </row>
    <row r="19" ht="14.25" customHeight="1">
      <c r="A19" s="30">
        <v>7.0</v>
      </c>
      <c r="B19" s="31" t="s">
        <v>791</v>
      </c>
      <c r="C19" s="32" t="s">
        <v>792</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c r="AB19" s="60"/>
      <c r="AC19" s="60"/>
      <c r="AD19" s="60"/>
      <c r="AE19" s="60"/>
    </row>
    <row r="20" ht="14.25" customHeight="1">
      <c r="A20" s="30">
        <v>8.0</v>
      </c>
      <c r="B20" s="31" t="s">
        <v>793</v>
      </c>
      <c r="C20" s="32" t="s">
        <v>794</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c r="AB20" s="60"/>
      <c r="AC20" s="60"/>
      <c r="AD20" s="60"/>
      <c r="AE20" s="60"/>
    </row>
    <row r="21" ht="14.25" customHeight="1">
      <c r="A21" s="30">
        <v>9.0</v>
      </c>
      <c r="B21" s="31" t="s">
        <v>795</v>
      </c>
      <c r="C21" s="32" t="s">
        <v>796</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c r="AB21" s="60"/>
      <c r="AC21" s="60"/>
      <c r="AD21" s="60"/>
      <c r="AE21" s="60"/>
    </row>
    <row r="22" ht="14.25" customHeight="1">
      <c r="A22" s="30">
        <v>10.0</v>
      </c>
      <c r="B22" s="31" t="s">
        <v>797</v>
      </c>
      <c r="C22" s="32" t="s">
        <v>798</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c r="AB22" s="60"/>
      <c r="AC22" s="60"/>
      <c r="AD22" s="60"/>
      <c r="AE22" s="60"/>
    </row>
    <row r="23" ht="14.25" customHeight="1">
      <c r="A23" s="30">
        <v>11.0</v>
      </c>
      <c r="B23" s="31" t="s">
        <v>799</v>
      </c>
      <c r="C23" s="32" t="s">
        <v>800</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c r="AB23" s="60"/>
      <c r="AC23" s="60"/>
      <c r="AD23" s="60"/>
      <c r="AE23" s="60"/>
    </row>
    <row r="24" ht="14.25" customHeight="1">
      <c r="A24" s="30">
        <v>12.0</v>
      </c>
      <c r="B24" s="31" t="s">
        <v>801</v>
      </c>
      <c r="C24" s="32" t="s">
        <v>802</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c r="AB24" s="60"/>
      <c r="AC24" s="60"/>
      <c r="AD24" s="60"/>
      <c r="AE24" s="60"/>
    </row>
    <row r="25" ht="14.25" customHeight="1">
      <c r="A25" s="30">
        <v>13.0</v>
      </c>
      <c r="B25" s="31" t="s">
        <v>803</v>
      </c>
      <c r="C25" s="32" t="s">
        <v>804</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c r="AB25" s="60"/>
      <c r="AC25" s="60"/>
      <c r="AD25" s="60"/>
      <c r="AE25" s="60"/>
    </row>
    <row r="26" ht="14.25" customHeight="1">
      <c r="A26" s="30">
        <v>14.0</v>
      </c>
      <c r="B26" s="31" t="s">
        <v>805</v>
      </c>
      <c r="C26" s="32" t="s">
        <v>806</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c r="AB26" s="60"/>
      <c r="AC26" s="60"/>
      <c r="AD26" s="60"/>
      <c r="AE26" s="60"/>
    </row>
    <row r="27" ht="14.25" customHeight="1">
      <c r="A27" s="30">
        <v>15.0</v>
      </c>
      <c r="B27" s="31" t="s">
        <v>807</v>
      </c>
      <c r="C27" s="32" t="s">
        <v>808</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c r="AB27" s="60"/>
      <c r="AC27" s="60"/>
      <c r="AD27" s="60"/>
      <c r="AE27" s="60"/>
    </row>
    <row r="28" ht="14.25" customHeight="1">
      <c r="A28" s="30">
        <v>16.0</v>
      </c>
      <c r="B28" s="31" t="s">
        <v>809</v>
      </c>
      <c r="C28" s="32" t="s">
        <v>810</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c r="AB28" s="60"/>
      <c r="AC28" s="60"/>
      <c r="AD28" s="60"/>
      <c r="AE28" s="60"/>
    </row>
    <row r="29" ht="14.25" customHeight="1">
      <c r="A29" s="30">
        <v>17.0</v>
      </c>
      <c r="B29" s="31" t="s">
        <v>811</v>
      </c>
      <c r="C29" s="32" t="s">
        <v>812</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c r="AB29" s="60"/>
      <c r="AC29" s="60"/>
      <c r="AD29" s="60"/>
      <c r="AE29" s="60"/>
    </row>
    <row r="30" ht="14.25" customHeight="1">
      <c r="A30" s="30">
        <v>18.0</v>
      </c>
      <c r="B30" s="31" t="s">
        <v>813</v>
      </c>
      <c r="C30" s="32" t="s">
        <v>814</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c r="AB30" s="60"/>
      <c r="AC30" s="60"/>
      <c r="AD30" s="60"/>
      <c r="AE30" s="60"/>
    </row>
    <row r="31" ht="14.25" customHeight="1">
      <c r="A31" s="30">
        <v>19.0</v>
      </c>
      <c r="B31" s="31" t="s">
        <v>815</v>
      </c>
      <c r="C31" s="32" t="s">
        <v>816</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c r="AB31" s="60"/>
      <c r="AC31" s="60"/>
      <c r="AD31" s="60"/>
      <c r="AE31" s="60"/>
    </row>
    <row r="32" ht="14.25" customHeight="1">
      <c r="A32" s="30">
        <v>20.0</v>
      </c>
      <c r="B32" s="31" t="s">
        <v>817</v>
      </c>
      <c r="C32" s="32" t="s">
        <v>818</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c r="AB32" s="60"/>
      <c r="AC32" s="60"/>
      <c r="AD32" s="60"/>
      <c r="AE32" s="60"/>
    </row>
    <row r="33" ht="14.25" customHeight="1">
      <c r="A33" s="30">
        <v>21.0</v>
      </c>
      <c r="B33" s="31" t="s">
        <v>819</v>
      </c>
      <c r="C33" s="32" t="s">
        <v>820</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c r="AB33" s="60"/>
      <c r="AC33" s="60"/>
      <c r="AD33" s="60"/>
      <c r="AE33" s="60"/>
    </row>
    <row r="34" ht="14.25" customHeight="1">
      <c r="A34" s="30">
        <v>22.0</v>
      </c>
      <c r="B34" s="31" t="s">
        <v>821</v>
      </c>
      <c r="C34" s="32" t="s">
        <v>822</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c r="AB34" s="60"/>
      <c r="AC34" s="60"/>
      <c r="AD34" s="60"/>
      <c r="AE34" s="60"/>
    </row>
    <row r="35" ht="14.25" customHeight="1">
      <c r="A35" s="30">
        <v>23.0</v>
      </c>
      <c r="B35" s="31" t="s">
        <v>823</v>
      </c>
      <c r="C35" s="32" t="s">
        <v>824</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c r="AB35" s="60"/>
      <c r="AC35" s="60"/>
      <c r="AD35" s="60"/>
      <c r="AE35" s="60"/>
    </row>
    <row r="36" ht="14.25" customHeight="1">
      <c r="A36" s="30">
        <v>24.0</v>
      </c>
      <c r="B36" s="31" t="s">
        <v>825</v>
      </c>
      <c r="C36" s="32" t="s">
        <v>826</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c r="AB36" s="60"/>
      <c r="AC36" s="60"/>
      <c r="AD36" s="60"/>
      <c r="AE36" s="60"/>
    </row>
    <row r="37" ht="14.25" customHeight="1">
      <c r="A37" s="30">
        <v>25.0</v>
      </c>
      <c r="B37" s="31" t="s">
        <v>827</v>
      </c>
      <c r="C37" s="32" t="s">
        <v>828</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c r="AB37" s="60"/>
      <c r="AC37" s="60"/>
      <c r="AD37" s="60"/>
      <c r="AE37" s="60"/>
    </row>
    <row r="38" ht="14.25" customHeight="1">
      <c r="A38" s="30">
        <v>26.0</v>
      </c>
      <c r="B38" s="31" t="s">
        <v>829</v>
      </c>
      <c r="C38" s="32" t="s">
        <v>830</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c r="AB38" s="60"/>
      <c r="AC38" s="60"/>
      <c r="AD38" s="60"/>
      <c r="AE38" s="60"/>
    </row>
    <row r="39" ht="14.25" customHeight="1">
      <c r="A39" s="30">
        <v>27.0</v>
      </c>
      <c r="B39" s="31" t="s">
        <v>831</v>
      </c>
      <c r="C39" s="32" t="s">
        <v>832</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c r="AB39" s="60"/>
      <c r="AC39" s="60"/>
      <c r="AD39" s="60"/>
      <c r="AE39" s="60"/>
    </row>
    <row r="40" ht="14.25" customHeight="1">
      <c r="A40" s="30">
        <v>28.0</v>
      </c>
      <c r="B40" s="31" t="s">
        <v>833</v>
      </c>
      <c r="C40" s="32" t="s">
        <v>834</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c r="AB40" s="60"/>
      <c r="AC40" s="60"/>
      <c r="AD40" s="60"/>
      <c r="AE40" s="60"/>
    </row>
    <row r="41" ht="14.25" customHeight="1">
      <c r="A41" s="30">
        <v>29.0</v>
      </c>
      <c r="B41" s="31" t="s">
        <v>835</v>
      </c>
      <c r="C41" s="32" t="s">
        <v>836</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c r="AB41" s="60"/>
      <c r="AC41" s="60"/>
      <c r="AD41" s="60"/>
      <c r="AE41" s="60"/>
    </row>
    <row r="42" ht="14.25" customHeight="1">
      <c r="A42" s="30">
        <v>30.0</v>
      </c>
      <c r="B42" s="31" t="s">
        <v>837</v>
      </c>
      <c r="C42" s="32" t="s">
        <v>838</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c r="AB42" s="60"/>
      <c r="AC42" s="60"/>
      <c r="AD42" s="60"/>
      <c r="AE42" s="60"/>
    </row>
    <row r="43" ht="14.25" customHeight="1">
      <c r="A43" s="30">
        <v>31.0</v>
      </c>
      <c r="B43" s="31" t="s">
        <v>839</v>
      </c>
      <c r="C43" s="32" t="s">
        <v>840</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c r="AB43" s="60"/>
      <c r="AC43" s="60"/>
      <c r="AD43" s="60"/>
      <c r="AE43" s="60"/>
    </row>
    <row r="44" ht="14.25" customHeight="1">
      <c r="A44" s="30">
        <v>32.0</v>
      </c>
      <c r="B44" s="31" t="s">
        <v>841</v>
      </c>
      <c r="C44" s="32" t="s">
        <v>842</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c r="AB44" s="60"/>
      <c r="AC44" s="60"/>
      <c r="AD44" s="60"/>
      <c r="AE44" s="60"/>
    </row>
    <row r="45" ht="14.25" customHeight="1">
      <c r="A45" s="30">
        <v>33.0</v>
      </c>
      <c r="B45" s="31" t="s">
        <v>843</v>
      </c>
      <c r="C45" s="32" t="s">
        <v>844</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c r="AB45" s="60"/>
      <c r="AC45" s="60"/>
      <c r="AD45" s="60"/>
      <c r="AE45" s="60"/>
    </row>
    <row r="46" ht="14.25" customHeight="1">
      <c r="A46" s="30">
        <v>34.0</v>
      </c>
      <c r="B46" s="31" t="s">
        <v>845</v>
      </c>
      <c r="C46" s="32" t="s">
        <v>846</v>
      </c>
      <c r="D46" s="33"/>
      <c r="E46" s="34"/>
      <c r="F46" s="33"/>
      <c r="G46" s="33"/>
      <c r="H46" s="33"/>
      <c r="I46" s="33"/>
      <c r="J46" s="33"/>
      <c r="K46" s="33"/>
      <c r="L46" s="33"/>
      <c r="M46" s="33"/>
      <c r="N46" s="33"/>
      <c r="O46" s="33"/>
      <c r="P46" s="33"/>
      <c r="Q46" s="33"/>
      <c r="R46" s="33"/>
      <c r="S46" s="35" t="str">
        <f t="shared" si="1"/>
        <v>#DIV/0!</v>
      </c>
      <c r="T46" s="36" t="str">
        <f t="shared" si="2"/>
        <v>#DIV/0!</v>
      </c>
      <c r="U46" s="37" t="str">
        <f t="shared" si="3"/>
        <v>#DIV/0!</v>
      </c>
      <c r="V46" s="38"/>
      <c r="W46" s="38" t="str">
        <f t="shared" si="4"/>
        <v>#DIV/0!</v>
      </c>
      <c r="X46" s="39" t="str">
        <f t="shared" si="5"/>
        <v>#DIV/0!</v>
      </c>
      <c r="Y46" s="40"/>
      <c r="Z46" s="41">
        <v>1.0</v>
      </c>
      <c r="AA46" s="42" t="str">
        <f t="shared" si="6"/>
        <v>#DIV/0!</v>
      </c>
      <c r="AB46" s="60"/>
      <c r="AC46" s="60"/>
      <c r="AD46" s="60"/>
      <c r="AE46" s="60"/>
    </row>
    <row r="47" ht="14.25" customHeight="1">
      <c r="A47" s="30">
        <v>35.0</v>
      </c>
      <c r="B47" s="31" t="s">
        <v>847</v>
      </c>
      <c r="C47" s="32" t="s">
        <v>848</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c r="AB47" s="60"/>
      <c r="AC47" s="60"/>
      <c r="AD47" s="60"/>
      <c r="AE47" s="60"/>
    </row>
    <row r="48" ht="14.25" customHeight="1">
      <c r="A48" s="30">
        <v>36.0</v>
      </c>
      <c r="B48" s="31" t="s">
        <v>849</v>
      </c>
      <c r="C48" s="32" t="s">
        <v>850</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c r="AB48" s="60"/>
      <c r="AC48" s="60"/>
      <c r="AD48" s="60"/>
      <c r="AE48" s="60"/>
    </row>
    <row r="49" ht="14.25" customHeight="1">
      <c r="A49" s="30">
        <v>37.0</v>
      </c>
      <c r="B49" s="31" t="s">
        <v>851</v>
      </c>
      <c r="C49" s="32" t="s">
        <v>852</v>
      </c>
      <c r="D49" s="33"/>
      <c r="E49" s="34"/>
      <c r="F49" s="33"/>
      <c r="G49" s="33"/>
      <c r="H49" s="33"/>
      <c r="I49" s="33"/>
      <c r="J49" s="33"/>
      <c r="K49" s="33"/>
      <c r="L49" s="33"/>
      <c r="M49" s="33"/>
      <c r="N49" s="33"/>
      <c r="O49" s="33"/>
      <c r="P49" s="33"/>
      <c r="Q49" s="33"/>
      <c r="R49" s="33"/>
      <c r="S49" s="35" t="str">
        <f t="shared" si="1"/>
        <v>#DIV/0!</v>
      </c>
      <c r="T49" s="36" t="str">
        <f t="shared" si="2"/>
        <v>#DIV/0!</v>
      </c>
      <c r="U49" s="37" t="str">
        <f t="shared" si="3"/>
        <v>#DIV/0!</v>
      </c>
      <c r="V49" s="38"/>
      <c r="W49" s="38" t="str">
        <f t="shared" si="4"/>
        <v>#DIV/0!</v>
      </c>
      <c r="X49" s="39" t="str">
        <f t="shared" si="5"/>
        <v>#DIV/0!</v>
      </c>
      <c r="Y49" s="40"/>
      <c r="Z49" s="41">
        <v>1.0</v>
      </c>
      <c r="AA49" s="42" t="str">
        <f t="shared" si="6"/>
        <v>#DIV/0!</v>
      </c>
      <c r="AB49" s="60"/>
      <c r="AC49" s="60"/>
      <c r="AE49" s="60"/>
    </row>
    <row r="50" ht="14.25" customHeight="1">
      <c r="A50" s="30">
        <v>38.0</v>
      </c>
      <c r="B50" s="31" t="s">
        <v>853</v>
      </c>
      <c r="C50" s="32" t="s">
        <v>854</v>
      </c>
      <c r="D50" s="53"/>
      <c r="E50" s="34"/>
      <c r="F50" s="53"/>
      <c r="G50" s="53"/>
      <c r="H50" s="53"/>
      <c r="I50" s="53"/>
      <c r="J50" s="53"/>
      <c r="K50" s="53"/>
      <c r="L50" s="53"/>
      <c r="M50" s="53"/>
      <c r="N50" s="53"/>
      <c r="O50" s="53"/>
      <c r="P50" s="53"/>
      <c r="Q50" s="53"/>
      <c r="R50" s="53"/>
      <c r="S50" s="35" t="str">
        <f t="shared" si="1"/>
        <v>#DIV/0!</v>
      </c>
      <c r="T50" s="36" t="str">
        <f t="shared" si="2"/>
        <v>#DIV/0!</v>
      </c>
      <c r="U50" s="37" t="str">
        <f t="shared" si="3"/>
        <v>#DIV/0!</v>
      </c>
      <c r="V50" s="38"/>
      <c r="W50" s="38" t="str">
        <f t="shared" si="4"/>
        <v>#DIV/0!</v>
      </c>
      <c r="X50" s="39" t="str">
        <f t="shared" si="5"/>
        <v>#DIV/0!</v>
      </c>
      <c r="Y50" s="40"/>
      <c r="Z50" s="41"/>
      <c r="AA50" s="42" t="str">
        <f t="shared" si="6"/>
        <v>#DIV/0!</v>
      </c>
    </row>
    <row r="51" ht="14.25" customHeight="1">
      <c r="A51" s="30">
        <v>39.0</v>
      </c>
      <c r="B51" s="31" t="s">
        <v>855</v>
      </c>
      <c r="C51" s="32" t="s">
        <v>856</v>
      </c>
      <c r="D51" s="53"/>
      <c r="E51" s="34"/>
      <c r="F51" s="53"/>
      <c r="G51" s="53"/>
      <c r="H51" s="53"/>
      <c r="I51" s="53"/>
      <c r="J51" s="53"/>
      <c r="K51" s="53"/>
      <c r="L51" s="53"/>
      <c r="M51" s="53"/>
      <c r="N51" s="53"/>
      <c r="O51" s="53"/>
      <c r="P51" s="53"/>
      <c r="Q51" s="53"/>
      <c r="R51" s="53"/>
      <c r="S51" s="35" t="str">
        <f t="shared" si="1"/>
        <v>#DIV/0!</v>
      </c>
      <c r="T51" s="36" t="str">
        <f t="shared" si="2"/>
        <v>#DIV/0!</v>
      </c>
      <c r="U51" s="37" t="str">
        <f t="shared" si="3"/>
        <v>#DIV/0!</v>
      </c>
      <c r="V51" s="38"/>
      <c r="W51" s="38" t="str">
        <f t="shared" si="4"/>
        <v>#DIV/0!</v>
      </c>
      <c r="X51" s="39" t="str">
        <f t="shared" si="5"/>
        <v>#DIV/0!</v>
      </c>
      <c r="Y51" s="40"/>
      <c r="Z51" s="41"/>
      <c r="AA51" s="42" t="str">
        <f t="shared" si="6"/>
        <v>#DIV/0!</v>
      </c>
    </row>
    <row r="52" ht="14.25" customHeight="1">
      <c r="A52" s="30">
        <v>40.0</v>
      </c>
      <c r="B52" s="31" t="s">
        <v>857</v>
      </c>
      <c r="C52" s="32" t="s">
        <v>858</v>
      </c>
      <c r="D52" s="53"/>
      <c r="E52" s="34"/>
      <c r="F52" s="53"/>
      <c r="G52" s="53"/>
      <c r="H52" s="53"/>
      <c r="I52" s="53"/>
      <c r="J52" s="53"/>
      <c r="K52" s="53"/>
      <c r="L52" s="53"/>
      <c r="M52" s="53"/>
      <c r="N52" s="53"/>
      <c r="O52" s="53"/>
      <c r="P52" s="53"/>
      <c r="Q52" s="53"/>
      <c r="R52" s="53"/>
      <c r="S52" s="35" t="str">
        <f t="shared" si="1"/>
        <v>#DIV/0!</v>
      </c>
      <c r="T52" s="36" t="str">
        <f t="shared" si="2"/>
        <v>#DIV/0!</v>
      </c>
      <c r="U52" s="37" t="str">
        <f t="shared" si="3"/>
        <v>#DIV/0!</v>
      </c>
      <c r="V52" s="38"/>
      <c r="W52" s="38" t="str">
        <f t="shared" si="4"/>
        <v>#DIV/0!</v>
      </c>
      <c r="X52" s="39" t="str">
        <f t="shared" si="5"/>
        <v>#DIV/0!</v>
      </c>
      <c r="Y52" s="40"/>
      <c r="Z52" s="41"/>
      <c r="AA52" s="42" t="str">
        <f t="shared" si="6"/>
        <v>#DIV/0!</v>
      </c>
    </row>
    <row r="53" ht="14.25" customHeight="1">
      <c r="A53" s="30">
        <v>41.0</v>
      </c>
      <c r="B53" s="31" t="s">
        <v>859</v>
      </c>
      <c r="C53" s="32" t="s">
        <v>860</v>
      </c>
      <c r="D53" s="53"/>
      <c r="E53" s="34"/>
      <c r="F53" s="53"/>
      <c r="G53" s="53"/>
      <c r="H53" s="53"/>
      <c r="I53" s="53"/>
      <c r="J53" s="53"/>
      <c r="K53" s="53"/>
      <c r="L53" s="53"/>
      <c r="M53" s="53"/>
      <c r="N53" s="53"/>
      <c r="O53" s="53"/>
      <c r="P53" s="53"/>
      <c r="Q53" s="53"/>
      <c r="R53" s="53"/>
      <c r="S53" s="35" t="str">
        <f t="shared" si="1"/>
        <v>#DIV/0!</v>
      </c>
      <c r="T53" s="36" t="str">
        <f t="shared" si="2"/>
        <v>#DIV/0!</v>
      </c>
      <c r="U53" s="37" t="str">
        <f t="shared" si="3"/>
        <v>#DIV/0!</v>
      </c>
      <c r="V53" s="38"/>
      <c r="W53" s="38" t="str">
        <f t="shared" si="4"/>
        <v>#DIV/0!</v>
      </c>
      <c r="X53" s="39" t="str">
        <f t="shared" si="5"/>
        <v>#DIV/0!</v>
      </c>
      <c r="Y53" s="40"/>
      <c r="Z53" s="41"/>
      <c r="AA53" s="42" t="str">
        <f t="shared" si="6"/>
        <v>#DIV/0!</v>
      </c>
    </row>
    <row r="54" ht="14.25" customHeight="1">
      <c r="A54" s="30">
        <v>42.0</v>
      </c>
      <c r="B54" s="31" t="s">
        <v>861</v>
      </c>
      <c r="C54" s="32" t="s">
        <v>862</v>
      </c>
      <c r="D54" s="53"/>
      <c r="E54" s="34"/>
      <c r="F54" s="53"/>
      <c r="G54" s="53"/>
      <c r="H54" s="53"/>
      <c r="I54" s="53"/>
      <c r="J54" s="53"/>
      <c r="K54" s="53"/>
      <c r="L54" s="53"/>
      <c r="M54" s="53"/>
      <c r="N54" s="53"/>
      <c r="O54" s="53"/>
      <c r="P54" s="53"/>
      <c r="Q54" s="53"/>
      <c r="R54" s="53"/>
      <c r="S54" s="35" t="str">
        <f t="shared" si="1"/>
        <v>#DIV/0!</v>
      </c>
      <c r="T54" s="36" t="str">
        <f t="shared" si="2"/>
        <v>#DIV/0!</v>
      </c>
      <c r="U54" s="37" t="str">
        <f t="shared" si="3"/>
        <v>#DIV/0!</v>
      </c>
      <c r="V54" s="38"/>
      <c r="W54" s="38" t="str">
        <f t="shared" si="4"/>
        <v>#DIV/0!</v>
      </c>
      <c r="X54" s="39" t="str">
        <f t="shared" si="5"/>
        <v>#DIV/0!</v>
      </c>
      <c r="Y54" s="40"/>
      <c r="Z54" s="41"/>
      <c r="AA54" s="42" t="str">
        <f t="shared" si="6"/>
        <v>#DIV/0!</v>
      </c>
    </row>
    <row r="55" ht="14.25" customHeight="1">
      <c r="A55" s="30">
        <v>43.0</v>
      </c>
      <c r="B55" s="31" t="s">
        <v>863</v>
      </c>
      <c r="C55" s="32" t="s">
        <v>864</v>
      </c>
      <c r="D55" s="53"/>
      <c r="E55" s="34"/>
      <c r="F55" s="53"/>
      <c r="G55" s="53"/>
      <c r="H55" s="53"/>
      <c r="I55" s="53"/>
      <c r="J55" s="53"/>
      <c r="K55" s="53"/>
      <c r="L55" s="53"/>
      <c r="M55" s="53"/>
      <c r="N55" s="53"/>
      <c r="O55" s="53"/>
      <c r="P55" s="53"/>
      <c r="Q55" s="53"/>
      <c r="R55" s="53"/>
      <c r="S55" s="35" t="str">
        <f t="shared" si="1"/>
        <v>#DIV/0!</v>
      </c>
      <c r="T55" s="36" t="str">
        <f t="shared" si="2"/>
        <v>#DIV/0!</v>
      </c>
      <c r="U55" s="37" t="str">
        <f t="shared" si="3"/>
        <v>#DIV/0!</v>
      </c>
      <c r="V55" s="38"/>
      <c r="W55" s="38" t="str">
        <f t="shared" si="4"/>
        <v>#DIV/0!</v>
      </c>
      <c r="X55" s="39" t="str">
        <f t="shared" si="5"/>
        <v>#DIV/0!</v>
      </c>
      <c r="Y55" s="40"/>
      <c r="Z55" s="41"/>
      <c r="AA55" s="42" t="str">
        <f t="shared" si="6"/>
        <v>#DIV/0!</v>
      </c>
    </row>
    <row r="56" ht="14.25" customHeight="1">
      <c r="A56" s="30">
        <v>44.0</v>
      </c>
      <c r="B56" s="31" t="s">
        <v>865</v>
      </c>
      <c r="C56" s="32" t="s">
        <v>866</v>
      </c>
      <c r="D56" s="53"/>
      <c r="E56" s="34"/>
      <c r="F56" s="53"/>
      <c r="G56" s="53"/>
      <c r="H56" s="53"/>
      <c r="I56" s="53"/>
      <c r="J56" s="53"/>
      <c r="K56" s="53"/>
      <c r="L56" s="53"/>
      <c r="M56" s="53"/>
      <c r="N56" s="53"/>
      <c r="O56" s="53"/>
      <c r="P56" s="53"/>
      <c r="Q56" s="53"/>
      <c r="R56" s="53"/>
      <c r="S56" s="35" t="str">
        <f t="shared" si="1"/>
        <v>#DIV/0!</v>
      </c>
      <c r="T56" s="36" t="str">
        <f t="shared" si="2"/>
        <v>#DIV/0!</v>
      </c>
      <c r="U56" s="37" t="str">
        <f t="shared" si="3"/>
        <v>#DIV/0!</v>
      </c>
      <c r="V56" s="38"/>
      <c r="W56" s="38" t="str">
        <f t="shared" si="4"/>
        <v>#DIV/0!</v>
      </c>
      <c r="X56" s="39" t="str">
        <f t="shared" si="5"/>
        <v>#DIV/0!</v>
      </c>
      <c r="Y56" s="40"/>
      <c r="Z56" s="41"/>
      <c r="AA56" s="42" t="str">
        <f t="shared" si="6"/>
        <v>#DIV/0!</v>
      </c>
    </row>
    <row r="57" ht="14.25" customHeight="1">
      <c r="A57" s="30">
        <v>45.0</v>
      </c>
      <c r="B57" s="31" t="s">
        <v>867</v>
      </c>
      <c r="C57" s="32" t="s">
        <v>868</v>
      </c>
      <c r="D57" s="53"/>
      <c r="E57" s="34"/>
      <c r="F57" s="53"/>
      <c r="G57" s="53"/>
      <c r="H57" s="53"/>
      <c r="I57" s="53"/>
      <c r="J57" s="53"/>
      <c r="K57" s="53"/>
      <c r="L57" s="53"/>
      <c r="M57" s="53"/>
      <c r="N57" s="53"/>
      <c r="O57" s="53"/>
      <c r="P57" s="53"/>
      <c r="Q57" s="53"/>
      <c r="R57" s="53"/>
      <c r="S57" s="35" t="str">
        <f t="shared" si="1"/>
        <v>#DIV/0!</v>
      </c>
      <c r="T57" s="36" t="str">
        <f t="shared" si="2"/>
        <v>#DIV/0!</v>
      </c>
      <c r="U57" s="37" t="str">
        <f t="shared" si="3"/>
        <v>#DIV/0!</v>
      </c>
      <c r="V57" s="38"/>
      <c r="W57" s="38" t="str">
        <f t="shared" si="4"/>
        <v>#DIV/0!</v>
      </c>
      <c r="X57" s="39" t="str">
        <f t="shared" si="5"/>
        <v>#DIV/0!</v>
      </c>
      <c r="Y57" s="40"/>
      <c r="Z57" s="41"/>
      <c r="AA57" s="42" t="str">
        <f t="shared" si="6"/>
        <v>#DIV/0!</v>
      </c>
    </row>
    <row r="58" ht="14.25" customHeight="1"/>
    <row r="59" ht="14.25" customHeight="1"/>
    <row r="60" ht="14.25" customHeight="1">
      <c r="Y60" s="40" t="s">
        <v>117</v>
      </c>
      <c r="Z60" s="53"/>
      <c r="AA60" s="42" t="str">
        <f>MAX(AA13:AA49)</f>
        <v>#DIV/0!</v>
      </c>
    </row>
    <row r="61" ht="14.25" customHeight="1">
      <c r="Y61" s="40" t="s">
        <v>118</v>
      </c>
      <c r="Z61" s="53"/>
      <c r="AA61" s="53" t="str">
        <f>MIN(AA13:AA49)</f>
        <v>#DIV/0!</v>
      </c>
    </row>
    <row r="62" ht="14.25" customHeight="1">
      <c r="Y62" s="40" t="s">
        <v>119</v>
      </c>
      <c r="Z62" s="53"/>
      <c r="AA62" s="53" t="str">
        <f>AVERAGE(AA13:AA49)</f>
        <v>#DIV/0!</v>
      </c>
    </row>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9.86"/>
    <col customWidth="1" min="3" max="3" width="32.86"/>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8" width="5.14"/>
    <col customWidth="1" min="29" max="29" width="7.0"/>
    <col customWidth="1" min="30" max="30" width="8.71"/>
    <col customWidth="1" min="31" max="31" width="6.0"/>
  </cols>
  <sheetData>
    <row r="1" ht="78.0" customHeight="1">
      <c r="A1" s="1" t="s">
        <v>869</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870</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29.25" customHeight="1">
      <c r="A11" s="11"/>
      <c r="B11" s="11"/>
      <c r="C11" s="11"/>
      <c r="D11" s="12"/>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2">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871</v>
      </c>
      <c r="C13" s="32" t="s">
        <v>872</v>
      </c>
      <c r="D13" s="33"/>
      <c r="E13" s="34"/>
      <c r="F13" s="33"/>
      <c r="G13" s="33"/>
      <c r="H13" s="33"/>
      <c r="I13" s="33"/>
      <c r="J13" s="33"/>
      <c r="K13" s="33"/>
      <c r="L13" s="33"/>
      <c r="M13" s="33"/>
      <c r="N13" s="33"/>
      <c r="O13" s="33"/>
      <c r="P13" s="33"/>
      <c r="Q13" s="33"/>
      <c r="R13" s="33"/>
      <c r="S13" s="35" t="str">
        <f t="shared" ref="S13:S58" si="1">AVERAGE(D13:H13)</f>
        <v>#DIV/0!</v>
      </c>
      <c r="T13" s="36" t="str">
        <f t="shared" ref="T13:T58" si="2">AVERAGE(I13:M13)</f>
        <v>#DIV/0!</v>
      </c>
      <c r="U13" s="37" t="str">
        <f t="shared" ref="U13:U58" si="3">AVERAGE(N13:R13)</f>
        <v>#DIV/0!</v>
      </c>
      <c r="V13" s="38"/>
      <c r="W13" s="38" t="str">
        <f t="shared" ref="W13:W58" si="4">AVERAGE(S13:U13)</f>
        <v>#DIV/0!</v>
      </c>
      <c r="X13" s="39" t="str">
        <f t="shared" ref="X13:X58" si="5">ROUND(AVERAGE(V13:W13),0)</f>
        <v>#DIV/0!</v>
      </c>
      <c r="Y13" s="40"/>
      <c r="Z13" s="41">
        <v>1.0</v>
      </c>
      <c r="AA13" s="42" t="str">
        <f t="shared" ref="AA13:AA58" si="6">ROUND(IF((X13*(IF(Y13="A",105%,IF(Y13="B",102%,IF(Y13="C",75%,50%))))*Z13)&gt;100,100,(X13*(IF(Y13="A",105%,IF(Y13="B",102%,IF(Y13="C",75%,50%))))*Z13)),0)</f>
        <v>#DIV/0!</v>
      </c>
      <c r="AB13" s="60"/>
      <c r="AC13" s="60"/>
      <c r="AD13" s="60"/>
      <c r="AE13" s="60"/>
    </row>
    <row r="14" ht="14.25" customHeight="1">
      <c r="A14" s="30">
        <v>2.0</v>
      </c>
      <c r="B14" s="31" t="s">
        <v>873</v>
      </c>
      <c r="C14" s="32" t="s">
        <v>874</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c r="AB14" s="60"/>
      <c r="AC14" s="60"/>
      <c r="AD14" s="60"/>
      <c r="AE14" s="60"/>
    </row>
    <row r="15" ht="14.25" customHeight="1">
      <c r="A15" s="30">
        <v>3.0</v>
      </c>
      <c r="B15" s="31" t="s">
        <v>875</v>
      </c>
      <c r="C15" s="32" t="s">
        <v>876</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c r="AB15" s="60"/>
      <c r="AC15" s="60"/>
      <c r="AD15" s="60"/>
      <c r="AE15" s="60"/>
    </row>
    <row r="16" ht="14.25" customHeight="1">
      <c r="A16" s="30">
        <v>4.0</v>
      </c>
      <c r="B16" s="31" t="s">
        <v>877</v>
      </c>
      <c r="C16" s="32" t="s">
        <v>878</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c r="AB16" s="60"/>
      <c r="AC16" s="60"/>
      <c r="AD16" s="60"/>
      <c r="AE16" s="60"/>
    </row>
    <row r="17" ht="14.25" customHeight="1">
      <c r="A17" s="30">
        <v>5.0</v>
      </c>
      <c r="B17" s="31" t="s">
        <v>879</v>
      </c>
      <c r="C17" s="32" t="s">
        <v>880</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c r="AB17" s="60"/>
      <c r="AC17" s="60"/>
      <c r="AD17" s="60"/>
      <c r="AE17" s="60"/>
    </row>
    <row r="18" ht="14.25" customHeight="1">
      <c r="A18" s="30">
        <v>6.0</v>
      </c>
      <c r="B18" s="31" t="s">
        <v>881</v>
      </c>
      <c r="C18" s="32" t="s">
        <v>882</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c r="AB18" s="60"/>
      <c r="AC18" s="60"/>
      <c r="AD18" s="60"/>
      <c r="AE18" s="60"/>
    </row>
    <row r="19" ht="14.25" customHeight="1">
      <c r="A19" s="30">
        <v>7.0</v>
      </c>
      <c r="B19" s="31" t="s">
        <v>883</v>
      </c>
      <c r="C19" s="32" t="s">
        <v>884</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c r="AB19" s="60"/>
      <c r="AC19" s="60"/>
      <c r="AD19" s="60"/>
      <c r="AE19" s="60"/>
    </row>
    <row r="20" ht="14.25" customHeight="1">
      <c r="A20" s="30">
        <v>8.0</v>
      </c>
      <c r="B20" s="31" t="s">
        <v>885</v>
      </c>
      <c r="C20" s="32" t="s">
        <v>886</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c r="AB20" s="60"/>
      <c r="AC20" s="60"/>
      <c r="AD20" s="60"/>
      <c r="AE20" s="60"/>
    </row>
    <row r="21" ht="14.25" customHeight="1">
      <c r="A21" s="30">
        <v>9.0</v>
      </c>
      <c r="B21" s="31" t="s">
        <v>887</v>
      </c>
      <c r="C21" s="32" t="s">
        <v>888</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c r="AB21" s="60"/>
      <c r="AC21" s="60"/>
      <c r="AD21" s="60"/>
      <c r="AE21" s="60"/>
    </row>
    <row r="22" ht="14.25" customHeight="1">
      <c r="A22" s="30">
        <v>10.0</v>
      </c>
      <c r="B22" s="31" t="s">
        <v>889</v>
      </c>
      <c r="C22" s="32" t="s">
        <v>890</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c r="AB22" s="60"/>
      <c r="AC22" s="60"/>
      <c r="AD22" s="60"/>
      <c r="AE22" s="60"/>
    </row>
    <row r="23" ht="14.25" customHeight="1">
      <c r="A23" s="30">
        <v>11.0</v>
      </c>
      <c r="B23" s="31" t="s">
        <v>891</v>
      </c>
      <c r="C23" s="32" t="s">
        <v>892</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c r="AB23" s="60"/>
      <c r="AC23" s="60"/>
      <c r="AD23" s="60"/>
      <c r="AE23" s="60"/>
    </row>
    <row r="24" ht="14.25" customHeight="1">
      <c r="A24" s="30">
        <v>12.0</v>
      </c>
      <c r="B24" s="31" t="s">
        <v>893</v>
      </c>
      <c r="C24" s="32" t="s">
        <v>894</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c r="AB24" s="60"/>
      <c r="AC24" s="60"/>
      <c r="AD24" s="60"/>
      <c r="AE24" s="60"/>
    </row>
    <row r="25" ht="14.25" customHeight="1">
      <c r="A25" s="30">
        <v>13.0</v>
      </c>
      <c r="B25" s="31" t="s">
        <v>895</v>
      </c>
      <c r="C25" s="32" t="s">
        <v>896</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c r="AB25" s="60"/>
      <c r="AC25" s="60"/>
      <c r="AD25" s="60"/>
      <c r="AE25" s="60"/>
    </row>
    <row r="26" ht="14.25" customHeight="1">
      <c r="A26" s="30">
        <v>14.0</v>
      </c>
      <c r="B26" s="31" t="s">
        <v>897</v>
      </c>
      <c r="C26" s="32" t="s">
        <v>898</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c r="AB26" s="60"/>
      <c r="AC26" s="60"/>
      <c r="AD26" s="60"/>
      <c r="AE26" s="60"/>
    </row>
    <row r="27" ht="14.25" customHeight="1">
      <c r="A27" s="30">
        <v>15.0</v>
      </c>
      <c r="B27" s="31" t="s">
        <v>899</v>
      </c>
      <c r="C27" s="32" t="s">
        <v>900</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c r="AB27" s="60"/>
      <c r="AC27" s="60"/>
      <c r="AD27" s="60"/>
      <c r="AE27" s="60"/>
    </row>
    <row r="28" ht="14.25" customHeight="1">
      <c r="A28" s="30">
        <v>16.0</v>
      </c>
      <c r="B28" s="31" t="s">
        <v>901</v>
      </c>
      <c r="C28" s="32" t="s">
        <v>902</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c r="AB28" s="60"/>
      <c r="AC28" s="60"/>
      <c r="AD28" s="60"/>
      <c r="AE28" s="60"/>
    </row>
    <row r="29" ht="14.25" customHeight="1">
      <c r="A29" s="30">
        <v>17.0</v>
      </c>
      <c r="B29" s="31" t="s">
        <v>903</v>
      </c>
      <c r="C29" s="32" t="s">
        <v>904</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c r="AB29" s="60"/>
      <c r="AC29" s="60"/>
      <c r="AD29" s="60"/>
      <c r="AE29" s="60"/>
    </row>
    <row r="30" ht="14.25" customHeight="1">
      <c r="A30" s="30">
        <v>18.0</v>
      </c>
      <c r="B30" s="31" t="s">
        <v>905</v>
      </c>
      <c r="C30" s="32" t="s">
        <v>906</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c r="AB30" s="60"/>
      <c r="AC30" s="60"/>
      <c r="AD30" s="60"/>
      <c r="AE30" s="60"/>
    </row>
    <row r="31" ht="14.25" customHeight="1">
      <c r="A31" s="30">
        <v>19.0</v>
      </c>
      <c r="B31" s="31" t="s">
        <v>907</v>
      </c>
      <c r="C31" s="32" t="s">
        <v>908</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c r="AB31" s="60"/>
      <c r="AC31" s="60"/>
      <c r="AD31" s="60"/>
      <c r="AE31" s="60"/>
    </row>
    <row r="32" ht="14.25" customHeight="1">
      <c r="A32" s="30">
        <v>20.0</v>
      </c>
      <c r="B32" s="31" t="s">
        <v>909</v>
      </c>
      <c r="C32" s="32" t="s">
        <v>910</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c r="AB32" s="60"/>
      <c r="AC32" s="60"/>
      <c r="AD32" s="60"/>
      <c r="AE32" s="60"/>
    </row>
    <row r="33" ht="14.25" customHeight="1">
      <c r="A33" s="30">
        <v>21.0</v>
      </c>
      <c r="B33" s="31" t="s">
        <v>911</v>
      </c>
      <c r="C33" s="32" t="s">
        <v>912</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c r="AB33" s="60"/>
      <c r="AC33" s="60"/>
      <c r="AD33" s="60"/>
      <c r="AE33" s="60"/>
    </row>
    <row r="34" ht="14.25" customHeight="1">
      <c r="A34" s="30">
        <v>22.0</v>
      </c>
      <c r="B34" s="31" t="s">
        <v>913</v>
      </c>
      <c r="C34" s="32" t="s">
        <v>914</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c r="AB34" s="60"/>
      <c r="AC34" s="60"/>
      <c r="AD34" s="60"/>
      <c r="AE34" s="60"/>
    </row>
    <row r="35" ht="14.25" customHeight="1">
      <c r="A35" s="30">
        <v>23.0</v>
      </c>
      <c r="B35" s="31" t="s">
        <v>915</v>
      </c>
      <c r="C35" s="32" t="s">
        <v>916</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c r="AB35" s="60"/>
      <c r="AC35" s="60"/>
      <c r="AD35" s="60"/>
      <c r="AE35" s="60"/>
    </row>
    <row r="36" ht="14.25" customHeight="1">
      <c r="A36" s="30">
        <v>24.0</v>
      </c>
      <c r="B36" s="31" t="s">
        <v>917</v>
      </c>
      <c r="C36" s="32" t="s">
        <v>918</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c r="AB36" s="60"/>
      <c r="AC36" s="60"/>
      <c r="AD36" s="60"/>
      <c r="AE36" s="60"/>
    </row>
    <row r="37" ht="14.25" customHeight="1">
      <c r="A37" s="30">
        <v>25.0</v>
      </c>
      <c r="B37" s="31" t="s">
        <v>919</v>
      </c>
      <c r="C37" s="32" t="s">
        <v>920</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c r="AB37" s="60"/>
      <c r="AC37" s="60"/>
      <c r="AD37" s="60"/>
      <c r="AE37" s="60"/>
    </row>
    <row r="38" ht="14.25" customHeight="1">
      <c r="A38" s="30">
        <v>26.0</v>
      </c>
      <c r="B38" s="31" t="s">
        <v>921</v>
      </c>
      <c r="C38" s="32" t="s">
        <v>922</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c r="AB38" s="60"/>
      <c r="AC38" s="60"/>
      <c r="AD38" s="60"/>
      <c r="AE38" s="60"/>
    </row>
    <row r="39" ht="14.25" customHeight="1">
      <c r="A39" s="30">
        <v>27.0</v>
      </c>
      <c r="B39" s="31" t="s">
        <v>923</v>
      </c>
      <c r="C39" s="32" t="s">
        <v>924</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c r="AB39" s="60"/>
      <c r="AC39" s="60"/>
      <c r="AD39" s="60"/>
      <c r="AE39" s="60"/>
    </row>
    <row r="40" ht="14.25" customHeight="1">
      <c r="A40" s="30">
        <v>28.0</v>
      </c>
      <c r="B40" s="31" t="s">
        <v>925</v>
      </c>
      <c r="C40" s="32" t="s">
        <v>926</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c r="AB40" s="60"/>
      <c r="AC40" s="60"/>
      <c r="AD40" s="60"/>
      <c r="AE40" s="60"/>
    </row>
    <row r="41" ht="14.25" customHeight="1">
      <c r="A41" s="30">
        <v>29.0</v>
      </c>
      <c r="B41" s="31" t="s">
        <v>927</v>
      </c>
      <c r="C41" s="32" t="s">
        <v>928</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c r="AB41" s="60"/>
      <c r="AC41" s="60"/>
      <c r="AD41" s="60"/>
      <c r="AE41" s="60"/>
    </row>
    <row r="42" ht="14.25" customHeight="1">
      <c r="A42" s="30">
        <v>30.0</v>
      </c>
      <c r="B42" s="31" t="s">
        <v>929</v>
      </c>
      <c r="C42" s="32" t="s">
        <v>930</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c r="AB42" s="60"/>
      <c r="AC42" s="60"/>
      <c r="AD42" s="60"/>
      <c r="AE42" s="60"/>
    </row>
    <row r="43" ht="14.25" customHeight="1">
      <c r="A43" s="30">
        <v>31.0</v>
      </c>
      <c r="B43" s="31" t="s">
        <v>931</v>
      </c>
      <c r="C43" s="32" t="s">
        <v>932</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c r="AB43" s="60"/>
      <c r="AC43" s="60"/>
      <c r="AD43" s="60"/>
      <c r="AE43" s="60"/>
    </row>
    <row r="44" ht="14.25" customHeight="1">
      <c r="A44" s="30">
        <v>32.0</v>
      </c>
      <c r="B44" s="31" t="s">
        <v>933</v>
      </c>
      <c r="C44" s="32" t="s">
        <v>934</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c r="AB44" s="60"/>
      <c r="AC44" s="60"/>
      <c r="AD44" s="60"/>
      <c r="AE44" s="60"/>
    </row>
    <row r="45" ht="14.25" customHeight="1">
      <c r="A45" s="30">
        <v>33.0</v>
      </c>
      <c r="B45" s="31" t="s">
        <v>935</v>
      </c>
      <c r="C45" s="32" t="s">
        <v>936</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c r="AB45" s="60"/>
      <c r="AC45" s="60"/>
      <c r="AD45" s="60"/>
      <c r="AE45" s="60"/>
    </row>
    <row r="46" ht="14.25" customHeight="1">
      <c r="A46" s="30">
        <v>34.0</v>
      </c>
      <c r="B46" s="31" t="s">
        <v>937</v>
      </c>
      <c r="C46" s="32" t="s">
        <v>938</v>
      </c>
      <c r="D46" s="33"/>
      <c r="E46" s="34"/>
      <c r="F46" s="33"/>
      <c r="G46" s="33"/>
      <c r="H46" s="33"/>
      <c r="I46" s="33"/>
      <c r="J46" s="33"/>
      <c r="K46" s="33"/>
      <c r="L46" s="33"/>
      <c r="M46" s="33"/>
      <c r="N46" s="33"/>
      <c r="O46" s="33"/>
      <c r="P46" s="33"/>
      <c r="Q46" s="33"/>
      <c r="R46" s="33"/>
      <c r="S46" s="35" t="str">
        <f t="shared" si="1"/>
        <v>#DIV/0!</v>
      </c>
      <c r="T46" s="36" t="str">
        <f t="shared" si="2"/>
        <v>#DIV/0!</v>
      </c>
      <c r="U46" s="37" t="str">
        <f t="shared" si="3"/>
        <v>#DIV/0!</v>
      </c>
      <c r="V46" s="38"/>
      <c r="W46" s="38" t="str">
        <f t="shared" si="4"/>
        <v>#DIV/0!</v>
      </c>
      <c r="X46" s="39" t="str">
        <f t="shared" si="5"/>
        <v>#DIV/0!</v>
      </c>
      <c r="Y46" s="40"/>
      <c r="Z46" s="41">
        <v>1.0</v>
      </c>
      <c r="AA46" s="42" t="str">
        <f t="shared" si="6"/>
        <v>#DIV/0!</v>
      </c>
      <c r="AB46" s="60"/>
      <c r="AC46" s="60"/>
      <c r="AD46" s="60"/>
      <c r="AE46" s="60"/>
    </row>
    <row r="47" ht="14.25" customHeight="1">
      <c r="A47" s="30">
        <v>35.0</v>
      </c>
      <c r="B47" s="31" t="s">
        <v>939</v>
      </c>
      <c r="C47" s="32" t="s">
        <v>940</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c r="AB47" s="60"/>
      <c r="AC47" s="60"/>
      <c r="AD47" s="60"/>
      <c r="AE47" s="60"/>
    </row>
    <row r="48" ht="14.25" customHeight="1">
      <c r="A48" s="30">
        <v>36.0</v>
      </c>
      <c r="B48" s="31" t="s">
        <v>941</v>
      </c>
      <c r="C48" s="32" t="s">
        <v>942</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c r="AB48" s="60"/>
      <c r="AC48" s="60"/>
      <c r="AD48" s="60"/>
      <c r="AE48" s="60"/>
    </row>
    <row r="49" ht="14.25" customHeight="1">
      <c r="A49" s="30">
        <v>37.0</v>
      </c>
      <c r="B49" s="31" t="s">
        <v>943</v>
      </c>
      <c r="C49" s="32" t="s">
        <v>944</v>
      </c>
      <c r="D49" s="33"/>
      <c r="E49" s="34"/>
      <c r="F49" s="33"/>
      <c r="G49" s="33"/>
      <c r="H49" s="33"/>
      <c r="I49" s="33"/>
      <c r="J49" s="33"/>
      <c r="K49" s="33"/>
      <c r="L49" s="33"/>
      <c r="M49" s="33"/>
      <c r="N49" s="33"/>
      <c r="O49" s="33"/>
      <c r="P49" s="33"/>
      <c r="Q49" s="33"/>
      <c r="R49" s="33"/>
      <c r="S49" s="35" t="str">
        <f t="shared" si="1"/>
        <v>#DIV/0!</v>
      </c>
      <c r="T49" s="36" t="str">
        <f t="shared" si="2"/>
        <v>#DIV/0!</v>
      </c>
      <c r="U49" s="37" t="str">
        <f t="shared" si="3"/>
        <v>#DIV/0!</v>
      </c>
      <c r="V49" s="38"/>
      <c r="W49" s="38" t="str">
        <f t="shared" si="4"/>
        <v>#DIV/0!</v>
      </c>
      <c r="X49" s="39" t="str">
        <f t="shared" si="5"/>
        <v>#DIV/0!</v>
      </c>
      <c r="Y49" s="40"/>
      <c r="Z49" s="41">
        <v>1.0</v>
      </c>
      <c r="AA49" s="42" t="str">
        <f t="shared" si="6"/>
        <v>#DIV/0!</v>
      </c>
      <c r="AB49" s="60"/>
      <c r="AC49" s="60"/>
      <c r="AE49" s="60"/>
    </row>
    <row r="50" ht="14.25" customHeight="1">
      <c r="A50" s="30">
        <v>38.0</v>
      </c>
      <c r="B50" s="31" t="s">
        <v>945</v>
      </c>
      <c r="C50" s="32" t="s">
        <v>946</v>
      </c>
      <c r="D50" s="33"/>
      <c r="E50" s="34"/>
      <c r="F50" s="33"/>
      <c r="G50" s="33"/>
      <c r="H50" s="33"/>
      <c r="I50" s="33"/>
      <c r="J50" s="33"/>
      <c r="K50" s="33"/>
      <c r="L50" s="33"/>
      <c r="M50" s="33"/>
      <c r="N50" s="33"/>
      <c r="O50" s="33"/>
      <c r="P50" s="33"/>
      <c r="Q50" s="33"/>
      <c r="R50" s="33"/>
      <c r="S50" s="35" t="str">
        <f t="shared" si="1"/>
        <v>#DIV/0!</v>
      </c>
      <c r="T50" s="36" t="str">
        <f t="shared" si="2"/>
        <v>#DIV/0!</v>
      </c>
      <c r="U50" s="37" t="str">
        <f t="shared" si="3"/>
        <v>#DIV/0!</v>
      </c>
      <c r="V50" s="38"/>
      <c r="W50" s="38" t="str">
        <f t="shared" si="4"/>
        <v>#DIV/0!</v>
      </c>
      <c r="X50" s="39" t="str">
        <f t="shared" si="5"/>
        <v>#DIV/0!</v>
      </c>
      <c r="Y50" s="40"/>
      <c r="Z50" s="41"/>
      <c r="AA50" s="42" t="str">
        <f t="shared" si="6"/>
        <v>#DIV/0!</v>
      </c>
      <c r="AB50" s="60"/>
      <c r="AC50" s="60"/>
      <c r="AE50" s="60"/>
    </row>
    <row r="51" ht="14.25" customHeight="1">
      <c r="A51" s="30">
        <v>39.0</v>
      </c>
      <c r="B51" s="31" t="s">
        <v>947</v>
      </c>
      <c r="C51" s="32" t="s">
        <v>948</v>
      </c>
      <c r="D51" s="33"/>
      <c r="E51" s="34"/>
      <c r="F51" s="33"/>
      <c r="G51" s="33"/>
      <c r="H51" s="33"/>
      <c r="I51" s="33"/>
      <c r="J51" s="33"/>
      <c r="K51" s="33"/>
      <c r="L51" s="33"/>
      <c r="M51" s="33"/>
      <c r="N51" s="33"/>
      <c r="O51" s="33"/>
      <c r="P51" s="33"/>
      <c r="Q51" s="33"/>
      <c r="R51" s="33"/>
      <c r="S51" s="35" t="str">
        <f t="shared" si="1"/>
        <v>#DIV/0!</v>
      </c>
      <c r="T51" s="36" t="str">
        <f t="shared" si="2"/>
        <v>#DIV/0!</v>
      </c>
      <c r="U51" s="37" t="str">
        <f t="shared" si="3"/>
        <v>#DIV/0!</v>
      </c>
      <c r="V51" s="38"/>
      <c r="W51" s="38" t="str">
        <f t="shared" si="4"/>
        <v>#DIV/0!</v>
      </c>
      <c r="X51" s="39" t="str">
        <f t="shared" si="5"/>
        <v>#DIV/0!</v>
      </c>
      <c r="Y51" s="40"/>
      <c r="Z51" s="41"/>
      <c r="AA51" s="42" t="str">
        <f t="shared" si="6"/>
        <v>#DIV/0!</v>
      </c>
      <c r="AB51" s="60"/>
      <c r="AC51" s="60"/>
      <c r="AE51" s="60"/>
    </row>
    <row r="52" ht="14.25" customHeight="1">
      <c r="A52" s="30">
        <v>40.0</v>
      </c>
      <c r="B52" s="31" t="s">
        <v>949</v>
      </c>
      <c r="C52" s="32" t="s">
        <v>950</v>
      </c>
      <c r="D52" s="33"/>
      <c r="E52" s="34"/>
      <c r="F52" s="33"/>
      <c r="G52" s="33"/>
      <c r="H52" s="33"/>
      <c r="I52" s="33"/>
      <c r="J52" s="33"/>
      <c r="K52" s="33"/>
      <c r="L52" s="33"/>
      <c r="M52" s="33"/>
      <c r="N52" s="33"/>
      <c r="O52" s="33"/>
      <c r="P52" s="33"/>
      <c r="Q52" s="33"/>
      <c r="R52" s="33"/>
      <c r="S52" s="35" t="str">
        <f t="shared" si="1"/>
        <v>#DIV/0!</v>
      </c>
      <c r="T52" s="36" t="str">
        <f t="shared" si="2"/>
        <v>#DIV/0!</v>
      </c>
      <c r="U52" s="37" t="str">
        <f t="shared" si="3"/>
        <v>#DIV/0!</v>
      </c>
      <c r="V52" s="38"/>
      <c r="W52" s="38" t="str">
        <f t="shared" si="4"/>
        <v>#DIV/0!</v>
      </c>
      <c r="X52" s="39" t="str">
        <f t="shared" si="5"/>
        <v>#DIV/0!</v>
      </c>
      <c r="Y52" s="40"/>
      <c r="Z52" s="41"/>
      <c r="AA52" s="42" t="str">
        <f t="shared" si="6"/>
        <v>#DIV/0!</v>
      </c>
      <c r="AB52" s="60"/>
      <c r="AC52" s="60"/>
      <c r="AE52" s="60"/>
    </row>
    <row r="53" ht="14.25" customHeight="1">
      <c r="A53" s="30">
        <v>41.0</v>
      </c>
      <c r="B53" s="31" t="s">
        <v>951</v>
      </c>
      <c r="C53" s="32" t="s">
        <v>952</v>
      </c>
      <c r="D53" s="33"/>
      <c r="E53" s="34"/>
      <c r="F53" s="33"/>
      <c r="G53" s="33"/>
      <c r="H53" s="33"/>
      <c r="I53" s="33"/>
      <c r="J53" s="33"/>
      <c r="K53" s="33"/>
      <c r="L53" s="33"/>
      <c r="M53" s="33"/>
      <c r="N53" s="33"/>
      <c r="O53" s="33"/>
      <c r="P53" s="33"/>
      <c r="Q53" s="33"/>
      <c r="R53" s="33"/>
      <c r="S53" s="35" t="str">
        <f t="shared" si="1"/>
        <v>#DIV/0!</v>
      </c>
      <c r="T53" s="36" t="str">
        <f t="shared" si="2"/>
        <v>#DIV/0!</v>
      </c>
      <c r="U53" s="37" t="str">
        <f t="shared" si="3"/>
        <v>#DIV/0!</v>
      </c>
      <c r="V53" s="38"/>
      <c r="W53" s="38" t="str">
        <f t="shared" si="4"/>
        <v>#DIV/0!</v>
      </c>
      <c r="X53" s="39" t="str">
        <f t="shared" si="5"/>
        <v>#DIV/0!</v>
      </c>
      <c r="Y53" s="40"/>
      <c r="Z53" s="41"/>
      <c r="AA53" s="42" t="str">
        <f t="shared" si="6"/>
        <v>#DIV/0!</v>
      </c>
      <c r="AB53" s="60"/>
      <c r="AC53" s="60"/>
      <c r="AE53" s="60"/>
    </row>
    <row r="54" ht="14.25" customHeight="1">
      <c r="A54" s="30">
        <v>42.0</v>
      </c>
      <c r="B54" s="31" t="s">
        <v>953</v>
      </c>
      <c r="C54" s="32" t="s">
        <v>954</v>
      </c>
      <c r="D54" s="33"/>
      <c r="E54" s="34"/>
      <c r="F54" s="33"/>
      <c r="G54" s="33"/>
      <c r="H54" s="33"/>
      <c r="I54" s="33"/>
      <c r="J54" s="33"/>
      <c r="K54" s="33"/>
      <c r="L54" s="33"/>
      <c r="M54" s="33"/>
      <c r="N54" s="33"/>
      <c r="O54" s="33"/>
      <c r="P54" s="33"/>
      <c r="Q54" s="33"/>
      <c r="R54" s="33"/>
      <c r="S54" s="35" t="str">
        <f t="shared" si="1"/>
        <v>#DIV/0!</v>
      </c>
      <c r="T54" s="36" t="str">
        <f t="shared" si="2"/>
        <v>#DIV/0!</v>
      </c>
      <c r="U54" s="37" t="str">
        <f t="shared" si="3"/>
        <v>#DIV/0!</v>
      </c>
      <c r="V54" s="38"/>
      <c r="W54" s="38" t="str">
        <f t="shared" si="4"/>
        <v>#DIV/0!</v>
      </c>
      <c r="X54" s="39" t="str">
        <f t="shared" si="5"/>
        <v>#DIV/0!</v>
      </c>
      <c r="Y54" s="40"/>
      <c r="Z54" s="41"/>
      <c r="AA54" s="42" t="str">
        <f t="shared" si="6"/>
        <v>#DIV/0!</v>
      </c>
      <c r="AB54" s="60"/>
      <c r="AC54" s="60"/>
      <c r="AE54" s="60"/>
    </row>
    <row r="55" ht="14.25" customHeight="1">
      <c r="A55" s="30">
        <v>43.0</v>
      </c>
      <c r="B55" s="31" t="s">
        <v>955</v>
      </c>
      <c r="C55" s="32" t="s">
        <v>956</v>
      </c>
      <c r="D55" s="33"/>
      <c r="E55" s="34"/>
      <c r="F55" s="33"/>
      <c r="G55" s="33"/>
      <c r="H55" s="33"/>
      <c r="I55" s="33"/>
      <c r="J55" s="33"/>
      <c r="K55" s="33"/>
      <c r="L55" s="33"/>
      <c r="M55" s="33"/>
      <c r="N55" s="33"/>
      <c r="O55" s="33"/>
      <c r="P55" s="33"/>
      <c r="Q55" s="33"/>
      <c r="R55" s="33"/>
      <c r="S55" s="35" t="str">
        <f t="shared" si="1"/>
        <v>#DIV/0!</v>
      </c>
      <c r="T55" s="36" t="str">
        <f t="shared" si="2"/>
        <v>#DIV/0!</v>
      </c>
      <c r="U55" s="37" t="str">
        <f t="shared" si="3"/>
        <v>#DIV/0!</v>
      </c>
      <c r="V55" s="38"/>
      <c r="W55" s="38" t="str">
        <f t="shared" si="4"/>
        <v>#DIV/0!</v>
      </c>
      <c r="X55" s="39" t="str">
        <f t="shared" si="5"/>
        <v>#DIV/0!</v>
      </c>
      <c r="Y55" s="40"/>
      <c r="Z55" s="41"/>
      <c r="AA55" s="42" t="str">
        <f t="shared" si="6"/>
        <v>#DIV/0!</v>
      </c>
      <c r="AB55" s="60"/>
      <c r="AC55" s="60"/>
      <c r="AE55" s="60"/>
    </row>
    <row r="56" ht="14.25" customHeight="1">
      <c r="A56" s="30">
        <v>44.0</v>
      </c>
      <c r="B56" s="31" t="s">
        <v>957</v>
      </c>
      <c r="C56" s="32" t="s">
        <v>958</v>
      </c>
      <c r="D56" s="33"/>
      <c r="E56" s="34"/>
      <c r="F56" s="33"/>
      <c r="G56" s="33"/>
      <c r="H56" s="33"/>
      <c r="I56" s="33"/>
      <c r="J56" s="33"/>
      <c r="K56" s="33"/>
      <c r="L56" s="33"/>
      <c r="M56" s="33"/>
      <c r="N56" s="33"/>
      <c r="O56" s="33"/>
      <c r="P56" s="33"/>
      <c r="Q56" s="33"/>
      <c r="R56" s="33"/>
      <c r="S56" s="35" t="str">
        <f t="shared" si="1"/>
        <v>#DIV/0!</v>
      </c>
      <c r="T56" s="36" t="str">
        <f t="shared" si="2"/>
        <v>#DIV/0!</v>
      </c>
      <c r="U56" s="37" t="str">
        <f t="shared" si="3"/>
        <v>#DIV/0!</v>
      </c>
      <c r="V56" s="38"/>
      <c r="W56" s="38" t="str">
        <f t="shared" si="4"/>
        <v>#DIV/0!</v>
      </c>
      <c r="X56" s="39" t="str">
        <f t="shared" si="5"/>
        <v>#DIV/0!</v>
      </c>
      <c r="Y56" s="40"/>
      <c r="Z56" s="41"/>
      <c r="AA56" s="42" t="str">
        <f t="shared" si="6"/>
        <v>#DIV/0!</v>
      </c>
      <c r="AB56" s="60"/>
      <c r="AC56" s="60"/>
      <c r="AE56" s="60"/>
    </row>
    <row r="57" ht="14.25" customHeight="1">
      <c r="A57" s="30">
        <v>45.0</v>
      </c>
      <c r="B57" s="31" t="s">
        <v>959</v>
      </c>
      <c r="C57" s="32" t="s">
        <v>960</v>
      </c>
      <c r="D57" s="33"/>
      <c r="E57" s="34"/>
      <c r="F57" s="33"/>
      <c r="G57" s="33"/>
      <c r="H57" s="33"/>
      <c r="I57" s="33"/>
      <c r="J57" s="33"/>
      <c r="K57" s="33"/>
      <c r="L57" s="33"/>
      <c r="M57" s="33"/>
      <c r="N57" s="33"/>
      <c r="O57" s="33"/>
      <c r="P57" s="33"/>
      <c r="Q57" s="33"/>
      <c r="R57" s="33"/>
      <c r="S57" s="35" t="str">
        <f t="shared" si="1"/>
        <v>#DIV/0!</v>
      </c>
      <c r="T57" s="36" t="str">
        <f t="shared" si="2"/>
        <v>#DIV/0!</v>
      </c>
      <c r="U57" s="37" t="str">
        <f t="shared" si="3"/>
        <v>#DIV/0!</v>
      </c>
      <c r="V57" s="38"/>
      <c r="W57" s="38" t="str">
        <f t="shared" si="4"/>
        <v>#DIV/0!</v>
      </c>
      <c r="X57" s="39" t="str">
        <f t="shared" si="5"/>
        <v>#DIV/0!</v>
      </c>
      <c r="Y57" s="40"/>
      <c r="Z57" s="41"/>
      <c r="AA57" s="42" t="str">
        <f t="shared" si="6"/>
        <v>#DIV/0!</v>
      </c>
      <c r="AB57" s="60"/>
      <c r="AC57" s="60"/>
      <c r="AE57" s="60"/>
    </row>
    <row r="58" ht="14.25" customHeight="1">
      <c r="A58" s="30">
        <v>46.0</v>
      </c>
      <c r="B58" s="31" t="s">
        <v>961</v>
      </c>
      <c r="C58" s="32" t="s">
        <v>962</v>
      </c>
      <c r="D58" s="33"/>
      <c r="E58" s="34"/>
      <c r="F58" s="33"/>
      <c r="G58" s="33"/>
      <c r="H58" s="33"/>
      <c r="I58" s="33"/>
      <c r="J58" s="33"/>
      <c r="K58" s="33"/>
      <c r="L58" s="33"/>
      <c r="M58" s="33"/>
      <c r="N58" s="33"/>
      <c r="O58" s="33"/>
      <c r="P58" s="33"/>
      <c r="Q58" s="33"/>
      <c r="R58" s="33"/>
      <c r="S58" s="35" t="str">
        <f t="shared" si="1"/>
        <v>#DIV/0!</v>
      </c>
      <c r="T58" s="36" t="str">
        <f t="shared" si="2"/>
        <v>#DIV/0!</v>
      </c>
      <c r="U58" s="37" t="str">
        <f t="shared" si="3"/>
        <v>#DIV/0!</v>
      </c>
      <c r="V58" s="38"/>
      <c r="W58" s="38" t="str">
        <f t="shared" si="4"/>
        <v>#DIV/0!</v>
      </c>
      <c r="X58" s="39" t="str">
        <f t="shared" si="5"/>
        <v>#DIV/0!</v>
      </c>
      <c r="Y58" s="40"/>
      <c r="Z58" s="41"/>
      <c r="AA58" s="42" t="str">
        <f t="shared" si="6"/>
        <v>#DIV/0!</v>
      </c>
      <c r="AB58" s="60"/>
      <c r="AC58" s="60"/>
      <c r="AE58" s="60"/>
    </row>
    <row r="59" ht="14.25" customHeight="1"/>
    <row r="60" ht="14.25" customHeight="1">
      <c r="Y60" s="54" t="s">
        <v>117</v>
      </c>
      <c r="AA60" s="58" t="str">
        <f>MAX(AA13:AA49)</f>
        <v>#DIV/0!</v>
      </c>
    </row>
    <row r="61" ht="14.25" customHeight="1">
      <c r="Y61" s="54" t="s">
        <v>118</v>
      </c>
      <c r="AA61" s="59" t="str">
        <f>MIN(AA13:AA49)</f>
        <v>#DIV/0!</v>
      </c>
    </row>
    <row r="62" ht="14.25" customHeight="1">
      <c r="Y62" s="54" t="s">
        <v>119</v>
      </c>
      <c r="AA62" s="59" t="str">
        <f>AVERAGE(AA13:AA49)</f>
        <v>#DIV/0!</v>
      </c>
    </row>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9.86"/>
    <col customWidth="1" min="3" max="3" width="28.14"/>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8" width="5.14"/>
    <col customWidth="1" min="29" max="29" width="7.0"/>
    <col customWidth="1" min="30" max="30" width="8.71"/>
    <col customWidth="1" min="31" max="31" width="6.0"/>
  </cols>
  <sheetData>
    <row r="1" ht="78.0" customHeight="1">
      <c r="A1" s="1" t="s">
        <v>963</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964</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39.75" customHeight="1">
      <c r="A11" s="11"/>
      <c r="B11" s="11"/>
      <c r="C11" s="11"/>
      <c r="D11" s="12"/>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2">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965</v>
      </c>
      <c r="C13" s="32" t="s">
        <v>966</v>
      </c>
      <c r="D13" s="33"/>
      <c r="E13" s="34"/>
      <c r="F13" s="33"/>
      <c r="G13" s="33"/>
      <c r="H13" s="33"/>
      <c r="I13" s="33"/>
      <c r="J13" s="33"/>
      <c r="K13" s="33"/>
      <c r="L13" s="33"/>
      <c r="M13" s="33"/>
      <c r="N13" s="33"/>
      <c r="O13" s="33"/>
      <c r="P13" s="33"/>
      <c r="Q13" s="33"/>
      <c r="R13" s="33"/>
      <c r="S13" s="35" t="str">
        <f t="shared" ref="S13:S60" si="1">AVERAGE(D13:H13)</f>
        <v>#DIV/0!</v>
      </c>
      <c r="T13" s="36" t="str">
        <f t="shared" ref="T13:T60" si="2">AVERAGE(I13:M13)</f>
        <v>#DIV/0!</v>
      </c>
      <c r="U13" s="37" t="str">
        <f t="shared" ref="U13:U60" si="3">AVERAGE(N13:R13)</f>
        <v>#DIV/0!</v>
      </c>
      <c r="V13" s="38"/>
      <c r="W13" s="38" t="str">
        <f t="shared" ref="W13:W60" si="4">AVERAGE(S13:U13)</f>
        <v>#DIV/0!</v>
      </c>
      <c r="X13" s="39" t="str">
        <f t="shared" ref="X13:X60" si="5">ROUND(AVERAGE(V13:W13),0)</f>
        <v>#DIV/0!</v>
      </c>
      <c r="Y13" s="40"/>
      <c r="Z13" s="41">
        <v>1.0</v>
      </c>
      <c r="AA13" s="42" t="str">
        <f t="shared" ref="AA13:AA60" si="6">ROUND(IF((X13*(IF(Y13="A",105%,IF(Y13="B",102%,IF(Y13="C",75%,50%))))*Z13)&gt;100,100,(X13*(IF(Y13="A",105%,IF(Y13="B",102%,IF(Y13="C",75%,50%))))*Z13)),0)</f>
        <v>#DIV/0!</v>
      </c>
      <c r="AB13" s="60"/>
      <c r="AC13" s="60"/>
      <c r="AD13" s="60"/>
      <c r="AE13" s="60"/>
    </row>
    <row r="14" ht="14.25" customHeight="1">
      <c r="A14" s="30">
        <v>2.0</v>
      </c>
      <c r="B14" s="31" t="s">
        <v>967</v>
      </c>
      <c r="C14" s="32" t="s">
        <v>968</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c r="AB14" s="60"/>
      <c r="AC14" s="60"/>
      <c r="AD14" s="60"/>
      <c r="AE14" s="60"/>
    </row>
    <row r="15" ht="14.25" customHeight="1">
      <c r="A15" s="30">
        <v>3.0</v>
      </c>
      <c r="B15" s="31" t="s">
        <v>969</v>
      </c>
      <c r="C15" s="32" t="s">
        <v>970</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c r="AB15" s="60"/>
      <c r="AC15" s="60"/>
      <c r="AD15" s="60"/>
      <c r="AE15" s="60"/>
    </row>
    <row r="16" ht="14.25" customHeight="1">
      <c r="A16" s="30">
        <v>4.0</v>
      </c>
      <c r="B16" s="31" t="s">
        <v>971</v>
      </c>
      <c r="C16" s="32" t="s">
        <v>972</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c r="AB16" s="60"/>
      <c r="AC16" s="60"/>
      <c r="AD16" s="60"/>
      <c r="AE16" s="60"/>
    </row>
    <row r="17" ht="14.25" customHeight="1">
      <c r="A17" s="30">
        <v>5.0</v>
      </c>
      <c r="B17" s="31" t="s">
        <v>973</v>
      </c>
      <c r="C17" s="32" t="s">
        <v>974</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c r="AB17" s="60"/>
      <c r="AC17" s="60"/>
      <c r="AD17" s="60"/>
      <c r="AE17" s="60"/>
    </row>
    <row r="18" ht="14.25" customHeight="1">
      <c r="A18" s="30">
        <v>6.0</v>
      </c>
      <c r="B18" s="31" t="s">
        <v>975</v>
      </c>
      <c r="C18" s="32" t="s">
        <v>976</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c r="AB18" s="60"/>
      <c r="AC18" s="60"/>
      <c r="AD18" s="60"/>
      <c r="AE18" s="60"/>
    </row>
    <row r="19" ht="14.25" customHeight="1">
      <c r="A19" s="30">
        <v>7.0</v>
      </c>
      <c r="B19" s="31" t="s">
        <v>977</v>
      </c>
      <c r="C19" s="32" t="s">
        <v>978</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c r="AB19" s="60"/>
      <c r="AC19" s="60"/>
      <c r="AD19" s="60"/>
      <c r="AE19" s="60"/>
    </row>
    <row r="20" ht="14.25" customHeight="1">
      <c r="A20" s="30">
        <v>8.0</v>
      </c>
      <c r="B20" s="31" t="s">
        <v>979</v>
      </c>
      <c r="C20" s="32" t="s">
        <v>980</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c r="AB20" s="60"/>
      <c r="AC20" s="60"/>
      <c r="AD20" s="60"/>
      <c r="AE20" s="60"/>
    </row>
    <row r="21" ht="14.25" customHeight="1">
      <c r="A21" s="30">
        <v>9.0</v>
      </c>
      <c r="B21" s="31" t="s">
        <v>981</v>
      </c>
      <c r="C21" s="32" t="s">
        <v>982</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c r="AB21" s="60"/>
      <c r="AC21" s="60"/>
      <c r="AD21" s="60"/>
      <c r="AE21" s="60"/>
    </row>
    <row r="22" ht="14.25" customHeight="1">
      <c r="A22" s="30">
        <v>10.0</v>
      </c>
      <c r="B22" s="31" t="s">
        <v>983</v>
      </c>
      <c r="C22" s="32" t="s">
        <v>984</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c r="AB22" s="60"/>
      <c r="AC22" s="60"/>
      <c r="AD22" s="60"/>
      <c r="AE22" s="60"/>
    </row>
    <row r="23" ht="14.25" customHeight="1">
      <c r="A23" s="30">
        <v>11.0</v>
      </c>
      <c r="B23" s="31" t="s">
        <v>985</v>
      </c>
      <c r="C23" s="32" t="s">
        <v>986</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c r="AB23" s="60"/>
      <c r="AC23" s="60"/>
      <c r="AD23" s="60"/>
      <c r="AE23" s="60"/>
    </row>
    <row r="24" ht="14.25" customHeight="1">
      <c r="A24" s="30">
        <v>12.0</v>
      </c>
      <c r="B24" s="31" t="s">
        <v>987</v>
      </c>
      <c r="C24" s="32" t="s">
        <v>988</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c r="AB24" s="60"/>
      <c r="AC24" s="60"/>
      <c r="AD24" s="60"/>
      <c r="AE24" s="60"/>
    </row>
    <row r="25" ht="14.25" customHeight="1">
      <c r="A25" s="30">
        <v>13.0</v>
      </c>
      <c r="B25" s="31" t="s">
        <v>989</v>
      </c>
      <c r="C25" s="32" t="s">
        <v>990</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c r="AB25" s="60"/>
      <c r="AC25" s="60"/>
      <c r="AD25" s="60"/>
      <c r="AE25" s="60"/>
    </row>
    <row r="26" ht="14.25" customHeight="1">
      <c r="A26" s="30">
        <v>14.0</v>
      </c>
      <c r="B26" s="31" t="s">
        <v>991</v>
      </c>
      <c r="C26" s="32" t="s">
        <v>992</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c r="AB26" s="60"/>
      <c r="AC26" s="60"/>
      <c r="AD26" s="60"/>
      <c r="AE26" s="60"/>
    </row>
    <row r="27" ht="14.25" customHeight="1">
      <c r="A27" s="30">
        <v>15.0</v>
      </c>
      <c r="B27" s="31" t="s">
        <v>993</v>
      </c>
      <c r="C27" s="32" t="s">
        <v>994</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c r="AB27" s="60"/>
      <c r="AC27" s="60"/>
      <c r="AD27" s="60"/>
      <c r="AE27" s="60"/>
    </row>
    <row r="28" ht="14.25" customHeight="1">
      <c r="A28" s="30">
        <v>16.0</v>
      </c>
      <c r="B28" s="31" t="s">
        <v>995</v>
      </c>
      <c r="C28" s="32" t="s">
        <v>996</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c r="AB28" s="60"/>
      <c r="AC28" s="60"/>
      <c r="AD28" s="60"/>
      <c r="AE28" s="60"/>
    </row>
    <row r="29" ht="14.25" customHeight="1">
      <c r="A29" s="30">
        <v>17.0</v>
      </c>
      <c r="B29" s="31" t="s">
        <v>997</v>
      </c>
      <c r="C29" s="32" t="s">
        <v>998</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c r="AB29" s="60"/>
      <c r="AC29" s="60"/>
      <c r="AD29" s="60"/>
      <c r="AE29" s="60"/>
    </row>
    <row r="30" ht="14.25" customHeight="1">
      <c r="A30" s="30">
        <v>18.0</v>
      </c>
      <c r="B30" s="31" t="s">
        <v>999</v>
      </c>
      <c r="C30" s="32" t="s">
        <v>1000</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c r="AB30" s="60"/>
      <c r="AC30" s="60"/>
      <c r="AD30" s="60"/>
      <c r="AE30" s="60"/>
    </row>
    <row r="31" ht="14.25" customHeight="1">
      <c r="A31" s="30">
        <v>19.0</v>
      </c>
      <c r="B31" s="31" t="s">
        <v>1001</v>
      </c>
      <c r="C31" s="32" t="s">
        <v>1002</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c r="AB31" s="60"/>
      <c r="AC31" s="60"/>
      <c r="AD31" s="60"/>
      <c r="AE31" s="60"/>
    </row>
    <row r="32" ht="14.25" customHeight="1">
      <c r="A32" s="30">
        <v>20.0</v>
      </c>
      <c r="B32" s="31" t="s">
        <v>1003</v>
      </c>
      <c r="C32" s="32" t="s">
        <v>1004</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c r="AB32" s="60"/>
      <c r="AC32" s="60"/>
      <c r="AD32" s="60"/>
      <c r="AE32" s="60"/>
    </row>
    <row r="33" ht="14.25" customHeight="1">
      <c r="A33" s="30">
        <v>21.0</v>
      </c>
      <c r="B33" s="31" t="s">
        <v>1005</v>
      </c>
      <c r="C33" s="32" t="s">
        <v>1006</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c r="AB33" s="60"/>
      <c r="AC33" s="60"/>
      <c r="AD33" s="60"/>
      <c r="AE33" s="60"/>
    </row>
    <row r="34" ht="14.25" customHeight="1">
      <c r="A34" s="30">
        <v>22.0</v>
      </c>
      <c r="B34" s="31" t="s">
        <v>1007</v>
      </c>
      <c r="C34" s="32" t="s">
        <v>1008</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c r="AB34" s="60"/>
      <c r="AC34" s="60"/>
      <c r="AD34" s="60"/>
      <c r="AE34" s="60"/>
    </row>
    <row r="35" ht="14.25" customHeight="1">
      <c r="A35" s="30">
        <v>23.0</v>
      </c>
      <c r="B35" s="31" t="s">
        <v>1009</v>
      </c>
      <c r="C35" s="32" t="s">
        <v>1010</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c r="AB35" s="60"/>
      <c r="AC35" s="60"/>
      <c r="AD35" s="60"/>
      <c r="AE35" s="60"/>
    </row>
    <row r="36" ht="14.25" customHeight="1">
      <c r="A36" s="30">
        <v>24.0</v>
      </c>
      <c r="B36" s="31" t="s">
        <v>1011</v>
      </c>
      <c r="C36" s="32" t="s">
        <v>1012</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c r="AB36" s="60"/>
      <c r="AC36" s="60"/>
      <c r="AD36" s="60"/>
      <c r="AE36" s="60"/>
    </row>
    <row r="37" ht="14.25" customHeight="1">
      <c r="A37" s="30">
        <v>25.0</v>
      </c>
      <c r="B37" s="31" t="s">
        <v>1013</v>
      </c>
      <c r="C37" s="32" t="s">
        <v>1014</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c r="AB37" s="60"/>
      <c r="AC37" s="60"/>
      <c r="AD37" s="60"/>
      <c r="AE37" s="60"/>
    </row>
    <row r="38" ht="14.25" customHeight="1">
      <c r="A38" s="30">
        <v>26.0</v>
      </c>
      <c r="B38" s="31" t="s">
        <v>1015</v>
      </c>
      <c r="C38" s="32" t="s">
        <v>1016</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c r="AB38" s="60"/>
      <c r="AC38" s="60"/>
      <c r="AD38" s="60"/>
      <c r="AE38" s="60"/>
    </row>
    <row r="39" ht="14.25" customHeight="1">
      <c r="A39" s="30">
        <v>27.0</v>
      </c>
      <c r="B39" s="31" t="s">
        <v>1017</v>
      </c>
      <c r="C39" s="32" t="s">
        <v>1018</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c r="AB39" s="60"/>
      <c r="AC39" s="60"/>
      <c r="AD39" s="60"/>
      <c r="AE39" s="60"/>
    </row>
    <row r="40" ht="14.25" customHeight="1">
      <c r="A40" s="30">
        <v>28.0</v>
      </c>
      <c r="B40" s="31" t="s">
        <v>1019</v>
      </c>
      <c r="C40" s="32" t="s">
        <v>1020</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c r="AB40" s="60"/>
      <c r="AC40" s="60"/>
      <c r="AD40" s="60"/>
      <c r="AE40" s="60"/>
    </row>
    <row r="41" ht="14.25" customHeight="1">
      <c r="A41" s="30">
        <v>29.0</v>
      </c>
      <c r="B41" s="31" t="s">
        <v>1021</v>
      </c>
      <c r="C41" s="32" t="s">
        <v>1022</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c r="AB41" s="60"/>
      <c r="AC41" s="60"/>
      <c r="AD41" s="60"/>
      <c r="AE41" s="60"/>
    </row>
    <row r="42" ht="14.25" customHeight="1">
      <c r="A42" s="30">
        <v>30.0</v>
      </c>
      <c r="B42" s="31" t="s">
        <v>1023</v>
      </c>
      <c r="C42" s="32" t="s">
        <v>1024</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c r="AB42" s="60"/>
      <c r="AC42" s="60"/>
      <c r="AD42" s="60"/>
      <c r="AE42" s="60"/>
    </row>
    <row r="43" ht="14.25" customHeight="1">
      <c r="A43" s="30">
        <v>31.0</v>
      </c>
      <c r="B43" s="31" t="s">
        <v>1025</v>
      </c>
      <c r="C43" s="32" t="s">
        <v>1026</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c r="AB43" s="60"/>
      <c r="AC43" s="60"/>
      <c r="AD43" s="60"/>
      <c r="AE43" s="60"/>
    </row>
    <row r="44" ht="14.25" customHeight="1">
      <c r="A44" s="30">
        <v>32.0</v>
      </c>
      <c r="B44" s="31" t="s">
        <v>1027</v>
      </c>
      <c r="C44" s="32" t="s">
        <v>1028</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c r="AB44" s="60"/>
      <c r="AC44" s="60"/>
      <c r="AD44" s="60"/>
      <c r="AE44" s="60"/>
    </row>
    <row r="45" ht="14.25" customHeight="1">
      <c r="A45" s="30">
        <v>33.0</v>
      </c>
      <c r="B45" s="31" t="s">
        <v>1029</v>
      </c>
      <c r="C45" s="32" t="s">
        <v>1030</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c r="AB45" s="60"/>
      <c r="AC45" s="60"/>
      <c r="AD45" s="60"/>
      <c r="AE45" s="60"/>
    </row>
    <row r="46" ht="14.25" customHeight="1">
      <c r="A46" s="30">
        <v>34.0</v>
      </c>
      <c r="B46" s="31" t="s">
        <v>1031</v>
      </c>
      <c r="C46" s="32" t="s">
        <v>1032</v>
      </c>
      <c r="D46" s="33"/>
      <c r="E46" s="34"/>
      <c r="F46" s="33"/>
      <c r="G46" s="33"/>
      <c r="H46" s="33"/>
      <c r="I46" s="33"/>
      <c r="J46" s="33"/>
      <c r="K46" s="33"/>
      <c r="L46" s="33"/>
      <c r="M46" s="33"/>
      <c r="N46" s="33"/>
      <c r="O46" s="33"/>
      <c r="P46" s="33"/>
      <c r="Q46" s="33"/>
      <c r="R46" s="33"/>
      <c r="S46" s="35" t="str">
        <f t="shared" si="1"/>
        <v>#DIV/0!</v>
      </c>
      <c r="T46" s="36" t="str">
        <f t="shared" si="2"/>
        <v>#DIV/0!</v>
      </c>
      <c r="U46" s="37" t="str">
        <f t="shared" si="3"/>
        <v>#DIV/0!</v>
      </c>
      <c r="V46" s="38"/>
      <c r="W46" s="38" t="str">
        <f t="shared" si="4"/>
        <v>#DIV/0!</v>
      </c>
      <c r="X46" s="39" t="str">
        <f t="shared" si="5"/>
        <v>#DIV/0!</v>
      </c>
      <c r="Y46" s="40"/>
      <c r="Z46" s="41">
        <v>1.0</v>
      </c>
      <c r="AA46" s="42" t="str">
        <f t="shared" si="6"/>
        <v>#DIV/0!</v>
      </c>
      <c r="AB46" s="60"/>
      <c r="AC46" s="60"/>
      <c r="AD46" s="60"/>
      <c r="AE46" s="60"/>
    </row>
    <row r="47" ht="14.25" customHeight="1">
      <c r="A47" s="30">
        <v>35.0</v>
      </c>
      <c r="B47" s="31" t="s">
        <v>1033</v>
      </c>
      <c r="C47" s="32" t="s">
        <v>1034</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c r="AB47" s="60"/>
      <c r="AC47" s="60"/>
      <c r="AD47" s="60"/>
      <c r="AE47" s="60"/>
    </row>
    <row r="48" ht="14.25" customHeight="1">
      <c r="A48" s="30">
        <v>36.0</v>
      </c>
      <c r="B48" s="31" t="s">
        <v>1035</v>
      </c>
      <c r="C48" s="32" t="s">
        <v>1036</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c r="AB48" s="60"/>
      <c r="AC48" s="60"/>
      <c r="AD48" s="60"/>
      <c r="AE48" s="60"/>
    </row>
    <row r="49" ht="14.25" customHeight="1">
      <c r="A49" s="30">
        <v>37.0</v>
      </c>
      <c r="B49" s="31" t="s">
        <v>1037</v>
      </c>
      <c r="C49" s="32" t="s">
        <v>1038</v>
      </c>
      <c r="D49" s="33"/>
      <c r="E49" s="34"/>
      <c r="F49" s="33"/>
      <c r="G49" s="33"/>
      <c r="H49" s="33"/>
      <c r="I49" s="33"/>
      <c r="J49" s="33"/>
      <c r="K49" s="33"/>
      <c r="L49" s="33"/>
      <c r="M49" s="33"/>
      <c r="N49" s="33"/>
      <c r="O49" s="33"/>
      <c r="P49" s="33"/>
      <c r="Q49" s="33"/>
      <c r="R49" s="33"/>
      <c r="S49" s="35" t="str">
        <f t="shared" si="1"/>
        <v>#DIV/0!</v>
      </c>
      <c r="T49" s="36" t="str">
        <f t="shared" si="2"/>
        <v>#DIV/0!</v>
      </c>
      <c r="U49" s="37" t="str">
        <f t="shared" si="3"/>
        <v>#DIV/0!</v>
      </c>
      <c r="V49" s="38"/>
      <c r="W49" s="38" t="str">
        <f t="shared" si="4"/>
        <v>#DIV/0!</v>
      </c>
      <c r="X49" s="39" t="str">
        <f t="shared" si="5"/>
        <v>#DIV/0!</v>
      </c>
      <c r="Y49" s="40"/>
      <c r="Z49" s="41">
        <v>1.0</v>
      </c>
      <c r="AA49" s="42" t="str">
        <f t="shared" si="6"/>
        <v>#DIV/0!</v>
      </c>
      <c r="AB49" s="60"/>
      <c r="AC49" s="60"/>
      <c r="AE49" s="60"/>
    </row>
    <row r="50" ht="14.25" customHeight="1">
      <c r="A50" s="30">
        <v>38.0</v>
      </c>
      <c r="B50" s="31" t="s">
        <v>1039</v>
      </c>
      <c r="C50" s="32" t="s">
        <v>1040</v>
      </c>
      <c r="D50" s="53"/>
      <c r="E50" s="34"/>
      <c r="F50" s="53"/>
      <c r="G50" s="53"/>
      <c r="H50" s="53"/>
      <c r="I50" s="53"/>
      <c r="J50" s="53"/>
      <c r="K50" s="53"/>
      <c r="L50" s="53"/>
      <c r="M50" s="53"/>
      <c r="N50" s="53"/>
      <c r="O50" s="53"/>
      <c r="P50" s="53"/>
      <c r="Q50" s="53"/>
      <c r="R50" s="53"/>
      <c r="S50" s="35" t="str">
        <f t="shared" si="1"/>
        <v>#DIV/0!</v>
      </c>
      <c r="T50" s="36" t="str">
        <f t="shared" si="2"/>
        <v>#DIV/0!</v>
      </c>
      <c r="U50" s="37" t="str">
        <f t="shared" si="3"/>
        <v>#DIV/0!</v>
      </c>
      <c r="V50" s="38"/>
      <c r="W50" s="38" t="str">
        <f t="shared" si="4"/>
        <v>#DIV/0!</v>
      </c>
      <c r="X50" s="39" t="str">
        <f t="shared" si="5"/>
        <v>#DIV/0!</v>
      </c>
      <c r="Y50" s="40"/>
      <c r="Z50" s="41"/>
      <c r="AA50" s="42" t="str">
        <f t="shared" si="6"/>
        <v>#DIV/0!</v>
      </c>
    </row>
    <row r="51" ht="14.25" customHeight="1">
      <c r="A51" s="30">
        <v>39.0</v>
      </c>
      <c r="B51" s="31" t="s">
        <v>1041</v>
      </c>
      <c r="C51" s="32" t="s">
        <v>1042</v>
      </c>
      <c r="D51" s="53"/>
      <c r="E51" s="34"/>
      <c r="F51" s="53"/>
      <c r="G51" s="53"/>
      <c r="H51" s="53"/>
      <c r="I51" s="53"/>
      <c r="J51" s="53"/>
      <c r="K51" s="53"/>
      <c r="L51" s="53"/>
      <c r="M51" s="53"/>
      <c r="N51" s="53"/>
      <c r="O51" s="53"/>
      <c r="P51" s="53"/>
      <c r="Q51" s="53"/>
      <c r="R51" s="53"/>
      <c r="S51" s="35" t="str">
        <f t="shared" si="1"/>
        <v>#DIV/0!</v>
      </c>
      <c r="T51" s="36" t="str">
        <f t="shared" si="2"/>
        <v>#DIV/0!</v>
      </c>
      <c r="U51" s="37" t="str">
        <f t="shared" si="3"/>
        <v>#DIV/0!</v>
      </c>
      <c r="V51" s="38"/>
      <c r="W51" s="38" t="str">
        <f t="shared" si="4"/>
        <v>#DIV/0!</v>
      </c>
      <c r="X51" s="39" t="str">
        <f t="shared" si="5"/>
        <v>#DIV/0!</v>
      </c>
      <c r="Y51" s="40"/>
      <c r="Z51" s="41"/>
      <c r="AA51" s="42" t="str">
        <f t="shared" si="6"/>
        <v>#DIV/0!</v>
      </c>
    </row>
    <row r="52" ht="14.25" customHeight="1">
      <c r="A52" s="30">
        <v>40.0</v>
      </c>
      <c r="B52" s="31" t="s">
        <v>1043</v>
      </c>
      <c r="C52" s="32" t="s">
        <v>1044</v>
      </c>
      <c r="D52" s="53"/>
      <c r="E52" s="34"/>
      <c r="F52" s="53"/>
      <c r="G52" s="53"/>
      <c r="H52" s="53"/>
      <c r="I52" s="53"/>
      <c r="J52" s="53"/>
      <c r="K52" s="53"/>
      <c r="L52" s="53"/>
      <c r="M52" s="53"/>
      <c r="N52" s="53"/>
      <c r="O52" s="53"/>
      <c r="P52" s="53"/>
      <c r="Q52" s="53"/>
      <c r="R52" s="53"/>
      <c r="S52" s="35" t="str">
        <f t="shared" si="1"/>
        <v>#DIV/0!</v>
      </c>
      <c r="T52" s="36" t="str">
        <f t="shared" si="2"/>
        <v>#DIV/0!</v>
      </c>
      <c r="U52" s="37" t="str">
        <f t="shared" si="3"/>
        <v>#DIV/0!</v>
      </c>
      <c r="V52" s="38"/>
      <c r="W52" s="38" t="str">
        <f t="shared" si="4"/>
        <v>#DIV/0!</v>
      </c>
      <c r="X52" s="39" t="str">
        <f t="shared" si="5"/>
        <v>#DIV/0!</v>
      </c>
      <c r="Y52" s="40"/>
      <c r="Z52" s="41"/>
      <c r="AA52" s="42" t="str">
        <f t="shared" si="6"/>
        <v>#DIV/0!</v>
      </c>
    </row>
    <row r="53" ht="14.25" customHeight="1">
      <c r="A53" s="30">
        <v>41.0</v>
      </c>
      <c r="B53" s="31" t="s">
        <v>1045</v>
      </c>
      <c r="C53" s="32" t="s">
        <v>1046</v>
      </c>
      <c r="D53" s="53"/>
      <c r="E53" s="34"/>
      <c r="F53" s="53"/>
      <c r="G53" s="53"/>
      <c r="H53" s="53"/>
      <c r="I53" s="53"/>
      <c r="J53" s="53"/>
      <c r="K53" s="53"/>
      <c r="L53" s="53"/>
      <c r="M53" s="53"/>
      <c r="N53" s="53"/>
      <c r="O53" s="53"/>
      <c r="P53" s="53"/>
      <c r="Q53" s="53"/>
      <c r="R53" s="53"/>
      <c r="S53" s="35" t="str">
        <f t="shared" si="1"/>
        <v>#DIV/0!</v>
      </c>
      <c r="T53" s="36" t="str">
        <f t="shared" si="2"/>
        <v>#DIV/0!</v>
      </c>
      <c r="U53" s="37" t="str">
        <f t="shared" si="3"/>
        <v>#DIV/0!</v>
      </c>
      <c r="V53" s="38"/>
      <c r="W53" s="38" t="str">
        <f t="shared" si="4"/>
        <v>#DIV/0!</v>
      </c>
      <c r="X53" s="39" t="str">
        <f t="shared" si="5"/>
        <v>#DIV/0!</v>
      </c>
      <c r="Y53" s="40"/>
      <c r="Z53" s="41"/>
      <c r="AA53" s="42" t="str">
        <f t="shared" si="6"/>
        <v>#DIV/0!</v>
      </c>
    </row>
    <row r="54" ht="14.25" customHeight="1">
      <c r="A54" s="30">
        <v>42.0</v>
      </c>
      <c r="B54" s="31" t="s">
        <v>1047</v>
      </c>
      <c r="C54" s="32" t="s">
        <v>1048</v>
      </c>
      <c r="D54" s="53"/>
      <c r="E54" s="34"/>
      <c r="F54" s="53"/>
      <c r="G54" s="53"/>
      <c r="H54" s="53"/>
      <c r="I54" s="53"/>
      <c r="J54" s="53"/>
      <c r="K54" s="53"/>
      <c r="L54" s="53"/>
      <c r="M54" s="53"/>
      <c r="N54" s="53"/>
      <c r="O54" s="53"/>
      <c r="P54" s="53"/>
      <c r="Q54" s="53"/>
      <c r="R54" s="53"/>
      <c r="S54" s="35" t="str">
        <f t="shared" si="1"/>
        <v>#DIV/0!</v>
      </c>
      <c r="T54" s="36" t="str">
        <f t="shared" si="2"/>
        <v>#DIV/0!</v>
      </c>
      <c r="U54" s="37" t="str">
        <f t="shared" si="3"/>
        <v>#DIV/0!</v>
      </c>
      <c r="V54" s="38"/>
      <c r="W54" s="38" t="str">
        <f t="shared" si="4"/>
        <v>#DIV/0!</v>
      </c>
      <c r="X54" s="39" t="str">
        <f t="shared" si="5"/>
        <v>#DIV/0!</v>
      </c>
      <c r="Y54" s="40"/>
      <c r="Z54" s="41"/>
      <c r="AA54" s="42" t="str">
        <f t="shared" si="6"/>
        <v>#DIV/0!</v>
      </c>
    </row>
    <row r="55" ht="14.25" customHeight="1">
      <c r="A55" s="30">
        <v>43.0</v>
      </c>
      <c r="B55" s="31" t="s">
        <v>1049</v>
      </c>
      <c r="C55" s="32" t="s">
        <v>1050</v>
      </c>
      <c r="D55" s="53"/>
      <c r="E55" s="34"/>
      <c r="F55" s="53"/>
      <c r="G55" s="53"/>
      <c r="H55" s="53"/>
      <c r="I55" s="53"/>
      <c r="J55" s="53"/>
      <c r="K55" s="53"/>
      <c r="L55" s="53"/>
      <c r="M55" s="53"/>
      <c r="N55" s="53"/>
      <c r="O55" s="53"/>
      <c r="P55" s="53"/>
      <c r="Q55" s="53"/>
      <c r="R55" s="53"/>
      <c r="S55" s="35" t="str">
        <f t="shared" si="1"/>
        <v>#DIV/0!</v>
      </c>
      <c r="T55" s="36" t="str">
        <f t="shared" si="2"/>
        <v>#DIV/0!</v>
      </c>
      <c r="U55" s="37" t="str">
        <f t="shared" si="3"/>
        <v>#DIV/0!</v>
      </c>
      <c r="V55" s="38"/>
      <c r="W55" s="38" t="str">
        <f t="shared" si="4"/>
        <v>#DIV/0!</v>
      </c>
      <c r="X55" s="39" t="str">
        <f t="shared" si="5"/>
        <v>#DIV/0!</v>
      </c>
      <c r="Y55" s="40"/>
      <c r="Z55" s="41"/>
      <c r="AA55" s="42" t="str">
        <f t="shared" si="6"/>
        <v>#DIV/0!</v>
      </c>
    </row>
    <row r="56" ht="14.25" customHeight="1">
      <c r="A56" s="30">
        <v>44.0</v>
      </c>
      <c r="B56" s="31" t="s">
        <v>1051</v>
      </c>
      <c r="C56" s="32" t="s">
        <v>1052</v>
      </c>
      <c r="D56" s="53"/>
      <c r="E56" s="34"/>
      <c r="F56" s="53"/>
      <c r="G56" s="53"/>
      <c r="H56" s="53"/>
      <c r="I56" s="53"/>
      <c r="J56" s="53"/>
      <c r="K56" s="53"/>
      <c r="L56" s="53"/>
      <c r="M56" s="53"/>
      <c r="N56" s="53"/>
      <c r="O56" s="53"/>
      <c r="P56" s="53"/>
      <c r="Q56" s="53"/>
      <c r="R56" s="53"/>
      <c r="S56" s="35" t="str">
        <f t="shared" si="1"/>
        <v>#DIV/0!</v>
      </c>
      <c r="T56" s="36" t="str">
        <f t="shared" si="2"/>
        <v>#DIV/0!</v>
      </c>
      <c r="U56" s="37" t="str">
        <f t="shared" si="3"/>
        <v>#DIV/0!</v>
      </c>
      <c r="V56" s="38"/>
      <c r="W56" s="38" t="str">
        <f t="shared" si="4"/>
        <v>#DIV/0!</v>
      </c>
      <c r="X56" s="39" t="str">
        <f t="shared" si="5"/>
        <v>#DIV/0!</v>
      </c>
      <c r="Y56" s="40"/>
      <c r="Z56" s="41"/>
      <c r="AA56" s="42" t="str">
        <f t="shared" si="6"/>
        <v>#DIV/0!</v>
      </c>
    </row>
    <row r="57" ht="14.25" customHeight="1">
      <c r="A57" s="30">
        <v>45.0</v>
      </c>
      <c r="B57" s="31" t="s">
        <v>1053</v>
      </c>
      <c r="C57" s="32" t="s">
        <v>1054</v>
      </c>
      <c r="D57" s="53"/>
      <c r="E57" s="34"/>
      <c r="F57" s="53"/>
      <c r="G57" s="53"/>
      <c r="H57" s="53"/>
      <c r="I57" s="53"/>
      <c r="J57" s="53"/>
      <c r="K57" s="53"/>
      <c r="L57" s="53"/>
      <c r="M57" s="53"/>
      <c r="N57" s="53"/>
      <c r="O57" s="53"/>
      <c r="P57" s="53"/>
      <c r="Q57" s="53"/>
      <c r="R57" s="53"/>
      <c r="S57" s="35" t="str">
        <f t="shared" si="1"/>
        <v>#DIV/0!</v>
      </c>
      <c r="T57" s="36" t="str">
        <f t="shared" si="2"/>
        <v>#DIV/0!</v>
      </c>
      <c r="U57" s="37" t="str">
        <f t="shared" si="3"/>
        <v>#DIV/0!</v>
      </c>
      <c r="V57" s="38"/>
      <c r="W57" s="38" t="str">
        <f t="shared" si="4"/>
        <v>#DIV/0!</v>
      </c>
      <c r="X57" s="39" t="str">
        <f t="shared" si="5"/>
        <v>#DIV/0!</v>
      </c>
      <c r="Y57" s="40"/>
      <c r="Z57" s="41"/>
      <c r="AA57" s="42" t="str">
        <f t="shared" si="6"/>
        <v>#DIV/0!</v>
      </c>
    </row>
    <row r="58" ht="14.25" customHeight="1">
      <c r="A58" s="30">
        <v>46.0</v>
      </c>
      <c r="B58" s="31" t="s">
        <v>1055</v>
      </c>
      <c r="C58" s="32" t="s">
        <v>1056</v>
      </c>
      <c r="D58" s="53"/>
      <c r="E58" s="34"/>
      <c r="F58" s="53"/>
      <c r="G58" s="53"/>
      <c r="H58" s="53"/>
      <c r="I58" s="53"/>
      <c r="J58" s="53"/>
      <c r="K58" s="53"/>
      <c r="L58" s="53"/>
      <c r="M58" s="53"/>
      <c r="N58" s="53"/>
      <c r="O58" s="53"/>
      <c r="P58" s="53"/>
      <c r="Q58" s="53"/>
      <c r="R58" s="53"/>
      <c r="S58" s="35" t="str">
        <f t="shared" si="1"/>
        <v>#DIV/0!</v>
      </c>
      <c r="T58" s="36" t="str">
        <f t="shared" si="2"/>
        <v>#DIV/0!</v>
      </c>
      <c r="U58" s="37" t="str">
        <f t="shared" si="3"/>
        <v>#DIV/0!</v>
      </c>
      <c r="V58" s="38"/>
      <c r="W58" s="38" t="str">
        <f t="shared" si="4"/>
        <v>#DIV/0!</v>
      </c>
      <c r="X58" s="39" t="str">
        <f t="shared" si="5"/>
        <v>#DIV/0!</v>
      </c>
      <c r="Y58" s="40"/>
      <c r="Z58" s="41"/>
      <c r="AA58" s="42" t="str">
        <f t="shared" si="6"/>
        <v>#DIV/0!</v>
      </c>
    </row>
    <row r="59" ht="14.25" customHeight="1">
      <c r="A59" s="30">
        <v>47.0</v>
      </c>
      <c r="B59" s="31" t="s">
        <v>1057</v>
      </c>
      <c r="C59" s="32" t="s">
        <v>1058</v>
      </c>
      <c r="D59" s="53"/>
      <c r="E59" s="34"/>
      <c r="F59" s="53"/>
      <c r="G59" s="53"/>
      <c r="H59" s="53"/>
      <c r="I59" s="53"/>
      <c r="J59" s="53"/>
      <c r="K59" s="53"/>
      <c r="L59" s="53"/>
      <c r="M59" s="53"/>
      <c r="N59" s="53"/>
      <c r="O59" s="53"/>
      <c r="P59" s="53"/>
      <c r="Q59" s="53"/>
      <c r="R59" s="53"/>
      <c r="S59" s="35" t="str">
        <f t="shared" si="1"/>
        <v>#DIV/0!</v>
      </c>
      <c r="T59" s="36" t="str">
        <f t="shared" si="2"/>
        <v>#DIV/0!</v>
      </c>
      <c r="U59" s="37" t="str">
        <f t="shared" si="3"/>
        <v>#DIV/0!</v>
      </c>
      <c r="V59" s="38"/>
      <c r="W59" s="38" t="str">
        <f t="shared" si="4"/>
        <v>#DIV/0!</v>
      </c>
      <c r="X59" s="39" t="str">
        <f t="shared" si="5"/>
        <v>#DIV/0!</v>
      </c>
      <c r="Y59" s="40"/>
      <c r="Z59" s="41"/>
      <c r="AA59" s="42" t="str">
        <f t="shared" si="6"/>
        <v>#DIV/0!</v>
      </c>
    </row>
    <row r="60" ht="14.25" customHeight="1">
      <c r="A60" s="30">
        <v>48.0</v>
      </c>
      <c r="B60" s="31" t="s">
        <v>1059</v>
      </c>
      <c r="C60" s="32" t="s">
        <v>1060</v>
      </c>
      <c r="D60" s="53"/>
      <c r="E60" s="34"/>
      <c r="F60" s="53"/>
      <c r="G60" s="53"/>
      <c r="H60" s="53"/>
      <c r="I60" s="53"/>
      <c r="J60" s="53"/>
      <c r="K60" s="53"/>
      <c r="L60" s="53"/>
      <c r="M60" s="53"/>
      <c r="N60" s="53"/>
      <c r="O60" s="53"/>
      <c r="P60" s="53"/>
      <c r="Q60" s="53"/>
      <c r="R60" s="53"/>
      <c r="S60" s="35" t="str">
        <f t="shared" si="1"/>
        <v>#DIV/0!</v>
      </c>
      <c r="T60" s="36" t="str">
        <f t="shared" si="2"/>
        <v>#DIV/0!</v>
      </c>
      <c r="U60" s="37" t="str">
        <f t="shared" si="3"/>
        <v>#DIV/0!</v>
      </c>
      <c r="V60" s="38"/>
      <c r="W60" s="38" t="str">
        <f t="shared" si="4"/>
        <v>#DIV/0!</v>
      </c>
      <c r="X60" s="39" t="str">
        <f t="shared" si="5"/>
        <v>#DIV/0!</v>
      </c>
      <c r="Y60" s="40"/>
      <c r="Z60" s="41"/>
      <c r="AA60" s="42" t="str">
        <f t="shared" si="6"/>
        <v>#DIV/0!</v>
      </c>
    </row>
    <row r="61" ht="14.25" customHeight="1"/>
    <row r="62" ht="14.25" customHeight="1">
      <c r="Y62" s="54" t="s">
        <v>117</v>
      </c>
      <c r="AA62" s="58" t="str">
        <f>MAX(AA13:AA49)</f>
        <v>#DIV/0!</v>
      </c>
    </row>
    <row r="63" ht="14.25" customHeight="1">
      <c r="Y63" s="54" t="s">
        <v>118</v>
      </c>
      <c r="AA63" s="59" t="str">
        <f>MIN(AA13:AA49)</f>
        <v>#DIV/0!</v>
      </c>
    </row>
    <row r="64" ht="14.25" customHeight="1">
      <c r="Y64" s="54" t="s">
        <v>119</v>
      </c>
      <c r="AA64" s="59" t="str">
        <f>AVERAGE(AA13:AA49)</f>
        <v>#DIV/0!</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21.71"/>
    <col customWidth="1" min="3" max="3" width="32.86"/>
    <col customWidth="1" min="4" max="18" width="3.57"/>
    <col customWidth="1" min="19" max="19" width="4.71"/>
    <col customWidth="1" min="20" max="21" width="4.57"/>
    <col customWidth="1" min="22" max="22" width="5.14"/>
    <col customWidth="1" min="23" max="23" width="5.29"/>
    <col customWidth="1" min="24" max="24" width="5.14"/>
    <col customWidth="1" min="25" max="25" width="4.86"/>
    <col customWidth="1" min="26" max="26" width="5.43"/>
    <col customWidth="1" min="27" max="28" width="5.14"/>
    <col customWidth="1" min="29" max="29" width="7.0"/>
    <col customWidth="1" min="30" max="30" width="8.71"/>
    <col customWidth="1" min="31" max="31" width="6.0"/>
  </cols>
  <sheetData>
    <row r="1" ht="78.0" customHeight="1">
      <c r="A1" s="1" t="s">
        <v>1061</v>
      </c>
      <c r="B1" s="2"/>
      <c r="C1" s="2"/>
      <c r="D1" s="2"/>
      <c r="E1" s="2"/>
      <c r="F1" s="2"/>
      <c r="G1" s="2"/>
      <c r="H1" s="2"/>
      <c r="I1" s="2"/>
      <c r="J1" s="2"/>
      <c r="K1" s="2"/>
      <c r="L1" s="2"/>
      <c r="M1" s="2"/>
      <c r="N1" s="2"/>
      <c r="O1" s="2"/>
      <c r="P1" s="2"/>
      <c r="Q1" s="2"/>
      <c r="R1" s="2"/>
      <c r="S1" s="2"/>
      <c r="T1" s="2"/>
      <c r="U1" s="2"/>
      <c r="V1" s="2"/>
      <c r="W1" s="2"/>
      <c r="X1" s="2"/>
      <c r="Y1" s="2"/>
      <c r="Z1" s="2"/>
      <c r="AA1" s="2"/>
    </row>
    <row r="2" ht="9.0" customHeight="1"/>
    <row r="3" ht="14.25" customHeight="1">
      <c r="A3" s="3" t="s">
        <v>1</v>
      </c>
    </row>
    <row r="4" ht="14.25" customHeight="1">
      <c r="A4" s="3" t="s">
        <v>2</v>
      </c>
    </row>
    <row r="5" ht="3.75" customHeight="1">
      <c r="B5" s="4"/>
      <c r="D5" s="4"/>
      <c r="E5" s="4"/>
    </row>
    <row r="6" ht="14.25" customHeight="1">
      <c r="A6" s="4" t="s">
        <v>3</v>
      </c>
      <c r="C6" s="5" t="s">
        <v>4</v>
      </c>
      <c r="E6" s="5"/>
    </row>
    <row r="7" ht="14.25" customHeight="1">
      <c r="A7" s="4" t="s">
        <v>5</v>
      </c>
      <c r="C7" s="5" t="s">
        <v>1062</v>
      </c>
      <c r="E7" s="5"/>
    </row>
    <row r="8" ht="14.25" customHeight="1">
      <c r="A8" s="4" t="s">
        <v>7</v>
      </c>
      <c r="C8" s="5" t="s">
        <v>8</v>
      </c>
      <c r="E8" s="5"/>
    </row>
    <row r="9" ht="14.25" customHeight="1">
      <c r="E9" s="5"/>
    </row>
    <row r="10" ht="14.25" customHeight="1">
      <c r="A10" s="6" t="s">
        <v>9</v>
      </c>
      <c r="B10" s="6" t="s">
        <v>10</v>
      </c>
      <c r="C10" s="7" t="s">
        <v>11</v>
      </c>
      <c r="D10" s="8" t="s">
        <v>12</v>
      </c>
      <c r="E10" s="9"/>
      <c r="F10" s="9"/>
      <c r="G10" s="9"/>
      <c r="H10" s="9"/>
      <c r="I10" s="9"/>
      <c r="J10" s="9"/>
      <c r="K10" s="9"/>
      <c r="L10" s="9"/>
      <c r="M10" s="9"/>
      <c r="N10" s="9"/>
      <c r="O10" s="9"/>
      <c r="P10" s="9"/>
      <c r="Q10" s="9"/>
      <c r="R10" s="9"/>
      <c r="S10" s="9"/>
      <c r="T10" s="9"/>
      <c r="U10" s="9"/>
      <c r="V10" s="9"/>
      <c r="W10" s="9"/>
      <c r="X10" s="9"/>
      <c r="Y10" s="9"/>
      <c r="Z10" s="9"/>
      <c r="AA10" s="10"/>
    </row>
    <row r="11" ht="36.0" customHeight="1">
      <c r="A11" s="11"/>
      <c r="B11" s="11"/>
      <c r="C11" s="11"/>
      <c r="D11" s="61" t="s">
        <v>1063</v>
      </c>
      <c r="E11" s="9"/>
      <c r="F11" s="9"/>
      <c r="G11" s="9"/>
      <c r="H11" s="10"/>
      <c r="I11" s="12"/>
      <c r="J11" s="9"/>
      <c r="K11" s="9"/>
      <c r="L11" s="9"/>
      <c r="M11" s="10"/>
      <c r="N11" s="12"/>
      <c r="O11" s="9"/>
      <c r="P11" s="9"/>
      <c r="Q11" s="9"/>
      <c r="R11" s="10"/>
      <c r="S11" s="13" t="s">
        <v>13</v>
      </c>
      <c r="T11" s="9"/>
      <c r="U11" s="10"/>
      <c r="V11" s="14" t="s">
        <v>14</v>
      </c>
      <c r="W11" s="15" t="s">
        <v>15</v>
      </c>
      <c r="X11" s="16" t="s">
        <v>16</v>
      </c>
      <c r="Y11" s="17" t="s">
        <v>17</v>
      </c>
      <c r="Z11" s="18" t="s">
        <v>18</v>
      </c>
      <c r="AA11" s="19" t="s">
        <v>19</v>
      </c>
    </row>
    <row r="12" ht="15.75" customHeight="1">
      <c r="A12" s="20"/>
      <c r="B12" s="20"/>
      <c r="C12" s="20"/>
      <c r="D12" s="21">
        <v>1.0</v>
      </c>
      <c r="E12" s="22">
        <v>2.0</v>
      </c>
      <c r="F12" s="22">
        <v>3.0</v>
      </c>
      <c r="G12" s="22">
        <v>4.0</v>
      </c>
      <c r="H12" s="23">
        <v>5.0</v>
      </c>
      <c r="I12" s="23">
        <v>1.0</v>
      </c>
      <c r="J12" s="23">
        <v>2.0</v>
      </c>
      <c r="K12" s="23">
        <v>3.0</v>
      </c>
      <c r="L12" s="23">
        <v>4.0</v>
      </c>
      <c r="M12" s="23">
        <v>5.0</v>
      </c>
      <c r="N12" s="23">
        <v>1.0</v>
      </c>
      <c r="O12" s="23">
        <v>2.0</v>
      </c>
      <c r="P12" s="23">
        <v>3.0</v>
      </c>
      <c r="Q12" s="23">
        <v>4.0</v>
      </c>
      <c r="R12" s="23">
        <v>5.0</v>
      </c>
      <c r="S12" s="24" t="s">
        <v>20</v>
      </c>
      <c r="T12" s="25" t="s">
        <v>21</v>
      </c>
      <c r="U12" s="26" t="s">
        <v>22</v>
      </c>
      <c r="V12" s="20"/>
      <c r="W12" s="27"/>
      <c r="X12" s="28"/>
      <c r="Y12" s="28"/>
      <c r="Z12" s="28"/>
      <c r="AA12" s="29"/>
    </row>
    <row r="13" ht="14.25" customHeight="1">
      <c r="A13" s="30">
        <v>1.0</v>
      </c>
      <c r="B13" s="31" t="s">
        <v>1064</v>
      </c>
      <c r="C13" s="32" t="s">
        <v>1065</v>
      </c>
      <c r="D13" s="33"/>
      <c r="E13" s="34"/>
      <c r="F13" s="33"/>
      <c r="G13" s="33"/>
      <c r="H13" s="33"/>
      <c r="I13" s="33"/>
      <c r="J13" s="33"/>
      <c r="K13" s="33"/>
      <c r="L13" s="33"/>
      <c r="M13" s="33"/>
      <c r="N13" s="33"/>
      <c r="O13" s="33"/>
      <c r="P13" s="33"/>
      <c r="Q13" s="33"/>
      <c r="R13" s="33"/>
      <c r="S13" s="35" t="str">
        <f t="shared" ref="S13:S60" si="1">AVERAGE(D13:H13)</f>
        <v>#DIV/0!</v>
      </c>
      <c r="T13" s="36" t="str">
        <f t="shared" ref="T13:T60" si="2">AVERAGE(I13:M13)</f>
        <v>#DIV/0!</v>
      </c>
      <c r="U13" s="37" t="str">
        <f t="shared" ref="U13:U60" si="3">AVERAGE(N13:R13)</f>
        <v>#DIV/0!</v>
      </c>
      <c r="V13" s="38"/>
      <c r="W13" s="38" t="str">
        <f t="shared" ref="W13:W60" si="4">AVERAGE(S13:U13)</f>
        <v>#DIV/0!</v>
      </c>
      <c r="X13" s="39" t="str">
        <f t="shared" ref="X13:X60" si="5">ROUND(AVERAGE(V13:W13),0)</f>
        <v>#DIV/0!</v>
      </c>
      <c r="Y13" s="40"/>
      <c r="Z13" s="41">
        <v>1.0</v>
      </c>
      <c r="AA13" s="42" t="str">
        <f t="shared" ref="AA13:AA60" si="6">ROUND(IF((X13*(IF(Y13="A",105%,IF(Y13="B",102%,IF(Y13="C",75%,50%))))*Z13)&gt;100,100,(X13*(IF(Y13="A",105%,IF(Y13="B",102%,IF(Y13="C",75%,50%))))*Z13)),0)</f>
        <v>#DIV/0!</v>
      </c>
      <c r="AB13" s="60"/>
      <c r="AC13" s="60"/>
      <c r="AD13" s="60"/>
      <c r="AE13" s="60"/>
    </row>
    <row r="14" ht="14.25" customHeight="1">
      <c r="A14" s="30">
        <v>2.0</v>
      </c>
      <c r="B14" s="31" t="s">
        <v>1066</v>
      </c>
      <c r="C14" s="32" t="s">
        <v>1067</v>
      </c>
      <c r="D14" s="33"/>
      <c r="E14" s="34"/>
      <c r="F14" s="33"/>
      <c r="G14" s="33"/>
      <c r="H14" s="33"/>
      <c r="I14" s="33"/>
      <c r="J14" s="33"/>
      <c r="K14" s="33"/>
      <c r="L14" s="33"/>
      <c r="M14" s="33"/>
      <c r="N14" s="33"/>
      <c r="O14" s="33"/>
      <c r="P14" s="33"/>
      <c r="Q14" s="33"/>
      <c r="R14" s="33"/>
      <c r="S14" s="35" t="str">
        <f t="shared" si="1"/>
        <v>#DIV/0!</v>
      </c>
      <c r="T14" s="36" t="str">
        <f t="shared" si="2"/>
        <v>#DIV/0!</v>
      </c>
      <c r="U14" s="37" t="str">
        <f t="shared" si="3"/>
        <v>#DIV/0!</v>
      </c>
      <c r="V14" s="38"/>
      <c r="W14" s="38" t="str">
        <f t="shared" si="4"/>
        <v>#DIV/0!</v>
      </c>
      <c r="X14" s="39" t="str">
        <f t="shared" si="5"/>
        <v>#DIV/0!</v>
      </c>
      <c r="Y14" s="40"/>
      <c r="Z14" s="41">
        <v>1.0</v>
      </c>
      <c r="AA14" s="42" t="str">
        <f t="shared" si="6"/>
        <v>#DIV/0!</v>
      </c>
      <c r="AB14" s="60"/>
      <c r="AC14" s="60"/>
      <c r="AD14" s="60"/>
      <c r="AE14" s="60"/>
    </row>
    <row r="15" ht="14.25" customHeight="1">
      <c r="A15" s="30">
        <v>3.0</v>
      </c>
      <c r="B15" s="31" t="s">
        <v>1068</v>
      </c>
      <c r="C15" s="32" t="s">
        <v>1069</v>
      </c>
      <c r="D15" s="33"/>
      <c r="E15" s="34"/>
      <c r="F15" s="33"/>
      <c r="G15" s="33"/>
      <c r="H15" s="33"/>
      <c r="I15" s="33"/>
      <c r="J15" s="33"/>
      <c r="K15" s="33"/>
      <c r="L15" s="33"/>
      <c r="M15" s="33"/>
      <c r="N15" s="33"/>
      <c r="O15" s="33"/>
      <c r="P15" s="33"/>
      <c r="Q15" s="33"/>
      <c r="R15" s="33"/>
      <c r="S15" s="35" t="str">
        <f t="shared" si="1"/>
        <v>#DIV/0!</v>
      </c>
      <c r="T15" s="36" t="str">
        <f t="shared" si="2"/>
        <v>#DIV/0!</v>
      </c>
      <c r="U15" s="37" t="str">
        <f t="shared" si="3"/>
        <v>#DIV/0!</v>
      </c>
      <c r="V15" s="38"/>
      <c r="W15" s="38" t="str">
        <f t="shared" si="4"/>
        <v>#DIV/0!</v>
      </c>
      <c r="X15" s="39" t="str">
        <f t="shared" si="5"/>
        <v>#DIV/0!</v>
      </c>
      <c r="Y15" s="40"/>
      <c r="Z15" s="41">
        <v>1.0</v>
      </c>
      <c r="AA15" s="42" t="str">
        <f t="shared" si="6"/>
        <v>#DIV/0!</v>
      </c>
      <c r="AB15" s="60"/>
      <c r="AC15" s="60"/>
      <c r="AD15" s="60"/>
      <c r="AE15" s="60"/>
    </row>
    <row r="16" ht="14.25" customHeight="1">
      <c r="A16" s="30">
        <v>4.0</v>
      </c>
      <c r="B16" s="31" t="s">
        <v>1070</v>
      </c>
      <c r="C16" s="32" t="s">
        <v>1071</v>
      </c>
      <c r="D16" s="33"/>
      <c r="E16" s="34"/>
      <c r="F16" s="33"/>
      <c r="G16" s="33"/>
      <c r="H16" s="33"/>
      <c r="I16" s="33"/>
      <c r="J16" s="33"/>
      <c r="K16" s="33"/>
      <c r="L16" s="33"/>
      <c r="M16" s="33"/>
      <c r="N16" s="33"/>
      <c r="O16" s="33"/>
      <c r="P16" s="33"/>
      <c r="Q16" s="33"/>
      <c r="R16" s="33"/>
      <c r="S16" s="35" t="str">
        <f t="shared" si="1"/>
        <v>#DIV/0!</v>
      </c>
      <c r="T16" s="36" t="str">
        <f t="shared" si="2"/>
        <v>#DIV/0!</v>
      </c>
      <c r="U16" s="37" t="str">
        <f t="shared" si="3"/>
        <v>#DIV/0!</v>
      </c>
      <c r="V16" s="38"/>
      <c r="W16" s="38" t="str">
        <f t="shared" si="4"/>
        <v>#DIV/0!</v>
      </c>
      <c r="X16" s="39" t="str">
        <f t="shared" si="5"/>
        <v>#DIV/0!</v>
      </c>
      <c r="Y16" s="40"/>
      <c r="Z16" s="41">
        <v>1.0</v>
      </c>
      <c r="AA16" s="42" t="str">
        <f t="shared" si="6"/>
        <v>#DIV/0!</v>
      </c>
      <c r="AB16" s="60"/>
      <c r="AC16" s="60"/>
      <c r="AD16" s="60"/>
      <c r="AE16" s="60"/>
    </row>
    <row r="17" ht="14.25" customHeight="1">
      <c r="A17" s="30">
        <v>5.0</v>
      </c>
      <c r="B17" s="31" t="s">
        <v>1072</v>
      </c>
      <c r="C17" s="32" t="s">
        <v>1073</v>
      </c>
      <c r="D17" s="33"/>
      <c r="E17" s="34"/>
      <c r="F17" s="33"/>
      <c r="G17" s="33"/>
      <c r="H17" s="33"/>
      <c r="I17" s="33"/>
      <c r="J17" s="33"/>
      <c r="K17" s="33"/>
      <c r="L17" s="33"/>
      <c r="M17" s="33"/>
      <c r="N17" s="33"/>
      <c r="O17" s="33"/>
      <c r="P17" s="33"/>
      <c r="Q17" s="33"/>
      <c r="R17" s="33"/>
      <c r="S17" s="35" t="str">
        <f t="shared" si="1"/>
        <v>#DIV/0!</v>
      </c>
      <c r="T17" s="36" t="str">
        <f t="shared" si="2"/>
        <v>#DIV/0!</v>
      </c>
      <c r="U17" s="37" t="str">
        <f t="shared" si="3"/>
        <v>#DIV/0!</v>
      </c>
      <c r="V17" s="38"/>
      <c r="W17" s="38" t="str">
        <f t="shared" si="4"/>
        <v>#DIV/0!</v>
      </c>
      <c r="X17" s="39" t="str">
        <f t="shared" si="5"/>
        <v>#DIV/0!</v>
      </c>
      <c r="Y17" s="40"/>
      <c r="Z17" s="41">
        <v>1.0</v>
      </c>
      <c r="AA17" s="42" t="str">
        <f t="shared" si="6"/>
        <v>#DIV/0!</v>
      </c>
      <c r="AB17" s="60"/>
      <c r="AC17" s="60"/>
      <c r="AD17" s="60"/>
      <c r="AE17" s="60"/>
    </row>
    <row r="18" ht="14.25" customHeight="1">
      <c r="A18" s="30">
        <v>6.0</v>
      </c>
      <c r="B18" s="31" t="s">
        <v>1074</v>
      </c>
      <c r="C18" s="32" t="s">
        <v>1075</v>
      </c>
      <c r="D18" s="33"/>
      <c r="E18" s="34"/>
      <c r="F18" s="33"/>
      <c r="G18" s="33"/>
      <c r="H18" s="33"/>
      <c r="I18" s="33"/>
      <c r="J18" s="33"/>
      <c r="K18" s="33"/>
      <c r="L18" s="33"/>
      <c r="M18" s="33"/>
      <c r="N18" s="33"/>
      <c r="O18" s="33"/>
      <c r="P18" s="33"/>
      <c r="Q18" s="33"/>
      <c r="R18" s="33"/>
      <c r="S18" s="35" t="str">
        <f t="shared" si="1"/>
        <v>#DIV/0!</v>
      </c>
      <c r="T18" s="36" t="str">
        <f t="shared" si="2"/>
        <v>#DIV/0!</v>
      </c>
      <c r="U18" s="37" t="str">
        <f t="shared" si="3"/>
        <v>#DIV/0!</v>
      </c>
      <c r="V18" s="38"/>
      <c r="W18" s="38" t="str">
        <f t="shared" si="4"/>
        <v>#DIV/0!</v>
      </c>
      <c r="X18" s="39" t="str">
        <f t="shared" si="5"/>
        <v>#DIV/0!</v>
      </c>
      <c r="Y18" s="40"/>
      <c r="Z18" s="41">
        <v>1.0</v>
      </c>
      <c r="AA18" s="42" t="str">
        <f t="shared" si="6"/>
        <v>#DIV/0!</v>
      </c>
      <c r="AB18" s="60"/>
      <c r="AC18" s="60"/>
      <c r="AD18" s="60"/>
      <c r="AE18" s="60"/>
    </row>
    <row r="19" ht="14.25" customHeight="1">
      <c r="A19" s="30">
        <v>7.0</v>
      </c>
      <c r="B19" s="31" t="s">
        <v>1076</v>
      </c>
      <c r="C19" s="32" t="s">
        <v>1077</v>
      </c>
      <c r="D19" s="33"/>
      <c r="E19" s="34"/>
      <c r="F19" s="33"/>
      <c r="G19" s="33"/>
      <c r="H19" s="33"/>
      <c r="I19" s="33"/>
      <c r="J19" s="33"/>
      <c r="K19" s="33"/>
      <c r="L19" s="33"/>
      <c r="M19" s="33"/>
      <c r="N19" s="33"/>
      <c r="O19" s="33"/>
      <c r="P19" s="33"/>
      <c r="Q19" s="33"/>
      <c r="R19" s="33"/>
      <c r="S19" s="35" t="str">
        <f t="shared" si="1"/>
        <v>#DIV/0!</v>
      </c>
      <c r="T19" s="36" t="str">
        <f t="shared" si="2"/>
        <v>#DIV/0!</v>
      </c>
      <c r="U19" s="37" t="str">
        <f t="shared" si="3"/>
        <v>#DIV/0!</v>
      </c>
      <c r="V19" s="38"/>
      <c r="W19" s="38" t="str">
        <f t="shared" si="4"/>
        <v>#DIV/0!</v>
      </c>
      <c r="X19" s="39" t="str">
        <f t="shared" si="5"/>
        <v>#DIV/0!</v>
      </c>
      <c r="Y19" s="40"/>
      <c r="Z19" s="41">
        <v>1.0</v>
      </c>
      <c r="AA19" s="42" t="str">
        <f t="shared" si="6"/>
        <v>#DIV/0!</v>
      </c>
      <c r="AB19" s="60"/>
      <c r="AC19" s="60"/>
      <c r="AD19" s="60"/>
      <c r="AE19" s="60"/>
    </row>
    <row r="20" ht="14.25" customHeight="1">
      <c r="A20" s="30">
        <v>8.0</v>
      </c>
      <c r="B20" s="31" t="s">
        <v>1078</v>
      </c>
      <c r="C20" s="32" t="s">
        <v>1079</v>
      </c>
      <c r="D20" s="33"/>
      <c r="E20" s="34"/>
      <c r="F20" s="33"/>
      <c r="G20" s="33"/>
      <c r="H20" s="33"/>
      <c r="I20" s="33"/>
      <c r="J20" s="33"/>
      <c r="K20" s="33"/>
      <c r="L20" s="33"/>
      <c r="M20" s="33"/>
      <c r="N20" s="33"/>
      <c r="O20" s="33"/>
      <c r="P20" s="33"/>
      <c r="Q20" s="33"/>
      <c r="R20" s="33"/>
      <c r="S20" s="35" t="str">
        <f t="shared" si="1"/>
        <v>#DIV/0!</v>
      </c>
      <c r="T20" s="36" t="str">
        <f t="shared" si="2"/>
        <v>#DIV/0!</v>
      </c>
      <c r="U20" s="37" t="str">
        <f t="shared" si="3"/>
        <v>#DIV/0!</v>
      </c>
      <c r="V20" s="38"/>
      <c r="W20" s="38" t="str">
        <f t="shared" si="4"/>
        <v>#DIV/0!</v>
      </c>
      <c r="X20" s="39" t="str">
        <f t="shared" si="5"/>
        <v>#DIV/0!</v>
      </c>
      <c r="Y20" s="40"/>
      <c r="Z20" s="41">
        <v>1.0</v>
      </c>
      <c r="AA20" s="42" t="str">
        <f t="shared" si="6"/>
        <v>#DIV/0!</v>
      </c>
      <c r="AB20" s="60"/>
      <c r="AC20" s="60"/>
      <c r="AD20" s="60"/>
      <c r="AE20" s="60"/>
    </row>
    <row r="21" ht="14.25" customHeight="1">
      <c r="A21" s="30">
        <v>9.0</v>
      </c>
      <c r="B21" s="31" t="s">
        <v>1080</v>
      </c>
      <c r="C21" s="32" t="s">
        <v>1081</v>
      </c>
      <c r="D21" s="33"/>
      <c r="E21" s="34"/>
      <c r="F21" s="33"/>
      <c r="G21" s="33"/>
      <c r="H21" s="33"/>
      <c r="I21" s="33"/>
      <c r="J21" s="33"/>
      <c r="K21" s="33"/>
      <c r="L21" s="33"/>
      <c r="M21" s="33"/>
      <c r="N21" s="33"/>
      <c r="O21" s="33"/>
      <c r="P21" s="33"/>
      <c r="Q21" s="33"/>
      <c r="R21" s="33"/>
      <c r="S21" s="35" t="str">
        <f t="shared" si="1"/>
        <v>#DIV/0!</v>
      </c>
      <c r="T21" s="36" t="str">
        <f t="shared" si="2"/>
        <v>#DIV/0!</v>
      </c>
      <c r="U21" s="37" t="str">
        <f t="shared" si="3"/>
        <v>#DIV/0!</v>
      </c>
      <c r="V21" s="38"/>
      <c r="W21" s="38" t="str">
        <f t="shared" si="4"/>
        <v>#DIV/0!</v>
      </c>
      <c r="X21" s="39" t="str">
        <f t="shared" si="5"/>
        <v>#DIV/0!</v>
      </c>
      <c r="Y21" s="40"/>
      <c r="Z21" s="41">
        <v>1.0</v>
      </c>
      <c r="AA21" s="42" t="str">
        <f t="shared" si="6"/>
        <v>#DIV/0!</v>
      </c>
      <c r="AB21" s="60"/>
      <c r="AC21" s="60"/>
      <c r="AD21" s="60"/>
      <c r="AE21" s="60"/>
    </row>
    <row r="22" ht="14.25" customHeight="1">
      <c r="A22" s="30">
        <v>10.0</v>
      </c>
      <c r="B22" s="31" t="s">
        <v>1082</v>
      </c>
      <c r="C22" s="32" t="s">
        <v>1083</v>
      </c>
      <c r="D22" s="33"/>
      <c r="E22" s="34"/>
      <c r="F22" s="33"/>
      <c r="G22" s="33"/>
      <c r="H22" s="33"/>
      <c r="I22" s="33"/>
      <c r="J22" s="33"/>
      <c r="K22" s="33"/>
      <c r="L22" s="33"/>
      <c r="M22" s="33"/>
      <c r="N22" s="33"/>
      <c r="O22" s="33"/>
      <c r="P22" s="33"/>
      <c r="Q22" s="33"/>
      <c r="R22" s="33"/>
      <c r="S22" s="35" t="str">
        <f t="shared" si="1"/>
        <v>#DIV/0!</v>
      </c>
      <c r="T22" s="36" t="str">
        <f t="shared" si="2"/>
        <v>#DIV/0!</v>
      </c>
      <c r="U22" s="37" t="str">
        <f t="shared" si="3"/>
        <v>#DIV/0!</v>
      </c>
      <c r="V22" s="38"/>
      <c r="W22" s="38" t="str">
        <f t="shared" si="4"/>
        <v>#DIV/0!</v>
      </c>
      <c r="X22" s="39" t="str">
        <f t="shared" si="5"/>
        <v>#DIV/0!</v>
      </c>
      <c r="Y22" s="40"/>
      <c r="Z22" s="41">
        <v>1.0</v>
      </c>
      <c r="AA22" s="42" t="str">
        <f t="shared" si="6"/>
        <v>#DIV/0!</v>
      </c>
      <c r="AB22" s="60"/>
      <c r="AC22" s="60"/>
      <c r="AD22" s="60"/>
      <c r="AE22" s="60"/>
    </row>
    <row r="23" ht="14.25" customHeight="1">
      <c r="A23" s="30">
        <v>11.0</v>
      </c>
      <c r="B23" s="31" t="s">
        <v>1084</v>
      </c>
      <c r="C23" s="32" t="s">
        <v>1085</v>
      </c>
      <c r="D23" s="33"/>
      <c r="E23" s="34"/>
      <c r="F23" s="33"/>
      <c r="G23" s="33"/>
      <c r="H23" s="33"/>
      <c r="I23" s="33"/>
      <c r="J23" s="33"/>
      <c r="K23" s="33"/>
      <c r="L23" s="33"/>
      <c r="M23" s="33"/>
      <c r="N23" s="33"/>
      <c r="O23" s="33"/>
      <c r="P23" s="33"/>
      <c r="Q23" s="33"/>
      <c r="R23" s="33"/>
      <c r="S23" s="35" t="str">
        <f t="shared" si="1"/>
        <v>#DIV/0!</v>
      </c>
      <c r="T23" s="36" t="str">
        <f t="shared" si="2"/>
        <v>#DIV/0!</v>
      </c>
      <c r="U23" s="37" t="str">
        <f t="shared" si="3"/>
        <v>#DIV/0!</v>
      </c>
      <c r="V23" s="38"/>
      <c r="W23" s="38" t="str">
        <f t="shared" si="4"/>
        <v>#DIV/0!</v>
      </c>
      <c r="X23" s="39" t="str">
        <f t="shared" si="5"/>
        <v>#DIV/0!</v>
      </c>
      <c r="Y23" s="40"/>
      <c r="Z23" s="41">
        <v>1.0</v>
      </c>
      <c r="AA23" s="42" t="str">
        <f t="shared" si="6"/>
        <v>#DIV/0!</v>
      </c>
      <c r="AB23" s="60"/>
      <c r="AC23" s="60"/>
      <c r="AD23" s="60"/>
      <c r="AE23" s="60"/>
    </row>
    <row r="24" ht="14.25" customHeight="1">
      <c r="A24" s="30">
        <v>12.0</v>
      </c>
      <c r="B24" s="31" t="s">
        <v>1086</v>
      </c>
      <c r="C24" s="32" t="s">
        <v>1087</v>
      </c>
      <c r="D24" s="33"/>
      <c r="E24" s="34"/>
      <c r="F24" s="33"/>
      <c r="G24" s="33"/>
      <c r="H24" s="33"/>
      <c r="I24" s="33"/>
      <c r="J24" s="33"/>
      <c r="K24" s="33"/>
      <c r="L24" s="33"/>
      <c r="M24" s="33"/>
      <c r="N24" s="33"/>
      <c r="O24" s="33"/>
      <c r="P24" s="33"/>
      <c r="Q24" s="33"/>
      <c r="R24" s="33"/>
      <c r="S24" s="35" t="str">
        <f t="shared" si="1"/>
        <v>#DIV/0!</v>
      </c>
      <c r="T24" s="36" t="str">
        <f t="shared" si="2"/>
        <v>#DIV/0!</v>
      </c>
      <c r="U24" s="37" t="str">
        <f t="shared" si="3"/>
        <v>#DIV/0!</v>
      </c>
      <c r="V24" s="38"/>
      <c r="W24" s="38" t="str">
        <f t="shared" si="4"/>
        <v>#DIV/0!</v>
      </c>
      <c r="X24" s="39" t="str">
        <f t="shared" si="5"/>
        <v>#DIV/0!</v>
      </c>
      <c r="Y24" s="40"/>
      <c r="Z24" s="41">
        <v>1.0</v>
      </c>
      <c r="AA24" s="42" t="str">
        <f t="shared" si="6"/>
        <v>#DIV/0!</v>
      </c>
      <c r="AB24" s="60"/>
      <c r="AC24" s="60"/>
      <c r="AD24" s="60"/>
      <c r="AE24" s="60"/>
    </row>
    <row r="25" ht="14.25" customHeight="1">
      <c r="A25" s="30">
        <v>13.0</v>
      </c>
      <c r="B25" s="31" t="s">
        <v>1088</v>
      </c>
      <c r="C25" s="32" t="s">
        <v>1089</v>
      </c>
      <c r="D25" s="33"/>
      <c r="E25" s="34"/>
      <c r="F25" s="33"/>
      <c r="G25" s="33"/>
      <c r="H25" s="33"/>
      <c r="I25" s="33"/>
      <c r="J25" s="33"/>
      <c r="K25" s="33"/>
      <c r="L25" s="33"/>
      <c r="M25" s="33"/>
      <c r="N25" s="33"/>
      <c r="O25" s="33"/>
      <c r="P25" s="33"/>
      <c r="Q25" s="33"/>
      <c r="R25" s="33"/>
      <c r="S25" s="35" t="str">
        <f t="shared" si="1"/>
        <v>#DIV/0!</v>
      </c>
      <c r="T25" s="36" t="str">
        <f t="shared" si="2"/>
        <v>#DIV/0!</v>
      </c>
      <c r="U25" s="37" t="str">
        <f t="shared" si="3"/>
        <v>#DIV/0!</v>
      </c>
      <c r="V25" s="38"/>
      <c r="W25" s="38" t="str">
        <f t="shared" si="4"/>
        <v>#DIV/0!</v>
      </c>
      <c r="X25" s="39" t="str">
        <f t="shared" si="5"/>
        <v>#DIV/0!</v>
      </c>
      <c r="Y25" s="40"/>
      <c r="Z25" s="41">
        <v>1.0</v>
      </c>
      <c r="AA25" s="42" t="str">
        <f t="shared" si="6"/>
        <v>#DIV/0!</v>
      </c>
      <c r="AB25" s="60"/>
      <c r="AC25" s="60"/>
      <c r="AD25" s="60"/>
      <c r="AE25" s="60"/>
    </row>
    <row r="26" ht="14.25" customHeight="1">
      <c r="A26" s="30">
        <v>14.0</v>
      </c>
      <c r="B26" s="31" t="s">
        <v>1090</v>
      </c>
      <c r="C26" s="32" t="s">
        <v>1091</v>
      </c>
      <c r="D26" s="33"/>
      <c r="E26" s="34"/>
      <c r="F26" s="33"/>
      <c r="G26" s="33"/>
      <c r="H26" s="33"/>
      <c r="I26" s="33"/>
      <c r="J26" s="33"/>
      <c r="K26" s="33"/>
      <c r="L26" s="33"/>
      <c r="M26" s="33"/>
      <c r="N26" s="33"/>
      <c r="O26" s="33"/>
      <c r="P26" s="33"/>
      <c r="Q26" s="33"/>
      <c r="R26" s="33"/>
      <c r="S26" s="35" t="str">
        <f t="shared" si="1"/>
        <v>#DIV/0!</v>
      </c>
      <c r="T26" s="36" t="str">
        <f t="shared" si="2"/>
        <v>#DIV/0!</v>
      </c>
      <c r="U26" s="37" t="str">
        <f t="shared" si="3"/>
        <v>#DIV/0!</v>
      </c>
      <c r="V26" s="38"/>
      <c r="W26" s="38" t="str">
        <f t="shared" si="4"/>
        <v>#DIV/0!</v>
      </c>
      <c r="X26" s="39" t="str">
        <f t="shared" si="5"/>
        <v>#DIV/0!</v>
      </c>
      <c r="Y26" s="40"/>
      <c r="Z26" s="41">
        <v>1.0</v>
      </c>
      <c r="AA26" s="42" t="str">
        <f t="shared" si="6"/>
        <v>#DIV/0!</v>
      </c>
      <c r="AB26" s="60"/>
      <c r="AC26" s="60"/>
      <c r="AD26" s="60"/>
      <c r="AE26" s="60"/>
    </row>
    <row r="27" ht="14.25" customHeight="1">
      <c r="A27" s="30">
        <v>15.0</v>
      </c>
      <c r="B27" s="31" t="s">
        <v>1092</v>
      </c>
      <c r="C27" s="32" t="s">
        <v>1093</v>
      </c>
      <c r="D27" s="33"/>
      <c r="E27" s="34"/>
      <c r="F27" s="33"/>
      <c r="G27" s="33"/>
      <c r="H27" s="33"/>
      <c r="I27" s="33"/>
      <c r="J27" s="33"/>
      <c r="K27" s="33"/>
      <c r="L27" s="33"/>
      <c r="M27" s="33"/>
      <c r="N27" s="33"/>
      <c r="O27" s="33"/>
      <c r="P27" s="33"/>
      <c r="Q27" s="33"/>
      <c r="R27" s="33"/>
      <c r="S27" s="35" t="str">
        <f t="shared" si="1"/>
        <v>#DIV/0!</v>
      </c>
      <c r="T27" s="36" t="str">
        <f t="shared" si="2"/>
        <v>#DIV/0!</v>
      </c>
      <c r="U27" s="37" t="str">
        <f t="shared" si="3"/>
        <v>#DIV/0!</v>
      </c>
      <c r="V27" s="38"/>
      <c r="W27" s="38" t="str">
        <f t="shared" si="4"/>
        <v>#DIV/0!</v>
      </c>
      <c r="X27" s="39" t="str">
        <f t="shared" si="5"/>
        <v>#DIV/0!</v>
      </c>
      <c r="Y27" s="40"/>
      <c r="Z27" s="41">
        <v>1.0</v>
      </c>
      <c r="AA27" s="42" t="str">
        <f t="shared" si="6"/>
        <v>#DIV/0!</v>
      </c>
      <c r="AB27" s="60"/>
      <c r="AC27" s="60"/>
      <c r="AD27" s="60"/>
      <c r="AE27" s="60"/>
    </row>
    <row r="28" ht="14.25" customHeight="1">
      <c r="A28" s="30">
        <v>16.0</v>
      </c>
      <c r="B28" s="31" t="s">
        <v>1094</v>
      </c>
      <c r="C28" s="32" t="s">
        <v>1095</v>
      </c>
      <c r="D28" s="33"/>
      <c r="E28" s="34"/>
      <c r="F28" s="33"/>
      <c r="G28" s="33"/>
      <c r="H28" s="33"/>
      <c r="I28" s="33"/>
      <c r="J28" s="33"/>
      <c r="K28" s="33"/>
      <c r="L28" s="33"/>
      <c r="M28" s="33"/>
      <c r="N28" s="33"/>
      <c r="O28" s="33"/>
      <c r="P28" s="33"/>
      <c r="Q28" s="33"/>
      <c r="R28" s="33"/>
      <c r="S28" s="35" t="str">
        <f t="shared" si="1"/>
        <v>#DIV/0!</v>
      </c>
      <c r="T28" s="36" t="str">
        <f t="shared" si="2"/>
        <v>#DIV/0!</v>
      </c>
      <c r="U28" s="37" t="str">
        <f t="shared" si="3"/>
        <v>#DIV/0!</v>
      </c>
      <c r="V28" s="38"/>
      <c r="W28" s="38" t="str">
        <f t="shared" si="4"/>
        <v>#DIV/0!</v>
      </c>
      <c r="X28" s="39" t="str">
        <f t="shared" si="5"/>
        <v>#DIV/0!</v>
      </c>
      <c r="Y28" s="40"/>
      <c r="Z28" s="41">
        <v>1.0</v>
      </c>
      <c r="AA28" s="42" t="str">
        <f t="shared" si="6"/>
        <v>#DIV/0!</v>
      </c>
      <c r="AB28" s="60"/>
      <c r="AC28" s="60"/>
      <c r="AD28" s="60"/>
      <c r="AE28" s="60"/>
    </row>
    <row r="29" ht="14.25" customHeight="1">
      <c r="A29" s="30">
        <v>17.0</v>
      </c>
      <c r="B29" s="31" t="s">
        <v>1096</v>
      </c>
      <c r="C29" s="32" t="s">
        <v>1097</v>
      </c>
      <c r="D29" s="33"/>
      <c r="E29" s="34"/>
      <c r="F29" s="33"/>
      <c r="G29" s="33"/>
      <c r="H29" s="33"/>
      <c r="I29" s="33"/>
      <c r="J29" s="33"/>
      <c r="K29" s="33"/>
      <c r="L29" s="33"/>
      <c r="M29" s="33"/>
      <c r="N29" s="33"/>
      <c r="O29" s="33"/>
      <c r="P29" s="33"/>
      <c r="Q29" s="33"/>
      <c r="R29" s="33"/>
      <c r="S29" s="35" t="str">
        <f t="shared" si="1"/>
        <v>#DIV/0!</v>
      </c>
      <c r="T29" s="36" t="str">
        <f t="shared" si="2"/>
        <v>#DIV/0!</v>
      </c>
      <c r="U29" s="37" t="str">
        <f t="shared" si="3"/>
        <v>#DIV/0!</v>
      </c>
      <c r="V29" s="38"/>
      <c r="W29" s="38" t="str">
        <f t="shared" si="4"/>
        <v>#DIV/0!</v>
      </c>
      <c r="X29" s="39" t="str">
        <f t="shared" si="5"/>
        <v>#DIV/0!</v>
      </c>
      <c r="Y29" s="40"/>
      <c r="Z29" s="41">
        <v>1.0</v>
      </c>
      <c r="AA29" s="42" t="str">
        <f t="shared" si="6"/>
        <v>#DIV/0!</v>
      </c>
      <c r="AB29" s="60"/>
      <c r="AC29" s="60"/>
      <c r="AD29" s="60"/>
      <c r="AE29" s="60"/>
    </row>
    <row r="30" ht="14.25" customHeight="1">
      <c r="A30" s="30">
        <v>18.0</v>
      </c>
      <c r="B30" s="31" t="s">
        <v>1098</v>
      </c>
      <c r="C30" s="32" t="s">
        <v>1099</v>
      </c>
      <c r="D30" s="33"/>
      <c r="E30" s="34"/>
      <c r="F30" s="33"/>
      <c r="G30" s="33"/>
      <c r="H30" s="33"/>
      <c r="I30" s="33"/>
      <c r="J30" s="33"/>
      <c r="K30" s="33"/>
      <c r="L30" s="33"/>
      <c r="M30" s="33"/>
      <c r="N30" s="33"/>
      <c r="O30" s="33"/>
      <c r="P30" s="33"/>
      <c r="Q30" s="33"/>
      <c r="R30" s="33"/>
      <c r="S30" s="35" t="str">
        <f t="shared" si="1"/>
        <v>#DIV/0!</v>
      </c>
      <c r="T30" s="36" t="str">
        <f t="shared" si="2"/>
        <v>#DIV/0!</v>
      </c>
      <c r="U30" s="37" t="str">
        <f t="shared" si="3"/>
        <v>#DIV/0!</v>
      </c>
      <c r="V30" s="38"/>
      <c r="W30" s="38" t="str">
        <f t="shared" si="4"/>
        <v>#DIV/0!</v>
      </c>
      <c r="X30" s="39" t="str">
        <f t="shared" si="5"/>
        <v>#DIV/0!</v>
      </c>
      <c r="Y30" s="40"/>
      <c r="Z30" s="41">
        <v>1.0</v>
      </c>
      <c r="AA30" s="42" t="str">
        <f t="shared" si="6"/>
        <v>#DIV/0!</v>
      </c>
      <c r="AB30" s="60"/>
      <c r="AC30" s="60"/>
      <c r="AD30" s="60"/>
      <c r="AE30" s="60"/>
    </row>
    <row r="31" ht="14.25" customHeight="1">
      <c r="A31" s="30">
        <v>19.0</v>
      </c>
      <c r="B31" s="31" t="s">
        <v>1100</v>
      </c>
      <c r="C31" s="32" t="s">
        <v>1101</v>
      </c>
      <c r="D31" s="33"/>
      <c r="E31" s="34"/>
      <c r="F31" s="33"/>
      <c r="G31" s="33"/>
      <c r="H31" s="33"/>
      <c r="I31" s="33"/>
      <c r="J31" s="33"/>
      <c r="K31" s="33"/>
      <c r="L31" s="33"/>
      <c r="M31" s="33"/>
      <c r="N31" s="33"/>
      <c r="O31" s="33"/>
      <c r="P31" s="33"/>
      <c r="Q31" s="33"/>
      <c r="R31" s="33"/>
      <c r="S31" s="35" t="str">
        <f t="shared" si="1"/>
        <v>#DIV/0!</v>
      </c>
      <c r="T31" s="36" t="str">
        <f t="shared" si="2"/>
        <v>#DIV/0!</v>
      </c>
      <c r="U31" s="37" t="str">
        <f t="shared" si="3"/>
        <v>#DIV/0!</v>
      </c>
      <c r="V31" s="38"/>
      <c r="W31" s="38" t="str">
        <f t="shared" si="4"/>
        <v>#DIV/0!</v>
      </c>
      <c r="X31" s="39" t="str">
        <f t="shared" si="5"/>
        <v>#DIV/0!</v>
      </c>
      <c r="Y31" s="40"/>
      <c r="Z31" s="41">
        <v>1.0</v>
      </c>
      <c r="AA31" s="42" t="str">
        <f t="shared" si="6"/>
        <v>#DIV/0!</v>
      </c>
      <c r="AB31" s="60"/>
      <c r="AC31" s="60"/>
      <c r="AD31" s="60"/>
      <c r="AE31" s="60"/>
    </row>
    <row r="32" ht="14.25" customHeight="1">
      <c r="A32" s="30">
        <v>20.0</v>
      </c>
      <c r="B32" s="31" t="s">
        <v>1102</v>
      </c>
      <c r="C32" s="32" t="s">
        <v>1103</v>
      </c>
      <c r="D32" s="33"/>
      <c r="E32" s="34"/>
      <c r="F32" s="33"/>
      <c r="G32" s="33"/>
      <c r="H32" s="33"/>
      <c r="I32" s="33"/>
      <c r="J32" s="33"/>
      <c r="K32" s="33"/>
      <c r="L32" s="33"/>
      <c r="M32" s="33"/>
      <c r="N32" s="33"/>
      <c r="O32" s="33"/>
      <c r="P32" s="33"/>
      <c r="Q32" s="33"/>
      <c r="R32" s="33"/>
      <c r="S32" s="35" t="str">
        <f t="shared" si="1"/>
        <v>#DIV/0!</v>
      </c>
      <c r="T32" s="36" t="str">
        <f t="shared" si="2"/>
        <v>#DIV/0!</v>
      </c>
      <c r="U32" s="37" t="str">
        <f t="shared" si="3"/>
        <v>#DIV/0!</v>
      </c>
      <c r="V32" s="38"/>
      <c r="W32" s="38" t="str">
        <f t="shared" si="4"/>
        <v>#DIV/0!</v>
      </c>
      <c r="X32" s="39" t="str">
        <f t="shared" si="5"/>
        <v>#DIV/0!</v>
      </c>
      <c r="Y32" s="40"/>
      <c r="Z32" s="41">
        <v>1.0</v>
      </c>
      <c r="AA32" s="42" t="str">
        <f t="shared" si="6"/>
        <v>#DIV/0!</v>
      </c>
      <c r="AB32" s="60"/>
      <c r="AC32" s="60"/>
      <c r="AD32" s="60"/>
      <c r="AE32" s="60"/>
    </row>
    <row r="33" ht="14.25" customHeight="1">
      <c r="A33" s="30">
        <v>21.0</v>
      </c>
      <c r="B33" s="31" t="s">
        <v>1104</v>
      </c>
      <c r="C33" s="32" t="s">
        <v>1105</v>
      </c>
      <c r="D33" s="33"/>
      <c r="E33" s="34"/>
      <c r="F33" s="33"/>
      <c r="G33" s="33"/>
      <c r="H33" s="33"/>
      <c r="I33" s="33"/>
      <c r="J33" s="33"/>
      <c r="K33" s="33"/>
      <c r="L33" s="33"/>
      <c r="M33" s="33"/>
      <c r="N33" s="33"/>
      <c r="O33" s="33"/>
      <c r="P33" s="33"/>
      <c r="Q33" s="33"/>
      <c r="R33" s="33"/>
      <c r="S33" s="35" t="str">
        <f t="shared" si="1"/>
        <v>#DIV/0!</v>
      </c>
      <c r="T33" s="36" t="str">
        <f t="shared" si="2"/>
        <v>#DIV/0!</v>
      </c>
      <c r="U33" s="37" t="str">
        <f t="shared" si="3"/>
        <v>#DIV/0!</v>
      </c>
      <c r="V33" s="38"/>
      <c r="W33" s="38" t="str">
        <f t="shared" si="4"/>
        <v>#DIV/0!</v>
      </c>
      <c r="X33" s="39" t="str">
        <f t="shared" si="5"/>
        <v>#DIV/0!</v>
      </c>
      <c r="Y33" s="40"/>
      <c r="Z33" s="41">
        <v>1.0</v>
      </c>
      <c r="AA33" s="42" t="str">
        <f t="shared" si="6"/>
        <v>#DIV/0!</v>
      </c>
      <c r="AB33" s="60"/>
      <c r="AC33" s="60"/>
      <c r="AD33" s="60"/>
      <c r="AE33" s="60"/>
    </row>
    <row r="34" ht="14.25" customHeight="1">
      <c r="A34" s="30">
        <v>22.0</v>
      </c>
      <c r="B34" s="31" t="s">
        <v>1106</v>
      </c>
      <c r="C34" s="32" t="s">
        <v>1107</v>
      </c>
      <c r="D34" s="33"/>
      <c r="E34" s="34"/>
      <c r="F34" s="33"/>
      <c r="G34" s="33"/>
      <c r="H34" s="33"/>
      <c r="I34" s="33"/>
      <c r="J34" s="33"/>
      <c r="K34" s="33"/>
      <c r="L34" s="33"/>
      <c r="M34" s="33"/>
      <c r="N34" s="33"/>
      <c r="O34" s="33"/>
      <c r="P34" s="33"/>
      <c r="Q34" s="33"/>
      <c r="R34" s="33"/>
      <c r="S34" s="35" t="str">
        <f t="shared" si="1"/>
        <v>#DIV/0!</v>
      </c>
      <c r="T34" s="36" t="str">
        <f t="shared" si="2"/>
        <v>#DIV/0!</v>
      </c>
      <c r="U34" s="37" t="str">
        <f t="shared" si="3"/>
        <v>#DIV/0!</v>
      </c>
      <c r="V34" s="38"/>
      <c r="W34" s="38" t="str">
        <f t="shared" si="4"/>
        <v>#DIV/0!</v>
      </c>
      <c r="X34" s="39" t="str">
        <f t="shared" si="5"/>
        <v>#DIV/0!</v>
      </c>
      <c r="Y34" s="40"/>
      <c r="Z34" s="41">
        <v>1.0</v>
      </c>
      <c r="AA34" s="42" t="str">
        <f t="shared" si="6"/>
        <v>#DIV/0!</v>
      </c>
      <c r="AB34" s="60"/>
      <c r="AC34" s="60"/>
      <c r="AD34" s="60"/>
      <c r="AE34" s="60"/>
    </row>
    <row r="35" ht="14.25" customHeight="1">
      <c r="A35" s="30">
        <v>23.0</v>
      </c>
      <c r="B35" s="31" t="s">
        <v>1108</v>
      </c>
      <c r="C35" s="32" t="s">
        <v>1109</v>
      </c>
      <c r="D35" s="33"/>
      <c r="E35" s="34"/>
      <c r="F35" s="33"/>
      <c r="G35" s="33"/>
      <c r="H35" s="33"/>
      <c r="I35" s="33"/>
      <c r="J35" s="33"/>
      <c r="K35" s="33"/>
      <c r="L35" s="33"/>
      <c r="M35" s="33"/>
      <c r="N35" s="33"/>
      <c r="O35" s="33"/>
      <c r="P35" s="33"/>
      <c r="Q35" s="33"/>
      <c r="R35" s="33"/>
      <c r="S35" s="35" t="str">
        <f t="shared" si="1"/>
        <v>#DIV/0!</v>
      </c>
      <c r="T35" s="36" t="str">
        <f t="shared" si="2"/>
        <v>#DIV/0!</v>
      </c>
      <c r="U35" s="37" t="str">
        <f t="shared" si="3"/>
        <v>#DIV/0!</v>
      </c>
      <c r="V35" s="38"/>
      <c r="W35" s="38" t="str">
        <f t="shared" si="4"/>
        <v>#DIV/0!</v>
      </c>
      <c r="X35" s="39" t="str">
        <f t="shared" si="5"/>
        <v>#DIV/0!</v>
      </c>
      <c r="Y35" s="40"/>
      <c r="Z35" s="41">
        <v>1.0</v>
      </c>
      <c r="AA35" s="42" t="str">
        <f t="shared" si="6"/>
        <v>#DIV/0!</v>
      </c>
      <c r="AB35" s="60"/>
      <c r="AC35" s="60"/>
      <c r="AD35" s="60"/>
      <c r="AE35" s="60"/>
    </row>
    <row r="36" ht="14.25" customHeight="1">
      <c r="A36" s="30">
        <v>24.0</v>
      </c>
      <c r="B36" s="31" t="s">
        <v>1110</v>
      </c>
      <c r="C36" s="32" t="s">
        <v>1111</v>
      </c>
      <c r="D36" s="33"/>
      <c r="E36" s="34"/>
      <c r="F36" s="33"/>
      <c r="G36" s="33"/>
      <c r="H36" s="33"/>
      <c r="I36" s="33"/>
      <c r="J36" s="33"/>
      <c r="K36" s="33"/>
      <c r="L36" s="33"/>
      <c r="M36" s="33"/>
      <c r="N36" s="33"/>
      <c r="O36" s="33"/>
      <c r="P36" s="33"/>
      <c r="Q36" s="33"/>
      <c r="R36" s="33"/>
      <c r="S36" s="35" t="str">
        <f t="shared" si="1"/>
        <v>#DIV/0!</v>
      </c>
      <c r="T36" s="36" t="str">
        <f t="shared" si="2"/>
        <v>#DIV/0!</v>
      </c>
      <c r="U36" s="37" t="str">
        <f t="shared" si="3"/>
        <v>#DIV/0!</v>
      </c>
      <c r="V36" s="38"/>
      <c r="W36" s="38" t="str">
        <f t="shared" si="4"/>
        <v>#DIV/0!</v>
      </c>
      <c r="X36" s="39" t="str">
        <f t="shared" si="5"/>
        <v>#DIV/0!</v>
      </c>
      <c r="Y36" s="40"/>
      <c r="Z36" s="41">
        <v>1.0</v>
      </c>
      <c r="AA36" s="42" t="str">
        <f t="shared" si="6"/>
        <v>#DIV/0!</v>
      </c>
      <c r="AB36" s="60"/>
      <c r="AC36" s="60"/>
      <c r="AD36" s="60"/>
      <c r="AE36" s="60"/>
    </row>
    <row r="37" ht="14.25" customHeight="1">
      <c r="A37" s="30">
        <v>25.0</v>
      </c>
      <c r="B37" s="31" t="s">
        <v>1112</v>
      </c>
      <c r="C37" s="32" t="s">
        <v>1113</v>
      </c>
      <c r="D37" s="33"/>
      <c r="E37" s="34"/>
      <c r="F37" s="33"/>
      <c r="G37" s="33"/>
      <c r="H37" s="33"/>
      <c r="I37" s="33"/>
      <c r="J37" s="33"/>
      <c r="K37" s="33"/>
      <c r="L37" s="33"/>
      <c r="M37" s="33"/>
      <c r="N37" s="33"/>
      <c r="O37" s="33"/>
      <c r="P37" s="33"/>
      <c r="Q37" s="33"/>
      <c r="R37" s="33"/>
      <c r="S37" s="35" t="str">
        <f t="shared" si="1"/>
        <v>#DIV/0!</v>
      </c>
      <c r="T37" s="36" t="str">
        <f t="shared" si="2"/>
        <v>#DIV/0!</v>
      </c>
      <c r="U37" s="37" t="str">
        <f t="shared" si="3"/>
        <v>#DIV/0!</v>
      </c>
      <c r="V37" s="38"/>
      <c r="W37" s="38" t="str">
        <f t="shared" si="4"/>
        <v>#DIV/0!</v>
      </c>
      <c r="X37" s="39" t="str">
        <f t="shared" si="5"/>
        <v>#DIV/0!</v>
      </c>
      <c r="Y37" s="40"/>
      <c r="Z37" s="41">
        <v>1.0</v>
      </c>
      <c r="AA37" s="42" t="str">
        <f t="shared" si="6"/>
        <v>#DIV/0!</v>
      </c>
      <c r="AB37" s="60"/>
      <c r="AC37" s="60"/>
      <c r="AD37" s="60"/>
      <c r="AE37" s="60"/>
    </row>
    <row r="38" ht="14.25" customHeight="1">
      <c r="A38" s="30">
        <v>26.0</v>
      </c>
      <c r="B38" s="31" t="s">
        <v>1114</v>
      </c>
      <c r="C38" s="32" t="s">
        <v>1115</v>
      </c>
      <c r="D38" s="33"/>
      <c r="E38" s="34"/>
      <c r="F38" s="33"/>
      <c r="G38" s="33"/>
      <c r="H38" s="33"/>
      <c r="I38" s="33"/>
      <c r="J38" s="33"/>
      <c r="K38" s="33"/>
      <c r="L38" s="33"/>
      <c r="M38" s="33"/>
      <c r="N38" s="33"/>
      <c r="O38" s="33"/>
      <c r="P38" s="33"/>
      <c r="Q38" s="33"/>
      <c r="R38" s="33"/>
      <c r="S38" s="35" t="str">
        <f t="shared" si="1"/>
        <v>#DIV/0!</v>
      </c>
      <c r="T38" s="36" t="str">
        <f t="shared" si="2"/>
        <v>#DIV/0!</v>
      </c>
      <c r="U38" s="37" t="str">
        <f t="shared" si="3"/>
        <v>#DIV/0!</v>
      </c>
      <c r="V38" s="38"/>
      <c r="W38" s="38" t="str">
        <f t="shared" si="4"/>
        <v>#DIV/0!</v>
      </c>
      <c r="X38" s="39" t="str">
        <f t="shared" si="5"/>
        <v>#DIV/0!</v>
      </c>
      <c r="Y38" s="40"/>
      <c r="Z38" s="41">
        <v>1.0</v>
      </c>
      <c r="AA38" s="42" t="str">
        <f t="shared" si="6"/>
        <v>#DIV/0!</v>
      </c>
      <c r="AB38" s="60"/>
      <c r="AC38" s="60"/>
      <c r="AD38" s="60"/>
      <c r="AE38" s="60"/>
    </row>
    <row r="39" ht="14.25" customHeight="1">
      <c r="A39" s="30">
        <v>27.0</v>
      </c>
      <c r="B39" s="31" t="s">
        <v>1116</v>
      </c>
      <c r="C39" s="32" t="s">
        <v>1117</v>
      </c>
      <c r="D39" s="33"/>
      <c r="E39" s="34"/>
      <c r="F39" s="33"/>
      <c r="G39" s="33"/>
      <c r="H39" s="33"/>
      <c r="I39" s="33"/>
      <c r="J39" s="33"/>
      <c r="K39" s="33"/>
      <c r="L39" s="33"/>
      <c r="M39" s="33"/>
      <c r="N39" s="33"/>
      <c r="O39" s="33"/>
      <c r="P39" s="33"/>
      <c r="Q39" s="33"/>
      <c r="R39" s="33"/>
      <c r="S39" s="35" t="str">
        <f t="shared" si="1"/>
        <v>#DIV/0!</v>
      </c>
      <c r="T39" s="36" t="str">
        <f t="shared" si="2"/>
        <v>#DIV/0!</v>
      </c>
      <c r="U39" s="37" t="str">
        <f t="shared" si="3"/>
        <v>#DIV/0!</v>
      </c>
      <c r="V39" s="38"/>
      <c r="W39" s="38" t="str">
        <f t="shared" si="4"/>
        <v>#DIV/0!</v>
      </c>
      <c r="X39" s="39" t="str">
        <f t="shared" si="5"/>
        <v>#DIV/0!</v>
      </c>
      <c r="Y39" s="40"/>
      <c r="Z39" s="41">
        <v>1.0</v>
      </c>
      <c r="AA39" s="42" t="str">
        <f t="shared" si="6"/>
        <v>#DIV/0!</v>
      </c>
      <c r="AB39" s="60"/>
      <c r="AC39" s="60"/>
      <c r="AD39" s="60"/>
      <c r="AE39" s="60"/>
    </row>
    <row r="40" ht="14.25" customHeight="1">
      <c r="A40" s="30">
        <v>28.0</v>
      </c>
      <c r="B40" s="31" t="s">
        <v>1118</v>
      </c>
      <c r="C40" s="32" t="s">
        <v>1119</v>
      </c>
      <c r="D40" s="33"/>
      <c r="E40" s="34"/>
      <c r="F40" s="33"/>
      <c r="G40" s="33"/>
      <c r="H40" s="33"/>
      <c r="I40" s="33"/>
      <c r="J40" s="33"/>
      <c r="K40" s="33"/>
      <c r="L40" s="33"/>
      <c r="M40" s="33"/>
      <c r="N40" s="33"/>
      <c r="O40" s="33"/>
      <c r="P40" s="33"/>
      <c r="Q40" s="33"/>
      <c r="R40" s="33"/>
      <c r="S40" s="35" t="str">
        <f t="shared" si="1"/>
        <v>#DIV/0!</v>
      </c>
      <c r="T40" s="36" t="str">
        <f t="shared" si="2"/>
        <v>#DIV/0!</v>
      </c>
      <c r="U40" s="37" t="str">
        <f t="shared" si="3"/>
        <v>#DIV/0!</v>
      </c>
      <c r="V40" s="38"/>
      <c r="W40" s="38" t="str">
        <f t="shared" si="4"/>
        <v>#DIV/0!</v>
      </c>
      <c r="X40" s="39" t="str">
        <f t="shared" si="5"/>
        <v>#DIV/0!</v>
      </c>
      <c r="Y40" s="40"/>
      <c r="Z40" s="41">
        <v>1.0</v>
      </c>
      <c r="AA40" s="42" t="str">
        <f t="shared" si="6"/>
        <v>#DIV/0!</v>
      </c>
      <c r="AB40" s="60"/>
      <c r="AC40" s="60"/>
      <c r="AD40" s="60"/>
      <c r="AE40" s="60"/>
    </row>
    <row r="41" ht="14.25" customHeight="1">
      <c r="A41" s="30">
        <v>29.0</v>
      </c>
      <c r="B41" s="31" t="s">
        <v>1120</v>
      </c>
      <c r="C41" s="32" t="s">
        <v>1121</v>
      </c>
      <c r="D41" s="33"/>
      <c r="E41" s="34"/>
      <c r="F41" s="33"/>
      <c r="G41" s="33"/>
      <c r="H41" s="33"/>
      <c r="I41" s="33"/>
      <c r="J41" s="33"/>
      <c r="K41" s="33"/>
      <c r="L41" s="33"/>
      <c r="M41" s="33"/>
      <c r="N41" s="33"/>
      <c r="O41" s="33"/>
      <c r="P41" s="33"/>
      <c r="Q41" s="33"/>
      <c r="R41" s="33"/>
      <c r="S41" s="35" t="str">
        <f t="shared" si="1"/>
        <v>#DIV/0!</v>
      </c>
      <c r="T41" s="36" t="str">
        <f t="shared" si="2"/>
        <v>#DIV/0!</v>
      </c>
      <c r="U41" s="37" t="str">
        <f t="shared" si="3"/>
        <v>#DIV/0!</v>
      </c>
      <c r="V41" s="38"/>
      <c r="W41" s="38" t="str">
        <f t="shared" si="4"/>
        <v>#DIV/0!</v>
      </c>
      <c r="X41" s="39" t="str">
        <f t="shared" si="5"/>
        <v>#DIV/0!</v>
      </c>
      <c r="Y41" s="40"/>
      <c r="Z41" s="41">
        <v>1.0</v>
      </c>
      <c r="AA41" s="42" t="str">
        <f t="shared" si="6"/>
        <v>#DIV/0!</v>
      </c>
      <c r="AB41" s="60"/>
      <c r="AC41" s="60"/>
      <c r="AD41" s="60"/>
      <c r="AE41" s="60"/>
    </row>
    <row r="42" ht="14.25" customHeight="1">
      <c r="A42" s="30">
        <v>30.0</v>
      </c>
      <c r="B42" s="31" t="s">
        <v>1122</v>
      </c>
      <c r="C42" s="32" t="s">
        <v>1123</v>
      </c>
      <c r="D42" s="33"/>
      <c r="E42" s="34"/>
      <c r="F42" s="33"/>
      <c r="G42" s="33"/>
      <c r="H42" s="33"/>
      <c r="I42" s="33"/>
      <c r="J42" s="33"/>
      <c r="K42" s="33"/>
      <c r="L42" s="33"/>
      <c r="M42" s="33"/>
      <c r="N42" s="33"/>
      <c r="O42" s="33"/>
      <c r="P42" s="33"/>
      <c r="Q42" s="33"/>
      <c r="R42" s="33"/>
      <c r="S42" s="35" t="str">
        <f t="shared" si="1"/>
        <v>#DIV/0!</v>
      </c>
      <c r="T42" s="36" t="str">
        <f t="shared" si="2"/>
        <v>#DIV/0!</v>
      </c>
      <c r="U42" s="37" t="str">
        <f t="shared" si="3"/>
        <v>#DIV/0!</v>
      </c>
      <c r="V42" s="38"/>
      <c r="W42" s="38" t="str">
        <f t="shared" si="4"/>
        <v>#DIV/0!</v>
      </c>
      <c r="X42" s="39" t="str">
        <f t="shared" si="5"/>
        <v>#DIV/0!</v>
      </c>
      <c r="Y42" s="40"/>
      <c r="Z42" s="41">
        <v>1.0</v>
      </c>
      <c r="AA42" s="42" t="str">
        <f t="shared" si="6"/>
        <v>#DIV/0!</v>
      </c>
      <c r="AB42" s="60"/>
      <c r="AC42" s="60"/>
      <c r="AD42" s="60"/>
      <c r="AE42" s="60"/>
    </row>
    <row r="43" ht="14.25" customHeight="1">
      <c r="A43" s="30">
        <v>31.0</v>
      </c>
      <c r="B43" s="31" t="s">
        <v>1124</v>
      </c>
      <c r="C43" s="32" t="s">
        <v>1125</v>
      </c>
      <c r="D43" s="33"/>
      <c r="E43" s="34"/>
      <c r="F43" s="33"/>
      <c r="G43" s="33"/>
      <c r="H43" s="33"/>
      <c r="I43" s="33"/>
      <c r="J43" s="33"/>
      <c r="K43" s="33"/>
      <c r="L43" s="33"/>
      <c r="M43" s="33"/>
      <c r="N43" s="33"/>
      <c r="O43" s="33"/>
      <c r="P43" s="33"/>
      <c r="Q43" s="33"/>
      <c r="R43" s="33"/>
      <c r="S43" s="35" t="str">
        <f t="shared" si="1"/>
        <v>#DIV/0!</v>
      </c>
      <c r="T43" s="36" t="str">
        <f t="shared" si="2"/>
        <v>#DIV/0!</v>
      </c>
      <c r="U43" s="37" t="str">
        <f t="shared" si="3"/>
        <v>#DIV/0!</v>
      </c>
      <c r="V43" s="38"/>
      <c r="W43" s="38" t="str">
        <f t="shared" si="4"/>
        <v>#DIV/0!</v>
      </c>
      <c r="X43" s="39" t="str">
        <f t="shared" si="5"/>
        <v>#DIV/0!</v>
      </c>
      <c r="Y43" s="40"/>
      <c r="Z43" s="41">
        <v>1.0</v>
      </c>
      <c r="AA43" s="42" t="str">
        <f t="shared" si="6"/>
        <v>#DIV/0!</v>
      </c>
      <c r="AB43" s="60"/>
      <c r="AC43" s="60"/>
      <c r="AD43" s="60"/>
      <c r="AE43" s="60"/>
    </row>
    <row r="44" ht="14.25" customHeight="1">
      <c r="A44" s="30">
        <v>32.0</v>
      </c>
      <c r="B44" s="31" t="s">
        <v>1126</v>
      </c>
      <c r="C44" s="32" t="s">
        <v>1127</v>
      </c>
      <c r="D44" s="33"/>
      <c r="E44" s="34"/>
      <c r="F44" s="33"/>
      <c r="G44" s="33"/>
      <c r="H44" s="33"/>
      <c r="I44" s="33"/>
      <c r="J44" s="33"/>
      <c r="K44" s="33"/>
      <c r="L44" s="33"/>
      <c r="M44" s="33"/>
      <c r="N44" s="33"/>
      <c r="O44" s="33"/>
      <c r="P44" s="33"/>
      <c r="Q44" s="33"/>
      <c r="R44" s="33"/>
      <c r="S44" s="35" t="str">
        <f t="shared" si="1"/>
        <v>#DIV/0!</v>
      </c>
      <c r="T44" s="36" t="str">
        <f t="shared" si="2"/>
        <v>#DIV/0!</v>
      </c>
      <c r="U44" s="37" t="str">
        <f t="shared" si="3"/>
        <v>#DIV/0!</v>
      </c>
      <c r="V44" s="38"/>
      <c r="W44" s="38" t="str">
        <f t="shared" si="4"/>
        <v>#DIV/0!</v>
      </c>
      <c r="X44" s="39" t="str">
        <f t="shared" si="5"/>
        <v>#DIV/0!</v>
      </c>
      <c r="Y44" s="40"/>
      <c r="Z44" s="41">
        <v>1.0</v>
      </c>
      <c r="AA44" s="42" t="str">
        <f t="shared" si="6"/>
        <v>#DIV/0!</v>
      </c>
      <c r="AB44" s="60"/>
      <c r="AC44" s="60"/>
      <c r="AD44" s="60"/>
      <c r="AE44" s="60"/>
    </row>
    <row r="45" ht="14.25" customHeight="1">
      <c r="A45" s="30">
        <v>33.0</v>
      </c>
      <c r="B45" s="31" t="s">
        <v>1128</v>
      </c>
      <c r="C45" s="32" t="s">
        <v>1129</v>
      </c>
      <c r="D45" s="33"/>
      <c r="E45" s="34"/>
      <c r="F45" s="33"/>
      <c r="G45" s="33"/>
      <c r="H45" s="33"/>
      <c r="I45" s="33"/>
      <c r="J45" s="33"/>
      <c r="K45" s="33"/>
      <c r="L45" s="33"/>
      <c r="M45" s="33"/>
      <c r="N45" s="33"/>
      <c r="O45" s="33"/>
      <c r="P45" s="33"/>
      <c r="Q45" s="33"/>
      <c r="R45" s="33"/>
      <c r="S45" s="35" t="str">
        <f t="shared" si="1"/>
        <v>#DIV/0!</v>
      </c>
      <c r="T45" s="36" t="str">
        <f t="shared" si="2"/>
        <v>#DIV/0!</v>
      </c>
      <c r="U45" s="37" t="str">
        <f t="shared" si="3"/>
        <v>#DIV/0!</v>
      </c>
      <c r="V45" s="38"/>
      <c r="W45" s="38" t="str">
        <f t="shared" si="4"/>
        <v>#DIV/0!</v>
      </c>
      <c r="X45" s="39" t="str">
        <f t="shared" si="5"/>
        <v>#DIV/0!</v>
      </c>
      <c r="Y45" s="40"/>
      <c r="Z45" s="41">
        <v>1.0</v>
      </c>
      <c r="AA45" s="42" t="str">
        <f t="shared" si="6"/>
        <v>#DIV/0!</v>
      </c>
      <c r="AB45" s="60"/>
      <c r="AC45" s="60"/>
      <c r="AD45" s="60"/>
      <c r="AE45" s="60"/>
    </row>
    <row r="46" ht="14.25" customHeight="1">
      <c r="A46" s="30">
        <v>34.0</v>
      </c>
      <c r="B46" s="31" t="s">
        <v>1130</v>
      </c>
      <c r="C46" s="32" t="s">
        <v>1131</v>
      </c>
      <c r="D46" s="33"/>
      <c r="E46" s="34"/>
      <c r="F46" s="33"/>
      <c r="G46" s="33"/>
      <c r="H46" s="33"/>
      <c r="I46" s="33"/>
      <c r="J46" s="33"/>
      <c r="K46" s="33"/>
      <c r="L46" s="33"/>
      <c r="M46" s="33"/>
      <c r="N46" s="33"/>
      <c r="O46" s="33"/>
      <c r="P46" s="33"/>
      <c r="Q46" s="33"/>
      <c r="R46" s="33"/>
      <c r="S46" s="35" t="str">
        <f t="shared" si="1"/>
        <v>#DIV/0!</v>
      </c>
      <c r="T46" s="36" t="str">
        <f t="shared" si="2"/>
        <v>#DIV/0!</v>
      </c>
      <c r="U46" s="37" t="str">
        <f t="shared" si="3"/>
        <v>#DIV/0!</v>
      </c>
      <c r="V46" s="38"/>
      <c r="W46" s="38" t="str">
        <f t="shared" si="4"/>
        <v>#DIV/0!</v>
      </c>
      <c r="X46" s="39" t="str">
        <f t="shared" si="5"/>
        <v>#DIV/0!</v>
      </c>
      <c r="Y46" s="40"/>
      <c r="Z46" s="41">
        <v>1.0</v>
      </c>
      <c r="AA46" s="42" t="str">
        <f t="shared" si="6"/>
        <v>#DIV/0!</v>
      </c>
      <c r="AB46" s="60"/>
      <c r="AC46" s="60"/>
      <c r="AD46" s="60"/>
      <c r="AE46" s="60"/>
    </row>
    <row r="47" ht="14.25" customHeight="1">
      <c r="A47" s="30">
        <v>35.0</v>
      </c>
      <c r="B47" s="31" t="s">
        <v>1132</v>
      </c>
      <c r="C47" s="32" t="s">
        <v>1133</v>
      </c>
      <c r="D47" s="33"/>
      <c r="E47" s="34"/>
      <c r="F47" s="33"/>
      <c r="G47" s="33"/>
      <c r="H47" s="33"/>
      <c r="I47" s="33"/>
      <c r="J47" s="33"/>
      <c r="K47" s="33"/>
      <c r="L47" s="33"/>
      <c r="M47" s="33"/>
      <c r="N47" s="33"/>
      <c r="O47" s="33"/>
      <c r="P47" s="33"/>
      <c r="Q47" s="33"/>
      <c r="R47" s="33"/>
      <c r="S47" s="35" t="str">
        <f t="shared" si="1"/>
        <v>#DIV/0!</v>
      </c>
      <c r="T47" s="36" t="str">
        <f t="shared" si="2"/>
        <v>#DIV/0!</v>
      </c>
      <c r="U47" s="37" t="str">
        <f t="shared" si="3"/>
        <v>#DIV/0!</v>
      </c>
      <c r="V47" s="38"/>
      <c r="W47" s="38" t="str">
        <f t="shared" si="4"/>
        <v>#DIV/0!</v>
      </c>
      <c r="X47" s="39" t="str">
        <f t="shared" si="5"/>
        <v>#DIV/0!</v>
      </c>
      <c r="Y47" s="40"/>
      <c r="Z47" s="41">
        <v>1.0</v>
      </c>
      <c r="AA47" s="42" t="str">
        <f t="shared" si="6"/>
        <v>#DIV/0!</v>
      </c>
      <c r="AB47" s="60"/>
      <c r="AC47" s="60"/>
      <c r="AD47" s="60"/>
      <c r="AE47" s="60"/>
    </row>
    <row r="48" ht="14.25" customHeight="1">
      <c r="A48" s="30">
        <v>36.0</v>
      </c>
      <c r="B48" s="31" t="s">
        <v>1134</v>
      </c>
      <c r="C48" s="32" t="s">
        <v>1135</v>
      </c>
      <c r="D48" s="33"/>
      <c r="E48" s="34"/>
      <c r="F48" s="33"/>
      <c r="G48" s="33"/>
      <c r="H48" s="33"/>
      <c r="I48" s="33"/>
      <c r="J48" s="33"/>
      <c r="K48" s="33"/>
      <c r="L48" s="33"/>
      <c r="M48" s="33"/>
      <c r="N48" s="33"/>
      <c r="O48" s="33"/>
      <c r="P48" s="33"/>
      <c r="Q48" s="33"/>
      <c r="R48" s="33"/>
      <c r="S48" s="35" t="str">
        <f t="shared" si="1"/>
        <v>#DIV/0!</v>
      </c>
      <c r="T48" s="36" t="str">
        <f t="shared" si="2"/>
        <v>#DIV/0!</v>
      </c>
      <c r="U48" s="37" t="str">
        <f t="shared" si="3"/>
        <v>#DIV/0!</v>
      </c>
      <c r="V48" s="38"/>
      <c r="W48" s="38" t="str">
        <f t="shared" si="4"/>
        <v>#DIV/0!</v>
      </c>
      <c r="X48" s="39" t="str">
        <f t="shared" si="5"/>
        <v>#DIV/0!</v>
      </c>
      <c r="Y48" s="40"/>
      <c r="Z48" s="41">
        <v>1.0</v>
      </c>
      <c r="AA48" s="42" t="str">
        <f t="shared" si="6"/>
        <v>#DIV/0!</v>
      </c>
      <c r="AB48" s="60"/>
      <c r="AC48" s="60"/>
      <c r="AD48" s="60"/>
      <c r="AE48" s="60"/>
    </row>
    <row r="49" ht="14.25" customHeight="1">
      <c r="A49" s="30">
        <v>37.0</v>
      </c>
      <c r="B49" s="31" t="s">
        <v>1136</v>
      </c>
      <c r="C49" s="32" t="s">
        <v>1137</v>
      </c>
      <c r="D49" s="33"/>
      <c r="E49" s="34"/>
      <c r="F49" s="33"/>
      <c r="G49" s="33"/>
      <c r="H49" s="33"/>
      <c r="I49" s="33"/>
      <c r="J49" s="33"/>
      <c r="K49" s="33"/>
      <c r="L49" s="33"/>
      <c r="M49" s="33"/>
      <c r="N49" s="33"/>
      <c r="O49" s="33"/>
      <c r="P49" s="33"/>
      <c r="Q49" s="33"/>
      <c r="R49" s="33"/>
      <c r="S49" s="35" t="str">
        <f t="shared" si="1"/>
        <v>#DIV/0!</v>
      </c>
      <c r="T49" s="36" t="str">
        <f t="shared" si="2"/>
        <v>#DIV/0!</v>
      </c>
      <c r="U49" s="37" t="str">
        <f t="shared" si="3"/>
        <v>#DIV/0!</v>
      </c>
      <c r="V49" s="38"/>
      <c r="W49" s="38" t="str">
        <f t="shared" si="4"/>
        <v>#DIV/0!</v>
      </c>
      <c r="X49" s="39" t="str">
        <f t="shared" si="5"/>
        <v>#DIV/0!</v>
      </c>
      <c r="Y49" s="40"/>
      <c r="Z49" s="41">
        <v>1.0</v>
      </c>
      <c r="AA49" s="42" t="str">
        <f t="shared" si="6"/>
        <v>#DIV/0!</v>
      </c>
      <c r="AB49" s="60"/>
      <c r="AC49" s="60"/>
      <c r="AE49" s="60"/>
    </row>
    <row r="50" ht="14.25" customHeight="1">
      <c r="A50" s="30">
        <v>38.0</v>
      </c>
      <c r="B50" s="31" t="s">
        <v>1138</v>
      </c>
      <c r="C50" s="32" t="s">
        <v>1139</v>
      </c>
      <c r="D50" s="53"/>
      <c r="E50" s="34"/>
      <c r="F50" s="53"/>
      <c r="G50" s="53"/>
      <c r="H50" s="53"/>
      <c r="I50" s="53"/>
      <c r="J50" s="53"/>
      <c r="K50" s="53"/>
      <c r="L50" s="53"/>
      <c r="M50" s="53"/>
      <c r="N50" s="53"/>
      <c r="O50" s="53"/>
      <c r="P50" s="53"/>
      <c r="Q50" s="53"/>
      <c r="R50" s="53"/>
      <c r="S50" s="35" t="str">
        <f t="shared" si="1"/>
        <v>#DIV/0!</v>
      </c>
      <c r="T50" s="36" t="str">
        <f t="shared" si="2"/>
        <v>#DIV/0!</v>
      </c>
      <c r="U50" s="37" t="str">
        <f t="shared" si="3"/>
        <v>#DIV/0!</v>
      </c>
      <c r="V50" s="38"/>
      <c r="W50" s="38" t="str">
        <f t="shared" si="4"/>
        <v>#DIV/0!</v>
      </c>
      <c r="X50" s="39" t="str">
        <f t="shared" si="5"/>
        <v>#DIV/0!</v>
      </c>
      <c r="Y50" s="40"/>
      <c r="Z50" s="41"/>
      <c r="AA50" s="42" t="str">
        <f t="shared" si="6"/>
        <v>#DIV/0!</v>
      </c>
    </row>
    <row r="51" ht="14.25" customHeight="1">
      <c r="A51" s="30">
        <v>39.0</v>
      </c>
      <c r="B51" s="31" t="s">
        <v>1140</v>
      </c>
      <c r="C51" s="32" t="s">
        <v>1141</v>
      </c>
      <c r="D51" s="53"/>
      <c r="E51" s="34"/>
      <c r="F51" s="53"/>
      <c r="G51" s="53"/>
      <c r="H51" s="53"/>
      <c r="I51" s="53"/>
      <c r="J51" s="53"/>
      <c r="K51" s="53"/>
      <c r="L51" s="53"/>
      <c r="M51" s="53"/>
      <c r="N51" s="53"/>
      <c r="O51" s="53"/>
      <c r="P51" s="53"/>
      <c r="Q51" s="53"/>
      <c r="R51" s="53"/>
      <c r="S51" s="35" t="str">
        <f t="shared" si="1"/>
        <v>#DIV/0!</v>
      </c>
      <c r="T51" s="36" t="str">
        <f t="shared" si="2"/>
        <v>#DIV/0!</v>
      </c>
      <c r="U51" s="37" t="str">
        <f t="shared" si="3"/>
        <v>#DIV/0!</v>
      </c>
      <c r="V51" s="38"/>
      <c r="W51" s="38" t="str">
        <f t="shared" si="4"/>
        <v>#DIV/0!</v>
      </c>
      <c r="X51" s="39" t="str">
        <f t="shared" si="5"/>
        <v>#DIV/0!</v>
      </c>
      <c r="Y51" s="40"/>
      <c r="Z51" s="41"/>
      <c r="AA51" s="42" t="str">
        <f t="shared" si="6"/>
        <v>#DIV/0!</v>
      </c>
    </row>
    <row r="52" ht="14.25" customHeight="1">
      <c r="A52" s="30">
        <v>40.0</v>
      </c>
      <c r="B52" s="31" t="s">
        <v>1142</v>
      </c>
      <c r="C52" s="32" t="s">
        <v>1143</v>
      </c>
      <c r="D52" s="53"/>
      <c r="E52" s="34"/>
      <c r="F52" s="53"/>
      <c r="G52" s="53"/>
      <c r="H52" s="53"/>
      <c r="I52" s="53"/>
      <c r="J52" s="53"/>
      <c r="K52" s="53"/>
      <c r="L52" s="53"/>
      <c r="M52" s="53"/>
      <c r="N52" s="53"/>
      <c r="O52" s="53"/>
      <c r="P52" s="53"/>
      <c r="Q52" s="53"/>
      <c r="R52" s="53"/>
      <c r="S52" s="35" t="str">
        <f t="shared" si="1"/>
        <v>#DIV/0!</v>
      </c>
      <c r="T52" s="36" t="str">
        <f t="shared" si="2"/>
        <v>#DIV/0!</v>
      </c>
      <c r="U52" s="37" t="str">
        <f t="shared" si="3"/>
        <v>#DIV/0!</v>
      </c>
      <c r="V52" s="38"/>
      <c r="W52" s="38" t="str">
        <f t="shared" si="4"/>
        <v>#DIV/0!</v>
      </c>
      <c r="X52" s="39" t="str">
        <f t="shared" si="5"/>
        <v>#DIV/0!</v>
      </c>
      <c r="Y52" s="40"/>
      <c r="Z52" s="41"/>
      <c r="AA52" s="42" t="str">
        <f t="shared" si="6"/>
        <v>#DIV/0!</v>
      </c>
    </row>
    <row r="53" ht="14.25" customHeight="1">
      <c r="A53" s="30">
        <v>41.0</v>
      </c>
      <c r="B53" s="31" t="s">
        <v>1144</v>
      </c>
      <c r="C53" s="32" t="s">
        <v>1145</v>
      </c>
      <c r="D53" s="53"/>
      <c r="E53" s="34"/>
      <c r="F53" s="53"/>
      <c r="G53" s="53"/>
      <c r="H53" s="53"/>
      <c r="I53" s="53"/>
      <c r="J53" s="53"/>
      <c r="K53" s="53"/>
      <c r="L53" s="53"/>
      <c r="M53" s="53"/>
      <c r="N53" s="53"/>
      <c r="O53" s="53"/>
      <c r="P53" s="53"/>
      <c r="Q53" s="53"/>
      <c r="R53" s="53"/>
      <c r="S53" s="35" t="str">
        <f t="shared" si="1"/>
        <v>#DIV/0!</v>
      </c>
      <c r="T53" s="36" t="str">
        <f t="shared" si="2"/>
        <v>#DIV/0!</v>
      </c>
      <c r="U53" s="37" t="str">
        <f t="shared" si="3"/>
        <v>#DIV/0!</v>
      </c>
      <c r="V53" s="38"/>
      <c r="W53" s="38" t="str">
        <f t="shared" si="4"/>
        <v>#DIV/0!</v>
      </c>
      <c r="X53" s="39" t="str">
        <f t="shared" si="5"/>
        <v>#DIV/0!</v>
      </c>
      <c r="Y53" s="40"/>
      <c r="Z53" s="41"/>
      <c r="AA53" s="42" t="str">
        <f t="shared" si="6"/>
        <v>#DIV/0!</v>
      </c>
    </row>
    <row r="54" ht="14.25" customHeight="1">
      <c r="A54" s="30">
        <v>42.0</v>
      </c>
      <c r="B54" s="31" t="s">
        <v>1146</v>
      </c>
      <c r="C54" s="32" t="s">
        <v>1147</v>
      </c>
      <c r="D54" s="53"/>
      <c r="E54" s="34"/>
      <c r="F54" s="53"/>
      <c r="G54" s="53"/>
      <c r="H54" s="53"/>
      <c r="I54" s="53"/>
      <c r="J54" s="53"/>
      <c r="K54" s="53"/>
      <c r="L54" s="53"/>
      <c r="M54" s="53"/>
      <c r="N54" s="53"/>
      <c r="O54" s="53"/>
      <c r="P54" s="53"/>
      <c r="Q54" s="53"/>
      <c r="R54" s="53"/>
      <c r="S54" s="35" t="str">
        <f t="shared" si="1"/>
        <v>#DIV/0!</v>
      </c>
      <c r="T54" s="36" t="str">
        <f t="shared" si="2"/>
        <v>#DIV/0!</v>
      </c>
      <c r="U54" s="37" t="str">
        <f t="shared" si="3"/>
        <v>#DIV/0!</v>
      </c>
      <c r="V54" s="38"/>
      <c r="W54" s="38" t="str">
        <f t="shared" si="4"/>
        <v>#DIV/0!</v>
      </c>
      <c r="X54" s="39" t="str">
        <f t="shared" si="5"/>
        <v>#DIV/0!</v>
      </c>
      <c r="Y54" s="40"/>
      <c r="Z54" s="41"/>
      <c r="AA54" s="42" t="str">
        <f t="shared" si="6"/>
        <v>#DIV/0!</v>
      </c>
    </row>
    <row r="55" ht="14.25" customHeight="1">
      <c r="A55" s="30">
        <v>43.0</v>
      </c>
      <c r="B55" s="31" t="s">
        <v>1148</v>
      </c>
      <c r="C55" s="32" t="s">
        <v>1149</v>
      </c>
      <c r="D55" s="53"/>
      <c r="E55" s="34"/>
      <c r="F55" s="53"/>
      <c r="G55" s="53"/>
      <c r="H55" s="53"/>
      <c r="I55" s="53"/>
      <c r="J55" s="53"/>
      <c r="K55" s="53"/>
      <c r="L55" s="53"/>
      <c r="M55" s="53"/>
      <c r="N55" s="53"/>
      <c r="O55" s="53"/>
      <c r="P55" s="53"/>
      <c r="Q55" s="53"/>
      <c r="R55" s="53"/>
      <c r="S55" s="35" t="str">
        <f t="shared" si="1"/>
        <v>#DIV/0!</v>
      </c>
      <c r="T55" s="36" t="str">
        <f t="shared" si="2"/>
        <v>#DIV/0!</v>
      </c>
      <c r="U55" s="37" t="str">
        <f t="shared" si="3"/>
        <v>#DIV/0!</v>
      </c>
      <c r="V55" s="38"/>
      <c r="W55" s="38" t="str">
        <f t="shared" si="4"/>
        <v>#DIV/0!</v>
      </c>
      <c r="X55" s="39" t="str">
        <f t="shared" si="5"/>
        <v>#DIV/0!</v>
      </c>
      <c r="Y55" s="40"/>
      <c r="Z55" s="41"/>
      <c r="AA55" s="42" t="str">
        <f t="shared" si="6"/>
        <v>#DIV/0!</v>
      </c>
    </row>
    <row r="56" ht="14.25" customHeight="1">
      <c r="A56" s="30">
        <v>44.0</v>
      </c>
      <c r="B56" s="31" t="s">
        <v>1150</v>
      </c>
      <c r="C56" s="32" t="s">
        <v>1151</v>
      </c>
      <c r="D56" s="53"/>
      <c r="E56" s="34"/>
      <c r="F56" s="53"/>
      <c r="G56" s="53"/>
      <c r="H56" s="53"/>
      <c r="I56" s="53"/>
      <c r="J56" s="53"/>
      <c r="K56" s="53"/>
      <c r="L56" s="53"/>
      <c r="M56" s="53"/>
      <c r="N56" s="53"/>
      <c r="O56" s="53"/>
      <c r="P56" s="53"/>
      <c r="Q56" s="53"/>
      <c r="R56" s="53"/>
      <c r="S56" s="35" t="str">
        <f t="shared" si="1"/>
        <v>#DIV/0!</v>
      </c>
      <c r="T56" s="36" t="str">
        <f t="shared" si="2"/>
        <v>#DIV/0!</v>
      </c>
      <c r="U56" s="37" t="str">
        <f t="shared" si="3"/>
        <v>#DIV/0!</v>
      </c>
      <c r="V56" s="38"/>
      <c r="W56" s="38" t="str">
        <f t="shared" si="4"/>
        <v>#DIV/0!</v>
      </c>
      <c r="X56" s="39" t="str">
        <f t="shared" si="5"/>
        <v>#DIV/0!</v>
      </c>
      <c r="Y56" s="40"/>
      <c r="Z56" s="41"/>
      <c r="AA56" s="42" t="str">
        <f t="shared" si="6"/>
        <v>#DIV/0!</v>
      </c>
    </row>
    <row r="57" ht="14.25" customHeight="1">
      <c r="A57" s="30">
        <v>45.0</v>
      </c>
      <c r="B57" s="31" t="s">
        <v>1152</v>
      </c>
      <c r="C57" s="32" t="s">
        <v>1153</v>
      </c>
      <c r="D57" s="53"/>
      <c r="E57" s="34"/>
      <c r="F57" s="53"/>
      <c r="G57" s="53"/>
      <c r="H57" s="53"/>
      <c r="I57" s="53"/>
      <c r="J57" s="53"/>
      <c r="K57" s="53"/>
      <c r="L57" s="53"/>
      <c r="M57" s="53"/>
      <c r="N57" s="53"/>
      <c r="O57" s="53"/>
      <c r="P57" s="53"/>
      <c r="Q57" s="53"/>
      <c r="R57" s="53"/>
      <c r="S57" s="35" t="str">
        <f t="shared" si="1"/>
        <v>#DIV/0!</v>
      </c>
      <c r="T57" s="36" t="str">
        <f t="shared" si="2"/>
        <v>#DIV/0!</v>
      </c>
      <c r="U57" s="37" t="str">
        <f t="shared" si="3"/>
        <v>#DIV/0!</v>
      </c>
      <c r="V57" s="38"/>
      <c r="W57" s="38" t="str">
        <f t="shared" si="4"/>
        <v>#DIV/0!</v>
      </c>
      <c r="X57" s="39" t="str">
        <f t="shared" si="5"/>
        <v>#DIV/0!</v>
      </c>
      <c r="Y57" s="40"/>
      <c r="Z57" s="41"/>
      <c r="AA57" s="42" t="str">
        <f t="shared" si="6"/>
        <v>#DIV/0!</v>
      </c>
    </row>
    <row r="58" ht="14.25" customHeight="1">
      <c r="A58" s="30">
        <v>46.0</v>
      </c>
      <c r="B58" s="31" t="s">
        <v>1154</v>
      </c>
      <c r="C58" s="32" t="s">
        <v>1155</v>
      </c>
      <c r="D58" s="53"/>
      <c r="E58" s="34"/>
      <c r="F58" s="53"/>
      <c r="G58" s="53"/>
      <c r="H58" s="53"/>
      <c r="I58" s="53"/>
      <c r="J58" s="53"/>
      <c r="K58" s="53"/>
      <c r="L58" s="53"/>
      <c r="M58" s="53"/>
      <c r="N58" s="53"/>
      <c r="O58" s="53"/>
      <c r="P58" s="53"/>
      <c r="Q58" s="53"/>
      <c r="R58" s="53"/>
      <c r="S58" s="35" t="str">
        <f t="shared" si="1"/>
        <v>#DIV/0!</v>
      </c>
      <c r="T58" s="36" t="str">
        <f t="shared" si="2"/>
        <v>#DIV/0!</v>
      </c>
      <c r="U58" s="37" t="str">
        <f t="shared" si="3"/>
        <v>#DIV/0!</v>
      </c>
      <c r="V58" s="38"/>
      <c r="W58" s="38" t="str">
        <f t="shared" si="4"/>
        <v>#DIV/0!</v>
      </c>
      <c r="X58" s="39" t="str">
        <f t="shared" si="5"/>
        <v>#DIV/0!</v>
      </c>
      <c r="Y58" s="40"/>
      <c r="Z58" s="41"/>
      <c r="AA58" s="42" t="str">
        <f t="shared" si="6"/>
        <v>#DIV/0!</v>
      </c>
    </row>
    <row r="59" ht="14.25" customHeight="1">
      <c r="A59" s="30">
        <v>47.0</v>
      </c>
      <c r="B59" s="31" t="s">
        <v>1156</v>
      </c>
      <c r="C59" s="32" t="s">
        <v>1157</v>
      </c>
      <c r="D59" s="53"/>
      <c r="E59" s="34"/>
      <c r="F59" s="53"/>
      <c r="G59" s="53"/>
      <c r="H59" s="53"/>
      <c r="I59" s="53"/>
      <c r="J59" s="53"/>
      <c r="K59" s="53"/>
      <c r="L59" s="53"/>
      <c r="M59" s="53"/>
      <c r="N59" s="53"/>
      <c r="O59" s="53"/>
      <c r="P59" s="53"/>
      <c r="Q59" s="53"/>
      <c r="R59" s="53"/>
      <c r="S59" s="35" t="str">
        <f t="shared" si="1"/>
        <v>#DIV/0!</v>
      </c>
      <c r="T59" s="36" t="str">
        <f t="shared" si="2"/>
        <v>#DIV/0!</v>
      </c>
      <c r="U59" s="37" t="str">
        <f t="shared" si="3"/>
        <v>#DIV/0!</v>
      </c>
      <c r="V59" s="38"/>
      <c r="W59" s="38" t="str">
        <f t="shared" si="4"/>
        <v>#DIV/0!</v>
      </c>
      <c r="X59" s="39" t="str">
        <f t="shared" si="5"/>
        <v>#DIV/0!</v>
      </c>
      <c r="Y59" s="40"/>
      <c r="Z59" s="41"/>
      <c r="AA59" s="42" t="str">
        <f t="shared" si="6"/>
        <v>#DIV/0!</v>
      </c>
    </row>
    <row r="60" ht="14.25" customHeight="1">
      <c r="A60" s="30">
        <v>48.0</v>
      </c>
      <c r="B60" s="31" t="s">
        <v>1158</v>
      </c>
      <c r="C60" s="32" t="s">
        <v>1159</v>
      </c>
      <c r="D60" s="53"/>
      <c r="E60" s="34"/>
      <c r="F60" s="53"/>
      <c r="G60" s="53"/>
      <c r="H60" s="53"/>
      <c r="I60" s="53"/>
      <c r="J60" s="53"/>
      <c r="K60" s="53"/>
      <c r="L60" s="53"/>
      <c r="M60" s="53"/>
      <c r="N60" s="53"/>
      <c r="O60" s="53"/>
      <c r="P60" s="53"/>
      <c r="Q60" s="53"/>
      <c r="R60" s="53"/>
      <c r="S60" s="35" t="str">
        <f t="shared" si="1"/>
        <v>#DIV/0!</v>
      </c>
      <c r="T60" s="36" t="str">
        <f t="shared" si="2"/>
        <v>#DIV/0!</v>
      </c>
      <c r="U60" s="37" t="str">
        <f t="shared" si="3"/>
        <v>#DIV/0!</v>
      </c>
      <c r="V60" s="38"/>
      <c r="W60" s="38" t="str">
        <f t="shared" si="4"/>
        <v>#DIV/0!</v>
      </c>
      <c r="X60" s="39" t="str">
        <f t="shared" si="5"/>
        <v>#DIV/0!</v>
      </c>
      <c r="Y60" s="40"/>
      <c r="Z60" s="41"/>
      <c r="AA60" s="42" t="str">
        <f t="shared" si="6"/>
        <v>#DIV/0!</v>
      </c>
    </row>
    <row r="61" ht="14.25" customHeight="1"/>
    <row r="62" ht="14.25" customHeight="1"/>
    <row r="63" ht="14.25" customHeight="1">
      <c r="Y63" s="54" t="s">
        <v>117</v>
      </c>
      <c r="AA63" s="58" t="str">
        <f>MAX(AA13:AA49)</f>
        <v>#DIV/0!</v>
      </c>
    </row>
    <row r="64" ht="14.25" customHeight="1">
      <c r="Y64" s="54" t="s">
        <v>118</v>
      </c>
      <c r="AA64" s="59" t="str">
        <f>MIN(AA13:AA49)</f>
        <v>#DIV/0!</v>
      </c>
    </row>
    <row r="65" ht="14.25" customHeight="1">
      <c r="Y65" s="54" t="s">
        <v>119</v>
      </c>
      <c r="AA65" s="59" t="str">
        <f>AVERAGE(AA13:AA49)</f>
        <v>#DIV/0!</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D11:H11"/>
    <mergeCell ref="I11:M11"/>
    <mergeCell ref="N11:R11"/>
    <mergeCell ref="S11:U11"/>
    <mergeCell ref="V11:V12"/>
    <mergeCell ref="W11:W12"/>
    <mergeCell ref="X11:X12"/>
    <mergeCell ref="Y11:Y12"/>
    <mergeCell ref="Z11:Z12"/>
    <mergeCell ref="AA11:AA12"/>
    <mergeCell ref="A1:AA1"/>
    <mergeCell ref="A3:AA3"/>
    <mergeCell ref="A4:AA4"/>
    <mergeCell ref="A10:A12"/>
    <mergeCell ref="B10:B12"/>
    <mergeCell ref="C10:C12"/>
    <mergeCell ref="D10:AA1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6.71"/>
    <col customWidth="1" min="2" max="2" width="21.14"/>
    <col customWidth="1" min="3" max="3" width="35.57"/>
    <col customWidth="1" min="4" max="4" width="10.29"/>
  </cols>
  <sheetData>
    <row r="1">
      <c r="A1" s="1" t="s">
        <v>1160</v>
      </c>
      <c r="B1" s="2"/>
      <c r="C1" s="2"/>
      <c r="D1" s="2"/>
      <c r="E1" s="2"/>
    </row>
    <row r="3">
      <c r="A3" s="3" t="s">
        <v>1</v>
      </c>
    </row>
    <row r="4">
      <c r="A4" s="3" t="s">
        <v>2</v>
      </c>
    </row>
    <row r="6">
      <c r="A6" s="62" t="s">
        <v>5</v>
      </c>
      <c r="B6" s="63"/>
      <c r="C6" s="62" t="s">
        <v>121</v>
      </c>
      <c r="D6" s="62"/>
      <c r="E6" s="62"/>
    </row>
    <row r="7">
      <c r="A7" s="62" t="s">
        <v>7</v>
      </c>
      <c r="B7" s="63"/>
      <c r="C7" s="62" t="s">
        <v>8</v>
      </c>
      <c r="D7" s="62"/>
      <c r="E7" s="62"/>
    </row>
    <row r="8">
      <c r="A8" s="63"/>
      <c r="B8" s="63"/>
      <c r="C8" s="63"/>
      <c r="D8" s="63"/>
      <c r="E8" s="63"/>
    </row>
    <row r="9">
      <c r="A9" s="7" t="s">
        <v>9</v>
      </c>
      <c r="B9" s="64" t="s">
        <v>10</v>
      </c>
      <c r="C9" s="7" t="s">
        <v>11</v>
      </c>
      <c r="D9" s="65" t="s">
        <v>5</v>
      </c>
      <c r="E9" s="66" t="s">
        <v>19</v>
      </c>
    </row>
    <row r="10">
      <c r="A10" s="20"/>
      <c r="B10" s="20"/>
      <c r="C10" s="20"/>
      <c r="D10" s="20"/>
      <c r="E10" s="20"/>
    </row>
    <row r="11">
      <c r="A11" s="67">
        <v>1.0</v>
      </c>
      <c r="B11" s="31" t="s">
        <v>123</v>
      </c>
      <c r="C11" s="68" t="s">
        <v>1161</v>
      </c>
      <c r="D11" s="69" t="s">
        <v>1162</v>
      </c>
      <c r="E11" s="70" t="s">
        <v>1163</v>
      </c>
    </row>
    <row r="12">
      <c r="A12" s="67">
        <v>2.0</v>
      </c>
      <c r="B12" s="31" t="s">
        <v>125</v>
      </c>
      <c r="C12" s="68" t="s">
        <v>1164</v>
      </c>
      <c r="D12" s="69" t="s">
        <v>1162</v>
      </c>
      <c r="E12" s="70" t="s">
        <v>1163</v>
      </c>
    </row>
    <row r="13">
      <c r="A13" s="67">
        <v>3.0</v>
      </c>
      <c r="B13" s="31" t="s">
        <v>127</v>
      </c>
      <c r="C13" s="68" t="s">
        <v>1165</v>
      </c>
      <c r="D13" s="69" t="s">
        <v>1162</v>
      </c>
      <c r="E13" s="70" t="s">
        <v>1163</v>
      </c>
    </row>
    <row r="14">
      <c r="A14" s="67">
        <v>4.0</v>
      </c>
      <c r="B14" s="31" t="s">
        <v>129</v>
      </c>
      <c r="C14" s="68" t="s">
        <v>1166</v>
      </c>
      <c r="D14" s="69" t="s">
        <v>1162</v>
      </c>
      <c r="E14" s="70" t="s">
        <v>1163</v>
      </c>
    </row>
    <row r="15">
      <c r="A15" s="67">
        <v>5.0</v>
      </c>
      <c r="B15" s="31" t="s">
        <v>131</v>
      </c>
      <c r="C15" s="71" t="s">
        <v>1167</v>
      </c>
      <c r="D15" s="69" t="s">
        <v>1162</v>
      </c>
      <c r="E15" s="70" t="s">
        <v>1168</v>
      </c>
    </row>
    <row r="16">
      <c r="A16" s="67">
        <v>6.0</v>
      </c>
      <c r="B16" s="31" t="s">
        <v>133</v>
      </c>
      <c r="C16" s="68" t="s">
        <v>1169</v>
      </c>
      <c r="D16" s="69" t="s">
        <v>1162</v>
      </c>
      <c r="E16" s="70" t="s">
        <v>1163</v>
      </c>
    </row>
    <row r="17">
      <c r="A17" s="67">
        <v>7.0</v>
      </c>
      <c r="B17" s="31" t="s">
        <v>135</v>
      </c>
      <c r="C17" s="68" t="s">
        <v>1170</v>
      </c>
      <c r="D17" s="69" t="s">
        <v>1162</v>
      </c>
      <c r="E17" s="70" t="s">
        <v>1163</v>
      </c>
    </row>
    <row r="18">
      <c r="A18" s="67">
        <v>8.0</v>
      </c>
      <c r="B18" s="31" t="s">
        <v>137</v>
      </c>
      <c r="C18" s="68" t="s">
        <v>1171</v>
      </c>
      <c r="D18" s="69" t="s">
        <v>1162</v>
      </c>
      <c r="E18" s="70" t="s">
        <v>1163</v>
      </c>
    </row>
    <row r="19">
      <c r="A19" s="67">
        <v>9.0</v>
      </c>
      <c r="B19" s="31" t="s">
        <v>139</v>
      </c>
      <c r="C19" s="68" t="s">
        <v>1172</v>
      </c>
      <c r="D19" s="69" t="s">
        <v>1162</v>
      </c>
      <c r="E19" s="70" t="s">
        <v>1163</v>
      </c>
    </row>
    <row r="20">
      <c r="A20" s="67">
        <v>10.0</v>
      </c>
      <c r="B20" s="31" t="s">
        <v>141</v>
      </c>
      <c r="C20" s="68" t="s">
        <v>1173</v>
      </c>
      <c r="D20" s="69" t="s">
        <v>1162</v>
      </c>
      <c r="E20" s="70" t="s">
        <v>1168</v>
      </c>
    </row>
    <row r="21">
      <c r="A21" s="67">
        <v>11.0</v>
      </c>
      <c r="B21" s="31" t="s">
        <v>143</v>
      </c>
      <c r="C21" s="68" t="s">
        <v>1174</v>
      </c>
      <c r="D21" s="69" t="s">
        <v>1162</v>
      </c>
      <c r="E21" s="70" t="s">
        <v>1163</v>
      </c>
    </row>
    <row r="22">
      <c r="A22" s="67">
        <v>12.0</v>
      </c>
      <c r="B22" s="31" t="s">
        <v>145</v>
      </c>
      <c r="C22" s="68" t="s">
        <v>1175</v>
      </c>
      <c r="D22" s="69" t="s">
        <v>1162</v>
      </c>
      <c r="E22" s="70" t="s">
        <v>1163</v>
      </c>
    </row>
    <row r="23">
      <c r="A23" s="67">
        <v>13.0</v>
      </c>
      <c r="B23" s="31" t="s">
        <v>147</v>
      </c>
      <c r="C23" s="68" t="s">
        <v>1176</v>
      </c>
      <c r="D23" s="69" t="s">
        <v>1162</v>
      </c>
      <c r="E23" s="70" t="s">
        <v>1163</v>
      </c>
    </row>
    <row r="24">
      <c r="A24" s="67">
        <v>14.0</v>
      </c>
      <c r="B24" s="31" t="s">
        <v>149</v>
      </c>
      <c r="C24" s="68" t="s">
        <v>1177</v>
      </c>
      <c r="D24" s="69" t="s">
        <v>1162</v>
      </c>
      <c r="E24" s="70" t="s">
        <v>1163</v>
      </c>
    </row>
    <row r="25">
      <c r="A25" s="67">
        <v>15.0</v>
      </c>
      <c r="B25" s="31" t="s">
        <v>151</v>
      </c>
      <c r="C25" s="68" t="s">
        <v>1178</v>
      </c>
      <c r="D25" s="69" t="s">
        <v>1162</v>
      </c>
      <c r="E25" s="70" t="s">
        <v>1163</v>
      </c>
    </row>
    <row r="26">
      <c r="A26" s="67">
        <v>16.0</v>
      </c>
      <c r="B26" s="31" t="s">
        <v>153</v>
      </c>
      <c r="C26" s="68" t="s">
        <v>1179</v>
      </c>
      <c r="D26" s="69" t="s">
        <v>1162</v>
      </c>
      <c r="E26" s="70" t="s">
        <v>1163</v>
      </c>
    </row>
    <row r="27">
      <c r="A27" s="67">
        <v>17.0</v>
      </c>
      <c r="B27" s="31" t="s">
        <v>155</v>
      </c>
      <c r="C27" s="68" t="s">
        <v>1180</v>
      </c>
      <c r="D27" s="69" t="s">
        <v>1162</v>
      </c>
      <c r="E27" s="70" t="s">
        <v>1168</v>
      </c>
    </row>
    <row r="28">
      <c r="A28" s="67">
        <v>18.0</v>
      </c>
      <c r="B28" s="31" t="s">
        <v>157</v>
      </c>
      <c r="C28" s="68" t="s">
        <v>1181</v>
      </c>
      <c r="D28" s="69" t="s">
        <v>1162</v>
      </c>
      <c r="E28" s="70" t="s">
        <v>1163</v>
      </c>
    </row>
    <row r="29">
      <c r="A29" s="67">
        <v>19.0</v>
      </c>
      <c r="B29" s="31" t="s">
        <v>159</v>
      </c>
      <c r="C29" s="68" t="s">
        <v>1182</v>
      </c>
      <c r="D29" s="69" t="s">
        <v>1162</v>
      </c>
      <c r="E29" s="70" t="s">
        <v>1163</v>
      </c>
    </row>
    <row r="30">
      <c r="A30" s="67">
        <v>20.0</v>
      </c>
      <c r="B30" s="31" t="s">
        <v>161</v>
      </c>
      <c r="C30" s="68" t="s">
        <v>1183</v>
      </c>
      <c r="D30" s="69" t="s">
        <v>1162</v>
      </c>
      <c r="E30" s="70" t="s">
        <v>1163</v>
      </c>
    </row>
    <row r="31">
      <c r="A31" s="67">
        <v>21.0</v>
      </c>
      <c r="B31" s="31" t="s">
        <v>163</v>
      </c>
      <c r="C31" s="68" t="s">
        <v>1184</v>
      </c>
      <c r="D31" s="69" t="s">
        <v>1162</v>
      </c>
      <c r="E31" s="70" t="s">
        <v>1168</v>
      </c>
    </row>
    <row r="32">
      <c r="A32" s="67">
        <v>22.0</v>
      </c>
      <c r="B32" s="31" t="s">
        <v>165</v>
      </c>
      <c r="C32" s="68" t="s">
        <v>1185</v>
      </c>
      <c r="D32" s="69" t="s">
        <v>1162</v>
      </c>
      <c r="E32" s="70" t="s">
        <v>1163</v>
      </c>
    </row>
    <row r="33">
      <c r="A33" s="67">
        <v>23.0</v>
      </c>
      <c r="B33" s="31" t="s">
        <v>167</v>
      </c>
      <c r="C33" s="68" t="s">
        <v>1186</v>
      </c>
      <c r="D33" s="69" t="s">
        <v>1162</v>
      </c>
      <c r="E33" s="69" t="s">
        <v>1187</v>
      </c>
    </row>
    <row r="34">
      <c r="A34" s="67">
        <v>24.0</v>
      </c>
      <c r="B34" s="31" t="s">
        <v>169</v>
      </c>
      <c r="C34" s="68" t="s">
        <v>1188</v>
      </c>
      <c r="D34" s="69" t="s">
        <v>1162</v>
      </c>
      <c r="E34" s="69" t="s">
        <v>1187</v>
      </c>
    </row>
    <row r="35">
      <c r="A35" s="67">
        <v>25.0</v>
      </c>
      <c r="B35" s="31" t="s">
        <v>171</v>
      </c>
      <c r="C35" s="68" t="s">
        <v>1189</v>
      </c>
      <c r="D35" s="69" t="s">
        <v>1162</v>
      </c>
      <c r="E35" s="69" t="s">
        <v>1187</v>
      </c>
    </row>
    <row r="36">
      <c r="A36" s="67">
        <v>26.0</v>
      </c>
      <c r="B36" s="31" t="s">
        <v>173</v>
      </c>
      <c r="C36" s="68" t="s">
        <v>1190</v>
      </c>
      <c r="D36" s="69" t="s">
        <v>1162</v>
      </c>
      <c r="E36" s="70" t="s">
        <v>1163</v>
      </c>
    </row>
    <row r="37">
      <c r="A37" s="67">
        <v>27.0</v>
      </c>
      <c r="B37" s="31" t="s">
        <v>175</v>
      </c>
      <c r="C37" s="68" t="s">
        <v>1191</v>
      </c>
      <c r="D37" s="69" t="s">
        <v>1162</v>
      </c>
      <c r="E37" s="69" t="s">
        <v>1187</v>
      </c>
    </row>
    <row r="38">
      <c r="A38" s="67">
        <v>28.0</v>
      </c>
      <c r="B38" s="31" t="s">
        <v>177</v>
      </c>
      <c r="C38" s="68" t="s">
        <v>1192</v>
      </c>
      <c r="D38" s="69" t="s">
        <v>1162</v>
      </c>
      <c r="E38" s="70" t="s">
        <v>1163</v>
      </c>
    </row>
    <row r="39">
      <c r="A39" s="67">
        <v>29.0</v>
      </c>
      <c r="B39" s="31" t="s">
        <v>179</v>
      </c>
      <c r="C39" s="68" t="s">
        <v>1193</v>
      </c>
      <c r="D39" s="69" t="s">
        <v>1162</v>
      </c>
      <c r="E39" s="70" t="s">
        <v>1163</v>
      </c>
    </row>
    <row r="40">
      <c r="A40" s="67">
        <v>30.0</v>
      </c>
      <c r="B40" s="31" t="s">
        <v>181</v>
      </c>
      <c r="C40" s="68" t="s">
        <v>1194</v>
      </c>
      <c r="D40" s="69" t="s">
        <v>1162</v>
      </c>
      <c r="E40" s="70" t="s">
        <v>1163</v>
      </c>
    </row>
    <row r="41">
      <c r="A41" s="67">
        <v>31.0</v>
      </c>
      <c r="B41" s="31" t="s">
        <v>183</v>
      </c>
      <c r="C41" s="68" t="s">
        <v>1195</v>
      </c>
      <c r="D41" s="69" t="s">
        <v>1162</v>
      </c>
      <c r="E41" s="70" t="s">
        <v>1168</v>
      </c>
    </row>
    <row r="42">
      <c r="A42" s="67">
        <v>32.0</v>
      </c>
      <c r="B42" s="31" t="s">
        <v>185</v>
      </c>
      <c r="C42" s="68" t="s">
        <v>1196</v>
      </c>
      <c r="D42" s="69" t="s">
        <v>1162</v>
      </c>
      <c r="E42" s="70" t="s">
        <v>1163</v>
      </c>
    </row>
    <row r="43">
      <c r="A43" s="67">
        <v>33.0</v>
      </c>
      <c r="B43" s="31" t="s">
        <v>187</v>
      </c>
      <c r="C43" s="68" t="s">
        <v>1197</v>
      </c>
      <c r="D43" s="69" t="s">
        <v>1162</v>
      </c>
      <c r="E43" s="70" t="s">
        <v>1163</v>
      </c>
    </row>
    <row r="44">
      <c r="A44" s="67">
        <v>34.0</v>
      </c>
      <c r="B44" s="31" t="s">
        <v>189</v>
      </c>
      <c r="C44" s="68" t="s">
        <v>1198</v>
      </c>
      <c r="D44" s="69" t="s">
        <v>1162</v>
      </c>
      <c r="E44" s="70" t="s">
        <v>1163</v>
      </c>
    </row>
    <row r="45">
      <c r="A45" s="67">
        <v>35.0</v>
      </c>
      <c r="B45" s="31" t="s">
        <v>191</v>
      </c>
      <c r="C45" s="68" t="s">
        <v>1199</v>
      </c>
      <c r="D45" s="69" t="s">
        <v>1162</v>
      </c>
      <c r="E45" s="70" t="s">
        <v>1163</v>
      </c>
    </row>
    <row r="46">
      <c r="A46" s="67">
        <v>36.0</v>
      </c>
      <c r="B46" s="31" t="s">
        <v>193</v>
      </c>
      <c r="C46" s="68" t="s">
        <v>1200</v>
      </c>
      <c r="D46" s="69" t="s">
        <v>1162</v>
      </c>
      <c r="E46" s="70" t="s">
        <v>1163</v>
      </c>
    </row>
    <row r="47">
      <c r="A47" s="67">
        <v>37.0</v>
      </c>
      <c r="B47" s="31" t="s">
        <v>195</v>
      </c>
      <c r="C47" s="68" t="s">
        <v>1201</v>
      </c>
      <c r="D47" s="69" t="s">
        <v>1162</v>
      </c>
      <c r="E47" s="70" t="s">
        <v>1163</v>
      </c>
    </row>
    <row r="48">
      <c r="A48" s="67">
        <v>38.0</v>
      </c>
      <c r="B48" s="31" t="s">
        <v>197</v>
      </c>
      <c r="C48" s="71" t="s">
        <v>1202</v>
      </c>
      <c r="D48" s="69" t="s">
        <v>1162</v>
      </c>
      <c r="E48" s="70" t="s">
        <v>1163</v>
      </c>
    </row>
    <row r="49">
      <c r="A49" s="67">
        <v>39.0</v>
      </c>
      <c r="B49" s="31" t="s">
        <v>199</v>
      </c>
      <c r="C49" s="68" t="s">
        <v>1203</v>
      </c>
      <c r="D49" s="69" t="s">
        <v>1162</v>
      </c>
      <c r="E49" s="70" t="s">
        <v>1163</v>
      </c>
    </row>
    <row r="50">
      <c r="A50" s="67">
        <v>40.0</v>
      </c>
      <c r="B50" s="31" t="s">
        <v>201</v>
      </c>
      <c r="C50" s="68" t="s">
        <v>1204</v>
      </c>
      <c r="D50" s="69" t="s">
        <v>1162</v>
      </c>
      <c r="E50" s="70" t="s">
        <v>1163</v>
      </c>
    </row>
    <row r="51">
      <c r="A51" s="67">
        <v>41.0</v>
      </c>
      <c r="B51" s="31" t="s">
        <v>203</v>
      </c>
      <c r="C51" s="68" t="s">
        <v>1205</v>
      </c>
      <c r="D51" s="69" t="s">
        <v>1162</v>
      </c>
      <c r="E51" s="70" t="s">
        <v>1163</v>
      </c>
    </row>
    <row r="52">
      <c r="A52" s="67">
        <v>42.0</v>
      </c>
      <c r="B52" s="31" t="s">
        <v>205</v>
      </c>
      <c r="C52" s="68" t="s">
        <v>1206</v>
      </c>
      <c r="D52" s="69" t="s">
        <v>1162</v>
      </c>
      <c r="E52" s="70" t="s">
        <v>1163</v>
      </c>
    </row>
    <row r="53">
      <c r="A53" s="67">
        <v>43.0</v>
      </c>
      <c r="B53" s="31" t="s">
        <v>207</v>
      </c>
      <c r="C53" s="71" t="s">
        <v>1207</v>
      </c>
      <c r="D53" s="69" t="s">
        <v>1162</v>
      </c>
      <c r="E53" s="70" t="s">
        <v>1163</v>
      </c>
    </row>
    <row r="54">
      <c r="A54" s="67">
        <v>44.0</v>
      </c>
      <c r="B54" s="31" t="s">
        <v>209</v>
      </c>
      <c r="C54" s="68" t="s">
        <v>1208</v>
      </c>
      <c r="D54" s="69" t="s">
        <v>1162</v>
      </c>
      <c r="E54" s="70" t="s">
        <v>1163</v>
      </c>
    </row>
    <row r="55">
      <c r="A55" s="67">
        <v>45.0</v>
      </c>
      <c r="B55" s="31" t="s">
        <v>211</v>
      </c>
      <c r="C55" s="68" t="s">
        <v>1209</v>
      </c>
      <c r="D55" s="69" t="s">
        <v>1162</v>
      </c>
      <c r="E55" s="70" t="s">
        <v>1163</v>
      </c>
    </row>
    <row r="56">
      <c r="A56" s="67">
        <v>46.0</v>
      </c>
      <c r="B56" s="31" t="s">
        <v>213</v>
      </c>
      <c r="C56" s="68" t="s">
        <v>1210</v>
      </c>
      <c r="D56" s="69" t="s">
        <v>1162</v>
      </c>
      <c r="E56" s="70" t="s">
        <v>1163</v>
      </c>
    </row>
    <row r="57">
      <c r="A57" s="67">
        <v>47.0</v>
      </c>
      <c r="B57" s="31" t="s">
        <v>215</v>
      </c>
      <c r="C57" s="68" t="s">
        <v>1211</v>
      </c>
      <c r="D57" s="69" t="s">
        <v>1162</v>
      </c>
      <c r="E57" s="70" t="s">
        <v>1163</v>
      </c>
    </row>
    <row r="58">
      <c r="A58" s="72">
        <v>48.0</v>
      </c>
      <c r="B58" s="73"/>
      <c r="C58" s="74" t="s">
        <v>1212</v>
      </c>
      <c r="D58" s="69" t="s">
        <v>1162</v>
      </c>
      <c r="E58" s="70" t="s">
        <v>1163</v>
      </c>
    </row>
    <row r="59">
      <c r="A59" s="62"/>
      <c r="B59" s="63"/>
      <c r="C59" s="62"/>
      <c r="D59" s="75"/>
      <c r="E59" s="75"/>
    </row>
    <row r="60">
      <c r="A60" s="62" t="s">
        <v>3</v>
      </c>
      <c r="B60" s="63"/>
      <c r="C60" s="62" t="s">
        <v>4</v>
      </c>
      <c r="D60" s="75"/>
      <c r="E60" s="75"/>
    </row>
    <row r="61">
      <c r="A61" s="62" t="s">
        <v>5</v>
      </c>
      <c r="B61" s="63"/>
      <c r="C61" s="62" t="s">
        <v>6</v>
      </c>
      <c r="D61" s="75"/>
      <c r="E61" s="63"/>
    </row>
    <row r="62">
      <c r="A62" s="62" t="s">
        <v>7</v>
      </c>
      <c r="B62" s="63"/>
      <c r="C62" s="62" t="s">
        <v>8</v>
      </c>
      <c r="D62" s="75"/>
      <c r="E62" s="63"/>
    </row>
    <row r="63">
      <c r="A63" s="63"/>
      <c r="B63" s="63"/>
      <c r="C63" s="63"/>
      <c r="D63" s="63"/>
      <c r="E63" s="63"/>
    </row>
    <row r="64">
      <c r="A64" s="76" t="s">
        <v>9</v>
      </c>
      <c r="B64" s="77" t="s">
        <v>10</v>
      </c>
      <c r="C64" s="76" t="s">
        <v>11</v>
      </c>
      <c r="D64" s="78" t="s">
        <v>5</v>
      </c>
      <c r="E64" s="79" t="s">
        <v>19</v>
      </c>
    </row>
    <row r="65">
      <c r="A65" s="20"/>
      <c r="B65" s="20"/>
      <c r="C65" s="20"/>
      <c r="D65" s="20"/>
      <c r="E65" s="20"/>
    </row>
    <row r="66">
      <c r="A66" s="67">
        <v>1.0</v>
      </c>
      <c r="B66" s="31" t="s">
        <v>23</v>
      </c>
      <c r="C66" s="68" t="s">
        <v>1213</v>
      </c>
      <c r="D66" s="69" t="s">
        <v>1214</v>
      </c>
      <c r="E66" s="70" t="s">
        <v>1168</v>
      </c>
    </row>
    <row r="67">
      <c r="A67" s="67">
        <v>2.0</v>
      </c>
      <c r="B67" s="31" t="s">
        <v>25</v>
      </c>
      <c r="C67" s="68" t="s">
        <v>1215</v>
      </c>
      <c r="D67" s="69" t="s">
        <v>1214</v>
      </c>
      <c r="E67" s="70" t="s">
        <v>1168</v>
      </c>
    </row>
    <row r="68">
      <c r="A68" s="67">
        <v>3.0</v>
      </c>
      <c r="B68" s="31" t="s">
        <v>27</v>
      </c>
      <c r="C68" s="68" t="s">
        <v>1216</v>
      </c>
      <c r="D68" s="69" t="s">
        <v>1214</v>
      </c>
      <c r="E68" s="70" t="s">
        <v>1168</v>
      </c>
    </row>
    <row r="69">
      <c r="A69" s="67">
        <v>4.0</v>
      </c>
      <c r="B69" s="31" t="s">
        <v>29</v>
      </c>
      <c r="C69" s="68" t="s">
        <v>1217</v>
      </c>
      <c r="D69" s="69" t="s">
        <v>1214</v>
      </c>
      <c r="E69" s="70" t="s">
        <v>1163</v>
      </c>
    </row>
    <row r="70">
      <c r="A70" s="67">
        <v>5.0</v>
      </c>
      <c r="B70" s="31" t="s">
        <v>31</v>
      </c>
      <c r="C70" s="68" t="s">
        <v>1218</v>
      </c>
      <c r="D70" s="69" t="s">
        <v>1214</v>
      </c>
      <c r="E70" s="70" t="s">
        <v>1168</v>
      </c>
    </row>
    <row r="71">
      <c r="A71" s="67">
        <v>6.0</v>
      </c>
      <c r="B71" s="31" t="s">
        <v>33</v>
      </c>
      <c r="C71" s="68" t="s">
        <v>1219</v>
      </c>
      <c r="D71" s="69" t="s">
        <v>1214</v>
      </c>
      <c r="E71" s="70" t="s">
        <v>1163</v>
      </c>
    </row>
    <row r="72">
      <c r="A72" s="67">
        <v>7.0</v>
      </c>
      <c r="B72" s="31" t="s">
        <v>35</v>
      </c>
      <c r="C72" s="68" t="s">
        <v>1220</v>
      </c>
      <c r="D72" s="69" t="s">
        <v>1214</v>
      </c>
      <c r="E72" s="70" t="s">
        <v>1163</v>
      </c>
    </row>
    <row r="73">
      <c r="A73" s="67">
        <v>8.0</v>
      </c>
      <c r="B73" s="31" t="s">
        <v>37</v>
      </c>
      <c r="C73" s="68" t="s">
        <v>1221</v>
      </c>
      <c r="D73" s="69" t="s">
        <v>1214</v>
      </c>
      <c r="E73" s="70" t="s">
        <v>1163</v>
      </c>
    </row>
    <row r="74">
      <c r="A74" s="67">
        <v>9.0</v>
      </c>
      <c r="B74" s="31" t="s">
        <v>39</v>
      </c>
      <c r="C74" s="68" t="s">
        <v>1222</v>
      </c>
      <c r="D74" s="69" t="s">
        <v>1214</v>
      </c>
      <c r="E74" s="70" t="s">
        <v>1163</v>
      </c>
    </row>
    <row r="75">
      <c r="A75" s="67">
        <v>10.0</v>
      </c>
      <c r="B75" s="31" t="s">
        <v>41</v>
      </c>
      <c r="C75" s="68" t="s">
        <v>1223</v>
      </c>
      <c r="D75" s="69" t="s">
        <v>1214</v>
      </c>
      <c r="E75" s="70" t="s">
        <v>1168</v>
      </c>
    </row>
    <row r="76">
      <c r="A76" s="67">
        <v>11.0</v>
      </c>
      <c r="B76" s="31" t="s">
        <v>43</v>
      </c>
      <c r="C76" s="68" t="s">
        <v>1224</v>
      </c>
      <c r="D76" s="69" t="s">
        <v>1214</v>
      </c>
      <c r="E76" s="70" t="s">
        <v>1163</v>
      </c>
    </row>
    <row r="77">
      <c r="A77" s="67">
        <v>12.0</v>
      </c>
      <c r="B77" s="31" t="s">
        <v>45</v>
      </c>
      <c r="C77" s="71" t="s">
        <v>1225</v>
      </c>
      <c r="D77" s="69" t="s">
        <v>1214</v>
      </c>
      <c r="E77" s="70" t="s">
        <v>1163</v>
      </c>
    </row>
    <row r="78">
      <c r="A78" s="67">
        <v>13.0</v>
      </c>
      <c r="B78" s="31" t="s">
        <v>47</v>
      </c>
      <c r="C78" s="68" t="s">
        <v>1226</v>
      </c>
      <c r="D78" s="69" t="s">
        <v>1214</v>
      </c>
      <c r="E78" s="70" t="s">
        <v>1168</v>
      </c>
    </row>
    <row r="79">
      <c r="A79" s="67">
        <v>14.0</v>
      </c>
      <c r="B79" s="31" t="s">
        <v>49</v>
      </c>
      <c r="C79" s="68" t="s">
        <v>1227</v>
      </c>
      <c r="D79" s="69" t="s">
        <v>1214</v>
      </c>
      <c r="E79" s="70" t="s">
        <v>1163</v>
      </c>
    </row>
    <row r="80">
      <c r="A80" s="67">
        <v>15.0</v>
      </c>
      <c r="B80" s="31" t="s">
        <v>51</v>
      </c>
      <c r="C80" s="68" t="s">
        <v>1228</v>
      </c>
      <c r="D80" s="69" t="s">
        <v>1214</v>
      </c>
      <c r="E80" s="70" t="s">
        <v>1163</v>
      </c>
    </row>
    <row r="81">
      <c r="A81" s="67">
        <v>16.0</v>
      </c>
      <c r="B81" s="31" t="s">
        <v>53</v>
      </c>
      <c r="C81" s="68" t="s">
        <v>1229</v>
      </c>
      <c r="D81" s="69" t="s">
        <v>1214</v>
      </c>
      <c r="E81" s="70" t="s">
        <v>1163</v>
      </c>
    </row>
    <row r="82">
      <c r="A82" s="67">
        <v>17.0</v>
      </c>
      <c r="B82" s="31" t="s">
        <v>55</v>
      </c>
      <c r="C82" s="68" t="s">
        <v>1230</v>
      </c>
      <c r="D82" s="69" t="s">
        <v>1214</v>
      </c>
      <c r="E82" s="70" t="s">
        <v>1163</v>
      </c>
    </row>
    <row r="83">
      <c r="A83" s="67">
        <v>18.0</v>
      </c>
      <c r="B83" s="31" t="s">
        <v>57</v>
      </c>
      <c r="C83" s="68" t="s">
        <v>1231</v>
      </c>
      <c r="D83" s="69" t="s">
        <v>1214</v>
      </c>
      <c r="E83" s="70" t="s">
        <v>1163</v>
      </c>
    </row>
    <row r="84">
      <c r="A84" s="67">
        <v>19.0</v>
      </c>
      <c r="B84" s="31" t="s">
        <v>59</v>
      </c>
      <c r="C84" s="68" t="s">
        <v>1232</v>
      </c>
      <c r="D84" s="69" t="s">
        <v>1214</v>
      </c>
      <c r="E84" s="70" t="s">
        <v>1163</v>
      </c>
    </row>
    <row r="85">
      <c r="A85" s="67">
        <v>20.0</v>
      </c>
      <c r="B85" s="31" t="s">
        <v>61</v>
      </c>
      <c r="C85" s="68" t="s">
        <v>1233</v>
      </c>
      <c r="D85" s="69" t="s">
        <v>1214</v>
      </c>
      <c r="E85" s="70" t="s">
        <v>1168</v>
      </c>
    </row>
    <row r="86">
      <c r="A86" s="67">
        <v>21.0</v>
      </c>
      <c r="B86" s="31" t="s">
        <v>63</v>
      </c>
      <c r="C86" s="68" t="s">
        <v>1234</v>
      </c>
      <c r="D86" s="69" t="s">
        <v>1214</v>
      </c>
      <c r="E86" s="69" t="s">
        <v>1187</v>
      </c>
    </row>
    <row r="87">
      <c r="A87" s="67">
        <v>22.0</v>
      </c>
      <c r="B87" s="31" t="s">
        <v>65</v>
      </c>
      <c r="C87" s="68" t="s">
        <v>1235</v>
      </c>
      <c r="D87" s="69" t="s">
        <v>1214</v>
      </c>
      <c r="E87" s="70" t="s">
        <v>1168</v>
      </c>
    </row>
    <row r="88">
      <c r="A88" s="67">
        <v>23.0</v>
      </c>
      <c r="B88" s="31" t="s">
        <v>67</v>
      </c>
      <c r="C88" s="68" t="s">
        <v>1236</v>
      </c>
      <c r="D88" s="69" t="s">
        <v>1214</v>
      </c>
      <c r="E88" s="70" t="s">
        <v>1163</v>
      </c>
    </row>
    <row r="89">
      <c r="A89" s="67">
        <v>24.0</v>
      </c>
      <c r="B89" s="31" t="s">
        <v>69</v>
      </c>
      <c r="C89" s="68" t="s">
        <v>1237</v>
      </c>
      <c r="D89" s="69" t="s">
        <v>1214</v>
      </c>
      <c r="E89" s="70" t="s">
        <v>1163</v>
      </c>
    </row>
    <row r="90">
      <c r="A90" s="67">
        <v>25.0</v>
      </c>
      <c r="B90" s="31" t="s">
        <v>71</v>
      </c>
      <c r="C90" s="68" t="s">
        <v>1238</v>
      </c>
      <c r="D90" s="69" t="s">
        <v>1214</v>
      </c>
      <c r="E90" s="70" t="s">
        <v>1163</v>
      </c>
    </row>
    <row r="91">
      <c r="A91" s="67">
        <v>26.0</v>
      </c>
      <c r="B91" s="31" t="s">
        <v>73</v>
      </c>
      <c r="C91" s="68" t="s">
        <v>1239</v>
      </c>
      <c r="D91" s="69" t="s">
        <v>1214</v>
      </c>
      <c r="E91" s="70" t="s">
        <v>1163</v>
      </c>
    </row>
    <row r="92">
      <c r="A92" s="67">
        <v>27.0</v>
      </c>
      <c r="B92" s="31" t="s">
        <v>75</v>
      </c>
      <c r="C92" s="68" t="s">
        <v>1240</v>
      </c>
      <c r="D92" s="69" t="s">
        <v>1214</v>
      </c>
      <c r="E92" s="70" t="s">
        <v>1168</v>
      </c>
    </row>
    <row r="93">
      <c r="A93" s="67">
        <v>28.0</v>
      </c>
      <c r="B93" s="31" t="s">
        <v>77</v>
      </c>
      <c r="C93" s="68" t="s">
        <v>1241</v>
      </c>
      <c r="D93" s="69" t="s">
        <v>1214</v>
      </c>
      <c r="E93" s="70" t="s">
        <v>1168</v>
      </c>
    </row>
    <row r="94">
      <c r="A94" s="67">
        <v>29.0</v>
      </c>
      <c r="B94" s="31" t="s">
        <v>79</v>
      </c>
      <c r="C94" s="68" t="s">
        <v>1242</v>
      </c>
      <c r="D94" s="69" t="s">
        <v>1214</v>
      </c>
      <c r="E94" s="70" t="s">
        <v>1168</v>
      </c>
    </row>
    <row r="95">
      <c r="A95" s="67">
        <v>30.0</v>
      </c>
      <c r="B95" s="31" t="s">
        <v>81</v>
      </c>
      <c r="C95" s="68" t="s">
        <v>1243</v>
      </c>
      <c r="D95" s="69" t="s">
        <v>1214</v>
      </c>
      <c r="E95" s="70" t="s">
        <v>1163</v>
      </c>
    </row>
    <row r="96">
      <c r="A96" s="67">
        <v>31.0</v>
      </c>
      <c r="B96" s="31" t="s">
        <v>83</v>
      </c>
      <c r="C96" s="68" t="s">
        <v>1244</v>
      </c>
      <c r="D96" s="69" t="s">
        <v>1214</v>
      </c>
      <c r="E96" s="70" t="s">
        <v>1163</v>
      </c>
    </row>
    <row r="97">
      <c r="A97" s="67">
        <v>32.0</v>
      </c>
      <c r="B97" s="31" t="s">
        <v>85</v>
      </c>
      <c r="C97" s="68" t="s">
        <v>1245</v>
      </c>
      <c r="D97" s="69" t="s">
        <v>1214</v>
      </c>
      <c r="E97" s="70" t="s">
        <v>1163</v>
      </c>
    </row>
    <row r="98">
      <c r="A98" s="67">
        <v>33.0</v>
      </c>
      <c r="B98" s="31" t="s">
        <v>87</v>
      </c>
      <c r="C98" s="68" t="s">
        <v>1246</v>
      </c>
      <c r="D98" s="69" t="s">
        <v>1214</v>
      </c>
      <c r="E98" s="70" t="s">
        <v>1168</v>
      </c>
    </row>
    <row r="99">
      <c r="A99" s="67">
        <v>34.0</v>
      </c>
      <c r="B99" s="31" t="s">
        <v>89</v>
      </c>
      <c r="C99" s="68" t="s">
        <v>1247</v>
      </c>
      <c r="D99" s="69" t="s">
        <v>1214</v>
      </c>
      <c r="E99" s="70" t="s">
        <v>1163</v>
      </c>
    </row>
    <row r="100">
      <c r="A100" s="67">
        <v>35.0</v>
      </c>
      <c r="B100" s="31" t="s">
        <v>91</v>
      </c>
      <c r="C100" s="68" t="s">
        <v>1248</v>
      </c>
      <c r="D100" s="69" t="s">
        <v>1214</v>
      </c>
      <c r="E100" s="70" t="s">
        <v>1168</v>
      </c>
    </row>
    <row r="101">
      <c r="A101" s="67">
        <v>36.0</v>
      </c>
      <c r="B101" s="31" t="s">
        <v>93</v>
      </c>
      <c r="C101" s="68" t="s">
        <v>1249</v>
      </c>
      <c r="D101" s="69" t="s">
        <v>1214</v>
      </c>
      <c r="E101" s="70" t="s">
        <v>1163</v>
      </c>
    </row>
    <row r="102">
      <c r="A102" s="67">
        <v>37.0</v>
      </c>
      <c r="B102" s="31" t="s">
        <v>95</v>
      </c>
      <c r="C102" s="68" t="s">
        <v>1250</v>
      </c>
      <c r="D102" s="69" t="s">
        <v>1214</v>
      </c>
      <c r="E102" s="70" t="s">
        <v>1163</v>
      </c>
    </row>
    <row r="103">
      <c r="A103" s="67">
        <v>38.0</v>
      </c>
      <c r="B103" s="31" t="s">
        <v>97</v>
      </c>
      <c r="C103" s="68" t="s">
        <v>1251</v>
      </c>
      <c r="D103" s="69" t="s">
        <v>1214</v>
      </c>
      <c r="E103" s="69" t="s">
        <v>1187</v>
      </c>
    </row>
    <row r="104">
      <c r="A104" s="67">
        <v>39.0</v>
      </c>
      <c r="B104" s="31" t="s">
        <v>99</v>
      </c>
      <c r="C104" s="68" t="s">
        <v>1252</v>
      </c>
      <c r="D104" s="69" t="s">
        <v>1214</v>
      </c>
      <c r="E104" s="70" t="s">
        <v>1168</v>
      </c>
    </row>
    <row r="105">
      <c r="A105" s="67">
        <v>40.0</v>
      </c>
      <c r="B105" s="31" t="s">
        <v>101</v>
      </c>
      <c r="C105" s="68" t="s">
        <v>1253</v>
      </c>
      <c r="D105" s="69" t="s">
        <v>1214</v>
      </c>
      <c r="E105" s="70" t="s">
        <v>1163</v>
      </c>
    </row>
    <row r="106">
      <c r="A106" s="67">
        <v>41.0</v>
      </c>
      <c r="B106" s="31" t="s">
        <v>103</v>
      </c>
      <c r="C106" s="68" t="s">
        <v>1254</v>
      </c>
      <c r="D106" s="69" t="s">
        <v>1214</v>
      </c>
      <c r="E106" s="70" t="s">
        <v>1163</v>
      </c>
    </row>
    <row r="107">
      <c r="A107" s="67">
        <v>42.0</v>
      </c>
      <c r="B107" s="31" t="s">
        <v>105</v>
      </c>
      <c r="C107" s="68" t="s">
        <v>1255</v>
      </c>
      <c r="D107" s="69" t="s">
        <v>1214</v>
      </c>
      <c r="E107" s="70" t="s">
        <v>1163</v>
      </c>
    </row>
    <row r="108">
      <c r="A108" s="67">
        <v>43.0</v>
      </c>
      <c r="B108" s="31" t="s">
        <v>107</v>
      </c>
      <c r="C108" s="68" t="s">
        <v>1256</v>
      </c>
      <c r="D108" s="69" t="s">
        <v>1214</v>
      </c>
      <c r="E108" s="70" t="s">
        <v>1163</v>
      </c>
    </row>
    <row r="109">
      <c r="A109" s="67">
        <v>44.0</v>
      </c>
      <c r="B109" s="31" t="s">
        <v>109</v>
      </c>
      <c r="C109" s="68" t="s">
        <v>1257</v>
      </c>
      <c r="D109" s="69" t="s">
        <v>1214</v>
      </c>
      <c r="E109" s="69" t="s">
        <v>1187</v>
      </c>
    </row>
    <row r="110">
      <c r="A110" s="67">
        <v>45.0</v>
      </c>
      <c r="B110" s="31" t="s">
        <v>111</v>
      </c>
      <c r="C110" s="68" t="s">
        <v>1258</v>
      </c>
      <c r="D110" s="69" t="s">
        <v>1214</v>
      </c>
      <c r="E110" s="70" t="s">
        <v>1168</v>
      </c>
    </row>
    <row r="111">
      <c r="A111" s="67">
        <v>46.0</v>
      </c>
      <c r="B111" s="31" t="s">
        <v>113</v>
      </c>
      <c r="C111" s="68" t="s">
        <v>1259</v>
      </c>
      <c r="D111" s="69" t="s">
        <v>1214</v>
      </c>
      <c r="E111" s="70" t="s">
        <v>1163</v>
      </c>
    </row>
    <row r="112">
      <c r="A112" s="67">
        <v>47.0</v>
      </c>
      <c r="B112" s="31" t="s">
        <v>115</v>
      </c>
      <c r="C112" s="68" t="s">
        <v>1260</v>
      </c>
      <c r="D112" s="69" t="s">
        <v>1214</v>
      </c>
      <c r="E112" s="70" t="s">
        <v>1163</v>
      </c>
    </row>
    <row r="113">
      <c r="A113" s="63"/>
      <c r="B113" s="63"/>
      <c r="C113" s="63"/>
      <c r="D113" s="63"/>
      <c r="E113" s="63"/>
    </row>
    <row r="114">
      <c r="A114" s="62" t="s">
        <v>3</v>
      </c>
      <c r="B114" s="63"/>
      <c r="C114" s="62" t="s">
        <v>4</v>
      </c>
      <c r="D114" s="63"/>
      <c r="E114" s="63"/>
    </row>
    <row r="115">
      <c r="A115" s="62" t="s">
        <v>5</v>
      </c>
      <c r="B115" s="63"/>
      <c r="C115" s="62" t="s">
        <v>218</v>
      </c>
      <c r="D115" s="63"/>
      <c r="E115" s="63"/>
    </row>
    <row r="116">
      <c r="A116" s="62" t="s">
        <v>7</v>
      </c>
      <c r="B116" s="63"/>
      <c r="C116" s="62" t="s">
        <v>8</v>
      </c>
      <c r="D116" s="63"/>
      <c r="E116" s="63"/>
    </row>
    <row r="117">
      <c r="A117" s="63"/>
      <c r="B117" s="63"/>
      <c r="C117" s="63"/>
      <c r="D117" s="63"/>
      <c r="E117" s="63"/>
    </row>
    <row r="118">
      <c r="A118" s="80" t="s">
        <v>9</v>
      </c>
      <c r="B118" s="81" t="s">
        <v>10</v>
      </c>
      <c r="C118" s="80" t="s">
        <v>11</v>
      </c>
      <c r="D118" s="82" t="s">
        <v>5</v>
      </c>
      <c r="E118" s="83" t="s">
        <v>19</v>
      </c>
    </row>
    <row r="119">
      <c r="A119" s="20"/>
      <c r="B119" s="20"/>
      <c r="C119" s="20"/>
      <c r="D119" s="20"/>
      <c r="E119" s="20"/>
    </row>
    <row r="120">
      <c r="A120" s="67">
        <v>1.0</v>
      </c>
      <c r="B120" s="31" t="s">
        <v>219</v>
      </c>
      <c r="C120" s="71" t="s">
        <v>1261</v>
      </c>
      <c r="D120" s="69" t="s">
        <v>1262</v>
      </c>
      <c r="E120" s="70" t="s">
        <v>1168</v>
      </c>
    </row>
    <row r="121">
      <c r="A121" s="67">
        <v>2.0</v>
      </c>
      <c r="B121" s="31" t="s">
        <v>221</v>
      </c>
      <c r="C121" s="71" t="s">
        <v>1263</v>
      </c>
      <c r="D121" s="69" t="s">
        <v>1262</v>
      </c>
      <c r="E121" s="70" t="s">
        <v>1163</v>
      </c>
    </row>
    <row r="122">
      <c r="A122" s="67">
        <v>3.0</v>
      </c>
      <c r="B122" s="31" t="s">
        <v>223</v>
      </c>
      <c r="C122" s="71" t="s">
        <v>1264</v>
      </c>
      <c r="D122" s="69" t="s">
        <v>1262</v>
      </c>
      <c r="E122" s="70" t="s">
        <v>1163</v>
      </c>
    </row>
    <row r="123">
      <c r="A123" s="67">
        <v>4.0</v>
      </c>
      <c r="B123" s="31" t="s">
        <v>225</v>
      </c>
      <c r="C123" s="71" t="s">
        <v>1265</v>
      </c>
      <c r="D123" s="69" t="s">
        <v>1262</v>
      </c>
      <c r="E123" s="70" t="s">
        <v>1163</v>
      </c>
    </row>
    <row r="124">
      <c r="A124" s="67">
        <v>5.0</v>
      </c>
      <c r="B124" s="31" t="s">
        <v>227</v>
      </c>
      <c r="C124" s="71" t="s">
        <v>1266</v>
      </c>
      <c r="D124" s="69" t="s">
        <v>1262</v>
      </c>
      <c r="E124" s="70" t="s">
        <v>1163</v>
      </c>
    </row>
    <row r="125">
      <c r="A125" s="67">
        <v>6.0</v>
      </c>
      <c r="B125" s="31" t="s">
        <v>229</v>
      </c>
      <c r="C125" s="71" t="s">
        <v>1267</v>
      </c>
      <c r="D125" s="69" t="s">
        <v>1262</v>
      </c>
      <c r="E125" s="70" t="s">
        <v>1163</v>
      </c>
    </row>
    <row r="126">
      <c r="A126" s="67">
        <v>7.0</v>
      </c>
      <c r="B126" s="31" t="s">
        <v>231</v>
      </c>
      <c r="C126" s="71" t="s">
        <v>1268</v>
      </c>
      <c r="D126" s="69" t="s">
        <v>1262</v>
      </c>
      <c r="E126" s="70" t="s">
        <v>1163</v>
      </c>
    </row>
    <row r="127">
      <c r="A127" s="67">
        <v>8.0</v>
      </c>
      <c r="B127" s="31" t="s">
        <v>233</v>
      </c>
      <c r="C127" s="71" t="s">
        <v>1269</v>
      </c>
      <c r="D127" s="69" t="s">
        <v>1262</v>
      </c>
      <c r="E127" s="70" t="s">
        <v>1163</v>
      </c>
    </row>
    <row r="128">
      <c r="A128" s="67">
        <v>9.0</v>
      </c>
      <c r="B128" s="31" t="s">
        <v>235</v>
      </c>
      <c r="C128" s="71" t="s">
        <v>1270</v>
      </c>
      <c r="D128" s="69" t="s">
        <v>1262</v>
      </c>
      <c r="E128" s="70" t="s">
        <v>1163</v>
      </c>
    </row>
    <row r="129">
      <c r="A129" s="67">
        <v>10.0</v>
      </c>
      <c r="B129" s="31" t="s">
        <v>237</v>
      </c>
      <c r="C129" s="71" t="s">
        <v>1271</v>
      </c>
      <c r="D129" s="69" t="s">
        <v>1262</v>
      </c>
      <c r="E129" s="70" t="s">
        <v>1168</v>
      </c>
    </row>
    <row r="130">
      <c r="A130" s="67">
        <v>11.0</v>
      </c>
      <c r="B130" s="31" t="s">
        <v>239</v>
      </c>
      <c r="C130" s="71" t="s">
        <v>1272</v>
      </c>
      <c r="D130" s="69" t="s">
        <v>1262</v>
      </c>
      <c r="E130" s="70" t="s">
        <v>1163</v>
      </c>
    </row>
    <row r="131">
      <c r="A131" s="67">
        <v>12.0</v>
      </c>
      <c r="B131" s="31" t="s">
        <v>241</v>
      </c>
      <c r="C131" s="71" t="s">
        <v>1273</v>
      </c>
      <c r="D131" s="69" t="s">
        <v>1262</v>
      </c>
      <c r="E131" s="70" t="s">
        <v>1163</v>
      </c>
    </row>
    <row r="132">
      <c r="A132" s="67">
        <v>13.0</v>
      </c>
      <c r="B132" s="31" t="s">
        <v>243</v>
      </c>
      <c r="C132" s="71" t="s">
        <v>1274</v>
      </c>
      <c r="D132" s="69" t="s">
        <v>1262</v>
      </c>
      <c r="E132" s="70" t="s">
        <v>1168</v>
      </c>
    </row>
    <row r="133">
      <c r="A133" s="67">
        <v>14.0</v>
      </c>
      <c r="B133" s="31" t="s">
        <v>245</v>
      </c>
      <c r="C133" s="71" t="s">
        <v>1275</v>
      </c>
      <c r="D133" s="69" t="s">
        <v>1262</v>
      </c>
      <c r="E133" s="70" t="s">
        <v>1168</v>
      </c>
    </row>
    <row r="134">
      <c r="A134" s="67">
        <v>15.0</v>
      </c>
      <c r="B134" s="31" t="s">
        <v>247</v>
      </c>
      <c r="C134" s="71" t="s">
        <v>1276</v>
      </c>
      <c r="D134" s="69" t="s">
        <v>1262</v>
      </c>
      <c r="E134" s="70" t="s">
        <v>1163</v>
      </c>
    </row>
    <row r="135">
      <c r="A135" s="67">
        <v>16.0</v>
      </c>
      <c r="B135" s="31" t="s">
        <v>249</v>
      </c>
      <c r="C135" s="71" t="s">
        <v>1277</v>
      </c>
      <c r="D135" s="69" t="s">
        <v>1262</v>
      </c>
      <c r="E135" s="70" t="s">
        <v>1168</v>
      </c>
    </row>
    <row r="136">
      <c r="A136" s="67">
        <v>17.0</v>
      </c>
      <c r="B136" s="31" t="s">
        <v>251</v>
      </c>
      <c r="C136" s="71" t="s">
        <v>1278</v>
      </c>
      <c r="D136" s="69" t="s">
        <v>1262</v>
      </c>
      <c r="E136" s="70" t="s">
        <v>1163</v>
      </c>
    </row>
    <row r="137">
      <c r="A137" s="67">
        <v>18.0</v>
      </c>
      <c r="B137" s="31" t="s">
        <v>253</v>
      </c>
      <c r="C137" s="71" t="s">
        <v>1279</v>
      </c>
      <c r="D137" s="69" t="s">
        <v>1262</v>
      </c>
      <c r="E137" s="70" t="s">
        <v>1163</v>
      </c>
    </row>
    <row r="138">
      <c r="A138" s="67">
        <v>19.0</v>
      </c>
      <c r="B138" s="31" t="s">
        <v>255</v>
      </c>
      <c r="C138" s="71" t="s">
        <v>1280</v>
      </c>
      <c r="D138" s="69" t="s">
        <v>1262</v>
      </c>
      <c r="E138" s="69" t="s">
        <v>1187</v>
      </c>
    </row>
    <row r="139">
      <c r="A139" s="67">
        <v>20.0</v>
      </c>
      <c r="B139" s="31" t="s">
        <v>257</v>
      </c>
      <c r="C139" s="71" t="s">
        <v>1281</v>
      </c>
      <c r="D139" s="69" t="s">
        <v>1262</v>
      </c>
      <c r="E139" s="69" t="s">
        <v>1187</v>
      </c>
    </row>
    <row r="140">
      <c r="A140" s="67">
        <v>21.0</v>
      </c>
      <c r="B140" s="31" t="s">
        <v>259</v>
      </c>
      <c r="C140" s="71" t="s">
        <v>1282</v>
      </c>
      <c r="D140" s="69" t="s">
        <v>1262</v>
      </c>
      <c r="E140" s="70" t="s">
        <v>1168</v>
      </c>
    </row>
    <row r="141">
      <c r="A141" s="67">
        <v>22.0</v>
      </c>
      <c r="B141" s="31" t="s">
        <v>261</v>
      </c>
      <c r="C141" s="71" t="s">
        <v>1283</v>
      </c>
      <c r="D141" s="69" t="s">
        <v>1262</v>
      </c>
      <c r="E141" s="70" t="s">
        <v>1163</v>
      </c>
    </row>
    <row r="142">
      <c r="A142" s="67">
        <v>23.0</v>
      </c>
      <c r="B142" s="31" t="s">
        <v>263</v>
      </c>
      <c r="C142" s="71" t="s">
        <v>1284</v>
      </c>
      <c r="D142" s="69" t="s">
        <v>1262</v>
      </c>
      <c r="E142" s="70" t="s">
        <v>1168</v>
      </c>
    </row>
    <row r="143">
      <c r="A143" s="67">
        <v>24.0</v>
      </c>
      <c r="B143" s="31" t="s">
        <v>265</v>
      </c>
      <c r="C143" s="71" t="s">
        <v>1285</v>
      </c>
      <c r="D143" s="69" t="s">
        <v>1262</v>
      </c>
      <c r="E143" s="70" t="s">
        <v>1163</v>
      </c>
    </row>
    <row r="144">
      <c r="A144" s="67">
        <v>25.0</v>
      </c>
      <c r="B144" s="31" t="s">
        <v>267</v>
      </c>
      <c r="C144" s="71" t="s">
        <v>1286</v>
      </c>
      <c r="D144" s="69" t="s">
        <v>1262</v>
      </c>
      <c r="E144" s="69" t="s">
        <v>1187</v>
      </c>
    </row>
    <row r="145">
      <c r="A145" s="67">
        <v>26.0</v>
      </c>
      <c r="B145" s="31" t="s">
        <v>269</v>
      </c>
      <c r="C145" s="71" t="s">
        <v>1287</v>
      </c>
      <c r="D145" s="69" t="s">
        <v>1262</v>
      </c>
      <c r="E145" s="70" t="s">
        <v>1163</v>
      </c>
    </row>
    <row r="146">
      <c r="A146" s="67">
        <v>27.0</v>
      </c>
      <c r="B146" s="31" t="s">
        <v>271</v>
      </c>
      <c r="C146" s="71" t="s">
        <v>1288</v>
      </c>
      <c r="D146" s="69" t="s">
        <v>1262</v>
      </c>
      <c r="E146" s="70" t="s">
        <v>1168</v>
      </c>
    </row>
    <row r="147">
      <c r="A147" s="67">
        <v>28.0</v>
      </c>
      <c r="B147" s="31" t="s">
        <v>273</v>
      </c>
      <c r="C147" s="71" t="s">
        <v>1289</v>
      </c>
      <c r="D147" s="69" t="s">
        <v>1262</v>
      </c>
      <c r="E147" s="70" t="s">
        <v>1168</v>
      </c>
    </row>
    <row r="148">
      <c r="A148" s="67">
        <v>29.0</v>
      </c>
      <c r="B148" s="31" t="s">
        <v>275</v>
      </c>
      <c r="C148" s="71" t="s">
        <v>1290</v>
      </c>
      <c r="D148" s="69" t="s">
        <v>1262</v>
      </c>
      <c r="E148" s="69" t="s">
        <v>1187</v>
      </c>
    </row>
    <row r="149">
      <c r="A149" s="67">
        <v>30.0</v>
      </c>
      <c r="B149" s="31" t="s">
        <v>277</v>
      </c>
      <c r="C149" s="71" t="s">
        <v>1291</v>
      </c>
      <c r="D149" s="69" t="s">
        <v>1262</v>
      </c>
      <c r="E149" s="70" t="s">
        <v>1168</v>
      </c>
    </row>
    <row r="150">
      <c r="A150" s="67">
        <v>31.0</v>
      </c>
      <c r="B150" s="31" t="s">
        <v>279</v>
      </c>
      <c r="C150" s="71" t="s">
        <v>1292</v>
      </c>
      <c r="D150" s="69" t="s">
        <v>1262</v>
      </c>
      <c r="E150" s="70" t="s">
        <v>1163</v>
      </c>
    </row>
    <row r="151">
      <c r="A151" s="67">
        <v>32.0</v>
      </c>
      <c r="B151" s="31" t="s">
        <v>281</v>
      </c>
      <c r="C151" s="71" t="s">
        <v>1293</v>
      </c>
      <c r="D151" s="69" t="s">
        <v>1262</v>
      </c>
      <c r="E151" s="70" t="s">
        <v>1168</v>
      </c>
    </row>
    <row r="152">
      <c r="A152" s="67">
        <v>33.0</v>
      </c>
      <c r="B152" s="31" t="s">
        <v>283</v>
      </c>
      <c r="C152" s="71" t="s">
        <v>1294</v>
      </c>
      <c r="D152" s="69" t="s">
        <v>1262</v>
      </c>
      <c r="E152" s="70" t="s">
        <v>1163</v>
      </c>
    </row>
    <row r="153">
      <c r="A153" s="67">
        <v>34.0</v>
      </c>
      <c r="B153" s="31" t="s">
        <v>285</v>
      </c>
      <c r="C153" s="71" t="s">
        <v>1295</v>
      </c>
      <c r="D153" s="69" t="s">
        <v>1262</v>
      </c>
      <c r="E153" s="70" t="s">
        <v>1168</v>
      </c>
    </row>
    <row r="154">
      <c r="A154" s="67">
        <v>35.0</v>
      </c>
      <c r="B154" s="31" t="s">
        <v>287</v>
      </c>
      <c r="C154" s="71" t="s">
        <v>1296</v>
      </c>
      <c r="D154" s="69" t="s">
        <v>1262</v>
      </c>
      <c r="E154" s="70" t="s">
        <v>1168</v>
      </c>
    </row>
    <row r="155">
      <c r="A155" s="67">
        <v>36.0</v>
      </c>
      <c r="B155" s="31" t="s">
        <v>289</v>
      </c>
      <c r="C155" s="71" t="s">
        <v>1297</v>
      </c>
      <c r="D155" s="69" t="s">
        <v>1262</v>
      </c>
      <c r="E155" s="70" t="s">
        <v>1168</v>
      </c>
    </row>
    <row r="156">
      <c r="A156" s="67">
        <v>37.0</v>
      </c>
      <c r="B156" s="31" t="s">
        <v>291</v>
      </c>
      <c r="C156" s="71" t="s">
        <v>1298</v>
      </c>
      <c r="D156" s="69" t="s">
        <v>1262</v>
      </c>
      <c r="E156" s="70" t="s">
        <v>1163</v>
      </c>
    </row>
    <row r="157">
      <c r="A157" s="67">
        <v>38.0</v>
      </c>
      <c r="B157" s="31" t="s">
        <v>293</v>
      </c>
      <c r="C157" s="71" t="s">
        <v>1299</v>
      </c>
      <c r="D157" s="69" t="s">
        <v>1262</v>
      </c>
      <c r="E157" s="70" t="s">
        <v>1168</v>
      </c>
    </row>
    <row r="158">
      <c r="A158" s="67">
        <v>39.0</v>
      </c>
      <c r="B158" s="31" t="s">
        <v>295</v>
      </c>
      <c r="C158" s="71" t="s">
        <v>1300</v>
      </c>
      <c r="D158" s="69" t="s">
        <v>1262</v>
      </c>
      <c r="E158" s="70" t="s">
        <v>1168</v>
      </c>
    </row>
    <row r="159">
      <c r="A159" s="67">
        <v>40.0</v>
      </c>
      <c r="B159" s="31" t="s">
        <v>297</v>
      </c>
      <c r="C159" s="71" t="s">
        <v>1301</v>
      </c>
      <c r="D159" s="69" t="s">
        <v>1262</v>
      </c>
      <c r="E159" s="70" t="s">
        <v>1168</v>
      </c>
    </row>
    <row r="160">
      <c r="A160" s="67">
        <v>41.0</v>
      </c>
      <c r="B160" s="31" t="s">
        <v>299</v>
      </c>
      <c r="C160" s="71" t="s">
        <v>1302</v>
      </c>
      <c r="D160" s="69" t="s">
        <v>1262</v>
      </c>
      <c r="E160" s="70" t="s">
        <v>1163</v>
      </c>
    </row>
    <row r="161">
      <c r="A161" s="67">
        <v>42.0</v>
      </c>
      <c r="B161" s="31" t="s">
        <v>301</v>
      </c>
      <c r="C161" s="71" t="s">
        <v>1303</v>
      </c>
      <c r="D161" s="69" t="s">
        <v>1262</v>
      </c>
      <c r="E161" s="70" t="s">
        <v>1163</v>
      </c>
    </row>
    <row r="162">
      <c r="A162" s="67">
        <v>43.0</v>
      </c>
      <c r="B162" s="31" t="s">
        <v>303</v>
      </c>
      <c r="C162" s="71" t="s">
        <v>1304</v>
      </c>
      <c r="D162" s="69" t="s">
        <v>1262</v>
      </c>
      <c r="E162" s="70" t="s">
        <v>1163</v>
      </c>
    </row>
    <row r="163">
      <c r="A163" s="67">
        <v>44.0</v>
      </c>
      <c r="B163" s="31" t="s">
        <v>305</v>
      </c>
      <c r="C163" s="71" t="s">
        <v>1305</v>
      </c>
      <c r="D163" s="69" t="s">
        <v>1262</v>
      </c>
      <c r="E163" s="70" t="s">
        <v>1168</v>
      </c>
    </row>
    <row r="164">
      <c r="A164" s="67">
        <v>45.0</v>
      </c>
      <c r="B164" s="31" t="s">
        <v>307</v>
      </c>
      <c r="C164" s="71" t="s">
        <v>1306</v>
      </c>
      <c r="D164" s="69" t="s">
        <v>1262</v>
      </c>
      <c r="E164" s="70" t="s">
        <v>1163</v>
      </c>
    </row>
    <row r="165">
      <c r="A165" s="63"/>
      <c r="B165" s="63"/>
      <c r="C165" s="63"/>
      <c r="D165" s="63"/>
      <c r="E165" s="63"/>
    </row>
    <row r="166">
      <c r="A166" s="62" t="s">
        <v>3</v>
      </c>
      <c r="B166" s="63"/>
      <c r="C166" s="62" t="s">
        <v>4</v>
      </c>
      <c r="D166" s="63"/>
      <c r="E166" s="63"/>
    </row>
    <row r="167">
      <c r="A167" s="62" t="s">
        <v>5</v>
      </c>
      <c r="B167" s="63"/>
      <c r="C167" s="62" t="s">
        <v>310</v>
      </c>
      <c r="D167" s="63"/>
      <c r="E167" s="63"/>
    </row>
    <row r="168">
      <c r="A168" s="62" t="s">
        <v>7</v>
      </c>
      <c r="B168" s="63"/>
      <c r="C168" s="62" t="s">
        <v>8</v>
      </c>
      <c r="D168" s="63"/>
      <c r="E168" s="63"/>
    </row>
    <row r="169">
      <c r="A169" s="63"/>
      <c r="B169" s="63"/>
      <c r="C169" s="63"/>
      <c r="D169" s="63"/>
      <c r="E169" s="63"/>
    </row>
    <row r="170">
      <c r="A170" s="80" t="s">
        <v>9</v>
      </c>
      <c r="B170" s="81" t="s">
        <v>10</v>
      </c>
      <c r="C170" s="80" t="s">
        <v>11</v>
      </c>
      <c r="D170" s="82" t="s">
        <v>5</v>
      </c>
      <c r="E170" s="83" t="s">
        <v>19</v>
      </c>
    </row>
    <row r="171">
      <c r="A171" s="20"/>
      <c r="B171" s="20"/>
      <c r="C171" s="20"/>
      <c r="D171" s="20"/>
      <c r="E171" s="20"/>
    </row>
    <row r="172">
      <c r="A172" s="67">
        <v>1.0</v>
      </c>
      <c r="B172" s="31" t="s">
        <v>311</v>
      </c>
      <c r="C172" s="68" t="s">
        <v>1307</v>
      </c>
      <c r="D172" s="69" t="s">
        <v>1308</v>
      </c>
      <c r="E172" s="70" t="s">
        <v>1168</v>
      </c>
    </row>
    <row r="173">
      <c r="A173" s="67">
        <v>2.0</v>
      </c>
      <c r="B173" s="31" t="s">
        <v>313</v>
      </c>
      <c r="C173" s="68" t="s">
        <v>1309</v>
      </c>
      <c r="D173" s="69" t="s">
        <v>1308</v>
      </c>
      <c r="E173" s="70" t="s">
        <v>1163</v>
      </c>
    </row>
    <row r="174">
      <c r="A174" s="67">
        <v>3.0</v>
      </c>
      <c r="B174" s="31" t="s">
        <v>315</v>
      </c>
      <c r="C174" s="68" t="s">
        <v>1310</v>
      </c>
      <c r="D174" s="69" t="s">
        <v>1308</v>
      </c>
      <c r="E174" s="70" t="s">
        <v>1168</v>
      </c>
    </row>
    <row r="175">
      <c r="A175" s="67">
        <v>4.0</v>
      </c>
      <c r="B175" s="31" t="s">
        <v>317</v>
      </c>
      <c r="C175" s="68" t="s">
        <v>1311</v>
      </c>
      <c r="D175" s="69" t="s">
        <v>1308</v>
      </c>
      <c r="E175" s="70" t="s">
        <v>1168</v>
      </c>
    </row>
    <row r="176">
      <c r="A176" s="67">
        <v>5.0</v>
      </c>
      <c r="B176" s="31" t="s">
        <v>319</v>
      </c>
      <c r="C176" s="68" t="s">
        <v>1312</v>
      </c>
      <c r="D176" s="69" t="s">
        <v>1308</v>
      </c>
      <c r="E176" s="70" t="s">
        <v>1168</v>
      </c>
    </row>
    <row r="177">
      <c r="A177" s="67">
        <v>6.0</v>
      </c>
      <c r="B177" s="31" t="s">
        <v>321</v>
      </c>
      <c r="C177" s="68" t="s">
        <v>1313</v>
      </c>
      <c r="D177" s="69" t="s">
        <v>1308</v>
      </c>
      <c r="E177" s="70" t="s">
        <v>1163</v>
      </c>
    </row>
    <row r="178">
      <c r="A178" s="67">
        <v>7.0</v>
      </c>
      <c r="B178" s="31" t="s">
        <v>323</v>
      </c>
      <c r="C178" s="68" t="s">
        <v>1314</v>
      </c>
      <c r="D178" s="69" t="s">
        <v>1308</v>
      </c>
      <c r="E178" s="70" t="s">
        <v>1163</v>
      </c>
    </row>
    <row r="179">
      <c r="A179" s="67">
        <v>8.0</v>
      </c>
      <c r="B179" s="31" t="s">
        <v>325</v>
      </c>
      <c r="C179" s="68" t="s">
        <v>1315</v>
      </c>
      <c r="D179" s="69" t="s">
        <v>1308</v>
      </c>
      <c r="E179" s="70" t="s">
        <v>1163</v>
      </c>
    </row>
    <row r="180">
      <c r="A180" s="67">
        <v>9.0</v>
      </c>
      <c r="B180" s="31" t="s">
        <v>327</v>
      </c>
      <c r="C180" s="68" t="s">
        <v>1316</v>
      </c>
      <c r="D180" s="69" t="s">
        <v>1308</v>
      </c>
      <c r="E180" s="70" t="s">
        <v>1163</v>
      </c>
    </row>
    <row r="181">
      <c r="A181" s="67">
        <v>10.0</v>
      </c>
      <c r="B181" s="31" t="s">
        <v>329</v>
      </c>
      <c r="C181" s="71" t="s">
        <v>1317</v>
      </c>
      <c r="D181" s="69" t="s">
        <v>1308</v>
      </c>
      <c r="E181" s="70" t="s">
        <v>1168</v>
      </c>
    </row>
    <row r="182">
      <c r="A182" s="67">
        <v>11.0</v>
      </c>
      <c r="B182" s="31" t="s">
        <v>331</v>
      </c>
      <c r="C182" s="71" t="s">
        <v>1318</v>
      </c>
      <c r="D182" s="69" t="s">
        <v>1308</v>
      </c>
      <c r="E182" s="70" t="s">
        <v>1163</v>
      </c>
    </row>
    <row r="183">
      <c r="A183" s="67">
        <v>12.0</v>
      </c>
      <c r="B183" s="31" t="s">
        <v>333</v>
      </c>
      <c r="C183" s="68" t="s">
        <v>1319</v>
      </c>
      <c r="D183" s="69" t="s">
        <v>1308</v>
      </c>
      <c r="E183" s="70" t="s">
        <v>1163</v>
      </c>
    </row>
    <row r="184">
      <c r="A184" s="67">
        <v>13.0</v>
      </c>
      <c r="B184" s="31" t="s">
        <v>335</v>
      </c>
      <c r="C184" s="68" t="s">
        <v>1320</v>
      </c>
      <c r="D184" s="69" t="s">
        <v>1308</v>
      </c>
      <c r="E184" s="70" t="s">
        <v>1168</v>
      </c>
    </row>
    <row r="185">
      <c r="A185" s="67">
        <v>14.0</v>
      </c>
      <c r="B185" s="31" t="s">
        <v>337</v>
      </c>
      <c r="C185" s="68" t="s">
        <v>1321</v>
      </c>
      <c r="D185" s="69" t="s">
        <v>1308</v>
      </c>
      <c r="E185" s="70" t="s">
        <v>1163</v>
      </c>
    </row>
    <row r="186">
      <c r="A186" s="67">
        <v>15.0</v>
      </c>
      <c r="B186" s="31" t="s">
        <v>339</v>
      </c>
      <c r="C186" s="71" t="s">
        <v>1322</v>
      </c>
      <c r="D186" s="69" t="s">
        <v>1308</v>
      </c>
      <c r="E186" s="70" t="s">
        <v>1163</v>
      </c>
    </row>
    <row r="187">
      <c r="A187" s="67">
        <v>16.0</v>
      </c>
      <c r="B187" s="31" t="s">
        <v>341</v>
      </c>
      <c r="C187" s="68" t="s">
        <v>1323</v>
      </c>
      <c r="D187" s="69" t="s">
        <v>1308</v>
      </c>
      <c r="E187" s="70" t="s">
        <v>1163</v>
      </c>
    </row>
    <row r="188">
      <c r="A188" s="67">
        <v>17.0</v>
      </c>
      <c r="B188" s="31" t="s">
        <v>343</v>
      </c>
      <c r="C188" s="68" t="s">
        <v>1324</v>
      </c>
      <c r="D188" s="69" t="s">
        <v>1308</v>
      </c>
      <c r="E188" s="70" t="s">
        <v>1163</v>
      </c>
    </row>
    <row r="189">
      <c r="A189" s="67">
        <v>18.0</v>
      </c>
      <c r="B189" s="31" t="s">
        <v>345</v>
      </c>
      <c r="C189" s="68" t="s">
        <v>1325</v>
      </c>
      <c r="D189" s="69" t="s">
        <v>1308</v>
      </c>
      <c r="E189" s="70" t="s">
        <v>1163</v>
      </c>
    </row>
    <row r="190">
      <c r="A190" s="67">
        <v>19.0</v>
      </c>
      <c r="B190" s="31" t="s">
        <v>347</v>
      </c>
      <c r="C190" s="68" t="s">
        <v>1326</v>
      </c>
      <c r="D190" s="69" t="s">
        <v>1308</v>
      </c>
      <c r="E190" s="70" t="s">
        <v>1168</v>
      </c>
    </row>
    <row r="191">
      <c r="A191" s="67">
        <v>20.0</v>
      </c>
      <c r="B191" s="31" t="s">
        <v>349</v>
      </c>
      <c r="C191" s="68" t="s">
        <v>1327</v>
      </c>
      <c r="D191" s="69" t="s">
        <v>1308</v>
      </c>
      <c r="E191" s="70" t="s">
        <v>1163</v>
      </c>
    </row>
    <row r="192">
      <c r="A192" s="67">
        <v>21.0</v>
      </c>
      <c r="B192" s="31" t="s">
        <v>351</v>
      </c>
      <c r="C192" s="68" t="s">
        <v>1328</v>
      </c>
      <c r="D192" s="69" t="s">
        <v>1308</v>
      </c>
      <c r="E192" s="70" t="s">
        <v>1163</v>
      </c>
    </row>
    <row r="193">
      <c r="A193" s="67">
        <v>22.0</v>
      </c>
      <c r="B193" s="31" t="s">
        <v>353</v>
      </c>
      <c r="C193" s="68" t="s">
        <v>1329</v>
      </c>
      <c r="D193" s="69" t="s">
        <v>1308</v>
      </c>
      <c r="E193" s="70" t="s">
        <v>1163</v>
      </c>
    </row>
    <row r="194">
      <c r="A194" s="67">
        <v>23.0</v>
      </c>
      <c r="B194" s="31" t="s">
        <v>355</v>
      </c>
      <c r="C194" s="68" t="s">
        <v>1330</v>
      </c>
      <c r="D194" s="69" t="s">
        <v>1308</v>
      </c>
      <c r="E194" s="70" t="s">
        <v>1168</v>
      </c>
    </row>
    <row r="195">
      <c r="A195" s="67">
        <v>24.0</v>
      </c>
      <c r="B195" s="31" t="s">
        <v>357</v>
      </c>
      <c r="C195" s="68" t="s">
        <v>1331</v>
      </c>
      <c r="D195" s="69" t="s">
        <v>1308</v>
      </c>
      <c r="E195" s="70" t="s">
        <v>1163</v>
      </c>
    </row>
    <row r="196">
      <c r="A196" s="67">
        <v>25.0</v>
      </c>
      <c r="B196" s="31" t="s">
        <v>359</v>
      </c>
      <c r="C196" s="68" t="s">
        <v>1332</v>
      </c>
      <c r="D196" s="69" t="s">
        <v>1308</v>
      </c>
      <c r="E196" s="70" t="s">
        <v>1163</v>
      </c>
    </row>
    <row r="197">
      <c r="A197" s="67">
        <v>26.0</v>
      </c>
      <c r="B197" s="31" t="s">
        <v>361</v>
      </c>
      <c r="C197" s="68" t="s">
        <v>1333</v>
      </c>
      <c r="D197" s="69" t="s">
        <v>1308</v>
      </c>
      <c r="E197" s="70" t="s">
        <v>1163</v>
      </c>
    </row>
    <row r="198">
      <c r="A198" s="67">
        <v>27.0</v>
      </c>
      <c r="B198" s="31" t="s">
        <v>363</v>
      </c>
      <c r="C198" s="68" t="s">
        <v>1334</v>
      </c>
      <c r="D198" s="69" t="s">
        <v>1308</v>
      </c>
      <c r="E198" s="70" t="s">
        <v>1168</v>
      </c>
    </row>
    <row r="199">
      <c r="A199" s="67">
        <v>28.0</v>
      </c>
      <c r="B199" s="31" t="s">
        <v>365</v>
      </c>
      <c r="C199" s="68" t="s">
        <v>1335</v>
      </c>
      <c r="D199" s="69" t="s">
        <v>1308</v>
      </c>
      <c r="E199" s="70" t="s">
        <v>1168</v>
      </c>
    </row>
    <row r="200">
      <c r="A200" s="67">
        <v>29.0</v>
      </c>
      <c r="B200" s="31" t="s">
        <v>367</v>
      </c>
      <c r="C200" s="68" t="s">
        <v>1336</v>
      </c>
      <c r="D200" s="69" t="s">
        <v>1308</v>
      </c>
      <c r="E200" s="70" t="s">
        <v>1168</v>
      </c>
    </row>
    <row r="201">
      <c r="A201" s="67">
        <v>30.0</v>
      </c>
      <c r="B201" s="31" t="s">
        <v>369</v>
      </c>
      <c r="C201" s="68" t="s">
        <v>1337</v>
      </c>
      <c r="D201" s="69" t="s">
        <v>1308</v>
      </c>
      <c r="E201" s="70" t="s">
        <v>1163</v>
      </c>
    </row>
    <row r="202">
      <c r="A202" s="67">
        <v>31.0</v>
      </c>
      <c r="B202" s="31" t="s">
        <v>371</v>
      </c>
      <c r="C202" s="68" t="s">
        <v>1338</v>
      </c>
      <c r="D202" s="69" t="s">
        <v>1308</v>
      </c>
      <c r="E202" s="70" t="s">
        <v>1163</v>
      </c>
    </row>
    <row r="203">
      <c r="A203" s="67">
        <v>32.0</v>
      </c>
      <c r="B203" s="31" t="s">
        <v>373</v>
      </c>
      <c r="C203" s="68" t="s">
        <v>1339</v>
      </c>
      <c r="D203" s="69" t="s">
        <v>1308</v>
      </c>
      <c r="E203" s="69" t="s">
        <v>1187</v>
      </c>
    </row>
    <row r="204">
      <c r="A204" s="67">
        <v>33.0</v>
      </c>
      <c r="B204" s="31" t="s">
        <v>375</v>
      </c>
      <c r="C204" s="68" t="s">
        <v>1340</v>
      </c>
      <c r="D204" s="69" t="s">
        <v>1308</v>
      </c>
      <c r="E204" s="70" t="s">
        <v>1168</v>
      </c>
    </row>
    <row r="205">
      <c r="A205" s="67">
        <v>34.0</v>
      </c>
      <c r="B205" s="31" t="s">
        <v>377</v>
      </c>
      <c r="C205" s="68" t="s">
        <v>1341</v>
      </c>
      <c r="D205" s="69" t="s">
        <v>1308</v>
      </c>
      <c r="E205" s="70" t="s">
        <v>1168</v>
      </c>
    </row>
    <row r="206">
      <c r="A206" s="67">
        <v>35.0</v>
      </c>
      <c r="B206" s="31" t="s">
        <v>379</v>
      </c>
      <c r="C206" s="68" t="s">
        <v>1342</v>
      </c>
      <c r="D206" s="69" t="s">
        <v>1308</v>
      </c>
      <c r="E206" s="70" t="s">
        <v>1168</v>
      </c>
    </row>
    <row r="207">
      <c r="A207" s="67">
        <v>36.0</v>
      </c>
      <c r="B207" s="31" t="s">
        <v>381</v>
      </c>
      <c r="C207" s="68" t="s">
        <v>1343</v>
      </c>
      <c r="D207" s="69" t="s">
        <v>1308</v>
      </c>
      <c r="E207" s="70" t="s">
        <v>1168</v>
      </c>
    </row>
    <row r="208">
      <c r="A208" s="67">
        <v>37.0</v>
      </c>
      <c r="B208" s="31" t="s">
        <v>383</v>
      </c>
      <c r="C208" s="68" t="s">
        <v>1344</v>
      </c>
      <c r="D208" s="69" t="s">
        <v>1308</v>
      </c>
      <c r="E208" s="70" t="s">
        <v>1163</v>
      </c>
    </row>
    <row r="209">
      <c r="A209" s="67">
        <v>38.0</v>
      </c>
      <c r="B209" s="31" t="s">
        <v>385</v>
      </c>
      <c r="C209" s="68" t="s">
        <v>1345</v>
      </c>
      <c r="D209" s="69" t="s">
        <v>1308</v>
      </c>
      <c r="E209" s="70" t="s">
        <v>1163</v>
      </c>
    </row>
    <row r="210">
      <c r="A210" s="67">
        <v>39.0</v>
      </c>
      <c r="B210" s="31" t="s">
        <v>387</v>
      </c>
      <c r="C210" s="68" t="s">
        <v>1346</v>
      </c>
      <c r="D210" s="69" t="s">
        <v>1308</v>
      </c>
      <c r="E210" s="70" t="s">
        <v>1168</v>
      </c>
    </row>
    <row r="211">
      <c r="A211" s="67">
        <v>40.0</v>
      </c>
      <c r="B211" s="31" t="s">
        <v>389</v>
      </c>
      <c r="C211" s="68" t="s">
        <v>1347</v>
      </c>
      <c r="D211" s="69" t="s">
        <v>1308</v>
      </c>
      <c r="E211" s="70" t="s">
        <v>1168</v>
      </c>
    </row>
    <row r="212">
      <c r="A212" s="67">
        <v>41.0</v>
      </c>
      <c r="B212" s="31" t="s">
        <v>391</v>
      </c>
      <c r="C212" s="68" t="s">
        <v>1348</v>
      </c>
      <c r="D212" s="69" t="s">
        <v>1308</v>
      </c>
      <c r="E212" s="70" t="s">
        <v>1163</v>
      </c>
    </row>
    <row r="213">
      <c r="A213" s="67">
        <v>42.0</v>
      </c>
      <c r="B213" s="31" t="s">
        <v>393</v>
      </c>
      <c r="C213" s="68" t="s">
        <v>1349</v>
      </c>
      <c r="D213" s="69" t="s">
        <v>1308</v>
      </c>
      <c r="E213" s="70" t="s">
        <v>1163</v>
      </c>
    </row>
    <row r="214">
      <c r="A214" s="67">
        <v>43.0</v>
      </c>
      <c r="B214" s="31" t="s">
        <v>395</v>
      </c>
      <c r="C214" s="68" t="s">
        <v>1350</v>
      </c>
      <c r="D214" s="69" t="s">
        <v>1308</v>
      </c>
      <c r="E214" s="70" t="s">
        <v>1163</v>
      </c>
    </row>
    <row r="215">
      <c r="A215" s="67">
        <v>44.0</v>
      </c>
      <c r="B215" s="31" t="s">
        <v>397</v>
      </c>
      <c r="C215" s="68" t="s">
        <v>1351</v>
      </c>
      <c r="D215" s="69" t="s">
        <v>1308</v>
      </c>
      <c r="E215" s="70" t="s">
        <v>1168</v>
      </c>
    </row>
    <row r="216">
      <c r="A216" s="67">
        <v>45.0</v>
      </c>
      <c r="B216" s="31" t="s">
        <v>399</v>
      </c>
      <c r="C216" s="68" t="s">
        <v>1352</v>
      </c>
      <c r="D216" s="69" t="s">
        <v>1308</v>
      </c>
      <c r="E216" s="70" t="s">
        <v>1163</v>
      </c>
    </row>
    <row r="217">
      <c r="A217" s="67">
        <v>46.0</v>
      </c>
      <c r="B217" s="31" t="s">
        <v>401</v>
      </c>
      <c r="C217" s="71" t="s">
        <v>1353</v>
      </c>
      <c r="D217" s="69" t="s">
        <v>1308</v>
      </c>
      <c r="E217" s="70" t="s">
        <v>1163</v>
      </c>
    </row>
    <row r="218">
      <c r="A218" s="63"/>
      <c r="B218" s="63"/>
      <c r="C218" s="63"/>
      <c r="D218" s="63"/>
      <c r="E218" s="63"/>
    </row>
    <row r="219">
      <c r="A219" s="62" t="s">
        <v>3</v>
      </c>
      <c r="B219" s="63"/>
      <c r="C219" s="62" t="s">
        <v>4</v>
      </c>
      <c r="D219" s="63"/>
      <c r="E219" s="63"/>
    </row>
    <row r="220">
      <c r="A220" s="62" t="s">
        <v>5</v>
      </c>
      <c r="B220" s="63"/>
      <c r="C220" s="62" t="s">
        <v>404</v>
      </c>
      <c r="D220" s="63"/>
      <c r="E220" s="63"/>
    </row>
    <row r="221">
      <c r="A221" s="62" t="s">
        <v>7</v>
      </c>
      <c r="B221" s="63"/>
      <c r="C221" s="62" t="s">
        <v>8</v>
      </c>
      <c r="D221" s="63"/>
      <c r="E221" s="63"/>
    </row>
    <row r="222">
      <c r="A222" s="63"/>
      <c r="B222" s="63"/>
      <c r="C222" s="63"/>
      <c r="D222" s="63"/>
      <c r="E222" s="63"/>
    </row>
    <row r="223">
      <c r="A223" s="84"/>
      <c r="B223" s="84"/>
      <c r="C223" s="84"/>
      <c r="D223" s="84"/>
      <c r="E223" s="84"/>
    </row>
    <row r="224">
      <c r="A224" s="80" t="s">
        <v>9</v>
      </c>
      <c r="B224" s="81" t="s">
        <v>10</v>
      </c>
      <c r="C224" s="80" t="s">
        <v>11</v>
      </c>
      <c r="D224" s="85" t="s">
        <v>5</v>
      </c>
      <c r="E224" s="83" t="s">
        <v>19</v>
      </c>
    </row>
    <row r="225">
      <c r="A225" s="20"/>
      <c r="B225" s="20"/>
      <c r="C225" s="20"/>
      <c r="D225" s="20"/>
      <c r="E225" s="20"/>
    </row>
    <row r="226">
      <c r="A226" s="67">
        <v>1.0</v>
      </c>
      <c r="B226" s="31" t="s">
        <v>405</v>
      </c>
      <c r="C226" s="68" t="s">
        <v>1354</v>
      </c>
      <c r="D226" s="69" t="s">
        <v>1355</v>
      </c>
      <c r="E226" s="70" t="s">
        <v>1163</v>
      </c>
    </row>
    <row r="227">
      <c r="A227" s="67">
        <v>2.0</v>
      </c>
      <c r="B227" s="31" t="s">
        <v>407</v>
      </c>
      <c r="C227" s="68" t="s">
        <v>1356</v>
      </c>
      <c r="D227" s="69" t="s">
        <v>1355</v>
      </c>
      <c r="E227" s="70" t="s">
        <v>1168</v>
      </c>
    </row>
    <row r="228">
      <c r="A228" s="67">
        <v>3.0</v>
      </c>
      <c r="B228" s="31" t="s">
        <v>409</v>
      </c>
      <c r="C228" s="68" t="s">
        <v>1357</v>
      </c>
      <c r="D228" s="69" t="s">
        <v>1355</v>
      </c>
      <c r="E228" s="70" t="s">
        <v>1168</v>
      </c>
    </row>
    <row r="229">
      <c r="A229" s="67">
        <v>4.0</v>
      </c>
      <c r="B229" s="31" t="s">
        <v>411</v>
      </c>
      <c r="C229" s="68" t="s">
        <v>1358</v>
      </c>
      <c r="D229" s="69" t="s">
        <v>1355</v>
      </c>
      <c r="E229" s="70" t="s">
        <v>1163</v>
      </c>
    </row>
    <row r="230">
      <c r="A230" s="67">
        <v>5.0</v>
      </c>
      <c r="B230" s="31" t="s">
        <v>413</v>
      </c>
      <c r="C230" s="68" t="s">
        <v>1359</v>
      </c>
      <c r="D230" s="69" t="s">
        <v>1355</v>
      </c>
      <c r="E230" s="70" t="s">
        <v>1168</v>
      </c>
    </row>
    <row r="231">
      <c r="A231" s="67">
        <v>6.0</v>
      </c>
      <c r="B231" s="31" t="s">
        <v>415</v>
      </c>
      <c r="C231" s="68" t="s">
        <v>1360</v>
      </c>
      <c r="D231" s="69" t="s">
        <v>1355</v>
      </c>
      <c r="E231" s="70" t="s">
        <v>1168</v>
      </c>
    </row>
    <row r="232">
      <c r="A232" s="67">
        <v>7.0</v>
      </c>
      <c r="B232" s="31" t="s">
        <v>417</v>
      </c>
      <c r="C232" s="68" t="s">
        <v>1361</v>
      </c>
      <c r="D232" s="69" t="s">
        <v>1355</v>
      </c>
      <c r="E232" s="70" t="s">
        <v>1163</v>
      </c>
    </row>
    <row r="233">
      <c r="A233" s="67">
        <v>8.0</v>
      </c>
      <c r="B233" s="31" t="s">
        <v>419</v>
      </c>
      <c r="C233" s="68" t="s">
        <v>1362</v>
      </c>
      <c r="D233" s="69" t="s">
        <v>1355</v>
      </c>
      <c r="E233" s="70" t="s">
        <v>1163</v>
      </c>
    </row>
    <row r="234">
      <c r="A234" s="67">
        <v>9.0</v>
      </c>
      <c r="B234" s="31" t="s">
        <v>421</v>
      </c>
      <c r="C234" s="68" t="s">
        <v>1363</v>
      </c>
      <c r="D234" s="69" t="s">
        <v>1355</v>
      </c>
      <c r="E234" s="70" t="s">
        <v>1168</v>
      </c>
    </row>
    <row r="235">
      <c r="A235" s="67">
        <v>10.0</v>
      </c>
      <c r="B235" s="31" t="s">
        <v>423</v>
      </c>
      <c r="C235" s="68" t="s">
        <v>1364</v>
      </c>
      <c r="D235" s="69" t="s">
        <v>1355</v>
      </c>
      <c r="E235" s="70" t="s">
        <v>1163</v>
      </c>
    </row>
    <row r="236">
      <c r="A236" s="67">
        <v>11.0</v>
      </c>
      <c r="B236" s="31" t="s">
        <v>425</v>
      </c>
      <c r="C236" s="68" t="s">
        <v>1365</v>
      </c>
      <c r="D236" s="69" t="s">
        <v>1355</v>
      </c>
      <c r="E236" s="70" t="s">
        <v>1168</v>
      </c>
    </row>
    <row r="237">
      <c r="A237" s="67">
        <v>12.0</v>
      </c>
      <c r="B237" s="31" t="s">
        <v>427</v>
      </c>
      <c r="C237" s="68" t="s">
        <v>1366</v>
      </c>
      <c r="D237" s="69" t="s">
        <v>1355</v>
      </c>
      <c r="E237" s="70" t="s">
        <v>1163</v>
      </c>
    </row>
    <row r="238">
      <c r="A238" s="67">
        <v>13.0</v>
      </c>
      <c r="B238" s="31" t="s">
        <v>429</v>
      </c>
      <c r="C238" s="68" t="s">
        <v>1367</v>
      </c>
      <c r="D238" s="69" t="s">
        <v>1355</v>
      </c>
      <c r="E238" s="70" t="s">
        <v>1163</v>
      </c>
    </row>
    <row r="239">
      <c r="A239" s="67">
        <v>14.0</v>
      </c>
      <c r="B239" s="31" t="s">
        <v>431</v>
      </c>
      <c r="C239" s="68" t="s">
        <v>1368</v>
      </c>
      <c r="D239" s="69" t="s">
        <v>1355</v>
      </c>
      <c r="E239" s="70" t="s">
        <v>1163</v>
      </c>
    </row>
    <row r="240">
      <c r="A240" s="67">
        <v>15.0</v>
      </c>
      <c r="B240" s="31" t="s">
        <v>433</v>
      </c>
      <c r="C240" s="32" t="s">
        <v>1369</v>
      </c>
      <c r="D240" s="69" t="s">
        <v>1355</v>
      </c>
      <c r="E240" s="70" t="s">
        <v>1163</v>
      </c>
    </row>
    <row r="241">
      <c r="A241" s="67">
        <v>16.0</v>
      </c>
      <c r="B241" s="31" t="s">
        <v>435</v>
      </c>
      <c r="C241" s="32" t="s">
        <v>1370</v>
      </c>
      <c r="D241" s="69" t="s">
        <v>1355</v>
      </c>
      <c r="E241" s="70" t="s">
        <v>1163</v>
      </c>
    </row>
    <row r="242">
      <c r="A242" s="67">
        <v>17.0</v>
      </c>
      <c r="B242" s="31" t="s">
        <v>437</v>
      </c>
      <c r="C242" s="32" t="s">
        <v>1371</v>
      </c>
      <c r="D242" s="69" t="s">
        <v>1355</v>
      </c>
      <c r="E242" s="70" t="s">
        <v>1168</v>
      </c>
    </row>
    <row r="243">
      <c r="A243" s="67">
        <v>18.0</v>
      </c>
      <c r="B243" s="31" t="s">
        <v>439</v>
      </c>
      <c r="C243" s="32" t="s">
        <v>1372</v>
      </c>
      <c r="D243" s="69" t="s">
        <v>1355</v>
      </c>
      <c r="E243" s="70" t="s">
        <v>1163</v>
      </c>
    </row>
    <row r="244">
      <c r="A244" s="67">
        <v>19.0</v>
      </c>
      <c r="B244" s="31" t="s">
        <v>441</v>
      </c>
      <c r="C244" s="32" t="s">
        <v>1373</v>
      </c>
      <c r="D244" s="69" t="s">
        <v>1355</v>
      </c>
      <c r="E244" s="70" t="s">
        <v>1163</v>
      </c>
    </row>
    <row r="245">
      <c r="A245" s="67">
        <v>20.0</v>
      </c>
      <c r="B245" s="31" t="s">
        <v>443</v>
      </c>
      <c r="C245" s="32" t="s">
        <v>1374</v>
      </c>
      <c r="D245" s="69" t="s">
        <v>1355</v>
      </c>
      <c r="E245" s="70" t="s">
        <v>1163</v>
      </c>
    </row>
    <row r="246">
      <c r="A246" s="67">
        <v>21.0</v>
      </c>
      <c r="B246" s="31" t="s">
        <v>445</v>
      </c>
      <c r="C246" s="32" t="s">
        <v>1375</v>
      </c>
      <c r="D246" s="69" t="s">
        <v>1355</v>
      </c>
      <c r="E246" s="70" t="s">
        <v>1163</v>
      </c>
    </row>
    <row r="247">
      <c r="A247" s="67">
        <v>22.0</v>
      </c>
      <c r="B247" s="31" t="s">
        <v>447</v>
      </c>
      <c r="C247" s="32" t="s">
        <v>1376</v>
      </c>
      <c r="D247" s="69" t="s">
        <v>1355</v>
      </c>
      <c r="E247" s="70" t="s">
        <v>1168</v>
      </c>
    </row>
    <row r="248">
      <c r="A248" s="67">
        <v>23.0</v>
      </c>
      <c r="B248" s="31" t="s">
        <v>449</v>
      </c>
      <c r="C248" s="32" t="s">
        <v>1377</v>
      </c>
      <c r="D248" s="69" t="s">
        <v>1355</v>
      </c>
      <c r="E248" s="70" t="s">
        <v>1163</v>
      </c>
    </row>
    <row r="249">
      <c r="A249" s="67">
        <v>24.0</v>
      </c>
      <c r="B249" s="31" t="s">
        <v>451</v>
      </c>
      <c r="C249" s="71" t="s">
        <v>1378</v>
      </c>
      <c r="D249" s="69" t="s">
        <v>1355</v>
      </c>
      <c r="E249" s="70" t="s">
        <v>1168</v>
      </c>
    </row>
    <row r="250">
      <c r="A250" s="67">
        <v>25.0</v>
      </c>
      <c r="B250" s="31" t="s">
        <v>453</v>
      </c>
      <c r="C250" s="32" t="s">
        <v>1379</v>
      </c>
      <c r="D250" s="69" t="s">
        <v>1355</v>
      </c>
      <c r="E250" s="70" t="s">
        <v>1163</v>
      </c>
    </row>
    <row r="251">
      <c r="A251" s="67">
        <v>26.0</v>
      </c>
      <c r="B251" s="31" t="s">
        <v>455</v>
      </c>
      <c r="C251" s="32" t="s">
        <v>1380</v>
      </c>
      <c r="D251" s="69" t="s">
        <v>1355</v>
      </c>
      <c r="E251" s="70" t="s">
        <v>1168</v>
      </c>
    </row>
    <row r="252">
      <c r="A252" s="67">
        <v>27.0</v>
      </c>
      <c r="B252" s="31" t="s">
        <v>457</v>
      </c>
      <c r="C252" s="32" t="s">
        <v>1381</v>
      </c>
      <c r="D252" s="69" t="s">
        <v>1355</v>
      </c>
      <c r="E252" s="70" t="s">
        <v>1168</v>
      </c>
    </row>
    <row r="253">
      <c r="A253" s="67">
        <v>28.0</v>
      </c>
      <c r="B253" s="31" t="s">
        <v>459</v>
      </c>
      <c r="C253" s="32" t="s">
        <v>1382</v>
      </c>
      <c r="D253" s="69" t="s">
        <v>1355</v>
      </c>
      <c r="E253" s="70" t="s">
        <v>1168</v>
      </c>
    </row>
    <row r="254">
      <c r="A254" s="67">
        <v>29.0</v>
      </c>
      <c r="B254" s="31" t="s">
        <v>461</v>
      </c>
      <c r="C254" s="32" t="s">
        <v>1383</v>
      </c>
      <c r="D254" s="69" t="s">
        <v>1355</v>
      </c>
      <c r="E254" s="70" t="s">
        <v>1163</v>
      </c>
    </row>
    <row r="255">
      <c r="A255" s="67">
        <v>30.0</v>
      </c>
      <c r="B255" s="31" t="s">
        <v>463</v>
      </c>
      <c r="C255" s="32" t="s">
        <v>1384</v>
      </c>
      <c r="D255" s="69" t="s">
        <v>1355</v>
      </c>
      <c r="E255" s="70" t="s">
        <v>1168</v>
      </c>
    </row>
    <row r="256">
      <c r="A256" s="67">
        <v>31.0</v>
      </c>
      <c r="B256" s="31" t="s">
        <v>465</v>
      </c>
      <c r="C256" s="32" t="s">
        <v>1385</v>
      </c>
      <c r="D256" s="69" t="s">
        <v>1355</v>
      </c>
      <c r="E256" s="70" t="s">
        <v>1163</v>
      </c>
    </row>
    <row r="257">
      <c r="A257" s="67">
        <v>32.0</v>
      </c>
      <c r="B257" s="31" t="s">
        <v>467</v>
      </c>
      <c r="C257" s="32" t="s">
        <v>1386</v>
      </c>
      <c r="D257" s="69" t="s">
        <v>1355</v>
      </c>
      <c r="E257" s="70" t="s">
        <v>1168</v>
      </c>
    </row>
    <row r="258">
      <c r="A258" s="67">
        <v>33.0</v>
      </c>
      <c r="B258" s="31" t="s">
        <v>469</v>
      </c>
      <c r="C258" s="32" t="s">
        <v>1387</v>
      </c>
      <c r="D258" s="69" t="s">
        <v>1355</v>
      </c>
      <c r="E258" s="70" t="s">
        <v>1163</v>
      </c>
    </row>
    <row r="259">
      <c r="A259" s="67">
        <v>34.0</v>
      </c>
      <c r="B259" s="31" t="s">
        <v>471</v>
      </c>
      <c r="C259" s="32" t="s">
        <v>1388</v>
      </c>
      <c r="D259" s="69" t="s">
        <v>1355</v>
      </c>
      <c r="E259" s="70" t="s">
        <v>1168</v>
      </c>
    </row>
    <row r="260">
      <c r="A260" s="67">
        <v>35.0</v>
      </c>
      <c r="B260" s="31" t="s">
        <v>473</v>
      </c>
      <c r="C260" s="32" t="s">
        <v>1389</v>
      </c>
      <c r="D260" s="69" t="s">
        <v>1355</v>
      </c>
      <c r="E260" s="70" t="s">
        <v>1168</v>
      </c>
    </row>
    <row r="261">
      <c r="A261" s="67">
        <v>36.0</v>
      </c>
      <c r="B261" s="31" t="s">
        <v>475</v>
      </c>
      <c r="C261" s="32" t="s">
        <v>1390</v>
      </c>
      <c r="D261" s="69" t="s">
        <v>1355</v>
      </c>
      <c r="E261" s="70" t="s">
        <v>1168</v>
      </c>
    </row>
    <row r="262">
      <c r="A262" s="67">
        <v>37.0</v>
      </c>
      <c r="B262" s="31" t="s">
        <v>477</v>
      </c>
      <c r="C262" s="32" t="s">
        <v>1391</v>
      </c>
      <c r="D262" s="69" t="s">
        <v>1355</v>
      </c>
      <c r="E262" s="70" t="s">
        <v>1163</v>
      </c>
    </row>
    <row r="263">
      <c r="A263" s="67">
        <v>38.0</v>
      </c>
      <c r="B263" s="31" t="s">
        <v>479</v>
      </c>
      <c r="C263" s="32" t="s">
        <v>1392</v>
      </c>
      <c r="D263" s="69" t="s">
        <v>1355</v>
      </c>
      <c r="E263" s="70" t="s">
        <v>1168</v>
      </c>
    </row>
    <row r="264">
      <c r="A264" s="67">
        <v>39.0</v>
      </c>
      <c r="B264" s="31" t="s">
        <v>481</v>
      </c>
      <c r="C264" s="32" t="s">
        <v>1393</v>
      </c>
      <c r="D264" s="69" t="s">
        <v>1355</v>
      </c>
      <c r="E264" s="70" t="s">
        <v>1168</v>
      </c>
    </row>
    <row r="265">
      <c r="A265" s="67">
        <v>40.0</v>
      </c>
      <c r="B265" s="31" t="s">
        <v>483</v>
      </c>
      <c r="C265" s="32" t="s">
        <v>1394</v>
      </c>
      <c r="D265" s="69" t="s">
        <v>1355</v>
      </c>
      <c r="E265" s="70" t="s">
        <v>1163</v>
      </c>
    </row>
    <row r="266">
      <c r="A266" s="67">
        <v>41.0</v>
      </c>
      <c r="B266" s="31" t="s">
        <v>485</v>
      </c>
      <c r="C266" s="32" t="s">
        <v>1395</v>
      </c>
      <c r="D266" s="69" t="s">
        <v>1355</v>
      </c>
      <c r="E266" s="70" t="s">
        <v>1163</v>
      </c>
    </row>
    <row r="267">
      <c r="A267" s="67">
        <v>42.0</v>
      </c>
      <c r="B267" s="31" t="s">
        <v>487</v>
      </c>
      <c r="C267" s="32" t="s">
        <v>1396</v>
      </c>
      <c r="D267" s="69" t="s">
        <v>1355</v>
      </c>
      <c r="E267" s="70" t="s">
        <v>1168</v>
      </c>
    </row>
    <row r="268">
      <c r="A268" s="67">
        <v>43.0</v>
      </c>
      <c r="B268" s="31" t="s">
        <v>489</v>
      </c>
      <c r="C268" s="32" t="s">
        <v>1397</v>
      </c>
      <c r="D268" s="69" t="s">
        <v>1355</v>
      </c>
      <c r="E268" s="70" t="s">
        <v>1168</v>
      </c>
    </row>
    <row r="269">
      <c r="A269" s="67">
        <v>44.0</v>
      </c>
      <c r="B269" s="31" t="s">
        <v>491</v>
      </c>
      <c r="C269" s="32" t="s">
        <v>1398</v>
      </c>
      <c r="D269" s="69" t="s">
        <v>1355</v>
      </c>
      <c r="E269" s="70" t="s">
        <v>1163</v>
      </c>
    </row>
    <row r="270">
      <c r="A270" s="67">
        <v>45.0</v>
      </c>
      <c r="B270" s="31" t="s">
        <v>493</v>
      </c>
      <c r="C270" s="32" t="s">
        <v>1399</v>
      </c>
      <c r="D270" s="69" t="s">
        <v>1355</v>
      </c>
      <c r="E270" s="70" t="s">
        <v>1168</v>
      </c>
    </row>
    <row r="271">
      <c r="A271" s="63"/>
      <c r="B271" s="63"/>
      <c r="C271" s="63"/>
      <c r="D271" s="63"/>
      <c r="E271" s="63"/>
    </row>
    <row r="272">
      <c r="A272" s="62" t="s">
        <v>3</v>
      </c>
      <c r="B272" s="63"/>
      <c r="C272" s="62" t="s">
        <v>4</v>
      </c>
      <c r="D272" s="63"/>
      <c r="E272" s="63"/>
    </row>
    <row r="273">
      <c r="A273" s="62" t="s">
        <v>5</v>
      </c>
      <c r="B273" s="63"/>
      <c r="C273" s="62" t="s">
        <v>496</v>
      </c>
      <c r="D273" s="63"/>
      <c r="E273" s="63"/>
    </row>
    <row r="274">
      <c r="A274" s="62" t="s">
        <v>7</v>
      </c>
      <c r="B274" s="63"/>
      <c r="C274" s="62" t="s">
        <v>8</v>
      </c>
      <c r="D274" s="63"/>
      <c r="E274" s="63"/>
    </row>
    <row r="275">
      <c r="A275" s="63"/>
      <c r="B275" s="63"/>
      <c r="C275" s="63"/>
      <c r="D275" s="63"/>
      <c r="E275" s="63"/>
    </row>
    <row r="276">
      <c r="A276" s="80" t="s">
        <v>9</v>
      </c>
      <c r="B276" s="81" t="s">
        <v>10</v>
      </c>
      <c r="C276" s="80" t="s">
        <v>11</v>
      </c>
      <c r="D276" s="85" t="s">
        <v>5</v>
      </c>
      <c r="E276" s="83" t="s">
        <v>19</v>
      </c>
    </row>
    <row r="277">
      <c r="A277" s="20"/>
      <c r="B277" s="20"/>
      <c r="C277" s="20"/>
      <c r="D277" s="20"/>
      <c r="E277" s="20"/>
    </row>
    <row r="278">
      <c r="A278" s="67">
        <v>1.0</v>
      </c>
      <c r="B278" s="31" t="s">
        <v>497</v>
      </c>
      <c r="C278" s="68" t="s">
        <v>1400</v>
      </c>
      <c r="D278" s="69" t="s">
        <v>1401</v>
      </c>
      <c r="E278" s="70" t="s">
        <v>1168</v>
      </c>
    </row>
    <row r="279">
      <c r="A279" s="67">
        <v>2.0</v>
      </c>
      <c r="B279" s="31" t="s">
        <v>499</v>
      </c>
      <c r="C279" s="68" t="s">
        <v>1402</v>
      </c>
      <c r="D279" s="69" t="s">
        <v>1401</v>
      </c>
      <c r="E279" s="70" t="s">
        <v>1168</v>
      </c>
    </row>
    <row r="280">
      <c r="A280" s="67">
        <v>3.0</v>
      </c>
      <c r="B280" s="31" t="s">
        <v>501</v>
      </c>
      <c r="C280" s="68" t="s">
        <v>1403</v>
      </c>
      <c r="D280" s="69" t="s">
        <v>1401</v>
      </c>
      <c r="E280" s="70" t="s">
        <v>1168</v>
      </c>
    </row>
    <row r="281">
      <c r="A281" s="67">
        <v>4.0</v>
      </c>
      <c r="B281" s="31" t="s">
        <v>503</v>
      </c>
      <c r="C281" s="68" t="s">
        <v>1404</v>
      </c>
      <c r="D281" s="69" t="s">
        <v>1401</v>
      </c>
      <c r="E281" s="70" t="s">
        <v>1163</v>
      </c>
    </row>
    <row r="282">
      <c r="A282" s="67">
        <v>5.0</v>
      </c>
      <c r="B282" s="31" t="s">
        <v>505</v>
      </c>
      <c r="C282" s="68" t="s">
        <v>1405</v>
      </c>
      <c r="D282" s="69" t="s">
        <v>1401</v>
      </c>
      <c r="E282" s="70" t="s">
        <v>1168</v>
      </c>
    </row>
    <row r="283">
      <c r="A283" s="67">
        <v>6.0</v>
      </c>
      <c r="B283" s="31" t="s">
        <v>507</v>
      </c>
      <c r="C283" s="68" t="s">
        <v>1406</v>
      </c>
      <c r="D283" s="69" t="s">
        <v>1401</v>
      </c>
      <c r="E283" s="69" t="s">
        <v>1187</v>
      </c>
    </row>
    <row r="284">
      <c r="A284" s="67">
        <v>7.0</v>
      </c>
      <c r="B284" s="31" t="s">
        <v>509</v>
      </c>
      <c r="C284" s="68" t="s">
        <v>1407</v>
      </c>
      <c r="D284" s="69" t="s">
        <v>1401</v>
      </c>
      <c r="E284" s="70" t="s">
        <v>1168</v>
      </c>
    </row>
    <row r="285">
      <c r="A285" s="67">
        <v>8.0</v>
      </c>
      <c r="B285" s="31" t="s">
        <v>511</v>
      </c>
      <c r="C285" s="68" t="s">
        <v>1408</v>
      </c>
      <c r="D285" s="69" t="s">
        <v>1401</v>
      </c>
      <c r="E285" s="70" t="s">
        <v>1168</v>
      </c>
    </row>
    <row r="286">
      <c r="A286" s="67">
        <v>9.0</v>
      </c>
      <c r="B286" s="31" t="s">
        <v>513</v>
      </c>
      <c r="C286" s="68" t="s">
        <v>1409</v>
      </c>
      <c r="D286" s="69" t="s">
        <v>1401</v>
      </c>
      <c r="E286" s="70" t="s">
        <v>1168</v>
      </c>
    </row>
    <row r="287">
      <c r="A287" s="67">
        <v>10.0</v>
      </c>
      <c r="B287" s="31" t="s">
        <v>515</v>
      </c>
      <c r="C287" s="68" t="s">
        <v>1410</v>
      </c>
      <c r="D287" s="69" t="s">
        <v>1401</v>
      </c>
      <c r="E287" s="70" t="s">
        <v>1168</v>
      </c>
    </row>
    <row r="288">
      <c r="A288" s="67">
        <v>11.0</v>
      </c>
      <c r="B288" s="31" t="s">
        <v>517</v>
      </c>
      <c r="C288" s="86" t="s">
        <v>1411</v>
      </c>
      <c r="D288" s="69" t="s">
        <v>1401</v>
      </c>
      <c r="E288" s="70" t="s">
        <v>1163</v>
      </c>
    </row>
    <row r="289">
      <c r="A289" s="67">
        <v>12.0</v>
      </c>
      <c r="B289" s="31" t="s">
        <v>519</v>
      </c>
      <c r="C289" s="68" t="s">
        <v>1412</v>
      </c>
      <c r="D289" s="69" t="s">
        <v>1401</v>
      </c>
      <c r="E289" s="70" t="s">
        <v>1168</v>
      </c>
    </row>
    <row r="290">
      <c r="A290" s="67">
        <v>13.0</v>
      </c>
      <c r="B290" s="31" t="s">
        <v>521</v>
      </c>
      <c r="C290" s="68" t="s">
        <v>1413</v>
      </c>
      <c r="D290" s="69" t="s">
        <v>1401</v>
      </c>
      <c r="E290" s="70" t="s">
        <v>1163</v>
      </c>
    </row>
    <row r="291">
      <c r="A291" s="67">
        <v>14.0</v>
      </c>
      <c r="B291" s="31" t="s">
        <v>523</v>
      </c>
      <c r="C291" s="68" t="s">
        <v>1414</v>
      </c>
      <c r="D291" s="69" t="s">
        <v>1401</v>
      </c>
      <c r="E291" s="70" t="s">
        <v>1163</v>
      </c>
    </row>
    <row r="292">
      <c r="A292" s="67">
        <v>15.0</v>
      </c>
      <c r="B292" s="31" t="s">
        <v>525</v>
      </c>
      <c r="C292" s="68" t="s">
        <v>1415</v>
      </c>
      <c r="D292" s="69" t="s">
        <v>1401</v>
      </c>
      <c r="E292" s="70" t="s">
        <v>1163</v>
      </c>
    </row>
    <row r="293">
      <c r="A293" s="67">
        <v>16.0</v>
      </c>
      <c r="B293" s="31" t="s">
        <v>527</v>
      </c>
      <c r="C293" s="68" t="s">
        <v>1416</v>
      </c>
      <c r="D293" s="69" t="s">
        <v>1401</v>
      </c>
      <c r="E293" s="70" t="s">
        <v>1168</v>
      </c>
    </row>
    <row r="294">
      <c r="A294" s="67">
        <v>17.0</v>
      </c>
      <c r="B294" s="31" t="s">
        <v>529</v>
      </c>
      <c r="C294" s="71" t="s">
        <v>1417</v>
      </c>
      <c r="D294" s="69" t="s">
        <v>1401</v>
      </c>
      <c r="E294" s="70" t="s">
        <v>1168</v>
      </c>
    </row>
    <row r="295">
      <c r="A295" s="67">
        <v>18.0</v>
      </c>
      <c r="B295" s="31" t="s">
        <v>531</v>
      </c>
      <c r="C295" s="68" t="s">
        <v>1418</v>
      </c>
      <c r="D295" s="69" t="s">
        <v>1401</v>
      </c>
      <c r="E295" s="70" t="s">
        <v>1163</v>
      </c>
    </row>
    <row r="296">
      <c r="A296" s="67">
        <v>19.0</v>
      </c>
      <c r="B296" s="31" t="s">
        <v>533</v>
      </c>
      <c r="C296" s="68" t="s">
        <v>1419</v>
      </c>
      <c r="D296" s="69" t="s">
        <v>1401</v>
      </c>
      <c r="E296" s="70" t="s">
        <v>1168</v>
      </c>
    </row>
    <row r="297">
      <c r="A297" s="67">
        <v>20.0</v>
      </c>
      <c r="B297" s="31" t="s">
        <v>535</v>
      </c>
      <c r="C297" s="68" t="s">
        <v>1420</v>
      </c>
      <c r="D297" s="69" t="s">
        <v>1401</v>
      </c>
      <c r="E297" s="70" t="s">
        <v>1168</v>
      </c>
    </row>
    <row r="298">
      <c r="A298" s="67">
        <v>21.0</v>
      </c>
      <c r="B298" s="31" t="s">
        <v>537</v>
      </c>
      <c r="C298" s="68" t="s">
        <v>1421</v>
      </c>
      <c r="D298" s="69" t="s">
        <v>1401</v>
      </c>
      <c r="E298" s="69" t="s">
        <v>1187</v>
      </c>
    </row>
    <row r="299">
      <c r="A299" s="67">
        <v>22.0</v>
      </c>
      <c r="B299" s="31" t="s">
        <v>539</v>
      </c>
      <c r="C299" s="68" t="s">
        <v>1422</v>
      </c>
      <c r="D299" s="69" t="s">
        <v>1401</v>
      </c>
      <c r="E299" s="70" t="s">
        <v>1168</v>
      </c>
    </row>
    <row r="300">
      <c r="A300" s="67">
        <v>23.0</v>
      </c>
      <c r="B300" s="31" t="s">
        <v>541</v>
      </c>
      <c r="C300" s="68" t="s">
        <v>1423</v>
      </c>
      <c r="D300" s="69" t="s">
        <v>1401</v>
      </c>
      <c r="E300" s="70" t="s">
        <v>1168</v>
      </c>
    </row>
    <row r="301">
      <c r="A301" s="67">
        <v>24.0</v>
      </c>
      <c r="B301" s="31" t="s">
        <v>543</v>
      </c>
      <c r="C301" s="68" t="s">
        <v>1424</v>
      </c>
      <c r="D301" s="69" t="s">
        <v>1401</v>
      </c>
      <c r="E301" s="70" t="s">
        <v>1163</v>
      </c>
    </row>
    <row r="302">
      <c r="A302" s="67">
        <v>25.0</v>
      </c>
      <c r="B302" s="31" t="s">
        <v>545</v>
      </c>
      <c r="C302" s="68" t="s">
        <v>1425</v>
      </c>
      <c r="D302" s="69" t="s">
        <v>1401</v>
      </c>
      <c r="E302" s="70" t="s">
        <v>1168</v>
      </c>
    </row>
    <row r="303">
      <c r="A303" s="67">
        <v>26.0</v>
      </c>
      <c r="B303" s="31" t="s">
        <v>547</v>
      </c>
      <c r="C303" s="68" t="s">
        <v>1426</v>
      </c>
      <c r="D303" s="69" t="s">
        <v>1401</v>
      </c>
      <c r="E303" s="70" t="s">
        <v>1168</v>
      </c>
    </row>
    <row r="304">
      <c r="A304" s="67">
        <v>27.0</v>
      </c>
      <c r="B304" s="31" t="s">
        <v>549</v>
      </c>
      <c r="C304" s="68" t="s">
        <v>1427</v>
      </c>
      <c r="D304" s="69" t="s">
        <v>1401</v>
      </c>
      <c r="E304" s="70" t="s">
        <v>1168</v>
      </c>
    </row>
    <row r="305">
      <c r="A305" s="67">
        <v>28.0</v>
      </c>
      <c r="B305" s="31" t="s">
        <v>551</v>
      </c>
      <c r="C305" s="68" t="s">
        <v>1428</v>
      </c>
      <c r="D305" s="69" t="s">
        <v>1401</v>
      </c>
      <c r="E305" s="70" t="s">
        <v>1168</v>
      </c>
    </row>
    <row r="306">
      <c r="A306" s="67">
        <v>29.0</v>
      </c>
      <c r="B306" s="31" t="s">
        <v>553</v>
      </c>
      <c r="C306" s="68" t="s">
        <v>1429</v>
      </c>
      <c r="D306" s="69" t="s">
        <v>1401</v>
      </c>
      <c r="E306" s="70" t="s">
        <v>1168</v>
      </c>
    </row>
    <row r="307">
      <c r="A307" s="67">
        <v>30.0</v>
      </c>
      <c r="B307" s="31" t="s">
        <v>555</v>
      </c>
      <c r="C307" s="68" t="s">
        <v>1430</v>
      </c>
      <c r="D307" s="69" t="s">
        <v>1401</v>
      </c>
      <c r="E307" s="70" t="s">
        <v>1163</v>
      </c>
    </row>
    <row r="308">
      <c r="A308" s="67">
        <v>31.0</v>
      </c>
      <c r="B308" s="31" t="s">
        <v>557</v>
      </c>
      <c r="C308" s="68" t="s">
        <v>1431</v>
      </c>
      <c r="D308" s="69" t="s">
        <v>1401</v>
      </c>
      <c r="E308" s="70" t="s">
        <v>1168</v>
      </c>
    </row>
    <row r="309">
      <c r="A309" s="67">
        <v>32.0</v>
      </c>
      <c r="B309" s="31" t="s">
        <v>559</v>
      </c>
      <c r="C309" s="68" t="s">
        <v>1432</v>
      </c>
      <c r="D309" s="69" t="s">
        <v>1401</v>
      </c>
      <c r="E309" s="70" t="s">
        <v>1168</v>
      </c>
    </row>
    <row r="310">
      <c r="A310" s="67">
        <v>33.0</v>
      </c>
      <c r="B310" s="31" t="s">
        <v>561</v>
      </c>
      <c r="C310" s="68" t="s">
        <v>1433</v>
      </c>
      <c r="D310" s="69" t="s">
        <v>1401</v>
      </c>
      <c r="E310" s="70" t="s">
        <v>1163</v>
      </c>
    </row>
    <row r="311">
      <c r="A311" s="67">
        <v>34.0</v>
      </c>
      <c r="B311" s="31" t="s">
        <v>563</v>
      </c>
      <c r="C311" s="68" t="s">
        <v>1434</v>
      </c>
      <c r="D311" s="69" t="s">
        <v>1401</v>
      </c>
      <c r="E311" s="70" t="s">
        <v>1168</v>
      </c>
    </row>
    <row r="312">
      <c r="A312" s="67">
        <v>35.0</v>
      </c>
      <c r="B312" s="31" t="s">
        <v>565</v>
      </c>
      <c r="C312" s="68" t="s">
        <v>1435</v>
      </c>
      <c r="D312" s="69" t="s">
        <v>1401</v>
      </c>
      <c r="E312" s="70" t="s">
        <v>1168</v>
      </c>
    </row>
    <row r="313">
      <c r="A313" s="67">
        <v>36.0</v>
      </c>
      <c r="B313" s="31" t="s">
        <v>567</v>
      </c>
      <c r="C313" s="68" t="s">
        <v>1436</v>
      </c>
      <c r="D313" s="69" t="s">
        <v>1401</v>
      </c>
      <c r="E313" s="70" t="s">
        <v>1168</v>
      </c>
    </row>
    <row r="314">
      <c r="A314" s="67">
        <v>37.0</v>
      </c>
      <c r="B314" s="31" t="s">
        <v>569</v>
      </c>
      <c r="C314" s="68" t="s">
        <v>1437</v>
      </c>
      <c r="D314" s="69" t="s">
        <v>1401</v>
      </c>
      <c r="E314" s="70" t="s">
        <v>1168</v>
      </c>
    </row>
    <row r="315">
      <c r="A315" s="67">
        <v>38.0</v>
      </c>
      <c r="B315" s="31" t="s">
        <v>571</v>
      </c>
      <c r="C315" s="68" t="s">
        <v>1438</v>
      </c>
      <c r="D315" s="69" t="s">
        <v>1401</v>
      </c>
      <c r="E315" s="70" t="s">
        <v>1163</v>
      </c>
    </row>
    <row r="316">
      <c r="A316" s="67">
        <v>39.0</v>
      </c>
      <c r="B316" s="31" t="s">
        <v>573</v>
      </c>
      <c r="C316" s="68" t="s">
        <v>1439</v>
      </c>
      <c r="D316" s="69" t="s">
        <v>1401</v>
      </c>
      <c r="E316" s="70" t="s">
        <v>1168</v>
      </c>
    </row>
    <row r="317">
      <c r="A317" s="67">
        <v>40.0</v>
      </c>
      <c r="B317" s="31" t="s">
        <v>575</v>
      </c>
      <c r="C317" s="68" t="s">
        <v>1440</v>
      </c>
      <c r="D317" s="69" t="s">
        <v>1401</v>
      </c>
      <c r="E317" s="70" t="s">
        <v>1168</v>
      </c>
    </row>
    <row r="318">
      <c r="A318" s="67">
        <v>41.0</v>
      </c>
      <c r="B318" s="31" t="s">
        <v>577</v>
      </c>
      <c r="C318" s="68" t="s">
        <v>1441</v>
      </c>
      <c r="D318" s="69" t="s">
        <v>1401</v>
      </c>
      <c r="E318" s="70" t="s">
        <v>1163</v>
      </c>
    </row>
    <row r="319">
      <c r="A319" s="67">
        <v>42.0</v>
      </c>
      <c r="B319" s="31" t="s">
        <v>579</v>
      </c>
      <c r="C319" s="68" t="s">
        <v>1442</v>
      </c>
      <c r="D319" s="69" t="s">
        <v>1401</v>
      </c>
      <c r="E319" s="70" t="s">
        <v>1168</v>
      </c>
    </row>
    <row r="320">
      <c r="A320" s="67">
        <v>43.0</v>
      </c>
      <c r="B320" s="31" t="s">
        <v>581</v>
      </c>
      <c r="C320" s="68" t="s">
        <v>1443</v>
      </c>
      <c r="D320" s="69" t="s">
        <v>1401</v>
      </c>
      <c r="E320" s="70" t="s">
        <v>1168</v>
      </c>
    </row>
    <row r="321">
      <c r="A321" s="67">
        <v>44.0</v>
      </c>
      <c r="B321" s="31" t="s">
        <v>583</v>
      </c>
      <c r="C321" s="71" t="s">
        <v>1444</v>
      </c>
      <c r="D321" s="69" t="s">
        <v>1401</v>
      </c>
      <c r="E321" s="70" t="s">
        <v>1163</v>
      </c>
    </row>
    <row r="322">
      <c r="A322" s="67">
        <v>45.0</v>
      </c>
      <c r="B322" s="31" t="s">
        <v>585</v>
      </c>
      <c r="C322" s="68" t="s">
        <v>1445</v>
      </c>
      <c r="D322" s="69" t="s">
        <v>1401</v>
      </c>
      <c r="E322" s="70" t="s">
        <v>1168</v>
      </c>
    </row>
    <row r="323">
      <c r="A323" s="63"/>
      <c r="B323" s="63"/>
      <c r="C323" s="63"/>
      <c r="D323" s="63"/>
      <c r="E323" s="63"/>
    </row>
    <row r="324">
      <c r="A324" s="62" t="s">
        <v>3</v>
      </c>
      <c r="B324" s="63"/>
      <c r="C324" s="62" t="s">
        <v>4</v>
      </c>
      <c r="D324" s="63"/>
      <c r="E324" s="63"/>
    </row>
    <row r="325">
      <c r="A325" s="62" t="s">
        <v>5</v>
      </c>
      <c r="B325" s="63"/>
      <c r="C325" s="62" t="s">
        <v>588</v>
      </c>
      <c r="D325" s="63"/>
      <c r="E325" s="63"/>
    </row>
    <row r="326">
      <c r="A326" s="62" t="s">
        <v>7</v>
      </c>
      <c r="B326" s="63"/>
      <c r="C326" s="62" t="s">
        <v>8</v>
      </c>
      <c r="D326" s="63"/>
      <c r="E326" s="63"/>
    </row>
    <row r="327">
      <c r="A327" s="63"/>
      <c r="B327" s="63"/>
      <c r="C327" s="63"/>
      <c r="D327" s="63"/>
      <c r="E327" s="63"/>
    </row>
    <row r="328">
      <c r="A328" s="80" t="s">
        <v>9</v>
      </c>
      <c r="B328" s="81" t="s">
        <v>10</v>
      </c>
      <c r="C328" s="80" t="s">
        <v>11</v>
      </c>
      <c r="D328" s="85" t="s">
        <v>5</v>
      </c>
      <c r="E328" s="83" t="s">
        <v>19</v>
      </c>
    </row>
    <row r="329">
      <c r="A329" s="20"/>
      <c r="B329" s="20"/>
      <c r="C329" s="20"/>
      <c r="D329" s="20"/>
      <c r="E329" s="20"/>
    </row>
    <row r="330">
      <c r="A330" s="67">
        <v>1.0</v>
      </c>
      <c r="B330" s="31" t="s">
        <v>589</v>
      </c>
      <c r="C330" s="68" t="s">
        <v>1446</v>
      </c>
      <c r="D330" s="69" t="s">
        <v>1447</v>
      </c>
      <c r="E330" s="70" t="s">
        <v>1163</v>
      </c>
    </row>
    <row r="331">
      <c r="A331" s="67">
        <v>2.0</v>
      </c>
      <c r="B331" s="31" t="s">
        <v>591</v>
      </c>
      <c r="C331" s="68" t="s">
        <v>1448</v>
      </c>
      <c r="D331" s="69" t="s">
        <v>1447</v>
      </c>
      <c r="E331" s="70" t="s">
        <v>1168</v>
      </c>
    </row>
    <row r="332">
      <c r="A332" s="67">
        <v>3.0</v>
      </c>
      <c r="B332" s="31" t="s">
        <v>593</v>
      </c>
      <c r="C332" s="68" t="s">
        <v>1449</v>
      </c>
      <c r="D332" s="69" t="s">
        <v>1447</v>
      </c>
      <c r="E332" s="70" t="s">
        <v>1163</v>
      </c>
    </row>
    <row r="333">
      <c r="A333" s="67">
        <v>4.0</v>
      </c>
      <c r="B333" s="31" t="s">
        <v>595</v>
      </c>
      <c r="C333" s="68" t="s">
        <v>1450</v>
      </c>
      <c r="D333" s="69" t="s">
        <v>1447</v>
      </c>
      <c r="E333" s="70" t="s">
        <v>1163</v>
      </c>
    </row>
    <row r="334">
      <c r="A334" s="67">
        <v>5.0</v>
      </c>
      <c r="B334" s="31" t="s">
        <v>597</v>
      </c>
      <c r="C334" s="68" t="s">
        <v>1451</v>
      </c>
      <c r="D334" s="69" t="s">
        <v>1447</v>
      </c>
      <c r="E334" s="70" t="s">
        <v>1163</v>
      </c>
    </row>
    <row r="335">
      <c r="A335" s="67">
        <v>6.0</v>
      </c>
      <c r="B335" s="31" t="s">
        <v>599</v>
      </c>
      <c r="C335" s="68" t="s">
        <v>1452</v>
      </c>
      <c r="D335" s="69" t="s">
        <v>1447</v>
      </c>
      <c r="E335" s="70" t="s">
        <v>1163</v>
      </c>
    </row>
    <row r="336">
      <c r="A336" s="67">
        <v>7.0</v>
      </c>
      <c r="B336" s="31" t="s">
        <v>601</v>
      </c>
      <c r="C336" s="68" t="s">
        <v>1453</v>
      </c>
      <c r="D336" s="69" t="s">
        <v>1447</v>
      </c>
      <c r="E336" s="70" t="s">
        <v>1163</v>
      </c>
    </row>
    <row r="337">
      <c r="A337" s="67">
        <v>8.0</v>
      </c>
      <c r="B337" s="31" t="s">
        <v>603</v>
      </c>
      <c r="C337" s="68" t="s">
        <v>1454</v>
      </c>
      <c r="D337" s="69" t="s">
        <v>1447</v>
      </c>
      <c r="E337" s="70" t="s">
        <v>1168</v>
      </c>
    </row>
    <row r="338">
      <c r="A338" s="67">
        <v>9.0</v>
      </c>
      <c r="B338" s="31" t="s">
        <v>605</v>
      </c>
      <c r="C338" s="68" t="s">
        <v>1455</v>
      </c>
      <c r="D338" s="69" t="s">
        <v>1447</v>
      </c>
      <c r="E338" s="70" t="s">
        <v>1168</v>
      </c>
    </row>
    <row r="339">
      <c r="A339" s="67">
        <v>10.0</v>
      </c>
      <c r="B339" s="31" t="s">
        <v>607</v>
      </c>
      <c r="C339" s="68" t="s">
        <v>1456</v>
      </c>
      <c r="D339" s="69" t="s">
        <v>1447</v>
      </c>
      <c r="E339" s="70" t="s">
        <v>1163</v>
      </c>
    </row>
    <row r="340">
      <c r="A340" s="67">
        <v>11.0</v>
      </c>
      <c r="B340" s="31" t="s">
        <v>609</v>
      </c>
      <c r="C340" s="68" t="s">
        <v>1457</v>
      </c>
      <c r="D340" s="69" t="s">
        <v>1447</v>
      </c>
      <c r="E340" s="70" t="s">
        <v>1163</v>
      </c>
    </row>
    <row r="341">
      <c r="A341" s="67">
        <v>12.0</v>
      </c>
      <c r="B341" s="31" t="s">
        <v>611</v>
      </c>
      <c r="C341" s="68" t="s">
        <v>1458</v>
      </c>
      <c r="D341" s="69" t="s">
        <v>1447</v>
      </c>
      <c r="E341" s="70" t="s">
        <v>1163</v>
      </c>
    </row>
    <row r="342">
      <c r="A342" s="67">
        <v>13.0</v>
      </c>
      <c r="B342" s="31" t="s">
        <v>613</v>
      </c>
      <c r="C342" s="68" t="s">
        <v>1459</v>
      </c>
      <c r="D342" s="69" t="s">
        <v>1447</v>
      </c>
      <c r="E342" s="70" t="s">
        <v>1163</v>
      </c>
    </row>
    <row r="343">
      <c r="A343" s="67">
        <v>14.0</v>
      </c>
      <c r="B343" s="31" t="s">
        <v>615</v>
      </c>
      <c r="C343" s="68" t="s">
        <v>1460</v>
      </c>
      <c r="D343" s="69" t="s">
        <v>1447</v>
      </c>
      <c r="E343" s="69" t="s">
        <v>1187</v>
      </c>
    </row>
    <row r="344">
      <c r="A344" s="67">
        <v>15.0</v>
      </c>
      <c r="B344" s="31" t="s">
        <v>617</v>
      </c>
      <c r="C344" s="68" t="s">
        <v>1461</v>
      </c>
      <c r="D344" s="69" t="s">
        <v>1447</v>
      </c>
      <c r="E344" s="70" t="s">
        <v>1168</v>
      </c>
    </row>
    <row r="345">
      <c r="A345" s="67">
        <v>16.0</v>
      </c>
      <c r="B345" s="31" t="s">
        <v>619</v>
      </c>
      <c r="C345" s="68" t="s">
        <v>1462</v>
      </c>
      <c r="D345" s="69" t="s">
        <v>1447</v>
      </c>
      <c r="E345" s="70" t="s">
        <v>1163</v>
      </c>
    </row>
    <row r="346">
      <c r="A346" s="67">
        <v>17.0</v>
      </c>
      <c r="B346" s="31" t="s">
        <v>621</v>
      </c>
      <c r="C346" s="68" t="s">
        <v>1463</v>
      </c>
      <c r="D346" s="69" t="s">
        <v>1447</v>
      </c>
      <c r="E346" s="70" t="s">
        <v>1163</v>
      </c>
    </row>
    <row r="347">
      <c r="A347" s="67">
        <v>18.0</v>
      </c>
      <c r="B347" s="31" t="s">
        <v>623</v>
      </c>
      <c r="C347" s="68" t="s">
        <v>1464</v>
      </c>
      <c r="D347" s="69" t="s">
        <v>1447</v>
      </c>
      <c r="E347" s="70" t="s">
        <v>1163</v>
      </c>
    </row>
    <row r="348">
      <c r="A348" s="67">
        <v>19.0</v>
      </c>
      <c r="B348" s="31" t="s">
        <v>625</v>
      </c>
      <c r="C348" s="68" t="s">
        <v>1465</v>
      </c>
      <c r="D348" s="69" t="s">
        <v>1447</v>
      </c>
      <c r="E348" s="70" t="s">
        <v>1163</v>
      </c>
    </row>
    <row r="349">
      <c r="A349" s="67">
        <v>20.0</v>
      </c>
      <c r="B349" s="31" t="s">
        <v>627</v>
      </c>
      <c r="C349" s="68" t="s">
        <v>1466</v>
      </c>
      <c r="D349" s="69" t="s">
        <v>1447</v>
      </c>
      <c r="E349" s="70" t="s">
        <v>1163</v>
      </c>
    </row>
    <row r="350">
      <c r="A350" s="67">
        <v>21.0</v>
      </c>
      <c r="B350" s="31" t="s">
        <v>629</v>
      </c>
      <c r="C350" s="68" t="s">
        <v>1467</v>
      </c>
      <c r="D350" s="69" t="s">
        <v>1447</v>
      </c>
      <c r="E350" s="70" t="s">
        <v>1163</v>
      </c>
    </row>
    <row r="351">
      <c r="A351" s="67">
        <v>22.0</v>
      </c>
      <c r="B351" s="31" t="s">
        <v>631</v>
      </c>
      <c r="C351" s="68" t="s">
        <v>1468</v>
      </c>
      <c r="D351" s="69" t="s">
        <v>1447</v>
      </c>
      <c r="E351" s="70" t="s">
        <v>1168</v>
      </c>
    </row>
    <row r="352">
      <c r="A352" s="67">
        <v>23.0</v>
      </c>
      <c r="B352" s="31" t="s">
        <v>633</v>
      </c>
      <c r="C352" s="32" t="s">
        <v>1469</v>
      </c>
      <c r="D352" s="69" t="s">
        <v>1447</v>
      </c>
      <c r="E352" s="69" t="s">
        <v>1187</v>
      </c>
    </row>
    <row r="353">
      <c r="A353" s="67">
        <v>24.0</v>
      </c>
      <c r="B353" s="31" t="s">
        <v>635</v>
      </c>
      <c r="C353" s="32" t="s">
        <v>1470</v>
      </c>
      <c r="D353" s="69" t="s">
        <v>1447</v>
      </c>
      <c r="E353" s="70" t="s">
        <v>1163</v>
      </c>
    </row>
    <row r="354">
      <c r="A354" s="67">
        <v>25.0</v>
      </c>
      <c r="B354" s="31" t="s">
        <v>637</v>
      </c>
      <c r="C354" s="32" t="s">
        <v>1471</v>
      </c>
      <c r="D354" s="69" t="s">
        <v>1447</v>
      </c>
      <c r="E354" s="70" t="s">
        <v>1163</v>
      </c>
    </row>
    <row r="355">
      <c r="A355" s="67">
        <v>26.0</v>
      </c>
      <c r="B355" s="31" t="s">
        <v>639</v>
      </c>
      <c r="C355" s="32" t="s">
        <v>1472</v>
      </c>
      <c r="D355" s="69" t="s">
        <v>1447</v>
      </c>
      <c r="E355" s="70" t="s">
        <v>1163</v>
      </c>
    </row>
    <row r="356">
      <c r="A356" s="67">
        <v>27.0</v>
      </c>
      <c r="B356" s="31" t="s">
        <v>641</v>
      </c>
      <c r="C356" s="32" t="s">
        <v>1473</v>
      </c>
      <c r="D356" s="69" t="s">
        <v>1447</v>
      </c>
      <c r="E356" s="70" t="s">
        <v>1163</v>
      </c>
    </row>
    <row r="357">
      <c r="A357" s="67">
        <v>28.0</v>
      </c>
      <c r="B357" s="31" t="s">
        <v>643</v>
      </c>
      <c r="C357" s="32" t="s">
        <v>1474</v>
      </c>
      <c r="D357" s="69" t="s">
        <v>1447</v>
      </c>
      <c r="E357" s="70" t="s">
        <v>1163</v>
      </c>
    </row>
    <row r="358">
      <c r="A358" s="67">
        <v>29.0</v>
      </c>
      <c r="B358" s="31" t="s">
        <v>645</v>
      </c>
      <c r="C358" s="32" t="s">
        <v>1475</v>
      </c>
      <c r="D358" s="69" t="s">
        <v>1447</v>
      </c>
      <c r="E358" s="70" t="s">
        <v>1163</v>
      </c>
    </row>
    <row r="359">
      <c r="A359" s="67">
        <v>30.0</v>
      </c>
      <c r="B359" s="31" t="s">
        <v>647</v>
      </c>
      <c r="C359" s="32" t="s">
        <v>1476</v>
      </c>
      <c r="D359" s="69" t="s">
        <v>1447</v>
      </c>
      <c r="E359" s="70" t="s">
        <v>1163</v>
      </c>
    </row>
    <row r="360">
      <c r="A360" s="67">
        <v>31.0</v>
      </c>
      <c r="B360" s="31" t="s">
        <v>649</v>
      </c>
      <c r="C360" s="32" t="s">
        <v>1477</v>
      </c>
      <c r="D360" s="69" t="s">
        <v>1447</v>
      </c>
      <c r="E360" s="70" t="s">
        <v>1163</v>
      </c>
    </row>
    <row r="361">
      <c r="A361" s="67">
        <v>32.0</v>
      </c>
      <c r="B361" s="31" t="s">
        <v>651</v>
      </c>
      <c r="C361" s="32" t="s">
        <v>1478</v>
      </c>
      <c r="D361" s="69" t="s">
        <v>1447</v>
      </c>
      <c r="E361" s="70" t="s">
        <v>1163</v>
      </c>
    </row>
    <row r="362">
      <c r="A362" s="67">
        <v>33.0</v>
      </c>
      <c r="B362" s="31" t="s">
        <v>653</v>
      </c>
      <c r="C362" s="32" t="s">
        <v>1479</v>
      </c>
      <c r="D362" s="69" t="s">
        <v>1447</v>
      </c>
      <c r="E362" s="70" t="s">
        <v>1163</v>
      </c>
    </row>
    <row r="363">
      <c r="A363" s="67">
        <v>34.0</v>
      </c>
      <c r="B363" s="31" t="s">
        <v>655</v>
      </c>
      <c r="C363" s="32" t="s">
        <v>1480</v>
      </c>
      <c r="D363" s="69" t="s">
        <v>1447</v>
      </c>
      <c r="E363" s="70" t="s">
        <v>1163</v>
      </c>
    </row>
    <row r="364">
      <c r="A364" s="67">
        <v>35.0</v>
      </c>
      <c r="B364" s="31" t="s">
        <v>657</v>
      </c>
      <c r="C364" s="32" t="s">
        <v>1481</v>
      </c>
      <c r="D364" s="69" t="s">
        <v>1447</v>
      </c>
      <c r="E364" s="70" t="s">
        <v>1163</v>
      </c>
    </row>
    <row r="365">
      <c r="A365" s="67">
        <v>36.0</v>
      </c>
      <c r="B365" s="31" t="s">
        <v>659</v>
      </c>
      <c r="C365" s="32" t="s">
        <v>1482</v>
      </c>
      <c r="D365" s="69" t="s">
        <v>1447</v>
      </c>
      <c r="E365" s="70" t="s">
        <v>1168</v>
      </c>
    </row>
    <row r="366">
      <c r="A366" s="67">
        <v>37.0</v>
      </c>
      <c r="B366" s="31" t="s">
        <v>661</v>
      </c>
      <c r="C366" s="32" t="s">
        <v>1483</v>
      </c>
      <c r="D366" s="69" t="s">
        <v>1447</v>
      </c>
      <c r="E366" s="70" t="s">
        <v>1163</v>
      </c>
    </row>
    <row r="367">
      <c r="A367" s="67">
        <v>38.0</v>
      </c>
      <c r="B367" s="31" t="s">
        <v>663</v>
      </c>
      <c r="C367" s="68" t="s">
        <v>1484</v>
      </c>
      <c r="D367" s="69" t="s">
        <v>1447</v>
      </c>
      <c r="E367" s="70" t="s">
        <v>1168</v>
      </c>
    </row>
    <row r="368">
      <c r="A368" s="67">
        <v>39.0</v>
      </c>
      <c r="B368" s="31" t="s">
        <v>665</v>
      </c>
      <c r="C368" s="68" t="s">
        <v>1485</v>
      </c>
      <c r="D368" s="69" t="s">
        <v>1447</v>
      </c>
      <c r="E368" s="70" t="s">
        <v>1163</v>
      </c>
    </row>
    <row r="369">
      <c r="A369" s="67">
        <v>40.0</v>
      </c>
      <c r="B369" s="31" t="s">
        <v>667</v>
      </c>
      <c r="C369" s="68" t="s">
        <v>1486</v>
      </c>
      <c r="D369" s="69" t="s">
        <v>1447</v>
      </c>
      <c r="E369" s="70" t="s">
        <v>1163</v>
      </c>
    </row>
    <row r="370">
      <c r="A370" s="67">
        <v>41.0</v>
      </c>
      <c r="B370" s="31" t="s">
        <v>669</v>
      </c>
      <c r="C370" s="68" t="s">
        <v>1487</v>
      </c>
      <c r="D370" s="69" t="s">
        <v>1447</v>
      </c>
      <c r="E370" s="70" t="s">
        <v>1163</v>
      </c>
    </row>
    <row r="371">
      <c r="A371" s="67">
        <v>42.0</v>
      </c>
      <c r="B371" s="31" t="s">
        <v>671</v>
      </c>
      <c r="C371" s="68" t="s">
        <v>1488</v>
      </c>
      <c r="D371" s="69" t="s">
        <v>1447</v>
      </c>
      <c r="E371" s="70" t="s">
        <v>1163</v>
      </c>
    </row>
    <row r="372">
      <c r="A372" s="67">
        <v>43.0</v>
      </c>
      <c r="B372" s="31" t="s">
        <v>673</v>
      </c>
      <c r="C372" s="68" t="s">
        <v>1489</v>
      </c>
      <c r="D372" s="69" t="s">
        <v>1447</v>
      </c>
      <c r="E372" s="70" t="s">
        <v>1163</v>
      </c>
    </row>
    <row r="373">
      <c r="A373" s="67">
        <v>44.0</v>
      </c>
      <c r="B373" s="31" t="s">
        <v>675</v>
      </c>
      <c r="C373" s="68" t="s">
        <v>1490</v>
      </c>
      <c r="D373" s="69" t="s">
        <v>1447</v>
      </c>
      <c r="E373" s="70" t="s">
        <v>1163</v>
      </c>
    </row>
    <row r="374">
      <c r="A374" s="67">
        <v>45.0</v>
      </c>
      <c r="B374" s="31" t="s">
        <v>677</v>
      </c>
      <c r="C374" s="68" t="s">
        <v>1491</v>
      </c>
      <c r="D374" s="69" t="s">
        <v>1447</v>
      </c>
      <c r="E374" s="70" t="s">
        <v>1163</v>
      </c>
    </row>
    <row r="375">
      <c r="A375" s="67">
        <v>46.0</v>
      </c>
      <c r="B375" s="31" t="s">
        <v>679</v>
      </c>
      <c r="C375" s="68" t="s">
        <v>1492</v>
      </c>
      <c r="D375" s="69" t="s">
        <v>1447</v>
      </c>
      <c r="E375" s="70" t="s">
        <v>1163</v>
      </c>
    </row>
    <row r="376">
      <c r="A376" s="63"/>
      <c r="B376" s="63"/>
      <c r="C376" s="63"/>
      <c r="D376" s="63"/>
      <c r="E376" s="63"/>
    </row>
    <row r="377">
      <c r="A377" s="62" t="s">
        <v>3</v>
      </c>
      <c r="B377" s="63"/>
      <c r="C377" s="62" t="s">
        <v>4</v>
      </c>
      <c r="D377" s="63"/>
      <c r="E377" s="63"/>
    </row>
    <row r="378">
      <c r="A378" s="62" t="s">
        <v>5</v>
      </c>
      <c r="B378" s="63"/>
      <c r="C378" s="62" t="s">
        <v>682</v>
      </c>
      <c r="D378" s="63"/>
      <c r="E378" s="63"/>
    </row>
    <row r="379">
      <c r="A379" s="62" t="s">
        <v>7</v>
      </c>
      <c r="B379" s="63"/>
      <c r="C379" s="62" t="s">
        <v>8</v>
      </c>
      <c r="D379" s="63"/>
      <c r="E379" s="63"/>
    </row>
    <row r="380">
      <c r="A380" s="63"/>
      <c r="B380" s="63"/>
      <c r="C380" s="63"/>
      <c r="D380" s="63"/>
      <c r="E380" s="63"/>
    </row>
    <row r="381">
      <c r="A381" s="80" t="s">
        <v>9</v>
      </c>
      <c r="B381" s="81" t="s">
        <v>10</v>
      </c>
      <c r="C381" s="80" t="s">
        <v>11</v>
      </c>
      <c r="D381" s="85" t="s">
        <v>5</v>
      </c>
      <c r="E381" s="83" t="s">
        <v>19</v>
      </c>
    </row>
    <row r="382">
      <c r="A382" s="20"/>
      <c r="B382" s="20"/>
      <c r="C382" s="20"/>
      <c r="D382" s="20"/>
      <c r="E382" s="20"/>
    </row>
    <row r="383">
      <c r="A383" s="67">
        <v>1.0</v>
      </c>
      <c r="B383" s="31" t="s">
        <v>683</v>
      </c>
      <c r="C383" s="68" t="s">
        <v>1493</v>
      </c>
      <c r="D383" s="69" t="s">
        <v>1494</v>
      </c>
      <c r="E383" s="70" t="s">
        <v>1163</v>
      </c>
    </row>
    <row r="384">
      <c r="A384" s="67">
        <v>2.0</v>
      </c>
      <c r="B384" s="31" t="s">
        <v>685</v>
      </c>
      <c r="C384" s="68" t="s">
        <v>1495</v>
      </c>
      <c r="D384" s="69" t="s">
        <v>1494</v>
      </c>
      <c r="E384" s="70" t="s">
        <v>1168</v>
      </c>
    </row>
    <row r="385">
      <c r="A385" s="67">
        <v>3.0</v>
      </c>
      <c r="B385" s="31" t="s">
        <v>687</v>
      </c>
      <c r="C385" s="68" t="s">
        <v>1496</v>
      </c>
      <c r="D385" s="69" t="s">
        <v>1494</v>
      </c>
      <c r="E385" s="70" t="s">
        <v>1168</v>
      </c>
    </row>
    <row r="386">
      <c r="A386" s="67">
        <v>4.0</v>
      </c>
      <c r="B386" s="31" t="s">
        <v>689</v>
      </c>
      <c r="C386" s="68" t="s">
        <v>1497</v>
      </c>
      <c r="D386" s="69" t="s">
        <v>1494</v>
      </c>
      <c r="E386" s="70" t="s">
        <v>1163</v>
      </c>
    </row>
    <row r="387">
      <c r="A387" s="67">
        <v>5.0</v>
      </c>
      <c r="B387" s="31" t="s">
        <v>691</v>
      </c>
      <c r="C387" s="68" t="s">
        <v>1498</v>
      </c>
      <c r="D387" s="69" t="s">
        <v>1494</v>
      </c>
      <c r="E387" s="70" t="s">
        <v>1168</v>
      </c>
    </row>
    <row r="388">
      <c r="A388" s="67">
        <v>6.0</v>
      </c>
      <c r="B388" s="31" t="s">
        <v>693</v>
      </c>
      <c r="C388" s="68" t="s">
        <v>1499</v>
      </c>
      <c r="D388" s="69" t="s">
        <v>1494</v>
      </c>
      <c r="E388" s="70" t="s">
        <v>1168</v>
      </c>
    </row>
    <row r="389">
      <c r="A389" s="67">
        <v>7.0</v>
      </c>
      <c r="B389" s="31" t="s">
        <v>695</v>
      </c>
      <c r="C389" s="68" t="s">
        <v>1500</v>
      </c>
      <c r="D389" s="69" t="s">
        <v>1494</v>
      </c>
      <c r="E389" s="70" t="s">
        <v>1163</v>
      </c>
    </row>
    <row r="390">
      <c r="A390" s="67">
        <v>8.0</v>
      </c>
      <c r="B390" s="31" t="s">
        <v>697</v>
      </c>
      <c r="C390" s="68" t="s">
        <v>1501</v>
      </c>
      <c r="D390" s="69" t="s">
        <v>1494</v>
      </c>
      <c r="E390" s="70" t="s">
        <v>1168</v>
      </c>
    </row>
    <row r="391">
      <c r="A391" s="67">
        <v>9.0</v>
      </c>
      <c r="B391" s="31" t="s">
        <v>699</v>
      </c>
      <c r="C391" s="68" t="s">
        <v>1502</v>
      </c>
      <c r="D391" s="69" t="s">
        <v>1494</v>
      </c>
      <c r="E391" s="70" t="s">
        <v>1168</v>
      </c>
    </row>
    <row r="392">
      <c r="A392" s="67">
        <v>10.0</v>
      </c>
      <c r="B392" s="31" t="s">
        <v>701</v>
      </c>
      <c r="C392" s="68" t="s">
        <v>1503</v>
      </c>
      <c r="D392" s="69" t="s">
        <v>1494</v>
      </c>
      <c r="E392" s="70" t="s">
        <v>1168</v>
      </c>
    </row>
    <row r="393">
      <c r="A393" s="67">
        <v>11.0</v>
      </c>
      <c r="B393" s="31" t="s">
        <v>703</v>
      </c>
      <c r="C393" s="68" t="s">
        <v>1504</v>
      </c>
      <c r="D393" s="69" t="s">
        <v>1494</v>
      </c>
      <c r="E393" s="70" t="s">
        <v>1163</v>
      </c>
    </row>
    <row r="394">
      <c r="A394" s="67">
        <v>12.0</v>
      </c>
      <c r="B394" s="31" t="s">
        <v>705</v>
      </c>
      <c r="C394" s="68" t="s">
        <v>1505</v>
      </c>
      <c r="D394" s="69" t="s">
        <v>1494</v>
      </c>
      <c r="E394" s="70" t="s">
        <v>1168</v>
      </c>
    </row>
    <row r="395">
      <c r="A395" s="67">
        <v>13.0</v>
      </c>
      <c r="B395" s="31" t="s">
        <v>707</v>
      </c>
      <c r="C395" s="68" t="s">
        <v>1506</v>
      </c>
      <c r="D395" s="69" t="s">
        <v>1494</v>
      </c>
      <c r="E395" s="70" t="s">
        <v>1168</v>
      </c>
    </row>
    <row r="396">
      <c r="A396" s="67">
        <v>14.0</v>
      </c>
      <c r="B396" s="31" t="s">
        <v>709</v>
      </c>
      <c r="C396" s="68" t="s">
        <v>1507</v>
      </c>
      <c r="D396" s="69" t="s">
        <v>1494</v>
      </c>
      <c r="E396" s="70" t="s">
        <v>1163</v>
      </c>
    </row>
    <row r="397">
      <c r="A397" s="67">
        <v>15.0</v>
      </c>
      <c r="B397" s="31" t="s">
        <v>711</v>
      </c>
      <c r="C397" s="68" t="s">
        <v>1508</v>
      </c>
      <c r="D397" s="69" t="s">
        <v>1494</v>
      </c>
      <c r="E397" s="70" t="s">
        <v>1163</v>
      </c>
    </row>
    <row r="398">
      <c r="A398" s="67">
        <v>16.0</v>
      </c>
      <c r="B398" s="31" t="s">
        <v>713</v>
      </c>
      <c r="C398" s="71" t="s">
        <v>1509</v>
      </c>
      <c r="D398" s="69" t="s">
        <v>1494</v>
      </c>
      <c r="E398" s="70" t="s">
        <v>1163</v>
      </c>
    </row>
    <row r="399">
      <c r="A399" s="67">
        <v>17.0</v>
      </c>
      <c r="B399" s="31" t="s">
        <v>715</v>
      </c>
      <c r="C399" s="68" t="s">
        <v>1510</v>
      </c>
      <c r="D399" s="69" t="s">
        <v>1494</v>
      </c>
      <c r="E399" s="70" t="s">
        <v>1163</v>
      </c>
    </row>
    <row r="400">
      <c r="A400" s="67">
        <v>18.0</v>
      </c>
      <c r="B400" s="31" t="s">
        <v>717</v>
      </c>
      <c r="C400" s="68" t="s">
        <v>1511</v>
      </c>
      <c r="D400" s="69" t="s">
        <v>1494</v>
      </c>
      <c r="E400" s="70" t="s">
        <v>1168</v>
      </c>
    </row>
    <row r="401">
      <c r="A401" s="67">
        <v>19.0</v>
      </c>
      <c r="B401" s="31" t="s">
        <v>719</v>
      </c>
      <c r="C401" s="68" t="s">
        <v>1512</v>
      </c>
      <c r="D401" s="69" t="s">
        <v>1494</v>
      </c>
      <c r="E401" s="69" t="s">
        <v>1187</v>
      </c>
    </row>
    <row r="402">
      <c r="A402" s="67">
        <v>20.0</v>
      </c>
      <c r="B402" s="31" t="s">
        <v>721</v>
      </c>
      <c r="C402" s="68" t="s">
        <v>1513</v>
      </c>
      <c r="D402" s="69" t="s">
        <v>1494</v>
      </c>
      <c r="E402" s="70" t="s">
        <v>1163</v>
      </c>
    </row>
    <row r="403">
      <c r="A403" s="67">
        <v>21.0</v>
      </c>
      <c r="B403" s="31" t="s">
        <v>723</v>
      </c>
      <c r="C403" s="68" t="s">
        <v>1514</v>
      </c>
      <c r="D403" s="69" t="s">
        <v>1494</v>
      </c>
      <c r="E403" s="70" t="s">
        <v>1163</v>
      </c>
    </row>
    <row r="404">
      <c r="A404" s="67">
        <v>22.0</v>
      </c>
      <c r="B404" s="31" t="s">
        <v>725</v>
      </c>
      <c r="C404" s="68" t="s">
        <v>1515</v>
      </c>
      <c r="D404" s="69" t="s">
        <v>1494</v>
      </c>
      <c r="E404" s="70" t="s">
        <v>1163</v>
      </c>
    </row>
    <row r="405">
      <c r="A405" s="67">
        <v>23.0</v>
      </c>
      <c r="B405" s="31" t="s">
        <v>727</v>
      </c>
      <c r="C405" s="68" t="s">
        <v>1516</v>
      </c>
      <c r="D405" s="69" t="s">
        <v>1494</v>
      </c>
      <c r="E405" s="70" t="s">
        <v>1163</v>
      </c>
    </row>
    <row r="406">
      <c r="A406" s="67">
        <v>24.0</v>
      </c>
      <c r="B406" s="31" t="s">
        <v>729</v>
      </c>
      <c r="C406" s="68" t="s">
        <v>1517</v>
      </c>
      <c r="D406" s="69" t="s">
        <v>1494</v>
      </c>
      <c r="E406" s="70" t="s">
        <v>1163</v>
      </c>
    </row>
    <row r="407">
      <c r="A407" s="67">
        <v>25.0</v>
      </c>
      <c r="B407" s="31" t="s">
        <v>731</v>
      </c>
      <c r="C407" s="68" t="s">
        <v>1518</v>
      </c>
      <c r="D407" s="69" t="s">
        <v>1494</v>
      </c>
      <c r="E407" s="70" t="s">
        <v>1163</v>
      </c>
    </row>
    <row r="408">
      <c r="A408" s="67">
        <v>26.0</v>
      </c>
      <c r="B408" s="31" t="s">
        <v>733</v>
      </c>
      <c r="C408" s="68" t="s">
        <v>1519</v>
      </c>
      <c r="D408" s="69" t="s">
        <v>1494</v>
      </c>
      <c r="E408" s="70" t="s">
        <v>1168</v>
      </c>
    </row>
    <row r="409">
      <c r="A409" s="67">
        <v>27.0</v>
      </c>
      <c r="B409" s="31" t="s">
        <v>735</v>
      </c>
      <c r="C409" s="68" t="s">
        <v>1520</v>
      </c>
      <c r="D409" s="69" t="s">
        <v>1494</v>
      </c>
      <c r="E409" s="70" t="s">
        <v>1168</v>
      </c>
    </row>
    <row r="410">
      <c r="A410" s="67">
        <v>28.0</v>
      </c>
      <c r="B410" s="31" t="s">
        <v>737</v>
      </c>
      <c r="C410" s="68" t="s">
        <v>1521</v>
      </c>
      <c r="D410" s="69" t="s">
        <v>1494</v>
      </c>
      <c r="E410" s="70" t="s">
        <v>1168</v>
      </c>
    </row>
    <row r="411">
      <c r="A411" s="67">
        <v>29.0</v>
      </c>
      <c r="B411" s="31" t="s">
        <v>739</v>
      </c>
      <c r="C411" s="68" t="s">
        <v>1522</v>
      </c>
      <c r="D411" s="69" t="s">
        <v>1494</v>
      </c>
      <c r="E411" s="70" t="s">
        <v>1163</v>
      </c>
    </row>
    <row r="412">
      <c r="A412" s="67">
        <v>30.0</v>
      </c>
      <c r="B412" s="31" t="s">
        <v>741</v>
      </c>
      <c r="C412" s="68" t="s">
        <v>1523</v>
      </c>
      <c r="D412" s="69" t="s">
        <v>1494</v>
      </c>
      <c r="E412" s="70" t="s">
        <v>1163</v>
      </c>
    </row>
    <row r="413">
      <c r="A413" s="67">
        <v>31.0</v>
      </c>
      <c r="B413" s="31" t="s">
        <v>743</v>
      </c>
      <c r="C413" s="68" t="s">
        <v>1524</v>
      </c>
      <c r="D413" s="69" t="s">
        <v>1494</v>
      </c>
      <c r="E413" s="70" t="s">
        <v>1163</v>
      </c>
    </row>
    <row r="414">
      <c r="A414" s="67">
        <v>32.0</v>
      </c>
      <c r="B414" s="31" t="s">
        <v>745</v>
      </c>
      <c r="C414" s="68" t="s">
        <v>1525</v>
      </c>
      <c r="D414" s="69" t="s">
        <v>1494</v>
      </c>
      <c r="E414" s="70" t="s">
        <v>1163</v>
      </c>
    </row>
    <row r="415">
      <c r="A415" s="67">
        <v>33.0</v>
      </c>
      <c r="B415" s="31" t="s">
        <v>747</v>
      </c>
      <c r="C415" s="68" t="s">
        <v>1526</v>
      </c>
      <c r="D415" s="69" t="s">
        <v>1494</v>
      </c>
      <c r="E415" s="70" t="s">
        <v>1163</v>
      </c>
    </row>
    <row r="416">
      <c r="A416" s="67">
        <v>34.0</v>
      </c>
      <c r="B416" s="31" t="s">
        <v>749</v>
      </c>
      <c r="C416" s="68" t="s">
        <v>1527</v>
      </c>
      <c r="D416" s="69" t="s">
        <v>1494</v>
      </c>
      <c r="E416" s="70" t="s">
        <v>1163</v>
      </c>
    </row>
    <row r="417">
      <c r="A417" s="67">
        <v>35.0</v>
      </c>
      <c r="B417" s="31" t="s">
        <v>751</v>
      </c>
      <c r="C417" s="68" t="s">
        <v>1528</v>
      </c>
      <c r="D417" s="69" t="s">
        <v>1494</v>
      </c>
      <c r="E417" s="70" t="s">
        <v>1163</v>
      </c>
    </row>
    <row r="418">
      <c r="A418" s="67">
        <v>36.0</v>
      </c>
      <c r="B418" s="31" t="s">
        <v>753</v>
      </c>
      <c r="C418" s="68" t="s">
        <v>1529</v>
      </c>
      <c r="D418" s="69" t="s">
        <v>1494</v>
      </c>
      <c r="E418" s="70" t="s">
        <v>1163</v>
      </c>
    </row>
    <row r="419">
      <c r="A419" s="67">
        <v>37.0</v>
      </c>
      <c r="B419" s="31" t="s">
        <v>755</v>
      </c>
      <c r="C419" s="68" t="s">
        <v>1530</v>
      </c>
      <c r="D419" s="69" t="s">
        <v>1494</v>
      </c>
      <c r="E419" s="70" t="s">
        <v>1163</v>
      </c>
    </row>
    <row r="420">
      <c r="A420" s="67">
        <v>38.0</v>
      </c>
      <c r="B420" s="31" t="s">
        <v>757</v>
      </c>
      <c r="C420" s="68" t="s">
        <v>1531</v>
      </c>
      <c r="D420" s="69" t="s">
        <v>1494</v>
      </c>
      <c r="E420" s="70" t="s">
        <v>1163</v>
      </c>
    </row>
    <row r="421">
      <c r="A421" s="67">
        <v>39.0</v>
      </c>
      <c r="B421" s="31" t="s">
        <v>759</v>
      </c>
      <c r="C421" s="68" t="s">
        <v>1532</v>
      </c>
      <c r="D421" s="69" t="s">
        <v>1494</v>
      </c>
      <c r="E421" s="70" t="s">
        <v>1163</v>
      </c>
    </row>
    <row r="422">
      <c r="A422" s="67">
        <v>40.0</v>
      </c>
      <c r="B422" s="31" t="s">
        <v>761</v>
      </c>
      <c r="C422" s="68" t="s">
        <v>1533</v>
      </c>
      <c r="D422" s="69" t="s">
        <v>1494</v>
      </c>
      <c r="E422" s="70" t="s">
        <v>1163</v>
      </c>
    </row>
    <row r="423">
      <c r="A423" s="67">
        <v>41.0</v>
      </c>
      <c r="B423" s="31" t="s">
        <v>763</v>
      </c>
      <c r="C423" s="68" t="s">
        <v>1534</v>
      </c>
      <c r="D423" s="69" t="s">
        <v>1494</v>
      </c>
      <c r="E423" s="70" t="s">
        <v>1163</v>
      </c>
    </row>
    <row r="424">
      <c r="A424" s="67">
        <v>42.0</v>
      </c>
      <c r="B424" s="31" t="s">
        <v>765</v>
      </c>
      <c r="C424" s="68" t="s">
        <v>1535</v>
      </c>
      <c r="D424" s="69" t="s">
        <v>1494</v>
      </c>
      <c r="E424" s="70" t="s">
        <v>1163</v>
      </c>
    </row>
    <row r="425">
      <c r="A425" s="67">
        <v>43.0</v>
      </c>
      <c r="B425" s="31" t="s">
        <v>767</v>
      </c>
      <c r="C425" s="68" t="s">
        <v>1536</v>
      </c>
      <c r="D425" s="69" t="s">
        <v>1494</v>
      </c>
      <c r="E425" s="70" t="s">
        <v>1163</v>
      </c>
    </row>
    <row r="426">
      <c r="A426" s="67">
        <v>44.0</v>
      </c>
      <c r="B426" s="31" t="s">
        <v>769</v>
      </c>
      <c r="C426" s="68" t="s">
        <v>1537</v>
      </c>
      <c r="D426" s="69" t="s">
        <v>1494</v>
      </c>
      <c r="E426" s="70" t="s">
        <v>1163</v>
      </c>
    </row>
    <row r="427">
      <c r="A427" s="67">
        <v>45.0</v>
      </c>
      <c r="B427" s="31" t="s">
        <v>771</v>
      </c>
      <c r="C427" s="68" t="s">
        <v>1538</v>
      </c>
      <c r="D427" s="69" t="s">
        <v>1494</v>
      </c>
      <c r="E427" s="70" t="s">
        <v>1163</v>
      </c>
    </row>
    <row r="428">
      <c r="A428" s="67">
        <v>46.0</v>
      </c>
      <c r="B428" s="31" t="s">
        <v>773</v>
      </c>
      <c r="C428" s="68" t="s">
        <v>1539</v>
      </c>
      <c r="D428" s="69" t="s">
        <v>1494</v>
      </c>
      <c r="E428" s="70" t="s">
        <v>1163</v>
      </c>
    </row>
    <row r="429">
      <c r="A429" s="67">
        <v>47.0</v>
      </c>
      <c r="B429" s="31" t="s">
        <v>775</v>
      </c>
      <c r="C429" s="68" t="s">
        <v>1540</v>
      </c>
      <c r="D429" s="69" t="s">
        <v>1494</v>
      </c>
      <c r="E429" s="70" t="s">
        <v>1168</v>
      </c>
    </row>
    <row r="430">
      <c r="A430" s="63"/>
      <c r="B430" s="63"/>
      <c r="C430" s="63"/>
      <c r="D430" s="63"/>
      <c r="E430" s="63"/>
    </row>
    <row r="431">
      <c r="A431" s="62" t="s">
        <v>3</v>
      </c>
      <c r="B431" s="63"/>
      <c r="C431" s="62" t="s">
        <v>4</v>
      </c>
      <c r="D431" s="63"/>
      <c r="E431" s="63"/>
    </row>
    <row r="432">
      <c r="A432" s="62" t="s">
        <v>5</v>
      </c>
      <c r="B432" s="63"/>
      <c r="C432" s="62" t="s">
        <v>778</v>
      </c>
      <c r="D432" s="63"/>
      <c r="E432" s="63"/>
    </row>
    <row r="433">
      <c r="A433" s="62" t="s">
        <v>7</v>
      </c>
      <c r="B433" s="63"/>
      <c r="C433" s="62" t="s">
        <v>8</v>
      </c>
      <c r="D433" s="63"/>
      <c r="E433" s="63"/>
    </row>
    <row r="434">
      <c r="A434" s="63"/>
      <c r="B434" s="63"/>
      <c r="C434" s="63"/>
      <c r="D434" s="63"/>
      <c r="E434" s="63"/>
    </row>
    <row r="435">
      <c r="A435" s="80" t="s">
        <v>9</v>
      </c>
      <c r="B435" s="81" t="s">
        <v>10</v>
      </c>
      <c r="C435" s="80" t="s">
        <v>11</v>
      </c>
      <c r="D435" s="85" t="s">
        <v>5</v>
      </c>
      <c r="E435" s="83" t="s">
        <v>19</v>
      </c>
    </row>
    <row r="436">
      <c r="A436" s="20"/>
      <c r="B436" s="20"/>
      <c r="C436" s="20"/>
      <c r="D436" s="20"/>
      <c r="E436" s="20"/>
    </row>
    <row r="437">
      <c r="A437" s="67">
        <v>1.0</v>
      </c>
      <c r="B437" s="31" t="s">
        <v>779</v>
      </c>
      <c r="C437" s="68" t="s">
        <v>1541</v>
      </c>
      <c r="D437" s="69" t="s">
        <v>1542</v>
      </c>
      <c r="E437" s="70" t="s">
        <v>1163</v>
      </c>
    </row>
    <row r="438">
      <c r="A438" s="67">
        <v>2.0</v>
      </c>
      <c r="B438" s="31" t="s">
        <v>781</v>
      </c>
      <c r="C438" s="68" t="s">
        <v>1543</v>
      </c>
      <c r="D438" s="69" t="s">
        <v>1542</v>
      </c>
      <c r="E438" s="70" t="s">
        <v>1163</v>
      </c>
    </row>
    <row r="439">
      <c r="A439" s="67">
        <v>3.0</v>
      </c>
      <c r="B439" s="31" t="s">
        <v>783</v>
      </c>
      <c r="C439" s="68" t="s">
        <v>1544</v>
      </c>
      <c r="D439" s="69" t="s">
        <v>1542</v>
      </c>
      <c r="E439" s="70" t="s">
        <v>1163</v>
      </c>
    </row>
    <row r="440">
      <c r="A440" s="67">
        <v>4.0</v>
      </c>
      <c r="B440" s="31" t="s">
        <v>785</v>
      </c>
      <c r="C440" s="68" t="s">
        <v>1545</v>
      </c>
      <c r="D440" s="69" t="s">
        <v>1542</v>
      </c>
      <c r="E440" s="70" t="s">
        <v>1163</v>
      </c>
    </row>
    <row r="441">
      <c r="A441" s="67">
        <v>5.0</v>
      </c>
      <c r="B441" s="31" t="s">
        <v>787</v>
      </c>
      <c r="C441" s="68" t="s">
        <v>1546</v>
      </c>
      <c r="D441" s="69" t="s">
        <v>1542</v>
      </c>
      <c r="E441" s="70" t="s">
        <v>1163</v>
      </c>
    </row>
    <row r="442">
      <c r="A442" s="67">
        <v>6.0</v>
      </c>
      <c r="B442" s="31" t="s">
        <v>789</v>
      </c>
      <c r="C442" s="68" t="s">
        <v>1547</v>
      </c>
      <c r="D442" s="69" t="s">
        <v>1542</v>
      </c>
      <c r="E442" s="70" t="s">
        <v>1168</v>
      </c>
    </row>
    <row r="443">
      <c r="A443" s="67">
        <v>7.0</v>
      </c>
      <c r="B443" s="31" t="s">
        <v>791</v>
      </c>
      <c r="C443" s="68" t="s">
        <v>1548</v>
      </c>
      <c r="D443" s="69" t="s">
        <v>1542</v>
      </c>
      <c r="E443" s="70" t="s">
        <v>1163</v>
      </c>
    </row>
    <row r="444">
      <c r="A444" s="67">
        <v>8.0</v>
      </c>
      <c r="B444" s="31" t="s">
        <v>793</v>
      </c>
      <c r="C444" s="71" t="s">
        <v>1549</v>
      </c>
      <c r="D444" s="69" t="s">
        <v>1542</v>
      </c>
      <c r="E444" s="70" t="s">
        <v>1168</v>
      </c>
    </row>
    <row r="445">
      <c r="A445" s="67">
        <v>9.0</v>
      </c>
      <c r="B445" s="31" t="s">
        <v>795</v>
      </c>
      <c r="C445" s="68" t="s">
        <v>1550</v>
      </c>
      <c r="D445" s="69" t="s">
        <v>1542</v>
      </c>
      <c r="E445" s="70" t="s">
        <v>1163</v>
      </c>
    </row>
    <row r="446">
      <c r="A446" s="67">
        <v>10.0</v>
      </c>
      <c r="B446" s="31" t="s">
        <v>797</v>
      </c>
      <c r="C446" s="68" t="s">
        <v>1551</v>
      </c>
      <c r="D446" s="69" t="s">
        <v>1542</v>
      </c>
      <c r="E446" s="70" t="s">
        <v>1163</v>
      </c>
    </row>
    <row r="447">
      <c r="A447" s="67">
        <v>11.0</v>
      </c>
      <c r="B447" s="31" t="s">
        <v>799</v>
      </c>
      <c r="C447" s="68" t="s">
        <v>1552</v>
      </c>
      <c r="D447" s="69" t="s">
        <v>1542</v>
      </c>
      <c r="E447" s="70" t="s">
        <v>1163</v>
      </c>
    </row>
    <row r="448">
      <c r="A448" s="67">
        <v>12.0</v>
      </c>
      <c r="B448" s="31" t="s">
        <v>801</v>
      </c>
      <c r="C448" s="71" t="s">
        <v>1553</v>
      </c>
      <c r="D448" s="69" t="s">
        <v>1542</v>
      </c>
      <c r="E448" s="70" t="s">
        <v>1163</v>
      </c>
    </row>
    <row r="449">
      <c r="A449" s="67">
        <v>13.0</v>
      </c>
      <c r="B449" s="31" t="s">
        <v>803</v>
      </c>
      <c r="C449" s="68" t="s">
        <v>1554</v>
      </c>
      <c r="D449" s="69" t="s">
        <v>1542</v>
      </c>
      <c r="E449" s="70" t="s">
        <v>1163</v>
      </c>
    </row>
    <row r="450">
      <c r="A450" s="67">
        <v>14.0</v>
      </c>
      <c r="B450" s="31" t="s">
        <v>805</v>
      </c>
      <c r="C450" s="68" t="s">
        <v>1555</v>
      </c>
      <c r="D450" s="69" t="s">
        <v>1542</v>
      </c>
      <c r="E450" s="70" t="s">
        <v>1163</v>
      </c>
    </row>
    <row r="451">
      <c r="A451" s="67">
        <v>15.0</v>
      </c>
      <c r="B451" s="31" t="s">
        <v>807</v>
      </c>
      <c r="C451" s="68" t="s">
        <v>1556</v>
      </c>
      <c r="D451" s="69" t="s">
        <v>1542</v>
      </c>
      <c r="E451" s="70" t="s">
        <v>1163</v>
      </c>
    </row>
    <row r="452">
      <c r="A452" s="67">
        <v>16.0</v>
      </c>
      <c r="B452" s="31" t="s">
        <v>809</v>
      </c>
      <c r="C452" s="68" t="s">
        <v>1557</v>
      </c>
      <c r="D452" s="69" t="s">
        <v>1542</v>
      </c>
      <c r="E452" s="70" t="s">
        <v>1168</v>
      </c>
    </row>
    <row r="453">
      <c r="A453" s="67">
        <v>17.0</v>
      </c>
      <c r="B453" s="31" t="s">
        <v>811</v>
      </c>
      <c r="C453" s="68" t="s">
        <v>1558</v>
      </c>
      <c r="D453" s="69" t="s">
        <v>1542</v>
      </c>
      <c r="E453" s="70" t="s">
        <v>1163</v>
      </c>
    </row>
    <row r="454">
      <c r="A454" s="67">
        <v>18.0</v>
      </c>
      <c r="B454" s="31" t="s">
        <v>813</v>
      </c>
      <c r="C454" s="68" t="s">
        <v>1559</v>
      </c>
      <c r="D454" s="69" t="s">
        <v>1542</v>
      </c>
      <c r="E454" s="70" t="s">
        <v>1168</v>
      </c>
    </row>
    <row r="455">
      <c r="A455" s="67">
        <v>19.0</v>
      </c>
      <c r="B455" s="31" t="s">
        <v>815</v>
      </c>
      <c r="C455" s="68" t="s">
        <v>1560</v>
      </c>
      <c r="D455" s="69" t="s">
        <v>1542</v>
      </c>
      <c r="E455" s="70" t="s">
        <v>1163</v>
      </c>
    </row>
    <row r="456">
      <c r="A456" s="67">
        <v>20.0</v>
      </c>
      <c r="B456" s="31" t="s">
        <v>817</v>
      </c>
      <c r="C456" s="71" t="s">
        <v>1561</v>
      </c>
      <c r="D456" s="69" t="s">
        <v>1542</v>
      </c>
      <c r="E456" s="70" t="s">
        <v>1163</v>
      </c>
    </row>
    <row r="457">
      <c r="A457" s="67">
        <v>21.0</v>
      </c>
      <c r="B457" s="31" t="s">
        <v>819</v>
      </c>
      <c r="C457" s="68" t="s">
        <v>1562</v>
      </c>
      <c r="D457" s="69" t="s">
        <v>1542</v>
      </c>
      <c r="E457" s="70" t="s">
        <v>1163</v>
      </c>
    </row>
    <row r="458">
      <c r="A458" s="67">
        <v>22.0</v>
      </c>
      <c r="B458" s="31" t="s">
        <v>821</v>
      </c>
      <c r="C458" s="68" t="s">
        <v>1563</v>
      </c>
      <c r="D458" s="69" t="s">
        <v>1542</v>
      </c>
      <c r="E458" s="70" t="s">
        <v>1163</v>
      </c>
    </row>
    <row r="459">
      <c r="A459" s="67">
        <v>23.0</v>
      </c>
      <c r="B459" s="31" t="s">
        <v>823</v>
      </c>
      <c r="C459" s="68" t="s">
        <v>1564</v>
      </c>
      <c r="D459" s="69" t="s">
        <v>1542</v>
      </c>
      <c r="E459" s="70" t="s">
        <v>1168</v>
      </c>
    </row>
    <row r="460">
      <c r="A460" s="67">
        <v>24.0</v>
      </c>
      <c r="B460" s="31" t="s">
        <v>825</v>
      </c>
      <c r="C460" s="68" t="s">
        <v>1565</v>
      </c>
      <c r="D460" s="69" t="s">
        <v>1542</v>
      </c>
      <c r="E460" s="70" t="s">
        <v>1168</v>
      </c>
    </row>
    <row r="461">
      <c r="A461" s="67">
        <v>25.0</v>
      </c>
      <c r="B461" s="31" t="s">
        <v>827</v>
      </c>
      <c r="C461" s="68" t="s">
        <v>1566</v>
      </c>
      <c r="D461" s="69" t="s">
        <v>1542</v>
      </c>
      <c r="E461" s="70" t="s">
        <v>1168</v>
      </c>
    </row>
    <row r="462">
      <c r="A462" s="67">
        <v>26.0</v>
      </c>
      <c r="B462" s="31" t="s">
        <v>829</v>
      </c>
      <c r="C462" s="68" t="s">
        <v>1567</v>
      </c>
      <c r="D462" s="69" t="s">
        <v>1542</v>
      </c>
      <c r="E462" s="70" t="s">
        <v>1163</v>
      </c>
    </row>
    <row r="463">
      <c r="A463" s="67">
        <v>27.0</v>
      </c>
      <c r="B463" s="31" t="s">
        <v>831</v>
      </c>
      <c r="C463" s="68" t="s">
        <v>1568</v>
      </c>
      <c r="D463" s="69" t="s">
        <v>1542</v>
      </c>
      <c r="E463" s="70" t="s">
        <v>1168</v>
      </c>
    </row>
    <row r="464">
      <c r="A464" s="67">
        <v>28.0</v>
      </c>
      <c r="B464" s="31" t="s">
        <v>833</v>
      </c>
      <c r="C464" s="68" t="s">
        <v>1569</v>
      </c>
      <c r="D464" s="69" t="s">
        <v>1542</v>
      </c>
      <c r="E464" s="70" t="s">
        <v>1168</v>
      </c>
    </row>
    <row r="465">
      <c r="A465" s="67">
        <v>29.0</v>
      </c>
      <c r="B465" s="31" t="s">
        <v>835</v>
      </c>
      <c r="C465" s="68" t="s">
        <v>1570</v>
      </c>
      <c r="D465" s="69" t="s">
        <v>1542</v>
      </c>
      <c r="E465" s="70" t="s">
        <v>1168</v>
      </c>
    </row>
    <row r="466">
      <c r="A466" s="67">
        <v>30.0</v>
      </c>
      <c r="B466" s="31" t="s">
        <v>837</v>
      </c>
      <c r="C466" s="68" t="s">
        <v>1571</v>
      </c>
      <c r="D466" s="69" t="s">
        <v>1542</v>
      </c>
      <c r="E466" s="70" t="s">
        <v>1163</v>
      </c>
    </row>
    <row r="467">
      <c r="A467" s="67">
        <v>31.0</v>
      </c>
      <c r="B467" s="31" t="s">
        <v>839</v>
      </c>
      <c r="C467" s="68" t="s">
        <v>1572</v>
      </c>
      <c r="D467" s="69" t="s">
        <v>1542</v>
      </c>
      <c r="E467" s="70" t="s">
        <v>1168</v>
      </c>
    </row>
    <row r="468">
      <c r="A468" s="67">
        <v>32.0</v>
      </c>
      <c r="B468" s="31" t="s">
        <v>841</v>
      </c>
      <c r="C468" s="68" t="s">
        <v>1573</v>
      </c>
      <c r="D468" s="69" t="s">
        <v>1542</v>
      </c>
      <c r="E468" s="70" t="s">
        <v>1168</v>
      </c>
    </row>
    <row r="469">
      <c r="A469" s="67">
        <v>33.0</v>
      </c>
      <c r="B469" s="31" t="s">
        <v>843</v>
      </c>
      <c r="C469" s="68" t="s">
        <v>1574</v>
      </c>
      <c r="D469" s="69" t="s">
        <v>1542</v>
      </c>
      <c r="E469" s="70" t="s">
        <v>1168</v>
      </c>
    </row>
    <row r="470">
      <c r="A470" s="67">
        <v>34.0</v>
      </c>
      <c r="B470" s="31" t="s">
        <v>845</v>
      </c>
      <c r="C470" s="71" t="s">
        <v>1575</v>
      </c>
      <c r="D470" s="69" t="s">
        <v>1542</v>
      </c>
      <c r="E470" s="70" t="s">
        <v>1168</v>
      </c>
    </row>
    <row r="471">
      <c r="A471" s="67">
        <v>35.0</v>
      </c>
      <c r="B471" s="31" t="s">
        <v>847</v>
      </c>
      <c r="C471" s="68" t="s">
        <v>1576</v>
      </c>
      <c r="D471" s="69" t="s">
        <v>1542</v>
      </c>
      <c r="E471" s="70" t="s">
        <v>1168</v>
      </c>
    </row>
    <row r="472">
      <c r="A472" s="67">
        <v>36.0</v>
      </c>
      <c r="B472" s="31" t="s">
        <v>849</v>
      </c>
      <c r="C472" s="68" t="s">
        <v>1577</v>
      </c>
      <c r="D472" s="69" t="s">
        <v>1542</v>
      </c>
      <c r="E472" s="70" t="s">
        <v>1163</v>
      </c>
    </row>
    <row r="473">
      <c r="A473" s="67">
        <v>37.0</v>
      </c>
      <c r="B473" s="31" t="s">
        <v>851</v>
      </c>
      <c r="C473" s="68" t="s">
        <v>1578</v>
      </c>
      <c r="D473" s="69" t="s">
        <v>1542</v>
      </c>
      <c r="E473" s="70" t="s">
        <v>1168</v>
      </c>
    </row>
    <row r="474">
      <c r="A474" s="67">
        <v>38.0</v>
      </c>
      <c r="B474" s="31" t="s">
        <v>853</v>
      </c>
      <c r="C474" s="68" t="s">
        <v>1579</v>
      </c>
      <c r="D474" s="69" t="s">
        <v>1542</v>
      </c>
      <c r="E474" s="70" t="s">
        <v>1163</v>
      </c>
    </row>
    <row r="475">
      <c r="A475" s="67">
        <v>39.0</v>
      </c>
      <c r="B475" s="31" t="s">
        <v>855</v>
      </c>
      <c r="C475" s="68" t="s">
        <v>1580</v>
      </c>
      <c r="D475" s="69" t="s">
        <v>1542</v>
      </c>
      <c r="E475" s="70" t="s">
        <v>1163</v>
      </c>
    </row>
    <row r="476">
      <c r="A476" s="67">
        <v>40.0</v>
      </c>
      <c r="B476" s="31" t="s">
        <v>857</v>
      </c>
      <c r="C476" s="68" t="s">
        <v>1581</v>
      </c>
      <c r="D476" s="69" t="s">
        <v>1542</v>
      </c>
      <c r="E476" s="70" t="s">
        <v>1168</v>
      </c>
    </row>
    <row r="477">
      <c r="A477" s="67">
        <v>41.0</v>
      </c>
      <c r="B477" s="31" t="s">
        <v>859</v>
      </c>
      <c r="C477" s="68" t="s">
        <v>1582</v>
      </c>
      <c r="D477" s="69" t="s">
        <v>1542</v>
      </c>
      <c r="E477" s="70" t="s">
        <v>1168</v>
      </c>
    </row>
    <row r="478">
      <c r="A478" s="67">
        <v>42.0</v>
      </c>
      <c r="B478" s="31" t="s">
        <v>861</v>
      </c>
      <c r="C478" s="68" t="s">
        <v>1583</v>
      </c>
      <c r="D478" s="69" t="s">
        <v>1542</v>
      </c>
      <c r="E478" s="70" t="s">
        <v>1163</v>
      </c>
    </row>
    <row r="479">
      <c r="A479" s="67">
        <v>43.0</v>
      </c>
      <c r="B479" s="31" t="s">
        <v>863</v>
      </c>
      <c r="C479" s="68" t="s">
        <v>1584</v>
      </c>
      <c r="D479" s="69" t="s">
        <v>1542</v>
      </c>
      <c r="E479" s="70" t="s">
        <v>1168</v>
      </c>
    </row>
    <row r="480">
      <c r="A480" s="67">
        <v>44.0</v>
      </c>
      <c r="B480" s="31" t="s">
        <v>865</v>
      </c>
      <c r="C480" s="71" t="s">
        <v>1585</v>
      </c>
      <c r="D480" s="69" t="s">
        <v>1542</v>
      </c>
      <c r="E480" s="70" t="s">
        <v>1163</v>
      </c>
    </row>
    <row r="481">
      <c r="A481" s="67">
        <v>45.0</v>
      </c>
      <c r="B481" s="31" t="s">
        <v>867</v>
      </c>
      <c r="C481" s="68" t="s">
        <v>1586</v>
      </c>
      <c r="D481" s="69" t="s">
        <v>1542</v>
      </c>
      <c r="E481" s="70" t="s">
        <v>1168</v>
      </c>
    </row>
    <row r="482">
      <c r="A482" s="63"/>
      <c r="B482" s="63"/>
      <c r="C482" s="63"/>
      <c r="D482" s="63"/>
      <c r="E482" s="63"/>
    </row>
    <row r="483">
      <c r="A483" s="62" t="s">
        <v>3</v>
      </c>
      <c r="B483" s="63"/>
      <c r="C483" s="62" t="s">
        <v>4</v>
      </c>
      <c r="D483" s="63"/>
      <c r="E483" s="63"/>
    </row>
    <row r="484">
      <c r="A484" s="62" t="s">
        <v>5</v>
      </c>
      <c r="B484" s="63"/>
      <c r="C484" s="62" t="s">
        <v>870</v>
      </c>
      <c r="D484" s="63"/>
      <c r="E484" s="63"/>
    </row>
    <row r="485">
      <c r="A485" s="62" t="s">
        <v>7</v>
      </c>
      <c r="B485" s="63"/>
      <c r="C485" s="62" t="s">
        <v>8</v>
      </c>
      <c r="D485" s="63"/>
      <c r="E485" s="63"/>
    </row>
    <row r="486">
      <c r="A486" s="63"/>
      <c r="B486" s="63"/>
      <c r="C486" s="63"/>
      <c r="D486" s="63"/>
      <c r="E486" s="63"/>
    </row>
    <row r="487">
      <c r="A487" s="80" t="s">
        <v>9</v>
      </c>
      <c r="B487" s="81" t="s">
        <v>10</v>
      </c>
      <c r="C487" s="80" t="s">
        <v>11</v>
      </c>
      <c r="D487" s="85" t="s">
        <v>5</v>
      </c>
      <c r="E487" s="83" t="s">
        <v>19</v>
      </c>
    </row>
    <row r="488">
      <c r="A488" s="20"/>
      <c r="B488" s="20"/>
      <c r="C488" s="20"/>
      <c r="D488" s="20"/>
      <c r="E488" s="20"/>
    </row>
    <row r="489">
      <c r="A489" s="67">
        <v>1.0</v>
      </c>
      <c r="B489" s="31" t="s">
        <v>871</v>
      </c>
      <c r="C489" s="68" t="s">
        <v>1587</v>
      </c>
      <c r="D489" s="69" t="s">
        <v>1588</v>
      </c>
      <c r="E489" s="70" t="s">
        <v>1163</v>
      </c>
    </row>
    <row r="490">
      <c r="A490" s="67">
        <v>2.0</v>
      </c>
      <c r="B490" s="31" t="s">
        <v>873</v>
      </c>
      <c r="C490" s="68" t="s">
        <v>1589</v>
      </c>
      <c r="D490" s="69" t="s">
        <v>1588</v>
      </c>
      <c r="E490" s="70" t="s">
        <v>1168</v>
      </c>
    </row>
    <row r="491">
      <c r="A491" s="67">
        <v>3.0</v>
      </c>
      <c r="B491" s="31" t="s">
        <v>875</v>
      </c>
      <c r="C491" s="71" t="s">
        <v>1590</v>
      </c>
      <c r="D491" s="69" t="s">
        <v>1588</v>
      </c>
      <c r="E491" s="70" t="s">
        <v>1163</v>
      </c>
    </row>
    <row r="492">
      <c r="A492" s="67">
        <v>4.0</v>
      </c>
      <c r="B492" s="31" t="s">
        <v>877</v>
      </c>
      <c r="C492" s="68" t="s">
        <v>1591</v>
      </c>
      <c r="D492" s="69" t="s">
        <v>1588</v>
      </c>
      <c r="E492" s="70" t="s">
        <v>1168</v>
      </c>
    </row>
    <row r="493">
      <c r="A493" s="67">
        <v>5.0</v>
      </c>
      <c r="B493" s="31" t="s">
        <v>879</v>
      </c>
      <c r="C493" s="68" t="s">
        <v>1592</v>
      </c>
      <c r="D493" s="69" t="s">
        <v>1588</v>
      </c>
      <c r="E493" s="70" t="s">
        <v>1168</v>
      </c>
    </row>
    <row r="494">
      <c r="A494" s="67">
        <v>6.0</v>
      </c>
      <c r="B494" s="31" t="s">
        <v>881</v>
      </c>
      <c r="C494" s="68" t="s">
        <v>1593</v>
      </c>
      <c r="D494" s="69" t="s">
        <v>1588</v>
      </c>
      <c r="E494" s="70" t="s">
        <v>1163</v>
      </c>
    </row>
    <row r="495">
      <c r="A495" s="67">
        <v>7.0</v>
      </c>
      <c r="B495" s="31" t="s">
        <v>883</v>
      </c>
      <c r="C495" s="68" t="s">
        <v>1594</v>
      </c>
      <c r="D495" s="69" t="s">
        <v>1588</v>
      </c>
      <c r="E495" s="70" t="s">
        <v>1163</v>
      </c>
    </row>
    <row r="496">
      <c r="A496" s="67">
        <v>8.0</v>
      </c>
      <c r="B496" s="31" t="s">
        <v>885</v>
      </c>
      <c r="C496" s="68" t="s">
        <v>1595</v>
      </c>
      <c r="D496" s="69" t="s">
        <v>1588</v>
      </c>
      <c r="E496" s="70" t="s">
        <v>1168</v>
      </c>
    </row>
    <row r="497">
      <c r="A497" s="67">
        <v>9.0</v>
      </c>
      <c r="B497" s="31" t="s">
        <v>887</v>
      </c>
      <c r="C497" s="71" t="s">
        <v>1596</v>
      </c>
      <c r="D497" s="69" t="s">
        <v>1588</v>
      </c>
      <c r="E497" s="70" t="s">
        <v>1163</v>
      </c>
    </row>
    <row r="498">
      <c r="A498" s="67">
        <v>10.0</v>
      </c>
      <c r="B498" s="31" t="s">
        <v>889</v>
      </c>
      <c r="C498" s="71" t="s">
        <v>1597</v>
      </c>
      <c r="D498" s="69" t="s">
        <v>1588</v>
      </c>
      <c r="E498" s="70" t="s">
        <v>1163</v>
      </c>
    </row>
    <row r="499">
      <c r="A499" s="67">
        <v>11.0</v>
      </c>
      <c r="B499" s="31" t="s">
        <v>891</v>
      </c>
      <c r="C499" s="68" t="s">
        <v>1598</v>
      </c>
      <c r="D499" s="69" t="s">
        <v>1588</v>
      </c>
      <c r="E499" s="70" t="s">
        <v>1163</v>
      </c>
    </row>
    <row r="500">
      <c r="A500" s="67">
        <v>12.0</v>
      </c>
      <c r="B500" s="31" t="s">
        <v>893</v>
      </c>
      <c r="C500" s="68" t="s">
        <v>1599</v>
      </c>
      <c r="D500" s="69" t="s">
        <v>1588</v>
      </c>
      <c r="E500" s="70" t="s">
        <v>1163</v>
      </c>
    </row>
    <row r="501">
      <c r="A501" s="67">
        <v>13.0</v>
      </c>
      <c r="B501" s="31" t="s">
        <v>895</v>
      </c>
      <c r="C501" s="68" t="s">
        <v>1600</v>
      </c>
      <c r="D501" s="69" t="s">
        <v>1588</v>
      </c>
      <c r="E501" s="70" t="s">
        <v>1163</v>
      </c>
    </row>
    <row r="502">
      <c r="A502" s="67">
        <v>14.0</v>
      </c>
      <c r="B502" s="31" t="s">
        <v>897</v>
      </c>
      <c r="C502" s="68" t="s">
        <v>1601</v>
      </c>
      <c r="D502" s="69" t="s">
        <v>1588</v>
      </c>
      <c r="E502" s="70" t="s">
        <v>1163</v>
      </c>
    </row>
    <row r="503">
      <c r="A503" s="67">
        <v>15.0</v>
      </c>
      <c r="B503" s="31" t="s">
        <v>899</v>
      </c>
      <c r="C503" s="68" t="s">
        <v>1602</v>
      </c>
      <c r="D503" s="69" t="s">
        <v>1588</v>
      </c>
      <c r="E503" s="69" t="s">
        <v>1187</v>
      </c>
    </row>
    <row r="504">
      <c r="A504" s="67">
        <v>16.0</v>
      </c>
      <c r="B504" s="31" t="s">
        <v>901</v>
      </c>
      <c r="C504" s="68" t="s">
        <v>1603</v>
      </c>
      <c r="D504" s="69" t="s">
        <v>1588</v>
      </c>
      <c r="E504" s="70" t="s">
        <v>1168</v>
      </c>
    </row>
    <row r="505">
      <c r="A505" s="67">
        <v>17.0</v>
      </c>
      <c r="B505" s="31" t="s">
        <v>903</v>
      </c>
      <c r="C505" s="68" t="s">
        <v>1604</v>
      </c>
      <c r="D505" s="69" t="s">
        <v>1588</v>
      </c>
      <c r="E505" s="70" t="s">
        <v>1163</v>
      </c>
    </row>
    <row r="506">
      <c r="A506" s="67">
        <v>18.0</v>
      </c>
      <c r="B506" s="31" t="s">
        <v>905</v>
      </c>
      <c r="C506" s="71" t="s">
        <v>1605</v>
      </c>
      <c r="D506" s="69" t="s">
        <v>1588</v>
      </c>
      <c r="E506" s="70" t="s">
        <v>1168</v>
      </c>
    </row>
    <row r="507">
      <c r="A507" s="67">
        <v>19.0</v>
      </c>
      <c r="B507" s="31" t="s">
        <v>907</v>
      </c>
      <c r="C507" s="68" t="s">
        <v>1606</v>
      </c>
      <c r="D507" s="69" t="s">
        <v>1588</v>
      </c>
      <c r="E507" s="70" t="s">
        <v>1163</v>
      </c>
    </row>
    <row r="508">
      <c r="A508" s="67">
        <v>20.0</v>
      </c>
      <c r="B508" s="31" t="s">
        <v>909</v>
      </c>
      <c r="C508" s="68" t="s">
        <v>1607</v>
      </c>
      <c r="D508" s="69" t="s">
        <v>1588</v>
      </c>
      <c r="E508" s="70" t="s">
        <v>1168</v>
      </c>
    </row>
    <row r="509">
      <c r="A509" s="67">
        <v>21.0</v>
      </c>
      <c r="B509" s="31" t="s">
        <v>911</v>
      </c>
      <c r="C509" s="68" t="s">
        <v>1608</v>
      </c>
      <c r="D509" s="69" t="s">
        <v>1588</v>
      </c>
      <c r="E509" s="70" t="s">
        <v>1163</v>
      </c>
    </row>
    <row r="510">
      <c r="A510" s="67">
        <v>22.0</v>
      </c>
      <c r="B510" s="31" t="s">
        <v>913</v>
      </c>
      <c r="C510" s="68" t="s">
        <v>1609</v>
      </c>
      <c r="D510" s="69" t="s">
        <v>1588</v>
      </c>
      <c r="E510" s="70" t="s">
        <v>1163</v>
      </c>
    </row>
    <row r="511">
      <c r="A511" s="67">
        <v>23.0</v>
      </c>
      <c r="B511" s="31" t="s">
        <v>915</v>
      </c>
      <c r="C511" s="68" t="s">
        <v>1610</v>
      </c>
      <c r="D511" s="69" t="s">
        <v>1588</v>
      </c>
      <c r="E511" s="69" t="s">
        <v>1187</v>
      </c>
    </row>
    <row r="512">
      <c r="A512" s="67">
        <v>24.0</v>
      </c>
      <c r="B512" s="31" t="s">
        <v>917</v>
      </c>
      <c r="C512" s="68" t="s">
        <v>1611</v>
      </c>
      <c r="D512" s="69" t="s">
        <v>1588</v>
      </c>
      <c r="E512" s="70" t="s">
        <v>1163</v>
      </c>
    </row>
    <row r="513">
      <c r="A513" s="67">
        <v>25.0</v>
      </c>
      <c r="B513" s="31" t="s">
        <v>919</v>
      </c>
      <c r="C513" s="68" t="s">
        <v>1612</v>
      </c>
      <c r="D513" s="69" t="s">
        <v>1588</v>
      </c>
      <c r="E513" s="70" t="s">
        <v>1163</v>
      </c>
    </row>
    <row r="514">
      <c r="A514" s="67">
        <v>26.0</v>
      </c>
      <c r="B514" s="31" t="s">
        <v>921</v>
      </c>
      <c r="C514" s="68" t="s">
        <v>1613</v>
      </c>
      <c r="D514" s="69" t="s">
        <v>1588</v>
      </c>
      <c r="E514" s="70" t="s">
        <v>1163</v>
      </c>
    </row>
    <row r="515">
      <c r="A515" s="67">
        <v>27.0</v>
      </c>
      <c r="B515" s="31" t="s">
        <v>923</v>
      </c>
      <c r="C515" s="68" t="s">
        <v>1614</v>
      </c>
      <c r="D515" s="69" t="s">
        <v>1588</v>
      </c>
      <c r="E515" s="70" t="s">
        <v>1163</v>
      </c>
    </row>
    <row r="516">
      <c r="A516" s="67">
        <v>28.0</v>
      </c>
      <c r="B516" s="31" t="s">
        <v>925</v>
      </c>
      <c r="C516" s="68" t="s">
        <v>1615</v>
      </c>
      <c r="D516" s="69" t="s">
        <v>1588</v>
      </c>
      <c r="E516" s="70" t="s">
        <v>1163</v>
      </c>
    </row>
    <row r="517">
      <c r="A517" s="67">
        <v>29.0</v>
      </c>
      <c r="B517" s="31" t="s">
        <v>927</v>
      </c>
      <c r="C517" s="68" t="s">
        <v>1616</v>
      </c>
      <c r="D517" s="69" t="s">
        <v>1588</v>
      </c>
      <c r="E517" s="70" t="s">
        <v>1163</v>
      </c>
    </row>
    <row r="518">
      <c r="A518" s="67">
        <v>30.0</v>
      </c>
      <c r="B518" s="31" t="s">
        <v>929</v>
      </c>
      <c r="C518" s="68" t="s">
        <v>1617</v>
      </c>
      <c r="D518" s="69" t="s">
        <v>1588</v>
      </c>
      <c r="E518" s="70" t="s">
        <v>1163</v>
      </c>
    </row>
    <row r="519">
      <c r="A519" s="67">
        <v>31.0</v>
      </c>
      <c r="B519" s="31" t="s">
        <v>931</v>
      </c>
      <c r="C519" s="68" t="s">
        <v>1618</v>
      </c>
      <c r="D519" s="69" t="s">
        <v>1588</v>
      </c>
      <c r="E519" s="70" t="s">
        <v>1163</v>
      </c>
    </row>
    <row r="520">
      <c r="A520" s="67">
        <v>32.0</v>
      </c>
      <c r="B520" s="31" t="s">
        <v>933</v>
      </c>
      <c r="C520" s="68" t="s">
        <v>1619</v>
      </c>
      <c r="D520" s="69" t="s">
        <v>1588</v>
      </c>
      <c r="E520" s="70" t="s">
        <v>1163</v>
      </c>
    </row>
    <row r="521">
      <c r="A521" s="67">
        <v>33.0</v>
      </c>
      <c r="B521" s="31" t="s">
        <v>935</v>
      </c>
      <c r="C521" s="68" t="s">
        <v>1620</v>
      </c>
      <c r="D521" s="69" t="s">
        <v>1588</v>
      </c>
      <c r="E521" s="70" t="s">
        <v>1163</v>
      </c>
    </row>
    <row r="522">
      <c r="A522" s="67">
        <v>34.0</v>
      </c>
      <c r="B522" s="31" t="s">
        <v>937</v>
      </c>
      <c r="C522" s="68" t="s">
        <v>1621</v>
      </c>
      <c r="D522" s="69" t="s">
        <v>1588</v>
      </c>
      <c r="E522" s="70" t="s">
        <v>1163</v>
      </c>
    </row>
    <row r="523">
      <c r="A523" s="67">
        <v>35.0</v>
      </c>
      <c r="B523" s="31" t="s">
        <v>939</v>
      </c>
      <c r="C523" s="68" t="s">
        <v>1622</v>
      </c>
      <c r="D523" s="69" t="s">
        <v>1588</v>
      </c>
      <c r="E523" s="70" t="s">
        <v>1168</v>
      </c>
    </row>
    <row r="524">
      <c r="A524" s="67">
        <v>36.0</v>
      </c>
      <c r="B524" s="31" t="s">
        <v>941</v>
      </c>
      <c r="C524" s="68" t="s">
        <v>1623</v>
      </c>
      <c r="D524" s="69" t="s">
        <v>1588</v>
      </c>
      <c r="E524" s="70" t="s">
        <v>1168</v>
      </c>
    </row>
    <row r="525">
      <c r="A525" s="67">
        <v>37.0</v>
      </c>
      <c r="B525" s="31" t="s">
        <v>943</v>
      </c>
      <c r="C525" s="68" t="s">
        <v>1624</v>
      </c>
      <c r="D525" s="69" t="s">
        <v>1588</v>
      </c>
      <c r="E525" s="70" t="s">
        <v>1163</v>
      </c>
    </row>
    <row r="526">
      <c r="A526" s="67">
        <v>38.0</v>
      </c>
      <c r="B526" s="31" t="s">
        <v>945</v>
      </c>
      <c r="C526" s="68" t="s">
        <v>1625</v>
      </c>
      <c r="D526" s="69" t="s">
        <v>1588</v>
      </c>
      <c r="E526" s="70" t="s">
        <v>1168</v>
      </c>
    </row>
    <row r="527">
      <c r="A527" s="67">
        <v>39.0</v>
      </c>
      <c r="B527" s="31" t="s">
        <v>947</v>
      </c>
      <c r="C527" s="68" t="s">
        <v>1626</v>
      </c>
      <c r="D527" s="69" t="s">
        <v>1588</v>
      </c>
      <c r="E527" s="70" t="s">
        <v>1163</v>
      </c>
    </row>
    <row r="528">
      <c r="A528" s="67">
        <v>40.0</v>
      </c>
      <c r="B528" s="31" t="s">
        <v>949</v>
      </c>
      <c r="C528" s="68" t="s">
        <v>1627</v>
      </c>
      <c r="D528" s="69" t="s">
        <v>1588</v>
      </c>
      <c r="E528" s="70" t="s">
        <v>1163</v>
      </c>
    </row>
    <row r="529">
      <c r="A529" s="67">
        <v>41.0</v>
      </c>
      <c r="B529" s="31" t="s">
        <v>951</v>
      </c>
      <c r="C529" s="68" t="s">
        <v>1628</v>
      </c>
      <c r="D529" s="69" t="s">
        <v>1588</v>
      </c>
      <c r="E529" s="70" t="s">
        <v>1168</v>
      </c>
    </row>
    <row r="530">
      <c r="A530" s="67">
        <v>42.0</v>
      </c>
      <c r="B530" s="31" t="s">
        <v>953</v>
      </c>
      <c r="C530" s="68" t="s">
        <v>1629</v>
      </c>
      <c r="D530" s="69" t="s">
        <v>1588</v>
      </c>
      <c r="E530" s="70" t="s">
        <v>1163</v>
      </c>
    </row>
    <row r="531">
      <c r="A531" s="67">
        <v>43.0</v>
      </c>
      <c r="B531" s="31" t="s">
        <v>955</v>
      </c>
      <c r="C531" s="68" t="s">
        <v>1630</v>
      </c>
      <c r="D531" s="69" t="s">
        <v>1588</v>
      </c>
      <c r="E531" s="70" t="s">
        <v>1163</v>
      </c>
    </row>
    <row r="532">
      <c r="A532" s="67">
        <v>44.0</v>
      </c>
      <c r="B532" s="31" t="s">
        <v>957</v>
      </c>
      <c r="C532" s="68" t="s">
        <v>1631</v>
      </c>
      <c r="D532" s="69" t="s">
        <v>1588</v>
      </c>
      <c r="E532" s="70" t="s">
        <v>1163</v>
      </c>
    </row>
    <row r="533">
      <c r="A533" s="67">
        <v>45.0</v>
      </c>
      <c r="B533" s="31" t="s">
        <v>959</v>
      </c>
      <c r="C533" s="68" t="s">
        <v>1632</v>
      </c>
      <c r="D533" s="69" t="s">
        <v>1588</v>
      </c>
      <c r="E533" s="70" t="s">
        <v>1163</v>
      </c>
    </row>
    <row r="534">
      <c r="A534" s="67">
        <v>46.0</v>
      </c>
      <c r="B534" s="31" t="s">
        <v>961</v>
      </c>
      <c r="C534" s="68" t="s">
        <v>1633</v>
      </c>
      <c r="D534" s="69" t="s">
        <v>1588</v>
      </c>
      <c r="E534" s="69" t="s">
        <v>1187</v>
      </c>
    </row>
    <row r="535">
      <c r="A535" s="63"/>
      <c r="B535" s="63"/>
      <c r="C535" s="63"/>
      <c r="D535" s="63"/>
      <c r="E535" s="63"/>
    </row>
    <row r="536">
      <c r="A536" s="62" t="s">
        <v>3</v>
      </c>
      <c r="B536" s="63"/>
      <c r="C536" s="62" t="s">
        <v>4</v>
      </c>
      <c r="D536" s="63"/>
      <c r="E536" s="63"/>
    </row>
    <row r="537">
      <c r="A537" s="62" t="s">
        <v>5</v>
      </c>
      <c r="B537" s="63"/>
      <c r="C537" s="62" t="s">
        <v>964</v>
      </c>
      <c r="D537" s="63"/>
      <c r="E537" s="63"/>
    </row>
    <row r="538">
      <c r="A538" s="62" t="s">
        <v>7</v>
      </c>
      <c r="B538" s="63"/>
      <c r="C538" s="62" t="s">
        <v>8</v>
      </c>
      <c r="D538" s="63"/>
      <c r="E538" s="63"/>
    </row>
    <row r="539">
      <c r="A539" s="63"/>
      <c r="B539" s="63"/>
      <c r="C539" s="63"/>
      <c r="D539" s="63"/>
      <c r="E539" s="63"/>
    </row>
    <row r="540">
      <c r="A540" s="80" t="s">
        <v>9</v>
      </c>
      <c r="B540" s="81" t="s">
        <v>10</v>
      </c>
      <c r="C540" s="80" t="s">
        <v>11</v>
      </c>
      <c r="D540" s="85" t="s">
        <v>5</v>
      </c>
      <c r="E540" s="83" t="s">
        <v>19</v>
      </c>
    </row>
    <row r="541">
      <c r="A541" s="20"/>
      <c r="B541" s="20"/>
      <c r="C541" s="20"/>
      <c r="D541" s="20"/>
      <c r="E541" s="20"/>
    </row>
    <row r="542">
      <c r="A542" s="67">
        <v>1.0</v>
      </c>
      <c r="B542" s="31" t="s">
        <v>965</v>
      </c>
      <c r="C542" s="68" t="s">
        <v>1634</v>
      </c>
      <c r="D542" s="69" t="s">
        <v>1635</v>
      </c>
      <c r="E542" s="70" t="s">
        <v>1168</v>
      </c>
    </row>
    <row r="543">
      <c r="A543" s="67">
        <v>2.0</v>
      </c>
      <c r="B543" s="31" t="s">
        <v>967</v>
      </c>
      <c r="C543" s="68" t="s">
        <v>1636</v>
      </c>
      <c r="D543" s="69" t="s">
        <v>1635</v>
      </c>
      <c r="E543" s="70" t="s">
        <v>1168</v>
      </c>
    </row>
    <row r="544">
      <c r="A544" s="67">
        <v>3.0</v>
      </c>
      <c r="B544" s="31" t="s">
        <v>969</v>
      </c>
      <c r="C544" s="68" t="s">
        <v>1637</v>
      </c>
      <c r="D544" s="69" t="s">
        <v>1635</v>
      </c>
      <c r="E544" s="70" t="s">
        <v>1163</v>
      </c>
    </row>
    <row r="545">
      <c r="A545" s="67">
        <v>4.0</v>
      </c>
      <c r="B545" s="31" t="s">
        <v>971</v>
      </c>
      <c r="C545" s="68" t="s">
        <v>1638</v>
      </c>
      <c r="D545" s="69" t="s">
        <v>1635</v>
      </c>
      <c r="E545" s="70" t="s">
        <v>1163</v>
      </c>
    </row>
    <row r="546">
      <c r="A546" s="67">
        <v>5.0</v>
      </c>
      <c r="B546" s="31" t="s">
        <v>973</v>
      </c>
      <c r="C546" s="68" t="s">
        <v>1639</v>
      </c>
      <c r="D546" s="69" t="s">
        <v>1635</v>
      </c>
      <c r="E546" s="70" t="s">
        <v>1163</v>
      </c>
    </row>
    <row r="547">
      <c r="A547" s="67">
        <v>6.0</v>
      </c>
      <c r="B547" s="31" t="s">
        <v>975</v>
      </c>
      <c r="C547" s="68" t="s">
        <v>1640</v>
      </c>
      <c r="D547" s="69" t="s">
        <v>1635</v>
      </c>
      <c r="E547" s="70" t="s">
        <v>1163</v>
      </c>
    </row>
    <row r="548">
      <c r="A548" s="67">
        <v>7.0</v>
      </c>
      <c r="B548" s="31" t="s">
        <v>977</v>
      </c>
      <c r="C548" s="68" t="s">
        <v>1641</v>
      </c>
      <c r="D548" s="69" t="s">
        <v>1635</v>
      </c>
      <c r="E548" s="70" t="s">
        <v>1163</v>
      </c>
    </row>
    <row r="549">
      <c r="A549" s="67">
        <v>8.0</v>
      </c>
      <c r="B549" s="31" t="s">
        <v>979</v>
      </c>
      <c r="C549" s="68" t="s">
        <v>1642</v>
      </c>
      <c r="D549" s="69" t="s">
        <v>1635</v>
      </c>
      <c r="E549" s="70" t="s">
        <v>1163</v>
      </c>
    </row>
    <row r="550">
      <c r="A550" s="67">
        <v>9.0</v>
      </c>
      <c r="B550" s="31" t="s">
        <v>981</v>
      </c>
      <c r="C550" s="68" t="s">
        <v>1643</v>
      </c>
      <c r="D550" s="69" t="s">
        <v>1635</v>
      </c>
      <c r="E550" s="70" t="s">
        <v>1163</v>
      </c>
    </row>
    <row r="551">
      <c r="A551" s="67">
        <v>10.0</v>
      </c>
      <c r="B551" s="31" t="s">
        <v>983</v>
      </c>
      <c r="C551" s="71" t="s">
        <v>1644</v>
      </c>
      <c r="D551" s="69" t="s">
        <v>1635</v>
      </c>
      <c r="E551" s="70" t="s">
        <v>1168</v>
      </c>
    </row>
    <row r="552">
      <c r="A552" s="67">
        <v>11.0</v>
      </c>
      <c r="B552" s="31" t="s">
        <v>985</v>
      </c>
      <c r="C552" s="68" t="s">
        <v>1645</v>
      </c>
      <c r="D552" s="69" t="s">
        <v>1635</v>
      </c>
      <c r="E552" s="70" t="s">
        <v>1163</v>
      </c>
    </row>
    <row r="553">
      <c r="A553" s="67">
        <v>12.0</v>
      </c>
      <c r="B553" s="31" t="s">
        <v>987</v>
      </c>
      <c r="C553" s="68" t="s">
        <v>1646</v>
      </c>
      <c r="D553" s="69" t="s">
        <v>1635</v>
      </c>
      <c r="E553" s="70" t="s">
        <v>1163</v>
      </c>
    </row>
    <row r="554">
      <c r="A554" s="67">
        <v>13.0</v>
      </c>
      <c r="B554" s="31" t="s">
        <v>989</v>
      </c>
      <c r="C554" s="68" t="s">
        <v>1647</v>
      </c>
      <c r="D554" s="69" t="s">
        <v>1635</v>
      </c>
      <c r="E554" s="70" t="s">
        <v>1163</v>
      </c>
    </row>
    <row r="555">
      <c r="A555" s="67">
        <v>14.0</v>
      </c>
      <c r="B555" s="31" t="s">
        <v>991</v>
      </c>
      <c r="C555" s="68" t="s">
        <v>1648</v>
      </c>
      <c r="D555" s="69" t="s">
        <v>1635</v>
      </c>
      <c r="E555" s="70" t="s">
        <v>1163</v>
      </c>
    </row>
    <row r="556">
      <c r="A556" s="67">
        <v>15.0</v>
      </c>
      <c r="B556" s="31" t="s">
        <v>993</v>
      </c>
      <c r="C556" s="68" t="s">
        <v>1649</v>
      </c>
      <c r="D556" s="69" t="s">
        <v>1635</v>
      </c>
      <c r="E556" s="69" t="s">
        <v>1187</v>
      </c>
    </row>
    <row r="557">
      <c r="A557" s="67">
        <v>16.0</v>
      </c>
      <c r="B557" s="31" t="s">
        <v>995</v>
      </c>
      <c r="C557" s="68" t="s">
        <v>1650</v>
      </c>
      <c r="D557" s="69" t="s">
        <v>1635</v>
      </c>
      <c r="E557" s="70" t="s">
        <v>1163</v>
      </c>
    </row>
    <row r="558">
      <c r="A558" s="67">
        <v>17.0</v>
      </c>
      <c r="B558" s="31" t="s">
        <v>997</v>
      </c>
      <c r="C558" s="68" t="s">
        <v>1651</v>
      </c>
      <c r="D558" s="69" t="s">
        <v>1635</v>
      </c>
      <c r="E558" s="69" t="s">
        <v>1187</v>
      </c>
    </row>
    <row r="559">
      <c r="A559" s="67">
        <v>18.0</v>
      </c>
      <c r="B559" s="31" t="s">
        <v>999</v>
      </c>
      <c r="C559" s="71" t="s">
        <v>1652</v>
      </c>
      <c r="D559" s="69" t="s">
        <v>1635</v>
      </c>
      <c r="E559" s="70" t="s">
        <v>1168</v>
      </c>
    </row>
    <row r="560">
      <c r="A560" s="67">
        <v>19.0</v>
      </c>
      <c r="B560" s="31" t="s">
        <v>1001</v>
      </c>
      <c r="C560" s="68" t="s">
        <v>1653</v>
      </c>
      <c r="D560" s="69" t="s">
        <v>1635</v>
      </c>
      <c r="E560" s="69" t="s">
        <v>1187</v>
      </c>
    </row>
    <row r="561">
      <c r="A561" s="67">
        <v>20.0</v>
      </c>
      <c r="B561" s="31" t="s">
        <v>1003</v>
      </c>
      <c r="C561" s="68" t="s">
        <v>1654</v>
      </c>
      <c r="D561" s="69" t="s">
        <v>1635</v>
      </c>
      <c r="E561" s="70" t="s">
        <v>1163</v>
      </c>
    </row>
    <row r="562">
      <c r="A562" s="67">
        <v>21.0</v>
      </c>
      <c r="B562" s="31" t="s">
        <v>1005</v>
      </c>
      <c r="C562" s="68" t="s">
        <v>1655</v>
      </c>
      <c r="D562" s="69" t="s">
        <v>1635</v>
      </c>
      <c r="E562" s="70" t="s">
        <v>1163</v>
      </c>
    </row>
    <row r="563">
      <c r="A563" s="67">
        <v>22.0</v>
      </c>
      <c r="B563" s="31" t="s">
        <v>1007</v>
      </c>
      <c r="C563" s="68" t="s">
        <v>1656</v>
      </c>
      <c r="D563" s="69" t="s">
        <v>1635</v>
      </c>
      <c r="E563" s="70" t="s">
        <v>1163</v>
      </c>
    </row>
    <row r="564">
      <c r="A564" s="67">
        <v>23.0</v>
      </c>
      <c r="B564" s="31" t="s">
        <v>1009</v>
      </c>
      <c r="C564" s="68" t="s">
        <v>1657</v>
      </c>
      <c r="D564" s="69" t="s">
        <v>1635</v>
      </c>
      <c r="E564" s="70" t="s">
        <v>1163</v>
      </c>
    </row>
    <row r="565">
      <c r="A565" s="67">
        <v>24.0</v>
      </c>
      <c r="B565" s="31" t="s">
        <v>1011</v>
      </c>
      <c r="C565" s="68" t="s">
        <v>1658</v>
      </c>
      <c r="D565" s="69" t="s">
        <v>1635</v>
      </c>
      <c r="E565" s="70" t="s">
        <v>1163</v>
      </c>
    </row>
    <row r="566">
      <c r="A566" s="67">
        <v>25.0</v>
      </c>
      <c r="B566" s="31" t="s">
        <v>1013</v>
      </c>
      <c r="C566" s="71" t="s">
        <v>1659</v>
      </c>
      <c r="D566" s="69" t="s">
        <v>1635</v>
      </c>
      <c r="E566" s="70" t="s">
        <v>1163</v>
      </c>
    </row>
    <row r="567">
      <c r="A567" s="67">
        <v>26.0</v>
      </c>
      <c r="B567" s="31" t="s">
        <v>1015</v>
      </c>
      <c r="C567" s="71" t="s">
        <v>1660</v>
      </c>
      <c r="D567" s="69" t="s">
        <v>1635</v>
      </c>
      <c r="E567" s="70" t="s">
        <v>1163</v>
      </c>
    </row>
    <row r="568">
      <c r="A568" s="67">
        <v>27.0</v>
      </c>
      <c r="B568" s="31" t="s">
        <v>1017</v>
      </c>
      <c r="C568" s="68" t="s">
        <v>1661</v>
      </c>
      <c r="D568" s="69" t="s">
        <v>1635</v>
      </c>
      <c r="E568" s="70" t="s">
        <v>1163</v>
      </c>
    </row>
    <row r="569">
      <c r="A569" s="67">
        <v>28.0</v>
      </c>
      <c r="B569" s="31" t="s">
        <v>1019</v>
      </c>
      <c r="C569" s="68" t="s">
        <v>1662</v>
      </c>
      <c r="D569" s="69" t="s">
        <v>1635</v>
      </c>
      <c r="E569" s="70" t="s">
        <v>1163</v>
      </c>
    </row>
    <row r="570">
      <c r="A570" s="67">
        <v>29.0</v>
      </c>
      <c r="B570" s="31" t="s">
        <v>1021</v>
      </c>
      <c r="C570" s="68" t="s">
        <v>1663</v>
      </c>
      <c r="D570" s="69" t="s">
        <v>1635</v>
      </c>
      <c r="E570" s="70" t="s">
        <v>1163</v>
      </c>
    </row>
    <row r="571">
      <c r="A571" s="67">
        <v>30.0</v>
      </c>
      <c r="B571" s="31" t="s">
        <v>1023</v>
      </c>
      <c r="C571" s="68" t="s">
        <v>1664</v>
      </c>
      <c r="D571" s="69" t="s">
        <v>1635</v>
      </c>
      <c r="E571" s="70" t="s">
        <v>1168</v>
      </c>
    </row>
    <row r="572">
      <c r="A572" s="67">
        <v>31.0</v>
      </c>
      <c r="B572" s="31" t="s">
        <v>1025</v>
      </c>
      <c r="C572" s="68" t="s">
        <v>1665</v>
      </c>
      <c r="D572" s="69" t="s">
        <v>1635</v>
      </c>
      <c r="E572" s="70" t="s">
        <v>1163</v>
      </c>
    </row>
    <row r="573">
      <c r="A573" s="67">
        <v>32.0</v>
      </c>
      <c r="B573" s="31" t="s">
        <v>1027</v>
      </c>
      <c r="C573" s="68" t="s">
        <v>1666</v>
      </c>
      <c r="D573" s="69" t="s">
        <v>1635</v>
      </c>
      <c r="E573" s="70" t="s">
        <v>1168</v>
      </c>
    </row>
    <row r="574">
      <c r="A574" s="67">
        <v>33.0</v>
      </c>
      <c r="B574" s="31" t="s">
        <v>1029</v>
      </c>
      <c r="C574" s="68" t="s">
        <v>1667</v>
      </c>
      <c r="D574" s="69" t="s">
        <v>1635</v>
      </c>
      <c r="E574" s="70" t="s">
        <v>1163</v>
      </c>
    </row>
    <row r="575">
      <c r="A575" s="67">
        <v>34.0</v>
      </c>
      <c r="B575" s="31" t="s">
        <v>1031</v>
      </c>
      <c r="C575" s="68" t="s">
        <v>1668</v>
      </c>
      <c r="D575" s="69" t="s">
        <v>1635</v>
      </c>
      <c r="E575" s="70" t="s">
        <v>1163</v>
      </c>
    </row>
    <row r="576">
      <c r="A576" s="67">
        <v>35.0</v>
      </c>
      <c r="B576" s="31" t="s">
        <v>1033</v>
      </c>
      <c r="C576" s="68" t="s">
        <v>1669</v>
      </c>
      <c r="D576" s="69" t="s">
        <v>1635</v>
      </c>
      <c r="E576" s="70" t="s">
        <v>1163</v>
      </c>
    </row>
    <row r="577">
      <c r="A577" s="67">
        <v>36.0</v>
      </c>
      <c r="B577" s="31" t="s">
        <v>1035</v>
      </c>
      <c r="C577" s="68" t="s">
        <v>1670</v>
      </c>
      <c r="D577" s="69" t="s">
        <v>1635</v>
      </c>
      <c r="E577" s="70" t="s">
        <v>1163</v>
      </c>
    </row>
    <row r="578">
      <c r="A578" s="67">
        <v>37.0</v>
      </c>
      <c r="B578" s="31" t="s">
        <v>1037</v>
      </c>
      <c r="C578" s="68" t="s">
        <v>1671</v>
      </c>
      <c r="D578" s="69" t="s">
        <v>1635</v>
      </c>
      <c r="E578" s="70" t="s">
        <v>1163</v>
      </c>
    </row>
    <row r="579">
      <c r="A579" s="67">
        <v>38.0</v>
      </c>
      <c r="B579" s="31" t="s">
        <v>1039</v>
      </c>
      <c r="C579" s="68" t="s">
        <v>1672</v>
      </c>
      <c r="D579" s="69" t="s">
        <v>1635</v>
      </c>
      <c r="E579" s="70" t="s">
        <v>1163</v>
      </c>
    </row>
    <row r="580">
      <c r="A580" s="67">
        <v>39.0</v>
      </c>
      <c r="B580" s="31" t="s">
        <v>1041</v>
      </c>
      <c r="C580" s="68" t="s">
        <v>1673</v>
      </c>
      <c r="D580" s="69" t="s">
        <v>1635</v>
      </c>
      <c r="E580" s="70" t="s">
        <v>1163</v>
      </c>
    </row>
    <row r="581">
      <c r="A581" s="67">
        <v>40.0</v>
      </c>
      <c r="B581" s="31" t="s">
        <v>1043</v>
      </c>
      <c r="C581" s="68" t="s">
        <v>1674</v>
      </c>
      <c r="D581" s="69" t="s">
        <v>1635</v>
      </c>
      <c r="E581" s="70" t="s">
        <v>1168</v>
      </c>
    </row>
    <row r="582">
      <c r="A582" s="67">
        <v>41.0</v>
      </c>
      <c r="B582" s="31" t="s">
        <v>1045</v>
      </c>
      <c r="C582" s="68" t="s">
        <v>1675</v>
      </c>
      <c r="D582" s="69" t="s">
        <v>1635</v>
      </c>
      <c r="E582" s="70" t="s">
        <v>1163</v>
      </c>
    </row>
    <row r="583">
      <c r="A583" s="67">
        <v>42.0</v>
      </c>
      <c r="B583" s="31" t="s">
        <v>1047</v>
      </c>
      <c r="C583" s="68" t="s">
        <v>1676</v>
      </c>
      <c r="D583" s="69" t="s">
        <v>1635</v>
      </c>
      <c r="E583" s="70" t="s">
        <v>1163</v>
      </c>
    </row>
    <row r="584">
      <c r="A584" s="67">
        <v>43.0</v>
      </c>
      <c r="B584" s="31" t="s">
        <v>1049</v>
      </c>
      <c r="C584" s="68" t="s">
        <v>1677</v>
      </c>
      <c r="D584" s="69" t="s">
        <v>1635</v>
      </c>
      <c r="E584" s="70" t="s">
        <v>1168</v>
      </c>
    </row>
    <row r="585">
      <c r="A585" s="67">
        <v>44.0</v>
      </c>
      <c r="B585" s="31" t="s">
        <v>1051</v>
      </c>
      <c r="C585" s="68" t="s">
        <v>1678</v>
      </c>
      <c r="D585" s="69" t="s">
        <v>1635</v>
      </c>
      <c r="E585" s="70" t="s">
        <v>1163</v>
      </c>
    </row>
    <row r="586">
      <c r="A586" s="67">
        <v>45.0</v>
      </c>
      <c r="B586" s="31" t="s">
        <v>1053</v>
      </c>
      <c r="C586" s="68" t="s">
        <v>1679</v>
      </c>
      <c r="D586" s="69" t="s">
        <v>1635</v>
      </c>
      <c r="E586" s="69" t="s">
        <v>1187</v>
      </c>
    </row>
    <row r="587">
      <c r="A587" s="67">
        <v>46.0</v>
      </c>
      <c r="B587" s="31" t="s">
        <v>1055</v>
      </c>
      <c r="C587" s="68" t="s">
        <v>1680</v>
      </c>
      <c r="D587" s="69" t="s">
        <v>1635</v>
      </c>
      <c r="E587" s="69" t="s">
        <v>1187</v>
      </c>
    </row>
    <row r="588">
      <c r="A588" s="67">
        <v>47.0</v>
      </c>
      <c r="B588" s="31" t="s">
        <v>1057</v>
      </c>
      <c r="C588" s="68" t="s">
        <v>1681</v>
      </c>
      <c r="D588" s="69" t="s">
        <v>1635</v>
      </c>
      <c r="E588" s="70" t="s">
        <v>1163</v>
      </c>
    </row>
    <row r="589">
      <c r="A589" s="67">
        <v>48.0</v>
      </c>
      <c r="B589" s="31" t="s">
        <v>1059</v>
      </c>
      <c r="C589" s="68" t="s">
        <v>1682</v>
      </c>
      <c r="D589" s="69" t="s">
        <v>1635</v>
      </c>
      <c r="E589" s="70" t="s">
        <v>1163</v>
      </c>
    </row>
    <row r="590">
      <c r="A590" s="63"/>
      <c r="B590" s="63"/>
      <c r="C590" s="63"/>
      <c r="D590" s="63"/>
      <c r="E590" s="63"/>
    </row>
    <row r="591">
      <c r="A591" s="62" t="s">
        <v>3</v>
      </c>
      <c r="B591" s="63"/>
      <c r="C591" s="62" t="s">
        <v>4</v>
      </c>
      <c r="D591" s="63"/>
      <c r="E591" s="63"/>
    </row>
    <row r="592">
      <c r="A592" s="62" t="s">
        <v>5</v>
      </c>
      <c r="B592" s="63"/>
      <c r="C592" s="62" t="s">
        <v>1062</v>
      </c>
      <c r="D592" s="63"/>
      <c r="E592" s="63"/>
    </row>
    <row r="593">
      <c r="A593" s="62" t="s">
        <v>7</v>
      </c>
      <c r="B593" s="63"/>
      <c r="C593" s="62" t="s">
        <v>8</v>
      </c>
      <c r="D593" s="63"/>
      <c r="E593" s="63"/>
    </row>
    <row r="594">
      <c r="A594" s="63"/>
      <c r="B594" s="63"/>
      <c r="C594" s="63"/>
      <c r="D594" s="63"/>
      <c r="E594" s="63"/>
    </row>
    <row r="595">
      <c r="A595" s="80" t="s">
        <v>9</v>
      </c>
      <c r="B595" s="81" t="s">
        <v>10</v>
      </c>
      <c r="C595" s="80" t="s">
        <v>11</v>
      </c>
      <c r="D595" s="85" t="s">
        <v>5</v>
      </c>
      <c r="E595" s="83" t="s">
        <v>19</v>
      </c>
    </row>
    <row r="596">
      <c r="A596" s="20"/>
      <c r="B596" s="20"/>
      <c r="C596" s="20"/>
      <c r="D596" s="20"/>
      <c r="E596" s="20"/>
    </row>
    <row r="597">
      <c r="A597" s="67">
        <v>1.0</v>
      </c>
      <c r="B597" s="31" t="s">
        <v>1064</v>
      </c>
      <c r="C597" s="68" t="s">
        <v>1683</v>
      </c>
      <c r="D597" s="69" t="s">
        <v>1684</v>
      </c>
      <c r="E597" s="70" t="s">
        <v>1168</v>
      </c>
    </row>
    <row r="598">
      <c r="A598" s="67">
        <v>2.0</v>
      </c>
      <c r="B598" s="31" t="s">
        <v>1066</v>
      </c>
      <c r="C598" s="68" t="s">
        <v>1685</v>
      </c>
      <c r="D598" s="69" t="s">
        <v>1684</v>
      </c>
      <c r="E598" s="70" t="s">
        <v>1168</v>
      </c>
    </row>
    <row r="599">
      <c r="A599" s="67">
        <v>3.0</v>
      </c>
      <c r="B599" s="31" t="s">
        <v>1068</v>
      </c>
      <c r="C599" s="68" t="s">
        <v>1686</v>
      </c>
      <c r="D599" s="69" t="s">
        <v>1684</v>
      </c>
      <c r="E599" s="70" t="s">
        <v>1168</v>
      </c>
    </row>
    <row r="600">
      <c r="A600" s="67">
        <v>4.0</v>
      </c>
      <c r="B600" s="31" t="s">
        <v>1070</v>
      </c>
      <c r="C600" s="68" t="s">
        <v>1687</v>
      </c>
      <c r="D600" s="69" t="s">
        <v>1684</v>
      </c>
      <c r="E600" s="70" t="s">
        <v>1168</v>
      </c>
    </row>
    <row r="601">
      <c r="A601" s="67">
        <v>5.0</v>
      </c>
      <c r="B601" s="31" t="s">
        <v>1072</v>
      </c>
      <c r="C601" s="68" t="s">
        <v>1688</v>
      </c>
      <c r="D601" s="69" t="s">
        <v>1684</v>
      </c>
      <c r="E601" s="70" t="s">
        <v>1168</v>
      </c>
    </row>
    <row r="602">
      <c r="A602" s="67">
        <v>6.0</v>
      </c>
      <c r="B602" s="31" t="s">
        <v>1074</v>
      </c>
      <c r="C602" s="68" t="s">
        <v>1689</v>
      </c>
      <c r="D602" s="69" t="s">
        <v>1684</v>
      </c>
      <c r="E602" s="70" t="s">
        <v>1168</v>
      </c>
    </row>
    <row r="603">
      <c r="A603" s="67">
        <v>7.0</v>
      </c>
      <c r="B603" s="31" t="s">
        <v>1076</v>
      </c>
      <c r="C603" s="68" t="s">
        <v>1690</v>
      </c>
      <c r="D603" s="69" t="s">
        <v>1684</v>
      </c>
      <c r="E603" s="70" t="s">
        <v>1168</v>
      </c>
    </row>
    <row r="604">
      <c r="A604" s="67">
        <v>8.0</v>
      </c>
      <c r="B604" s="31" t="s">
        <v>1078</v>
      </c>
      <c r="C604" s="68" t="s">
        <v>1691</v>
      </c>
      <c r="D604" s="69" t="s">
        <v>1684</v>
      </c>
      <c r="E604" s="70" t="s">
        <v>1168</v>
      </c>
    </row>
    <row r="605">
      <c r="A605" s="67">
        <v>9.0</v>
      </c>
      <c r="B605" s="31" t="s">
        <v>1080</v>
      </c>
      <c r="C605" s="68" t="s">
        <v>1692</v>
      </c>
      <c r="D605" s="69" t="s">
        <v>1684</v>
      </c>
      <c r="E605" s="69" t="s">
        <v>1187</v>
      </c>
    </row>
    <row r="606">
      <c r="A606" s="67">
        <v>10.0</v>
      </c>
      <c r="B606" s="31" t="s">
        <v>1082</v>
      </c>
      <c r="C606" s="68" t="s">
        <v>1693</v>
      </c>
      <c r="D606" s="69" t="s">
        <v>1684</v>
      </c>
      <c r="E606" s="70" t="s">
        <v>1168</v>
      </c>
    </row>
    <row r="607">
      <c r="A607" s="67">
        <v>11.0</v>
      </c>
      <c r="B607" s="31" t="s">
        <v>1084</v>
      </c>
      <c r="C607" s="68" t="s">
        <v>1694</v>
      </c>
      <c r="D607" s="69" t="s">
        <v>1684</v>
      </c>
      <c r="E607" s="70" t="s">
        <v>1168</v>
      </c>
    </row>
    <row r="608">
      <c r="A608" s="67">
        <v>12.0</v>
      </c>
      <c r="B608" s="31" t="s">
        <v>1086</v>
      </c>
      <c r="C608" s="68" t="s">
        <v>1695</v>
      </c>
      <c r="D608" s="69" t="s">
        <v>1684</v>
      </c>
      <c r="E608" s="70" t="s">
        <v>1163</v>
      </c>
    </row>
    <row r="609">
      <c r="A609" s="67">
        <v>13.0</v>
      </c>
      <c r="B609" s="31" t="s">
        <v>1088</v>
      </c>
      <c r="C609" s="68" t="s">
        <v>1696</v>
      </c>
      <c r="D609" s="69" t="s">
        <v>1684</v>
      </c>
      <c r="E609" s="70" t="s">
        <v>1163</v>
      </c>
    </row>
    <row r="610">
      <c r="A610" s="67">
        <v>14.0</v>
      </c>
      <c r="B610" s="31" t="s">
        <v>1090</v>
      </c>
      <c r="C610" s="68" t="s">
        <v>1697</v>
      </c>
      <c r="D610" s="69" t="s">
        <v>1684</v>
      </c>
      <c r="E610" s="70" t="s">
        <v>1168</v>
      </c>
    </row>
    <row r="611">
      <c r="A611" s="67">
        <v>15.0</v>
      </c>
      <c r="B611" s="31" t="s">
        <v>1092</v>
      </c>
      <c r="C611" s="68" t="s">
        <v>1698</v>
      </c>
      <c r="D611" s="69" t="s">
        <v>1684</v>
      </c>
      <c r="E611" s="70" t="s">
        <v>1168</v>
      </c>
    </row>
    <row r="612">
      <c r="A612" s="67">
        <v>16.0</v>
      </c>
      <c r="B612" s="31" t="s">
        <v>1094</v>
      </c>
      <c r="C612" s="68" t="s">
        <v>1699</v>
      </c>
      <c r="D612" s="69" t="s">
        <v>1684</v>
      </c>
      <c r="E612" s="70" t="s">
        <v>1168</v>
      </c>
    </row>
    <row r="613">
      <c r="A613" s="67">
        <v>17.0</v>
      </c>
      <c r="B613" s="31" t="s">
        <v>1096</v>
      </c>
      <c r="C613" s="68" t="s">
        <v>1700</v>
      </c>
      <c r="D613" s="69" t="s">
        <v>1684</v>
      </c>
      <c r="E613" s="70" t="s">
        <v>1168</v>
      </c>
    </row>
    <row r="614">
      <c r="A614" s="67">
        <v>18.0</v>
      </c>
      <c r="B614" s="31" t="s">
        <v>1098</v>
      </c>
      <c r="C614" s="71" t="s">
        <v>1701</v>
      </c>
      <c r="D614" s="69" t="s">
        <v>1684</v>
      </c>
      <c r="E614" s="70" t="s">
        <v>1163</v>
      </c>
    </row>
    <row r="615">
      <c r="A615" s="67">
        <v>19.0</v>
      </c>
      <c r="B615" s="31" t="s">
        <v>1100</v>
      </c>
      <c r="C615" s="68" t="s">
        <v>1702</v>
      </c>
      <c r="D615" s="69" t="s">
        <v>1684</v>
      </c>
      <c r="E615" s="70" t="s">
        <v>1168</v>
      </c>
    </row>
    <row r="616">
      <c r="A616" s="67">
        <v>20.0</v>
      </c>
      <c r="B616" s="31" t="s">
        <v>1102</v>
      </c>
      <c r="C616" s="68" t="s">
        <v>1703</v>
      </c>
      <c r="D616" s="69" t="s">
        <v>1684</v>
      </c>
      <c r="E616" s="70" t="s">
        <v>1168</v>
      </c>
    </row>
    <row r="617">
      <c r="A617" s="67">
        <v>21.0</v>
      </c>
      <c r="B617" s="31" t="s">
        <v>1104</v>
      </c>
      <c r="C617" s="68" t="s">
        <v>1704</v>
      </c>
      <c r="D617" s="69" t="s">
        <v>1684</v>
      </c>
      <c r="E617" s="70" t="s">
        <v>1168</v>
      </c>
    </row>
    <row r="618">
      <c r="A618" s="67">
        <v>22.0</v>
      </c>
      <c r="B618" s="31" t="s">
        <v>1106</v>
      </c>
      <c r="C618" s="68" t="s">
        <v>1705</v>
      </c>
      <c r="D618" s="69" t="s">
        <v>1684</v>
      </c>
      <c r="E618" s="70" t="s">
        <v>1168</v>
      </c>
    </row>
    <row r="619">
      <c r="A619" s="67">
        <v>23.0</v>
      </c>
      <c r="B619" s="31" t="s">
        <v>1108</v>
      </c>
      <c r="C619" s="68" t="s">
        <v>1706</v>
      </c>
      <c r="D619" s="69" t="s">
        <v>1684</v>
      </c>
      <c r="E619" s="70" t="s">
        <v>1168</v>
      </c>
    </row>
    <row r="620">
      <c r="A620" s="67">
        <v>24.0</v>
      </c>
      <c r="B620" s="31" t="s">
        <v>1110</v>
      </c>
      <c r="C620" s="68" t="s">
        <v>1707</v>
      </c>
      <c r="D620" s="69" t="s">
        <v>1684</v>
      </c>
      <c r="E620" s="70" t="s">
        <v>1163</v>
      </c>
    </row>
    <row r="621">
      <c r="A621" s="67">
        <v>25.0</v>
      </c>
      <c r="B621" s="31" t="s">
        <v>1112</v>
      </c>
      <c r="C621" s="68" t="s">
        <v>1708</v>
      </c>
      <c r="D621" s="69" t="s">
        <v>1684</v>
      </c>
      <c r="E621" s="69" t="s">
        <v>1187</v>
      </c>
    </row>
    <row r="622">
      <c r="A622" s="67">
        <v>26.0</v>
      </c>
      <c r="B622" s="31" t="s">
        <v>1114</v>
      </c>
      <c r="C622" s="68" t="s">
        <v>1709</v>
      </c>
      <c r="D622" s="69" t="s">
        <v>1684</v>
      </c>
      <c r="E622" s="70" t="s">
        <v>1168</v>
      </c>
    </row>
    <row r="623">
      <c r="A623" s="67">
        <v>27.0</v>
      </c>
      <c r="B623" s="31" t="s">
        <v>1116</v>
      </c>
      <c r="C623" s="68" t="s">
        <v>1710</v>
      </c>
      <c r="D623" s="69" t="s">
        <v>1684</v>
      </c>
      <c r="E623" s="70" t="s">
        <v>1163</v>
      </c>
    </row>
    <row r="624">
      <c r="A624" s="67">
        <v>28.0</v>
      </c>
      <c r="B624" s="31" t="s">
        <v>1118</v>
      </c>
      <c r="C624" s="68" t="s">
        <v>1711</v>
      </c>
      <c r="D624" s="69" t="s">
        <v>1684</v>
      </c>
      <c r="E624" s="70" t="s">
        <v>1163</v>
      </c>
    </row>
    <row r="625">
      <c r="A625" s="67">
        <v>29.0</v>
      </c>
      <c r="B625" s="31" t="s">
        <v>1120</v>
      </c>
      <c r="C625" s="68" t="s">
        <v>1712</v>
      </c>
      <c r="D625" s="69" t="s">
        <v>1684</v>
      </c>
      <c r="E625" s="70" t="s">
        <v>1168</v>
      </c>
    </row>
    <row r="626">
      <c r="A626" s="67">
        <v>30.0</v>
      </c>
      <c r="B626" s="31" t="s">
        <v>1122</v>
      </c>
      <c r="C626" s="68" t="s">
        <v>1713</v>
      </c>
      <c r="D626" s="69" t="s">
        <v>1684</v>
      </c>
      <c r="E626" s="70" t="s">
        <v>1168</v>
      </c>
    </row>
    <row r="627">
      <c r="A627" s="67">
        <v>31.0</v>
      </c>
      <c r="B627" s="31" t="s">
        <v>1124</v>
      </c>
      <c r="C627" s="68" t="s">
        <v>1714</v>
      </c>
      <c r="D627" s="69" t="s">
        <v>1684</v>
      </c>
      <c r="E627" s="70" t="s">
        <v>1168</v>
      </c>
    </row>
    <row r="628">
      <c r="A628" s="67">
        <v>32.0</v>
      </c>
      <c r="B628" s="31" t="s">
        <v>1126</v>
      </c>
      <c r="C628" s="68" t="s">
        <v>1715</v>
      </c>
      <c r="D628" s="69" t="s">
        <v>1684</v>
      </c>
      <c r="E628" s="70" t="s">
        <v>1163</v>
      </c>
    </row>
    <row r="629">
      <c r="A629" s="67">
        <v>33.0</v>
      </c>
      <c r="B629" s="31" t="s">
        <v>1128</v>
      </c>
      <c r="C629" s="68" t="s">
        <v>1716</v>
      </c>
      <c r="D629" s="69" t="s">
        <v>1684</v>
      </c>
      <c r="E629" s="70" t="s">
        <v>1163</v>
      </c>
    </row>
    <row r="630">
      <c r="A630" s="67">
        <v>34.0</v>
      </c>
      <c r="B630" s="31" t="s">
        <v>1130</v>
      </c>
      <c r="C630" s="68" t="s">
        <v>1717</v>
      </c>
      <c r="D630" s="69" t="s">
        <v>1684</v>
      </c>
      <c r="E630" s="70" t="s">
        <v>1168</v>
      </c>
    </row>
    <row r="631">
      <c r="A631" s="67">
        <v>35.0</v>
      </c>
      <c r="B631" s="31" t="s">
        <v>1132</v>
      </c>
      <c r="C631" s="68" t="s">
        <v>1718</v>
      </c>
      <c r="D631" s="69" t="s">
        <v>1684</v>
      </c>
      <c r="E631" s="70" t="s">
        <v>1168</v>
      </c>
    </row>
    <row r="632">
      <c r="A632" s="67">
        <v>36.0</v>
      </c>
      <c r="B632" s="31" t="s">
        <v>1134</v>
      </c>
      <c r="C632" s="68" t="s">
        <v>1719</v>
      </c>
      <c r="D632" s="69" t="s">
        <v>1684</v>
      </c>
      <c r="E632" s="70" t="s">
        <v>1168</v>
      </c>
    </row>
    <row r="633">
      <c r="A633" s="67">
        <v>37.0</v>
      </c>
      <c r="B633" s="31" t="s">
        <v>1136</v>
      </c>
      <c r="C633" s="68" t="s">
        <v>1720</v>
      </c>
      <c r="D633" s="69" t="s">
        <v>1684</v>
      </c>
      <c r="E633" s="69" t="s">
        <v>1187</v>
      </c>
    </row>
    <row r="634">
      <c r="A634" s="67">
        <v>38.0</v>
      </c>
      <c r="B634" s="31" t="s">
        <v>1138</v>
      </c>
      <c r="C634" s="68" t="s">
        <v>1721</v>
      </c>
      <c r="D634" s="69" t="s">
        <v>1684</v>
      </c>
      <c r="E634" s="69" t="s">
        <v>1187</v>
      </c>
    </row>
    <row r="635">
      <c r="A635" s="67">
        <v>39.0</v>
      </c>
      <c r="B635" s="31" t="s">
        <v>1140</v>
      </c>
      <c r="C635" s="68" t="s">
        <v>1722</v>
      </c>
      <c r="D635" s="69" t="s">
        <v>1684</v>
      </c>
      <c r="E635" s="70" t="s">
        <v>1163</v>
      </c>
    </row>
    <row r="636">
      <c r="A636" s="67">
        <v>40.0</v>
      </c>
      <c r="B636" s="31" t="s">
        <v>1142</v>
      </c>
      <c r="C636" s="68" t="s">
        <v>1723</v>
      </c>
      <c r="D636" s="69" t="s">
        <v>1684</v>
      </c>
      <c r="E636" s="70" t="s">
        <v>1163</v>
      </c>
    </row>
    <row r="637">
      <c r="A637" s="67">
        <v>41.0</v>
      </c>
      <c r="B637" s="31" t="s">
        <v>1144</v>
      </c>
      <c r="C637" s="68" t="s">
        <v>1724</v>
      </c>
      <c r="D637" s="69" t="s">
        <v>1684</v>
      </c>
      <c r="E637" s="70" t="s">
        <v>1163</v>
      </c>
    </row>
    <row r="638">
      <c r="A638" s="67">
        <v>42.0</v>
      </c>
      <c r="B638" s="31" t="s">
        <v>1146</v>
      </c>
      <c r="C638" s="68" t="s">
        <v>1725</v>
      </c>
      <c r="D638" s="69" t="s">
        <v>1684</v>
      </c>
      <c r="E638" s="70" t="s">
        <v>1163</v>
      </c>
    </row>
    <row r="639">
      <c r="A639" s="67">
        <v>43.0</v>
      </c>
      <c r="B639" s="31" t="s">
        <v>1148</v>
      </c>
      <c r="C639" s="68" t="s">
        <v>1726</v>
      </c>
      <c r="D639" s="69" t="s">
        <v>1684</v>
      </c>
      <c r="E639" s="70" t="s">
        <v>1168</v>
      </c>
    </row>
    <row r="640">
      <c r="A640" s="67">
        <v>44.0</v>
      </c>
      <c r="B640" s="31" t="s">
        <v>1150</v>
      </c>
      <c r="C640" s="68" t="s">
        <v>1727</v>
      </c>
      <c r="D640" s="69" t="s">
        <v>1684</v>
      </c>
      <c r="E640" s="70" t="s">
        <v>1168</v>
      </c>
    </row>
    <row r="641">
      <c r="A641" s="67">
        <v>45.0</v>
      </c>
      <c r="B641" s="31" t="s">
        <v>1152</v>
      </c>
      <c r="C641" s="68" t="s">
        <v>1728</v>
      </c>
      <c r="D641" s="69" t="s">
        <v>1684</v>
      </c>
      <c r="E641" s="70" t="s">
        <v>1168</v>
      </c>
    </row>
    <row r="642">
      <c r="A642" s="67">
        <v>46.0</v>
      </c>
      <c r="B642" s="31" t="s">
        <v>1154</v>
      </c>
      <c r="C642" s="68" t="s">
        <v>1729</v>
      </c>
      <c r="D642" s="69" t="s">
        <v>1684</v>
      </c>
      <c r="E642" s="70" t="s">
        <v>1168</v>
      </c>
    </row>
    <row r="643">
      <c r="A643" s="67">
        <v>47.0</v>
      </c>
      <c r="B643" s="31" t="s">
        <v>1156</v>
      </c>
      <c r="C643" s="68" t="s">
        <v>1730</v>
      </c>
      <c r="D643" s="69" t="s">
        <v>1684</v>
      </c>
      <c r="E643" s="70" t="s">
        <v>1168</v>
      </c>
    </row>
    <row r="644">
      <c r="A644" s="67">
        <v>48.0</v>
      </c>
      <c r="B644" s="31" t="s">
        <v>1158</v>
      </c>
      <c r="C644" s="68" t="s">
        <v>1731</v>
      </c>
      <c r="D644" s="69" t="s">
        <v>1684</v>
      </c>
      <c r="E644" s="70" t="s">
        <v>1168</v>
      </c>
    </row>
    <row r="645">
      <c r="A645" s="63"/>
      <c r="B645" s="63"/>
      <c r="C645" s="63"/>
      <c r="D645" s="63"/>
      <c r="E645" s="63"/>
    </row>
  </sheetData>
  <mergeCells count="63">
    <mergeCell ref="A381:A382"/>
    <mergeCell ref="B381:B382"/>
    <mergeCell ref="C381:C382"/>
    <mergeCell ref="D381:D382"/>
    <mergeCell ref="E381:E382"/>
    <mergeCell ref="A435:A436"/>
    <mergeCell ref="B435:B436"/>
    <mergeCell ref="E435:E436"/>
    <mergeCell ref="C435:C436"/>
    <mergeCell ref="D435:D436"/>
    <mergeCell ref="A487:A488"/>
    <mergeCell ref="B487:B488"/>
    <mergeCell ref="C487:C488"/>
    <mergeCell ref="D487:D488"/>
    <mergeCell ref="E487:E488"/>
    <mergeCell ref="A1:E1"/>
    <mergeCell ref="A3:E3"/>
    <mergeCell ref="A4:E4"/>
    <mergeCell ref="B9:B10"/>
    <mergeCell ref="C9:C10"/>
    <mergeCell ref="D9:D10"/>
    <mergeCell ref="E9:E10"/>
    <mergeCell ref="D118:D119"/>
    <mergeCell ref="E118:E119"/>
    <mergeCell ref="A9:A10"/>
    <mergeCell ref="A64:A65"/>
    <mergeCell ref="B64:B65"/>
    <mergeCell ref="C64:C65"/>
    <mergeCell ref="D64:D65"/>
    <mergeCell ref="E64:E65"/>
    <mergeCell ref="A118:A119"/>
    <mergeCell ref="B118:B119"/>
    <mergeCell ref="C118:C119"/>
    <mergeCell ref="A170:A171"/>
    <mergeCell ref="B170:B171"/>
    <mergeCell ref="C170:C171"/>
    <mergeCell ref="D170:D171"/>
    <mergeCell ref="E170:E171"/>
    <mergeCell ref="A224:A225"/>
    <mergeCell ref="B224:B225"/>
    <mergeCell ref="C224:C225"/>
    <mergeCell ref="D224:D225"/>
    <mergeCell ref="E224:E225"/>
    <mergeCell ref="A276:A277"/>
    <mergeCell ref="B276:B277"/>
    <mergeCell ref="E276:E277"/>
    <mergeCell ref="C276:C277"/>
    <mergeCell ref="D276:D277"/>
    <mergeCell ref="A328:A329"/>
    <mergeCell ref="B328:B329"/>
    <mergeCell ref="C328:C329"/>
    <mergeCell ref="D328:D329"/>
    <mergeCell ref="E328:E329"/>
    <mergeCell ref="C595:C596"/>
    <mergeCell ref="D595:D596"/>
    <mergeCell ref="A540:A541"/>
    <mergeCell ref="B540:B541"/>
    <mergeCell ref="C540:C541"/>
    <mergeCell ref="D540:D541"/>
    <mergeCell ref="E540:E541"/>
    <mergeCell ref="A595:A596"/>
    <mergeCell ref="B595:B596"/>
    <mergeCell ref="E595:E596"/>
  </mergeCells>
  <conditionalFormatting sqref="C6:C644 D6:E8">
    <cfRule type="containsText" dxfId="0" priority="1" operator="containsText" text="- L">
      <formula>NOT(ISERROR(SEARCH(("- L"),(C6))))</formula>
    </cfRule>
  </conditionalFormatting>
  <conditionalFormatting sqref="C6:C644 D6:E8">
    <cfRule type="containsText" dxfId="1" priority="2" operator="containsText" text="- P">
      <formula>NOT(ISERROR(SEARCH(("- P"),(C6))))</formula>
    </cfRule>
  </conditionalFormatting>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7.14"/>
    <col customWidth="1" min="2" max="3" width="10.86"/>
    <col customWidth="1" min="4" max="4" width="31.43"/>
    <col customWidth="1" min="5" max="5" width="6.43"/>
  </cols>
  <sheetData>
    <row r="1">
      <c r="A1" s="87" t="s">
        <v>1732</v>
      </c>
      <c r="B1" s="2"/>
      <c r="C1" s="2"/>
      <c r="D1" s="2"/>
      <c r="E1" s="2"/>
    </row>
    <row r="2">
      <c r="E2" s="88"/>
    </row>
    <row r="3">
      <c r="A3" s="89" t="s">
        <v>1</v>
      </c>
    </row>
    <row r="4">
      <c r="A4" s="89" t="s">
        <v>2</v>
      </c>
    </row>
    <row r="5">
      <c r="A5" s="90"/>
      <c r="B5" s="90"/>
      <c r="C5" s="90"/>
      <c r="D5" s="90"/>
      <c r="E5" s="91"/>
    </row>
    <row r="6">
      <c r="A6" s="90"/>
      <c r="B6" s="90"/>
      <c r="C6" s="90"/>
      <c r="D6" s="90"/>
      <c r="E6" s="91"/>
    </row>
    <row r="7">
      <c r="A7" s="90" t="s">
        <v>1733</v>
      </c>
      <c r="E7" s="91"/>
    </row>
    <row r="8">
      <c r="A8" s="92" t="s">
        <v>1734</v>
      </c>
      <c r="E8" s="93"/>
    </row>
    <row r="9">
      <c r="A9" s="94" t="s">
        <v>1735</v>
      </c>
      <c r="B9" s="94" t="s">
        <v>1736</v>
      </c>
      <c r="C9" s="94" t="s">
        <v>1737</v>
      </c>
      <c r="D9" s="94" t="s">
        <v>1738</v>
      </c>
      <c r="E9" s="95" t="s">
        <v>19</v>
      </c>
    </row>
    <row r="10" ht="14.25" customHeight="1">
      <c r="A10" s="20"/>
      <c r="B10" s="20"/>
      <c r="C10" s="20"/>
      <c r="D10" s="20"/>
      <c r="E10" s="20"/>
    </row>
    <row r="11">
      <c r="A11" s="96">
        <v>1.0</v>
      </c>
      <c r="B11" s="97">
        <v>8.2590495E7</v>
      </c>
      <c r="C11" s="97">
        <v>2.42510008E8</v>
      </c>
      <c r="D11" s="97" t="s">
        <v>1739</v>
      </c>
      <c r="E11" s="98" t="s">
        <v>1168</v>
      </c>
    </row>
    <row r="12">
      <c r="A12" s="96">
        <v>2.0</v>
      </c>
      <c r="B12" s="97">
        <v>9.7313548E7</v>
      </c>
      <c r="C12" s="97">
        <v>2.42510011E8</v>
      </c>
      <c r="D12" s="97" t="s">
        <v>1740</v>
      </c>
      <c r="E12" s="98" t="s">
        <v>1163</v>
      </c>
    </row>
    <row r="13">
      <c r="A13" s="96">
        <v>3.0</v>
      </c>
      <c r="B13" s="97">
        <v>9.4510551E7</v>
      </c>
      <c r="C13" s="97">
        <v>2.42510025E8</v>
      </c>
      <c r="D13" s="97" t="s">
        <v>1741</v>
      </c>
      <c r="E13" s="98" t="s">
        <v>1168</v>
      </c>
    </row>
    <row r="14">
      <c r="A14" s="96">
        <v>4.0</v>
      </c>
      <c r="B14" s="97">
        <v>8.7298416E7</v>
      </c>
      <c r="C14" s="97">
        <v>2.42510031E8</v>
      </c>
      <c r="D14" s="97" t="s">
        <v>1742</v>
      </c>
      <c r="E14" s="98" t="s">
        <v>1168</v>
      </c>
    </row>
    <row r="15">
      <c r="A15" s="96">
        <v>5.0</v>
      </c>
      <c r="B15" s="97">
        <v>9.5546511E7</v>
      </c>
      <c r="C15" s="97">
        <v>2.42510069E8</v>
      </c>
      <c r="D15" s="97" t="s">
        <v>1743</v>
      </c>
      <c r="E15" s="98" t="s">
        <v>1163</v>
      </c>
    </row>
    <row r="16">
      <c r="A16" s="96">
        <v>6.0</v>
      </c>
      <c r="B16" s="97">
        <v>3.086190678E9</v>
      </c>
      <c r="C16" s="97">
        <v>2.42510079E8</v>
      </c>
      <c r="D16" s="97" t="s">
        <v>1744</v>
      </c>
      <c r="E16" s="98" t="s">
        <v>1168</v>
      </c>
    </row>
    <row r="17">
      <c r="A17" s="96">
        <v>7.0</v>
      </c>
      <c r="B17" s="97">
        <v>1.0716337E8</v>
      </c>
      <c r="C17" s="97">
        <v>2.42510095E8</v>
      </c>
      <c r="D17" s="97" t="s">
        <v>1745</v>
      </c>
      <c r="E17" s="98" t="s">
        <v>1168</v>
      </c>
    </row>
    <row r="18">
      <c r="A18" s="96">
        <v>8.0</v>
      </c>
      <c r="B18" s="97">
        <v>3.092678408E9</v>
      </c>
      <c r="C18" s="97">
        <v>2.42510108E8</v>
      </c>
      <c r="D18" s="97" t="s">
        <v>1746</v>
      </c>
      <c r="E18" s="98" t="s">
        <v>1168</v>
      </c>
    </row>
    <row r="19">
      <c r="A19" s="96">
        <v>9.0</v>
      </c>
      <c r="B19" s="97">
        <v>9.550411E7</v>
      </c>
      <c r="C19" s="97">
        <v>2.42510111E8</v>
      </c>
      <c r="D19" s="97" t="s">
        <v>1747</v>
      </c>
      <c r="E19" s="98" t="s">
        <v>1168</v>
      </c>
    </row>
    <row r="20">
      <c r="A20" s="96">
        <v>10.0</v>
      </c>
      <c r="B20" s="97">
        <v>3.081717964E9</v>
      </c>
      <c r="C20" s="97">
        <v>2.42510114E8</v>
      </c>
      <c r="D20" s="97" t="s">
        <v>1748</v>
      </c>
      <c r="E20" s="98" t="s">
        <v>1168</v>
      </c>
    </row>
    <row r="21">
      <c r="A21" s="96">
        <v>11.0</v>
      </c>
      <c r="B21" s="97">
        <v>8.3076557E7</v>
      </c>
      <c r="C21" s="97">
        <v>2.42510116E8</v>
      </c>
      <c r="D21" s="97" t="s">
        <v>1749</v>
      </c>
      <c r="E21" s="98" t="s">
        <v>1163</v>
      </c>
    </row>
    <row r="22">
      <c r="A22" s="96">
        <v>12.0</v>
      </c>
      <c r="B22" s="97">
        <v>9.3137843E7</v>
      </c>
      <c r="C22" s="97">
        <v>2.42510126E8</v>
      </c>
      <c r="D22" s="97" t="s">
        <v>1750</v>
      </c>
      <c r="E22" s="98" t="s">
        <v>1168</v>
      </c>
    </row>
    <row r="23">
      <c r="A23" s="96">
        <v>13.0</v>
      </c>
      <c r="B23" s="97">
        <v>3.09082869E9</v>
      </c>
      <c r="C23" s="97">
        <v>2.42510159E8</v>
      </c>
      <c r="D23" s="97" t="s">
        <v>1751</v>
      </c>
      <c r="E23" s="98" t="s">
        <v>1163</v>
      </c>
    </row>
    <row r="24">
      <c r="A24" s="96">
        <v>14.0</v>
      </c>
      <c r="B24" s="97">
        <v>8.8101729E7</v>
      </c>
      <c r="C24" s="99">
        <v>2.42510173E8</v>
      </c>
      <c r="D24" s="97" t="s">
        <v>1752</v>
      </c>
      <c r="E24" s="100" t="s">
        <v>1163</v>
      </c>
    </row>
    <row r="25">
      <c r="A25" s="96">
        <v>15.0</v>
      </c>
      <c r="B25" s="97">
        <v>9.9940887E7</v>
      </c>
      <c r="C25" s="97">
        <v>2.42510183E8</v>
      </c>
      <c r="D25" s="97" t="s">
        <v>1753</v>
      </c>
      <c r="E25" s="98" t="s">
        <v>1163</v>
      </c>
    </row>
    <row r="26">
      <c r="A26" s="96">
        <v>16.0</v>
      </c>
      <c r="B26" s="97">
        <v>9.6213576E7</v>
      </c>
      <c r="C26" s="97">
        <v>2.42510188E8</v>
      </c>
      <c r="D26" s="97" t="s">
        <v>1754</v>
      </c>
      <c r="E26" s="98" t="s">
        <v>1163</v>
      </c>
    </row>
    <row r="27">
      <c r="A27" s="96">
        <v>17.0</v>
      </c>
      <c r="B27" s="97">
        <v>9.1012038E7</v>
      </c>
      <c r="C27" s="97">
        <v>2.42510189E8</v>
      </c>
      <c r="D27" s="97" t="s">
        <v>1755</v>
      </c>
      <c r="E27" s="98" t="s">
        <v>1168</v>
      </c>
    </row>
    <row r="28">
      <c r="A28" s="96">
        <v>18.0</v>
      </c>
      <c r="B28" s="97">
        <v>9.7202517E7</v>
      </c>
      <c r="C28" s="97">
        <v>2.42510201E8</v>
      </c>
      <c r="D28" s="101" t="s">
        <v>1756</v>
      </c>
      <c r="E28" s="98" t="s">
        <v>1168</v>
      </c>
    </row>
    <row r="29">
      <c r="A29" s="96">
        <v>19.0</v>
      </c>
      <c r="B29" s="97">
        <v>9.8256549E7</v>
      </c>
      <c r="C29" s="97">
        <v>2.42510206E8</v>
      </c>
      <c r="D29" s="97" t="s">
        <v>1757</v>
      </c>
      <c r="E29" s="98" t="s">
        <v>1163</v>
      </c>
    </row>
    <row r="30">
      <c r="A30" s="96">
        <v>20.0</v>
      </c>
      <c r="B30" s="97">
        <v>9.3623036E7</v>
      </c>
      <c r="C30" s="97">
        <v>2.42510208E8</v>
      </c>
      <c r="D30" s="97" t="s">
        <v>1758</v>
      </c>
      <c r="E30" s="98" t="s">
        <v>1163</v>
      </c>
    </row>
    <row r="31">
      <c r="A31" s="96">
        <v>21.0</v>
      </c>
      <c r="B31" s="97">
        <v>8.3667654E7</v>
      </c>
      <c r="C31" s="97">
        <v>2.42510209E8</v>
      </c>
      <c r="D31" s="97" t="s">
        <v>1759</v>
      </c>
      <c r="E31" s="98" t="s">
        <v>1168</v>
      </c>
    </row>
    <row r="32">
      <c r="A32" s="96">
        <v>22.0</v>
      </c>
      <c r="B32" s="97">
        <v>3.083447726E9</v>
      </c>
      <c r="C32" s="97">
        <v>2.42510257E8</v>
      </c>
      <c r="D32" s="97" t="s">
        <v>1760</v>
      </c>
      <c r="E32" s="98" t="s">
        <v>1163</v>
      </c>
    </row>
    <row r="33">
      <c r="A33" s="96">
        <v>23.0</v>
      </c>
      <c r="B33" s="97">
        <v>9.8849381E7</v>
      </c>
      <c r="C33" s="97">
        <v>2.42510281E8</v>
      </c>
      <c r="D33" s="97" t="s">
        <v>1761</v>
      </c>
      <c r="E33" s="98" t="s">
        <v>1168</v>
      </c>
    </row>
    <row r="34">
      <c r="A34" s="96">
        <v>24.0</v>
      </c>
      <c r="B34" s="97">
        <v>9.7736512E7</v>
      </c>
      <c r="C34" s="97">
        <v>2.42510291E8</v>
      </c>
      <c r="D34" s="97" t="s">
        <v>1762</v>
      </c>
      <c r="E34" s="98" t="s">
        <v>1168</v>
      </c>
    </row>
    <row r="35">
      <c r="A35" s="96">
        <v>25.0</v>
      </c>
      <c r="B35" s="97">
        <v>8.3833819E7</v>
      </c>
      <c r="C35" s="97">
        <v>2.42510323E8</v>
      </c>
      <c r="D35" s="97" t="s">
        <v>1763</v>
      </c>
      <c r="E35" s="98" t="s">
        <v>1168</v>
      </c>
    </row>
    <row r="36">
      <c r="A36" s="96">
        <v>26.0</v>
      </c>
      <c r="B36" s="97">
        <v>9.4989387E7</v>
      </c>
      <c r="C36" s="97">
        <v>2.42510325E8</v>
      </c>
      <c r="D36" s="97" t="s">
        <v>1764</v>
      </c>
      <c r="E36" s="98" t="s">
        <v>1163</v>
      </c>
    </row>
    <row r="37">
      <c r="A37" s="96">
        <v>27.0</v>
      </c>
      <c r="B37" s="97">
        <v>9.1033788E7</v>
      </c>
      <c r="C37" s="97">
        <v>2.42510336E8</v>
      </c>
      <c r="D37" s="97" t="s">
        <v>1765</v>
      </c>
      <c r="E37" s="98" t="s">
        <v>1168</v>
      </c>
    </row>
    <row r="38">
      <c r="A38" s="96">
        <v>28.0</v>
      </c>
      <c r="B38" s="97">
        <v>3.098805753E9</v>
      </c>
      <c r="C38" s="97">
        <v>2.42510342E8</v>
      </c>
      <c r="D38" s="97" t="s">
        <v>1766</v>
      </c>
      <c r="E38" s="98" t="s">
        <v>1168</v>
      </c>
    </row>
    <row r="39">
      <c r="A39" s="96">
        <v>29.0</v>
      </c>
      <c r="B39" s="97">
        <v>9.282758E7</v>
      </c>
      <c r="C39" s="97">
        <v>2.42510388E8</v>
      </c>
      <c r="D39" s="97" t="s">
        <v>1767</v>
      </c>
      <c r="E39" s="98" t="s">
        <v>1168</v>
      </c>
    </row>
    <row r="40">
      <c r="A40" s="96">
        <v>30.0</v>
      </c>
      <c r="B40" s="97">
        <v>8.4290235E7</v>
      </c>
      <c r="C40" s="97">
        <v>2.42510406E8</v>
      </c>
      <c r="D40" s="97" t="s">
        <v>1768</v>
      </c>
      <c r="E40" s="98" t="s">
        <v>1168</v>
      </c>
    </row>
    <row r="41">
      <c r="A41" s="96">
        <v>31.0</v>
      </c>
      <c r="B41" s="97">
        <v>8.4290235E7</v>
      </c>
      <c r="C41" s="97">
        <v>2.42510406E8</v>
      </c>
      <c r="D41" s="97" t="s">
        <v>1769</v>
      </c>
      <c r="E41" s="98" t="s">
        <v>1168</v>
      </c>
    </row>
    <row r="42">
      <c r="A42" s="96">
        <v>32.0</v>
      </c>
      <c r="B42" s="97">
        <v>9.3286737E7</v>
      </c>
      <c r="C42" s="97">
        <v>2.42510414E8</v>
      </c>
      <c r="D42" s="97" t="s">
        <v>1770</v>
      </c>
      <c r="E42" s="102" t="s">
        <v>1163</v>
      </c>
    </row>
    <row r="43">
      <c r="A43" s="96">
        <v>33.0</v>
      </c>
      <c r="B43" s="97">
        <v>9.1061057E7</v>
      </c>
      <c r="C43" s="97">
        <v>2.42510416E8</v>
      </c>
      <c r="D43" s="97" t="s">
        <v>1771</v>
      </c>
      <c r="E43" s="98" t="s">
        <v>1168</v>
      </c>
    </row>
    <row r="44">
      <c r="A44" s="96">
        <v>34.0</v>
      </c>
      <c r="B44" s="97">
        <v>9.5163025E7</v>
      </c>
      <c r="C44" s="97">
        <v>2.42510426E8</v>
      </c>
      <c r="D44" s="97" t="s">
        <v>1772</v>
      </c>
      <c r="E44" s="98" t="s">
        <v>1168</v>
      </c>
    </row>
    <row r="45">
      <c r="A45" s="96">
        <v>35.0</v>
      </c>
      <c r="B45" s="97">
        <v>8.274747E7</v>
      </c>
      <c r="C45" s="97">
        <v>2.4251043E8</v>
      </c>
      <c r="D45" s="97" t="s">
        <v>1773</v>
      </c>
      <c r="E45" s="98" t="s">
        <v>1168</v>
      </c>
    </row>
    <row r="46">
      <c r="A46" s="96">
        <v>36.0</v>
      </c>
      <c r="B46" s="97">
        <v>8.5011294E7</v>
      </c>
      <c r="C46" s="97">
        <v>2.42510432E8</v>
      </c>
      <c r="D46" s="97" t="s">
        <v>1774</v>
      </c>
      <c r="E46" s="98" t="s">
        <v>1168</v>
      </c>
    </row>
    <row r="47">
      <c r="A47" s="103"/>
      <c r="B47" s="104"/>
      <c r="C47" s="105"/>
      <c r="D47" s="104"/>
      <c r="E47" s="106"/>
    </row>
    <row r="48">
      <c r="A48" s="90" t="s">
        <v>1775</v>
      </c>
      <c r="E48" s="91"/>
    </row>
    <row r="49">
      <c r="A49" s="92" t="s">
        <v>1776</v>
      </c>
      <c r="E49" s="93"/>
    </row>
    <row r="50">
      <c r="A50" s="94" t="s">
        <v>1735</v>
      </c>
      <c r="B50" s="94" t="s">
        <v>1736</v>
      </c>
      <c r="C50" s="94" t="s">
        <v>1737</v>
      </c>
      <c r="D50" s="94" t="s">
        <v>1738</v>
      </c>
      <c r="E50" s="95" t="s">
        <v>19</v>
      </c>
    </row>
    <row r="51" ht="15.75" customHeight="1">
      <c r="A51" s="20"/>
      <c r="B51" s="20"/>
      <c r="C51" s="20"/>
      <c r="D51" s="20"/>
      <c r="E51" s="20"/>
    </row>
    <row r="52">
      <c r="A52" s="96">
        <v>1.0</v>
      </c>
      <c r="B52" s="97">
        <v>9.2385645E7</v>
      </c>
      <c r="C52" s="99">
        <v>2.42510005E8</v>
      </c>
      <c r="D52" s="97" t="s">
        <v>1777</v>
      </c>
      <c r="E52" s="107" t="s">
        <v>1163</v>
      </c>
    </row>
    <row r="53">
      <c r="A53" s="96">
        <v>2.0</v>
      </c>
      <c r="B53" s="97">
        <v>8.3638898E7</v>
      </c>
      <c r="C53" s="97">
        <v>2.42510007E8</v>
      </c>
      <c r="D53" s="97" t="s">
        <v>1778</v>
      </c>
      <c r="E53" s="98" t="s">
        <v>1168</v>
      </c>
    </row>
    <row r="54">
      <c r="A54" s="96">
        <v>3.0</v>
      </c>
      <c r="B54" s="97">
        <v>8.3581318E7</v>
      </c>
      <c r="C54" s="97">
        <v>2.42510018E8</v>
      </c>
      <c r="D54" s="97" t="s">
        <v>1779</v>
      </c>
      <c r="E54" s="98" t="s">
        <v>1168</v>
      </c>
    </row>
    <row r="55">
      <c r="A55" s="96">
        <v>4.0</v>
      </c>
      <c r="B55" s="97">
        <v>8.6733881E7</v>
      </c>
      <c r="C55" s="97">
        <v>2.42510028E8</v>
      </c>
      <c r="D55" s="97" t="s">
        <v>1780</v>
      </c>
      <c r="E55" s="98" t="s">
        <v>1163</v>
      </c>
    </row>
    <row r="56">
      <c r="A56" s="96">
        <v>5.0</v>
      </c>
      <c r="B56" s="97">
        <v>9.8621054E7</v>
      </c>
      <c r="C56" s="97">
        <v>2.42510037E8</v>
      </c>
      <c r="D56" s="97" t="s">
        <v>1781</v>
      </c>
      <c r="E56" s="98" t="s">
        <v>1163</v>
      </c>
    </row>
    <row r="57">
      <c r="A57" s="96">
        <v>6.0</v>
      </c>
      <c r="B57" s="97">
        <v>9.2707821E7</v>
      </c>
      <c r="C57" s="97">
        <v>2.42510046E8</v>
      </c>
      <c r="D57" s="97" t="s">
        <v>1782</v>
      </c>
      <c r="E57" s="98" t="s">
        <v>1163</v>
      </c>
    </row>
    <row r="58">
      <c r="A58" s="96">
        <v>7.0</v>
      </c>
      <c r="B58" s="97">
        <v>8.3016159E7</v>
      </c>
      <c r="C58" s="97">
        <v>2.42510052E8</v>
      </c>
      <c r="D58" s="97" t="s">
        <v>1783</v>
      </c>
      <c r="E58" s="98" t="s">
        <v>1163</v>
      </c>
    </row>
    <row r="59">
      <c r="A59" s="96">
        <v>8.0</v>
      </c>
      <c r="B59" s="97">
        <v>8.3641645E7</v>
      </c>
      <c r="C59" s="97">
        <v>2.42510064E8</v>
      </c>
      <c r="D59" s="97" t="s">
        <v>1784</v>
      </c>
      <c r="E59" s="98" t="s">
        <v>1168</v>
      </c>
    </row>
    <row r="60">
      <c r="A60" s="96">
        <v>9.0</v>
      </c>
      <c r="B60" s="97">
        <v>9.3262366E7</v>
      </c>
      <c r="C60" s="97">
        <v>2.42510104E8</v>
      </c>
      <c r="D60" s="97" t="s">
        <v>1785</v>
      </c>
      <c r="E60" s="98" t="s">
        <v>1163</v>
      </c>
    </row>
    <row r="61">
      <c r="A61" s="96">
        <v>10.0</v>
      </c>
      <c r="B61" s="97">
        <v>9.6851574E7</v>
      </c>
      <c r="C61" s="97">
        <v>2.42510117E8</v>
      </c>
      <c r="D61" s="97" t="s">
        <v>1786</v>
      </c>
      <c r="E61" s="98" t="s">
        <v>1168</v>
      </c>
    </row>
    <row r="62">
      <c r="A62" s="96">
        <v>11.0</v>
      </c>
      <c r="B62" s="97">
        <v>9.2622229E7</v>
      </c>
      <c r="C62" s="97">
        <v>2.42510129E8</v>
      </c>
      <c r="D62" s="97" t="s">
        <v>1787</v>
      </c>
      <c r="E62" s="98" t="s">
        <v>1168</v>
      </c>
    </row>
    <row r="63">
      <c r="A63" s="96">
        <v>12.0</v>
      </c>
      <c r="B63" s="97">
        <v>8.1916428E7</v>
      </c>
      <c r="C63" s="97">
        <v>2.42510141E8</v>
      </c>
      <c r="D63" s="97" t="s">
        <v>1788</v>
      </c>
      <c r="E63" s="98" t="s">
        <v>1168</v>
      </c>
    </row>
    <row r="64">
      <c r="A64" s="96">
        <v>13.0</v>
      </c>
      <c r="B64" s="97">
        <v>9.5691756E7</v>
      </c>
      <c r="C64" s="97">
        <v>2.42510144E8</v>
      </c>
      <c r="D64" s="108" t="s">
        <v>1789</v>
      </c>
      <c r="E64" s="98" t="s">
        <v>1168</v>
      </c>
    </row>
    <row r="65">
      <c r="A65" s="96">
        <v>14.0</v>
      </c>
      <c r="B65" s="97">
        <v>8.2539116E7</v>
      </c>
      <c r="C65" s="97">
        <v>2.42510153E8</v>
      </c>
      <c r="D65" s="97" t="s">
        <v>1790</v>
      </c>
      <c r="E65" s="98" t="s">
        <v>1168</v>
      </c>
    </row>
    <row r="66">
      <c r="A66" s="96">
        <v>15.0</v>
      </c>
      <c r="B66" s="97">
        <v>9.9310873E7</v>
      </c>
      <c r="C66" s="97">
        <v>2.4251016E8</v>
      </c>
      <c r="D66" s="97" t="s">
        <v>1791</v>
      </c>
      <c r="E66" s="98" t="s">
        <v>1163</v>
      </c>
    </row>
    <row r="67">
      <c r="A67" s="96">
        <v>16.0</v>
      </c>
      <c r="B67" s="97">
        <v>9.9954531E7</v>
      </c>
      <c r="C67" s="97">
        <v>2.42510162E8</v>
      </c>
      <c r="D67" s="97" t="s">
        <v>1792</v>
      </c>
      <c r="E67" s="98" t="s">
        <v>1163</v>
      </c>
    </row>
    <row r="68">
      <c r="A68" s="96">
        <v>17.0</v>
      </c>
      <c r="B68" s="97">
        <v>9.4260903E7</v>
      </c>
      <c r="C68" s="97">
        <v>2.42510227E8</v>
      </c>
      <c r="D68" s="97" t="s">
        <v>1793</v>
      </c>
      <c r="E68" s="98" t="s">
        <v>1168</v>
      </c>
    </row>
    <row r="69">
      <c r="A69" s="96">
        <v>18.0</v>
      </c>
      <c r="B69" s="97">
        <v>8.9204896E7</v>
      </c>
      <c r="C69" s="97">
        <v>2.42510238E8</v>
      </c>
      <c r="D69" s="97" t="s">
        <v>1794</v>
      </c>
      <c r="E69" s="98" t="s">
        <v>1168</v>
      </c>
    </row>
    <row r="70">
      <c r="A70" s="96">
        <v>19.0</v>
      </c>
      <c r="B70" s="97">
        <v>9.144739E7</v>
      </c>
      <c r="C70" s="97">
        <v>2.42510261E8</v>
      </c>
      <c r="D70" s="97" t="s">
        <v>1795</v>
      </c>
      <c r="E70" s="98" t="s">
        <v>1163</v>
      </c>
    </row>
    <row r="71">
      <c r="A71" s="96">
        <v>20.0</v>
      </c>
      <c r="B71" s="97">
        <v>3.092211203E9</v>
      </c>
      <c r="C71" s="97">
        <v>2.42510274E8</v>
      </c>
      <c r="D71" s="97" t="s">
        <v>1796</v>
      </c>
      <c r="E71" s="98" t="s">
        <v>1168</v>
      </c>
    </row>
    <row r="72">
      <c r="A72" s="96">
        <v>21.0</v>
      </c>
      <c r="B72" s="97">
        <v>9.56578E7</v>
      </c>
      <c r="C72" s="97">
        <v>2.42510283E8</v>
      </c>
      <c r="D72" s="97" t="s">
        <v>1797</v>
      </c>
      <c r="E72" s="98" t="s">
        <v>1168</v>
      </c>
    </row>
    <row r="73">
      <c r="A73" s="96">
        <v>22.0</v>
      </c>
      <c r="B73" s="109">
        <v>8.2650076E7</v>
      </c>
      <c r="C73" s="97">
        <v>2.42510304E8</v>
      </c>
      <c r="D73" s="108" t="s">
        <v>1798</v>
      </c>
      <c r="E73" s="98" t="s">
        <v>1168</v>
      </c>
    </row>
    <row r="74">
      <c r="A74" s="96">
        <v>23.0</v>
      </c>
      <c r="B74" s="109">
        <v>9.5420383E7</v>
      </c>
      <c r="C74" s="97">
        <v>2.42510306E8</v>
      </c>
      <c r="D74" s="97" t="s">
        <v>1799</v>
      </c>
      <c r="E74" s="98" t="s">
        <v>1168</v>
      </c>
    </row>
    <row r="75">
      <c r="A75" s="96">
        <v>24.0</v>
      </c>
      <c r="B75" s="97">
        <v>3.097669813E9</v>
      </c>
      <c r="C75" s="97">
        <v>2.42510308E8</v>
      </c>
      <c r="D75" s="97" t="s">
        <v>1800</v>
      </c>
      <c r="E75" s="98" t="s">
        <v>1163</v>
      </c>
    </row>
    <row r="76">
      <c r="A76" s="96">
        <v>25.0</v>
      </c>
      <c r="B76" s="97">
        <v>8.6704012E7</v>
      </c>
      <c r="C76" s="97">
        <v>2.4251031E8</v>
      </c>
      <c r="D76" s="97" t="s">
        <v>1801</v>
      </c>
      <c r="E76" s="98" t="s">
        <v>1168</v>
      </c>
    </row>
    <row r="77">
      <c r="A77" s="96">
        <v>26.0</v>
      </c>
      <c r="B77" s="97">
        <v>9.5788052E7</v>
      </c>
      <c r="C77" s="97">
        <v>2.42510329E8</v>
      </c>
      <c r="D77" s="97" t="s">
        <v>1802</v>
      </c>
      <c r="E77" s="98" t="s">
        <v>1163</v>
      </c>
    </row>
    <row r="78">
      <c r="A78" s="96">
        <v>27.0</v>
      </c>
      <c r="B78" s="97">
        <v>9.4946777E7</v>
      </c>
      <c r="C78" s="97">
        <v>2.42510338E8</v>
      </c>
      <c r="D78" s="97" t="s">
        <v>1803</v>
      </c>
      <c r="E78" s="98" t="s">
        <v>1168</v>
      </c>
    </row>
    <row r="79">
      <c r="A79" s="96">
        <v>28.0</v>
      </c>
      <c r="B79" s="97">
        <v>9.783087E7</v>
      </c>
      <c r="C79" s="97">
        <v>2.42510354E8</v>
      </c>
      <c r="D79" s="97" t="s">
        <v>1804</v>
      </c>
      <c r="E79" s="98" t="s">
        <v>1168</v>
      </c>
    </row>
    <row r="80">
      <c r="A80" s="96">
        <v>29.0</v>
      </c>
      <c r="B80" s="97">
        <v>9.2343794E7</v>
      </c>
      <c r="C80" s="97">
        <v>2.42510355E8</v>
      </c>
      <c r="D80" s="97" t="s">
        <v>1805</v>
      </c>
      <c r="E80" s="98" t="s">
        <v>1163</v>
      </c>
    </row>
    <row r="81">
      <c r="A81" s="96">
        <v>30.0</v>
      </c>
      <c r="B81" s="97">
        <v>9.5556013E7</v>
      </c>
      <c r="C81" s="97">
        <v>2.42510366E8</v>
      </c>
      <c r="D81" s="97" t="s">
        <v>1806</v>
      </c>
      <c r="E81" s="98" t="s">
        <v>1168</v>
      </c>
    </row>
    <row r="82">
      <c r="A82" s="96">
        <v>31.0</v>
      </c>
      <c r="B82" s="97">
        <v>9.4079262E7</v>
      </c>
      <c r="C82" s="97">
        <v>2.42510374E8</v>
      </c>
      <c r="D82" s="97" t="s">
        <v>1807</v>
      </c>
      <c r="E82" s="98" t="s">
        <v>1163</v>
      </c>
    </row>
    <row r="83">
      <c r="A83" s="96">
        <v>32.0</v>
      </c>
      <c r="B83" s="97">
        <v>7.2787144E7</v>
      </c>
      <c r="C83" s="97">
        <v>2.42510377E8</v>
      </c>
      <c r="D83" s="97" t="s">
        <v>1808</v>
      </c>
      <c r="E83" s="98" t="s">
        <v>1168</v>
      </c>
    </row>
    <row r="84">
      <c r="A84" s="96">
        <v>33.0</v>
      </c>
      <c r="B84" s="97">
        <v>9.6304229E7</v>
      </c>
      <c r="C84" s="97">
        <v>2.42510387E8</v>
      </c>
      <c r="D84" s="97" t="s">
        <v>1809</v>
      </c>
      <c r="E84" s="98" t="s">
        <v>1168</v>
      </c>
    </row>
    <row r="85">
      <c r="A85" s="96">
        <v>34.0</v>
      </c>
      <c r="B85" s="97">
        <v>9.3907013E7</v>
      </c>
      <c r="C85" s="97">
        <v>2.4251039E8</v>
      </c>
      <c r="D85" s="97" t="s">
        <v>1810</v>
      </c>
      <c r="E85" s="98" t="s">
        <v>1168</v>
      </c>
    </row>
    <row r="86">
      <c r="A86" s="96">
        <v>35.0</v>
      </c>
      <c r="B86" s="97">
        <v>8.4548048E7</v>
      </c>
      <c r="C86" s="97">
        <v>2.42510404E8</v>
      </c>
      <c r="D86" s="97" t="s">
        <v>1811</v>
      </c>
      <c r="E86" s="98" t="s">
        <v>1168</v>
      </c>
    </row>
    <row r="87">
      <c r="A87" s="96">
        <v>36.0</v>
      </c>
      <c r="B87" s="97">
        <v>9.4935892E7</v>
      </c>
      <c r="C87" s="97">
        <v>2.42510412E8</v>
      </c>
      <c r="D87" s="97" t="s">
        <v>1812</v>
      </c>
      <c r="E87" s="98" t="s">
        <v>1168</v>
      </c>
    </row>
    <row r="88">
      <c r="A88" s="103"/>
      <c r="B88" s="104"/>
      <c r="C88" s="105"/>
      <c r="D88" s="104"/>
      <c r="E88" s="106"/>
    </row>
    <row r="89">
      <c r="A89" s="90" t="s">
        <v>1813</v>
      </c>
      <c r="E89" s="110"/>
    </row>
    <row r="90">
      <c r="A90" s="92" t="s">
        <v>1814</v>
      </c>
      <c r="E90" s="93"/>
    </row>
    <row r="91">
      <c r="A91" s="94" t="s">
        <v>1735</v>
      </c>
      <c r="B91" s="94" t="s">
        <v>1736</v>
      </c>
      <c r="C91" s="94" t="s">
        <v>1737</v>
      </c>
      <c r="D91" s="94" t="s">
        <v>1738</v>
      </c>
      <c r="E91" s="95" t="s">
        <v>1815</v>
      </c>
    </row>
    <row r="92" ht="17.25" customHeight="1">
      <c r="A92" s="20"/>
      <c r="B92" s="20"/>
      <c r="C92" s="20"/>
      <c r="D92" s="20"/>
      <c r="E92" s="20"/>
    </row>
    <row r="93">
      <c r="A93" s="96">
        <v>1.0</v>
      </c>
      <c r="B93" s="97">
        <v>8.5027044E7</v>
      </c>
      <c r="C93" s="97">
        <v>2.4251001E8</v>
      </c>
      <c r="D93" s="97" t="s">
        <v>1816</v>
      </c>
      <c r="E93" s="100" t="s">
        <v>1168</v>
      </c>
    </row>
    <row r="94">
      <c r="A94" s="96">
        <v>2.0</v>
      </c>
      <c r="B94" s="97">
        <v>8.1265372E7</v>
      </c>
      <c r="C94" s="97">
        <v>2.42510027E8</v>
      </c>
      <c r="D94" s="97" t="s">
        <v>1817</v>
      </c>
      <c r="E94" s="100" t="s">
        <v>1168</v>
      </c>
    </row>
    <row r="95">
      <c r="A95" s="96">
        <v>3.0</v>
      </c>
      <c r="B95" s="97">
        <v>9.2697249E7</v>
      </c>
      <c r="C95" s="97">
        <v>2.42510041E8</v>
      </c>
      <c r="D95" s="97" t="s">
        <v>1818</v>
      </c>
      <c r="E95" s="100" t="s">
        <v>1168</v>
      </c>
    </row>
    <row r="96">
      <c r="A96" s="96">
        <v>4.0</v>
      </c>
      <c r="B96" s="97">
        <v>8.5437129E7</v>
      </c>
      <c r="C96" s="97">
        <v>2.4251007E8</v>
      </c>
      <c r="D96" s="97" t="s">
        <v>1819</v>
      </c>
      <c r="E96" s="100" t="s">
        <v>1163</v>
      </c>
    </row>
    <row r="97">
      <c r="A97" s="96">
        <v>5.0</v>
      </c>
      <c r="B97" s="97">
        <v>9.8656322E7</v>
      </c>
      <c r="C97" s="97">
        <v>2.42510113E8</v>
      </c>
      <c r="D97" s="97" t="s">
        <v>1820</v>
      </c>
      <c r="E97" s="100" t="s">
        <v>1168</v>
      </c>
    </row>
    <row r="98">
      <c r="A98" s="96">
        <v>6.0</v>
      </c>
      <c r="B98" s="97">
        <v>9.6763243E7</v>
      </c>
      <c r="C98" s="97">
        <v>2.4251012E8</v>
      </c>
      <c r="D98" s="97" t="s">
        <v>1821</v>
      </c>
      <c r="E98" s="100" t="s">
        <v>1163</v>
      </c>
    </row>
    <row r="99">
      <c r="A99" s="96">
        <v>7.0</v>
      </c>
      <c r="B99" s="97">
        <v>9.8951883E7</v>
      </c>
      <c r="C99" s="97">
        <v>2.42510136E8</v>
      </c>
      <c r="D99" s="97" t="s">
        <v>1822</v>
      </c>
      <c r="E99" s="100" t="s">
        <v>1168</v>
      </c>
    </row>
    <row r="100">
      <c r="A100" s="96">
        <v>8.0</v>
      </c>
      <c r="B100" s="97">
        <v>9.4722345E7</v>
      </c>
      <c r="C100" s="97">
        <v>2.4251018E8</v>
      </c>
      <c r="D100" s="97" t="s">
        <v>1823</v>
      </c>
      <c r="E100" s="100" t="s">
        <v>1168</v>
      </c>
    </row>
    <row r="101">
      <c r="A101" s="96">
        <v>9.0</v>
      </c>
      <c r="B101" s="97">
        <v>9.7193046E7</v>
      </c>
      <c r="C101" s="97">
        <v>2.42510184E8</v>
      </c>
      <c r="D101" s="97" t="s">
        <v>1824</v>
      </c>
      <c r="E101" s="100" t="s">
        <v>1168</v>
      </c>
    </row>
    <row r="102">
      <c r="A102" s="96">
        <v>10.0</v>
      </c>
      <c r="B102" s="97">
        <v>9.350538E7</v>
      </c>
      <c r="C102" s="97">
        <v>2.42510187E8</v>
      </c>
      <c r="D102" s="97" t="s">
        <v>1825</v>
      </c>
      <c r="E102" s="100" t="s">
        <v>1168</v>
      </c>
    </row>
    <row r="103">
      <c r="A103" s="96">
        <v>11.0</v>
      </c>
      <c r="B103" s="97">
        <v>8.4361496E7</v>
      </c>
      <c r="C103" s="97">
        <v>2.42510193E8</v>
      </c>
      <c r="D103" s="97" t="s">
        <v>1826</v>
      </c>
      <c r="E103" s="100" t="s">
        <v>1168</v>
      </c>
    </row>
    <row r="104">
      <c r="A104" s="96">
        <v>12.0</v>
      </c>
      <c r="B104" s="97">
        <v>9.3778675E7</v>
      </c>
      <c r="C104" s="97">
        <v>2.42510197E8</v>
      </c>
      <c r="D104" s="97" t="s">
        <v>1827</v>
      </c>
      <c r="E104" s="100" t="s">
        <v>1163</v>
      </c>
    </row>
    <row r="105">
      <c r="A105" s="96">
        <v>13.0</v>
      </c>
      <c r="B105" s="97">
        <v>9.4698679E7</v>
      </c>
      <c r="C105" s="97">
        <v>2.42510213E8</v>
      </c>
      <c r="D105" s="97" t="s">
        <v>1828</v>
      </c>
      <c r="E105" s="100" t="s">
        <v>1168</v>
      </c>
    </row>
    <row r="106">
      <c r="A106" s="96">
        <v>14.0</v>
      </c>
      <c r="B106" s="97">
        <v>3.095285309E9</v>
      </c>
      <c r="C106" s="97">
        <v>2.42510216E8</v>
      </c>
      <c r="D106" s="97" t="s">
        <v>1829</v>
      </c>
      <c r="E106" s="100" t="s">
        <v>1168</v>
      </c>
    </row>
    <row r="107">
      <c r="A107" s="96">
        <v>15.0</v>
      </c>
      <c r="B107" s="97">
        <v>8.1476668E7</v>
      </c>
      <c r="C107" s="97">
        <v>2.42510222E8</v>
      </c>
      <c r="D107" s="97" t="s">
        <v>1830</v>
      </c>
      <c r="E107" s="100" t="s">
        <v>1168</v>
      </c>
    </row>
    <row r="108">
      <c r="A108" s="96">
        <v>16.0</v>
      </c>
      <c r="B108" s="97">
        <v>9.8908539E7</v>
      </c>
      <c r="C108" s="97">
        <v>2.4251023E8</v>
      </c>
      <c r="D108" s="97" t="s">
        <v>1831</v>
      </c>
      <c r="E108" s="100" t="s">
        <v>1168</v>
      </c>
    </row>
    <row r="109">
      <c r="A109" s="96">
        <v>17.0</v>
      </c>
      <c r="B109" s="111">
        <v>3.095174589E9</v>
      </c>
      <c r="C109" s="111">
        <v>2.42510231E8</v>
      </c>
      <c r="D109" s="111" t="s">
        <v>1832</v>
      </c>
      <c r="E109" s="112" t="s">
        <v>1163</v>
      </c>
    </row>
    <row r="110">
      <c r="A110" s="96">
        <v>18.0</v>
      </c>
      <c r="B110" s="97">
        <v>9.9030651E7</v>
      </c>
      <c r="C110" s="97">
        <v>2.42510232E8</v>
      </c>
      <c r="D110" s="97" t="s">
        <v>1833</v>
      </c>
      <c r="E110" s="100" t="s">
        <v>1168</v>
      </c>
    </row>
    <row r="111">
      <c r="A111" s="96">
        <v>19.0</v>
      </c>
      <c r="B111" s="97">
        <v>9.8437864E7</v>
      </c>
      <c r="C111" s="97">
        <v>2.42510233E8</v>
      </c>
      <c r="D111" s="97" t="s">
        <v>1834</v>
      </c>
      <c r="E111" s="100" t="s">
        <v>1168</v>
      </c>
    </row>
    <row r="112">
      <c r="A112" s="96">
        <v>20.0</v>
      </c>
      <c r="B112" s="97">
        <v>8.8976294E7</v>
      </c>
      <c r="C112" s="97">
        <v>2.42510244E8</v>
      </c>
      <c r="D112" s="97" t="s">
        <v>1835</v>
      </c>
      <c r="E112" s="100" t="s">
        <v>1163</v>
      </c>
    </row>
    <row r="113">
      <c r="A113" s="96">
        <v>21.0</v>
      </c>
      <c r="B113" s="97">
        <v>9.4412664E7</v>
      </c>
      <c r="C113" s="97">
        <v>2.42510278E8</v>
      </c>
      <c r="D113" s="97" t="s">
        <v>1836</v>
      </c>
      <c r="E113" s="100" t="s">
        <v>1163</v>
      </c>
    </row>
    <row r="114">
      <c r="A114" s="96">
        <v>22.0</v>
      </c>
      <c r="B114" s="97">
        <v>9.1524851E7</v>
      </c>
      <c r="C114" s="97">
        <v>2.42510286E8</v>
      </c>
      <c r="D114" s="97" t="s">
        <v>1837</v>
      </c>
      <c r="E114" s="100" t="s">
        <v>1168</v>
      </c>
    </row>
    <row r="115">
      <c r="A115" s="96">
        <v>23.0</v>
      </c>
      <c r="B115" s="97">
        <v>3.099271994E9</v>
      </c>
      <c r="C115" s="97">
        <v>2.42510297E8</v>
      </c>
      <c r="D115" s="97" t="s">
        <v>1838</v>
      </c>
      <c r="E115" s="100" t="s">
        <v>1163</v>
      </c>
    </row>
    <row r="116">
      <c r="A116" s="96">
        <v>24.0</v>
      </c>
      <c r="B116" s="97">
        <v>8.3974334E7</v>
      </c>
      <c r="C116" s="97">
        <v>2.42510298E8</v>
      </c>
      <c r="D116" s="97" t="s">
        <v>1839</v>
      </c>
      <c r="E116" s="100" t="s">
        <v>1168</v>
      </c>
    </row>
    <row r="117">
      <c r="A117" s="96">
        <v>25.0</v>
      </c>
      <c r="B117" s="97">
        <v>8.4584228E7</v>
      </c>
      <c r="C117" s="97">
        <v>2.42510313E8</v>
      </c>
      <c r="D117" s="97" t="s">
        <v>1840</v>
      </c>
      <c r="E117" s="100" t="s">
        <v>1168</v>
      </c>
    </row>
    <row r="118">
      <c r="A118" s="96">
        <v>26.0</v>
      </c>
      <c r="B118" s="97">
        <v>9.3556204E7</v>
      </c>
      <c r="C118" s="97">
        <v>2.42510328E8</v>
      </c>
      <c r="D118" s="97" t="s">
        <v>1841</v>
      </c>
      <c r="E118" s="100" t="s">
        <v>1163</v>
      </c>
    </row>
    <row r="119">
      <c r="A119" s="96">
        <v>27.0</v>
      </c>
      <c r="B119" s="97">
        <v>9.9332666E7</v>
      </c>
      <c r="C119" s="97">
        <v>2.42510343E8</v>
      </c>
      <c r="D119" s="97" t="s">
        <v>1842</v>
      </c>
      <c r="E119" s="100" t="s">
        <v>1168</v>
      </c>
    </row>
    <row r="120">
      <c r="A120" s="96">
        <v>28.0</v>
      </c>
      <c r="B120" s="97">
        <v>8.7745551E7</v>
      </c>
      <c r="C120" s="97">
        <v>2.4251035E8</v>
      </c>
      <c r="D120" s="97" t="s">
        <v>1843</v>
      </c>
      <c r="E120" s="100" t="s">
        <v>1163</v>
      </c>
    </row>
    <row r="121">
      <c r="A121" s="96">
        <v>29.0</v>
      </c>
      <c r="B121" s="97">
        <v>8.5930059E7</v>
      </c>
      <c r="C121" s="97">
        <v>2.42510371E8</v>
      </c>
      <c r="D121" s="97" t="s">
        <v>1844</v>
      </c>
      <c r="E121" s="100" t="s">
        <v>1163</v>
      </c>
    </row>
    <row r="122">
      <c r="A122" s="96">
        <v>30.0</v>
      </c>
      <c r="B122" s="97">
        <v>9.6344538E7</v>
      </c>
      <c r="C122" s="97">
        <v>2.42510373E8</v>
      </c>
      <c r="D122" s="97" t="s">
        <v>1845</v>
      </c>
      <c r="E122" s="100" t="s">
        <v>1168</v>
      </c>
    </row>
    <row r="123">
      <c r="A123" s="96">
        <v>31.0</v>
      </c>
      <c r="B123" s="97">
        <v>9.6480588E7</v>
      </c>
      <c r="C123" s="99">
        <v>2.42510395E8</v>
      </c>
      <c r="D123" s="97" t="s">
        <v>1846</v>
      </c>
      <c r="E123" s="100" t="s">
        <v>1163</v>
      </c>
    </row>
    <row r="124">
      <c r="A124" s="96">
        <v>32.0</v>
      </c>
      <c r="B124" s="97">
        <v>9.4958254E7</v>
      </c>
      <c r="C124" s="97">
        <v>2.42510405E8</v>
      </c>
      <c r="D124" s="97" t="s">
        <v>1847</v>
      </c>
      <c r="E124" s="100" t="s">
        <v>1168</v>
      </c>
    </row>
    <row r="125">
      <c r="A125" s="96">
        <v>33.0</v>
      </c>
      <c r="B125" s="97">
        <v>8.5108715E7</v>
      </c>
      <c r="C125" s="97">
        <v>2.42510408E8</v>
      </c>
      <c r="D125" s="97" t="s">
        <v>1848</v>
      </c>
      <c r="E125" s="100" t="s">
        <v>1168</v>
      </c>
    </row>
    <row r="126">
      <c r="A126" s="96">
        <v>34.0</v>
      </c>
      <c r="B126" s="97">
        <v>8.9237233E7</v>
      </c>
      <c r="C126" s="97">
        <v>2.42510409E8</v>
      </c>
      <c r="D126" s="97" t="s">
        <v>1849</v>
      </c>
      <c r="E126" s="100" t="s">
        <v>1163</v>
      </c>
    </row>
    <row r="127">
      <c r="A127" s="96">
        <v>35.0</v>
      </c>
      <c r="B127" s="97">
        <v>9.8438052E7</v>
      </c>
      <c r="C127" s="97">
        <v>2.42510417E8</v>
      </c>
      <c r="D127" s="97" t="s">
        <v>1850</v>
      </c>
      <c r="E127" s="100" t="s">
        <v>1168</v>
      </c>
    </row>
    <row r="128">
      <c r="A128" s="96">
        <v>36.0</v>
      </c>
      <c r="B128" s="97">
        <v>8.2801587E7</v>
      </c>
      <c r="C128" s="97">
        <v>2.42510421E8</v>
      </c>
      <c r="D128" s="97" t="s">
        <v>1851</v>
      </c>
      <c r="E128" s="100" t="s">
        <v>1168</v>
      </c>
    </row>
    <row r="129">
      <c r="A129" s="113"/>
      <c r="E129" s="114"/>
    </row>
    <row r="130">
      <c r="A130" s="90" t="s">
        <v>1852</v>
      </c>
      <c r="E130" s="110"/>
    </row>
    <row r="131">
      <c r="A131" s="92" t="s">
        <v>1853</v>
      </c>
      <c r="E131" s="93"/>
    </row>
    <row r="132">
      <c r="A132" s="94" t="s">
        <v>1735</v>
      </c>
      <c r="B132" s="94" t="s">
        <v>1736</v>
      </c>
      <c r="C132" s="94" t="s">
        <v>1737</v>
      </c>
      <c r="D132" s="94" t="s">
        <v>1738</v>
      </c>
      <c r="E132" s="95" t="s">
        <v>19</v>
      </c>
    </row>
    <row r="133" ht="12.75" customHeight="1">
      <c r="A133" s="20"/>
      <c r="B133" s="20"/>
      <c r="C133" s="20"/>
      <c r="D133" s="20"/>
      <c r="E133" s="20"/>
    </row>
    <row r="134">
      <c r="A134" s="96">
        <v>1.0</v>
      </c>
      <c r="B134" s="97" t="s">
        <v>1854</v>
      </c>
      <c r="C134" s="99"/>
      <c r="D134" s="97" t="s">
        <v>1855</v>
      </c>
      <c r="E134" s="100" t="s">
        <v>1168</v>
      </c>
    </row>
    <row r="135">
      <c r="A135" s="96">
        <v>2.0</v>
      </c>
      <c r="B135" s="97" t="s">
        <v>1856</v>
      </c>
      <c r="C135" s="97"/>
      <c r="D135" s="97" t="s">
        <v>1857</v>
      </c>
      <c r="E135" s="98" t="s">
        <v>1163</v>
      </c>
    </row>
    <row r="136">
      <c r="A136" s="96">
        <v>3.0</v>
      </c>
      <c r="B136" s="97" t="s">
        <v>1858</v>
      </c>
      <c r="C136" s="99"/>
      <c r="D136" s="97" t="s">
        <v>1859</v>
      </c>
      <c r="E136" s="100" t="s">
        <v>1168</v>
      </c>
    </row>
    <row r="137">
      <c r="A137" s="96">
        <v>4.0</v>
      </c>
      <c r="B137" s="97" t="s">
        <v>1860</v>
      </c>
      <c r="C137" s="99"/>
      <c r="D137" s="97" t="s">
        <v>1861</v>
      </c>
      <c r="E137" s="100" t="s">
        <v>1168</v>
      </c>
    </row>
    <row r="138">
      <c r="A138" s="96">
        <v>5.0</v>
      </c>
      <c r="B138" s="97" t="s">
        <v>1862</v>
      </c>
      <c r="C138" s="99"/>
      <c r="D138" s="97" t="s">
        <v>1863</v>
      </c>
      <c r="E138" s="100" t="s">
        <v>1163</v>
      </c>
    </row>
    <row r="139">
      <c r="A139" s="96">
        <v>6.0</v>
      </c>
      <c r="B139" s="97" t="s">
        <v>1864</v>
      </c>
      <c r="C139" s="99"/>
      <c r="D139" s="97" t="s">
        <v>1865</v>
      </c>
      <c r="E139" s="100" t="s">
        <v>1168</v>
      </c>
    </row>
    <row r="140">
      <c r="A140" s="96">
        <v>7.0</v>
      </c>
      <c r="B140" s="97" t="s">
        <v>1866</v>
      </c>
      <c r="C140" s="97"/>
      <c r="D140" s="97" t="s">
        <v>1867</v>
      </c>
      <c r="E140" s="98" t="s">
        <v>1163</v>
      </c>
    </row>
    <row r="141">
      <c r="A141" s="96">
        <v>8.0</v>
      </c>
      <c r="B141" s="97" t="s">
        <v>1868</v>
      </c>
      <c r="C141" s="97"/>
      <c r="D141" s="97" t="s">
        <v>1869</v>
      </c>
      <c r="E141" s="100" t="s">
        <v>1163</v>
      </c>
    </row>
    <row r="142">
      <c r="A142" s="96">
        <v>9.0</v>
      </c>
      <c r="B142" s="97" t="s">
        <v>1870</v>
      </c>
      <c r="C142" s="99"/>
      <c r="D142" s="97" t="s">
        <v>1871</v>
      </c>
      <c r="E142" s="100" t="s">
        <v>1168</v>
      </c>
    </row>
    <row r="143">
      <c r="A143" s="96">
        <v>10.0</v>
      </c>
      <c r="B143" s="97" t="s">
        <v>1872</v>
      </c>
      <c r="C143" s="99"/>
      <c r="D143" s="97" t="s">
        <v>1873</v>
      </c>
      <c r="E143" s="100" t="s">
        <v>1163</v>
      </c>
    </row>
    <row r="144">
      <c r="A144" s="96">
        <v>11.0</v>
      </c>
      <c r="B144" s="97" t="s">
        <v>1874</v>
      </c>
      <c r="C144" s="99"/>
      <c r="D144" s="97" t="s">
        <v>1875</v>
      </c>
      <c r="E144" s="100" t="s">
        <v>1163</v>
      </c>
    </row>
    <row r="145">
      <c r="A145" s="96">
        <v>12.0</v>
      </c>
      <c r="B145" s="97" t="s">
        <v>1876</v>
      </c>
      <c r="C145" s="99"/>
      <c r="D145" s="97" t="s">
        <v>1877</v>
      </c>
      <c r="E145" s="100" t="s">
        <v>1163</v>
      </c>
    </row>
    <row r="146">
      <c r="A146" s="96">
        <v>13.0</v>
      </c>
      <c r="B146" s="97" t="s">
        <v>1878</v>
      </c>
      <c r="C146" s="99"/>
      <c r="D146" s="97" t="s">
        <v>1879</v>
      </c>
      <c r="E146" s="100" t="s">
        <v>1163</v>
      </c>
    </row>
    <row r="147">
      <c r="A147" s="96">
        <v>14.0</v>
      </c>
      <c r="B147" s="97" t="s">
        <v>1880</v>
      </c>
      <c r="C147" s="99"/>
      <c r="D147" s="97" t="s">
        <v>1881</v>
      </c>
      <c r="E147" s="100" t="s">
        <v>1163</v>
      </c>
    </row>
    <row r="148">
      <c r="A148" s="96">
        <v>15.0</v>
      </c>
      <c r="B148" s="97" t="s">
        <v>1882</v>
      </c>
      <c r="C148" s="99"/>
      <c r="D148" s="97" t="s">
        <v>1883</v>
      </c>
      <c r="E148" s="100" t="s">
        <v>1168</v>
      </c>
    </row>
    <row r="149">
      <c r="A149" s="96">
        <v>16.0</v>
      </c>
      <c r="B149" s="97" t="s">
        <v>1884</v>
      </c>
      <c r="C149" s="99"/>
      <c r="D149" s="97" t="s">
        <v>1885</v>
      </c>
      <c r="E149" s="100" t="s">
        <v>1168</v>
      </c>
    </row>
    <row r="150">
      <c r="A150" s="96">
        <v>17.0</v>
      </c>
      <c r="B150" s="97" t="s">
        <v>1886</v>
      </c>
      <c r="C150" s="99"/>
      <c r="D150" s="97" t="s">
        <v>1887</v>
      </c>
      <c r="E150" s="100" t="s">
        <v>1168</v>
      </c>
    </row>
    <row r="151">
      <c r="A151" s="96">
        <v>18.0</v>
      </c>
      <c r="B151" s="97" t="s">
        <v>1888</v>
      </c>
      <c r="C151" s="99"/>
      <c r="D151" s="97" t="s">
        <v>1889</v>
      </c>
      <c r="E151" s="100" t="s">
        <v>1163</v>
      </c>
    </row>
    <row r="152">
      <c r="A152" s="96">
        <v>19.0</v>
      </c>
      <c r="B152" s="97" t="s">
        <v>1890</v>
      </c>
      <c r="C152" s="99"/>
      <c r="D152" s="97" t="s">
        <v>1891</v>
      </c>
      <c r="E152" s="100" t="s">
        <v>1168</v>
      </c>
    </row>
    <row r="153">
      <c r="A153" s="96">
        <v>20.0</v>
      </c>
      <c r="B153" s="97" t="s">
        <v>1892</v>
      </c>
      <c r="C153" s="99"/>
      <c r="D153" s="97" t="s">
        <v>1893</v>
      </c>
      <c r="E153" s="100" t="s">
        <v>1168</v>
      </c>
    </row>
    <row r="154">
      <c r="A154" s="96">
        <v>21.0</v>
      </c>
      <c r="B154" s="97" t="s">
        <v>1894</v>
      </c>
      <c r="C154" s="99"/>
      <c r="D154" s="97" t="s">
        <v>1895</v>
      </c>
      <c r="E154" s="100" t="s">
        <v>1168</v>
      </c>
    </row>
    <row r="155">
      <c r="A155" s="96">
        <v>22.0</v>
      </c>
      <c r="B155" s="97" t="s">
        <v>1896</v>
      </c>
      <c r="C155" s="99"/>
      <c r="D155" s="97" t="s">
        <v>1897</v>
      </c>
      <c r="E155" s="100" t="s">
        <v>1168</v>
      </c>
    </row>
    <row r="156">
      <c r="A156" s="96">
        <v>23.0</v>
      </c>
      <c r="B156" s="111" t="s">
        <v>1898</v>
      </c>
      <c r="C156" s="115"/>
      <c r="D156" s="97" t="s">
        <v>1899</v>
      </c>
      <c r="E156" s="100" t="s">
        <v>1163</v>
      </c>
    </row>
    <row r="157">
      <c r="A157" s="96">
        <v>24.0</v>
      </c>
      <c r="B157" s="97" t="s">
        <v>1900</v>
      </c>
      <c r="C157" s="99"/>
      <c r="D157" s="97" t="s">
        <v>1901</v>
      </c>
      <c r="E157" s="100" t="s">
        <v>1163</v>
      </c>
    </row>
    <row r="158">
      <c r="A158" s="96">
        <v>25.0</v>
      </c>
      <c r="B158" s="97" t="s">
        <v>1902</v>
      </c>
      <c r="C158" s="99"/>
      <c r="D158" s="97" t="s">
        <v>1903</v>
      </c>
      <c r="E158" s="100" t="s">
        <v>1163</v>
      </c>
    </row>
    <row r="159">
      <c r="A159" s="96">
        <v>26.0</v>
      </c>
      <c r="B159" s="97" t="s">
        <v>1904</v>
      </c>
      <c r="C159" s="99"/>
      <c r="D159" s="97" t="s">
        <v>1905</v>
      </c>
      <c r="E159" s="100" t="s">
        <v>1163</v>
      </c>
    </row>
    <row r="160">
      <c r="A160" s="96">
        <v>27.0</v>
      </c>
      <c r="B160" s="97" t="s">
        <v>1906</v>
      </c>
      <c r="C160" s="99"/>
      <c r="D160" s="97" t="s">
        <v>1907</v>
      </c>
      <c r="E160" s="100" t="s">
        <v>1163</v>
      </c>
    </row>
    <row r="161">
      <c r="A161" s="96">
        <v>28.0</v>
      </c>
      <c r="B161" s="97" t="s">
        <v>1908</v>
      </c>
      <c r="C161" s="99"/>
      <c r="D161" s="97" t="s">
        <v>1909</v>
      </c>
      <c r="E161" s="100" t="s">
        <v>1163</v>
      </c>
    </row>
    <row r="162">
      <c r="A162" s="96">
        <v>29.0</v>
      </c>
      <c r="B162" s="97" t="s">
        <v>1910</v>
      </c>
      <c r="C162" s="99"/>
      <c r="D162" s="97" t="s">
        <v>1911</v>
      </c>
      <c r="E162" s="100" t="s">
        <v>1168</v>
      </c>
    </row>
    <row r="163">
      <c r="A163" s="96">
        <v>30.0</v>
      </c>
      <c r="B163" s="97" t="s">
        <v>1912</v>
      </c>
      <c r="C163" s="99"/>
      <c r="D163" s="97" t="s">
        <v>1913</v>
      </c>
      <c r="E163" s="100" t="s">
        <v>1168</v>
      </c>
    </row>
    <row r="164">
      <c r="A164" s="96">
        <v>31.0</v>
      </c>
      <c r="B164" s="97" t="s">
        <v>1914</v>
      </c>
      <c r="C164" s="99"/>
      <c r="D164" s="97" t="s">
        <v>1915</v>
      </c>
      <c r="E164" s="100" t="s">
        <v>1168</v>
      </c>
    </row>
    <row r="165">
      <c r="A165" s="96">
        <v>32.0</v>
      </c>
      <c r="B165" s="97" t="s">
        <v>1916</v>
      </c>
      <c r="C165" s="99"/>
      <c r="D165" s="97" t="s">
        <v>1917</v>
      </c>
      <c r="E165" s="100" t="s">
        <v>1168</v>
      </c>
    </row>
    <row r="166">
      <c r="A166" s="96">
        <v>33.0</v>
      </c>
      <c r="B166" s="97" t="s">
        <v>1918</v>
      </c>
      <c r="C166" s="99"/>
      <c r="D166" s="97" t="s">
        <v>1919</v>
      </c>
      <c r="E166" s="100" t="s">
        <v>1163</v>
      </c>
    </row>
    <row r="167">
      <c r="A167" s="96">
        <v>34.0</v>
      </c>
      <c r="B167" s="97" t="s">
        <v>1920</v>
      </c>
      <c r="C167" s="99"/>
      <c r="D167" s="97" t="s">
        <v>1921</v>
      </c>
      <c r="E167" s="100" t="s">
        <v>1168</v>
      </c>
    </row>
    <row r="168">
      <c r="A168" s="96">
        <v>35.0</v>
      </c>
      <c r="B168" s="97" t="s">
        <v>1922</v>
      </c>
      <c r="C168" s="99"/>
      <c r="D168" s="97" t="s">
        <v>1923</v>
      </c>
      <c r="E168" s="100" t="s">
        <v>1168</v>
      </c>
    </row>
    <row r="169">
      <c r="A169" s="96">
        <v>36.0</v>
      </c>
      <c r="B169" s="97" t="s">
        <v>1924</v>
      </c>
      <c r="C169" s="99"/>
      <c r="D169" s="97" t="s">
        <v>1925</v>
      </c>
      <c r="E169" s="116" t="s">
        <v>1163</v>
      </c>
    </row>
    <row r="170">
      <c r="A170" s="113"/>
      <c r="E170" s="114"/>
    </row>
    <row r="171">
      <c r="A171" s="90" t="s">
        <v>1926</v>
      </c>
      <c r="E171" s="110"/>
    </row>
    <row r="172">
      <c r="A172" s="92" t="s">
        <v>1927</v>
      </c>
      <c r="E172" s="93"/>
    </row>
    <row r="173">
      <c r="A173" s="94" t="s">
        <v>1735</v>
      </c>
      <c r="B173" s="94" t="s">
        <v>1736</v>
      </c>
      <c r="C173" s="94" t="s">
        <v>1737</v>
      </c>
      <c r="D173" s="94" t="s">
        <v>1738</v>
      </c>
      <c r="E173" s="95" t="s">
        <v>19</v>
      </c>
    </row>
    <row r="174" ht="14.25" customHeight="1">
      <c r="A174" s="20"/>
      <c r="B174" s="20"/>
      <c r="C174" s="20"/>
      <c r="D174" s="20"/>
      <c r="E174" s="20"/>
    </row>
    <row r="175">
      <c r="A175" s="96">
        <v>1.0</v>
      </c>
      <c r="B175" s="97" t="s">
        <v>1928</v>
      </c>
      <c r="C175" s="99"/>
      <c r="D175" s="97" t="s">
        <v>1929</v>
      </c>
      <c r="E175" s="100" t="s">
        <v>1168</v>
      </c>
    </row>
    <row r="176">
      <c r="A176" s="96">
        <v>2.0</v>
      </c>
      <c r="B176" s="97" t="s">
        <v>1930</v>
      </c>
      <c r="C176" s="99"/>
      <c r="D176" s="97" t="s">
        <v>1931</v>
      </c>
      <c r="E176" s="100" t="s">
        <v>1168</v>
      </c>
    </row>
    <row r="177">
      <c r="A177" s="96">
        <v>3.0</v>
      </c>
      <c r="B177" s="97" t="s">
        <v>1932</v>
      </c>
      <c r="C177" s="99"/>
      <c r="D177" s="97" t="s">
        <v>1933</v>
      </c>
      <c r="E177" s="100" t="s">
        <v>1163</v>
      </c>
    </row>
    <row r="178">
      <c r="A178" s="96">
        <v>4.0</v>
      </c>
      <c r="B178" s="97" t="s">
        <v>1934</v>
      </c>
      <c r="C178" s="99"/>
      <c r="D178" s="97" t="s">
        <v>1935</v>
      </c>
      <c r="E178" s="100" t="s">
        <v>1168</v>
      </c>
    </row>
    <row r="179">
      <c r="A179" s="96">
        <v>5.0</v>
      </c>
      <c r="B179" s="97" t="s">
        <v>1936</v>
      </c>
      <c r="C179" s="99"/>
      <c r="D179" s="97" t="s">
        <v>1937</v>
      </c>
      <c r="E179" s="100" t="s">
        <v>1168</v>
      </c>
    </row>
    <row r="180">
      <c r="A180" s="96">
        <v>6.0</v>
      </c>
      <c r="B180" s="97" t="s">
        <v>1938</v>
      </c>
      <c r="C180" s="99"/>
      <c r="D180" s="97" t="s">
        <v>1939</v>
      </c>
      <c r="E180" s="100" t="s">
        <v>1168</v>
      </c>
    </row>
    <row r="181">
      <c r="A181" s="96">
        <v>7.0</v>
      </c>
      <c r="B181" s="97" t="s">
        <v>1940</v>
      </c>
      <c r="C181" s="99"/>
      <c r="D181" s="97" t="s">
        <v>1941</v>
      </c>
      <c r="E181" s="100" t="s">
        <v>1168</v>
      </c>
    </row>
    <row r="182">
      <c r="A182" s="96">
        <v>8.0</v>
      </c>
      <c r="B182" s="97" t="s">
        <v>1942</v>
      </c>
      <c r="C182" s="99"/>
      <c r="D182" s="97" t="s">
        <v>1943</v>
      </c>
      <c r="E182" s="100" t="s">
        <v>1163</v>
      </c>
    </row>
    <row r="183">
      <c r="A183" s="96">
        <v>9.0</v>
      </c>
      <c r="B183" s="97" t="s">
        <v>1944</v>
      </c>
      <c r="C183" s="99"/>
      <c r="D183" s="97" t="s">
        <v>1945</v>
      </c>
      <c r="E183" s="100" t="s">
        <v>1163</v>
      </c>
    </row>
    <row r="184">
      <c r="A184" s="96">
        <v>10.0</v>
      </c>
      <c r="B184" s="97" t="s">
        <v>1946</v>
      </c>
      <c r="C184" s="99"/>
      <c r="D184" s="97" t="s">
        <v>1947</v>
      </c>
      <c r="E184" s="100" t="s">
        <v>1163</v>
      </c>
    </row>
    <row r="185">
      <c r="A185" s="96">
        <v>11.0</v>
      </c>
      <c r="B185" s="97" t="s">
        <v>1948</v>
      </c>
      <c r="C185" s="99"/>
      <c r="D185" s="97" t="s">
        <v>1949</v>
      </c>
      <c r="E185" s="100" t="s">
        <v>1168</v>
      </c>
    </row>
    <row r="186">
      <c r="A186" s="96">
        <v>12.0</v>
      </c>
      <c r="B186" s="97" t="s">
        <v>1950</v>
      </c>
      <c r="C186" s="99"/>
      <c r="D186" s="97" t="s">
        <v>1951</v>
      </c>
      <c r="E186" s="100" t="s">
        <v>1168</v>
      </c>
    </row>
    <row r="187">
      <c r="A187" s="96">
        <v>13.0</v>
      </c>
      <c r="B187" s="97" t="s">
        <v>1952</v>
      </c>
      <c r="C187" s="99"/>
      <c r="D187" s="97" t="s">
        <v>1953</v>
      </c>
      <c r="E187" s="100" t="s">
        <v>1163</v>
      </c>
    </row>
    <row r="188">
      <c r="A188" s="96">
        <v>14.0</v>
      </c>
      <c r="B188" s="97" t="s">
        <v>1954</v>
      </c>
      <c r="C188" s="99"/>
      <c r="D188" s="97" t="s">
        <v>1955</v>
      </c>
      <c r="E188" s="100" t="s">
        <v>1168</v>
      </c>
    </row>
    <row r="189">
      <c r="A189" s="96">
        <v>15.0</v>
      </c>
      <c r="B189" s="97" t="s">
        <v>1956</v>
      </c>
      <c r="C189" s="99"/>
      <c r="D189" s="97" t="s">
        <v>1957</v>
      </c>
      <c r="E189" s="100" t="s">
        <v>1168</v>
      </c>
    </row>
    <row r="190">
      <c r="A190" s="96">
        <v>16.0</v>
      </c>
      <c r="B190" s="97" t="s">
        <v>1958</v>
      </c>
      <c r="C190" s="99"/>
      <c r="D190" s="97" t="s">
        <v>1959</v>
      </c>
      <c r="E190" s="100" t="s">
        <v>1168</v>
      </c>
    </row>
    <row r="191">
      <c r="A191" s="96">
        <v>17.0</v>
      </c>
      <c r="B191" s="97" t="s">
        <v>1960</v>
      </c>
      <c r="C191" s="99"/>
      <c r="D191" s="97" t="s">
        <v>1961</v>
      </c>
      <c r="E191" s="100" t="s">
        <v>1168</v>
      </c>
    </row>
    <row r="192">
      <c r="A192" s="96">
        <v>18.0</v>
      </c>
      <c r="B192" s="97" t="s">
        <v>1962</v>
      </c>
      <c r="C192" s="99"/>
      <c r="D192" s="97" t="s">
        <v>1963</v>
      </c>
      <c r="E192" s="100" t="s">
        <v>1163</v>
      </c>
    </row>
    <row r="193">
      <c r="A193" s="96">
        <v>19.0</v>
      </c>
      <c r="B193" s="97" t="s">
        <v>1964</v>
      </c>
      <c r="C193" s="99"/>
      <c r="D193" s="97" t="s">
        <v>1965</v>
      </c>
      <c r="E193" s="100" t="s">
        <v>1163</v>
      </c>
    </row>
    <row r="194">
      <c r="A194" s="96">
        <v>20.0</v>
      </c>
      <c r="B194" s="97" t="s">
        <v>1966</v>
      </c>
      <c r="C194" s="99"/>
      <c r="D194" s="97" t="s">
        <v>1967</v>
      </c>
      <c r="E194" s="100" t="s">
        <v>1168</v>
      </c>
    </row>
    <row r="195">
      <c r="A195" s="96">
        <v>21.0</v>
      </c>
      <c r="B195" s="97" t="s">
        <v>1968</v>
      </c>
      <c r="C195" s="99"/>
      <c r="D195" s="97" t="s">
        <v>1969</v>
      </c>
      <c r="E195" s="100" t="s">
        <v>1163</v>
      </c>
    </row>
    <row r="196">
      <c r="A196" s="96">
        <v>22.0</v>
      </c>
      <c r="B196" s="97" t="s">
        <v>1970</v>
      </c>
      <c r="C196" s="99"/>
      <c r="D196" s="97" t="s">
        <v>1971</v>
      </c>
      <c r="E196" s="100" t="s">
        <v>1163</v>
      </c>
    </row>
    <row r="197">
      <c r="A197" s="96">
        <v>23.0</v>
      </c>
      <c r="B197" s="97" t="s">
        <v>1972</v>
      </c>
      <c r="C197" s="99"/>
      <c r="D197" s="97" t="s">
        <v>1973</v>
      </c>
      <c r="E197" s="100" t="s">
        <v>1168</v>
      </c>
    </row>
    <row r="198">
      <c r="A198" s="96">
        <v>24.0</v>
      </c>
      <c r="B198" s="97" t="s">
        <v>1974</v>
      </c>
      <c r="C198" s="99"/>
      <c r="D198" s="97" t="s">
        <v>1975</v>
      </c>
      <c r="E198" s="100" t="s">
        <v>1168</v>
      </c>
    </row>
    <row r="199">
      <c r="A199" s="96">
        <v>25.0</v>
      </c>
      <c r="B199" s="97" t="s">
        <v>1976</v>
      </c>
      <c r="C199" s="99"/>
      <c r="D199" s="97" t="s">
        <v>1977</v>
      </c>
      <c r="E199" s="100" t="s">
        <v>1168</v>
      </c>
    </row>
    <row r="200">
      <c r="A200" s="96">
        <v>26.0</v>
      </c>
      <c r="B200" s="97" t="s">
        <v>1978</v>
      </c>
      <c r="C200" s="99"/>
      <c r="D200" s="97" t="s">
        <v>1979</v>
      </c>
      <c r="E200" s="100" t="s">
        <v>1168</v>
      </c>
    </row>
    <row r="201">
      <c r="A201" s="96">
        <v>27.0</v>
      </c>
      <c r="B201" s="97" t="s">
        <v>1980</v>
      </c>
      <c r="C201" s="99"/>
      <c r="D201" s="97" t="s">
        <v>1981</v>
      </c>
      <c r="E201" s="100" t="s">
        <v>1168</v>
      </c>
    </row>
    <row r="202">
      <c r="A202" s="96">
        <v>28.0</v>
      </c>
      <c r="B202" s="97" t="s">
        <v>1982</v>
      </c>
      <c r="C202" s="99"/>
      <c r="D202" s="97" t="s">
        <v>1983</v>
      </c>
      <c r="E202" s="100" t="s">
        <v>1163</v>
      </c>
    </row>
    <row r="203">
      <c r="A203" s="96">
        <v>29.0</v>
      </c>
      <c r="B203" s="97" t="s">
        <v>1984</v>
      </c>
      <c r="C203" s="99"/>
      <c r="D203" s="97" t="s">
        <v>1985</v>
      </c>
      <c r="E203" s="100" t="s">
        <v>1163</v>
      </c>
    </row>
    <row r="204">
      <c r="A204" s="96">
        <v>30.0</v>
      </c>
      <c r="B204" s="97" t="s">
        <v>1986</v>
      </c>
      <c r="C204" s="99"/>
      <c r="D204" s="97" t="s">
        <v>1987</v>
      </c>
      <c r="E204" s="100" t="s">
        <v>1168</v>
      </c>
    </row>
    <row r="205">
      <c r="A205" s="96">
        <v>31.0</v>
      </c>
      <c r="B205" s="97" t="s">
        <v>1988</v>
      </c>
      <c r="C205" s="99"/>
      <c r="D205" s="97" t="s">
        <v>1989</v>
      </c>
      <c r="E205" s="100" t="s">
        <v>1163</v>
      </c>
    </row>
    <row r="206">
      <c r="A206" s="96">
        <v>32.0</v>
      </c>
      <c r="B206" s="97" t="s">
        <v>1990</v>
      </c>
      <c r="C206" s="99"/>
      <c r="D206" s="97" t="s">
        <v>1991</v>
      </c>
      <c r="E206" s="102" t="s">
        <v>1163</v>
      </c>
    </row>
    <row r="207">
      <c r="A207" s="96">
        <v>33.0</v>
      </c>
      <c r="B207" s="97" t="s">
        <v>1992</v>
      </c>
      <c r="C207" s="99"/>
      <c r="D207" s="97" t="s">
        <v>1993</v>
      </c>
      <c r="E207" s="102" t="s">
        <v>1163</v>
      </c>
    </row>
    <row r="208">
      <c r="A208" s="96">
        <v>34.0</v>
      </c>
      <c r="B208" s="97" t="s">
        <v>1994</v>
      </c>
      <c r="C208" s="99"/>
      <c r="D208" s="97" t="s">
        <v>1995</v>
      </c>
      <c r="E208" s="100" t="s">
        <v>1163</v>
      </c>
    </row>
    <row r="209">
      <c r="A209" s="96">
        <v>35.0</v>
      </c>
      <c r="B209" s="97" t="s">
        <v>1996</v>
      </c>
      <c r="C209" s="117"/>
      <c r="D209" s="97" t="s">
        <v>1997</v>
      </c>
      <c r="E209" s="100" t="s">
        <v>1168</v>
      </c>
    </row>
    <row r="210">
      <c r="A210" s="96">
        <v>36.0</v>
      </c>
      <c r="B210" s="97" t="s">
        <v>1998</v>
      </c>
      <c r="C210" s="99"/>
      <c r="D210" s="97" t="s">
        <v>1999</v>
      </c>
      <c r="E210" s="100" t="s">
        <v>1168</v>
      </c>
    </row>
    <row r="211">
      <c r="A211" s="113"/>
      <c r="E211" s="114"/>
    </row>
    <row r="212">
      <c r="A212" s="90" t="s">
        <v>2000</v>
      </c>
      <c r="E212" s="110"/>
    </row>
    <row r="213">
      <c r="A213" s="92" t="s">
        <v>2001</v>
      </c>
      <c r="E213" s="93"/>
    </row>
    <row r="214">
      <c r="A214" s="94" t="s">
        <v>1735</v>
      </c>
      <c r="B214" s="94" t="s">
        <v>1736</v>
      </c>
      <c r="C214" s="94" t="s">
        <v>1737</v>
      </c>
      <c r="D214" s="94" t="s">
        <v>1738</v>
      </c>
      <c r="E214" s="95" t="s">
        <v>19</v>
      </c>
    </row>
    <row r="215" ht="12.75" customHeight="1">
      <c r="A215" s="20"/>
      <c r="B215" s="20"/>
      <c r="C215" s="20"/>
      <c r="D215" s="20"/>
      <c r="E215" s="20"/>
    </row>
    <row r="216">
      <c r="A216" s="96">
        <v>1.0</v>
      </c>
      <c r="B216" s="97" t="s">
        <v>2002</v>
      </c>
      <c r="C216" s="99"/>
      <c r="D216" s="97" t="s">
        <v>2003</v>
      </c>
      <c r="E216" s="100" t="s">
        <v>1163</v>
      </c>
    </row>
    <row r="217">
      <c r="A217" s="96">
        <v>2.0</v>
      </c>
      <c r="B217" s="97" t="s">
        <v>2004</v>
      </c>
      <c r="C217" s="99"/>
      <c r="D217" s="97" t="s">
        <v>2005</v>
      </c>
      <c r="E217" s="100" t="s">
        <v>1163</v>
      </c>
    </row>
    <row r="218">
      <c r="A218" s="96">
        <v>3.0</v>
      </c>
      <c r="B218" s="97" t="s">
        <v>2006</v>
      </c>
      <c r="C218" s="99"/>
      <c r="D218" s="97" t="s">
        <v>2007</v>
      </c>
      <c r="E218" s="100" t="s">
        <v>1168</v>
      </c>
    </row>
    <row r="219">
      <c r="A219" s="96">
        <v>4.0</v>
      </c>
      <c r="B219" s="97" t="s">
        <v>2008</v>
      </c>
      <c r="C219" s="99"/>
      <c r="D219" s="97" t="s">
        <v>2009</v>
      </c>
      <c r="E219" s="100" t="s">
        <v>1163</v>
      </c>
    </row>
    <row r="220">
      <c r="A220" s="96">
        <v>5.0</v>
      </c>
      <c r="B220" s="97" t="s">
        <v>2010</v>
      </c>
      <c r="C220" s="99"/>
      <c r="D220" s="97" t="s">
        <v>2011</v>
      </c>
      <c r="E220" s="100" t="s">
        <v>1163</v>
      </c>
    </row>
    <row r="221">
      <c r="A221" s="96">
        <v>6.0</v>
      </c>
      <c r="B221" s="97" t="s">
        <v>2012</v>
      </c>
      <c r="C221" s="99"/>
      <c r="D221" s="97" t="s">
        <v>2013</v>
      </c>
      <c r="E221" s="102" t="s">
        <v>1163</v>
      </c>
    </row>
    <row r="222">
      <c r="A222" s="96">
        <v>7.0</v>
      </c>
      <c r="B222" s="97" t="s">
        <v>2014</v>
      </c>
      <c r="C222" s="99"/>
      <c r="D222" s="97" t="s">
        <v>2015</v>
      </c>
      <c r="E222" s="100" t="s">
        <v>1163</v>
      </c>
    </row>
    <row r="223">
      <c r="A223" s="96">
        <v>8.0</v>
      </c>
      <c r="B223" s="97" t="s">
        <v>2016</v>
      </c>
      <c r="C223" s="99"/>
      <c r="D223" s="97" t="s">
        <v>2017</v>
      </c>
      <c r="E223" s="100" t="s">
        <v>1163</v>
      </c>
    </row>
    <row r="224">
      <c r="A224" s="96">
        <v>9.0</v>
      </c>
      <c r="B224" s="97" t="s">
        <v>2018</v>
      </c>
      <c r="C224" s="99"/>
      <c r="D224" s="97" t="s">
        <v>2019</v>
      </c>
      <c r="E224" s="100" t="s">
        <v>1163</v>
      </c>
    </row>
    <row r="225">
      <c r="A225" s="96">
        <v>10.0</v>
      </c>
      <c r="B225" s="97" t="s">
        <v>2020</v>
      </c>
      <c r="C225" s="99"/>
      <c r="D225" s="97" t="s">
        <v>2021</v>
      </c>
      <c r="E225" s="100" t="s">
        <v>1168</v>
      </c>
    </row>
    <row r="226">
      <c r="A226" s="96">
        <v>11.0</v>
      </c>
      <c r="B226" s="97" t="s">
        <v>2022</v>
      </c>
      <c r="C226" s="99"/>
      <c r="D226" s="97" t="s">
        <v>2023</v>
      </c>
      <c r="E226" s="100" t="s">
        <v>1163</v>
      </c>
    </row>
    <row r="227">
      <c r="A227" s="96">
        <v>12.0</v>
      </c>
      <c r="B227" s="97" t="s">
        <v>2024</v>
      </c>
      <c r="C227" s="99"/>
      <c r="D227" s="97" t="s">
        <v>2025</v>
      </c>
      <c r="E227" s="100" t="s">
        <v>1168</v>
      </c>
    </row>
    <row r="228">
      <c r="A228" s="96">
        <v>13.0</v>
      </c>
      <c r="B228" s="97" t="s">
        <v>2026</v>
      </c>
      <c r="C228" s="99"/>
      <c r="D228" s="97" t="s">
        <v>2027</v>
      </c>
      <c r="E228" s="100" t="s">
        <v>1168</v>
      </c>
    </row>
    <row r="229">
      <c r="A229" s="96">
        <v>14.0</v>
      </c>
      <c r="B229" s="97" t="s">
        <v>2028</v>
      </c>
      <c r="C229" s="99"/>
      <c r="D229" s="108" t="s">
        <v>2029</v>
      </c>
      <c r="E229" s="100" t="s">
        <v>1168</v>
      </c>
    </row>
    <row r="230">
      <c r="A230" s="96">
        <v>15.0</v>
      </c>
      <c r="B230" s="97" t="s">
        <v>2030</v>
      </c>
      <c r="C230" s="99"/>
      <c r="D230" s="97" t="s">
        <v>2031</v>
      </c>
      <c r="E230" s="100" t="s">
        <v>1168</v>
      </c>
    </row>
    <row r="231">
      <c r="A231" s="96">
        <v>16.0</v>
      </c>
      <c r="B231" s="97" t="s">
        <v>2032</v>
      </c>
      <c r="C231" s="99"/>
      <c r="D231" s="97" t="s">
        <v>2033</v>
      </c>
      <c r="E231" s="100" t="s">
        <v>1163</v>
      </c>
    </row>
    <row r="232">
      <c r="A232" s="96">
        <v>17.0</v>
      </c>
      <c r="B232" s="97" t="s">
        <v>2034</v>
      </c>
      <c r="C232" s="99"/>
      <c r="D232" s="97" t="s">
        <v>2035</v>
      </c>
      <c r="E232" s="100" t="s">
        <v>1168</v>
      </c>
    </row>
    <row r="233">
      <c r="A233" s="96">
        <v>18.0</v>
      </c>
      <c r="B233" s="97" t="s">
        <v>2036</v>
      </c>
      <c r="C233" s="99"/>
      <c r="D233" s="97" t="s">
        <v>2037</v>
      </c>
      <c r="E233" s="100" t="s">
        <v>1168</v>
      </c>
    </row>
    <row r="234">
      <c r="A234" s="96">
        <v>19.0</v>
      </c>
      <c r="B234" s="97" t="s">
        <v>2038</v>
      </c>
      <c r="C234" s="99"/>
      <c r="D234" s="97" t="s">
        <v>2039</v>
      </c>
      <c r="E234" s="100" t="s">
        <v>1168</v>
      </c>
    </row>
    <row r="235">
      <c r="A235" s="96">
        <v>20.0</v>
      </c>
      <c r="B235" s="97" t="s">
        <v>2040</v>
      </c>
      <c r="C235" s="99"/>
      <c r="D235" s="97" t="s">
        <v>2041</v>
      </c>
      <c r="E235" s="100" t="s">
        <v>1168</v>
      </c>
    </row>
    <row r="236">
      <c r="A236" s="96">
        <v>21.0</v>
      </c>
      <c r="B236" s="97" t="s">
        <v>2042</v>
      </c>
      <c r="C236" s="99"/>
      <c r="D236" s="97" t="s">
        <v>2043</v>
      </c>
      <c r="E236" s="100" t="s">
        <v>1168</v>
      </c>
    </row>
    <row r="237">
      <c r="A237" s="96">
        <v>22.0</v>
      </c>
      <c r="B237" s="97" t="s">
        <v>2044</v>
      </c>
      <c r="C237" s="99"/>
      <c r="D237" s="97" t="s">
        <v>2045</v>
      </c>
      <c r="E237" s="100" t="s">
        <v>1163</v>
      </c>
    </row>
    <row r="238">
      <c r="A238" s="96">
        <v>23.0</v>
      </c>
      <c r="B238" s="97" t="s">
        <v>2046</v>
      </c>
      <c r="C238" s="99"/>
      <c r="D238" s="97" t="s">
        <v>2047</v>
      </c>
      <c r="E238" s="100" t="s">
        <v>1163</v>
      </c>
    </row>
    <row r="239">
      <c r="A239" s="96">
        <v>24.0</v>
      </c>
      <c r="B239" s="97" t="s">
        <v>2048</v>
      </c>
      <c r="C239" s="99"/>
      <c r="D239" s="97" t="s">
        <v>2049</v>
      </c>
      <c r="E239" s="100" t="s">
        <v>1163</v>
      </c>
    </row>
    <row r="240">
      <c r="A240" s="96">
        <v>25.0</v>
      </c>
      <c r="B240" s="97" t="s">
        <v>2050</v>
      </c>
      <c r="C240" s="99"/>
      <c r="D240" s="97" t="s">
        <v>2051</v>
      </c>
      <c r="E240" s="100" t="s">
        <v>1168</v>
      </c>
    </row>
    <row r="241">
      <c r="A241" s="96">
        <v>26.0</v>
      </c>
      <c r="B241" s="97" t="s">
        <v>2052</v>
      </c>
      <c r="C241" s="99"/>
      <c r="D241" s="97" t="s">
        <v>2053</v>
      </c>
      <c r="E241" s="100" t="s">
        <v>1163</v>
      </c>
    </row>
    <row r="242">
      <c r="A242" s="96">
        <v>27.0</v>
      </c>
      <c r="B242" s="97" t="s">
        <v>2054</v>
      </c>
      <c r="C242" s="99"/>
      <c r="D242" s="97" t="s">
        <v>2055</v>
      </c>
      <c r="E242" s="100" t="s">
        <v>1168</v>
      </c>
    </row>
    <row r="243">
      <c r="A243" s="96">
        <v>28.0</v>
      </c>
      <c r="B243" s="97" t="s">
        <v>2056</v>
      </c>
      <c r="C243" s="99"/>
      <c r="D243" s="97" t="s">
        <v>2057</v>
      </c>
      <c r="E243" s="100" t="s">
        <v>1163</v>
      </c>
    </row>
    <row r="244">
      <c r="A244" s="96">
        <v>29.0</v>
      </c>
      <c r="B244" s="97" t="s">
        <v>2058</v>
      </c>
      <c r="C244" s="99"/>
      <c r="D244" s="97" t="s">
        <v>2059</v>
      </c>
      <c r="E244" s="100" t="s">
        <v>1168</v>
      </c>
    </row>
    <row r="245">
      <c r="A245" s="96">
        <v>30.0</v>
      </c>
      <c r="B245" s="97" t="s">
        <v>2060</v>
      </c>
      <c r="C245" s="99"/>
      <c r="D245" s="97" t="s">
        <v>2061</v>
      </c>
      <c r="E245" s="100" t="s">
        <v>1168</v>
      </c>
    </row>
    <row r="246">
      <c r="A246" s="96">
        <v>31.0</v>
      </c>
      <c r="B246" s="97" t="s">
        <v>2062</v>
      </c>
      <c r="C246" s="99"/>
      <c r="D246" s="97" t="s">
        <v>2063</v>
      </c>
      <c r="E246" s="100" t="s">
        <v>1163</v>
      </c>
    </row>
    <row r="247">
      <c r="A247" s="96">
        <v>32.0</v>
      </c>
      <c r="B247" s="97" t="s">
        <v>2064</v>
      </c>
      <c r="C247" s="99"/>
      <c r="D247" s="97" t="s">
        <v>2065</v>
      </c>
      <c r="E247" s="100" t="s">
        <v>1168</v>
      </c>
    </row>
    <row r="248">
      <c r="A248" s="96">
        <v>33.0</v>
      </c>
      <c r="B248" s="97" t="s">
        <v>2066</v>
      </c>
      <c r="C248" s="99"/>
      <c r="D248" s="97" t="s">
        <v>2067</v>
      </c>
      <c r="E248" s="100" t="s">
        <v>1163</v>
      </c>
    </row>
    <row r="249">
      <c r="A249" s="96">
        <v>34.0</v>
      </c>
      <c r="B249" s="97" t="s">
        <v>2068</v>
      </c>
      <c r="C249" s="99"/>
      <c r="D249" s="97" t="s">
        <v>2069</v>
      </c>
      <c r="E249" s="100" t="s">
        <v>1168</v>
      </c>
    </row>
    <row r="250">
      <c r="A250" s="96">
        <v>35.0</v>
      </c>
      <c r="B250" s="97" t="s">
        <v>2070</v>
      </c>
      <c r="C250" s="99"/>
      <c r="D250" s="97" t="s">
        <v>2071</v>
      </c>
      <c r="E250" s="100" t="s">
        <v>1163</v>
      </c>
    </row>
    <row r="251">
      <c r="A251" s="96">
        <v>36.0</v>
      </c>
      <c r="B251" s="97" t="s">
        <v>2072</v>
      </c>
      <c r="C251" s="99"/>
      <c r="D251" s="97" t="s">
        <v>2073</v>
      </c>
      <c r="E251" s="100" t="s">
        <v>1163</v>
      </c>
    </row>
    <row r="252">
      <c r="A252" s="113"/>
      <c r="E252" s="114"/>
    </row>
    <row r="253">
      <c r="A253" s="90" t="s">
        <v>2074</v>
      </c>
      <c r="E253" s="110"/>
    </row>
    <row r="254">
      <c r="A254" s="92" t="s">
        <v>2075</v>
      </c>
      <c r="E254" s="93"/>
    </row>
    <row r="255">
      <c r="A255" s="94" t="s">
        <v>1735</v>
      </c>
      <c r="B255" s="94" t="s">
        <v>1736</v>
      </c>
      <c r="C255" s="94" t="s">
        <v>1737</v>
      </c>
      <c r="D255" s="94" t="s">
        <v>1738</v>
      </c>
      <c r="E255" s="95" t="s">
        <v>19</v>
      </c>
    </row>
    <row r="256" ht="14.25" customHeight="1">
      <c r="A256" s="20"/>
      <c r="B256" s="20"/>
      <c r="C256" s="20"/>
      <c r="D256" s="20"/>
      <c r="E256" s="20"/>
    </row>
    <row r="257">
      <c r="A257" s="96">
        <v>1.0</v>
      </c>
      <c r="B257" s="97" t="s">
        <v>2076</v>
      </c>
      <c r="C257" s="99"/>
      <c r="D257" s="97" t="s">
        <v>2077</v>
      </c>
      <c r="E257" s="118" t="s">
        <v>1168</v>
      </c>
    </row>
    <row r="258">
      <c r="A258" s="96">
        <v>2.0</v>
      </c>
      <c r="B258" s="97" t="s">
        <v>2078</v>
      </c>
      <c r="C258" s="99"/>
      <c r="D258" s="97" t="s">
        <v>2079</v>
      </c>
      <c r="E258" s="118" t="s">
        <v>1168</v>
      </c>
    </row>
    <row r="259">
      <c r="A259" s="96">
        <v>3.0</v>
      </c>
      <c r="B259" s="97" t="s">
        <v>2080</v>
      </c>
      <c r="C259" s="99"/>
      <c r="D259" s="97" t="s">
        <v>2081</v>
      </c>
      <c r="E259" s="118" t="s">
        <v>1163</v>
      </c>
    </row>
    <row r="260">
      <c r="A260" s="96">
        <v>4.0</v>
      </c>
      <c r="B260" s="97" t="s">
        <v>2082</v>
      </c>
      <c r="C260" s="99"/>
      <c r="D260" s="97" t="s">
        <v>2083</v>
      </c>
      <c r="E260" s="118" t="s">
        <v>1163</v>
      </c>
    </row>
    <row r="261">
      <c r="A261" s="96">
        <v>5.0</v>
      </c>
      <c r="B261" s="97" t="s">
        <v>2084</v>
      </c>
      <c r="C261" s="99"/>
      <c r="D261" s="97" t="s">
        <v>2085</v>
      </c>
      <c r="E261" s="118" t="s">
        <v>1168</v>
      </c>
    </row>
    <row r="262">
      <c r="A262" s="96">
        <v>6.0</v>
      </c>
      <c r="B262" s="97" t="s">
        <v>2086</v>
      </c>
      <c r="C262" s="99"/>
      <c r="D262" s="97" t="s">
        <v>2087</v>
      </c>
      <c r="E262" s="118" t="s">
        <v>1163</v>
      </c>
    </row>
    <row r="263">
      <c r="A263" s="96">
        <v>7.0</v>
      </c>
      <c r="B263" s="97" t="s">
        <v>2088</v>
      </c>
      <c r="C263" s="99"/>
      <c r="D263" s="97" t="s">
        <v>2089</v>
      </c>
      <c r="E263" s="118" t="s">
        <v>1163</v>
      </c>
    </row>
    <row r="264">
      <c r="A264" s="96">
        <v>8.0</v>
      </c>
      <c r="B264" s="111" t="s">
        <v>2090</v>
      </c>
      <c r="C264" s="115"/>
      <c r="D264" s="111" t="s">
        <v>2091</v>
      </c>
      <c r="E264" s="118" t="s">
        <v>1163</v>
      </c>
    </row>
    <row r="265">
      <c r="A265" s="96">
        <v>9.0</v>
      </c>
      <c r="B265" s="97" t="s">
        <v>2092</v>
      </c>
      <c r="C265" s="99"/>
      <c r="D265" s="97" t="s">
        <v>2093</v>
      </c>
      <c r="E265" s="118" t="s">
        <v>1168</v>
      </c>
    </row>
    <row r="266">
      <c r="A266" s="96">
        <v>10.0</v>
      </c>
      <c r="B266" s="97" t="s">
        <v>2094</v>
      </c>
      <c r="C266" s="99"/>
      <c r="D266" s="97" t="s">
        <v>2095</v>
      </c>
      <c r="E266" s="100" t="s">
        <v>1163</v>
      </c>
    </row>
    <row r="267">
      <c r="A267" s="96">
        <v>11.0</v>
      </c>
      <c r="B267" s="97" t="s">
        <v>2096</v>
      </c>
      <c r="C267" s="99"/>
      <c r="D267" s="97" t="s">
        <v>2097</v>
      </c>
      <c r="E267" s="118" t="s">
        <v>1163</v>
      </c>
    </row>
    <row r="268">
      <c r="A268" s="96">
        <v>12.0</v>
      </c>
      <c r="B268" s="97" t="s">
        <v>2098</v>
      </c>
      <c r="C268" s="99"/>
      <c r="D268" s="97" t="s">
        <v>2099</v>
      </c>
      <c r="E268" s="118" t="s">
        <v>1168</v>
      </c>
    </row>
    <row r="269">
      <c r="A269" s="96">
        <v>13.0</v>
      </c>
      <c r="B269" s="97" t="s">
        <v>2100</v>
      </c>
      <c r="C269" s="99"/>
      <c r="D269" s="97" t="s">
        <v>2101</v>
      </c>
      <c r="E269" s="118" t="s">
        <v>1168</v>
      </c>
    </row>
    <row r="270">
      <c r="A270" s="96">
        <v>14.0</v>
      </c>
      <c r="B270" s="97" t="s">
        <v>2102</v>
      </c>
      <c r="C270" s="99"/>
      <c r="D270" s="97" t="s">
        <v>2103</v>
      </c>
      <c r="E270" s="118" t="s">
        <v>1163</v>
      </c>
    </row>
    <row r="271">
      <c r="A271" s="96">
        <v>15.0</v>
      </c>
      <c r="B271" s="97" t="s">
        <v>2104</v>
      </c>
      <c r="C271" s="99"/>
      <c r="D271" s="97" t="s">
        <v>2105</v>
      </c>
      <c r="E271" s="118" t="s">
        <v>1163</v>
      </c>
    </row>
    <row r="272">
      <c r="A272" s="96">
        <v>16.0</v>
      </c>
      <c r="B272" s="97" t="s">
        <v>2106</v>
      </c>
      <c r="C272" s="99"/>
      <c r="D272" s="97" t="s">
        <v>2107</v>
      </c>
      <c r="E272" s="118" t="s">
        <v>1168</v>
      </c>
    </row>
    <row r="273">
      <c r="A273" s="96">
        <v>17.0</v>
      </c>
      <c r="B273" s="97" t="s">
        <v>2108</v>
      </c>
      <c r="C273" s="99"/>
      <c r="D273" s="97" t="s">
        <v>2109</v>
      </c>
      <c r="E273" s="118" t="s">
        <v>1163</v>
      </c>
    </row>
    <row r="274">
      <c r="A274" s="96">
        <v>18.0</v>
      </c>
      <c r="B274" s="97" t="s">
        <v>2110</v>
      </c>
      <c r="C274" s="99"/>
      <c r="D274" s="97" t="s">
        <v>2111</v>
      </c>
      <c r="E274" s="118" t="s">
        <v>1163</v>
      </c>
    </row>
    <row r="275">
      <c r="A275" s="96">
        <v>19.0</v>
      </c>
      <c r="B275" s="97" t="s">
        <v>2112</v>
      </c>
      <c r="C275" s="99"/>
      <c r="D275" s="97" t="s">
        <v>2113</v>
      </c>
      <c r="E275" s="118" t="s">
        <v>1163</v>
      </c>
    </row>
    <row r="276">
      <c r="A276" s="96">
        <v>20.0</v>
      </c>
      <c r="B276" s="97" t="s">
        <v>2114</v>
      </c>
      <c r="C276" s="99"/>
      <c r="D276" s="97" t="s">
        <v>2115</v>
      </c>
      <c r="E276" s="118" t="s">
        <v>1168</v>
      </c>
    </row>
    <row r="277">
      <c r="A277" s="96">
        <v>21.0</v>
      </c>
      <c r="B277" s="97" t="s">
        <v>2116</v>
      </c>
      <c r="C277" s="99"/>
      <c r="D277" s="97" t="s">
        <v>2117</v>
      </c>
      <c r="E277" s="118" t="s">
        <v>1163</v>
      </c>
    </row>
    <row r="278">
      <c r="A278" s="96">
        <v>22.0</v>
      </c>
      <c r="B278" s="97" t="s">
        <v>2118</v>
      </c>
      <c r="C278" s="99"/>
      <c r="D278" s="97" t="s">
        <v>2119</v>
      </c>
      <c r="E278" s="118" t="s">
        <v>1168</v>
      </c>
    </row>
    <row r="279">
      <c r="A279" s="96">
        <v>23.0</v>
      </c>
      <c r="B279" s="97" t="s">
        <v>2120</v>
      </c>
      <c r="C279" s="99"/>
      <c r="D279" s="97" t="s">
        <v>2121</v>
      </c>
      <c r="E279" s="118" t="s">
        <v>1163</v>
      </c>
    </row>
    <row r="280">
      <c r="A280" s="96">
        <v>24.0</v>
      </c>
      <c r="B280" s="97" t="s">
        <v>2122</v>
      </c>
      <c r="C280" s="99"/>
      <c r="D280" s="97" t="s">
        <v>2123</v>
      </c>
      <c r="E280" s="100" t="s">
        <v>1163</v>
      </c>
    </row>
    <row r="281">
      <c r="A281" s="96">
        <v>25.0</v>
      </c>
      <c r="B281" s="97" t="s">
        <v>2124</v>
      </c>
      <c r="C281" s="99"/>
      <c r="D281" s="97" t="s">
        <v>2125</v>
      </c>
      <c r="E281" s="119"/>
    </row>
    <row r="282">
      <c r="A282" s="96">
        <v>26.0</v>
      </c>
      <c r="B282" s="97" t="s">
        <v>2126</v>
      </c>
      <c r="C282" s="99"/>
      <c r="D282" s="97" t="s">
        <v>2127</v>
      </c>
      <c r="E282" s="118" t="s">
        <v>1163</v>
      </c>
    </row>
    <row r="283">
      <c r="A283" s="96">
        <v>27.0</v>
      </c>
      <c r="B283" s="111" t="s">
        <v>2128</v>
      </c>
      <c r="C283" s="115"/>
      <c r="D283" s="111" t="s">
        <v>2129</v>
      </c>
      <c r="E283" s="118"/>
    </row>
    <row r="284">
      <c r="A284" s="96">
        <v>28.0</v>
      </c>
      <c r="B284" s="97" t="s">
        <v>2130</v>
      </c>
      <c r="C284" s="99"/>
      <c r="D284" s="108" t="s">
        <v>2131</v>
      </c>
      <c r="E284" s="118" t="s">
        <v>1163</v>
      </c>
    </row>
    <row r="285">
      <c r="A285" s="96">
        <v>29.0</v>
      </c>
      <c r="B285" s="97" t="s">
        <v>2132</v>
      </c>
      <c r="C285" s="99"/>
      <c r="D285" s="97" t="s">
        <v>2133</v>
      </c>
      <c r="E285" s="118"/>
    </row>
    <row r="286">
      <c r="A286" s="96">
        <v>30.0</v>
      </c>
      <c r="B286" s="97" t="s">
        <v>2134</v>
      </c>
      <c r="C286" s="99"/>
      <c r="D286" s="97" t="s">
        <v>2135</v>
      </c>
      <c r="E286" s="118" t="s">
        <v>1163</v>
      </c>
    </row>
    <row r="287">
      <c r="A287" s="96">
        <v>31.0</v>
      </c>
      <c r="B287" s="97" t="s">
        <v>2136</v>
      </c>
      <c r="C287" s="99"/>
      <c r="D287" s="97" t="s">
        <v>2137</v>
      </c>
      <c r="E287" s="118" t="s">
        <v>1168</v>
      </c>
    </row>
    <row r="288">
      <c r="A288" s="96">
        <v>32.0</v>
      </c>
      <c r="B288" s="97" t="s">
        <v>2138</v>
      </c>
      <c r="C288" s="99"/>
      <c r="D288" s="97" t="s">
        <v>2139</v>
      </c>
      <c r="E288" s="118" t="s">
        <v>1168</v>
      </c>
    </row>
    <row r="289">
      <c r="A289" s="96">
        <v>33.0</v>
      </c>
      <c r="B289" s="97" t="s">
        <v>2140</v>
      </c>
      <c r="C289" s="99"/>
      <c r="D289" s="97" t="s">
        <v>2141</v>
      </c>
      <c r="E289" s="118" t="s">
        <v>1168</v>
      </c>
    </row>
    <row r="290">
      <c r="A290" s="96">
        <v>34.0</v>
      </c>
      <c r="B290" s="97" t="s">
        <v>2142</v>
      </c>
      <c r="C290" s="99"/>
      <c r="D290" s="97" t="s">
        <v>2143</v>
      </c>
      <c r="E290" s="118" t="s">
        <v>1163</v>
      </c>
    </row>
    <row r="291">
      <c r="A291" s="96">
        <v>35.0</v>
      </c>
      <c r="B291" s="97" t="s">
        <v>2144</v>
      </c>
      <c r="C291" s="99"/>
      <c r="D291" s="97" t="s">
        <v>2145</v>
      </c>
      <c r="E291" s="118" t="s">
        <v>1168</v>
      </c>
    </row>
    <row r="292">
      <c r="A292" s="96">
        <v>36.0</v>
      </c>
      <c r="B292" s="97" t="s">
        <v>2146</v>
      </c>
      <c r="C292" s="99"/>
      <c r="D292" s="97" t="s">
        <v>2147</v>
      </c>
      <c r="E292" s="118" t="s">
        <v>1163</v>
      </c>
    </row>
    <row r="293">
      <c r="A293" s="113"/>
      <c r="E293" s="114"/>
    </row>
    <row r="294">
      <c r="A294" s="90" t="s">
        <v>2148</v>
      </c>
      <c r="E294" s="110"/>
    </row>
    <row r="295">
      <c r="A295" s="92" t="s">
        <v>2149</v>
      </c>
      <c r="E295" s="93"/>
    </row>
    <row r="296">
      <c r="A296" s="94" t="s">
        <v>1735</v>
      </c>
      <c r="B296" s="94" t="s">
        <v>1736</v>
      </c>
      <c r="C296" s="94" t="s">
        <v>1737</v>
      </c>
      <c r="D296" s="94" t="s">
        <v>1738</v>
      </c>
      <c r="E296" s="95" t="s">
        <v>19</v>
      </c>
    </row>
    <row r="297" ht="17.25" customHeight="1">
      <c r="A297" s="20"/>
      <c r="B297" s="20"/>
      <c r="C297" s="20"/>
      <c r="D297" s="20"/>
      <c r="E297" s="20"/>
    </row>
    <row r="298">
      <c r="A298" s="96">
        <v>1.0</v>
      </c>
      <c r="B298" s="97" t="s">
        <v>2150</v>
      </c>
      <c r="C298" s="99"/>
      <c r="D298" s="97" t="s">
        <v>2151</v>
      </c>
      <c r="E298" s="100" t="s">
        <v>1168</v>
      </c>
    </row>
    <row r="299">
      <c r="A299" s="96">
        <v>2.0</v>
      </c>
      <c r="B299" s="97" t="s">
        <v>2152</v>
      </c>
      <c r="C299" s="99"/>
      <c r="D299" s="97" t="s">
        <v>2153</v>
      </c>
      <c r="E299" s="100" t="s">
        <v>1163</v>
      </c>
    </row>
    <row r="300">
      <c r="A300" s="96">
        <v>3.0</v>
      </c>
      <c r="B300" s="97" t="s">
        <v>2154</v>
      </c>
      <c r="C300" s="99"/>
      <c r="D300" s="97" t="s">
        <v>2155</v>
      </c>
      <c r="E300" s="100" t="s">
        <v>1168</v>
      </c>
    </row>
    <row r="301">
      <c r="A301" s="96">
        <v>4.0</v>
      </c>
      <c r="B301" s="97" t="s">
        <v>2156</v>
      </c>
      <c r="C301" s="99"/>
      <c r="D301" s="97" t="s">
        <v>2157</v>
      </c>
      <c r="E301" s="100" t="s">
        <v>1168</v>
      </c>
    </row>
    <row r="302">
      <c r="A302" s="96">
        <v>5.0</v>
      </c>
      <c r="B302" s="97" t="s">
        <v>2158</v>
      </c>
      <c r="C302" s="99"/>
      <c r="D302" s="97" t="s">
        <v>2159</v>
      </c>
      <c r="E302" s="100" t="s">
        <v>1163</v>
      </c>
    </row>
    <row r="303">
      <c r="A303" s="96">
        <v>6.0</v>
      </c>
      <c r="B303" s="97" t="s">
        <v>2160</v>
      </c>
      <c r="C303" s="99"/>
      <c r="D303" s="97" t="s">
        <v>2161</v>
      </c>
      <c r="E303" s="100" t="s">
        <v>1168</v>
      </c>
    </row>
    <row r="304">
      <c r="A304" s="96">
        <v>7.0</v>
      </c>
      <c r="B304" s="97" t="s">
        <v>2162</v>
      </c>
      <c r="C304" s="99"/>
      <c r="D304" s="97" t="s">
        <v>2163</v>
      </c>
      <c r="E304" s="100" t="s">
        <v>1163</v>
      </c>
    </row>
    <row r="305">
      <c r="A305" s="96">
        <v>8.0</v>
      </c>
      <c r="B305" s="97" t="s">
        <v>2164</v>
      </c>
      <c r="C305" s="99"/>
      <c r="D305" s="97" t="s">
        <v>2165</v>
      </c>
      <c r="E305" s="107" t="s">
        <v>1163</v>
      </c>
    </row>
    <row r="306">
      <c r="A306" s="96">
        <v>9.0</v>
      </c>
      <c r="B306" s="97" t="s">
        <v>2166</v>
      </c>
      <c r="C306" s="99"/>
      <c r="D306" s="97" t="s">
        <v>2167</v>
      </c>
      <c r="E306" s="100" t="s">
        <v>1163</v>
      </c>
    </row>
    <row r="307">
      <c r="A307" s="96">
        <v>10.0</v>
      </c>
      <c r="B307" s="97" t="s">
        <v>2168</v>
      </c>
      <c r="C307" s="99"/>
      <c r="D307" s="97" t="s">
        <v>2169</v>
      </c>
      <c r="E307" s="100" t="s">
        <v>1163</v>
      </c>
    </row>
    <row r="308">
      <c r="A308" s="96">
        <v>11.0</v>
      </c>
      <c r="B308" s="97" t="s">
        <v>2170</v>
      </c>
      <c r="C308" s="117"/>
      <c r="D308" s="97" t="s">
        <v>2171</v>
      </c>
      <c r="E308" s="100" t="s">
        <v>1168</v>
      </c>
    </row>
    <row r="309">
      <c r="A309" s="96">
        <v>12.0</v>
      </c>
      <c r="B309" s="97" t="s">
        <v>2172</v>
      </c>
      <c r="C309" s="99"/>
      <c r="D309" s="97" t="s">
        <v>2173</v>
      </c>
      <c r="E309" s="100" t="s">
        <v>1168</v>
      </c>
    </row>
    <row r="310">
      <c r="A310" s="96">
        <v>13.0</v>
      </c>
      <c r="B310" s="97" t="s">
        <v>2174</v>
      </c>
      <c r="C310" s="99"/>
      <c r="D310" s="97" t="s">
        <v>2175</v>
      </c>
      <c r="E310" s="100" t="s">
        <v>1163</v>
      </c>
    </row>
    <row r="311">
      <c r="A311" s="96">
        <v>14.0</v>
      </c>
      <c r="B311" s="97" t="s">
        <v>2176</v>
      </c>
      <c r="C311" s="99"/>
      <c r="D311" s="97" t="s">
        <v>2177</v>
      </c>
      <c r="E311" s="100" t="s">
        <v>1168</v>
      </c>
    </row>
    <row r="312">
      <c r="A312" s="96">
        <v>15.0</v>
      </c>
      <c r="B312" s="97" t="s">
        <v>2178</v>
      </c>
      <c r="C312" s="99"/>
      <c r="D312" s="97" t="s">
        <v>2179</v>
      </c>
      <c r="E312" s="100" t="s">
        <v>1168</v>
      </c>
    </row>
    <row r="313">
      <c r="A313" s="96">
        <v>16.0</v>
      </c>
      <c r="B313" s="97" t="s">
        <v>2180</v>
      </c>
      <c r="C313" s="99"/>
      <c r="D313" s="97" t="s">
        <v>2181</v>
      </c>
      <c r="E313" s="100" t="s">
        <v>1168</v>
      </c>
    </row>
    <row r="314">
      <c r="A314" s="96">
        <v>17.0</v>
      </c>
      <c r="B314" s="97" t="s">
        <v>2182</v>
      </c>
      <c r="C314" s="99"/>
      <c r="D314" s="97" t="s">
        <v>2183</v>
      </c>
      <c r="E314" s="100" t="s">
        <v>1163</v>
      </c>
    </row>
    <row r="315">
      <c r="A315" s="96">
        <v>18.0</v>
      </c>
      <c r="B315" s="97" t="s">
        <v>2184</v>
      </c>
      <c r="C315" s="99"/>
      <c r="D315" s="97" t="s">
        <v>2185</v>
      </c>
      <c r="E315" s="100" t="s">
        <v>1163</v>
      </c>
    </row>
    <row r="316">
      <c r="A316" s="96">
        <v>19.0</v>
      </c>
      <c r="B316" s="97" t="s">
        <v>2186</v>
      </c>
      <c r="C316" s="99"/>
      <c r="D316" s="97" t="s">
        <v>2187</v>
      </c>
      <c r="E316" s="100" t="s">
        <v>1168</v>
      </c>
    </row>
    <row r="317">
      <c r="A317" s="96">
        <v>20.0</v>
      </c>
      <c r="B317" s="97" t="s">
        <v>2188</v>
      </c>
      <c r="C317" s="99"/>
      <c r="D317" s="97" t="s">
        <v>2189</v>
      </c>
      <c r="E317" s="100" t="s">
        <v>1168</v>
      </c>
    </row>
    <row r="318">
      <c r="A318" s="96">
        <v>21.0</v>
      </c>
      <c r="B318" s="97" t="s">
        <v>2190</v>
      </c>
      <c r="C318" s="99"/>
      <c r="D318" s="97" t="s">
        <v>2191</v>
      </c>
      <c r="E318" s="100" t="s">
        <v>1163</v>
      </c>
    </row>
    <row r="319">
      <c r="A319" s="96">
        <v>22.0</v>
      </c>
      <c r="B319" s="97" t="s">
        <v>2192</v>
      </c>
      <c r="C319" s="99"/>
      <c r="D319" s="97" t="s">
        <v>2193</v>
      </c>
      <c r="E319" s="100" t="s">
        <v>1168</v>
      </c>
    </row>
    <row r="320">
      <c r="A320" s="96">
        <v>23.0</v>
      </c>
      <c r="B320" s="97" t="s">
        <v>2194</v>
      </c>
      <c r="C320" s="99"/>
      <c r="D320" s="97" t="s">
        <v>2195</v>
      </c>
      <c r="E320" s="100" t="s">
        <v>1168</v>
      </c>
    </row>
    <row r="321">
      <c r="A321" s="96">
        <v>24.0</v>
      </c>
      <c r="B321" s="97" t="s">
        <v>2196</v>
      </c>
      <c r="C321" s="99"/>
      <c r="D321" s="97" t="s">
        <v>2197</v>
      </c>
      <c r="E321" s="100" t="s">
        <v>1163</v>
      </c>
    </row>
    <row r="322">
      <c r="A322" s="96">
        <v>25.0</v>
      </c>
      <c r="B322" s="97" t="s">
        <v>2198</v>
      </c>
      <c r="C322" s="99"/>
      <c r="D322" s="97" t="s">
        <v>2199</v>
      </c>
      <c r="E322" s="100" t="s">
        <v>1168</v>
      </c>
    </row>
    <row r="323">
      <c r="A323" s="96">
        <v>26.0</v>
      </c>
      <c r="B323" s="97" t="s">
        <v>2200</v>
      </c>
      <c r="C323" s="99"/>
      <c r="D323" s="97" t="s">
        <v>2201</v>
      </c>
      <c r="E323" s="100" t="s">
        <v>1163</v>
      </c>
    </row>
    <row r="324">
      <c r="A324" s="96">
        <v>27.0</v>
      </c>
      <c r="B324" s="97" t="s">
        <v>2202</v>
      </c>
      <c r="C324" s="99"/>
      <c r="D324" s="97" t="s">
        <v>2203</v>
      </c>
      <c r="E324" s="100" t="s">
        <v>1168</v>
      </c>
    </row>
    <row r="325">
      <c r="A325" s="96">
        <v>28.0</v>
      </c>
      <c r="B325" s="97" t="s">
        <v>2204</v>
      </c>
      <c r="C325" s="99"/>
      <c r="D325" s="97" t="s">
        <v>2205</v>
      </c>
      <c r="E325" s="98" t="s">
        <v>1163</v>
      </c>
    </row>
    <row r="326">
      <c r="A326" s="96">
        <v>29.0</v>
      </c>
      <c r="B326" s="97" t="s">
        <v>2206</v>
      </c>
      <c r="C326" s="99"/>
      <c r="D326" s="97" t="s">
        <v>2207</v>
      </c>
      <c r="E326" s="100" t="s">
        <v>1168</v>
      </c>
    </row>
    <row r="327">
      <c r="A327" s="96">
        <v>30.0</v>
      </c>
      <c r="B327" s="97" t="s">
        <v>2208</v>
      </c>
      <c r="C327" s="99"/>
      <c r="D327" s="97" t="s">
        <v>2209</v>
      </c>
      <c r="E327" s="100" t="s">
        <v>1168</v>
      </c>
    </row>
    <row r="328">
      <c r="A328" s="96">
        <v>31.0</v>
      </c>
      <c r="B328" s="97" t="s">
        <v>2210</v>
      </c>
      <c r="C328" s="99"/>
      <c r="D328" s="97" t="s">
        <v>2211</v>
      </c>
      <c r="E328" s="100" t="s">
        <v>1168</v>
      </c>
    </row>
    <row r="329">
      <c r="A329" s="96">
        <v>32.0</v>
      </c>
      <c r="B329" s="97" t="s">
        <v>2212</v>
      </c>
      <c r="C329" s="99"/>
      <c r="D329" s="97" t="s">
        <v>2213</v>
      </c>
      <c r="E329" s="100" t="s">
        <v>1168</v>
      </c>
    </row>
    <row r="330">
      <c r="A330" s="96">
        <v>33.0</v>
      </c>
      <c r="B330" s="97" t="s">
        <v>2214</v>
      </c>
      <c r="C330" s="99"/>
      <c r="D330" s="97" t="s">
        <v>2215</v>
      </c>
      <c r="E330" s="100" t="s">
        <v>1168</v>
      </c>
    </row>
    <row r="331">
      <c r="A331" s="96">
        <v>34.0</v>
      </c>
      <c r="B331" s="97" t="s">
        <v>2216</v>
      </c>
      <c r="C331" s="99"/>
      <c r="D331" s="97" t="s">
        <v>2217</v>
      </c>
      <c r="E331" s="100" t="s">
        <v>1168</v>
      </c>
    </row>
    <row r="332">
      <c r="A332" s="96">
        <v>35.0</v>
      </c>
      <c r="B332" s="97" t="s">
        <v>2218</v>
      </c>
      <c r="C332" s="120"/>
      <c r="D332" s="97" t="s">
        <v>2219</v>
      </c>
      <c r="E332" s="100" t="s">
        <v>1163</v>
      </c>
    </row>
    <row r="333">
      <c r="A333" s="96">
        <v>36.0</v>
      </c>
      <c r="B333" s="97" t="s">
        <v>2220</v>
      </c>
      <c r="C333" s="120"/>
      <c r="D333" s="97" t="s">
        <v>2221</v>
      </c>
      <c r="E333" s="100" t="s">
        <v>1163</v>
      </c>
    </row>
    <row r="334">
      <c r="A334" s="113"/>
      <c r="E334" s="114"/>
    </row>
    <row r="335">
      <c r="A335" s="90" t="s">
        <v>2222</v>
      </c>
      <c r="E335" s="110"/>
    </row>
    <row r="336">
      <c r="A336" s="92" t="s">
        <v>2223</v>
      </c>
      <c r="E336" s="93"/>
    </row>
    <row r="337">
      <c r="A337" s="94" t="s">
        <v>1735</v>
      </c>
      <c r="B337" s="94" t="s">
        <v>1736</v>
      </c>
      <c r="C337" s="94" t="s">
        <v>1737</v>
      </c>
      <c r="D337" s="94" t="s">
        <v>1738</v>
      </c>
      <c r="E337" s="95" t="s">
        <v>19</v>
      </c>
    </row>
    <row r="338" ht="15.75" customHeight="1">
      <c r="A338" s="20"/>
      <c r="B338" s="20"/>
      <c r="C338" s="20"/>
      <c r="D338" s="20"/>
      <c r="E338" s="20"/>
    </row>
    <row r="339">
      <c r="A339" s="96">
        <v>1.0</v>
      </c>
      <c r="B339" s="97">
        <v>9.3390743E7</v>
      </c>
      <c r="C339" s="97">
        <v>2.42510006E8</v>
      </c>
      <c r="D339" s="97" t="s">
        <v>2224</v>
      </c>
      <c r="E339" s="100" t="s">
        <v>1168</v>
      </c>
    </row>
    <row r="340">
      <c r="A340" s="96">
        <v>2.0</v>
      </c>
      <c r="B340" s="97">
        <v>9.9505768E7</v>
      </c>
      <c r="C340" s="97">
        <v>2.42510022E8</v>
      </c>
      <c r="D340" s="97" t="s">
        <v>2225</v>
      </c>
      <c r="E340" s="100" t="s">
        <v>1168</v>
      </c>
    </row>
    <row r="341">
      <c r="A341" s="96">
        <v>3.0</v>
      </c>
      <c r="B341" s="97">
        <v>9.380109E7</v>
      </c>
      <c r="C341" s="97">
        <v>2.42510035E8</v>
      </c>
      <c r="D341" s="97" t="s">
        <v>2226</v>
      </c>
      <c r="E341" s="100" t="s">
        <v>1168</v>
      </c>
    </row>
    <row r="342">
      <c r="A342" s="96">
        <v>4.0</v>
      </c>
      <c r="B342" s="97">
        <v>9.7959305E7</v>
      </c>
      <c r="C342" s="97">
        <v>2.42510047E8</v>
      </c>
      <c r="D342" s="97" t="s">
        <v>2227</v>
      </c>
      <c r="E342" s="100" t="s">
        <v>1168</v>
      </c>
    </row>
    <row r="343">
      <c r="A343" s="96">
        <v>5.0</v>
      </c>
      <c r="B343" s="97">
        <v>8.4789093E7</v>
      </c>
      <c r="C343" s="97">
        <v>2.42510051E8</v>
      </c>
      <c r="D343" s="97" t="s">
        <v>2228</v>
      </c>
      <c r="E343" s="100" t="s">
        <v>1168</v>
      </c>
    </row>
    <row r="344">
      <c r="A344" s="96">
        <v>6.0</v>
      </c>
      <c r="B344" s="97">
        <v>2.081404817E9</v>
      </c>
      <c r="C344" s="97">
        <v>2.42510059E8</v>
      </c>
      <c r="D344" s="97" t="s">
        <v>2229</v>
      </c>
      <c r="E344" s="100" t="s">
        <v>1168</v>
      </c>
    </row>
    <row r="345">
      <c r="A345" s="96">
        <v>7.0</v>
      </c>
      <c r="B345" s="97">
        <v>9.8812831E7</v>
      </c>
      <c r="C345" s="97">
        <v>2.42510083E8</v>
      </c>
      <c r="D345" s="97" t="s">
        <v>2230</v>
      </c>
      <c r="E345" s="100" t="s">
        <v>1168</v>
      </c>
    </row>
    <row r="346">
      <c r="A346" s="96">
        <v>8.0</v>
      </c>
      <c r="B346" s="97">
        <v>8.3352872E7</v>
      </c>
      <c r="C346" s="97">
        <v>2.42510098E8</v>
      </c>
      <c r="D346" s="97" t="s">
        <v>2231</v>
      </c>
      <c r="E346" s="100" t="s">
        <v>1168</v>
      </c>
    </row>
    <row r="347">
      <c r="A347" s="96">
        <v>9.0</v>
      </c>
      <c r="B347" s="97">
        <v>8.6078004E7</v>
      </c>
      <c r="C347" s="97">
        <v>2.42510103E8</v>
      </c>
      <c r="D347" s="97" t="s">
        <v>2232</v>
      </c>
      <c r="E347" s="100" t="s">
        <v>1168</v>
      </c>
    </row>
    <row r="348">
      <c r="A348" s="96">
        <v>10.0</v>
      </c>
      <c r="B348" s="97">
        <v>9.8775856E7</v>
      </c>
      <c r="C348" s="97">
        <v>2.42510123E8</v>
      </c>
      <c r="D348" s="97" t="s">
        <v>2233</v>
      </c>
      <c r="E348" s="100" t="s">
        <v>1163</v>
      </c>
    </row>
    <row r="349">
      <c r="A349" s="96">
        <v>11.0</v>
      </c>
      <c r="B349" s="97">
        <v>9.3969715E7</v>
      </c>
      <c r="C349" s="97">
        <v>2.42510128E8</v>
      </c>
      <c r="D349" s="97" t="s">
        <v>2234</v>
      </c>
      <c r="E349" s="100" t="s">
        <v>1168</v>
      </c>
    </row>
    <row r="350">
      <c r="A350" s="96">
        <v>12.0</v>
      </c>
      <c r="B350" s="97">
        <v>9.7062478E7</v>
      </c>
      <c r="C350" s="97">
        <v>2.42510175E8</v>
      </c>
      <c r="D350" s="97" t="s">
        <v>2235</v>
      </c>
      <c r="E350" s="100" t="s">
        <v>1168</v>
      </c>
    </row>
    <row r="351">
      <c r="A351" s="96">
        <v>13.0</v>
      </c>
      <c r="B351" s="97">
        <v>8.2185766E7</v>
      </c>
      <c r="C351" s="97">
        <v>2.42510181E8</v>
      </c>
      <c r="D351" s="97" t="s">
        <v>2236</v>
      </c>
      <c r="E351" s="100" t="s">
        <v>1168</v>
      </c>
    </row>
    <row r="352">
      <c r="A352" s="96">
        <v>14.0</v>
      </c>
      <c r="B352" s="97">
        <v>8.7551275E7</v>
      </c>
      <c r="C352" s="97">
        <v>2.42510211E8</v>
      </c>
      <c r="D352" s="97" t="s">
        <v>2237</v>
      </c>
      <c r="E352" s="100" t="s">
        <v>1163</v>
      </c>
    </row>
    <row r="353">
      <c r="A353" s="96">
        <v>15.0</v>
      </c>
      <c r="B353" s="97">
        <v>9.3479168E7</v>
      </c>
      <c r="C353" s="97">
        <v>2.42510225E8</v>
      </c>
      <c r="D353" s="97" t="s">
        <v>2238</v>
      </c>
      <c r="E353" s="100" t="s">
        <v>1163</v>
      </c>
    </row>
    <row r="354">
      <c r="A354" s="96">
        <v>16.0</v>
      </c>
      <c r="B354" s="97">
        <v>9.2786372E7</v>
      </c>
      <c r="C354" s="97">
        <v>2.42510234E8</v>
      </c>
      <c r="D354" s="108" t="s">
        <v>2239</v>
      </c>
      <c r="E354" s="100" t="s">
        <v>1168</v>
      </c>
    </row>
    <row r="355">
      <c r="A355" s="96">
        <v>17.0</v>
      </c>
      <c r="B355" s="97">
        <v>9.1530728E7</v>
      </c>
      <c r="C355" s="97">
        <v>2.42510235E8</v>
      </c>
      <c r="D355" s="97" t="s">
        <v>2240</v>
      </c>
      <c r="E355" s="100" t="s">
        <v>1168</v>
      </c>
    </row>
    <row r="356">
      <c r="A356" s="96">
        <v>18.0</v>
      </c>
      <c r="B356" s="97">
        <v>8.5378932E7</v>
      </c>
      <c r="C356" s="97">
        <v>2.4251024E8</v>
      </c>
      <c r="D356" s="97" t="s">
        <v>2241</v>
      </c>
      <c r="E356" s="100" t="s">
        <v>1168</v>
      </c>
    </row>
    <row r="357">
      <c r="A357" s="96">
        <v>19.0</v>
      </c>
      <c r="B357" s="97">
        <v>8.6404055E7</v>
      </c>
      <c r="C357" s="97">
        <v>2.42510242E8</v>
      </c>
      <c r="D357" s="97" t="s">
        <v>2242</v>
      </c>
      <c r="E357" s="100" t="s">
        <v>1168</v>
      </c>
    </row>
    <row r="358">
      <c r="A358" s="96">
        <v>20.0</v>
      </c>
      <c r="B358" s="111">
        <v>8.6360763E7</v>
      </c>
      <c r="C358" s="111">
        <v>2.42510252E8</v>
      </c>
      <c r="D358" s="97" t="s">
        <v>2243</v>
      </c>
      <c r="E358" s="100" t="s">
        <v>1168</v>
      </c>
    </row>
    <row r="359">
      <c r="A359" s="96">
        <v>21.0</v>
      </c>
      <c r="B359" s="97">
        <v>8.8924007E7</v>
      </c>
      <c r="C359" s="97">
        <v>2.42510259E8</v>
      </c>
      <c r="D359" s="108" t="s">
        <v>2244</v>
      </c>
      <c r="E359" s="100" t="s">
        <v>1163</v>
      </c>
    </row>
    <row r="360">
      <c r="A360" s="96">
        <v>22.0</v>
      </c>
      <c r="B360" s="97">
        <v>9.1944011E7</v>
      </c>
      <c r="C360" s="97">
        <v>2.4251026E8</v>
      </c>
      <c r="D360" s="97" t="s">
        <v>2245</v>
      </c>
      <c r="E360" s="100" t="s">
        <v>1163</v>
      </c>
    </row>
    <row r="361">
      <c r="A361" s="96">
        <v>23.0</v>
      </c>
      <c r="B361" s="97">
        <v>9.459647E7</v>
      </c>
      <c r="C361" s="97">
        <v>2.42510262E8</v>
      </c>
      <c r="D361" s="97" t="s">
        <v>2246</v>
      </c>
      <c r="E361" s="100" t="s">
        <v>1168</v>
      </c>
    </row>
    <row r="362">
      <c r="A362" s="96">
        <v>24.0</v>
      </c>
      <c r="B362" s="97">
        <v>9.2404318E7</v>
      </c>
      <c r="C362" s="97">
        <v>2.42510265E8</v>
      </c>
      <c r="D362" s="97" t="s">
        <v>2247</v>
      </c>
      <c r="E362" s="100" t="s">
        <v>1168</v>
      </c>
    </row>
    <row r="363">
      <c r="A363" s="96">
        <v>25.0</v>
      </c>
      <c r="B363" s="97">
        <v>9.5059901E7</v>
      </c>
      <c r="C363" s="97">
        <v>2.42510266E8</v>
      </c>
      <c r="D363" s="97" t="s">
        <v>2248</v>
      </c>
      <c r="E363" s="100" t="s">
        <v>1168</v>
      </c>
    </row>
    <row r="364">
      <c r="A364" s="96">
        <v>26.0</v>
      </c>
      <c r="B364" s="97">
        <v>9.8122055E7</v>
      </c>
      <c r="C364" s="97">
        <v>2.42510275E8</v>
      </c>
      <c r="D364" s="108" t="s">
        <v>2249</v>
      </c>
      <c r="E364" s="100" t="s">
        <v>1163</v>
      </c>
    </row>
    <row r="365">
      <c r="A365" s="96">
        <v>27.0</v>
      </c>
      <c r="B365" s="97">
        <v>8.6863385E7</v>
      </c>
      <c r="C365" s="97">
        <v>2.425103E8</v>
      </c>
      <c r="D365" s="97" t="s">
        <v>2250</v>
      </c>
      <c r="E365" s="100" t="s">
        <v>1163</v>
      </c>
    </row>
    <row r="366">
      <c r="A366" s="96">
        <v>28.0</v>
      </c>
      <c r="B366" s="97">
        <v>8.5675402E7</v>
      </c>
      <c r="C366" s="97">
        <v>2.42510302E8</v>
      </c>
      <c r="D366" s="97" t="s">
        <v>2251</v>
      </c>
      <c r="E366" s="100" t="s">
        <v>1168</v>
      </c>
    </row>
    <row r="367">
      <c r="A367" s="96">
        <v>29.0</v>
      </c>
      <c r="B367" s="97">
        <v>9.6488875E7</v>
      </c>
      <c r="C367" s="97">
        <v>2.42510333E8</v>
      </c>
      <c r="D367" s="97" t="s">
        <v>2252</v>
      </c>
      <c r="E367" s="100" t="s">
        <v>1163</v>
      </c>
    </row>
    <row r="368">
      <c r="A368" s="96">
        <v>30.0</v>
      </c>
      <c r="B368" s="97">
        <v>9.1126559E7</v>
      </c>
      <c r="C368" s="97">
        <v>2.42510337E8</v>
      </c>
      <c r="D368" s="97" t="s">
        <v>2253</v>
      </c>
      <c r="E368" s="100" t="s">
        <v>1168</v>
      </c>
    </row>
    <row r="369">
      <c r="A369" s="96">
        <v>31.0</v>
      </c>
      <c r="B369" s="97">
        <v>9.4232336E7</v>
      </c>
      <c r="C369" s="97">
        <v>2.42510347E8</v>
      </c>
      <c r="D369" s="97" t="s">
        <v>2254</v>
      </c>
      <c r="E369" s="102" t="s">
        <v>1163</v>
      </c>
    </row>
    <row r="370">
      <c r="A370" s="96">
        <v>32.0</v>
      </c>
      <c r="B370" s="97">
        <v>9.992049E7</v>
      </c>
      <c r="C370" s="97">
        <v>2.42510352E8</v>
      </c>
      <c r="D370" s="97" t="s">
        <v>2255</v>
      </c>
      <c r="E370" s="100" t="s">
        <v>1163</v>
      </c>
    </row>
    <row r="371">
      <c r="A371" s="96">
        <v>33.0</v>
      </c>
      <c r="B371" s="97">
        <v>9.4865307E7</v>
      </c>
      <c r="C371" s="97">
        <v>2.4251036E8</v>
      </c>
      <c r="D371" s="108" t="s">
        <v>2256</v>
      </c>
      <c r="E371" s="100" t="s">
        <v>1163</v>
      </c>
    </row>
    <row r="372">
      <c r="A372" s="96">
        <v>34.0</v>
      </c>
      <c r="B372" s="97">
        <v>9.3523017E7</v>
      </c>
      <c r="C372" s="97">
        <v>2.42510378E8</v>
      </c>
      <c r="D372" s="97" t="s">
        <v>2257</v>
      </c>
      <c r="E372" s="100" t="s">
        <v>1168</v>
      </c>
    </row>
    <row r="373">
      <c r="A373" s="96">
        <v>35.0</v>
      </c>
      <c r="B373" s="97">
        <v>9.4426892E7</v>
      </c>
      <c r="C373" s="97">
        <v>2.42510424E8</v>
      </c>
      <c r="D373" s="97" t="s">
        <v>2258</v>
      </c>
      <c r="E373" s="100" t="s">
        <v>1163</v>
      </c>
    </row>
    <row r="374">
      <c r="A374" s="96">
        <v>36.0</v>
      </c>
      <c r="B374" s="97">
        <v>8.2670071E7</v>
      </c>
      <c r="C374" s="97">
        <v>2.42510429E8</v>
      </c>
      <c r="D374" s="97" t="s">
        <v>2259</v>
      </c>
      <c r="E374" s="100" t="s">
        <v>1163</v>
      </c>
    </row>
    <row r="375">
      <c r="A375" s="113"/>
      <c r="E375" s="114"/>
    </row>
    <row r="376">
      <c r="A376" s="90" t="s">
        <v>2260</v>
      </c>
      <c r="E376" s="110"/>
    </row>
    <row r="377">
      <c r="A377" s="92" t="s">
        <v>2261</v>
      </c>
      <c r="E377" s="93"/>
    </row>
    <row r="378">
      <c r="A378" s="94" t="s">
        <v>1735</v>
      </c>
      <c r="B378" s="94" t="s">
        <v>1736</v>
      </c>
      <c r="C378" s="94" t="s">
        <v>1737</v>
      </c>
      <c r="D378" s="94" t="s">
        <v>1738</v>
      </c>
      <c r="E378" s="95" t="s">
        <v>19</v>
      </c>
    </row>
    <row r="379" ht="15.0" customHeight="1">
      <c r="A379" s="20"/>
      <c r="B379" s="20"/>
      <c r="C379" s="20"/>
      <c r="D379" s="20"/>
      <c r="E379" s="20"/>
    </row>
    <row r="380">
      <c r="A380" s="96">
        <v>1.0</v>
      </c>
      <c r="B380" s="97" t="s">
        <v>2262</v>
      </c>
      <c r="C380" s="99"/>
      <c r="D380" s="97" t="s">
        <v>2263</v>
      </c>
      <c r="E380" s="107" t="s">
        <v>1163</v>
      </c>
    </row>
    <row r="381">
      <c r="A381" s="96">
        <v>2.0</v>
      </c>
      <c r="B381" s="97" t="s">
        <v>2264</v>
      </c>
      <c r="C381" s="99"/>
      <c r="D381" s="97" t="s">
        <v>2265</v>
      </c>
      <c r="E381" s="107" t="s">
        <v>1163</v>
      </c>
    </row>
    <row r="382">
      <c r="A382" s="96">
        <v>3.0</v>
      </c>
      <c r="B382" s="111" t="s">
        <v>2266</v>
      </c>
      <c r="C382" s="115"/>
      <c r="D382" s="111" t="s">
        <v>2267</v>
      </c>
      <c r="E382" s="107" t="s">
        <v>1168</v>
      </c>
    </row>
    <row r="383">
      <c r="A383" s="96">
        <v>4.0</v>
      </c>
      <c r="B383" s="97" t="s">
        <v>2268</v>
      </c>
      <c r="C383" s="99"/>
      <c r="D383" s="97" t="s">
        <v>2269</v>
      </c>
      <c r="E383" s="107" t="s">
        <v>1168</v>
      </c>
    </row>
    <row r="384">
      <c r="A384" s="96">
        <v>5.0</v>
      </c>
      <c r="B384" s="97" t="s">
        <v>2270</v>
      </c>
      <c r="C384" s="99"/>
      <c r="D384" s="97" t="s">
        <v>2271</v>
      </c>
      <c r="E384" s="107" t="s">
        <v>1168</v>
      </c>
    </row>
    <row r="385">
      <c r="A385" s="96">
        <v>6.0</v>
      </c>
      <c r="B385" s="97" t="s">
        <v>2272</v>
      </c>
      <c r="C385" s="99"/>
      <c r="D385" s="97" t="s">
        <v>2273</v>
      </c>
      <c r="E385" s="107" t="s">
        <v>1168</v>
      </c>
    </row>
    <row r="386">
      <c r="A386" s="96">
        <v>7.0</v>
      </c>
      <c r="B386" s="97" t="s">
        <v>2274</v>
      </c>
      <c r="C386" s="99"/>
      <c r="D386" s="97" t="s">
        <v>2275</v>
      </c>
      <c r="E386" s="107" t="s">
        <v>1168</v>
      </c>
    </row>
    <row r="387">
      <c r="A387" s="96">
        <v>8.0</v>
      </c>
      <c r="B387" s="97" t="s">
        <v>2276</v>
      </c>
      <c r="C387" s="99"/>
      <c r="D387" s="97" t="s">
        <v>2277</v>
      </c>
      <c r="E387" s="107" t="s">
        <v>1163</v>
      </c>
    </row>
    <row r="388">
      <c r="A388" s="96">
        <v>9.0</v>
      </c>
      <c r="B388" s="97" t="s">
        <v>2278</v>
      </c>
      <c r="C388" s="99"/>
      <c r="D388" s="97" t="s">
        <v>2279</v>
      </c>
      <c r="E388" s="107" t="s">
        <v>1168</v>
      </c>
    </row>
    <row r="389">
      <c r="A389" s="96">
        <v>10.0</v>
      </c>
      <c r="B389" s="97" t="s">
        <v>2280</v>
      </c>
      <c r="C389" s="99"/>
      <c r="D389" s="97" t="s">
        <v>2281</v>
      </c>
      <c r="E389" s="107" t="s">
        <v>1168</v>
      </c>
    </row>
    <row r="390">
      <c r="A390" s="96">
        <v>11.0</v>
      </c>
      <c r="B390" s="97" t="s">
        <v>2282</v>
      </c>
      <c r="C390" s="99"/>
      <c r="D390" s="97" t="s">
        <v>2283</v>
      </c>
      <c r="E390" s="107" t="s">
        <v>1163</v>
      </c>
    </row>
    <row r="391">
      <c r="A391" s="96">
        <v>12.0</v>
      </c>
      <c r="B391" s="97" t="s">
        <v>2284</v>
      </c>
      <c r="C391" s="99"/>
      <c r="D391" s="97" t="s">
        <v>2285</v>
      </c>
      <c r="E391" s="107" t="s">
        <v>1163</v>
      </c>
    </row>
    <row r="392">
      <c r="A392" s="96">
        <v>13.0</v>
      </c>
      <c r="B392" s="97" t="s">
        <v>2286</v>
      </c>
      <c r="C392" s="99"/>
      <c r="D392" s="97" t="s">
        <v>2287</v>
      </c>
      <c r="E392" s="107" t="s">
        <v>1168</v>
      </c>
    </row>
    <row r="393">
      <c r="A393" s="96">
        <v>14.0</v>
      </c>
      <c r="B393" s="97" t="s">
        <v>2288</v>
      </c>
      <c r="C393" s="99"/>
      <c r="D393" s="97" t="s">
        <v>2289</v>
      </c>
      <c r="E393" s="107" t="s">
        <v>1168</v>
      </c>
    </row>
    <row r="394">
      <c r="A394" s="96">
        <v>15.0</v>
      </c>
      <c r="B394" s="97" t="s">
        <v>2290</v>
      </c>
      <c r="C394" s="99"/>
      <c r="D394" s="97" t="s">
        <v>2291</v>
      </c>
      <c r="E394" s="107" t="s">
        <v>1168</v>
      </c>
    </row>
    <row r="395">
      <c r="A395" s="96">
        <v>16.0</v>
      </c>
      <c r="B395" s="97" t="s">
        <v>2292</v>
      </c>
      <c r="C395" s="99"/>
      <c r="D395" s="97" t="s">
        <v>2293</v>
      </c>
      <c r="E395" s="107" t="s">
        <v>1163</v>
      </c>
    </row>
    <row r="396">
      <c r="A396" s="96">
        <v>17.0</v>
      </c>
      <c r="B396" s="97" t="s">
        <v>2294</v>
      </c>
      <c r="C396" s="99"/>
      <c r="D396" s="97" t="s">
        <v>2295</v>
      </c>
      <c r="E396" s="107" t="s">
        <v>1163</v>
      </c>
    </row>
    <row r="397">
      <c r="A397" s="96">
        <v>18.0</v>
      </c>
      <c r="B397" s="97" t="s">
        <v>2296</v>
      </c>
      <c r="C397" s="99"/>
      <c r="D397" s="97" t="s">
        <v>2297</v>
      </c>
      <c r="E397" s="107" t="s">
        <v>1168</v>
      </c>
    </row>
    <row r="398">
      <c r="A398" s="96">
        <v>19.0</v>
      </c>
      <c r="B398" s="97" t="s">
        <v>2298</v>
      </c>
      <c r="C398" s="99"/>
      <c r="D398" s="97" t="s">
        <v>2299</v>
      </c>
      <c r="E398" s="107" t="s">
        <v>1168</v>
      </c>
    </row>
    <row r="399">
      <c r="A399" s="96">
        <v>20.0</v>
      </c>
      <c r="B399" s="97" t="s">
        <v>2300</v>
      </c>
      <c r="C399" s="99"/>
      <c r="D399" s="97" t="s">
        <v>2301</v>
      </c>
      <c r="E399" s="107" t="s">
        <v>1168</v>
      </c>
    </row>
    <row r="400">
      <c r="A400" s="96">
        <v>21.0</v>
      </c>
      <c r="B400" s="97" t="s">
        <v>2302</v>
      </c>
      <c r="C400" s="99"/>
      <c r="D400" s="97" t="s">
        <v>2303</v>
      </c>
      <c r="E400" s="107" t="s">
        <v>1168</v>
      </c>
    </row>
    <row r="401">
      <c r="A401" s="96">
        <v>22.0</v>
      </c>
      <c r="B401" s="97" t="s">
        <v>2304</v>
      </c>
      <c r="C401" s="99"/>
      <c r="D401" s="97" t="s">
        <v>2305</v>
      </c>
      <c r="E401" s="107" t="s">
        <v>1168</v>
      </c>
    </row>
    <row r="402">
      <c r="A402" s="96">
        <v>23.0</v>
      </c>
      <c r="B402" s="97" t="s">
        <v>2306</v>
      </c>
      <c r="C402" s="99"/>
      <c r="D402" s="97" t="s">
        <v>2307</v>
      </c>
      <c r="E402" s="107" t="s">
        <v>1168</v>
      </c>
    </row>
    <row r="403">
      <c r="A403" s="96">
        <v>24.0</v>
      </c>
      <c r="B403" s="97" t="s">
        <v>2308</v>
      </c>
      <c r="C403" s="99"/>
      <c r="D403" s="97" t="s">
        <v>2309</v>
      </c>
      <c r="E403" s="107" t="s">
        <v>1163</v>
      </c>
    </row>
    <row r="404">
      <c r="A404" s="96">
        <v>25.0</v>
      </c>
      <c r="B404" s="97" t="s">
        <v>2310</v>
      </c>
      <c r="C404" s="99"/>
      <c r="D404" s="97" t="s">
        <v>2311</v>
      </c>
      <c r="E404" s="107" t="s">
        <v>1168</v>
      </c>
    </row>
    <row r="405">
      <c r="A405" s="96">
        <v>26.0</v>
      </c>
      <c r="B405" s="97" t="s">
        <v>2312</v>
      </c>
      <c r="C405" s="99"/>
      <c r="D405" s="97" t="s">
        <v>2313</v>
      </c>
      <c r="E405" s="107" t="s">
        <v>1168</v>
      </c>
    </row>
    <row r="406">
      <c r="A406" s="96">
        <v>27.0</v>
      </c>
      <c r="B406" s="97" t="s">
        <v>2314</v>
      </c>
      <c r="C406" s="99"/>
      <c r="D406" s="97" t="s">
        <v>2315</v>
      </c>
      <c r="E406" s="107" t="s">
        <v>1168</v>
      </c>
    </row>
    <row r="407">
      <c r="A407" s="96">
        <v>28.0</v>
      </c>
      <c r="B407" s="97" t="s">
        <v>2316</v>
      </c>
      <c r="C407" s="99"/>
      <c r="D407" s="97" t="s">
        <v>2317</v>
      </c>
      <c r="E407" s="107" t="s">
        <v>1168</v>
      </c>
    </row>
    <row r="408">
      <c r="A408" s="96">
        <v>29.0</v>
      </c>
      <c r="B408" s="97" t="s">
        <v>2318</v>
      </c>
      <c r="C408" s="99"/>
      <c r="D408" s="97" t="s">
        <v>2319</v>
      </c>
      <c r="E408" s="121" t="s">
        <v>1163</v>
      </c>
    </row>
    <row r="409">
      <c r="A409" s="96">
        <v>30.0</v>
      </c>
      <c r="B409" s="97" t="s">
        <v>2320</v>
      </c>
      <c r="C409" s="99"/>
      <c r="D409" s="97" t="s">
        <v>2321</v>
      </c>
      <c r="E409" s="107" t="s">
        <v>1168</v>
      </c>
    </row>
    <row r="410">
      <c r="A410" s="96">
        <v>31.0</v>
      </c>
      <c r="B410" s="97" t="s">
        <v>2322</v>
      </c>
      <c r="C410" s="99"/>
      <c r="D410" s="97" t="s">
        <v>2323</v>
      </c>
      <c r="E410" s="107" t="s">
        <v>1168</v>
      </c>
    </row>
    <row r="411">
      <c r="A411" s="96">
        <v>32.0</v>
      </c>
      <c r="B411" s="111" t="s">
        <v>2324</v>
      </c>
      <c r="C411" s="115"/>
      <c r="D411" s="111" t="s">
        <v>2325</v>
      </c>
      <c r="E411" s="107" t="s">
        <v>1163</v>
      </c>
    </row>
    <row r="412">
      <c r="A412" s="96">
        <v>33.0</v>
      </c>
      <c r="B412" s="97" t="s">
        <v>2326</v>
      </c>
      <c r="C412" s="99"/>
      <c r="D412" s="97" t="s">
        <v>2327</v>
      </c>
      <c r="E412" s="107" t="s">
        <v>1168</v>
      </c>
    </row>
    <row r="413">
      <c r="A413" s="96">
        <v>34.0</v>
      </c>
      <c r="B413" s="97" t="s">
        <v>2328</v>
      </c>
      <c r="C413" s="99"/>
      <c r="D413" s="122" t="s">
        <v>2329</v>
      </c>
      <c r="E413" s="107" t="s">
        <v>1163</v>
      </c>
    </row>
    <row r="414">
      <c r="A414" s="96">
        <v>35.0</v>
      </c>
      <c r="B414" s="97" t="s">
        <v>2330</v>
      </c>
      <c r="C414" s="99"/>
      <c r="D414" s="108" t="s">
        <v>2331</v>
      </c>
      <c r="E414" s="107" t="s">
        <v>1163</v>
      </c>
    </row>
    <row r="415">
      <c r="A415" s="96">
        <v>36.0</v>
      </c>
      <c r="B415" s="97" t="s">
        <v>2332</v>
      </c>
      <c r="C415" s="99"/>
      <c r="D415" s="97" t="s">
        <v>2333</v>
      </c>
      <c r="E415" s="107" t="s">
        <v>1168</v>
      </c>
    </row>
    <row r="416">
      <c r="A416" s="113"/>
      <c r="E416" s="114"/>
    </row>
    <row r="417">
      <c r="A417" s="90" t="s">
        <v>2334</v>
      </c>
      <c r="E417" s="110"/>
    </row>
    <row r="418">
      <c r="A418" s="92" t="s">
        <v>2335</v>
      </c>
      <c r="E418" s="93"/>
    </row>
    <row r="419">
      <c r="A419" s="94" t="s">
        <v>1735</v>
      </c>
      <c r="B419" s="94" t="s">
        <v>1736</v>
      </c>
      <c r="C419" s="94" t="s">
        <v>1737</v>
      </c>
      <c r="D419" s="94" t="s">
        <v>1738</v>
      </c>
      <c r="E419" s="95" t="s">
        <v>19</v>
      </c>
    </row>
    <row r="420" ht="14.25" customHeight="1">
      <c r="A420" s="20"/>
      <c r="B420" s="20"/>
      <c r="C420" s="20"/>
      <c r="D420" s="20"/>
      <c r="E420" s="20"/>
    </row>
    <row r="421">
      <c r="A421" s="96">
        <v>1.0</v>
      </c>
      <c r="B421" s="97" t="s">
        <v>2336</v>
      </c>
      <c r="C421" s="99"/>
      <c r="D421" s="97" t="s">
        <v>2337</v>
      </c>
      <c r="E421" s="100" t="s">
        <v>1163</v>
      </c>
    </row>
    <row r="422">
      <c r="A422" s="96">
        <v>2.0</v>
      </c>
      <c r="B422" s="97" t="s">
        <v>2338</v>
      </c>
      <c r="C422" s="99"/>
      <c r="D422" s="97" t="s">
        <v>2339</v>
      </c>
      <c r="E422" s="100" t="s">
        <v>1163</v>
      </c>
    </row>
    <row r="423">
      <c r="A423" s="96">
        <v>3.0</v>
      </c>
      <c r="B423" s="111" t="s">
        <v>2340</v>
      </c>
      <c r="C423" s="115"/>
      <c r="D423" s="111" t="s">
        <v>2341</v>
      </c>
      <c r="E423" s="112" t="s">
        <v>1163</v>
      </c>
    </row>
    <row r="424">
      <c r="A424" s="96">
        <v>4.0</v>
      </c>
      <c r="B424" s="97" t="s">
        <v>2342</v>
      </c>
      <c r="C424" s="99"/>
      <c r="D424" s="97" t="s">
        <v>2343</v>
      </c>
      <c r="E424" s="100" t="s">
        <v>1163</v>
      </c>
    </row>
    <row r="425">
      <c r="A425" s="96">
        <v>5.0</v>
      </c>
      <c r="B425" s="97" t="s">
        <v>2344</v>
      </c>
      <c r="C425" s="99"/>
      <c r="D425" s="97" t="s">
        <v>2345</v>
      </c>
      <c r="E425" s="100" t="s">
        <v>1168</v>
      </c>
    </row>
    <row r="426">
      <c r="A426" s="96">
        <v>6.0</v>
      </c>
      <c r="B426" s="97" t="s">
        <v>2346</v>
      </c>
      <c r="C426" s="99"/>
      <c r="D426" s="97" t="s">
        <v>2347</v>
      </c>
      <c r="E426" s="100" t="s">
        <v>1168</v>
      </c>
    </row>
    <row r="427">
      <c r="A427" s="96">
        <v>7.0</v>
      </c>
      <c r="B427" s="97" t="s">
        <v>2348</v>
      </c>
      <c r="C427" s="99"/>
      <c r="D427" s="97" t="s">
        <v>2349</v>
      </c>
      <c r="E427" s="100" t="s">
        <v>1163</v>
      </c>
    </row>
    <row r="428">
      <c r="A428" s="96">
        <v>8.0</v>
      </c>
      <c r="B428" s="97" t="s">
        <v>2350</v>
      </c>
      <c r="C428" s="99"/>
      <c r="D428" s="97" t="s">
        <v>2351</v>
      </c>
      <c r="E428" s="100" t="s">
        <v>1168</v>
      </c>
    </row>
    <row r="429">
      <c r="A429" s="96">
        <v>9.0</v>
      </c>
      <c r="B429" s="97" t="s">
        <v>2352</v>
      </c>
      <c r="C429" s="99"/>
      <c r="D429" s="97" t="s">
        <v>2353</v>
      </c>
      <c r="E429" s="100" t="s">
        <v>1168</v>
      </c>
    </row>
    <row r="430">
      <c r="A430" s="96">
        <v>10.0</v>
      </c>
      <c r="B430" s="97" t="s">
        <v>2354</v>
      </c>
      <c r="C430" s="117"/>
      <c r="D430" s="97" t="s">
        <v>2355</v>
      </c>
      <c r="E430" s="100" t="s">
        <v>1163</v>
      </c>
    </row>
    <row r="431">
      <c r="A431" s="96">
        <v>11.0</v>
      </c>
      <c r="B431" s="97" t="s">
        <v>2356</v>
      </c>
      <c r="C431" s="99"/>
      <c r="D431" s="97" t="s">
        <v>2357</v>
      </c>
      <c r="E431" s="100" t="s">
        <v>1168</v>
      </c>
    </row>
    <row r="432">
      <c r="A432" s="96">
        <v>12.0</v>
      </c>
      <c r="B432" s="97" t="s">
        <v>2358</v>
      </c>
      <c r="C432" s="99"/>
      <c r="D432" s="97" t="s">
        <v>2359</v>
      </c>
      <c r="E432" s="100" t="s">
        <v>1168</v>
      </c>
    </row>
    <row r="433">
      <c r="A433" s="96">
        <v>13.0</v>
      </c>
      <c r="B433" s="97" t="s">
        <v>2360</v>
      </c>
      <c r="C433" s="99"/>
      <c r="D433" s="97" t="s">
        <v>2361</v>
      </c>
      <c r="E433" s="100" t="s">
        <v>1168</v>
      </c>
    </row>
    <row r="434">
      <c r="A434" s="96">
        <v>14.0</v>
      </c>
      <c r="B434" s="97" t="s">
        <v>2362</v>
      </c>
      <c r="C434" s="99"/>
      <c r="D434" s="97" t="s">
        <v>2363</v>
      </c>
      <c r="E434" s="100" t="s">
        <v>1168</v>
      </c>
    </row>
    <row r="435">
      <c r="A435" s="96">
        <v>15.0</v>
      </c>
      <c r="B435" s="111" t="s">
        <v>2364</v>
      </c>
      <c r="C435" s="115"/>
      <c r="D435" s="111" t="s">
        <v>2365</v>
      </c>
      <c r="E435" s="112" t="s">
        <v>1168</v>
      </c>
    </row>
    <row r="436">
      <c r="A436" s="96">
        <v>16.0</v>
      </c>
      <c r="B436" s="111" t="s">
        <v>2366</v>
      </c>
      <c r="C436" s="115"/>
      <c r="D436" s="111" t="s">
        <v>2367</v>
      </c>
      <c r="E436" s="112" t="s">
        <v>1168</v>
      </c>
    </row>
    <row r="437">
      <c r="A437" s="96">
        <v>17.0</v>
      </c>
      <c r="B437" s="97" t="s">
        <v>2368</v>
      </c>
      <c r="C437" s="99"/>
      <c r="D437" s="97" t="s">
        <v>2369</v>
      </c>
      <c r="E437" s="100" t="s">
        <v>1163</v>
      </c>
    </row>
    <row r="438">
      <c r="A438" s="96">
        <v>18.0</v>
      </c>
      <c r="B438" s="97" t="s">
        <v>2370</v>
      </c>
      <c r="C438" s="99"/>
      <c r="D438" s="97" t="s">
        <v>2371</v>
      </c>
      <c r="E438" s="100" t="s">
        <v>1163</v>
      </c>
    </row>
    <row r="439">
      <c r="A439" s="96">
        <v>19.0</v>
      </c>
      <c r="B439" s="97" t="s">
        <v>2372</v>
      </c>
      <c r="C439" s="99"/>
      <c r="D439" s="97" t="s">
        <v>2373</v>
      </c>
      <c r="E439" s="100" t="s">
        <v>1168</v>
      </c>
    </row>
    <row r="440">
      <c r="A440" s="96">
        <v>20.0</v>
      </c>
      <c r="B440" s="97" t="s">
        <v>2374</v>
      </c>
      <c r="C440" s="99"/>
      <c r="D440" s="97" t="s">
        <v>2375</v>
      </c>
      <c r="E440" s="100" t="s">
        <v>1168</v>
      </c>
    </row>
    <row r="441">
      <c r="A441" s="96">
        <v>21.0</v>
      </c>
      <c r="B441" s="97" t="s">
        <v>2376</v>
      </c>
      <c r="C441" s="99"/>
      <c r="D441" s="97" t="s">
        <v>2377</v>
      </c>
      <c r="E441" s="100" t="s">
        <v>1168</v>
      </c>
    </row>
    <row r="442">
      <c r="A442" s="96">
        <v>22.0</v>
      </c>
      <c r="B442" s="97" t="s">
        <v>2378</v>
      </c>
      <c r="C442" s="99"/>
      <c r="D442" s="97" t="s">
        <v>2379</v>
      </c>
      <c r="E442" s="100" t="s">
        <v>1163</v>
      </c>
    </row>
    <row r="443">
      <c r="A443" s="96">
        <v>23.0</v>
      </c>
      <c r="B443" s="97" t="s">
        <v>2380</v>
      </c>
      <c r="C443" s="99"/>
      <c r="D443" s="97" t="s">
        <v>2381</v>
      </c>
      <c r="E443" s="100" t="s">
        <v>1163</v>
      </c>
    </row>
    <row r="444">
      <c r="A444" s="96">
        <v>24.0</v>
      </c>
      <c r="B444" s="97" t="s">
        <v>2382</v>
      </c>
      <c r="C444" s="99"/>
      <c r="D444" s="122" t="s">
        <v>2383</v>
      </c>
      <c r="E444" s="100" t="s">
        <v>1168</v>
      </c>
    </row>
    <row r="445">
      <c r="A445" s="96">
        <v>25.0</v>
      </c>
      <c r="B445" s="97" t="s">
        <v>2384</v>
      </c>
      <c r="C445" s="99"/>
      <c r="D445" s="97" t="s">
        <v>2385</v>
      </c>
      <c r="E445" s="100" t="s">
        <v>1168</v>
      </c>
    </row>
    <row r="446">
      <c r="A446" s="96">
        <v>26.0</v>
      </c>
      <c r="B446" s="97" t="s">
        <v>2386</v>
      </c>
      <c r="C446" s="99"/>
      <c r="D446" s="97" t="s">
        <v>2387</v>
      </c>
      <c r="E446" s="100" t="s">
        <v>1163</v>
      </c>
    </row>
    <row r="447">
      <c r="A447" s="96">
        <v>27.0</v>
      </c>
      <c r="B447" s="97" t="s">
        <v>2388</v>
      </c>
      <c r="C447" s="99"/>
      <c r="D447" s="97" t="s">
        <v>2389</v>
      </c>
      <c r="E447" s="100" t="s">
        <v>1168</v>
      </c>
    </row>
    <row r="448">
      <c r="A448" s="96">
        <v>28.0</v>
      </c>
      <c r="B448" s="97" t="s">
        <v>2390</v>
      </c>
      <c r="C448" s="99"/>
      <c r="D448" s="97" t="s">
        <v>2391</v>
      </c>
      <c r="E448" s="100" t="s">
        <v>1168</v>
      </c>
    </row>
    <row r="449">
      <c r="A449" s="96">
        <v>29.0</v>
      </c>
      <c r="B449" s="97" t="s">
        <v>2392</v>
      </c>
      <c r="C449" s="99"/>
      <c r="D449" s="97" t="s">
        <v>2393</v>
      </c>
      <c r="E449" s="100" t="s">
        <v>1168</v>
      </c>
    </row>
    <row r="450">
      <c r="A450" s="96">
        <v>30.0</v>
      </c>
      <c r="B450" s="97" t="s">
        <v>2394</v>
      </c>
      <c r="C450" s="99"/>
      <c r="D450" s="97" t="s">
        <v>2395</v>
      </c>
      <c r="E450" s="100" t="s">
        <v>1168</v>
      </c>
    </row>
    <row r="451">
      <c r="A451" s="96">
        <v>31.0</v>
      </c>
      <c r="B451" s="97" t="s">
        <v>2396</v>
      </c>
      <c r="C451" s="99"/>
      <c r="D451" s="97" t="s">
        <v>2397</v>
      </c>
      <c r="E451" s="100" t="s">
        <v>1168</v>
      </c>
    </row>
    <row r="452">
      <c r="A452" s="96">
        <v>32.0</v>
      </c>
      <c r="B452" s="97" t="s">
        <v>2398</v>
      </c>
      <c r="C452" s="99"/>
      <c r="D452" s="97" t="s">
        <v>2399</v>
      </c>
      <c r="E452" s="100" t="s">
        <v>1168</v>
      </c>
    </row>
    <row r="453">
      <c r="A453" s="96">
        <v>33.0</v>
      </c>
      <c r="B453" s="97" t="s">
        <v>2400</v>
      </c>
      <c r="C453" s="99"/>
      <c r="D453" s="97" t="s">
        <v>2401</v>
      </c>
      <c r="E453" s="100" t="s">
        <v>1168</v>
      </c>
    </row>
    <row r="454">
      <c r="A454" s="96">
        <v>34.0</v>
      </c>
      <c r="B454" s="97" t="s">
        <v>2402</v>
      </c>
      <c r="C454" s="99"/>
      <c r="D454" s="97" t="s">
        <v>2403</v>
      </c>
      <c r="E454" s="100" t="s">
        <v>1163</v>
      </c>
    </row>
    <row r="455">
      <c r="A455" s="96">
        <v>35.0</v>
      </c>
      <c r="B455" s="97" t="s">
        <v>2404</v>
      </c>
      <c r="C455" s="99"/>
      <c r="D455" s="97" t="s">
        <v>2405</v>
      </c>
      <c r="E455" s="100" t="s">
        <v>1168</v>
      </c>
    </row>
    <row r="456">
      <c r="A456" s="96">
        <v>36.0</v>
      </c>
      <c r="B456" s="97" t="s">
        <v>2406</v>
      </c>
      <c r="C456" s="99"/>
      <c r="D456" s="97" t="s">
        <v>2407</v>
      </c>
      <c r="E456" s="100" t="s">
        <v>1168</v>
      </c>
    </row>
    <row r="457">
      <c r="A457" s="113"/>
      <c r="E457" s="114"/>
    </row>
    <row r="458">
      <c r="A458" s="90" t="s">
        <v>2408</v>
      </c>
      <c r="E458" s="110"/>
    </row>
    <row r="459">
      <c r="A459" s="92" t="s">
        <v>2409</v>
      </c>
      <c r="E459" s="93"/>
    </row>
    <row r="460">
      <c r="A460" s="94" t="s">
        <v>1735</v>
      </c>
      <c r="B460" s="94" t="s">
        <v>1736</v>
      </c>
      <c r="C460" s="94" t="s">
        <v>1737</v>
      </c>
      <c r="D460" s="94" t="s">
        <v>1738</v>
      </c>
      <c r="E460" s="95" t="s">
        <v>19</v>
      </c>
    </row>
    <row r="461" ht="16.5" customHeight="1">
      <c r="A461" s="20"/>
      <c r="B461" s="20"/>
      <c r="C461" s="20"/>
      <c r="D461" s="20"/>
      <c r="E461" s="20"/>
    </row>
    <row r="462">
      <c r="A462" s="96">
        <v>1.0</v>
      </c>
      <c r="B462" s="97" t="s">
        <v>2410</v>
      </c>
      <c r="C462" s="99"/>
      <c r="D462" s="123" t="s">
        <v>2411</v>
      </c>
      <c r="E462" s="100" t="s">
        <v>1168</v>
      </c>
    </row>
    <row r="463">
      <c r="A463" s="96">
        <v>2.0</v>
      </c>
      <c r="B463" s="97" t="s">
        <v>2412</v>
      </c>
      <c r="C463" s="99"/>
      <c r="D463" s="123" t="s">
        <v>2413</v>
      </c>
      <c r="E463" s="100" t="s">
        <v>1168</v>
      </c>
    </row>
    <row r="464">
      <c r="A464" s="96">
        <v>3.0</v>
      </c>
      <c r="B464" s="97" t="s">
        <v>2414</v>
      </c>
      <c r="C464" s="99"/>
      <c r="D464" s="123" t="s">
        <v>2415</v>
      </c>
      <c r="E464" s="100" t="s">
        <v>1168</v>
      </c>
    </row>
    <row r="465">
      <c r="A465" s="96">
        <v>4.0</v>
      </c>
      <c r="B465" s="97" t="s">
        <v>2416</v>
      </c>
      <c r="C465" s="99"/>
      <c r="D465" s="123" t="s">
        <v>2417</v>
      </c>
      <c r="E465" s="100" t="s">
        <v>1168</v>
      </c>
    </row>
    <row r="466">
      <c r="A466" s="96">
        <v>5.0</v>
      </c>
      <c r="B466" s="97" t="s">
        <v>2418</v>
      </c>
      <c r="C466" s="99"/>
      <c r="D466" s="123" t="s">
        <v>2419</v>
      </c>
      <c r="E466" s="100" t="s">
        <v>1168</v>
      </c>
    </row>
    <row r="467">
      <c r="A467" s="96">
        <v>6.0</v>
      </c>
      <c r="B467" s="97" t="s">
        <v>2420</v>
      </c>
      <c r="C467" s="99"/>
      <c r="D467" s="123" t="s">
        <v>2421</v>
      </c>
      <c r="E467" s="100" t="s">
        <v>1163</v>
      </c>
    </row>
    <row r="468">
      <c r="A468" s="96">
        <v>7.0</v>
      </c>
      <c r="B468" s="97" t="s">
        <v>2422</v>
      </c>
      <c r="C468" s="99"/>
      <c r="D468" s="123" t="s">
        <v>2423</v>
      </c>
      <c r="E468" s="100" t="s">
        <v>1163</v>
      </c>
    </row>
    <row r="469">
      <c r="A469" s="96">
        <v>8.0</v>
      </c>
      <c r="B469" s="97" t="s">
        <v>2424</v>
      </c>
      <c r="C469" s="99"/>
      <c r="D469" s="123" t="s">
        <v>2425</v>
      </c>
      <c r="E469" s="100" t="s">
        <v>1163</v>
      </c>
    </row>
    <row r="470">
      <c r="A470" s="96">
        <v>9.0</v>
      </c>
      <c r="B470" s="97" t="s">
        <v>2426</v>
      </c>
      <c r="C470" s="99"/>
      <c r="D470" s="123" t="s">
        <v>2427</v>
      </c>
      <c r="E470" s="100" t="s">
        <v>1163</v>
      </c>
    </row>
    <row r="471">
      <c r="A471" s="96">
        <v>10.0</v>
      </c>
      <c r="B471" s="97" t="s">
        <v>2428</v>
      </c>
      <c r="C471" s="99"/>
      <c r="D471" s="123" t="s">
        <v>2429</v>
      </c>
      <c r="E471" s="100" t="s">
        <v>1163</v>
      </c>
    </row>
    <row r="472">
      <c r="A472" s="96">
        <v>11.0</v>
      </c>
      <c r="B472" s="97" t="s">
        <v>2430</v>
      </c>
      <c r="C472" s="99"/>
      <c r="D472" s="123" t="s">
        <v>2431</v>
      </c>
      <c r="E472" s="100" t="s">
        <v>1168</v>
      </c>
    </row>
    <row r="473">
      <c r="A473" s="96">
        <v>12.0</v>
      </c>
      <c r="B473" s="97" t="s">
        <v>2432</v>
      </c>
      <c r="C473" s="99"/>
      <c r="D473" s="123" t="s">
        <v>2433</v>
      </c>
      <c r="E473" s="100" t="s">
        <v>1168</v>
      </c>
    </row>
    <row r="474">
      <c r="A474" s="96">
        <v>13.0</v>
      </c>
      <c r="B474" s="97" t="s">
        <v>2434</v>
      </c>
      <c r="C474" s="99"/>
      <c r="D474" s="123" t="s">
        <v>2435</v>
      </c>
      <c r="E474" s="100" t="s">
        <v>1168</v>
      </c>
    </row>
    <row r="475">
      <c r="A475" s="96">
        <v>14.0</v>
      </c>
      <c r="B475" s="97" t="s">
        <v>2436</v>
      </c>
      <c r="C475" s="99"/>
      <c r="D475" s="123" t="s">
        <v>2437</v>
      </c>
      <c r="E475" s="100" t="s">
        <v>1168</v>
      </c>
    </row>
    <row r="476">
      <c r="A476" s="96">
        <v>15.0</v>
      </c>
      <c r="B476" s="97" t="s">
        <v>2438</v>
      </c>
      <c r="C476" s="99"/>
      <c r="D476" s="123" t="s">
        <v>2439</v>
      </c>
      <c r="E476" s="100" t="s">
        <v>1163</v>
      </c>
    </row>
    <row r="477">
      <c r="A477" s="96">
        <v>16.0</v>
      </c>
      <c r="B477" s="97" t="s">
        <v>2440</v>
      </c>
      <c r="C477" s="99"/>
      <c r="D477" s="123" t="s">
        <v>2441</v>
      </c>
      <c r="E477" s="100" t="s">
        <v>1168</v>
      </c>
    </row>
    <row r="478">
      <c r="A478" s="96">
        <v>17.0</v>
      </c>
      <c r="B478" s="97" t="s">
        <v>2442</v>
      </c>
      <c r="C478" s="99"/>
      <c r="D478" s="123" t="s">
        <v>2443</v>
      </c>
      <c r="E478" s="100" t="s">
        <v>1163</v>
      </c>
    </row>
    <row r="479">
      <c r="A479" s="96">
        <v>18.0</v>
      </c>
      <c r="B479" s="97" t="s">
        <v>2444</v>
      </c>
      <c r="C479" s="99"/>
      <c r="D479" s="123" t="s">
        <v>2445</v>
      </c>
      <c r="E479" s="100" t="s">
        <v>1168</v>
      </c>
    </row>
    <row r="480">
      <c r="A480" s="96">
        <v>19.0</v>
      </c>
      <c r="B480" s="97" t="s">
        <v>2446</v>
      </c>
      <c r="C480" s="99"/>
      <c r="D480" s="123" t="s">
        <v>2447</v>
      </c>
      <c r="E480" s="100" t="s">
        <v>1168</v>
      </c>
    </row>
    <row r="481">
      <c r="A481" s="96">
        <v>20.0</v>
      </c>
      <c r="B481" s="97" t="s">
        <v>2448</v>
      </c>
      <c r="C481" s="99"/>
      <c r="D481" s="123" t="s">
        <v>2449</v>
      </c>
      <c r="E481" s="100" t="s">
        <v>1163</v>
      </c>
    </row>
    <row r="482">
      <c r="A482" s="96">
        <v>21.0</v>
      </c>
      <c r="B482" s="97" t="s">
        <v>2450</v>
      </c>
      <c r="C482" s="99"/>
      <c r="D482" s="123" t="s">
        <v>2451</v>
      </c>
      <c r="E482" s="100" t="s">
        <v>1168</v>
      </c>
    </row>
    <row r="483">
      <c r="A483" s="96">
        <v>22.0</v>
      </c>
      <c r="B483" s="97" t="s">
        <v>2452</v>
      </c>
      <c r="C483" s="99"/>
      <c r="D483" s="123" t="s">
        <v>2453</v>
      </c>
      <c r="E483" s="100" t="s">
        <v>1168</v>
      </c>
    </row>
    <row r="484">
      <c r="A484" s="96">
        <v>23.0</v>
      </c>
      <c r="B484" s="97" t="s">
        <v>2454</v>
      </c>
      <c r="C484" s="99"/>
      <c r="D484" s="123" t="s">
        <v>2455</v>
      </c>
      <c r="E484" s="100" t="s">
        <v>1168</v>
      </c>
    </row>
    <row r="485">
      <c r="A485" s="96">
        <v>24.0</v>
      </c>
      <c r="B485" s="97" t="s">
        <v>2456</v>
      </c>
      <c r="C485" s="99"/>
      <c r="D485" s="123" t="s">
        <v>2457</v>
      </c>
      <c r="E485" s="100" t="s">
        <v>1168</v>
      </c>
    </row>
    <row r="486">
      <c r="A486" s="96">
        <v>25.0</v>
      </c>
      <c r="B486" s="97" t="s">
        <v>2458</v>
      </c>
      <c r="C486" s="99"/>
      <c r="D486" s="123" t="s">
        <v>2459</v>
      </c>
      <c r="E486" s="100" t="s">
        <v>1168</v>
      </c>
    </row>
    <row r="487">
      <c r="A487" s="96">
        <v>26.0</v>
      </c>
      <c r="B487" s="97" t="s">
        <v>2460</v>
      </c>
      <c r="C487" s="99"/>
      <c r="D487" s="123" t="s">
        <v>2461</v>
      </c>
      <c r="E487" s="100" t="s">
        <v>1168</v>
      </c>
    </row>
    <row r="488">
      <c r="A488" s="96">
        <v>27.0</v>
      </c>
      <c r="B488" s="124" t="s">
        <v>2462</v>
      </c>
      <c r="C488" s="115"/>
      <c r="D488" s="123" t="s">
        <v>2463</v>
      </c>
      <c r="E488" s="112" t="s">
        <v>1168</v>
      </c>
    </row>
    <row r="489">
      <c r="A489" s="96">
        <v>28.0</v>
      </c>
      <c r="B489" s="97" t="s">
        <v>2464</v>
      </c>
      <c r="C489" s="99"/>
      <c r="D489" s="123" t="s">
        <v>2465</v>
      </c>
      <c r="E489" s="100" t="s">
        <v>1168</v>
      </c>
    </row>
    <row r="490">
      <c r="A490" s="96">
        <v>29.0</v>
      </c>
      <c r="B490" s="97" t="s">
        <v>2466</v>
      </c>
      <c r="C490" s="99"/>
      <c r="D490" s="123" t="s">
        <v>2467</v>
      </c>
      <c r="E490" s="100" t="s">
        <v>1163</v>
      </c>
    </row>
    <row r="491">
      <c r="A491" s="96">
        <v>31.0</v>
      </c>
      <c r="B491" s="97" t="s">
        <v>2468</v>
      </c>
      <c r="C491" s="99"/>
      <c r="D491" s="123" t="s">
        <v>2469</v>
      </c>
      <c r="E491" s="100" t="s">
        <v>1163</v>
      </c>
    </row>
    <row r="492">
      <c r="A492" s="96">
        <v>32.0</v>
      </c>
      <c r="B492" s="97" t="s">
        <v>2470</v>
      </c>
      <c r="C492" s="99"/>
      <c r="D492" s="123" t="s">
        <v>2471</v>
      </c>
      <c r="E492" s="100" t="s">
        <v>1168</v>
      </c>
    </row>
    <row r="493">
      <c r="A493" s="96">
        <v>33.0</v>
      </c>
      <c r="B493" s="97" t="s">
        <v>2472</v>
      </c>
      <c r="C493" s="99"/>
      <c r="D493" s="123" t="s">
        <v>2473</v>
      </c>
      <c r="E493" s="100" t="s">
        <v>1168</v>
      </c>
    </row>
    <row r="494">
      <c r="A494" s="96">
        <v>34.0</v>
      </c>
      <c r="B494" s="97" t="s">
        <v>2474</v>
      </c>
      <c r="C494" s="99"/>
      <c r="D494" s="123" t="s">
        <v>2475</v>
      </c>
      <c r="E494" s="100" t="s">
        <v>1168</v>
      </c>
    </row>
    <row r="495">
      <c r="A495" s="96">
        <v>35.0</v>
      </c>
      <c r="B495" s="97" t="s">
        <v>2476</v>
      </c>
      <c r="C495" s="99"/>
      <c r="D495" s="123" t="s">
        <v>2477</v>
      </c>
      <c r="E495" s="100" t="s">
        <v>1168</v>
      </c>
    </row>
    <row r="496">
      <c r="A496" s="96">
        <v>36.0</v>
      </c>
      <c r="B496" s="97" t="s">
        <v>2478</v>
      </c>
      <c r="C496" s="99"/>
      <c r="D496" s="123" t="s">
        <v>2479</v>
      </c>
      <c r="E496" s="100" t="s">
        <v>1168</v>
      </c>
    </row>
    <row r="497">
      <c r="A497" s="96">
        <v>37.0</v>
      </c>
      <c r="B497" s="97" t="s">
        <v>2480</v>
      </c>
      <c r="C497" s="99"/>
      <c r="D497" s="123" t="s">
        <v>2481</v>
      </c>
      <c r="E497" s="100" t="s">
        <v>1168</v>
      </c>
    </row>
    <row r="498">
      <c r="E498" s="88"/>
    </row>
    <row r="499">
      <c r="E499" s="88"/>
    </row>
    <row r="500">
      <c r="E500" s="88"/>
    </row>
    <row r="501">
      <c r="E501" s="88"/>
    </row>
    <row r="502">
      <c r="E502" s="88"/>
    </row>
    <row r="503">
      <c r="E503" s="88"/>
    </row>
    <row r="504">
      <c r="E504" s="88"/>
    </row>
    <row r="505">
      <c r="E505" s="88"/>
    </row>
    <row r="506">
      <c r="E506" s="88"/>
    </row>
    <row r="507">
      <c r="E507" s="88"/>
    </row>
    <row r="508">
      <c r="E508" s="88"/>
    </row>
    <row r="509">
      <c r="E509" s="88"/>
    </row>
    <row r="510">
      <c r="E510" s="88"/>
    </row>
    <row r="511">
      <c r="E511" s="88"/>
    </row>
    <row r="512">
      <c r="E512" s="88"/>
    </row>
    <row r="513">
      <c r="E513" s="88"/>
    </row>
    <row r="514">
      <c r="E514" s="88"/>
    </row>
    <row r="515">
      <c r="E515" s="88"/>
    </row>
    <row r="516">
      <c r="E516" s="88"/>
    </row>
    <row r="517">
      <c r="E517" s="88"/>
    </row>
    <row r="518">
      <c r="E518" s="88"/>
    </row>
    <row r="519">
      <c r="E519" s="88"/>
    </row>
    <row r="520">
      <c r="E520" s="88"/>
    </row>
    <row r="521">
      <c r="E521" s="88"/>
    </row>
    <row r="522">
      <c r="E522" s="88"/>
    </row>
    <row r="523">
      <c r="E523" s="88"/>
    </row>
    <row r="524">
      <c r="E524" s="88"/>
    </row>
    <row r="525">
      <c r="E525" s="88"/>
    </row>
    <row r="526">
      <c r="E526" s="88"/>
    </row>
    <row r="527">
      <c r="E527" s="88"/>
    </row>
    <row r="528">
      <c r="E528" s="88"/>
    </row>
    <row r="529">
      <c r="E529" s="88"/>
    </row>
    <row r="530">
      <c r="E530" s="88"/>
    </row>
    <row r="531">
      <c r="E531" s="88"/>
    </row>
    <row r="532">
      <c r="E532" s="88"/>
    </row>
    <row r="533">
      <c r="E533" s="88"/>
    </row>
    <row r="534">
      <c r="E534" s="88"/>
    </row>
    <row r="535">
      <c r="E535" s="88"/>
    </row>
    <row r="536">
      <c r="E536" s="88"/>
    </row>
    <row r="537">
      <c r="E537" s="88"/>
    </row>
    <row r="538">
      <c r="E538" s="88"/>
    </row>
    <row r="539">
      <c r="E539" s="88"/>
    </row>
    <row r="540">
      <c r="E540" s="88"/>
    </row>
    <row r="541">
      <c r="E541" s="88"/>
    </row>
    <row r="542">
      <c r="E542" s="88"/>
    </row>
    <row r="543">
      <c r="E543" s="88"/>
    </row>
    <row r="544">
      <c r="E544" s="88"/>
    </row>
    <row r="545">
      <c r="E545" s="88"/>
    </row>
    <row r="546">
      <c r="E546" s="88"/>
    </row>
    <row r="547">
      <c r="E547" s="88"/>
    </row>
    <row r="548">
      <c r="E548" s="88"/>
    </row>
    <row r="549">
      <c r="E549" s="88"/>
    </row>
    <row r="550">
      <c r="E550" s="88"/>
    </row>
    <row r="551">
      <c r="E551" s="88"/>
    </row>
    <row r="552">
      <c r="E552" s="88"/>
    </row>
    <row r="553">
      <c r="E553" s="88"/>
    </row>
    <row r="554">
      <c r="E554" s="88"/>
    </row>
    <row r="555">
      <c r="E555" s="88"/>
    </row>
    <row r="556">
      <c r="E556" s="88"/>
    </row>
    <row r="557">
      <c r="E557" s="88"/>
    </row>
    <row r="558">
      <c r="E558" s="88"/>
    </row>
    <row r="559">
      <c r="E559" s="88"/>
    </row>
    <row r="560">
      <c r="E560" s="88"/>
    </row>
    <row r="561">
      <c r="E561" s="88"/>
    </row>
    <row r="562">
      <c r="E562" s="88"/>
    </row>
    <row r="563">
      <c r="E563" s="88"/>
    </row>
    <row r="564">
      <c r="E564" s="88"/>
    </row>
    <row r="565">
      <c r="E565" s="88"/>
    </row>
    <row r="566">
      <c r="E566" s="88"/>
    </row>
    <row r="567">
      <c r="E567" s="88"/>
    </row>
    <row r="568">
      <c r="E568" s="88"/>
    </row>
    <row r="569">
      <c r="E569" s="88"/>
    </row>
    <row r="570">
      <c r="E570" s="88"/>
    </row>
    <row r="571">
      <c r="E571" s="88"/>
    </row>
    <row r="572">
      <c r="E572" s="88"/>
    </row>
    <row r="573">
      <c r="E573" s="88"/>
    </row>
    <row r="574">
      <c r="E574" s="88"/>
    </row>
    <row r="575">
      <c r="E575" s="88"/>
    </row>
    <row r="576">
      <c r="E576" s="88"/>
    </row>
    <row r="577">
      <c r="E577" s="88"/>
    </row>
    <row r="578">
      <c r="E578" s="88"/>
    </row>
    <row r="579">
      <c r="E579" s="88"/>
    </row>
    <row r="580">
      <c r="E580" s="88"/>
    </row>
    <row r="581">
      <c r="E581" s="88"/>
    </row>
    <row r="582">
      <c r="E582" s="88"/>
    </row>
    <row r="583">
      <c r="E583" s="88"/>
    </row>
    <row r="584">
      <c r="E584" s="88"/>
    </row>
    <row r="585">
      <c r="E585" s="88"/>
    </row>
    <row r="586">
      <c r="E586" s="88"/>
    </row>
    <row r="587">
      <c r="E587" s="88"/>
    </row>
    <row r="588">
      <c r="E588" s="88"/>
    </row>
    <row r="589">
      <c r="E589" s="88"/>
    </row>
    <row r="590">
      <c r="E590" s="88"/>
    </row>
    <row r="591">
      <c r="E591" s="88"/>
    </row>
    <row r="592">
      <c r="E592" s="88"/>
    </row>
    <row r="593">
      <c r="E593" s="88"/>
    </row>
    <row r="594">
      <c r="E594" s="88"/>
    </row>
    <row r="595">
      <c r="E595" s="88"/>
    </row>
    <row r="596">
      <c r="E596" s="88"/>
    </row>
    <row r="597">
      <c r="E597" s="88"/>
    </row>
    <row r="598">
      <c r="E598" s="88"/>
    </row>
    <row r="599">
      <c r="E599" s="88"/>
    </row>
    <row r="600">
      <c r="E600" s="88"/>
    </row>
    <row r="601">
      <c r="E601" s="88"/>
    </row>
    <row r="602">
      <c r="E602" s="88"/>
    </row>
    <row r="603">
      <c r="E603" s="88"/>
    </row>
    <row r="604">
      <c r="E604" s="88"/>
    </row>
    <row r="605">
      <c r="E605" s="88"/>
    </row>
    <row r="606">
      <c r="E606" s="88"/>
    </row>
    <row r="607">
      <c r="E607" s="88"/>
    </row>
    <row r="608">
      <c r="E608" s="88"/>
    </row>
    <row r="609">
      <c r="E609" s="88"/>
    </row>
    <row r="610">
      <c r="E610" s="88"/>
    </row>
    <row r="611">
      <c r="E611" s="88"/>
    </row>
    <row r="612">
      <c r="E612" s="88"/>
    </row>
    <row r="613">
      <c r="E613" s="88"/>
    </row>
    <row r="614">
      <c r="E614" s="88"/>
    </row>
    <row r="615">
      <c r="E615" s="88"/>
    </row>
    <row r="616">
      <c r="E616" s="88"/>
    </row>
    <row r="617">
      <c r="E617" s="88"/>
    </row>
    <row r="618">
      <c r="E618" s="88"/>
    </row>
    <row r="619">
      <c r="E619" s="88"/>
    </row>
    <row r="620">
      <c r="E620" s="88"/>
    </row>
    <row r="621">
      <c r="E621" s="88"/>
    </row>
    <row r="622">
      <c r="E622" s="88"/>
    </row>
    <row r="623">
      <c r="E623" s="88"/>
    </row>
    <row r="624">
      <c r="E624" s="88"/>
    </row>
    <row r="625">
      <c r="E625" s="88"/>
    </row>
    <row r="626">
      <c r="E626" s="88"/>
    </row>
    <row r="627">
      <c r="E627" s="88"/>
    </row>
    <row r="628">
      <c r="E628" s="88"/>
    </row>
    <row r="629">
      <c r="E629" s="88"/>
    </row>
    <row r="630">
      <c r="E630" s="88"/>
    </row>
    <row r="631">
      <c r="E631" s="88"/>
    </row>
    <row r="632">
      <c r="E632" s="88"/>
    </row>
    <row r="633">
      <c r="E633" s="88"/>
    </row>
    <row r="634">
      <c r="E634" s="88"/>
    </row>
    <row r="635">
      <c r="E635" s="88"/>
    </row>
    <row r="636">
      <c r="E636" s="88"/>
    </row>
    <row r="637">
      <c r="E637" s="88"/>
    </row>
    <row r="638">
      <c r="E638" s="88"/>
    </row>
    <row r="639">
      <c r="E639" s="88"/>
    </row>
    <row r="640">
      <c r="E640" s="88"/>
    </row>
    <row r="641">
      <c r="E641" s="88"/>
    </row>
    <row r="642">
      <c r="E642" s="88"/>
    </row>
    <row r="643">
      <c r="E643" s="88"/>
    </row>
    <row r="644">
      <c r="E644" s="88"/>
    </row>
    <row r="645">
      <c r="E645" s="88"/>
    </row>
    <row r="646">
      <c r="E646" s="88"/>
    </row>
    <row r="647">
      <c r="E647" s="88"/>
    </row>
    <row r="648">
      <c r="E648" s="88"/>
    </row>
    <row r="649">
      <c r="E649" s="88"/>
    </row>
    <row r="650">
      <c r="E650" s="88"/>
    </row>
    <row r="651">
      <c r="E651" s="88"/>
    </row>
    <row r="652">
      <c r="E652" s="88"/>
    </row>
    <row r="653">
      <c r="E653" s="88"/>
    </row>
    <row r="654">
      <c r="E654" s="88"/>
    </row>
    <row r="655">
      <c r="E655" s="88"/>
    </row>
    <row r="656">
      <c r="E656" s="88"/>
    </row>
    <row r="657">
      <c r="E657" s="88"/>
    </row>
    <row r="658">
      <c r="E658" s="88"/>
    </row>
    <row r="659">
      <c r="E659" s="88"/>
    </row>
    <row r="660">
      <c r="E660" s="88"/>
    </row>
    <row r="661">
      <c r="E661" s="88"/>
    </row>
    <row r="662">
      <c r="E662" s="88"/>
    </row>
    <row r="663">
      <c r="E663" s="88"/>
    </row>
    <row r="664">
      <c r="E664" s="88"/>
    </row>
    <row r="665">
      <c r="E665" s="88"/>
    </row>
    <row r="666">
      <c r="E666" s="88"/>
    </row>
    <row r="667">
      <c r="E667" s="88"/>
    </row>
    <row r="668">
      <c r="E668" s="88"/>
    </row>
    <row r="669">
      <c r="E669" s="88"/>
    </row>
    <row r="670">
      <c r="E670" s="88"/>
    </row>
    <row r="671">
      <c r="E671" s="88"/>
    </row>
    <row r="672">
      <c r="E672" s="88"/>
    </row>
    <row r="673">
      <c r="E673" s="88"/>
    </row>
    <row r="674">
      <c r="E674" s="88"/>
    </row>
    <row r="675">
      <c r="E675" s="88"/>
    </row>
    <row r="676">
      <c r="E676" s="88"/>
    </row>
    <row r="677">
      <c r="E677" s="88"/>
    </row>
    <row r="678">
      <c r="E678" s="88"/>
    </row>
    <row r="679">
      <c r="E679" s="88"/>
    </row>
    <row r="680">
      <c r="E680" s="88"/>
    </row>
    <row r="681">
      <c r="E681" s="88"/>
    </row>
    <row r="682">
      <c r="E682" s="88"/>
    </row>
    <row r="683">
      <c r="E683" s="88"/>
    </row>
    <row r="684">
      <c r="E684" s="88"/>
    </row>
    <row r="685">
      <c r="E685" s="88"/>
    </row>
    <row r="686">
      <c r="E686" s="88"/>
    </row>
    <row r="687">
      <c r="E687" s="88"/>
    </row>
    <row r="688">
      <c r="E688" s="88"/>
    </row>
    <row r="689">
      <c r="E689" s="88"/>
    </row>
    <row r="690">
      <c r="E690" s="88"/>
    </row>
    <row r="691">
      <c r="E691" s="88"/>
    </row>
    <row r="692">
      <c r="E692" s="88"/>
    </row>
    <row r="693">
      <c r="E693" s="88"/>
    </row>
    <row r="694">
      <c r="E694" s="88"/>
    </row>
    <row r="695">
      <c r="E695" s="88"/>
    </row>
    <row r="696">
      <c r="E696" s="88"/>
    </row>
    <row r="697">
      <c r="E697" s="88"/>
    </row>
    <row r="698">
      <c r="E698" s="88"/>
    </row>
    <row r="699">
      <c r="E699" s="88"/>
    </row>
    <row r="700">
      <c r="E700" s="88"/>
    </row>
    <row r="701">
      <c r="E701" s="88"/>
    </row>
    <row r="702">
      <c r="E702" s="88"/>
    </row>
    <row r="703">
      <c r="E703" s="88"/>
    </row>
    <row r="704">
      <c r="E704" s="88"/>
    </row>
    <row r="705">
      <c r="E705" s="88"/>
    </row>
    <row r="706">
      <c r="E706" s="88"/>
    </row>
    <row r="707">
      <c r="E707" s="88"/>
    </row>
    <row r="708">
      <c r="E708" s="88"/>
    </row>
    <row r="709">
      <c r="E709" s="88"/>
    </row>
    <row r="710">
      <c r="E710" s="88"/>
    </row>
    <row r="711">
      <c r="E711" s="88"/>
    </row>
    <row r="712">
      <c r="E712" s="88"/>
    </row>
    <row r="713">
      <c r="E713" s="88"/>
    </row>
    <row r="714">
      <c r="E714" s="88"/>
    </row>
    <row r="715">
      <c r="E715" s="88"/>
    </row>
    <row r="716">
      <c r="E716" s="88"/>
    </row>
    <row r="717">
      <c r="E717" s="88"/>
    </row>
    <row r="718">
      <c r="E718" s="88"/>
    </row>
    <row r="719">
      <c r="E719" s="88"/>
    </row>
    <row r="720">
      <c r="E720" s="88"/>
    </row>
    <row r="721">
      <c r="E721" s="88"/>
    </row>
    <row r="722">
      <c r="E722" s="88"/>
    </row>
    <row r="723">
      <c r="E723" s="88"/>
    </row>
    <row r="724">
      <c r="E724" s="88"/>
    </row>
    <row r="725">
      <c r="E725" s="88"/>
    </row>
    <row r="726">
      <c r="E726" s="88"/>
    </row>
    <row r="727">
      <c r="E727" s="88"/>
    </row>
    <row r="728">
      <c r="E728" s="88"/>
    </row>
    <row r="729">
      <c r="E729" s="88"/>
    </row>
    <row r="730">
      <c r="E730" s="88"/>
    </row>
    <row r="731">
      <c r="E731" s="88"/>
    </row>
    <row r="732">
      <c r="E732" s="88"/>
    </row>
    <row r="733">
      <c r="E733" s="88"/>
    </row>
    <row r="734">
      <c r="E734" s="88"/>
    </row>
    <row r="735">
      <c r="E735" s="88"/>
    </row>
    <row r="736">
      <c r="E736" s="88"/>
    </row>
    <row r="737">
      <c r="E737" s="88"/>
    </row>
    <row r="738">
      <c r="E738" s="88"/>
    </row>
    <row r="739">
      <c r="E739" s="88"/>
    </row>
    <row r="740">
      <c r="E740" s="88"/>
    </row>
    <row r="741">
      <c r="E741" s="88"/>
    </row>
    <row r="742">
      <c r="E742" s="88"/>
    </row>
    <row r="743">
      <c r="E743" s="88"/>
    </row>
    <row r="744">
      <c r="E744" s="88"/>
    </row>
    <row r="745">
      <c r="E745" s="88"/>
    </row>
    <row r="746">
      <c r="E746" s="88"/>
    </row>
    <row r="747">
      <c r="E747" s="88"/>
    </row>
    <row r="748">
      <c r="E748" s="88"/>
    </row>
    <row r="749">
      <c r="E749" s="88"/>
    </row>
    <row r="750">
      <c r="E750" s="88"/>
    </row>
    <row r="751">
      <c r="E751" s="88"/>
    </row>
    <row r="752">
      <c r="E752" s="88"/>
    </row>
    <row r="753">
      <c r="E753" s="88"/>
    </row>
    <row r="754">
      <c r="E754" s="88"/>
    </row>
    <row r="755">
      <c r="E755" s="88"/>
    </row>
    <row r="756">
      <c r="E756" s="88"/>
    </row>
    <row r="757">
      <c r="E757" s="88"/>
    </row>
    <row r="758">
      <c r="E758" s="88"/>
    </row>
    <row r="759">
      <c r="E759" s="88"/>
    </row>
    <row r="760">
      <c r="E760" s="88"/>
    </row>
    <row r="761">
      <c r="E761" s="88"/>
    </row>
    <row r="762">
      <c r="E762" s="88"/>
    </row>
    <row r="763">
      <c r="E763" s="88"/>
    </row>
    <row r="764">
      <c r="E764" s="88"/>
    </row>
    <row r="765">
      <c r="E765" s="88"/>
    </row>
    <row r="766">
      <c r="E766" s="88"/>
    </row>
    <row r="767">
      <c r="E767" s="88"/>
    </row>
    <row r="768">
      <c r="E768" s="88"/>
    </row>
    <row r="769">
      <c r="E769" s="88"/>
    </row>
    <row r="770">
      <c r="E770" s="88"/>
    </row>
    <row r="771">
      <c r="E771" s="88"/>
    </row>
    <row r="772">
      <c r="E772" s="88"/>
    </row>
    <row r="773">
      <c r="E773" s="88"/>
    </row>
    <row r="774">
      <c r="E774" s="88"/>
    </row>
    <row r="775">
      <c r="E775" s="88"/>
    </row>
    <row r="776">
      <c r="E776" s="88"/>
    </row>
    <row r="777">
      <c r="E777" s="88"/>
    </row>
    <row r="778">
      <c r="E778" s="88"/>
    </row>
    <row r="779">
      <c r="E779" s="88"/>
    </row>
    <row r="780">
      <c r="E780" s="88"/>
    </row>
    <row r="781">
      <c r="E781" s="88"/>
    </row>
    <row r="782">
      <c r="E782" s="88"/>
    </row>
    <row r="783">
      <c r="E783" s="88"/>
    </row>
    <row r="784">
      <c r="E784" s="88"/>
    </row>
    <row r="785">
      <c r="E785" s="88"/>
    </row>
    <row r="786">
      <c r="E786" s="88"/>
    </row>
    <row r="787">
      <c r="E787" s="88"/>
    </row>
    <row r="788">
      <c r="E788" s="88"/>
    </row>
    <row r="789">
      <c r="E789" s="88"/>
    </row>
    <row r="790">
      <c r="E790" s="88"/>
    </row>
    <row r="791">
      <c r="E791" s="88"/>
    </row>
    <row r="792">
      <c r="E792" s="88"/>
    </row>
    <row r="793">
      <c r="E793" s="88"/>
    </row>
    <row r="794">
      <c r="E794" s="88"/>
    </row>
    <row r="795">
      <c r="E795" s="88"/>
    </row>
    <row r="796">
      <c r="E796" s="88"/>
    </row>
    <row r="797">
      <c r="E797" s="88"/>
    </row>
    <row r="798">
      <c r="E798" s="88"/>
    </row>
    <row r="799">
      <c r="E799" s="88"/>
    </row>
    <row r="800">
      <c r="E800" s="88"/>
    </row>
    <row r="801">
      <c r="E801" s="88"/>
    </row>
    <row r="802">
      <c r="E802" s="88"/>
    </row>
    <row r="803">
      <c r="E803" s="88"/>
    </row>
    <row r="804">
      <c r="E804" s="88"/>
    </row>
    <row r="805">
      <c r="E805" s="88"/>
    </row>
    <row r="806">
      <c r="E806" s="88"/>
    </row>
    <row r="807">
      <c r="E807" s="88"/>
    </row>
    <row r="808">
      <c r="E808" s="88"/>
    </row>
    <row r="809">
      <c r="E809" s="88"/>
    </row>
    <row r="810">
      <c r="E810" s="88"/>
    </row>
    <row r="811">
      <c r="E811" s="88"/>
    </row>
    <row r="812">
      <c r="E812" s="88"/>
    </row>
    <row r="813">
      <c r="E813" s="88"/>
    </row>
    <row r="814">
      <c r="E814" s="88"/>
    </row>
    <row r="815">
      <c r="E815" s="88"/>
    </row>
    <row r="816">
      <c r="E816" s="88"/>
    </row>
    <row r="817">
      <c r="E817" s="88"/>
    </row>
    <row r="818">
      <c r="E818" s="88"/>
    </row>
    <row r="819">
      <c r="E819" s="88"/>
    </row>
    <row r="820">
      <c r="E820" s="88"/>
    </row>
    <row r="821">
      <c r="E821" s="88"/>
    </row>
    <row r="822">
      <c r="E822" s="88"/>
    </row>
    <row r="823">
      <c r="E823" s="88"/>
    </row>
    <row r="824">
      <c r="E824" s="88"/>
    </row>
    <row r="825">
      <c r="E825" s="88"/>
    </row>
    <row r="826">
      <c r="E826" s="88"/>
    </row>
    <row r="827">
      <c r="E827" s="88"/>
    </row>
    <row r="828">
      <c r="E828" s="88"/>
    </row>
    <row r="829">
      <c r="E829" s="88"/>
    </row>
    <row r="830">
      <c r="E830" s="88"/>
    </row>
    <row r="831">
      <c r="E831" s="88"/>
    </row>
    <row r="832">
      <c r="E832" s="88"/>
    </row>
    <row r="833">
      <c r="E833" s="88"/>
    </row>
    <row r="834">
      <c r="E834" s="88"/>
    </row>
    <row r="835">
      <c r="E835" s="88"/>
    </row>
    <row r="836">
      <c r="E836" s="88"/>
    </row>
    <row r="837">
      <c r="E837" s="88"/>
    </row>
    <row r="838">
      <c r="E838" s="88"/>
    </row>
    <row r="839">
      <c r="E839" s="88"/>
    </row>
    <row r="840">
      <c r="E840" s="88"/>
    </row>
    <row r="841">
      <c r="E841" s="88"/>
    </row>
    <row r="842">
      <c r="E842" s="88"/>
    </row>
    <row r="843">
      <c r="E843" s="88"/>
    </row>
    <row r="844">
      <c r="E844" s="88"/>
    </row>
    <row r="845">
      <c r="E845" s="88"/>
    </row>
    <row r="846">
      <c r="E846" s="88"/>
    </row>
    <row r="847">
      <c r="E847" s="88"/>
    </row>
    <row r="848">
      <c r="E848" s="88"/>
    </row>
    <row r="849">
      <c r="E849" s="88"/>
    </row>
    <row r="850">
      <c r="E850" s="88"/>
    </row>
    <row r="851">
      <c r="E851" s="88"/>
    </row>
    <row r="852">
      <c r="E852" s="88"/>
    </row>
    <row r="853">
      <c r="E853" s="88"/>
    </row>
    <row r="854">
      <c r="E854" s="88"/>
    </row>
    <row r="855">
      <c r="E855" s="88"/>
    </row>
    <row r="856">
      <c r="E856" s="88"/>
    </row>
    <row r="857">
      <c r="E857" s="88"/>
    </row>
    <row r="858">
      <c r="E858" s="88"/>
    </row>
    <row r="859">
      <c r="E859" s="88"/>
    </row>
    <row r="860">
      <c r="E860" s="88"/>
    </row>
    <row r="861">
      <c r="E861" s="88"/>
    </row>
    <row r="862">
      <c r="E862" s="88"/>
    </row>
    <row r="863">
      <c r="E863" s="88"/>
    </row>
    <row r="864">
      <c r="E864" s="88"/>
    </row>
    <row r="865">
      <c r="E865" s="88"/>
    </row>
    <row r="866">
      <c r="E866" s="88"/>
    </row>
    <row r="867">
      <c r="E867" s="88"/>
    </row>
    <row r="868">
      <c r="E868" s="88"/>
    </row>
    <row r="869">
      <c r="E869" s="88"/>
    </row>
    <row r="870">
      <c r="E870" s="88"/>
    </row>
    <row r="871">
      <c r="E871" s="88"/>
    </row>
    <row r="872">
      <c r="E872" s="88"/>
    </row>
    <row r="873">
      <c r="E873" s="88"/>
    </row>
    <row r="874">
      <c r="E874" s="88"/>
    </row>
    <row r="875">
      <c r="E875" s="88"/>
    </row>
    <row r="876">
      <c r="E876" s="88"/>
    </row>
    <row r="877">
      <c r="E877" s="88"/>
    </row>
    <row r="878">
      <c r="E878" s="88"/>
    </row>
    <row r="879">
      <c r="E879" s="88"/>
    </row>
    <row r="880">
      <c r="E880" s="88"/>
    </row>
    <row r="881">
      <c r="E881" s="88"/>
    </row>
    <row r="882">
      <c r="E882" s="88"/>
    </row>
    <row r="883">
      <c r="E883" s="88"/>
    </row>
    <row r="884">
      <c r="E884" s="88"/>
    </row>
    <row r="885">
      <c r="E885" s="88"/>
    </row>
    <row r="886">
      <c r="E886" s="88"/>
    </row>
    <row r="887">
      <c r="E887" s="88"/>
    </row>
    <row r="888">
      <c r="E888" s="88"/>
    </row>
    <row r="889">
      <c r="E889" s="88"/>
    </row>
    <row r="890">
      <c r="E890" s="88"/>
    </row>
    <row r="891">
      <c r="E891" s="88"/>
    </row>
    <row r="892">
      <c r="E892" s="88"/>
    </row>
    <row r="893">
      <c r="E893" s="88"/>
    </row>
    <row r="894">
      <c r="E894" s="88"/>
    </row>
    <row r="895">
      <c r="E895" s="88"/>
    </row>
    <row r="896">
      <c r="E896" s="88"/>
    </row>
    <row r="897">
      <c r="E897" s="88"/>
    </row>
    <row r="898">
      <c r="E898" s="88"/>
    </row>
    <row r="899">
      <c r="E899" s="88"/>
    </row>
    <row r="900">
      <c r="E900" s="88"/>
    </row>
    <row r="901">
      <c r="E901" s="88"/>
    </row>
    <row r="902">
      <c r="E902" s="88"/>
    </row>
    <row r="903">
      <c r="E903" s="88"/>
    </row>
    <row r="904">
      <c r="E904" s="88"/>
    </row>
    <row r="905">
      <c r="E905" s="88"/>
    </row>
    <row r="906">
      <c r="E906" s="88"/>
    </row>
    <row r="907">
      <c r="E907" s="88"/>
    </row>
    <row r="908">
      <c r="E908" s="88"/>
    </row>
    <row r="909">
      <c r="E909" s="88"/>
    </row>
    <row r="910">
      <c r="E910" s="88"/>
    </row>
    <row r="911">
      <c r="E911" s="88"/>
    </row>
    <row r="912">
      <c r="E912" s="88"/>
    </row>
    <row r="913">
      <c r="E913" s="88"/>
    </row>
    <row r="914">
      <c r="E914" s="88"/>
    </row>
    <row r="915">
      <c r="E915" s="88"/>
    </row>
    <row r="916">
      <c r="E916" s="88"/>
    </row>
    <row r="917">
      <c r="E917" s="88"/>
    </row>
    <row r="918">
      <c r="E918" s="88"/>
    </row>
    <row r="919">
      <c r="E919" s="88"/>
    </row>
    <row r="920">
      <c r="E920" s="88"/>
    </row>
    <row r="921">
      <c r="E921" s="88"/>
    </row>
    <row r="922">
      <c r="E922" s="88"/>
    </row>
    <row r="923">
      <c r="E923" s="88"/>
    </row>
    <row r="924">
      <c r="E924" s="88"/>
    </row>
    <row r="925">
      <c r="E925" s="88"/>
    </row>
    <row r="926">
      <c r="E926" s="88"/>
    </row>
    <row r="927">
      <c r="E927" s="88"/>
    </row>
    <row r="928">
      <c r="E928" s="88"/>
    </row>
    <row r="929">
      <c r="E929" s="88"/>
    </row>
    <row r="930">
      <c r="E930" s="88"/>
    </row>
    <row r="931">
      <c r="E931" s="88"/>
    </row>
    <row r="932">
      <c r="E932" s="88"/>
    </row>
    <row r="933">
      <c r="E933" s="88"/>
    </row>
    <row r="934">
      <c r="E934" s="88"/>
    </row>
    <row r="935">
      <c r="E935" s="88"/>
    </row>
    <row r="936">
      <c r="E936" s="88"/>
    </row>
    <row r="937">
      <c r="E937" s="88"/>
    </row>
    <row r="938">
      <c r="E938" s="88"/>
    </row>
    <row r="939">
      <c r="E939" s="88"/>
    </row>
    <row r="940">
      <c r="E940" s="88"/>
    </row>
    <row r="941">
      <c r="E941" s="88"/>
    </row>
  </sheetData>
  <mergeCells count="96">
    <mergeCell ref="A1:E1"/>
    <mergeCell ref="A3:E3"/>
    <mergeCell ref="A4:E4"/>
    <mergeCell ref="A7:D7"/>
    <mergeCell ref="A8:D8"/>
    <mergeCell ref="A9:A10"/>
    <mergeCell ref="B9:B10"/>
    <mergeCell ref="E9:E10"/>
    <mergeCell ref="D50:D51"/>
    <mergeCell ref="E50:E51"/>
    <mergeCell ref="C9:C10"/>
    <mergeCell ref="D9:D10"/>
    <mergeCell ref="A48:D48"/>
    <mergeCell ref="A49:D49"/>
    <mergeCell ref="A50:A51"/>
    <mergeCell ref="B50:B51"/>
    <mergeCell ref="C50:C51"/>
    <mergeCell ref="A89:D89"/>
    <mergeCell ref="A90:D90"/>
    <mergeCell ref="A91:A92"/>
    <mergeCell ref="B91:B92"/>
    <mergeCell ref="C91:C92"/>
    <mergeCell ref="D91:D92"/>
    <mergeCell ref="E91:E92"/>
    <mergeCell ref="A129:D129"/>
    <mergeCell ref="A130:D130"/>
    <mergeCell ref="A131:D131"/>
    <mergeCell ref="A132:A133"/>
    <mergeCell ref="B132:B133"/>
    <mergeCell ref="C132:C133"/>
    <mergeCell ref="E132:E133"/>
    <mergeCell ref="D173:D174"/>
    <mergeCell ref="E173:E174"/>
    <mergeCell ref="D132:D133"/>
    <mergeCell ref="A170:D170"/>
    <mergeCell ref="A171:D171"/>
    <mergeCell ref="A172:D172"/>
    <mergeCell ref="A173:A174"/>
    <mergeCell ref="B173:B174"/>
    <mergeCell ref="C173:C174"/>
    <mergeCell ref="A375:D375"/>
    <mergeCell ref="A376:D376"/>
    <mergeCell ref="A377:D377"/>
    <mergeCell ref="A378:A379"/>
    <mergeCell ref="B378:B379"/>
    <mergeCell ref="C378:C379"/>
    <mergeCell ref="E378:E379"/>
    <mergeCell ref="D378:D379"/>
    <mergeCell ref="A416:D416"/>
    <mergeCell ref="A417:D417"/>
    <mergeCell ref="A418:D418"/>
    <mergeCell ref="A419:A420"/>
    <mergeCell ref="B419:B420"/>
    <mergeCell ref="C419:C420"/>
    <mergeCell ref="A211:D211"/>
    <mergeCell ref="A212:D212"/>
    <mergeCell ref="A213:D213"/>
    <mergeCell ref="A214:A215"/>
    <mergeCell ref="B214:B215"/>
    <mergeCell ref="C214:C215"/>
    <mergeCell ref="E214:E215"/>
    <mergeCell ref="D255:D256"/>
    <mergeCell ref="E255:E256"/>
    <mergeCell ref="D214:D215"/>
    <mergeCell ref="A252:D252"/>
    <mergeCell ref="A253:D253"/>
    <mergeCell ref="A254:D254"/>
    <mergeCell ref="A255:A256"/>
    <mergeCell ref="B255:B256"/>
    <mergeCell ref="C255:C256"/>
    <mergeCell ref="A293:D293"/>
    <mergeCell ref="A294:D294"/>
    <mergeCell ref="A295:D295"/>
    <mergeCell ref="A296:A297"/>
    <mergeCell ref="B296:B297"/>
    <mergeCell ref="C296:C297"/>
    <mergeCell ref="E296:E297"/>
    <mergeCell ref="D337:D338"/>
    <mergeCell ref="E337:E338"/>
    <mergeCell ref="D296:D297"/>
    <mergeCell ref="A334:D334"/>
    <mergeCell ref="A335:D335"/>
    <mergeCell ref="A336:D336"/>
    <mergeCell ref="A337:A338"/>
    <mergeCell ref="B337:B338"/>
    <mergeCell ref="C337:C338"/>
    <mergeCell ref="C460:C461"/>
    <mergeCell ref="D460:D461"/>
    <mergeCell ref="D419:D420"/>
    <mergeCell ref="E419:E420"/>
    <mergeCell ref="A457:D457"/>
    <mergeCell ref="A458:D458"/>
    <mergeCell ref="A459:D459"/>
    <mergeCell ref="A460:A461"/>
    <mergeCell ref="B460:B461"/>
    <mergeCell ref="E460:E461"/>
  </mergeCell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4.43" defaultRowHeight="15.0"/>
  <cols>
    <col customWidth="1" hidden="1" min="1" max="1" width="7.57"/>
    <col customWidth="1" min="2" max="2" width="5.14"/>
    <col customWidth="1" min="3" max="3" width="6.71"/>
    <col customWidth="1" min="4" max="4" width="25.57"/>
    <col customWidth="1" hidden="1" min="5" max="5" width="56.71"/>
    <col customWidth="1" min="6" max="6" width="16.0"/>
    <col customWidth="1" hidden="1" min="7" max="7" width="23.14"/>
    <col customWidth="1" hidden="1" min="8" max="8" width="26.43"/>
    <col customWidth="1" hidden="1" min="9" max="9" width="21.86"/>
    <col customWidth="1" hidden="1" min="10" max="10" width="23.43"/>
    <col customWidth="1" hidden="1" min="11" max="11" width="10.71"/>
    <col customWidth="1" hidden="1" min="12" max="12" width="21.86"/>
    <col customWidth="1" min="13" max="13" width="21.14"/>
    <col customWidth="1" min="14" max="14" width="23.86"/>
    <col customWidth="1" min="18" max="18" width="32.71"/>
    <col customWidth="1" min="19" max="19" width="21.57"/>
  </cols>
  <sheetData>
    <row r="1">
      <c r="A1" s="125"/>
      <c r="B1" s="126"/>
      <c r="C1" s="126"/>
      <c r="D1" s="126" t="s">
        <v>1</v>
      </c>
      <c r="E1" s="126"/>
      <c r="F1" s="126"/>
      <c r="G1" s="126"/>
      <c r="H1" s="126"/>
      <c r="I1" s="126"/>
      <c r="J1" s="126"/>
      <c r="K1" s="126"/>
      <c r="L1" s="126"/>
      <c r="M1" s="126"/>
      <c r="N1" s="126"/>
      <c r="O1" s="126"/>
      <c r="P1" s="126"/>
      <c r="Q1" s="126"/>
      <c r="R1" s="63"/>
      <c r="S1" s="63"/>
      <c r="T1" s="63"/>
      <c r="U1" s="63"/>
      <c r="V1" s="63"/>
      <c r="W1" s="63"/>
      <c r="X1" s="63"/>
      <c r="Y1" s="63"/>
      <c r="Z1" s="63"/>
      <c r="AA1" s="63"/>
      <c r="AB1" s="63"/>
      <c r="AC1" s="63"/>
      <c r="AD1" s="63"/>
      <c r="AE1" s="63"/>
      <c r="AF1" s="63"/>
      <c r="AG1" s="63"/>
      <c r="AH1" s="63"/>
      <c r="AI1" s="63"/>
      <c r="AJ1" s="63"/>
    </row>
    <row r="2">
      <c r="A2" s="125"/>
      <c r="B2" s="126"/>
      <c r="C2" s="126"/>
      <c r="D2" s="126" t="s">
        <v>2</v>
      </c>
      <c r="E2" s="126"/>
      <c r="F2" s="126"/>
      <c r="G2" s="126"/>
      <c r="H2" s="126"/>
      <c r="I2" s="126"/>
      <c r="J2" s="126"/>
      <c r="K2" s="126"/>
      <c r="L2" s="126"/>
      <c r="M2" s="126"/>
      <c r="N2" s="126"/>
      <c r="O2" s="126"/>
      <c r="P2" s="126"/>
      <c r="Q2" s="126"/>
      <c r="R2" s="63"/>
      <c r="S2" s="63"/>
      <c r="T2" s="63"/>
      <c r="U2" s="63"/>
      <c r="V2" s="63"/>
      <c r="W2" s="63"/>
      <c r="X2" s="63"/>
      <c r="Y2" s="63"/>
      <c r="Z2" s="63"/>
      <c r="AA2" s="63"/>
      <c r="AB2" s="63"/>
      <c r="AC2" s="63"/>
      <c r="AD2" s="63"/>
      <c r="AE2" s="63"/>
      <c r="AF2" s="63"/>
      <c r="AG2" s="63"/>
      <c r="AH2" s="63"/>
      <c r="AI2" s="63"/>
      <c r="AJ2" s="63"/>
    </row>
    <row r="3" ht="44.25" customHeight="1">
      <c r="A3" s="127" t="s">
        <v>2482</v>
      </c>
      <c r="B3" s="63"/>
      <c r="C3" s="62"/>
      <c r="D3" s="63"/>
      <c r="E3" s="63"/>
      <c r="F3" s="128" t="s">
        <v>5</v>
      </c>
      <c r="G3" s="128" t="s">
        <v>2483</v>
      </c>
      <c r="H3" s="129" t="s">
        <v>2484</v>
      </c>
      <c r="I3" s="128" t="s">
        <v>2485</v>
      </c>
      <c r="J3" s="130" t="s">
        <v>2486</v>
      </c>
      <c r="K3" s="131" t="s">
        <v>2487</v>
      </c>
      <c r="L3" s="128" t="s">
        <v>2488</v>
      </c>
      <c r="M3" s="130" t="s">
        <v>2489</v>
      </c>
      <c r="N3" s="128" t="s">
        <v>2490</v>
      </c>
      <c r="O3" s="132" t="s">
        <v>18</v>
      </c>
      <c r="P3" s="128" t="s">
        <v>2491</v>
      </c>
      <c r="Q3" s="133" t="s">
        <v>19</v>
      </c>
      <c r="R3" s="134"/>
      <c r="S3" s="134"/>
      <c r="T3" s="63"/>
      <c r="U3" s="63"/>
      <c r="V3" s="63"/>
      <c r="W3" s="63"/>
      <c r="X3" s="63"/>
      <c r="Y3" s="63"/>
      <c r="Z3" s="63"/>
      <c r="AA3" s="63"/>
      <c r="AB3" s="63"/>
      <c r="AC3" s="63"/>
      <c r="AD3" s="63"/>
      <c r="AE3" s="63"/>
      <c r="AF3" s="63"/>
      <c r="AG3" s="63"/>
      <c r="AH3" s="63"/>
      <c r="AI3" s="63"/>
      <c r="AJ3" s="63"/>
    </row>
    <row r="4">
      <c r="A4" s="135">
        <v>1.0</v>
      </c>
      <c r="B4" s="62" t="s">
        <v>3</v>
      </c>
      <c r="C4" s="63"/>
      <c r="D4" s="62" t="s">
        <v>4</v>
      </c>
      <c r="E4" s="62"/>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row>
    <row r="5">
      <c r="A5" s="135">
        <v>2.0</v>
      </c>
      <c r="B5" s="62" t="s">
        <v>5</v>
      </c>
      <c r="C5" s="63"/>
      <c r="D5" s="62" t="s">
        <v>121</v>
      </c>
      <c r="E5" s="62"/>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row>
    <row r="6">
      <c r="A6" s="135">
        <v>3.0</v>
      </c>
      <c r="B6" s="62" t="s">
        <v>7</v>
      </c>
      <c r="C6" s="63"/>
      <c r="D6" s="62" t="s">
        <v>8</v>
      </c>
      <c r="E6" s="62"/>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row>
    <row r="7">
      <c r="A7" s="135">
        <v>4.0</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row>
    <row r="8" ht="19.5" customHeight="1">
      <c r="A8" s="135">
        <v>5.0</v>
      </c>
      <c r="B8" s="7" t="s">
        <v>9</v>
      </c>
      <c r="C8" s="64" t="s">
        <v>10</v>
      </c>
      <c r="D8" s="7" t="s">
        <v>11</v>
      </c>
      <c r="E8" s="136"/>
      <c r="F8" s="65" t="s">
        <v>5</v>
      </c>
      <c r="G8" s="136"/>
      <c r="H8" s="137" t="s">
        <v>2492</v>
      </c>
      <c r="I8" s="136"/>
      <c r="J8" s="138" t="s">
        <v>2493</v>
      </c>
      <c r="K8" s="138"/>
      <c r="L8" s="136"/>
      <c r="M8" s="139" t="s">
        <v>2489</v>
      </c>
      <c r="N8" s="65" t="s">
        <v>2490</v>
      </c>
      <c r="O8" s="140" t="s">
        <v>18</v>
      </c>
      <c r="P8" s="65" t="s">
        <v>2491</v>
      </c>
      <c r="Q8" s="66" t="s">
        <v>19</v>
      </c>
      <c r="R8" s="63"/>
      <c r="S8" s="63"/>
      <c r="T8" s="63"/>
      <c r="U8" s="63"/>
      <c r="V8" s="63"/>
      <c r="W8" s="63"/>
      <c r="X8" s="63"/>
      <c r="Y8" s="63"/>
      <c r="Z8" s="63"/>
      <c r="AA8" s="63"/>
      <c r="AB8" s="63"/>
      <c r="AC8" s="63"/>
      <c r="AD8" s="63"/>
      <c r="AE8" s="63"/>
      <c r="AF8" s="63"/>
      <c r="AG8" s="63"/>
      <c r="AH8" s="63"/>
      <c r="AI8" s="63"/>
      <c r="AJ8" s="63"/>
    </row>
    <row r="9">
      <c r="A9" s="135">
        <v>6.0</v>
      </c>
      <c r="B9" s="20"/>
      <c r="C9" s="20"/>
      <c r="D9" s="20"/>
      <c r="E9" s="136"/>
      <c r="F9" s="20"/>
      <c r="G9" s="141" t="s">
        <v>2483</v>
      </c>
      <c r="H9" s="142" t="s">
        <v>2484</v>
      </c>
      <c r="I9" s="141" t="s">
        <v>2485</v>
      </c>
      <c r="J9" s="143" t="s">
        <v>2486</v>
      </c>
      <c r="K9" s="144" t="s">
        <v>2487</v>
      </c>
      <c r="L9" s="141" t="s">
        <v>2488</v>
      </c>
      <c r="M9" s="20"/>
      <c r="N9" s="20"/>
      <c r="O9" s="20"/>
      <c r="P9" s="20"/>
      <c r="Q9" s="20"/>
      <c r="R9" s="63"/>
      <c r="S9" s="63"/>
      <c r="T9" s="63"/>
      <c r="U9" s="63"/>
      <c r="V9" s="63"/>
      <c r="W9" s="63"/>
      <c r="X9" s="63"/>
      <c r="Y9" s="63"/>
      <c r="Z9" s="63"/>
      <c r="AA9" s="63"/>
      <c r="AB9" s="63"/>
      <c r="AC9" s="63"/>
      <c r="AD9" s="63"/>
      <c r="AE9" s="63"/>
      <c r="AF9" s="63"/>
      <c r="AG9" s="63"/>
      <c r="AH9" s="63"/>
      <c r="AI9" s="63"/>
      <c r="AJ9" s="63"/>
    </row>
    <row r="10">
      <c r="A10" s="135">
        <v>8.0</v>
      </c>
      <c r="B10" s="67">
        <v>1.0</v>
      </c>
      <c r="C10" s="31" t="s">
        <v>123</v>
      </c>
      <c r="D10" s="68" t="s">
        <v>1161</v>
      </c>
      <c r="E10" s="71" t="s">
        <v>2494</v>
      </c>
      <c r="F10" s="69" t="s">
        <v>1162</v>
      </c>
      <c r="G10" s="69" t="s">
        <v>2495</v>
      </c>
      <c r="H10" s="145">
        <v>5.0</v>
      </c>
      <c r="I10" s="145">
        <v>5.0</v>
      </c>
      <c r="J10" s="69">
        <v>3.0</v>
      </c>
      <c r="K10" s="69">
        <f>iferror(vlookup(E10,MasterClass!$C$2:$G988,5,false),"")</f>
        <v>1</v>
      </c>
      <c r="L10" s="69">
        <v>3.0</v>
      </c>
      <c r="M10" s="69">
        <f>J10+H10</f>
        <v>8</v>
      </c>
      <c r="N10" s="69">
        <f t="shared" ref="N10:N31" si="1">I10+L10+K10</f>
        <v>9</v>
      </c>
      <c r="O10" s="146">
        <f t="shared" ref="O10:O31" si="2">N10/M10</f>
        <v>1.125</v>
      </c>
      <c r="P10" s="146"/>
      <c r="Q10" s="70"/>
      <c r="R10" s="63"/>
      <c r="S10" s="63"/>
      <c r="T10" s="63"/>
      <c r="U10" s="63"/>
      <c r="V10" s="63"/>
      <c r="W10" s="63"/>
      <c r="X10" s="63"/>
      <c r="Y10" s="63"/>
      <c r="Z10" s="63"/>
      <c r="AA10" s="63"/>
      <c r="AB10" s="63"/>
      <c r="AC10" s="63"/>
      <c r="AD10" s="63"/>
      <c r="AE10" s="63"/>
      <c r="AF10" s="63"/>
      <c r="AG10" s="63"/>
      <c r="AH10" s="63"/>
      <c r="AI10" s="63"/>
      <c r="AJ10" s="63"/>
    </row>
    <row r="11">
      <c r="A11" s="135">
        <v>9.0</v>
      </c>
      <c r="B11" s="67">
        <v>2.0</v>
      </c>
      <c r="C11" s="31" t="s">
        <v>125</v>
      </c>
      <c r="D11" s="68" t="s">
        <v>1164</v>
      </c>
      <c r="E11" s="71" t="s">
        <v>2496</v>
      </c>
      <c r="F11" s="69" t="s">
        <v>1162</v>
      </c>
      <c r="G11" s="69" t="s">
        <v>2497</v>
      </c>
      <c r="H11" s="145">
        <v>0.0</v>
      </c>
      <c r="I11" s="145">
        <v>0.0</v>
      </c>
      <c r="J11" s="69">
        <v>5.0</v>
      </c>
      <c r="K11" s="69">
        <f>iferror(vlookup(E11,MasterClass!$C$2:$G988,5,false),"")</f>
        <v>1</v>
      </c>
      <c r="L11" s="69">
        <v>4.0</v>
      </c>
      <c r="M11" s="69">
        <v>6.0</v>
      </c>
      <c r="N11" s="69">
        <f t="shared" si="1"/>
        <v>5</v>
      </c>
      <c r="O11" s="146">
        <f t="shared" si="2"/>
        <v>0.8333333333</v>
      </c>
      <c r="P11" s="146"/>
      <c r="Q11" s="70"/>
      <c r="T11" s="63"/>
      <c r="U11" s="63"/>
      <c r="V11" s="63"/>
      <c r="W11" s="63"/>
      <c r="X11" s="63"/>
      <c r="Y11" s="63"/>
      <c r="Z11" s="63"/>
      <c r="AA11" s="63"/>
      <c r="AB11" s="63"/>
      <c r="AC11" s="63"/>
      <c r="AD11" s="63"/>
      <c r="AE11" s="63"/>
      <c r="AF11" s="63"/>
      <c r="AG11" s="63"/>
      <c r="AH11" s="63"/>
      <c r="AI11" s="63"/>
      <c r="AJ11" s="63"/>
    </row>
    <row r="12">
      <c r="A12" s="135">
        <v>10.0</v>
      </c>
      <c r="B12" s="67">
        <v>3.0</v>
      </c>
      <c r="C12" s="31" t="s">
        <v>127</v>
      </c>
      <c r="D12" s="68" t="s">
        <v>1165</v>
      </c>
      <c r="E12" s="71" t="s">
        <v>2498</v>
      </c>
      <c r="F12" s="69" t="s">
        <v>1162</v>
      </c>
      <c r="G12" s="69" t="s">
        <v>2497</v>
      </c>
      <c r="H12" s="145">
        <v>0.0</v>
      </c>
      <c r="I12" s="145">
        <v>0.0</v>
      </c>
      <c r="J12" s="69">
        <v>5.0</v>
      </c>
      <c r="K12" s="69">
        <f>iferror(vlookup(E12,MasterClass!$C$2:$G988,5,false),"")</f>
        <v>1</v>
      </c>
      <c r="L12" s="69">
        <v>3.0</v>
      </c>
      <c r="M12" s="69">
        <v>6.0</v>
      </c>
      <c r="N12" s="69">
        <f t="shared" si="1"/>
        <v>4</v>
      </c>
      <c r="O12" s="146">
        <f t="shared" si="2"/>
        <v>0.6666666667</v>
      </c>
      <c r="P12" s="146"/>
      <c r="Q12" s="70"/>
      <c r="T12" s="63"/>
      <c r="U12" s="63"/>
      <c r="V12" s="63"/>
      <c r="W12" s="63"/>
      <c r="X12" s="63"/>
      <c r="Y12" s="63"/>
      <c r="Z12" s="63"/>
      <c r="AA12" s="63"/>
      <c r="AB12" s="63"/>
      <c r="AC12" s="63"/>
      <c r="AD12" s="63"/>
      <c r="AE12" s="63"/>
      <c r="AF12" s="63"/>
      <c r="AG12" s="63"/>
      <c r="AH12" s="63"/>
      <c r="AI12" s="63"/>
      <c r="AJ12" s="63"/>
    </row>
    <row r="13">
      <c r="A13" s="135">
        <v>11.0</v>
      </c>
      <c r="B13" s="67">
        <v>4.0</v>
      </c>
      <c r="C13" s="31" t="s">
        <v>129</v>
      </c>
      <c r="D13" s="68" t="s">
        <v>1166</v>
      </c>
      <c r="E13" s="71" t="s">
        <v>2499</v>
      </c>
      <c r="F13" s="69" t="s">
        <v>1162</v>
      </c>
      <c r="G13" s="69" t="s">
        <v>2495</v>
      </c>
      <c r="H13" s="145">
        <v>5.0</v>
      </c>
      <c r="I13" s="145">
        <v>4.0</v>
      </c>
      <c r="J13" s="69">
        <v>3.0</v>
      </c>
      <c r="K13" s="69" t="str">
        <f>iferror(vlookup(E13,MasterClass!$C$2:$G988,5,false),"")</f>
        <v/>
      </c>
      <c r="L13" s="69">
        <v>3.0</v>
      </c>
      <c r="M13" s="69">
        <f t="shared" ref="M13:M14" si="3">J13+H13</f>
        <v>8</v>
      </c>
      <c r="N13" s="69">
        <f t="shared" si="1"/>
        <v>7</v>
      </c>
      <c r="O13" s="146">
        <f t="shared" si="2"/>
        <v>0.875</v>
      </c>
      <c r="P13" s="146"/>
      <c r="Q13" s="70"/>
      <c r="R13" s="63"/>
      <c r="S13" s="63"/>
      <c r="T13" s="63"/>
      <c r="U13" s="63"/>
      <c r="V13" s="63"/>
      <c r="W13" s="63"/>
      <c r="X13" s="63"/>
      <c r="Y13" s="63"/>
      <c r="Z13" s="63"/>
      <c r="AA13" s="63"/>
      <c r="AB13" s="63"/>
      <c r="AC13" s="63"/>
      <c r="AD13" s="63"/>
      <c r="AE13" s="63"/>
      <c r="AF13" s="63"/>
      <c r="AG13" s="63"/>
      <c r="AH13" s="63"/>
      <c r="AI13" s="63"/>
      <c r="AJ13" s="63"/>
    </row>
    <row r="14">
      <c r="A14" s="135">
        <v>12.0</v>
      </c>
      <c r="B14" s="67">
        <v>5.0</v>
      </c>
      <c r="C14" s="31" t="s">
        <v>131</v>
      </c>
      <c r="D14" s="71" t="s">
        <v>1167</v>
      </c>
      <c r="E14" s="71" t="s">
        <v>2500</v>
      </c>
      <c r="F14" s="69" t="s">
        <v>1162</v>
      </c>
      <c r="G14" s="69" t="s">
        <v>2495</v>
      </c>
      <c r="H14" s="145">
        <v>5.0</v>
      </c>
      <c r="I14" s="145">
        <v>1.0</v>
      </c>
      <c r="J14" s="69">
        <v>3.0</v>
      </c>
      <c r="K14" s="69" t="str">
        <f>iferror(vlookup(E14,MasterClass!$C$2:$G988,5,false),"")</f>
        <v/>
      </c>
      <c r="L14" s="69">
        <v>1.0</v>
      </c>
      <c r="M14" s="69">
        <f t="shared" si="3"/>
        <v>8</v>
      </c>
      <c r="N14" s="69">
        <f t="shared" si="1"/>
        <v>2</v>
      </c>
      <c r="O14" s="146">
        <f t="shared" si="2"/>
        <v>0.25</v>
      </c>
      <c r="P14" s="146"/>
      <c r="Q14" s="70"/>
      <c r="T14" s="63"/>
      <c r="U14" s="63"/>
      <c r="V14" s="63"/>
      <c r="W14" s="63"/>
      <c r="X14" s="63"/>
      <c r="Y14" s="63"/>
      <c r="Z14" s="63"/>
      <c r="AA14" s="63"/>
      <c r="AB14" s="63"/>
      <c r="AC14" s="63"/>
      <c r="AD14" s="63"/>
      <c r="AE14" s="63"/>
      <c r="AF14" s="63"/>
      <c r="AG14" s="63"/>
      <c r="AH14" s="63"/>
      <c r="AI14" s="63"/>
      <c r="AJ14" s="63"/>
    </row>
    <row r="15">
      <c r="A15" s="135">
        <v>13.0</v>
      </c>
      <c r="B15" s="67">
        <v>6.0</v>
      </c>
      <c r="C15" s="31" t="s">
        <v>133</v>
      </c>
      <c r="D15" s="68" t="s">
        <v>1169</v>
      </c>
      <c r="E15" s="71" t="s">
        <v>2501</v>
      </c>
      <c r="F15" s="69" t="s">
        <v>1162</v>
      </c>
      <c r="G15" s="69" t="s">
        <v>2497</v>
      </c>
      <c r="H15" s="145">
        <v>0.0</v>
      </c>
      <c r="I15" s="145">
        <v>0.0</v>
      </c>
      <c r="J15" s="69">
        <v>5.0</v>
      </c>
      <c r="K15" s="69">
        <f>iferror(vlookup(E15,MasterClass!$C$2:$G988,5,false),"")</f>
        <v>1</v>
      </c>
      <c r="L15" s="69">
        <v>5.0</v>
      </c>
      <c r="M15" s="69">
        <v>6.0</v>
      </c>
      <c r="N15" s="69">
        <f t="shared" si="1"/>
        <v>6</v>
      </c>
      <c r="O15" s="146">
        <f t="shared" si="2"/>
        <v>1</v>
      </c>
      <c r="P15" s="146"/>
      <c r="Q15" s="70"/>
      <c r="T15" s="63"/>
      <c r="U15" s="63"/>
      <c r="V15" s="63"/>
      <c r="W15" s="63"/>
      <c r="X15" s="63"/>
      <c r="Y15" s="63"/>
      <c r="Z15" s="63"/>
      <c r="AA15" s="63"/>
      <c r="AB15" s="63"/>
      <c r="AC15" s="63"/>
      <c r="AD15" s="63"/>
      <c r="AE15" s="63"/>
      <c r="AF15" s="63"/>
      <c r="AG15" s="63"/>
      <c r="AH15" s="63"/>
      <c r="AI15" s="63"/>
      <c r="AJ15" s="63"/>
    </row>
    <row r="16">
      <c r="A16" s="135">
        <v>14.0</v>
      </c>
      <c r="B16" s="67">
        <v>7.0</v>
      </c>
      <c r="C16" s="31" t="s">
        <v>135</v>
      </c>
      <c r="D16" s="68" t="s">
        <v>1170</v>
      </c>
      <c r="E16" s="71" t="s">
        <v>2502</v>
      </c>
      <c r="F16" s="69" t="s">
        <v>1162</v>
      </c>
      <c r="G16" s="69" t="s">
        <v>2497</v>
      </c>
      <c r="H16" s="145">
        <v>0.0</v>
      </c>
      <c r="I16" s="145">
        <v>0.0</v>
      </c>
      <c r="J16" s="69">
        <v>5.0</v>
      </c>
      <c r="K16" s="69" t="str">
        <f>iferror(vlookup(E16,MasterClass!$C$2:$G988,5,false),"")</f>
        <v/>
      </c>
      <c r="L16" s="69">
        <v>4.0</v>
      </c>
      <c r="M16" s="69">
        <v>6.0</v>
      </c>
      <c r="N16" s="69">
        <f t="shared" si="1"/>
        <v>4</v>
      </c>
      <c r="O16" s="146">
        <f t="shared" si="2"/>
        <v>0.6666666667</v>
      </c>
      <c r="P16" s="146"/>
      <c r="Q16" s="70"/>
      <c r="T16" s="63"/>
      <c r="U16" s="63"/>
      <c r="V16" s="63"/>
      <c r="W16" s="63"/>
      <c r="X16" s="63"/>
      <c r="Y16" s="63"/>
      <c r="Z16" s="63"/>
      <c r="AA16" s="63"/>
      <c r="AB16" s="63"/>
      <c r="AC16" s="63"/>
      <c r="AD16" s="63"/>
      <c r="AE16" s="63"/>
      <c r="AF16" s="63"/>
      <c r="AG16" s="63"/>
      <c r="AH16" s="63"/>
      <c r="AI16" s="63"/>
      <c r="AJ16" s="63"/>
    </row>
    <row r="17">
      <c r="A17" s="135">
        <v>15.0</v>
      </c>
      <c r="B17" s="67">
        <v>8.0</v>
      </c>
      <c r="C17" s="31" t="s">
        <v>137</v>
      </c>
      <c r="D17" s="68" t="s">
        <v>1171</v>
      </c>
      <c r="E17" s="71" t="s">
        <v>2503</v>
      </c>
      <c r="F17" s="69" t="s">
        <v>1162</v>
      </c>
      <c r="G17" s="69" t="s">
        <v>2497</v>
      </c>
      <c r="H17" s="145">
        <v>0.0</v>
      </c>
      <c r="I17" s="145">
        <v>0.0</v>
      </c>
      <c r="J17" s="69">
        <v>5.0</v>
      </c>
      <c r="K17" s="69">
        <f>iferror(vlookup(E17,MasterClass!$C$2:$G988,5,false),"")</f>
        <v>1</v>
      </c>
      <c r="L17" s="69">
        <v>5.0</v>
      </c>
      <c r="M17" s="69">
        <v>6.0</v>
      </c>
      <c r="N17" s="69">
        <f t="shared" si="1"/>
        <v>6</v>
      </c>
      <c r="O17" s="146">
        <f t="shared" si="2"/>
        <v>1</v>
      </c>
      <c r="P17" s="146"/>
      <c r="Q17" s="70"/>
      <c r="T17" s="63"/>
      <c r="U17" s="63"/>
      <c r="V17" s="63"/>
      <c r="W17" s="63"/>
      <c r="X17" s="63"/>
      <c r="Y17" s="63"/>
      <c r="Z17" s="63"/>
      <c r="AA17" s="63"/>
      <c r="AB17" s="63"/>
      <c r="AC17" s="63"/>
      <c r="AD17" s="63"/>
      <c r="AE17" s="63"/>
      <c r="AF17" s="63"/>
      <c r="AG17" s="63"/>
      <c r="AH17" s="63"/>
      <c r="AI17" s="63"/>
      <c r="AJ17" s="63"/>
    </row>
    <row r="18">
      <c r="A18" s="135">
        <v>16.0</v>
      </c>
      <c r="B18" s="67">
        <v>9.0</v>
      </c>
      <c r="C18" s="31" t="s">
        <v>139</v>
      </c>
      <c r="D18" s="68" t="s">
        <v>1172</v>
      </c>
      <c r="E18" s="71" t="s">
        <v>2504</v>
      </c>
      <c r="F18" s="69" t="s">
        <v>1162</v>
      </c>
      <c r="G18" s="69" t="s">
        <v>2497</v>
      </c>
      <c r="H18" s="145">
        <v>0.0</v>
      </c>
      <c r="I18" s="145">
        <v>0.0</v>
      </c>
      <c r="J18" s="69">
        <v>5.0</v>
      </c>
      <c r="K18" s="69">
        <f>iferror(vlookup(E18,MasterClass!$C$2:$G988,5,false),"")</f>
        <v>1</v>
      </c>
      <c r="L18" s="69">
        <v>4.0</v>
      </c>
      <c r="M18" s="69">
        <v>6.0</v>
      </c>
      <c r="N18" s="69">
        <f t="shared" si="1"/>
        <v>5</v>
      </c>
      <c r="O18" s="146">
        <f t="shared" si="2"/>
        <v>0.8333333333</v>
      </c>
      <c r="P18" s="146"/>
      <c r="Q18" s="70"/>
      <c r="T18" s="63"/>
      <c r="U18" s="63"/>
      <c r="V18" s="63"/>
      <c r="W18" s="63"/>
      <c r="X18" s="63"/>
      <c r="Y18" s="63"/>
      <c r="Z18" s="63"/>
      <c r="AA18" s="63"/>
      <c r="AB18" s="63"/>
      <c r="AC18" s="63"/>
      <c r="AD18" s="63"/>
      <c r="AE18" s="63"/>
      <c r="AF18" s="63"/>
      <c r="AG18" s="63"/>
      <c r="AH18" s="63"/>
      <c r="AI18" s="63"/>
      <c r="AJ18" s="63"/>
    </row>
    <row r="19">
      <c r="A19" s="135">
        <v>17.0</v>
      </c>
      <c r="B19" s="67">
        <v>10.0</v>
      </c>
      <c r="C19" s="31" t="s">
        <v>141</v>
      </c>
      <c r="D19" s="68" t="s">
        <v>1173</v>
      </c>
      <c r="E19" s="71" t="s">
        <v>2505</v>
      </c>
      <c r="F19" s="69" t="s">
        <v>1162</v>
      </c>
      <c r="G19" s="69" t="s">
        <v>2497</v>
      </c>
      <c r="H19" s="145">
        <v>0.0</v>
      </c>
      <c r="I19" s="145">
        <v>0.0</v>
      </c>
      <c r="J19" s="69">
        <v>5.0</v>
      </c>
      <c r="K19" s="69" t="str">
        <f>iferror(vlookup(E19,MasterClass!$C$2:$G988,5,false),"")</f>
        <v/>
      </c>
      <c r="L19" s="69">
        <v>0.0</v>
      </c>
      <c r="M19" s="69">
        <v>6.0</v>
      </c>
      <c r="N19" s="69">
        <f t="shared" si="1"/>
        <v>0</v>
      </c>
      <c r="O19" s="146">
        <f t="shared" si="2"/>
        <v>0</v>
      </c>
      <c r="P19" s="146"/>
      <c r="Q19" s="70"/>
      <c r="T19" s="63"/>
      <c r="U19" s="63"/>
      <c r="V19" s="63"/>
      <c r="W19" s="63"/>
      <c r="X19" s="63"/>
      <c r="Y19" s="63"/>
      <c r="Z19" s="63"/>
      <c r="AA19" s="63"/>
      <c r="AB19" s="63"/>
      <c r="AC19" s="63"/>
      <c r="AD19" s="63"/>
      <c r="AE19" s="63"/>
      <c r="AF19" s="63"/>
      <c r="AG19" s="63"/>
      <c r="AH19" s="63"/>
      <c r="AI19" s="63"/>
      <c r="AJ19" s="63"/>
    </row>
    <row r="20">
      <c r="A20" s="135">
        <v>18.0</v>
      </c>
      <c r="B20" s="67">
        <v>11.0</v>
      </c>
      <c r="C20" s="31" t="s">
        <v>143</v>
      </c>
      <c r="D20" s="68" t="s">
        <v>1174</v>
      </c>
      <c r="E20" s="71" t="s">
        <v>2506</v>
      </c>
      <c r="F20" s="69" t="s">
        <v>1162</v>
      </c>
      <c r="G20" s="69" t="s">
        <v>2507</v>
      </c>
      <c r="H20" s="145">
        <v>3.0</v>
      </c>
      <c r="I20" s="145">
        <v>1.0</v>
      </c>
      <c r="J20" s="69">
        <v>5.0</v>
      </c>
      <c r="K20" s="69" t="str">
        <f>iferror(vlookup(E20,MasterClass!$C$2:$G988,5,false),"")</f>
        <v/>
      </c>
      <c r="L20" s="69">
        <v>3.0</v>
      </c>
      <c r="M20" s="69">
        <f t="shared" ref="M20:M21" si="4">J20+H20</f>
        <v>8</v>
      </c>
      <c r="N20" s="69">
        <f t="shared" si="1"/>
        <v>4</v>
      </c>
      <c r="O20" s="146">
        <f t="shared" si="2"/>
        <v>0.5</v>
      </c>
      <c r="P20" s="69" t="s">
        <v>2508</v>
      </c>
      <c r="Q20" s="69"/>
      <c r="T20" s="63"/>
      <c r="U20" s="63"/>
      <c r="V20" s="63"/>
      <c r="W20" s="63"/>
      <c r="X20" s="63"/>
      <c r="Y20" s="63"/>
      <c r="Z20" s="63"/>
      <c r="AA20" s="63"/>
      <c r="AB20" s="63"/>
      <c r="AC20" s="63"/>
      <c r="AD20" s="63"/>
      <c r="AE20" s="63"/>
      <c r="AF20" s="63"/>
      <c r="AG20" s="63"/>
      <c r="AH20" s="63"/>
      <c r="AI20" s="63"/>
      <c r="AJ20" s="63"/>
    </row>
    <row r="21">
      <c r="A21" s="135">
        <v>19.0</v>
      </c>
      <c r="B21" s="67">
        <v>12.0</v>
      </c>
      <c r="C21" s="31" t="s">
        <v>145</v>
      </c>
      <c r="D21" s="68" t="s">
        <v>1175</v>
      </c>
      <c r="E21" s="71" t="s">
        <v>2509</v>
      </c>
      <c r="F21" s="69" t="s">
        <v>1162</v>
      </c>
      <c r="G21" s="69" t="s">
        <v>2495</v>
      </c>
      <c r="H21" s="145">
        <v>5.0</v>
      </c>
      <c r="I21" s="145">
        <v>4.0</v>
      </c>
      <c r="J21" s="69">
        <v>3.0</v>
      </c>
      <c r="K21" s="69" t="str">
        <f>iferror(vlookup(E21,MasterClass!$C$2:$G988,5,false),"")</f>
        <v/>
      </c>
      <c r="L21" s="69">
        <v>3.0</v>
      </c>
      <c r="M21" s="69">
        <f t="shared" si="4"/>
        <v>8</v>
      </c>
      <c r="N21" s="69">
        <f t="shared" si="1"/>
        <v>7</v>
      </c>
      <c r="O21" s="146">
        <f t="shared" si="2"/>
        <v>0.875</v>
      </c>
      <c r="P21" s="146"/>
      <c r="Q21" s="70"/>
      <c r="R21" s="63"/>
      <c r="S21" s="63"/>
      <c r="T21" s="63"/>
      <c r="U21" s="63"/>
      <c r="V21" s="63"/>
      <c r="W21" s="63"/>
      <c r="X21" s="63"/>
      <c r="Y21" s="63"/>
      <c r="Z21" s="63"/>
      <c r="AA21" s="63"/>
      <c r="AB21" s="63"/>
      <c r="AC21" s="63"/>
      <c r="AD21" s="63"/>
      <c r="AE21" s="63"/>
      <c r="AF21" s="63"/>
      <c r="AG21" s="63"/>
      <c r="AH21" s="63"/>
      <c r="AI21" s="63"/>
      <c r="AJ21" s="63"/>
    </row>
    <row r="22">
      <c r="A22" s="135">
        <v>20.0</v>
      </c>
      <c r="B22" s="67">
        <v>13.0</v>
      </c>
      <c r="C22" s="31" t="s">
        <v>147</v>
      </c>
      <c r="D22" s="68" t="s">
        <v>1176</v>
      </c>
      <c r="E22" s="71" t="s">
        <v>2510</v>
      </c>
      <c r="F22" s="69" t="s">
        <v>1162</v>
      </c>
      <c r="G22" s="69" t="s">
        <v>2497</v>
      </c>
      <c r="H22" s="145">
        <v>0.0</v>
      </c>
      <c r="I22" s="145">
        <v>0.0</v>
      </c>
      <c r="J22" s="69">
        <v>5.0</v>
      </c>
      <c r="K22" s="69" t="str">
        <f>iferror(vlookup(E22,MasterClass!$C$2:$G988,5,false),"")</f>
        <v/>
      </c>
      <c r="L22" s="69">
        <v>4.0</v>
      </c>
      <c r="M22" s="69">
        <v>6.0</v>
      </c>
      <c r="N22" s="69">
        <f t="shared" si="1"/>
        <v>4</v>
      </c>
      <c r="O22" s="146">
        <f t="shared" si="2"/>
        <v>0.6666666667</v>
      </c>
      <c r="P22" s="146"/>
      <c r="Q22" s="70"/>
      <c r="T22" s="63"/>
      <c r="U22" s="63"/>
      <c r="V22" s="63"/>
      <c r="W22" s="63"/>
      <c r="X22" s="63"/>
      <c r="Y22" s="63"/>
      <c r="Z22" s="63"/>
      <c r="AA22" s="63"/>
      <c r="AB22" s="63"/>
      <c r="AC22" s="63"/>
      <c r="AD22" s="63"/>
      <c r="AE22" s="63"/>
      <c r="AF22" s="63"/>
      <c r="AG22" s="63"/>
      <c r="AH22" s="63"/>
      <c r="AI22" s="63"/>
      <c r="AJ22" s="63"/>
    </row>
    <row r="23">
      <c r="A23" s="135">
        <v>21.0</v>
      </c>
      <c r="B23" s="67">
        <v>14.0</v>
      </c>
      <c r="C23" s="31" t="s">
        <v>149</v>
      </c>
      <c r="D23" s="68" t="s">
        <v>1177</v>
      </c>
      <c r="E23" s="71" t="s">
        <v>2511</v>
      </c>
      <c r="F23" s="69" t="s">
        <v>1162</v>
      </c>
      <c r="G23" s="69" t="s">
        <v>2495</v>
      </c>
      <c r="H23" s="145">
        <v>5.0</v>
      </c>
      <c r="I23" s="145">
        <v>5.0</v>
      </c>
      <c r="J23" s="69">
        <v>3.0</v>
      </c>
      <c r="K23" s="69">
        <f>iferror(vlookup(E23,MasterClass!$C$2:$G988,5,false),"")</f>
        <v>1</v>
      </c>
      <c r="L23" s="69">
        <v>3.0</v>
      </c>
      <c r="M23" s="69">
        <f>J23+H23</f>
        <v>8</v>
      </c>
      <c r="N23" s="69">
        <f t="shared" si="1"/>
        <v>9</v>
      </c>
      <c r="O23" s="146">
        <f t="shared" si="2"/>
        <v>1.125</v>
      </c>
      <c r="P23" s="146"/>
      <c r="Q23" s="70"/>
      <c r="R23" s="63"/>
      <c r="S23" s="63"/>
      <c r="T23" s="63"/>
      <c r="U23" s="63"/>
      <c r="V23" s="63"/>
      <c r="W23" s="63"/>
      <c r="X23" s="63"/>
      <c r="Y23" s="63"/>
      <c r="Z23" s="63"/>
      <c r="AA23" s="63"/>
      <c r="AB23" s="63"/>
      <c r="AC23" s="63"/>
      <c r="AD23" s="63"/>
      <c r="AE23" s="63"/>
      <c r="AF23" s="63"/>
      <c r="AG23" s="63"/>
      <c r="AH23" s="63"/>
      <c r="AI23" s="63"/>
      <c r="AJ23" s="63"/>
    </row>
    <row r="24">
      <c r="A24" s="135">
        <v>22.0</v>
      </c>
      <c r="B24" s="67">
        <v>15.0</v>
      </c>
      <c r="C24" s="31" t="s">
        <v>151</v>
      </c>
      <c r="D24" s="68" t="s">
        <v>1178</v>
      </c>
      <c r="E24" s="71" t="s">
        <v>2512</v>
      </c>
      <c r="F24" s="69" t="s">
        <v>1162</v>
      </c>
      <c r="G24" s="69" t="s">
        <v>2497</v>
      </c>
      <c r="H24" s="145">
        <v>0.0</v>
      </c>
      <c r="I24" s="145">
        <v>0.0</v>
      </c>
      <c r="J24" s="69">
        <v>5.0</v>
      </c>
      <c r="K24" s="69">
        <f>iferror(vlookup(E24,MasterClass!$C$2:$G988,5,false),"")</f>
        <v>1</v>
      </c>
      <c r="L24" s="69">
        <v>4.0</v>
      </c>
      <c r="M24" s="69">
        <v>6.0</v>
      </c>
      <c r="N24" s="69">
        <f t="shared" si="1"/>
        <v>5</v>
      </c>
      <c r="O24" s="146">
        <f t="shared" si="2"/>
        <v>0.8333333333</v>
      </c>
      <c r="P24" s="146"/>
      <c r="Q24" s="70"/>
      <c r="T24" s="63"/>
      <c r="U24" s="63"/>
      <c r="V24" s="63"/>
      <c r="W24" s="63"/>
      <c r="X24" s="63"/>
      <c r="Y24" s="63"/>
      <c r="Z24" s="63"/>
      <c r="AA24" s="63"/>
      <c r="AB24" s="63"/>
      <c r="AC24" s="63"/>
      <c r="AD24" s="63"/>
      <c r="AE24" s="63"/>
      <c r="AF24" s="63"/>
      <c r="AG24" s="63"/>
      <c r="AH24" s="63"/>
      <c r="AI24" s="63"/>
      <c r="AJ24" s="63"/>
    </row>
    <row r="25">
      <c r="A25" s="135">
        <v>23.0</v>
      </c>
      <c r="B25" s="67">
        <v>16.0</v>
      </c>
      <c r="C25" s="31" t="s">
        <v>153</v>
      </c>
      <c r="D25" s="68" t="s">
        <v>1179</v>
      </c>
      <c r="E25" s="71" t="s">
        <v>2513</v>
      </c>
      <c r="F25" s="69" t="s">
        <v>1162</v>
      </c>
      <c r="G25" s="69" t="s">
        <v>2495</v>
      </c>
      <c r="H25" s="145">
        <v>5.0</v>
      </c>
      <c r="I25" s="145">
        <v>4.0</v>
      </c>
      <c r="J25" s="69">
        <v>3.0</v>
      </c>
      <c r="K25" s="69">
        <f>iferror(vlookup(E25,MasterClass!$C$2:$G988,5,false),"")</f>
        <v>1</v>
      </c>
      <c r="L25" s="69">
        <v>3.0</v>
      </c>
      <c r="M25" s="69">
        <f t="shared" ref="M25:M26" si="5">J25+H25</f>
        <v>8</v>
      </c>
      <c r="N25" s="69">
        <f t="shared" si="1"/>
        <v>8</v>
      </c>
      <c r="O25" s="146">
        <f t="shared" si="2"/>
        <v>1</v>
      </c>
      <c r="P25" s="146"/>
      <c r="Q25" s="70"/>
      <c r="R25" s="63"/>
      <c r="S25" s="63"/>
      <c r="T25" s="63"/>
      <c r="U25" s="63"/>
      <c r="V25" s="63"/>
      <c r="W25" s="63"/>
      <c r="X25" s="63"/>
      <c r="Y25" s="63"/>
      <c r="Z25" s="63"/>
      <c r="AA25" s="63"/>
      <c r="AB25" s="63"/>
      <c r="AC25" s="63"/>
      <c r="AD25" s="63"/>
      <c r="AE25" s="63"/>
      <c r="AF25" s="63"/>
      <c r="AG25" s="63"/>
      <c r="AH25" s="63"/>
      <c r="AI25" s="63"/>
      <c r="AJ25" s="63"/>
    </row>
    <row r="26">
      <c r="A26" s="135">
        <v>24.0</v>
      </c>
      <c r="B26" s="67">
        <v>17.0</v>
      </c>
      <c r="C26" s="31" t="s">
        <v>155</v>
      </c>
      <c r="D26" s="68" t="s">
        <v>1180</v>
      </c>
      <c r="E26" s="71" t="s">
        <v>2514</v>
      </c>
      <c r="F26" s="69" t="s">
        <v>1162</v>
      </c>
      <c r="G26" s="69" t="s">
        <v>2495</v>
      </c>
      <c r="H26" s="145">
        <v>5.0</v>
      </c>
      <c r="I26" s="145">
        <v>2.0</v>
      </c>
      <c r="J26" s="69">
        <v>3.0</v>
      </c>
      <c r="K26" s="69" t="str">
        <f>iferror(vlookup(E26,MasterClass!$C$2:$G988,5,false),"")</f>
        <v/>
      </c>
      <c r="L26" s="69">
        <v>1.0</v>
      </c>
      <c r="M26" s="69">
        <f t="shared" si="5"/>
        <v>8</v>
      </c>
      <c r="N26" s="69">
        <f t="shared" si="1"/>
        <v>3</v>
      </c>
      <c r="O26" s="146">
        <f t="shared" si="2"/>
        <v>0.375</v>
      </c>
      <c r="P26" s="146"/>
      <c r="Q26" s="70"/>
      <c r="R26" s="63"/>
      <c r="S26" s="63"/>
      <c r="T26" s="63"/>
      <c r="U26" s="63"/>
      <c r="V26" s="63"/>
      <c r="W26" s="63"/>
      <c r="X26" s="63"/>
      <c r="Y26" s="63"/>
      <c r="Z26" s="63"/>
      <c r="AA26" s="63"/>
      <c r="AB26" s="63"/>
      <c r="AC26" s="63"/>
      <c r="AD26" s="63"/>
      <c r="AE26" s="63"/>
      <c r="AF26" s="63"/>
      <c r="AG26" s="63"/>
      <c r="AH26" s="63"/>
      <c r="AI26" s="63"/>
      <c r="AJ26" s="63"/>
    </row>
    <row r="27">
      <c r="A27" s="135">
        <v>25.0</v>
      </c>
      <c r="B27" s="67">
        <v>18.0</v>
      </c>
      <c r="C27" s="31" t="s">
        <v>157</v>
      </c>
      <c r="D27" s="68" t="s">
        <v>1181</v>
      </c>
      <c r="E27" s="71" t="s">
        <v>2515</v>
      </c>
      <c r="F27" s="69" t="s">
        <v>1162</v>
      </c>
      <c r="G27" s="69" t="s">
        <v>2497</v>
      </c>
      <c r="H27" s="145">
        <v>0.0</v>
      </c>
      <c r="I27" s="145">
        <v>0.0</v>
      </c>
      <c r="J27" s="69">
        <v>5.0</v>
      </c>
      <c r="K27" s="69">
        <f>iferror(vlookup(E27,MasterClass!$C$2:$G988,5,false),"")</f>
        <v>1</v>
      </c>
      <c r="L27" s="69">
        <v>5.0</v>
      </c>
      <c r="M27" s="69">
        <v>6.0</v>
      </c>
      <c r="N27" s="69">
        <f t="shared" si="1"/>
        <v>6</v>
      </c>
      <c r="O27" s="146">
        <f t="shared" si="2"/>
        <v>1</v>
      </c>
      <c r="P27" s="146"/>
      <c r="Q27" s="70"/>
      <c r="T27" s="63"/>
      <c r="U27" s="63"/>
      <c r="V27" s="63"/>
      <c r="W27" s="63"/>
      <c r="X27" s="63"/>
      <c r="Y27" s="63"/>
      <c r="Z27" s="63"/>
      <c r="AA27" s="63"/>
      <c r="AB27" s="63"/>
      <c r="AC27" s="63"/>
      <c r="AD27" s="63"/>
      <c r="AE27" s="63"/>
      <c r="AF27" s="63"/>
      <c r="AG27" s="63"/>
      <c r="AH27" s="63"/>
      <c r="AI27" s="63"/>
      <c r="AJ27" s="63"/>
    </row>
    <row r="28">
      <c r="A28" s="135">
        <v>26.0</v>
      </c>
      <c r="B28" s="67">
        <v>19.0</v>
      </c>
      <c r="C28" s="31" t="s">
        <v>159</v>
      </c>
      <c r="D28" s="68" t="s">
        <v>1182</v>
      </c>
      <c r="E28" s="71" t="s">
        <v>2516</v>
      </c>
      <c r="F28" s="69" t="s">
        <v>1162</v>
      </c>
      <c r="G28" s="69" t="s">
        <v>2497</v>
      </c>
      <c r="H28" s="145">
        <v>0.0</v>
      </c>
      <c r="I28" s="145">
        <v>0.0</v>
      </c>
      <c r="J28" s="69">
        <v>5.0</v>
      </c>
      <c r="K28" s="69">
        <f>iferror(vlookup(E28,MasterClass!$C$2:$G988,5,false),"")</f>
        <v>1</v>
      </c>
      <c r="L28" s="69">
        <v>5.0</v>
      </c>
      <c r="M28" s="69">
        <v>6.0</v>
      </c>
      <c r="N28" s="69">
        <f t="shared" si="1"/>
        <v>6</v>
      </c>
      <c r="O28" s="146">
        <f t="shared" si="2"/>
        <v>1</v>
      </c>
      <c r="P28" s="146"/>
      <c r="Q28" s="70"/>
      <c r="T28" s="63"/>
      <c r="U28" s="63"/>
      <c r="V28" s="63"/>
      <c r="W28" s="63"/>
      <c r="X28" s="63"/>
      <c r="Y28" s="63"/>
      <c r="Z28" s="63"/>
      <c r="AA28" s="63"/>
      <c r="AB28" s="63"/>
      <c r="AC28" s="63"/>
      <c r="AD28" s="63"/>
      <c r="AE28" s="63"/>
      <c r="AF28" s="63"/>
      <c r="AG28" s="63"/>
      <c r="AH28" s="63"/>
      <c r="AI28" s="63"/>
      <c r="AJ28" s="63"/>
    </row>
    <row r="29">
      <c r="A29" s="135">
        <v>27.0</v>
      </c>
      <c r="B29" s="67">
        <v>20.0</v>
      </c>
      <c r="C29" s="31" t="s">
        <v>161</v>
      </c>
      <c r="D29" s="68" t="s">
        <v>1183</v>
      </c>
      <c r="E29" s="71" t="s">
        <v>2517</v>
      </c>
      <c r="F29" s="69" t="s">
        <v>1162</v>
      </c>
      <c r="G29" s="69" t="s">
        <v>2518</v>
      </c>
      <c r="H29" s="145">
        <v>5.0</v>
      </c>
      <c r="I29" s="145">
        <v>4.0</v>
      </c>
      <c r="J29" s="69">
        <v>5.0</v>
      </c>
      <c r="K29" s="69" t="str">
        <f>iferror(vlookup(E29,MasterClass!$C$2:$G988,5,false),"")</f>
        <v/>
      </c>
      <c r="L29" s="69">
        <v>4.0</v>
      </c>
      <c r="M29" s="69">
        <f t="shared" ref="M29:M31" si="6">J29+H29</f>
        <v>10</v>
      </c>
      <c r="N29" s="69">
        <f t="shared" si="1"/>
        <v>8</v>
      </c>
      <c r="O29" s="146">
        <f t="shared" si="2"/>
        <v>0.8</v>
      </c>
      <c r="P29" s="146"/>
      <c r="Q29" s="70"/>
      <c r="R29" s="63"/>
      <c r="S29" s="63"/>
      <c r="T29" s="63"/>
      <c r="U29" s="63"/>
      <c r="V29" s="63"/>
      <c r="W29" s="63"/>
      <c r="X29" s="63"/>
      <c r="Y29" s="63"/>
      <c r="Z29" s="63"/>
      <c r="AA29" s="63"/>
      <c r="AB29" s="63"/>
      <c r="AC29" s="63"/>
      <c r="AD29" s="63"/>
      <c r="AE29" s="63"/>
      <c r="AF29" s="63"/>
      <c r="AG29" s="63"/>
      <c r="AH29" s="63"/>
      <c r="AI29" s="63"/>
      <c r="AJ29" s="63"/>
    </row>
    <row r="30">
      <c r="A30" s="135">
        <v>28.0</v>
      </c>
      <c r="B30" s="67">
        <v>21.0</v>
      </c>
      <c r="C30" s="31" t="s">
        <v>163</v>
      </c>
      <c r="D30" s="68" t="s">
        <v>1184</v>
      </c>
      <c r="E30" s="71" t="s">
        <v>2519</v>
      </c>
      <c r="F30" s="69" t="s">
        <v>1162</v>
      </c>
      <c r="G30" s="69" t="s">
        <v>2518</v>
      </c>
      <c r="H30" s="145">
        <v>5.0</v>
      </c>
      <c r="I30" s="145">
        <v>0.0</v>
      </c>
      <c r="J30" s="69">
        <v>5.0</v>
      </c>
      <c r="K30" s="69" t="str">
        <f>iferror(vlookup(E30,MasterClass!$C$2:$G988,5,false),"")</f>
        <v/>
      </c>
      <c r="L30" s="69">
        <v>0.0</v>
      </c>
      <c r="M30" s="69">
        <f t="shared" si="6"/>
        <v>10</v>
      </c>
      <c r="N30" s="69">
        <f t="shared" si="1"/>
        <v>0</v>
      </c>
      <c r="O30" s="146">
        <f t="shared" si="2"/>
        <v>0</v>
      </c>
      <c r="P30" s="146"/>
      <c r="Q30" s="70"/>
      <c r="R30" s="63"/>
      <c r="S30" s="63"/>
      <c r="T30" s="63"/>
      <c r="U30" s="63"/>
      <c r="V30" s="63"/>
      <c r="W30" s="63"/>
      <c r="X30" s="63"/>
      <c r="Y30" s="63"/>
      <c r="Z30" s="63"/>
      <c r="AA30" s="63"/>
      <c r="AB30" s="63"/>
      <c r="AC30" s="63"/>
      <c r="AD30" s="63"/>
      <c r="AE30" s="63"/>
      <c r="AF30" s="63"/>
      <c r="AG30" s="63"/>
      <c r="AH30" s="63"/>
      <c r="AI30" s="63"/>
      <c r="AJ30" s="63"/>
    </row>
    <row r="31">
      <c r="A31" s="135">
        <v>29.0</v>
      </c>
      <c r="B31" s="67">
        <v>22.0</v>
      </c>
      <c r="C31" s="31" t="s">
        <v>165</v>
      </c>
      <c r="D31" s="68" t="s">
        <v>1185</v>
      </c>
      <c r="E31" s="71" t="s">
        <v>2520</v>
      </c>
      <c r="F31" s="69" t="s">
        <v>1162</v>
      </c>
      <c r="G31" s="69" t="s">
        <v>2518</v>
      </c>
      <c r="H31" s="145">
        <v>5.0</v>
      </c>
      <c r="I31" s="145">
        <v>3.0</v>
      </c>
      <c r="J31" s="69">
        <v>5.0</v>
      </c>
      <c r="K31" s="69" t="str">
        <f>iferror(vlookup(E31,MasterClass!$C$2:$G988,5,false),"")</f>
        <v/>
      </c>
      <c r="L31" s="69">
        <v>3.0</v>
      </c>
      <c r="M31" s="69">
        <f t="shared" si="6"/>
        <v>10</v>
      </c>
      <c r="N31" s="69">
        <f t="shared" si="1"/>
        <v>6</v>
      </c>
      <c r="O31" s="146">
        <f t="shared" si="2"/>
        <v>0.6</v>
      </c>
      <c r="P31" s="146"/>
      <c r="Q31" s="70"/>
      <c r="R31" s="63"/>
      <c r="S31" s="63"/>
      <c r="T31" s="63"/>
      <c r="U31" s="63"/>
      <c r="V31" s="63"/>
      <c r="W31" s="63"/>
      <c r="X31" s="63"/>
      <c r="Y31" s="63"/>
      <c r="Z31" s="63"/>
      <c r="AA31" s="63"/>
      <c r="AB31" s="63"/>
      <c r="AC31" s="63"/>
      <c r="AD31" s="63"/>
      <c r="AE31" s="63"/>
      <c r="AF31" s="63"/>
      <c r="AG31" s="63"/>
      <c r="AH31" s="63"/>
      <c r="AI31" s="63"/>
      <c r="AJ31" s="63"/>
    </row>
    <row r="32">
      <c r="A32" s="135">
        <v>30.0</v>
      </c>
      <c r="B32" s="67">
        <v>23.0</v>
      </c>
      <c r="C32" s="31" t="s">
        <v>167</v>
      </c>
      <c r="D32" s="68" t="s">
        <v>1186</v>
      </c>
      <c r="E32" s="71" t="s">
        <v>2521</v>
      </c>
      <c r="F32" s="69" t="s">
        <v>1162</v>
      </c>
      <c r="G32" s="69" t="s">
        <v>1187</v>
      </c>
      <c r="H32" s="145" t="s">
        <v>1187</v>
      </c>
      <c r="I32" s="145" t="s">
        <v>1187</v>
      </c>
      <c r="J32" s="69" t="s">
        <v>1187</v>
      </c>
      <c r="K32" s="69" t="s">
        <v>1187</v>
      </c>
      <c r="L32" s="69" t="s">
        <v>1187</v>
      </c>
      <c r="M32" s="69" t="s">
        <v>1187</v>
      </c>
      <c r="N32" s="69" t="s">
        <v>1187</v>
      </c>
      <c r="O32" s="69" t="s">
        <v>1187</v>
      </c>
      <c r="P32" s="69" t="s">
        <v>2522</v>
      </c>
      <c r="Q32" s="70"/>
      <c r="R32" s="63"/>
      <c r="S32" s="63"/>
      <c r="T32" s="63"/>
      <c r="U32" s="63"/>
      <c r="V32" s="63"/>
      <c r="W32" s="63"/>
      <c r="X32" s="63"/>
      <c r="Y32" s="63"/>
      <c r="Z32" s="63"/>
      <c r="AA32" s="63"/>
      <c r="AB32" s="63"/>
      <c r="AC32" s="63"/>
      <c r="AD32" s="63"/>
      <c r="AE32" s="63"/>
      <c r="AF32" s="63"/>
      <c r="AG32" s="63"/>
      <c r="AH32" s="63"/>
      <c r="AI32" s="63"/>
      <c r="AJ32" s="63"/>
    </row>
    <row r="33">
      <c r="A33" s="135">
        <v>31.0</v>
      </c>
      <c r="B33" s="67">
        <v>24.0</v>
      </c>
      <c r="C33" s="31" t="s">
        <v>169</v>
      </c>
      <c r="D33" s="68" t="s">
        <v>1188</v>
      </c>
      <c r="E33" s="71" t="s">
        <v>2523</v>
      </c>
      <c r="F33" s="69" t="s">
        <v>1162</v>
      </c>
      <c r="G33" s="69" t="s">
        <v>1187</v>
      </c>
      <c r="H33" s="145" t="s">
        <v>1187</v>
      </c>
      <c r="I33" s="145" t="s">
        <v>1187</v>
      </c>
      <c r="J33" s="69" t="s">
        <v>1187</v>
      </c>
      <c r="K33" s="69" t="s">
        <v>1187</v>
      </c>
      <c r="L33" s="69" t="s">
        <v>1187</v>
      </c>
      <c r="M33" s="69" t="s">
        <v>1187</v>
      </c>
      <c r="N33" s="69" t="s">
        <v>1187</v>
      </c>
      <c r="O33" s="69" t="s">
        <v>1187</v>
      </c>
      <c r="P33" s="69" t="s">
        <v>2522</v>
      </c>
      <c r="Q33" s="70"/>
      <c r="R33" s="63"/>
      <c r="S33" s="63"/>
      <c r="T33" s="63"/>
      <c r="U33" s="63"/>
      <c r="V33" s="63"/>
      <c r="W33" s="63"/>
      <c r="X33" s="63"/>
      <c r="Y33" s="63"/>
      <c r="Z33" s="63"/>
      <c r="AA33" s="63"/>
      <c r="AB33" s="63"/>
      <c r="AC33" s="63"/>
      <c r="AD33" s="63"/>
      <c r="AE33" s="63"/>
      <c r="AF33" s="63"/>
      <c r="AG33" s="63"/>
      <c r="AH33" s="63"/>
      <c r="AI33" s="63"/>
      <c r="AJ33" s="63"/>
    </row>
    <row r="34">
      <c r="A34" s="135">
        <v>32.0</v>
      </c>
      <c r="B34" s="67">
        <v>25.0</v>
      </c>
      <c r="C34" s="31" t="s">
        <v>171</v>
      </c>
      <c r="D34" s="68" t="s">
        <v>1189</v>
      </c>
      <c r="E34" s="71" t="s">
        <v>2524</v>
      </c>
      <c r="F34" s="69" t="s">
        <v>1162</v>
      </c>
      <c r="G34" s="69" t="s">
        <v>1187</v>
      </c>
      <c r="H34" s="145" t="s">
        <v>1187</v>
      </c>
      <c r="I34" s="145" t="s">
        <v>1187</v>
      </c>
      <c r="J34" s="69" t="s">
        <v>1187</v>
      </c>
      <c r="K34" s="69" t="s">
        <v>1187</v>
      </c>
      <c r="L34" s="69" t="s">
        <v>1187</v>
      </c>
      <c r="M34" s="69" t="s">
        <v>1187</v>
      </c>
      <c r="N34" s="69" t="s">
        <v>1187</v>
      </c>
      <c r="O34" s="69" t="s">
        <v>1187</v>
      </c>
      <c r="P34" s="69" t="s">
        <v>2522</v>
      </c>
      <c r="Q34" s="70"/>
      <c r="R34" s="63"/>
      <c r="S34" s="63"/>
      <c r="T34" s="63"/>
      <c r="U34" s="63"/>
      <c r="V34" s="63"/>
      <c r="W34" s="63"/>
      <c r="X34" s="63"/>
      <c r="Y34" s="63"/>
      <c r="Z34" s="63"/>
      <c r="AA34" s="63"/>
      <c r="AB34" s="63"/>
      <c r="AC34" s="63"/>
      <c r="AD34" s="63"/>
      <c r="AE34" s="63"/>
      <c r="AF34" s="63"/>
      <c r="AG34" s="63"/>
      <c r="AH34" s="63"/>
      <c r="AI34" s="63"/>
      <c r="AJ34" s="63"/>
    </row>
    <row r="35">
      <c r="A35" s="135">
        <v>33.0</v>
      </c>
      <c r="B35" s="67">
        <v>26.0</v>
      </c>
      <c r="C35" s="31" t="s">
        <v>173</v>
      </c>
      <c r="D35" s="68" t="s">
        <v>1190</v>
      </c>
      <c r="E35" s="71" t="s">
        <v>2525</v>
      </c>
      <c r="F35" s="69" t="s">
        <v>1162</v>
      </c>
      <c r="G35" s="69" t="s">
        <v>2518</v>
      </c>
      <c r="H35" s="145">
        <v>5.0</v>
      </c>
      <c r="I35" s="145">
        <v>4.0</v>
      </c>
      <c r="J35" s="69">
        <v>5.0</v>
      </c>
      <c r="K35" s="69" t="str">
        <f>iferror(vlookup(E35,MasterClass!$C$2:$G988,5,false),"")</f>
        <v/>
      </c>
      <c r="L35" s="69">
        <v>4.0</v>
      </c>
      <c r="M35" s="69">
        <f>J35+H35</f>
        <v>10</v>
      </c>
      <c r="N35" s="69">
        <f>I35+L35+K35</f>
        <v>8</v>
      </c>
      <c r="O35" s="146">
        <f>N35/M35</f>
        <v>0.8</v>
      </c>
      <c r="P35" s="146"/>
      <c r="Q35" s="70"/>
      <c r="R35" s="63"/>
      <c r="S35" s="63"/>
      <c r="T35" s="63"/>
      <c r="U35" s="63"/>
      <c r="V35" s="63"/>
      <c r="W35" s="63"/>
      <c r="X35" s="63"/>
      <c r="Y35" s="63"/>
      <c r="Z35" s="63"/>
      <c r="AA35" s="63"/>
      <c r="AB35" s="63"/>
      <c r="AC35" s="63"/>
      <c r="AD35" s="63"/>
      <c r="AE35" s="63"/>
      <c r="AF35" s="63"/>
      <c r="AG35" s="63"/>
      <c r="AH35" s="63"/>
      <c r="AI35" s="63"/>
      <c r="AJ35" s="63"/>
    </row>
    <row r="36">
      <c r="A36" s="135">
        <v>34.0</v>
      </c>
      <c r="B36" s="67">
        <v>27.0</v>
      </c>
      <c r="C36" s="31" t="s">
        <v>175</v>
      </c>
      <c r="D36" s="68" t="s">
        <v>1191</v>
      </c>
      <c r="E36" s="71" t="s">
        <v>2526</v>
      </c>
      <c r="F36" s="69" t="s">
        <v>1162</v>
      </c>
      <c r="G36" s="69" t="s">
        <v>1187</v>
      </c>
      <c r="H36" s="145" t="s">
        <v>1187</v>
      </c>
      <c r="I36" s="145" t="s">
        <v>1187</v>
      </c>
      <c r="J36" s="69" t="s">
        <v>1187</v>
      </c>
      <c r="K36" s="69" t="s">
        <v>1187</v>
      </c>
      <c r="L36" s="69" t="s">
        <v>1187</v>
      </c>
      <c r="M36" s="69" t="s">
        <v>1187</v>
      </c>
      <c r="N36" s="69" t="s">
        <v>1187</v>
      </c>
      <c r="O36" s="69" t="s">
        <v>1187</v>
      </c>
      <c r="P36" s="69" t="s">
        <v>2522</v>
      </c>
      <c r="Q36" s="70"/>
      <c r="R36" s="63"/>
      <c r="S36" s="63"/>
      <c r="T36" s="63"/>
      <c r="U36" s="63"/>
      <c r="V36" s="63"/>
      <c r="W36" s="63"/>
      <c r="X36" s="63"/>
      <c r="Y36" s="63"/>
      <c r="Z36" s="63"/>
      <c r="AA36" s="63"/>
      <c r="AB36" s="63"/>
      <c r="AC36" s="63"/>
      <c r="AD36" s="63"/>
      <c r="AE36" s="63"/>
      <c r="AF36" s="63"/>
      <c r="AG36" s="63"/>
      <c r="AH36" s="63"/>
      <c r="AI36" s="63"/>
      <c r="AJ36" s="63"/>
    </row>
    <row r="37">
      <c r="A37" s="135">
        <v>35.0</v>
      </c>
      <c r="B37" s="67">
        <v>28.0</v>
      </c>
      <c r="C37" s="31" t="s">
        <v>177</v>
      </c>
      <c r="D37" s="68" t="s">
        <v>1192</v>
      </c>
      <c r="E37" s="71" t="s">
        <v>2527</v>
      </c>
      <c r="F37" s="69" t="s">
        <v>1162</v>
      </c>
      <c r="G37" s="69" t="s">
        <v>2495</v>
      </c>
      <c r="H37" s="145">
        <v>5.0</v>
      </c>
      <c r="I37" s="145">
        <v>3.0</v>
      </c>
      <c r="J37" s="69">
        <v>3.0</v>
      </c>
      <c r="K37" s="69" t="str">
        <f>iferror(vlookup(E37,MasterClass!$C$2:$G988,5,false),"")</f>
        <v/>
      </c>
      <c r="L37" s="69">
        <v>1.0</v>
      </c>
      <c r="M37" s="69">
        <f t="shared" ref="M37:M57" si="7">J37+H37</f>
        <v>8</v>
      </c>
      <c r="N37" s="69">
        <f t="shared" ref="N37:N57" si="8">I37+L37+K37</f>
        <v>4</v>
      </c>
      <c r="O37" s="146">
        <f t="shared" ref="O37:O57" si="9">N37/M37</f>
        <v>0.5</v>
      </c>
      <c r="P37" s="146"/>
      <c r="Q37" s="70"/>
      <c r="R37" s="63"/>
      <c r="S37" s="63"/>
      <c r="T37" s="63"/>
      <c r="U37" s="63"/>
      <c r="V37" s="63"/>
      <c r="W37" s="63"/>
      <c r="X37" s="63"/>
      <c r="Y37" s="63"/>
      <c r="Z37" s="63"/>
      <c r="AA37" s="63"/>
      <c r="AB37" s="63"/>
      <c r="AC37" s="63"/>
      <c r="AD37" s="63"/>
      <c r="AE37" s="63"/>
      <c r="AF37" s="63"/>
      <c r="AG37" s="63"/>
      <c r="AH37" s="63"/>
      <c r="AI37" s="63"/>
      <c r="AJ37" s="63"/>
    </row>
    <row r="38">
      <c r="A38" s="135">
        <v>36.0</v>
      </c>
      <c r="B38" s="67">
        <v>29.0</v>
      </c>
      <c r="C38" s="31" t="s">
        <v>179</v>
      </c>
      <c r="D38" s="68" t="s">
        <v>1193</v>
      </c>
      <c r="E38" s="71" t="s">
        <v>2528</v>
      </c>
      <c r="F38" s="69" t="s">
        <v>1162</v>
      </c>
      <c r="G38" s="69" t="s">
        <v>2495</v>
      </c>
      <c r="H38" s="145">
        <v>5.0</v>
      </c>
      <c r="I38" s="145">
        <v>4.0</v>
      </c>
      <c r="J38" s="69">
        <v>3.0</v>
      </c>
      <c r="K38" s="69" t="str">
        <f>iferror(vlookup(E38,MasterClass!$C$2:$G988,5,false),"")</f>
        <v/>
      </c>
      <c r="L38" s="69">
        <v>3.0</v>
      </c>
      <c r="M38" s="69">
        <f t="shared" si="7"/>
        <v>8</v>
      </c>
      <c r="N38" s="69">
        <f t="shared" si="8"/>
        <v>7</v>
      </c>
      <c r="O38" s="146">
        <f t="shared" si="9"/>
        <v>0.875</v>
      </c>
      <c r="P38" s="146"/>
      <c r="Q38" s="70"/>
      <c r="R38" s="63"/>
      <c r="S38" s="63"/>
      <c r="T38" s="63"/>
      <c r="U38" s="63"/>
      <c r="V38" s="63"/>
      <c r="W38" s="63"/>
      <c r="X38" s="63"/>
      <c r="Y38" s="63"/>
      <c r="Z38" s="63"/>
      <c r="AA38" s="63"/>
      <c r="AB38" s="63"/>
      <c r="AC38" s="63"/>
      <c r="AD38" s="63"/>
      <c r="AE38" s="63"/>
      <c r="AF38" s="63"/>
      <c r="AG38" s="63"/>
      <c r="AH38" s="63"/>
      <c r="AI38" s="63"/>
      <c r="AJ38" s="63"/>
    </row>
    <row r="39">
      <c r="A39" s="135">
        <v>37.0</v>
      </c>
      <c r="B39" s="67">
        <v>30.0</v>
      </c>
      <c r="C39" s="31" t="s">
        <v>181</v>
      </c>
      <c r="D39" s="68" t="s">
        <v>1194</v>
      </c>
      <c r="E39" s="71" t="s">
        <v>2529</v>
      </c>
      <c r="F39" s="69" t="s">
        <v>1162</v>
      </c>
      <c r="G39" s="69" t="s">
        <v>2495</v>
      </c>
      <c r="H39" s="145">
        <v>5.0</v>
      </c>
      <c r="I39" s="145">
        <v>5.0</v>
      </c>
      <c r="J39" s="69">
        <v>3.0</v>
      </c>
      <c r="K39" s="69" t="str">
        <f>iferror(vlookup(E39,MasterClass!$C$2:$G988,5,false),"")</f>
        <v/>
      </c>
      <c r="L39" s="69">
        <v>3.0</v>
      </c>
      <c r="M39" s="69">
        <f t="shared" si="7"/>
        <v>8</v>
      </c>
      <c r="N39" s="69">
        <f t="shared" si="8"/>
        <v>8</v>
      </c>
      <c r="O39" s="146">
        <f t="shared" si="9"/>
        <v>1</v>
      </c>
      <c r="P39" s="146"/>
      <c r="Q39" s="70"/>
      <c r="R39" s="63"/>
      <c r="S39" s="63"/>
      <c r="T39" s="63"/>
      <c r="U39" s="63"/>
      <c r="V39" s="63"/>
      <c r="W39" s="63"/>
      <c r="X39" s="63"/>
      <c r="Y39" s="63"/>
      <c r="Z39" s="63"/>
      <c r="AA39" s="63"/>
      <c r="AB39" s="63"/>
      <c r="AC39" s="63"/>
      <c r="AD39" s="63"/>
      <c r="AE39" s="63"/>
      <c r="AF39" s="63"/>
      <c r="AG39" s="63"/>
      <c r="AH39" s="63"/>
      <c r="AI39" s="63"/>
      <c r="AJ39" s="63"/>
    </row>
    <row r="40">
      <c r="A40" s="135">
        <v>38.0</v>
      </c>
      <c r="B40" s="67">
        <v>31.0</v>
      </c>
      <c r="C40" s="31" t="s">
        <v>183</v>
      </c>
      <c r="D40" s="68" t="s">
        <v>1195</v>
      </c>
      <c r="E40" s="71" t="s">
        <v>2530</v>
      </c>
      <c r="F40" s="69" t="s">
        <v>1162</v>
      </c>
      <c r="G40" s="69" t="s">
        <v>2495</v>
      </c>
      <c r="H40" s="145">
        <v>5.0</v>
      </c>
      <c r="I40" s="145">
        <v>1.0</v>
      </c>
      <c r="J40" s="69">
        <v>3.0</v>
      </c>
      <c r="K40" s="69" t="str">
        <f>iferror(vlookup(E40,MasterClass!$C$2:$G988,5,false),"")</f>
        <v/>
      </c>
      <c r="L40" s="69">
        <v>1.0</v>
      </c>
      <c r="M40" s="69">
        <f t="shared" si="7"/>
        <v>8</v>
      </c>
      <c r="N40" s="69">
        <f t="shared" si="8"/>
        <v>2</v>
      </c>
      <c r="O40" s="146">
        <f t="shared" si="9"/>
        <v>0.25</v>
      </c>
      <c r="P40" s="146"/>
      <c r="Q40" s="70"/>
      <c r="R40" s="63"/>
      <c r="S40" s="63"/>
      <c r="T40" s="63"/>
      <c r="U40" s="63"/>
      <c r="V40" s="63"/>
      <c r="W40" s="63"/>
      <c r="X40" s="63"/>
      <c r="Y40" s="63"/>
      <c r="Z40" s="63"/>
      <c r="AA40" s="63"/>
      <c r="AB40" s="63"/>
      <c r="AC40" s="63"/>
      <c r="AD40" s="63"/>
      <c r="AE40" s="63"/>
      <c r="AF40" s="63"/>
      <c r="AG40" s="63"/>
      <c r="AH40" s="63"/>
      <c r="AI40" s="63"/>
      <c r="AJ40" s="63"/>
    </row>
    <row r="41">
      <c r="A41" s="135">
        <v>39.0</v>
      </c>
      <c r="B41" s="67">
        <v>32.0</v>
      </c>
      <c r="C41" s="31" t="s">
        <v>185</v>
      </c>
      <c r="D41" s="68" t="s">
        <v>1196</v>
      </c>
      <c r="E41" s="71" t="s">
        <v>2531</v>
      </c>
      <c r="F41" s="69" t="s">
        <v>1162</v>
      </c>
      <c r="G41" s="69" t="s">
        <v>2495</v>
      </c>
      <c r="H41" s="145">
        <v>5.0</v>
      </c>
      <c r="I41" s="145">
        <v>4.0</v>
      </c>
      <c r="J41" s="69">
        <v>3.0</v>
      </c>
      <c r="K41" s="69">
        <f>iferror(vlookup(E41,MasterClass!$C$2:$G988,5,false),"")</f>
        <v>1</v>
      </c>
      <c r="L41" s="69">
        <v>3.0</v>
      </c>
      <c r="M41" s="69">
        <f t="shared" si="7"/>
        <v>8</v>
      </c>
      <c r="N41" s="69">
        <f t="shared" si="8"/>
        <v>8</v>
      </c>
      <c r="O41" s="146">
        <f t="shared" si="9"/>
        <v>1</v>
      </c>
      <c r="P41" s="146"/>
      <c r="Q41" s="70"/>
      <c r="R41" s="63"/>
      <c r="S41" s="63"/>
      <c r="T41" s="63"/>
      <c r="U41" s="63"/>
      <c r="V41" s="63"/>
      <c r="W41" s="63"/>
      <c r="X41" s="63"/>
      <c r="Y41" s="63"/>
      <c r="Z41" s="63"/>
      <c r="AA41" s="63"/>
      <c r="AB41" s="63"/>
      <c r="AC41" s="63"/>
      <c r="AD41" s="63"/>
      <c r="AE41" s="63"/>
      <c r="AF41" s="63"/>
      <c r="AG41" s="63"/>
      <c r="AH41" s="63"/>
      <c r="AI41" s="63"/>
      <c r="AJ41" s="63"/>
    </row>
    <row r="42">
      <c r="A42" s="135">
        <v>40.0</v>
      </c>
      <c r="B42" s="67">
        <v>33.0</v>
      </c>
      <c r="C42" s="31" t="s">
        <v>187</v>
      </c>
      <c r="D42" s="68" t="s">
        <v>1197</v>
      </c>
      <c r="E42" s="71" t="s">
        <v>2532</v>
      </c>
      <c r="F42" s="69" t="s">
        <v>1162</v>
      </c>
      <c r="G42" s="69" t="s">
        <v>2495</v>
      </c>
      <c r="H42" s="145">
        <v>5.0</v>
      </c>
      <c r="I42" s="145">
        <v>4.0</v>
      </c>
      <c r="J42" s="69">
        <v>3.0</v>
      </c>
      <c r="K42" s="69" t="str">
        <f>iferror(vlookup(E42,MasterClass!$C$2:$G988,5,false),"")</f>
        <v/>
      </c>
      <c r="L42" s="69">
        <v>1.0</v>
      </c>
      <c r="M42" s="69">
        <f t="shared" si="7"/>
        <v>8</v>
      </c>
      <c r="N42" s="69">
        <f t="shared" si="8"/>
        <v>5</v>
      </c>
      <c r="O42" s="146">
        <f t="shared" si="9"/>
        <v>0.625</v>
      </c>
      <c r="P42" s="146"/>
      <c r="Q42" s="70"/>
      <c r="R42" s="63"/>
      <c r="S42" s="63"/>
      <c r="T42" s="63"/>
      <c r="U42" s="63"/>
      <c r="V42" s="63"/>
      <c r="W42" s="63"/>
      <c r="X42" s="63"/>
      <c r="Y42" s="63"/>
      <c r="Z42" s="63"/>
      <c r="AA42" s="63"/>
      <c r="AB42" s="63"/>
      <c r="AC42" s="63"/>
      <c r="AD42" s="63"/>
      <c r="AE42" s="63"/>
      <c r="AF42" s="63"/>
      <c r="AG42" s="63"/>
      <c r="AH42" s="63"/>
      <c r="AI42" s="63"/>
      <c r="AJ42" s="63"/>
    </row>
    <row r="43">
      <c r="A43" s="135">
        <v>41.0</v>
      </c>
      <c r="B43" s="67">
        <v>34.0</v>
      </c>
      <c r="C43" s="31" t="s">
        <v>189</v>
      </c>
      <c r="D43" s="68" t="s">
        <v>1198</v>
      </c>
      <c r="E43" s="71" t="s">
        <v>2533</v>
      </c>
      <c r="F43" s="69" t="s">
        <v>1162</v>
      </c>
      <c r="G43" s="69" t="s">
        <v>2518</v>
      </c>
      <c r="H43" s="145">
        <v>5.0</v>
      </c>
      <c r="I43" s="145">
        <v>4.0</v>
      </c>
      <c r="J43" s="69">
        <v>5.0</v>
      </c>
      <c r="K43" s="69" t="str">
        <f>iferror(vlookup(E43,MasterClass!$C$2:$G988,5,false),"")</f>
        <v/>
      </c>
      <c r="L43" s="69">
        <v>4.0</v>
      </c>
      <c r="M43" s="69">
        <f t="shared" si="7"/>
        <v>10</v>
      </c>
      <c r="N43" s="69">
        <f t="shared" si="8"/>
        <v>8</v>
      </c>
      <c r="O43" s="146">
        <f t="shared" si="9"/>
        <v>0.8</v>
      </c>
      <c r="P43" s="146"/>
      <c r="Q43" s="70"/>
      <c r="R43" s="63"/>
      <c r="S43" s="63"/>
      <c r="T43" s="63"/>
      <c r="U43" s="63"/>
      <c r="V43" s="63"/>
      <c r="W43" s="63"/>
      <c r="X43" s="63"/>
      <c r="Y43" s="63"/>
      <c r="Z43" s="63"/>
      <c r="AA43" s="63"/>
      <c r="AB43" s="63"/>
      <c r="AC43" s="63"/>
      <c r="AD43" s="63"/>
      <c r="AE43" s="63"/>
      <c r="AF43" s="63"/>
      <c r="AG43" s="63"/>
      <c r="AH43" s="63"/>
      <c r="AI43" s="63"/>
      <c r="AJ43" s="63"/>
    </row>
    <row r="44">
      <c r="A44" s="135">
        <v>42.0</v>
      </c>
      <c r="B44" s="67">
        <v>35.0</v>
      </c>
      <c r="C44" s="31" t="s">
        <v>191</v>
      </c>
      <c r="D44" s="68" t="s">
        <v>1199</v>
      </c>
      <c r="E44" s="71" t="s">
        <v>2534</v>
      </c>
      <c r="F44" s="69" t="s">
        <v>1162</v>
      </c>
      <c r="G44" s="69" t="s">
        <v>2518</v>
      </c>
      <c r="H44" s="145">
        <v>5.0</v>
      </c>
      <c r="I44" s="145">
        <v>4.0</v>
      </c>
      <c r="J44" s="69">
        <v>5.0</v>
      </c>
      <c r="K44" s="69" t="str">
        <f>iferror(vlookup(E44,MasterClass!$C$2:$G988,5,false),"")</f>
        <v/>
      </c>
      <c r="L44" s="69">
        <v>4.0</v>
      </c>
      <c r="M44" s="69">
        <f t="shared" si="7"/>
        <v>10</v>
      </c>
      <c r="N44" s="69">
        <f t="shared" si="8"/>
        <v>8</v>
      </c>
      <c r="O44" s="146">
        <f t="shared" si="9"/>
        <v>0.8</v>
      </c>
      <c r="P44" s="146"/>
      <c r="Q44" s="70"/>
      <c r="R44" s="63"/>
      <c r="S44" s="63"/>
      <c r="T44" s="63"/>
      <c r="U44" s="63"/>
      <c r="V44" s="63"/>
      <c r="W44" s="63"/>
      <c r="X44" s="63"/>
      <c r="Y44" s="63"/>
      <c r="Z44" s="63"/>
      <c r="AA44" s="63"/>
      <c r="AB44" s="63"/>
      <c r="AC44" s="63"/>
      <c r="AD44" s="63"/>
      <c r="AE44" s="63"/>
      <c r="AF44" s="63"/>
      <c r="AG44" s="63"/>
      <c r="AH44" s="63"/>
      <c r="AI44" s="63"/>
      <c r="AJ44" s="63"/>
    </row>
    <row r="45">
      <c r="A45" s="135">
        <v>43.0</v>
      </c>
      <c r="B45" s="67">
        <v>36.0</v>
      </c>
      <c r="C45" s="31" t="s">
        <v>193</v>
      </c>
      <c r="D45" s="68" t="s">
        <v>1200</v>
      </c>
      <c r="E45" s="71" t="s">
        <v>2535</v>
      </c>
      <c r="F45" s="69" t="s">
        <v>1162</v>
      </c>
      <c r="G45" s="69" t="s">
        <v>2518</v>
      </c>
      <c r="H45" s="145">
        <v>5.0</v>
      </c>
      <c r="I45" s="145">
        <v>5.0</v>
      </c>
      <c r="J45" s="69">
        <v>5.0</v>
      </c>
      <c r="K45" s="69" t="str">
        <f>iferror(vlookup(E45,MasterClass!$C$2:$G988,5,false),"")</f>
        <v/>
      </c>
      <c r="L45" s="69">
        <v>5.0</v>
      </c>
      <c r="M45" s="69">
        <f t="shared" si="7"/>
        <v>10</v>
      </c>
      <c r="N45" s="69">
        <f t="shared" si="8"/>
        <v>10</v>
      </c>
      <c r="O45" s="146">
        <f t="shared" si="9"/>
        <v>1</v>
      </c>
      <c r="P45" s="146"/>
      <c r="Q45" s="70"/>
      <c r="R45" s="63"/>
      <c r="S45" s="63"/>
      <c r="T45" s="63"/>
      <c r="U45" s="63"/>
      <c r="V45" s="63"/>
      <c r="W45" s="63"/>
      <c r="X45" s="63"/>
      <c r="Y45" s="63"/>
      <c r="Z45" s="63"/>
      <c r="AA45" s="63"/>
      <c r="AB45" s="63"/>
      <c r="AC45" s="63"/>
      <c r="AD45" s="63"/>
      <c r="AE45" s="63"/>
      <c r="AF45" s="63"/>
      <c r="AG45" s="63"/>
      <c r="AH45" s="63"/>
      <c r="AI45" s="63"/>
      <c r="AJ45" s="63"/>
    </row>
    <row r="46">
      <c r="A46" s="135">
        <v>44.0</v>
      </c>
      <c r="B46" s="67">
        <v>37.0</v>
      </c>
      <c r="C46" s="31" t="s">
        <v>195</v>
      </c>
      <c r="D46" s="68" t="s">
        <v>1201</v>
      </c>
      <c r="E46" s="71" t="s">
        <v>2536</v>
      </c>
      <c r="F46" s="69" t="s">
        <v>1162</v>
      </c>
      <c r="G46" s="69" t="s">
        <v>2518</v>
      </c>
      <c r="H46" s="145">
        <v>5.0</v>
      </c>
      <c r="I46" s="145">
        <v>3.0</v>
      </c>
      <c r="J46" s="69">
        <v>5.0</v>
      </c>
      <c r="K46" s="69" t="str">
        <f>iferror(vlookup(E46,MasterClass!$C$2:$G988,5,false),"")</f>
        <v/>
      </c>
      <c r="L46" s="69">
        <v>3.0</v>
      </c>
      <c r="M46" s="69">
        <f t="shared" si="7"/>
        <v>10</v>
      </c>
      <c r="N46" s="69">
        <f t="shared" si="8"/>
        <v>6</v>
      </c>
      <c r="O46" s="146">
        <f t="shared" si="9"/>
        <v>0.6</v>
      </c>
      <c r="P46" s="146"/>
      <c r="Q46" s="70"/>
      <c r="R46" s="63"/>
      <c r="S46" s="63"/>
      <c r="T46" s="63"/>
      <c r="U46" s="63"/>
      <c r="V46" s="63"/>
      <c r="W46" s="63"/>
      <c r="X46" s="63"/>
      <c r="Y46" s="63"/>
      <c r="Z46" s="63"/>
      <c r="AA46" s="63"/>
      <c r="AB46" s="63"/>
      <c r="AC46" s="63"/>
      <c r="AD46" s="63"/>
      <c r="AE46" s="63"/>
      <c r="AF46" s="63"/>
      <c r="AG46" s="63"/>
      <c r="AH46" s="63"/>
      <c r="AI46" s="63"/>
      <c r="AJ46" s="63"/>
    </row>
    <row r="47">
      <c r="A47" s="135">
        <v>45.0</v>
      </c>
      <c r="B47" s="67">
        <v>38.0</v>
      </c>
      <c r="C47" s="31" t="s">
        <v>197</v>
      </c>
      <c r="D47" s="71" t="s">
        <v>1202</v>
      </c>
      <c r="E47" s="71" t="s">
        <v>2537</v>
      </c>
      <c r="F47" s="69" t="s">
        <v>1162</v>
      </c>
      <c r="G47" s="69" t="s">
        <v>2518</v>
      </c>
      <c r="H47" s="145">
        <v>5.0</v>
      </c>
      <c r="I47" s="145">
        <v>5.0</v>
      </c>
      <c r="J47" s="69">
        <v>5.0</v>
      </c>
      <c r="K47" s="69" t="str">
        <f>iferror(vlookup(E47,MasterClass!$C$2:$G988,5,false),"")</f>
        <v/>
      </c>
      <c r="L47" s="69">
        <v>5.0</v>
      </c>
      <c r="M47" s="69">
        <f t="shared" si="7"/>
        <v>10</v>
      </c>
      <c r="N47" s="69">
        <f t="shared" si="8"/>
        <v>10</v>
      </c>
      <c r="O47" s="146">
        <f t="shared" si="9"/>
        <v>1</v>
      </c>
      <c r="P47" s="146"/>
      <c r="Q47" s="70"/>
      <c r="R47" s="63"/>
      <c r="S47" s="63"/>
      <c r="T47" s="63"/>
      <c r="U47" s="63"/>
      <c r="V47" s="63"/>
      <c r="W47" s="63"/>
      <c r="X47" s="63"/>
      <c r="Y47" s="63"/>
      <c r="Z47" s="63"/>
      <c r="AA47" s="63"/>
      <c r="AB47" s="63"/>
      <c r="AC47" s="63"/>
      <c r="AD47" s="63"/>
      <c r="AE47" s="63"/>
      <c r="AF47" s="63"/>
      <c r="AG47" s="63"/>
      <c r="AH47" s="63"/>
      <c r="AI47" s="63"/>
      <c r="AJ47" s="63"/>
    </row>
    <row r="48">
      <c r="A48" s="135">
        <v>46.0</v>
      </c>
      <c r="B48" s="67">
        <v>39.0</v>
      </c>
      <c r="C48" s="31" t="s">
        <v>199</v>
      </c>
      <c r="D48" s="68" t="s">
        <v>1203</v>
      </c>
      <c r="E48" s="71" t="s">
        <v>2538</v>
      </c>
      <c r="F48" s="69" t="s">
        <v>1162</v>
      </c>
      <c r="G48" s="69" t="s">
        <v>2495</v>
      </c>
      <c r="H48" s="145">
        <v>5.0</v>
      </c>
      <c r="I48" s="145">
        <v>2.0</v>
      </c>
      <c r="J48" s="69">
        <v>3.0</v>
      </c>
      <c r="K48" s="69" t="str">
        <f>iferror(vlookup(E48,MasterClass!$C$2:$G988,5,false),"")</f>
        <v/>
      </c>
      <c r="L48" s="69">
        <v>2.0</v>
      </c>
      <c r="M48" s="69">
        <f t="shared" si="7"/>
        <v>8</v>
      </c>
      <c r="N48" s="69">
        <f t="shared" si="8"/>
        <v>4</v>
      </c>
      <c r="O48" s="146">
        <f t="shared" si="9"/>
        <v>0.5</v>
      </c>
      <c r="P48" s="146"/>
      <c r="Q48" s="70"/>
      <c r="R48" s="63"/>
      <c r="S48" s="63"/>
      <c r="T48" s="63"/>
      <c r="U48" s="63"/>
      <c r="V48" s="63"/>
      <c r="W48" s="63"/>
      <c r="X48" s="63"/>
      <c r="Y48" s="63"/>
      <c r="Z48" s="63"/>
      <c r="AA48" s="63"/>
      <c r="AB48" s="63"/>
      <c r="AC48" s="63"/>
      <c r="AD48" s="63"/>
      <c r="AE48" s="63"/>
      <c r="AF48" s="63"/>
      <c r="AG48" s="63"/>
      <c r="AH48" s="63"/>
      <c r="AI48" s="63"/>
      <c r="AJ48" s="63"/>
    </row>
    <row r="49">
      <c r="A49" s="135">
        <v>47.0</v>
      </c>
      <c r="B49" s="67">
        <v>40.0</v>
      </c>
      <c r="C49" s="31" t="s">
        <v>201</v>
      </c>
      <c r="D49" s="68" t="s">
        <v>1204</v>
      </c>
      <c r="E49" s="71" t="s">
        <v>2539</v>
      </c>
      <c r="F49" s="69" t="s">
        <v>1162</v>
      </c>
      <c r="G49" s="69" t="s">
        <v>2495</v>
      </c>
      <c r="H49" s="145">
        <v>5.0</v>
      </c>
      <c r="I49" s="145">
        <v>3.0</v>
      </c>
      <c r="J49" s="69">
        <v>3.0</v>
      </c>
      <c r="K49" s="69" t="str">
        <f>iferror(vlookup(E49,MasterClass!$C$2:$G988,5,false),"")</f>
        <v/>
      </c>
      <c r="L49" s="69">
        <v>2.0</v>
      </c>
      <c r="M49" s="69">
        <f t="shared" si="7"/>
        <v>8</v>
      </c>
      <c r="N49" s="69">
        <f t="shared" si="8"/>
        <v>5</v>
      </c>
      <c r="O49" s="146">
        <f t="shared" si="9"/>
        <v>0.625</v>
      </c>
      <c r="P49" s="146"/>
      <c r="Q49" s="70"/>
      <c r="R49" s="63"/>
      <c r="S49" s="63"/>
      <c r="T49" s="63"/>
      <c r="U49" s="63"/>
      <c r="V49" s="63"/>
      <c r="W49" s="63"/>
      <c r="X49" s="63"/>
      <c r="Y49" s="63"/>
      <c r="Z49" s="63"/>
      <c r="AA49" s="63"/>
      <c r="AB49" s="63"/>
      <c r="AC49" s="63"/>
      <c r="AD49" s="63"/>
      <c r="AE49" s="63"/>
      <c r="AF49" s="63"/>
      <c r="AG49" s="63"/>
      <c r="AH49" s="63"/>
      <c r="AI49" s="63"/>
      <c r="AJ49" s="63"/>
    </row>
    <row r="50">
      <c r="A50" s="135">
        <v>48.0</v>
      </c>
      <c r="B50" s="67">
        <v>41.0</v>
      </c>
      <c r="C50" s="31" t="s">
        <v>203</v>
      </c>
      <c r="D50" s="68" t="s">
        <v>1205</v>
      </c>
      <c r="E50" s="71" t="s">
        <v>2540</v>
      </c>
      <c r="F50" s="69" t="s">
        <v>1162</v>
      </c>
      <c r="G50" s="69" t="s">
        <v>2495</v>
      </c>
      <c r="H50" s="145">
        <v>5.0</v>
      </c>
      <c r="I50" s="145">
        <v>2.0</v>
      </c>
      <c r="J50" s="69">
        <v>3.0</v>
      </c>
      <c r="K50" s="69" t="str">
        <f>iferror(vlookup(E50,MasterClass!$C$2:$G988,5,false),"")</f>
        <v/>
      </c>
      <c r="L50" s="69">
        <v>2.0</v>
      </c>
      <c r="M50" s="69">
        <f t="shared" si="7"/>
        <v>8</v>
      </c>
      <c r="N50" s="69">
        <f t="shared" si="8"/>
        <v>4</v>
      </c>
      <c r="O50" s="146">
        <f t="shared" si="9"/>
        <v>0.5</v>
      </c>
      <c r="P50" s="146"/>
      <c r="Q50" s="70"/>
      <c r="R50" s="63"/>
      <c r="S50" s="63"/>
      <c r="T50" s="63"/>
      <c r="U50" s="63"/>
      <c r="V50" s="63"/>
      <c r="W50" s="63"/>
      <c r="X50" s="63"/>
      <c r="Y50" s="63"/>
      <c r="Z50" s="63"/>
      <c r="AA50" s="63"/>
      <c r="AB50" s="63"/>
      <c r="AC50" s="63"/>
      <c r="AD50" s="63"/>
      <c r="AE50" s="63"/>
      <c r="AF50" s="63"/>
      <c r="AG50" s="63"/>
      <c r="AH50" s="63"/>
      <c r="AI50" s="63"/>
      <c r="AJ50" s="63"/>
    </row>
    <row r="51">
      <c r="A51" s="135">
        <v>49.0</v>
      </c>
      <c r="B51" s="67">
        <v>42.0</v>
      </c>
      <c r="C51" s="31" t="s">
        <v>205</v>
      </c>
      <c r="D51" s="68" t="s">
        <v>1206</v>
      </c>
      <c r="E51" s="71" t="s">
        <v>2541</v>
      </c>
      <c r="F51" s="69" t="s">
        <v>1162</v>
      </c>
      <c r="G51" s="69" t="s">
        <v>2507</v>
      </c>
      <c r="H51" s="145">
        <v>3.0</v>
      </c>
      <c r="I51" s="145">
        <v>3.0</v>
      </c>
      <c r="J51" s="69">
        <v>5.0</v>
      </c>
      <c r="K51" s="69" t="str">
        <f>iferror(vlookup(E51,MasterClass!$C$2:$G988,5,false),"")</f>
        <v/>
      </c>
      <c r="L51" s="69">
        <v>5.0</v>
      </c>
      <c r="M51" s="69">
        <f t="shared" si="7"/>
        <v>8</v>
      </c>
      <c r="N51" s="69">
        <f t="shared" si="8"/>
        <v>8</v>
      </c>
      <c r="O51" s="146">
        <f t="shared" si="9"/>
        <v>1</v>
      </c>
      <c r="P51" s="69" t="s">
        <v>2508</v>
      </c>
      <c r="Q51" s="69"/>
      <c r="R51" s="63"/>
      <c r="S51" s="63"/>
      <c r="T51" s="63"/>
      <c r="U51" s="63"/>
      <c r="V51" s="63"/>
      <c r="W51" s="63"/>
      <c r="X51" s="63"/>
      <c r="Y51" s="63"/>
      <c r="Z51" s="63"/>
      <c r="AA51" s="63"/>
      <c r="AB51" s="63"/>
      <c r="AC51" s="63"/>
      <c r="AD51" s="63"/>
      <c r="AE51" s="63"/>
      <c r="AF51" s="63"/>
      <c r="AG51" s="63"/>
      <c r="AH51" s="63"/>
      <c r="AI51" s="63"/>
      <c r="AJ51" s="63"/>
    </row>
    <row r="52">
      <c r="A52" s="135">
        <v>50.0</v>
      </c>
      <c r="B52" s="67">
        <v>43.0</v>
      </c>
      <c r="C52" s="31" t="s">
        <v>207</v>
      </c>
      <c r="D52" s="71" t="s">
        <v>1207</v>
      </c>
      <c r="E52" s="71" t="s">
        <v>2542</v>
      </c>
      <c r="F52" s="69" t="s">
        <v>1162</v>
      </c>
      <c r="G52" s="69" t="s">
        <v>2495</v>
      </c>
      <c r="H52" s="145">
        <v>5.0</v>
      </c>
      <c r="I52" s="145">
        <v>5.0</v>
      </c>
      <c r="J52" s="69">
        <v>3.0</v>
      </c>
      <c r="K52" s="69">
        <f>iferror(vlookup(E52,MasterClass!$C$2:$G988,5,false),"")</f>
        <v>1</v>
      </c>
      <c r="L52" s="69">
        <v>3.0</v>
      </c>
      <c r="M52" s="69">
        <f t="shared" si="7"/>
        <v>8</v>
      </c>
      <c r="N52" s="69">
        <f t="shared" si="8"/>
        <v>9</v>
      </c>
      <c r="O52" s="146">
        <f t="shared" si="9"/>
        <v>1.125</v>
      </c>
      <c r="P52" s="146"/>
      <c r="Q52" s="70"/>
      <c r="R52" s="63"/>
      <c r="S52" s="63"/>
      <c r="T52" s="63"/>
      <c r="U52" s="63"/>
      <c r="V52" s="63"/>
      <c r="W52" s="63"/>
      <c r="X52" s="63"/>
      <c r="Y52" s="63"/>
      <c r="Z52" s="63"/>
      <c r="AA52" s="63"/>
      <c r="AB52" s="63"/>
      <c r="AC52" s="63"/>
      <c r="AD52" s="63"/>
      <c r="AE52" s="63"/>
      <c r="AF52" s="63"/>
      <c r="AG52" s="63"/>
      <c r="AH52" s="63"/>
      <c r="AI52" s="63"/>
      <c r="AJ52" s="63"/>
    </row>
    <row r="53">
      <c r="A53" s="135">
        <v>51.0</v>
      </c>
      <c r="B53" s="67">
        <v>44.0</v>
      </c>
      <c r="C53" s="31" t="s">
        <v>209</v>
      </c>
      <c r="D53" s="68" t="s">
        <v>1208</v>
      </c>
      <c r="E53" s="71" t="s">
        <v>2543</v>
      </c>
      <c r="F53" s="69" t="s">
        <v>1162</v>
      </c>
      <c r="G53" s="69" t="s">
        <v>2518</v>
      </c>
      <c r="H53" s="145">
        <v>5.0</v>
      </c>
      <c r="I53" s="145">
        <v>4.0</v>
      </c>
      <c r="J53" s="69">
        <v>5.0</v>
      </c>
      <c r="K53" s="69" t="str">
        <f>iferror(vlookup(E53,MasterClass!$C$2:$G988,5,false),"")</f>
        <v/>
      </c>
      <c r="L53" s="69">
        <v>4.0</v>
      </c>
      <c r="M53" s="69">
        <f t="shared" si="7"/>
        <v>10</v>
      </c>
      <c r="N53" s="69">
        <f t="shared" si="8"/>
        <v>8</v>
      </c>
      <c r="O53" s="146">
        <f t="shared" si="9"/>
        <v>0.8</v>
      </c>
      <c r="P53" s="146"/>
      <c r="Q53" s="70"/>
      <c r="R53" s="63"/>
      <c r="S53" s="63"/>
      <c r="T53" s="63"/>
      <c r="U53" s="63"/>
      <c r="V53" s="63"/>
      <c r="W53" s="63"/>
      <c r="X53" s="63"/>
      <c r="Y53" s="63"/>
      <c r="Z53" s="63"/>
      <c r="AA53" s="63"/>
      <c r="AB53" s="63"/>
      <c r="AC53" s="63"/>
      <c r="AD53" s="63"/>
      <c r="AE53" s="63"/>
      <c r="AF53" s="63"/>
      <c r="AG53" s="63"/>
      <c r="AH53" s="63"/>
      <c r="AI53" s="63"/>
      <c r="AJ53" s="63"/>
    </row>
    <row r="54">
      <c r="A54" s="135">
        <v>52.0</v>
      </c>
      <c r="B54" s="67">
        <v>45.0</v>
      </c>
      <c r="C54" s="31" t="s">
        <v>211</v>
      </c>
      <c r="D54" s="68" t="s">
        <v>1209</v>
      </c>
      <c r="E54" s="71" t="s">
        <v>2544</v>
      </c>
      <c r="F54" s="69" t="s">
        <v>1162</v>
      </c>
      <c r="G54" s="69" t="s">
        <v>2518</v>
      </c>
      <c r="H54" s="145">
        <v>5.0</v>
      </c>
      <c r="I54" s="145">
        <v>4.0</v>
      </c>
      <c r="J54" s="69">
        <v>5.0</v>
      </c>
      <c r="K54" s="69" t="str">
        <f>iferror(vlookup(E54,MasterClass!$C$2:$G988,5,false),"")</f>
        <v/>
      </c>
      <c r="L54" s="69">
        <v>4.0</v>
      </c>
      <c r="M54" s="69">
        <f t="shared" si="7"/>
        <v>10</v>
      </c>
      <c r="N54" s="69">
        <f t="shared" si="8"/>
        <v>8</v>
      </c>
      <c r="O54" s="146">
        <f t="shared" si="9"/>
        <v>0.8</v>
      </c>
      <c r="P54" s="146"/>
      <c r="Q54" s="70"/>
      <c r="R54" s="63"/>
      <c r="S54" s="63"/>
      <c r="T54" s="63"/>
      <c r="U54" s="63"/>
      <c r="V54" s="63"/>
      <c r="W54" s="63"/>
      <c r="X54" s="63"/>
      <c r="Y54" s="63"/>
      <c r="Z54" s="63"/>
      <c r="AA54" s="63"/>
      <c r="AB54" s="63"/>
      <c r="AC54" s="63"/>
      <c r="AD54" s="63"/>
      <c r="AE54" s="63"/>
      <c r="AF54" s="63"/>
      <c r="AG54" s="63"/>
      <c r="AH54" s="63"/>
      <c r="AI54" s="63"/>
      <c r="AJ54" s="63"/>
    </row>
    <row r="55">
      <c r="A55" s="135">
        <v>53.0</v>
      </c>
      <c r="B55" s="67">
        <v>46.0</v>
      </c>
      <c r="C55" s="31" t="s">
        <v>213</v>
      </c>
      <c r="D55" s="68" t="s">
        <v>1210</v>
      </c>
      <c r="E55" s="71" t="s">
        <v>2545</v>
      </c>
      <c r="F55" s="69" t="s">
        <v>1162</v>
      </c>
      <c r="G55" s="69" t="s">
        <v>2495</v>
      </c>
      <c r="H55" s="145">
        <v>5.0</v>
      </c>
      <c r="I55" s="145">
        <v>2.0</v>
      </c>
      <c r="J55" s="69">
        <v>3.0</v>
      </c>
      <c r="K55" s="69">
        <f>iferror(vlookup(E55,MasterClass!$C$2:$G988,5,false),"")</f>
        <v>1</v>
      </c>
      <c r="L55" s="69">
        <v>3.0</v>
      </c>
      <c r="M55" s="69">
        <f t="shared" si="7"/>
        <v>8</v>
      </c>
      <c r="N55" s="69">
        <f t="shared" si="8"/>
        <v>6</v>
      </c>
      <c r="O55" s="146">
        <f t="shared" si="9"/>
        <v>0.75</v>
      </c>
      <c r="P55" s="146"/>
      <c r="Q55" s="70"/>
      <c r="R55" s="63"/>
      <c r="S55" s="63"/>
      <c r="T55" s="63"/>
      <c r="U55" s="63"/>
      <c r="V55" s="63"/>
      <c r="W55" s="63"/>
      <c r="X55" s="63"/>
      <c r="Y55" s="63"/>
      <c r="Z55" s="63"/>
      <c r="AA55" s="63"/>
      <c r="AB55" s="63"/>
      <c r="AC55" s="63"/>
      <c r="AD55" s="63"/>
      <c r="AE55" s="63"/>
      <c r="AF55" s="63"/>
      <c r="AG55" s="63"/>
      <c r="AH55" s="63"/>
      <c r="AI55" s="63"/>
      <c r="AJ55" s="63"/>
    </row>
    <row r="56">
      <c r="A56" s="135">
        <v>54.0</v>
      </c>
      <c r="B56" s="67">
        <v>47.0</v>
      </c>
      <c r="C56" s="31" t="s">
        <v>215</v>
      </c>
      <c r="D56" s="68" t="s">
        <v>1211</v>
      </c>
      <c r="E56" s="71" t="s">
        <v>2546</v>
      </c>
      <c r="F56" s="69" t="s">
        <v>1162</v>
      </c>
      <c r="G56" s="69" t="s">
        <v>2518</v>
      </c>
      <c r="H56" s="145">
        <v>5.0</v>
      </c>
      <c r="I56" s="145">
        <v>4.0</v>
      </c>
      <c r="J56" s="69">
        <v>5.0</v>
      </c>
      <c r="K56" s="69" t="str">
        <f>iferror(vlookup(E56,MasterClass!$C$2:$G988,5,false),"")</f>
        <v/>
      </c>
      <c r="L56" s="69">
        <v>4.0</v>
      </c>
      <c r="M56" s="69">
        <f t="shared" si="7"/>
        <v>10</v>
      </c>
      <c r="N56" s="69">
        <f t="shared" si="8"/>
        <v>8</v>
      </c>
      <c r="O56" s="146">
        <f t="shared" si="9"/>
        <v>0.8</v>
      </c>
      <c r="P56" s="146"/>
      <c r="Q56" s="70"/>
      <c r="R56" s="63"/>
      <c r="S56" s="63"/>
      <c r="T56" s="63"/>
      <c r="U56" s="63"/>
      <c r="V56" s="63"/>
      <c r="W56" s="63"/>
      <c r="X56" s="63"/>
      <c r="Y56" s="63"/>
      <c r="Z56" s="63"/>
      <c r="AA56" s="63"/>
      <c r="AB56" s="63"/>
      <c r="AC56" s="63"/>
      <c r="AD56" s="63"/>
      <c r="AE56" s="63"/>
      <c r="AF56" s="63"/>
      <c r="AG56" s="63"/>
      <c r="AH56" s="63"/>
      <c r="AI56" s="63"/>
      <c r="AJ56" s="63"/>
    </row>
    <row r="57">
      <c r="A57" s="135">
        <v>55.0</v>
      </c>
      <c r="B57" s="72">
        <v>48.0</v>
      </c>
      <c r="C57" s="73"/>
      <c r="D57" s="74" t="s">
        <v>1212</v>
      </c>
      <c r="E57" s="68" t="s">
        <v>2547</v>
      </c>
      <c r="F57" s="69" t="s">
        <v>1162</v>
      </c>
      <c r="G57" s="147" t="s">
        <v>2495</v>
      </c>
      <c r="H57" s="148">
        <v>5.0</v>
      </c>
      <c r="I57" s="148">
        <v>4.0</v>
      </c>
      <c r="J57" s="147">
        <v>5.0</v>
      </c>
      <c r="K57" s="69" t="str">
        <f>iferror(vlookup(E57,MasterClass!$C$2:$G988,5,false),"")</f>
        <v/>
      </c>
      <c r="L57" s="147">
        <v>3.0</v>
      </c>
      <c r="M57" s="69">
        <f t="shared" si="7"/>
        <v>10</v>
      </c>
      <c r="N57" s="69">
        <f t="shared" si="8"/>
        <v>7</v>
      </c>
      <c r="O57" s="146">
        <f t="shared" si="9"/>
        <v>0.7</v>
      </c>
      <c r="P57" s="146"/>
      <c r="Q57" s="70"/>
      <c r="R57" s="63"/>
      <c r="S57" s="63"/>
      <c r="T57" s="63"/>
      <c r="U57" s="63"/>
      <c r="V57" s="63"/>
      <c r="W57" s="63"/>
      <c r="X57" s="63"/>
      <c r="Y57" s="63"/>
      <c r="Z57" s="63"/>
      <c r="AA57" s="63"/>
      <c r="AB57" s="63"/>
      <c r="AC57" s="63"/>
      <c r="AD57" s="63"/>
      <c r="AE57" s="63"/>
      <c r="AF57" s="63"/>
      <c r="AG57" s="63"/>
      <c r="AH57" s="63"/>
      <c r="AI57" s="63"/>
      <c r="AJ57" s="63"/>
    </row>
    <row r="58">
      <c r="A58" s="135">
        <v>56.0</v>
      </c>
      <c r="B58" s="62"/>
      <c r="C58" s="63"/>
      <c r="D58" s="62"/>
      <c r="E58" s="149"/>
      <c r="F58" s="75"/>
      <c r="G58" s="75"/>
      <c r="H58" s="75"/>
      <c r="I58" s="75"/>
      <c r="J58" s="75"/>
      <c r="K58" s="150" t="str">
        <f>iferror(vlookup(E58,MasterClass!$C$2:$G988,5,false),"")</f>
        <v/>
      </c>
      <c r="L58" s="75"/>
      <c r="M58" s="75"/>
      <c r="N58" s="75"/>
      <c r="O58" s="63"/>
      <c r="P58" s="63"/>
      <c r="Q58" s="75"/>
      <c r="R58" s="63"/>
      <c r="S58" s="63"/>
      <c r="T58" s="63"/>
      <c r="U58" s="63"/>
      <c r="V58" s="63"/>
      <c r="W58" s="63"/>
      <c r="X58" s="63"/>
      <c r="Y58" s="63"/>
      <c r="Z58" s="63"/>
      <c r="AA58" s="63"/>
      <c r="AB58" s="63"/>
      <c r="AC58" s="63"/>
      <c r="AD58" s="63"/>
      <c r="AE58" s="63"/>
      <c r="AF58" s="63"/>
      <c r="AG58" s="63"/>
      <c r="AH58" s="63"/>
      <c r="AI58" s="63"/>
      <c r="AJ58" s="63"/>
    </row>
    <row r="59">
      <c r="A59" s="135">
        <v>57.0</v>
      </c>
      <c r="B59" s="62" t="s">
        <v>3</v>
      </c>
      <c r="C59" s="63"/>
      <c r="D59" s="62" t="s">
        <v>4</v>
      </c>
      <c r="E59" s="149" t="s">
        <v>4</v>
      </c>
      <c r="F59" s="75"/>
      <c r="G59" s="75"/>
      <c r="H59" s="75"/>
      <c r="I59" s="75"/>
      <c r="J59" s="75"/>
      <c r="K59" s="150" t="str">
        <f>iferror(vlookup(E59,MasterClass!$C$2:$G988,5,false),"")</f>
        <v/>
      </c>
      <c r="L59" s="75"/>
      <c r="M59" s="75"/>
      <c r="N59" s="75"/>
      <c r="O59" s="63"/>
      <c r="P59" s="63"/>
      <c r="Q59" s="75"/>
      <c r="R59" s="63"/>
      <c r="S59" s="63"/>
      <c r="T59" s="63"/>
      <c r="U59" s="63"/>
      <c r="V59" s="63"/>
      <c r="W59" s="63"/>
      <c r="X59" s="63"/>
      <c r="Y59" s="63"/>
      <c r="Z59" s="63"/>
      <c r="AA59" s="63"/>
      <c r="AB59" s="63"/>
      <c r="AC59" s="63"/>
      <c r="AD59" s="63"/>
      <c r="AE59" s="63"/>
      <c r="AF59" s="63"/>
      <c r="AG59" s="63"/>
      <c r="AH59" s="63"/>
      <c r="AI59" s="63"/>
      <c r="AJ59" s="63"/>
    </row>
    <row r="60">
      <c r="A60" s="135">
        <v>58.0</v>
      </c>
      <c r="B60" s="62" t="s">
        <v>5</v>
      </c>
      <c r="C60" s="63"/>
      <c r="D60" s="62" t="s">
        <v>6</v>
      </c>
      <c r="E60" s="149" t="s">
        <v>6</v>
      </c>
      <c r="F60" s="75"/>
      <c r="G60" s="75"/>
      <c r="H60" s="75"/>
      <c r="I60" s="75"/>
      <c r="J60" s="75"/>
      <c r="K60" s="150" t="str">
        <f>iferror(vlookup(E60,MasterClass!$C$2:$G988,5,false),"")</f>
        <v/>
      </c>
      <c r="L60" s="75"/>
      <c r="M60" s="75"/>
      <c r="N60" s="75"/>
      <c r="O60" s="63"/>
      <c r="P60" s="63"/>
      <c r="Q60" s="63"/>
      <c r="R60" s="63"/>
      <c r="S60" s="63"/>
      <c r="T60" s="63"/>
      <c r="U60" s="63"/>
      <c r="V60" s="63"/>
      <c r="W60" s="63"/>
      <c r="X60" s="63"/>
      <c r="Y60" s="63"/>
      <c r="Z60" s="63"/>
      <c r="AA60" s="63"/>
      <c r="AB60" s="63"/>
      <c r="AC60" s="63"/>
      <c r="AD60" s="63"/>
      <c r="AE60" s="63"/>
      <c r="AF60" s="63"/>
      <c r="AG60" s="63"/>
      <c r="AH60" s="63"/>
      <c r="AI60" s="63"/>
      <c r="AJ60" s="63"/>
    </row>
    <row r="61">
      <c r="A61" s="135">
        <v>59.0</v>
      </c>
      <c r="B61" s="62" t="s">
        <v>7</v>
      </c>
      <c r="C61" s="63"/>
      <c r="D61" s="62" t="s">
        <v>8</v>
      </c>
      <c r="E61" s="149" t="s">
        <v>8</v>
      </c>
      <c r="F61" s="75"/>
      <c r="G61" s="75"/>
      <c r="H61" s="75"/>
      <c r="I61" s="75"/>
      <c r="J61" s="75"/>
      <c r="K61" s="150" t="str">
        <f>iferror(vlookup(E61,MasterClass!$C$2:$G988,5,false),"")</f>
        <v/>
      </c>
      <c r="L61" s="75"/>
      <c r="M61" s="75"/>
      <c r="N61" s="75"/>
      <c r="O61" s="63"/>
      <c r="P61" s="63"/>
      <c r="Q61" s="63"/>
      <c r="R61" s="63"/>
      <c r="S61" s="63"/>
      <c r="T61" s="63"/>
      <c r="U61" s="63"/>
      <c r="V61" s="63"/>
      <c r="W61" s="63"/>
      <c r="X61" s="63"/>
      <c r="Y61" s="63"/>
      <c r="Z61" s="63"/>
      <c r="AA61" s="63"/>
      <c r="AB61" s="63"/>
      <c r="AC61" s="63"/>
      <c r="AD61" s="63"/>
      <c r="AE61" s="63"/>
      <c r="AF61" s="63"/>
      <c r="AG61" s="63"/>
      <c r="AH61" s="63"/>
      <c r="AI61" s="63"/>
      <c r="AJ61" s="63"/>
    </row>
    <row r="62">
      <c r="A62" s="135">
        <v>60.0</v>
      </c>
      <c r="B62" s="63"/>
      <c r="C62" s="63"/>
      <c r="D62" s="63"/>
      <c r="E62" s="149"/>
      <c r="F62" s="63"/>
      <c r="G62" s="63"/>
      <c r="H62" s="63"/>
      <c r="I62" s="63"/>
      <c r="J62" s="63"/>
      <c r="K62" s="150" t="str">
        <f>iferror(vlookup(E62,MasterClass!$C$2:$G988,5,false),"")</f>
        <v/>
      </c>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row>
    <row r="63">
      <c r="A63" s="135">
        <v>61.0</v>
      </c>
      <c r="B63" s="76" t="s">
        <v>9</v>
      </c>
      <c r="C63" s="77" t="s">
        <v>10</v>
      </c>
      <c r="D63" s="76" t="s">
        <v>11</v>
      </c>
      <c r="E63" s="151"/>
      <c r="F63" s="78" t="s">
        <v>5</v>
      </c>
      <c r="G63" s="152"/>
      <c r="H63" s="153" t="s">
        <v>2492</v>
      </c>
      <c r="I63" s="152"/>
      <c r="J63" s="154" t="s">
        <v>2493</v>
      </c>
      <c r="K63" s="155"/>
      <c r="L63" s="152"/>
      <c r="M63" s="156" t="s">
        <v>2489</v>
      </c>
      <c r="N63" s="78" t="s">
        <v>2490</v>
      </c>
      <c r="O63" s="156" t="s">
        <v>18</v>
      </c>
      <c r="P63" s="78" t="s">
        <v>2491</v>
      </c>
      <c r="Q63" s="79" t="s">
        <v>19</v>
      </c>
      <c r="R63" s="63"/>
      <c r="S63" s="63"/>
      <c r="T63" s="63"/>
      <c r="U63" s="63"/>
      <c r="V63" s="63"/>
      <c r="W63" s="63"/>
      <c r="X63" s="63"/>
      <c r="Y63" s="63"/>
      <c r="Z63" s="63"/>
      <c r="AA63" s="63"/>
      <c r="AB63" s="63"/>
      <c r="AC63" s="63"/>
      <c r="AD63" s="63"/>
      <c r="AE63" s="63"/>
      <c r="AF63" s="63"/>
      <c r="AG63" s="63"/>
      <c r="AH63" s="63"/>
      <c r="AI63" s="63"/>
      <c r="AJ63" s="63"/>
    </row>
    <row r="64">
      <c r="A64" s="135">
        <v>62.0</v>
      </c>
      <c r="B64" s="20"/>
      <c r="C64" s="20"/>
      <c r="D64" s="20"/>
      <c r="E64" s="151"/>
      <c r="F64" s="20"/>
      <c r="G64" s="157" t="s">
        <v>2483</v>
      </c>
      <c r="H64" s="158" t="s">
        <v>2484</v>
      </c>
      <c r="I64" s="157" t="s">
        <v>2485</v>
      </c>
      <c r="J64" s="159" t="s">
        <v>2486</v>
      </c>
      <c r="K64" s="160" t="s">
        <v>2487</v>
      </c>
      <c r="L64" s="157" t="s">
        <v>2488</v>
      </c>
      <c r="M64" s="20"/>
      <c r="N64" s="20"/>
      <c r="O64" s="20"/>
      <c r="P64" s="20"/>
      <c r="Q64" s="20"/>
      <c r="R64" s="63"/>
      <c r="S64" s="63"/>
      <c r="T64" s="63"/>
      <c r="U64" s="63"/>
      <c r="V64" s="63"/>
      <c r="W64" s="63"/>
      <c r="X64" s="63"/>
      <c r="Y64" s="63"/>
      <c r="Z64" s="63"/>
      <c r="AA64" s="63"/>
      <c r="AB64" s="63"/>
      <c r="AC64" s="63"/>
      <c r="AD64" s="63"/>
      <c r="AE64" s="63"/>
      <c r="AF64" s="63"/>
      <c r="AG64" s="63"/>
      <c r="AH64" s="63"/>
      <c r="AI64" s="63"/>
      <c r="AJ64" s="63"/>
    </row>
    <row r="65">
      <c r="A65" s="135">
        <v>64.0</v>
      </c>
      <c r="B65" s="67">
        <v>1.0</v>
      </c>
      <c r="C65" s="31" t="s">
        <v>23</v>
      </c>
      <c r="D65" s="68" t="s">
        <v>1213</v>
      </c>
      <c r="E65" s="71" t="s">
        <v>2548</v>
      </c>
      <c r="F65" s="69" t="s">
        <v>1214</v>
      </c>
      <c r="G65" s="69" t="s">
        <v>2549</v>
      </c>
      <c r="H65" s="145">
        <v>3.0</v>
      </c>
      <c r="I65" s="145">
        <v>1.0</v>
      </c>
      <c r="J65" s="69">
        <v>5.0</v>
      </c>
      <c r="K65" s="69" t="str">
        <f>iferror(vlookup(E65,MasterClass!$C$2:$G988,5,false),"")</f>
        <v/>
      </c>
      <c r="L65" s="69">
        <v>1.0</v>
      </c>
      <c r="M65" s="69">
        <f t="shared" ref="M65:M84" si="10">J65+H65</f>
        <v>8</v>
      </c>
      <c r="N65" s="69">
        <f t="shared" ref="N65:N84" si="11">I65+L65+K65</f>
        <v>2</v>
      </c>
      <c r="O65" s="146">
        <f t="shared" ref="O65:O84" si="12">N65/M65</f>
        <v>0.25</v>
      </c>
      <c r="P65" s="146"/>
      <c r="Q65" s="70"/>
      <c r="R65" s="63"/>
      <c r="S65" s="63"/>
      <c r="T65" s="63"/>
      <c r="U65" s="63"/>
      <c r="V65" s="63"/>
      <c r="W65" s="63"/>
      <c r="X65" s="63"/>
      <c r="Y65" s="63"/>
      <c r="Z65" s="63"/>
      <c r="AA65" s="63"/>
      <c r="AB65" s="63"/>
      <c r="AC65" s="63"/>
      <c r="AD65" s="63"/>
      <c r="AE65" s="63"/>
      <c r="AF65" s="63"/>
      <c r="AG65" s="63"/>
      <c r="AH65" s="63"/>
      <c r="AI65" s="63"/>
      <c r="AJ65" s="63"/>
    </row>
    <row r="66">
      <c r="A66" s="135">
        <v>65.0</v>
      </c>
      <c r="B66" s="67">
        <v>2.0</v>
      </c>
      <c r="C66" s="31" t="s">
        <v>25</v>
      </c>
      <c r="D66" s="68" t="s">
        <v>1215</v>
      </c>
      <c r="E66" s="71" t="s">
        <v>2550</v>
      </c>
      <c r="F66" s="69" t="s">
        <v>1214</v>
      </c>
      <c r="G66" s="69" t="s">
        <v>2551</v>
      </c>
      <c r="H66" s="145">
        <v>3.0</v>
      </c>
      <c r="I66" s="145">
        <v>1.0</v>
      </c>
      <c r="J66" s="69">
        <v>5.0</v>
      </c>
      <c r="K66" s="69" t="str">
        <f>iferror(vlookup(E66,MasterClass!$C$2:$G988,5,false),"")</f>
        <v/>
      </c>
      <c r="L66" s="69">
        <v>2.0</v>
      </c>
      <c r="M66" s="69">
        <f t="shared" si="10"/>
        <v>8</v>
      </c>
      <c r="N66" s="69">
        <f t="shared" si="11"/>
        <v>3</v>
      </c>
      <c r="O66" s="146">
        <f t="shared" si="12"/>
        <v>0.375</v>
      </c>
      <c r="P66" s="69" t="s">
        <v>2508</v>
      </c>
      <c r="Q66" s="69"/>
      <c r="R66" s="63"/>
      <c r="S66" s="63"/>
      <c r="T66" s="63"/>
      <c r="U66" s="63"/>
      <c r="V66" s="63"/>
      <c r="W66" s="63"/>
      <c r="X66" s="63"/>
      <c r="Y66" s="63"/>
      <c r="Z66" s="63"/>
      <c r="AA66" s="63"/>
      <c r="AB66" s="63"/>
      <c r="AC66" s="63"/>
      <c r="AD66" s="63"/>
      <c r="AE66" s="63"/>
      <c r="AF66" s="63"/>
      <c r="AG66" s="63"/>
      <c r="AH66" s="63"/>
      <c r="AI66" s="63"/>
      <c r="AJ66" s="63"/>
    </row>
    <row r="67">
      <c r="A67" s="135">
        <v>66.0</v>
      </c>
      <c r="B67" s="67">
        <v>3.0</v>
      </c>
      <c r="C67" s="31" t="s">
        <v>27</v>
      </c>
      <c r="D67" s="68" t="s">
        <v>1216</v>
      </c>
      <c r="E67" s="71" t="s">
        <v>2552</v>
      </c>
      <c r="F67" s="69" t="s">
        <v>1214</v>
      </c>
      <c r="G67" s="69" t="s">
        <v>2553</v>
      </c>
      <c r="H67" s="145">
        <v>3.0</v>
      </c>
      <c r="I67" s="145">
        <v>0.0</v>
      </c>
      <c r="J67" s="69">
        <v>5.0</v>
      </c>
      <c r="K67" s="69" t="str">
        <f>iferror(vlookup(E67,MasterClass!$C$2:$G988,5,false),"")</f>
        <v/>
      </c>
      <c r="L67" s="69">
        <v>3.0</v>
      </c>
      <c r="M67" s="69">
        <f t="shared" si="10"/>
        <v>8</v>
      </c>
      <c r="N67" s="69">
        <f t="shared" si="11"/>
        <v>3</v>
      </c>
      <c r="O67" s="146">
        <f t="shared" si="12"/>
        <v>0.375</v>
      </c>
      <c r="P67" s="146"/>
      <c r="Q67" s="70"/>
      <c r="R67" s="63"/>
      <c r="S67" s="63"/>
      <c r="T67" s="63"/>
      <c r="U67" s="63"/>
      <c r="V67" s="63"/>
      <c r="W67" s="63"/>
      <c r="X67" s="63"/>
      <c r="Y67" s="63"/>
      <c r="Z67" s="63"/>
      <c r="AA67" s="63"/>
      <c r="AB67" s="63"/>
      <c r="AC67" s="63"/>
      <c r="AD67" s="63"/>
      <c r="AE67" s="63"/>
      <c r="AF67" s="63"/>
      <c r="AG67" s="63"/>
      <c r="AH67" s="63"/>
      <c r="AI67" s="63"/>
      <c r="AJ67" s="63"/>
    </row>
    <row r="68">
      <c r="A68" s="135">
        <v>67.0</v>
      </c>
      <c r="B68" s="67">
        <v>4.0</v>
      </c>
      <c r="C68" s="31" t="s">
        <v>29</v>
      </c>
      <c r="D68" s="68" t="s">
        <v>1217</v>
      </c>
      <c r="E68" s="71" t="s">
        <v>2554</v>
      </c>
      <c r="F68" s="69" t="s">
        <v>1214</v>
      </c>
      <c r="G68" s="69" t="s">
        <v>2553</v>
      </c>
      <c r="H68" s="145">
        <v>3.0</v>
      </c>
      <c r="I68" s="145">
        <v>2.0</v>
      </c>
      <c r="J68" s="69">
        <v>5.0</v>
      </c>
      <c r="K68" s="69" t="str">
        <f>iferror(vlookup(E68,MasterClass!$C$2:$G988,5,false),"")</f>
        <v/>
      </c>
      <c r="L68" s="69">
        <v>5.0</v>
      </c>
      <c r="M68" s="69">
        <f t="shared" si="10"/>
        <v>8</v>
      </c>
      <c r="N68" s="69">
        <f t="shared" si="11"/>
        <v>7</v>
      </c>
      <c r="O68" s="146">
        <f t="shared" si="12"/>
        <v>0.875</v>
      </c>
      <c r="P68" s="146"/>
      <c r="Q68" s="70"/>
      <c r="R68" s="63"/>
      <c r="S68" s="63"/>
      <c r="T68" s="63"/>
      <c r="U68" s="63"/>
      <c r="V68" s="63"/>
      <c r="W68" s="63"/>
      <c r="X68" s="63"/>
      <c r="Y68" s="63"/>
      <c r="Z68" s="63"/>
      <c r="AA68" s="63"/>
      <c r="AB68" s="63"/>
      <c r="AC68" s="63"/>
      <c r="AD68" s="63"/>
      <c r="AE68" s="63"/>
      <c r="AF68" s="63"/>
      <c r="AG68" s="63"/>
      <c r="AH68" s="63"/>
      <c r="AI68" s="63"/>
      <c r="AJ68" s="63"/>
    </row>
    <row r="69">
      <c r="A69" s="135">
        <v>68.0</v>
      </c>
      <c r="B69" s="67">
        <v>5.0</v>
      </c>
      <c r="C69" s="31" t="s">
        <v>31</v>
      </c>
      <c r="D69" s="68" t="s">
        <v>1218</v>
      </c>
      <c r="E69" s="71" t="s">
        <v>2555</v>
      </c>
      <c r="F69" s="69" t="s">
        <v>1214</v>
      </c>
      <c r="G69" s="69" t="s">
        <v>2553</v>
      </c>
      <c r="H69" s="145">
        <v>3.0</v>
      </c>
      <c r="I69" s="145">
        <v>1.0</v>
      </c>
      <c r="J69" s="69">
        <v>5.0</v>
      </c>
      <c r="K69" s="69" t="str">
        <f>iferror(vlookup(E69,MasterClass!$C$2:$G988,5,false),"")</f>
        <v/>
      </c>
      <c r="L69" s="69">
        <v>2.0</v>
      </c>
      <c r="M69" s="69">
        <f t="shared" si="10"/>
        <v>8</v>
      </c>
      <c r="N69" s="69">
        <f t="shared" si="11"/>
        <v>3</v>
      </c>
      <c r="O69" s="146">
        <f t="shared" si="12"/>
        <v>0.375</v>
      </c>
      <c r="P69" s="146"/>
      <c r="Q69" s="70"/>
      <c r="R69" s="63"/>
      <c r="S69" s="63"/>
      <c r="T69" s="63"/>
      <c r="U69" s="63"/>
      <c r="V69" s="63"/>
      <c r="W69" s="63"/>
      <c r="X69" s="63"/>
      <c r="Y69" s="63"/>
      <c r="Z69" s="63"/>
      <c r="AA69" s="63"/>
      <c r="AB69" s="63"/>
      <c r="AC69" s="63"/>
      <c r="AD69" s="63"/>
      <c r="AE69" s="63"/>
      <c r="AF69" s="63"/>
      <c r="AG69" s="63"/>
      <c r="AH69" s="63"/>
      <c r="AI69" s="63"/>
      <c r="AJ69" s="63"/>
    </row>
    <row r="70">
      <c r="A70" s="135">
        <v>69.0</v>
      </c>
      <c r="B70" s="67">
        <v>6.0</v>
      </c>
      <c r="C70" s="31" t="s">
        <v>33</v>
      </c>
      <c r="D70" s="68" t="s">
        <v>1219</v>
      </c>
      <c r="E70" s="71" t="s">
        <v>2556</v>
      </c>
      <c r="F70" s="69" t="s">
        <v>1214</v>
      </c>
      <c r="G70" s="69" t="s">
        <v>2507</v>
      </c>
      <c r="H70" s="145">
        <v>3.0</v>
      </c>
      <c r="I70" s="145">
        <v>3.0</v>
      </c>
      <c r="J70" s="69">
        <v>5.0</v>
      </c>
      <c r="K70" s="69" t="str">
        <f>iferror(vlookup(E70,MasterClass!$C$2:$G988,5,false),"")</f>
        <v/>
      </c>
      <c r="L70" s="69">
        <v>5.0</v>
      </c>
      <c r="M70" s="69">
        <f t="shared" si="10"/>
        <v>8</v>
      </c>
      <c r="N70" s="69">
        <f t="shared" si="11"/>
        <v>8</v>
      </c>
      <c r="O70" s="146">
        <f t="shared" si="12"/>
        <v>1</v>
      </c>
      <c r="P70" s="69" t="s">
        <v>2508</v>
      </c>
      <c r="Q70" s="69"/>
      <c r="R70" s="63"/>
      <c r="S70" s="63"/>
      <c r="T70" s="63"/>
      <c r="U70" s="63"/>
      <c r="V70" s="63"/>
      <c r="W70" s="63"/>
      <c r="X70" s="63"/>
      <c r="Y70" s="63"/>
      <c r="Z70" s="63"/>
      <c r="AA70" s="63"/>
      <c r="AB70" s="63"/>
      <c r="AC70" s="63"/>
      <c r="AD70" s="63"/>
      <c r="AE70" s="63"/>
      <c r="AF70" s="63"/>
      <c r="AG70" s="63"/>
      <c r="AH70" s="63"/>
      <c r="AI70" s="63"/>
      <c r="AJ70" s="63"/>
    </row>
    <row r="71">
      <c r="A71" s="135">
        <v>70.0</v>
      </c>
      <c r="B71" s="67">
        <v>7.0</v>
      </c>
      <c r="C71" s="31" t="s">
        <v>35</v>
      </c>
      <c r="D71" s="68" t="s">
        <v>1220</v>
      </c>
      <c r="E71" s="71" t="s">
        <v>2557</v>
      </c>
      <c r="F71" s="69" t="s">
        <v>1214</v>
      </c>
      <c r="G71" s="69" t="s">
        <v>2558</v>
      </c>
      <c r="H71" s="145">
        <v>0.0</v>
      </c>
      <c r="I71" s="145">
        <v>0.0</v>
      </c>
      <c r="J71" s="69">
        <v>5.0</v>
      </c>
      <c r="K71" s="69" t="str">
        <f>iferror(vlookup(E71,MasterClass!$C$2:$G988,5,false),"")</f>
        <v/>
      </c>
      <c r="L71" s="69">
        <v>5.0</v>
      </c>
      <c r="M71" s="69">
        <f t="shared" si="10"/>
        <v>5</v>
      </c>
      <c r="N71" s="69">
        <f t="shared" si="11"/>
        <v>5</v>
      </c>
      <c r="O71" s="146">
        <f t="shared" si="12"/>
        <v>1</v>
      </c>
      <c r="P71" s="146"/>
      <c r="Q71" s="70"/>
      <c r="R71" s="63"/>
      <c r="S71" s="63"/>
      <c r="T71" s="63"/>
      <c r="U71" s="63"/>
      <c r="V71" s="63"/>
      <c r="W71" s="63"/>
      <c r="X71" s="63"/>
      <c r="Y71" s="63"/>
      <c r="Z71" s="63"/>
      <c r="AA71" s="63"/>
      <c r="AB71" s="63"/>
      <c r="AC71" s="63"/>
      <c r="AD71" s="63"/>
      <c r="AE71" s="63"/>
      <c r="AF71" s="63"/>
      <c r="AG71" s="63"/>
      <c r="AH71" s="63"/>
      <c r="AI71" s="63"/>
      <c r="AJ71" s="63"/>
    </row>
    <row r="72">
      <c r="A72" s="135">
        <v>71.0</v>
      </c>
      <c r="B72" s="67">
        <v>8.0</v>
      </c>
      <c r="C72" s="31" t="s">
        <v>37</v>
      </c>
      <c r="D72" s="68" t="s">
        <v>1221</v>
      </c>
      <c r="E72" s="71" t="s">
        <v>2559</v>
      </c>
      <c r="F72" s="69" t="s">
        <v>1214</v>
      </c>
      <c r="G72" s="69" t="s">
        <v>2553</v>
      </c>
      <c r="H72" s="145">
        <v>3.0</v>
      </c>
      <c r="I72" s="145">
        <v>1.0</v>
      </c>
      <c r="J72" s="69">
        <v>5.0</v>
      </c>
      <c r="K72" s="69" t="str">
        <f>iferror(vlookup(E72,MasterClass!$C$2:$G988,5,false),"")</f>
        <v/>
      </c>
      <c r="L72" s="69">
        <v>4.0</v>
      </c>
      <c r="M72" s="69">
        <f t="shared" si="10"/>
        <v>8</v>
      </c>
      <c r="N72" s="69">
        <f t="shared" si="11"/>
        <v>5</v>
      </c>
      <c r="O72" s="146">
        <f t="shared" si="12"/>
        <v>0.625</v>
      </c>
      <c r="P72" s="146"/>
      <c r="Q72" s="70"/>
      <c r="R72" s="63"/>
      <c r="S72" s="63"/>
      <c r="T72" s="63"/>
      <c r="U72" s="63"/>
      <c r="V72" s="63"/>
      <c r="W72" s="63"/>
      <c r="X72" s="63"/>
      <c r="Y72" s="63"/>
      <c r="Z72" s="63"/>
      <c r="AA72" s="63"/>
      <c r="AB72" s="63"/>
      <c r="AC72" s="63"/>
      <c r="AD72" s="63"/>
      <c r="AE72" s="63"/>
      <c r="AF72" s="63"/>
      <c r="AG72" s="63"/>
      <c r="AH72" s="63"/>
      <c r="AI72" s="63"/>
      <c r="AJ72" s="63"/>
    </row>
    <row r="73">
      <c r="A73" s="135">
        <v>72.0</v>
      </c>
      <c r="B73" s="67">
        <v>9.0</v>
      </c>
      <c r="C73" s="31" t="s">
        <v>39</v>
      </c>
      <c r="D73" s="68" t="s">
        <v>1222</v>
      </c>
      <c r="E73" s="71" t="s">
        <v>2560</v>
      </c>
      <c r="F73" s="69" t="s">
        <v>1214</v>
      </c>
      <c r="G73" s="69" t="s">
        <v>2553</v>
      </c>
      <c r="H73" s="145">
        <v>3.0</v>
      </c>
      <c r="I73" s="145">
        <v>1.0</v>
      </c>
      <c r="J73" s="69">
        <v>5.0</v>
      </c>
      <c r="K73" s="69" t="str">
        <f>iferror(vlookup(E73,MasterClass!$C$2:$G988,5,false),"")</f>
        <v/>
      </c>
      <c r="L73" s="69">
        <v>3.0</v>
      </c>
      <c r="M73" s="69">
        <f t="shared" si="10"/>
        <v>8</v>
      </c>
      <c r="N73" s="69">
        <f t="shared" si="11"/>
        <v>4</v>
      </c>
      <c r="O73" s="146">
        <f t="shared" si="12"/>
        <v>0.5</v>
      </c>
      <c r="P73" s="146"/>
      <c r="Q73" s="70"/>
      <c r="R73" s="63"/>
      <c r="S73" s="63"/>
      <c r="T73" s="63"/>
      <c r="U73" s="63"/>
      <c r="V73" s="63"/>
      <c r="W73" s="63"/>
      <c r="X73" s="63"/>
      <c r="Y73" s="63"/>
      <c r="Z73" s="63"/>
      <c r="AA73" s="63"/>
      <c r="AB73" s="63"/>
      <c r="AC73" s="63"/>
      <c r="AD73" s="63"/>
      <c r="AE73" s="63"/>
      <c r="AF73" s="63"/>
      <c r="AG73" s="63"/>
      <c r="AH73" s="63"/>
      <c r="AI73" s="63"/>
      <c r="AJ73" s="63"/>
    </row>
    <row r="74">
      <c r="A74" s="135">
        <v>73.0</v>
      </c>
      <c r="B74" s="67">
        <v>10.0</v>
      </c>
      <c r="C74" s="31" t="s">
        <v>41</v>
      </c>
      <c r="D74" s="68" t="s">
        <v>1223</v>
      </c>
      <c r="E74" s="71" t="s">
        <v>2561</v>
      </c>
      <c r="F74" s="69" t="s">
        <v>1214</v>
      </c>
      <c r="G74" s="69" t="s">
        <v>2558</v>
      </c>
      <c r="H74" s="145">
        <v>0.0</v>
      </c>
      <c r="I74" s="145">
        <v>0.0</v>
      </c>
      <c r="J74" s="69">
        <v>5.0</v>
      </c>
      <c r="K74" s="69" t="str">
        <f>iferror(vlookup(E74,MasterClass!$C$2:$G988,5,false),"")</f>
        <v/>
      </c>
      <c r="L74" s="69">
        <v>0.0</v>
      </c>
      <c r="M74" s="69">
        <f t="shared" si="10"/>
        <v>5</v>
      </c>
      <c r="N74" s="69">
        <f t="shared" si="11"/>
        <v>0</v>
      </c>
      <c r="O74" s="146">
        <f t="shared" si="12"/>
        <v>0</v>
      </c>
      <c r="P74" s="146"/>
      <c r="Q74" s="70"/>
      <c r="R74" s="63"/>
      <c r="S74" s="63"/>
      <c r="T74" s="63"/>
      <c r="U74" s="63"/>
      <c r="V74" s="63"/>
      <c r="W74" s="63"/>
      <c r="X74" s="63"/>
      <c r="Y74" s="63"/>
      <c r="Z74" s="63"/>
      <c r="AA74" s="63"/>
      <c r="AB74" s="63"/>
      <c r="AC74" s="63"/>
      <c r="AD74" s="63"/>
      <c r="AE74" s="63"/>
      <c r="AF74" s="63"/>
      <c r="AG74" s="63"/>
      <c r="AH74" s="63"/>
      <c r="AI74" s="63"/>
      <c r="AJ74" s="63"/>
    </row>
    <row r="75">
      <c r="A75" s="135">
        <v>74.0</v>
      </c>
      <c r="B75" s="67">
        <v>11.0</v>
      </c>
      <c r="C75" s="31" t="s">
        <v>43</v>
      </c>
      <c r="D75" s="68" t="s">
        <v>1224</v>
      </c>
      <c r="E75" s="71" t="s">
        <v>2562</v>
      </c>
      <c r="F75" s="69" t="s">
        <v>1214</v>
      </c>
      <c r="G75" s="69" t="s">
        <v>2553</v>
      </c>
      <c r="H75" s="145">
        <v>3.0</v>
      </c>
      <c r="I75" s="145">
        <v>1.0</v>
      </c>
      <c r="J75" s="69">
        <v>5.0</v>
      </c>
      <c r="K75" s="69" t="str">
        <f>iferror(vlookup(E75,MasterClass!$C$2:$G988,5,false),"")</f>
        <v/>
      </c>
      <c r="L75" s="69">
        <v>4.0</v>
      </c>
      <c r="M75" s="69">
        <f t="shared" si="10"/>
        <v>8</v>
      </c>
      <c r="N75" s="69">
        <f t="shared" si="11"/>
        <v>5</v>
      </c>
      <c r="O75" s="146">
        <f t="shared" si="12"/>
        <v>0.625</v>
      </c>
      <c r="P75" s="146"/>
      <c r="Q75" s="70"/>
      <c r="R75" s="63"/>
      <c r="S75" s="63"/>
      <c r="T75" s="63"/>
      <c r="U75" s="63"/>
      <c r="V75" s="63"/>
      <c r="W75" s="63"/>
      <c r="X75" s="63"/>
      <c r="Y75" s="63"/>
      <c r="Z75" s="63"/>
      <c r="AA75" s="63"/>
      <c r="AB75" s="63"/>
      <c r="AC75" s="63"/>
      <c r="AD75" s="63"/>
      <c r="AE75" s="63"/>
      <c r="AF75" s="63"/>
      <c r="AG75" s="63"/>
      <c r="AH75" s="63"/>
      <c r="AI75" s="63"/>
      <c r="AJ75" s="63"/>
    </row>
    <row r="76">
      <c r="A76" s="135">
        <v>75.0</v>
      </c>
      <c r="B76" s="67">
        <v>12.0</v>
      </c>
      <c r="C76" s="31" t="s">
        <v>45</v>
      </c>
      <c r="D76" s="71" t="s">
        <v>1225</v>
      </c>
      <c r="E76" s="71" t="s">
        <v>2563</v>
      </c>
      <c r="F76" s="69" t="s">
        <v>1214</v>
      </c>
      <c r="G76" s="69" t="s">
        <v>2558</v>
      </c>
      <c r="H76" s="145">
        <v>0.0</v>
      </c>
      <c r="I76" s="145">
        <v>0.0</v>
      </c>
      <c r="J76" s="69">
        <v>5.0</v>
      </c>
      <c r="K76" s="69" t="str">
        <f>iferror(vlookup(E76,MasterClass!$C$2:$G988,5,false),"")</f>
        <v/>
      </c>
      <c r="L76" s="69">
        <v>4.0</v>
      </c>
      <c r="M76" s="69">
        <f t="shared" si="10"/>
        <v>5</v>
      </c>
      <c r="N76" s="69">
        <f t="shared" si="11"/>
        <v>4</v>
      </c>
      <c r="O76" s="146">
        <f t="shared" si="12"/>
        <v>0.8</v>
      </c>
      <c r="P76" s="146"/>
      <c r="Q76" s="70"/>
      <c r="R76" s="63"/>
      <c r="S76" s="63"/>
      <c r="T76" s="63"/>
      <c r="U76" s="63"/>
      <c r="V76" s="63"/>
      <c r="W76" s="63"/>
      <c r="X76" s="63"/>
      <c r="Y76" s="63"/>
      <c r="Z76" s="63"/>
      <c r="AA76" s="63"/>
      <c r="AB76" s="63"/>
      <c r="AC76" s="63"/>
      <c r="AD76" s="63"/>
      <c r="AE76" s="63"/>
      <c r="AF76" s="63"/>
      <c r="AG76" s="63"/>
      <c r="AH76" s="63"/>
      <c r="AI76" s="63"/>
      <c r="AJ76" s="63"/>
    </row>
    <row r="77">
      <c r="A77" s="135">
        <v>76.0</v>
      </c>
      <c r="B77" s="67">
        <v>13.0</v>
      </c>
      <c r="C77" s="31" t="s">
        <v>47</v>
      </c>
      <c r="D77" s="68" t="s">
        <v>1226</v>
      </c>
      <c r="E77" s="71" t="s">
        <v>2564</v>
      </c>
      <c r="F77" s="69" t="s">
        <v>1214</v>
      </c>
      <c r="G77" s="69" t="s">
        <v>2553</v>
      </c>
      <c r="H77" s="145">
        <v>3.0</v>
      </c>
      <c r="I77" s="145">
        <v>0.0</v>
      </c>
      <c r="J77" s="69">
        <v>5.0</v>
      </c>
      <c r="K77" s="69" t="str">
        <f>iferror(vlookup(E77,MasterClass!$C$2:$G988,5,false),"")</f>
        <v/>
      </c>
      <c r="L77" s="69">
        <v>3.0</v>
      </c>
      <c r="M77" s="69">
        <f t="shared" si="10"/>
        <v>8</v>
      </c>
      <c r="N77" s="69">
        <f t="shared" si="11"/>
        <v>3</v>
      </c>
      <c r="O77" s="146">
        <f t="shared" si="12"/>
        <v>0.375</v>
      </c>
      <c r="P77" s="146"/>
      <c r="Q77" s="70"/>
      <c r="R77" s="63"/>
      <c r="S77" s="63"/>
      <c r="T77" s="63"/>
      <c r="U77" s="63"/>
      <c r="V77" s="63"/>
      <c r="W77" s="63"/>
      <c r="X77" s="63"/>
      <c r="Y77" s="63"/>
      <c r="Z77" s="63"/>
      <c r="AA77" s="63"/>
      <c r="AB77" s="63"/>
      <c r="AC77" s="63"/>
      <c r="AD77" s="63"/>
      <c r="AE77" s="63"/>
      <c r="AF77" s="63"/>
      <c r="AG77" s="63"/>
      <c r="AH77" s="63"/>
      <c r="AI77" s="63"/>
      <c r="AJ77" s="63"/>
    </row>
    <row r="78">
      <c r="A78" s="135">
        <v>77.0</v>
      </c>
      <c r="B78" s="67">
        <v>14.0</v>
      </c>
      <c r="C78" s="31" t="s">
        <v>49</v>
      </c>
      <c r="D78" s="68" t="s">
        <v>1227</v>
      </c>
      <c r="E78" s="71" t="s">
        <v>2565</v>
      </c>
      <c r="F78" s="69" t="s">
        <v>1214</v>
      </c>
      <c r="G78" s="69" t="s">
        <v>2558</v>
      </c>
      <c r="H78" s="145">
        <v>0.0</v>
      </c>
      <c r="I78" s="145">
        <v>0.0</v>
      </c>
      <c r="J78" s="69">
        <v>5.0</v>
      </c>
      <c r="K78" s="69" t="str">
        <f>iferror(vlookup(E78,MasterClass!$C$2:$G988,5,false),"")</f>
        <v/>
      </c>
      <c r="L78" s="69">
        <v>5.0</v>
      </c>
      <c r="M78" s="69">
        <f t="shared" si="10"/>
        <v>5</v>
      </c>
      <c r="N78" s="69">
        <f t="shared" si="11"/>
        <v>5</v>
      </c>
      <c r="O78" s="146">
        <f t="shared" si="12"/>
        <v>1</v>
      </c>
      <c r="P78" s="146"/>
      <c r="Q78" s="70"/>
      <c r="R78" s="63"/>
      <c r="S78" s="63"/>
      <c r="T78" s="63"/>
      <c r="U78" s="63"/>
      <c r="V78" s="63"/>
      <c r="W78" s="63"/>
      <c r="X78" s="63"/>
      <c r="Y78" s="63"/>
      <c r="Z78" s="63"/>
      <c r="AA78" s="63"/>
      <c r="AB78" s="63"/>
      <c r="AC78" s="63"/>
      <c r="AD78" s="63"/>
      <c r="AE78" s="63"/>
      <c r="AF78" s="63"/>
      <c r="AG78" s="63"/>
      <c r="AH78" s="63"/>
      <c r="AI78" s="63"/>
      <c r="AJ78" s="63"/>
    </row>
    <row r="79">
      <c r="A79" s="135">
        <v>78.0</v>
      </c>
      <c r="B79" s="67">
        <v>15.0</v>
      </c>
      <c r="C79" s="31" t="s">
        <v>51</v>
      </c>
      <c r="D79" s="68" t="s">
        <v>1228</v>
      </c>
      <c r="E79" s="71" t="s">
        <v>2566</v>
      </c>
      <c r="F79" s="69" t="s">
        <v>1214</v>
      </c>
      <c r="G79" s="69" t="s">
        <v>2553</v>
      </c>
      <c r="H79" s="145">
        <v>3.0</v>
      </c>
      <c r="I79" s="145">
        <v>1.0</v>
      </c>
      <c r="J79" s="69">
        <v>5.0</v>
      </c>
      <c r="K79" s="69" t="str">
        <f>iferror(vlookup(E79,MasterClass!$C$2:$G988,5,false),"")</f>
        <v/>
      </c>
      <c r="L79" s="69">
        <v>5.0</v>
      </c>
      <c r="M79" s="69">
        <f t="shared" si="10"/>
        <v>8</v>
      </c>
      <c r="N79" s="69">
        <f t="shared" si="11"/>
        <v>6</v>
      </c>
      <c r="O79" s="146">
        <f t="shared" si="12"/>
        <v>0.75</v>
      </c>
      <c r="P79" s="146"/>
      <c r="Q79" s="70"/>
      <c r="R79" s="63"/>
      <c r="S79" s="63"/>
      <c r="T79" s="63"/>
      <c r="U79" s="63"/>
      <c r="V79" s="63"/>
      <c r="W79" s="63"/>
      <c r="X79" s="63"/>
      <c r="Y79" s="63"/>
      <c r="Z79" s="63"/>
      <c r="AA79" s="63"/>
      <c r="AB79" s="63"/>
      <c r="AC79" s="63"/>
      <c r="AD79" s="63"/>
      <c r="AE79" s="63"/>
      <c r="AF79" s="63"/>
      <c r="AG79" s="63"/>
      <c r="AH79" s="63"/>
      <c r="AI79" s="63"/>
      <c r="AJ79" s="63"/>
    </row>
    <row r="80">
      <c r="A80" s="135">
        <v>79.0</v>
      </c>
      <c r="B80" s="67">
        <v>16.0</v>
      </c>
      <c r="C80" s="31" t="s">
        <v>53</v>
      </c>
      <c r="D80" s="68" t="s">
        <v>1229</v>
      </c>
      <c r="E80" s="71" t="s">
        <v>2567</v>
      </c>
      <c r="F80" s="69" t="s">
        <v>1214</v>
      </c>
      <c r="G80" s="69" t="s">
        <v>2558</v>
      </c>
      <c r="H80" s="145">
        <v>0.0</v>
      </c>
      <c r="I80" s="145">
        <v>0.0</v>
      </c>
      <c r="J80" s="69">
        <v>5.0</v>
      </c>
      <c r="K80" s="69" t="str">
        <f>iferror(vlookup(E80,MasterClass!$C$2:$G988,5,false),"")</f>
        <v/>
      </c>
      <c r="L80" s="69">
        <v>4.0</v>
      </c>
      <c r="M80" s="69">
        <f t="shared" si="10"/>
        <v>5</v>
      </c>
      <c r="N80" s="69">
        <f t="shared" si="11"/>
        <v>4</v>
      </c>
      <c r="O80" s="146">
        <f t="shared" si="12"/>
        <v>0.8</v>
      </c>
      <c r="P80" s="146"/>
      <c r="Q80" s="70"/>
      <c r="R80" s="63"/>
      <c r="S80" s="63"/>
      <c r="T80" s="63"/>
      <c r="U80" s="63"/>
      <c r="V80" s="63"/>
      <c r="W80" s="63"/>
      <c r="X80" s="63"/>
      <c r="Y80" s="63"/>
      <c r="Z80" s="63"/>
      <c r="AA80" s="63"/>
      <c r="AB80" s="63"/>
      <c r="AC80" s="63"/>
      <c r="AD80" s="63"/>
      <c r="AE80" s="63"/>
      <c r="AF80" s="63"/>
      <c r="AG80" s="63"/>
      <c r="AH80" s="63"/>
      <c r="AI80" s="63"/>
      <c r="AJ80" s="63"/>
    </row>
    <row r="81">
      <c r="A81" s="135">
        <v>80.0</v>
      </c>
      <c r="B81" s="67">
        <v>17.0</v>
      </c>
      <c r="C81" s="31" t="s">
        <v>55</v>
      </c>
      <c r="D81" s="68" t="s">
        <v>1230</v>
      </c>
      <c r="E81" s="71" t="s">
        <v>2568</v>
      </c>
      <c r="F81" s="69" t="s">
        <v>1214</v>
      </c>
      <c r="G81" s="69" t="s">
        <v>2553</v>
      </c>
      <c r="H81" s="145">
        <v>3.0</v>
      </c>
      <c r="I81" s="145">
        <v>1.0</v>
      </c>
      <c r="J81" s="69">
        <v>5.0</v>
      </c>
      <c r="K81" s="69" t="str">
        <f>iferror(vlookup(E81,MasterClass!$C$2:$G988,5,false),"")</f>
        <v/>
      </c>
      <c r="L81" s="69">
        <v>5.0</v>
      </c>
      <c r="M81" s="69">
        <f t="shared" si="10"/>
        <v>8</v>
      </c>
      <c r="N81" s="69">
        <f t="shared" si="11"/>
        <v>6</v>
      </c>
      <c r="O81" s="146">
        <f t="shared" si="12"/>
        <v>0.75</v>
      </c>
      <c r="P81" s="146"/>
      <c r="Q81" s="70"/>
      <c r="R81" s="63"/>
      <c r="S81" s="63"/>
      <c r="T81" s="63"/>
      <c r="U81" s="63"/>
      <c r="V81" s="63"/>
      <c r="W81" s="63"/>
      <c r="X81" s="63"/>
      <c r="Y81" s="63"/>
      <c r="Z81" s="63"/>
      <c r="AA81" s="63"/>
      <c r="AB81" s="63"/>
      <c r="AC81" s="63"/>
      <c r="AD81" s="63"/>
      <c r="AE81" s="63"/>
      <c r="AF81" s="63"/>
      <c r="AG81" s="63"/>
      <c r="AH81" s="63"/>
      <c r="AI81" s="63"/>
      <c r="AJ81" s="63"/>
    </row>
    <row r="82">
      <c r="A82" s="135">
        <v>81.0</v>
      </c>
      <c r="B82" s="67">
        <v>18.0</v>
      </c>
      <c r="C82" s="31" t="s">
        <v>57</v>
      </c>
      <c r="D82" s="68" t="s">
        <v>1231</v>
      </c>
      <c r="E82" s="71" t="s">
        <v>2569</v>
      </c>
      <c r="F82" s="69" t="s">
        <v>1214</v>
      </c>
      <c r="G82" s="69" t="s">
        <v>2553</v>
      </c>
      <c r="H82" s="145">
        <v>3.0</v>
      </c>
      <c r="I82" s="145">
        <v>1.0</v>
      </c>
      <c r="J82" s="69">
        <v>5.0</v>
      </c>
      <c r="K82" s="69" t="str">
        <f>iferror(vlookup(E82,MasterClass!$C$2:$G988,5,false),"")</f>
        <v/>
      </c>
      <c r="L82" s="69">
        <v>4.0</v>
      </c>
      <c r="M82" s="69">
        <f t="shared" si="10"/>
        <v>8</v>
      </c>
      <c r="N82" s="69">
        <f t="shared" si="11"/>
        <v>5</v>
      </c>
      <c r="O82" s="146">
        <f t="shared" si="12"/>
        <v>0.625</v>
      </c>
      <c r="P82" s="146"/>
      <c r="Q82" s="70"/>
      <c r="R82" s="63"/>
      <c r="S82" s="63"/>
      <c r="T82" s="63"/>
      <c r="U82" s="63"/>
      <c r="V82" s="63"/>
      <c r="W82" s="63"/>
      <c r="X82" s="63"/>
      <c r="Y82" s="63"/>
      <c r="Z82" s="63"/>
      <c r="AA82" s="63"/>
      <c r="AB82" s="63"/>
      <c r="AC82" s="63"/>
      <c r="AD82" s="63"/>
      <c r="AE82" s="63"/>
      <c r="AF82" s="63"/>
      <c r="AG82" s="63"/>
      <c r="AH82" s="63"/>
      <c r="AI82" s="63"/>
      <c r="AJ82" s="63"/>
    </row>
    <row r="83">
      <c r="A83" s="135">
        <v>82.0</v>
      </c>
      <c r="B83" s="67">
        <v>19.0</v>
      </c>
      <c r="C83" s="31" t="s">
        <v>59</v>
      </c>
      <c r="D83" s="68" t="s">
        <v>1232</v>
      </c>
      <c r="E83" s="71" t="s">
        <v>2570</v>
      </c>
      <c r="F83" s="69" t="s">
        <v>1214</v>
      </c>
      <c r="G83" s="69" t="s">
        <v>2558</v>
      </c>
      <c r="H83" s="145">
        <v>0.0</v>
      </c>
      <c r="I83" s="145">
        <v>0.0</v>
      </c>
      <c r="J83" s="69">
        <v>5.0</v>
      </c>
      <c r="K83" s="69" t="str">
        <f>iferror(vlookup(E83,MasterClass!$C$2:$G988,5,false),"")</f>
        <v/>
      </c>
      <c r="L83" s="69">
        <v>3.0</v>
      </c>
      <c r="M83" s="69">
        <f t="shared" si="10"/>
        <v>5</v>
      </c>
      <c r="N83" s="69">
        <f t="shared" si="11"/>
        <v>3</v>
      </c>
      <c r="O83" s="146">
        <f t="shared" si="12"/>
        <v>0.6</v>
      </c>
      <c r="P83" s="146"/>
      <c r="Q83" s="70"/>
      <c r="R83" s="63"/>
      <c r="S83" s="63"/>
      <c r="T83" s="63"/>
      <c r="U83" s="63"/>
      <c r="V83" s="63"/>
      <c r="W83" s="63"/>
      <c r="X83" s="63"/>
      <c r="Y83" s="63"/>
      <c r="Z83" s="63"/>
      <c r="AA83" s="63"/>
      <c r="AB83" s="63"/>
      <c r="AC83" s="63"/>
      <c r="AD83" s="63"/>
      <c r="AE83" s="63"/>
      <c r="AF83" s="63"/>
      <c r="AG83" s="63"/>
      <c r="AH83" s="63"/>
      <c r="AI83" s="63"/>
      <c r="AJ83" s="63"/>
    </row>
    <row r="84">
      <c r="A84" s="135">
        <v>83.0</v>
      </c>
      <c r="B84" s="67">
        <v>20.0</v>
      </c>
      <c r="C84" s="31" t="s">
        <v>61</v>
      </c>
      <c r="D84" s="68" t="s">
        <v>1233</v>
      </c>
      <c r="E84" s="71" t="s">
        <v>2571</v>
      </c>
      <c r="F84" s="69" t="s">
        <v>1214</v>
      </c>
      <c r="G84" s="69" t="s">
        <v>2558</v>
      </c>
      <c r="H84" s="145">
        <v>0.0</v>
      </c>
      <c r="I84" s="145">
        <v>0.0</v>
      </c>
      <c r="J84" s="69">
        <v>5.0</v>
      </c>
      <c r="K84" s="69" t="str">
        <f>iferror(vlookup(E84,MasterClass!$C$2:$G988,5,false),"")</f>
        <v/>
      </c>
      <c r="L84" s="69">
        <v>0.0</v>
      </c>
      <c r="M84" s="69">
        <f t="shared" si="10"/>
        <v>5</v>
      </c>
      <c r="N84" s="69">
        <f t="shared" si="11"/>
        <v>0</v>
      </c>
      <c r="O84" s="146">
        <f t="shared" si="12"/>
        <v>0</v>
      </c>
      <c r="P84" s="146"/>
      <c r="Q84" s="70"/>
      <c r="R84" s="63"/>
      <c r="S84" s="63"/>
      <c r="T84" s="63"/>
      <c r="U84" s="63"/>
      <c r="V84" s="63"/>
      <c r="W84" s="63"/>
      <c r="X84" s="63"/>
      <c r="Y84" s="63"/>
      <c r="Z84" s="63"/>
      <c r="AA84" s="63"/>
      <c r="AB84" s="63"/>
      <c r="AC84" s="63"/>
      <c r="AD84" s="63"/>
      <c r="AE84" s="63"/>
      <c r="AF84" s="63"/>
      <c r="AG84" s="63"/>
      <c r="AH84" s="63"/>
      <c r="AI84" s="63"/>
      <c r="AJ84" s="63"/>
    </row>
    <row r="85">
      <c r="A85" s="135">
        <v>84.0</v>
      </c>
      <c r="B85" s="67">
        <v>21.0</v>
      </c>
      <c r="C85" s="31" t="s">
        <v>63</v>
      </c>
      <c r="D85" s="68" t="s">
        <v>1234</v>
      </c>
      <c r="E85" s="71" t="s">
        <v>2572</v>
      </c>
      <c r="F85" s="69" t="s">
        <v>1214</v>
      </c>
      <c r="G85" s="69" t="s">
        <v>1187</v>
      </c>
      <c r="H85" s="145" t="s">
        <v>1187</v>
      </c>
      <c r="I85" s="145" t="s">
        <v>1187</v>
      </c>
      <c r="J85" s="69" t="s">
        <v>1187</v>
      </c>
      <c r="K85" s="69" t="s">
        <v>1187</v>
      </c>
      <c r="L85" s="69" t="s">
        <v>1187</v>
      </c>
      <c r="M85" s="69" t="s">
        <v>1187</v>
      </c>
      <c r="N85" s="69" t="s">
        <v>1187</v>
      </c>
      <c r="O85" s="69" t="s">
        <v>1187</v>
      </c>
      <c r="P85" s="69" t="s">
        <v>2522</v>
      </c>
      <c r="Q85" s="70"/>
      <c r="R85" s="63"/>
      <c r="S85" s="63"/>
      <c r="T85" s="63"/>
      <c r="U85" s="63"/>
      <c r="V85" s="63"/>
      <c r="W85" s="63"/>
      <c r="X85" s="63"/>
      <c r="Y85" s="63"/>
      <c r="Z85" s="63"/>
      <c r="AA85" s="63"/>
      <c r="AB85" s="63"/>
      <c r="AC85" s="63"/>
      <c r="AD85" s="63"/>
      <c r="AE85" s="63"/>
      <c r="AF85" s="63"/>
      <c r="AG85" s="63"/>
      <c r="AH85" s="63"/>
      <c r="AI85" s="63"/>
      <c r="AJ85" s="63"/>
    </row>
    <row r="86">
      <c r="A86" s="135">
        <v>85.0</v>
      </c>
      <c r="B86" s="67">
        <v>22.0</v>
      </c>
      <c r="C86" s="31" t="s">
        <v>65</v>
      </c>
      <c r="D86" s="68" t="s">
        <v>1235</v>
      </c>
      <c r="E86" s="71" t="s">
        <v>2573</v>
      </c>
      <c r="F86" s="69" t="s">
        <v>1214</v>
      </c>
      <c r="G86" s="69" t="s">
        <v>2558</v>
      </c>
      <c r="H86" s="145">
        <v>0.0</v>
      </c>
      <c r="I86" s="145">
        <v>0.0</v>
      </c>
      <c r="J86" s="69">
        <v>5.0</v>
      </c>
      <c r="K86" s="69" t="str">
        <f>iferror(vlookup(E86,MasterClass!$C$2:$G988,5,false),"")</f>
        <v/>
      </c>
      <c r="L86" s="69">
        <v>2.0</v>
      </c>
      <c r="M86" s="69">
        <f t="shared" ref="M86:M101" si="13">J86+H86</f>
        <v>5</v>
      </c>
      <c r="N86" s="69">
        <f t="shared" ref="N86:N101" si="14">I86+L86+K86</f>
        <v>2</v>
      </c>
      <c r="O86" s="146">
        <f t="shared" ref="O86:O101" si="15">N86/M86</f>
        <v>0.4</v>
      </c>
      <c r="P86" s="146"/>
      <c r="Q86" s="70"/>
      <c r="R86" s="63"/>
      <c r="S86" s="63"/>
      <c r="T86" s="63"/>
      <c r="U86" s="63"/>
      <c r="V86" s="63"/>
      <c r="W86" s="63"/>
      <c r="X86" s="63"/>
      <c r="Y86" s="63"/>
      <c r="Z86" s="63"/>
      <c r="AA86" s="63"/>
      <c r="AB86" s="63"/>
      <c r="AC86" s="63"/>
      <c r="AD86" s="63"/>
      <c r="AE86" s="63"/>
      <c r="AF86" s="63"/>
      <c r="AG86" s="63"/>
      <c r="AH86" s="63"/>
      <c r="AI86" s="63"/>
      <c r="AJ86" s="63"/>
    </row>
    <row r="87">
      <c r="A87" s="135">
        <v>86.0</v>
      </c>
      <c r="B87" s="67">
        <v>23.0</v>
      </c>
      <c r="C87" s="31" t="s">
        <v>67</v>
      </c>
      <c r="D87" s="68" t="s">
        <v>1236</v>
      </c>
      <c r="E87" s="71" t="s">
        <v>2574</v>
      </c>
      <c r="F87" s="69" t="s">
        <v>1214</v>
      </c>
      <c r="G87" s="69" t="s">
        <v>2575</v>
      </c>
      <c r="H87" s="145">
        <v>2.0</v>
      </c>
      <c r="I87" s="145">
        <v>2.0</v>
      </c>
      <c r="J87" s="69">
        <v>5.0</v>
      </c>
      <c r="K87" s="69" t="str">
        <f>iferror(vlookup(E87,MasterClass!$C$2:$G988,5,false),"")</f>
        <v/>
      </c>
      <c r="L87" s="69">
        <v>2.0</v>
      </c>
      <c r="M87" s="69">
        <f t="shared" si="13"/>
        <v>7</v>
      </c>
      <c r="N87" s="69">
        <f t="shared" si="14"/>
        <v>4</v>
      </c>
      <c r="O87" s="146">
        <f t="shared" si="15"/>
        <v>0.5714285714</v>
      </c>
      <c r="P87" s="146"/>
      <c r="Q87" s="70"/>
      <c r="R87" s="63"/>
      <c r="S87" s="63"/>
      <c r="T87" s="63"/>
      <c r="U87" s="63"/>
      <c r="V87" s="63"/>
      <c r="W87" s="63"/>
      <c r="X87" s="63"/>
      <c r="Y87" s="63"/>
      <c r="Z87" s="63"/>
      <c r="AA87" s="63"/>
      <c r="AB87" s="63"/>
      <c r="AC87" s="63"/>
      <c r="AD87" s="63"/>
      <c r="AE87" s="63"/>
      <c r="AF87" s="63"/>
      <c r="AG87" s="63"/>
      <c r="AH87" s="63"/>
      <c r="AI87" s="63"/>
      <c r="AJ87" s="63"/>
    </row>
    <row r="88">
      <c r="A88" s="135">
        <v>87.0</v>
      </c>
      <c r="B88" s="67">
        <v>24.0</v>
      </c>
      <c r="C88" s="31" t="s">
        <v>69</v>
      </c>
      <c r="D88" s="68" t="s">
        <v>1237</v>
      </c>
      <c r="E88" s="71" t="s">
        <v>2576</v>
      </c>
      <c r="F88" s="69" t="s">
        <v>1214</v>
      </c>
      <c r="G88" s="69" t="s">
        <v>2575</v>
      </c>
      <c r="H88" s="145">
        <v>2.0</v>
      </c>
      <c r="I88" s="145">
        <v>1.0</v>
      </c>
      <c r="J88" s="69">
        <v>5.0</v>
      </c>
      <c r="K88" s="69" t="str">
        <f>iferror(vlookup(E88,MasterClass!$C$2:$G988,5,false),"")</f>
        <v/>
      </c>
      <c r="L88" s="69">
        <v>3.0</v>
      </c>
      <c r="M88" s="69">
        <f t="shared" si="13"/>
        <v>7</v>
      </c>
      <c r="N88" s="69">
        <f t="shared" si="14"/>
        <v>4</v>
      </c>
      <c r="O88" s="146">
        <f t="shared" si="15"/>
        <v>0.5714285714</v>
      </c>
      <c r="P88" s="146"/>
      <c r="Q88" s="70"/>
      <c r="R88" s="63"/>
      <c r="S88" s="63"/>
      <c r="T88" s="63"/>
      <c r="U88" s="63"/>
      <c r="V88" s="63"/>
      <c r="W88" s="63"/>
      <c r="X88" s="63"/>
      <c r="Y88" s="63"/>
      <c r="Z88" s="63"/>
      <c r="AA88" s="63"/>
      <c r="AB88" s="63"/>
      <c r="AC88" s="63"/>
      <c r="AD88" s="63"/>
      <c r="AE88" s="63"/>
      <c r="AF88" s="63"/>
      <c r="AG88" s="63"/>
      <c r="AH88" s="63"/>
      <c r="AI88" s="63"/>
      <c r="AJ88" s="63"/>
    </row>
    <row r="89">
      <c r="A89" s="135">
        <v>88.0</v>
      </c>
      <c r="B89" s="67">
        <v>25.0</v>
      </c>
      <c r="C89" s="31" t="s">
        <v>71</v>
      </c>
      <c r="D89" s="68" t="s">
        <v>1238</v>
      </c>
      <c r="E89" s="71" t="s">
        <v>2577</v>
      </c>
      <c r="F89" s="69" t="s">
        <v>1214</v>
      </c>
      <c r="G89" s="69" t="s">
        <v>2558</v>
      </c>
      <c r="H89" s="145">
        <v>0.0</v>
      </c>
      <c r="I89" s="145">
        <v>0.0</v>
      </c>
      <c r="J89" s="69">
        <v>5.0</v>
      </c>
      <c r="K89" s="69" t="str">
        <f>iferror(vlookup(E89,MasterClass!$C$2:$G988,5,false),"")</f>
        <v/>
      </c>
      <c r="L89" s="69">
        <v>4.0</v>
      </c>
      <c r="M89" s="69">
        <f t="shared" si="13"/>
        <v>5</v>
      </c>
      <c r="N89" s="69">
        <f t="shared" si="14"/>
        <v>4</v>
      </c>
      <c r="O89" s="146">
        <f t="shared" si="15"/>
        <v>0.8</v>
      </c>
      <c r="P89" s="146"/>
      <c r="Q89" s="70"/>
      <c r="R89" s="63"/>
      <c r="S89" s="63"/>
      <c r="T89" s="63"/>
      <c r="U89" s="63"/>
      <c r="V89" s="63"/>
      <c r="W89" s="63"/>
      <c r="X89" s="63"/>
      <c r="Y89" s="63"/>
      <c r="Z89" s="63"/>
      <c r="AA89" s="63"/>
      <c r="AB89" s="63"/>
      <c r="AC89" s="63"/>
      <c r="AD89" s="63"/>
      <c r="AE89" s="63"/>
      <c r="AF89" s="63"/>
      <c r="AG89" s="63"/>
      <c r="AH89" s="63"/>
      <c r="AI89" s="63"/>
      <c r="AJ89" s="63"/>
    </row>
    <row r="90">
      <c r="A90" s="135">
        <v>89.0</v>
      </c>
      <c r="B90" s="67">
        <v>26.0</v>
      </c>
      <c r="C90" s="31" t="s">
        <v>73</v>
      </c>
      <c r="D90" s="68" t="s">
        <v>1239</v>
      </c>
      <c r="E90" s="71" t="s">
        <v>2578</v>
      </c>
      <c r="F90" s="69" t="s">
        <v>1214</v>
      </c>
      <c r="G90" s="69" t="s">
        <v>2575</v>
      </c>
      <c r="H90" s="145">
        <v>2.0</v>
      </c>
      <c r="I90" s="145">
        <v>1.0</v>
      </c>
      <c r="J90" s="69">
        <v>5.0</v>
      </c>
      <c r="K90" s="69" t="str">
        <f>iferror(vlookup(E90,MasterClass!$C$2:$G988,5,false),"")</f>
        <v/>
      </c>
      <c r="L90" s="69">
        <v>4.0</v>
      </c>
      <c r="M90" s="69">
        <f t="shared" si="13"/>
        <v>7</v>
      </c>
      <c r="N90" s="69">
        <f t="shared" si="14"/>
        <v>5</v>
      </c>
      <c r="O90" s="146">
        <f t="shared" si="15"/>
        <v>0.7142857143</v>
      </c>
      <c r="P90" s="146"/>
      <c r="Q90" s="70"/>
      <c r="R90" s="63"/>
      <c r="S90" s="63"/>
      <c r="T90" s="63"/>
      <c r="U90" s="63"/>
      <c r="V90" s="63"/>
      <c r="W90" s="63"/>
      <c r="X90" s="63"/>
      <c r="Y90" s="63"/>
      <c r="Z90" s="63"/>
      <c r="AA90" s="63"/>
      <c r="AB90" s="63"/>
      <c r="AC90" s="63"/>
      <c r="AD90" s="63"/>
      <c r="AE90" s="63"/>
      <c r="AF90" s="63"/>
      <c r="AG90" s="63"/>
      <c r="AH90" s="63"/>
      <c r="AI90" s="63"/>
      <c r="AJ90" s="63"/>
    </row>
    <row r="91">
      <c r="A91" s="135">
        <v>90.0</v>
      </c>
      <c r="B91" s="67">
        <v>27.0</v>
      </c>
      <c r="C91" s="31" t="s">
        <v>75</v>
      </c>
      <c r="D91" s="68" t="s">
        <v>1240</v>
      </c>
      <c r="E91" s="71" t="s">
        <v>2579</v>
      </c>
      <c r="F91" s="69" t="s">
        <v>1214</v>
      </c>
      <c r="G91" s="69" t="s">
        <v>2558</v>
      </c>
      <c r="H91" s="145">
        <v>0.0</v>
      </c>
      <c r="I91" s="145">
        <v>0.0</v>
      </c>
      <c r="J91" s="69">
        <v>5.0</v>
      </c>
      <c r="K91" s="69" t="str">
        <f>iferror(vlookup(E91,MasterClass!$C$2:$G988,5,false),"")</f>
        <v/>
      </c>
      <c r="L91" s="69">
        <v>0.0</v>
      </c>
      <c r="M91" s="69">
        <f t="shared" si="13"/>
        <v>5</v>
      </c>
      <c r="N91" s="69">
        <f t="shared" si="14"/>
        <v>0</v>
      </c>
      <c r="O91" s="146">
        <f t="shared" si="15"/>
        <v>0</v>
      </c>
      <c r="P91" s="146"/>
      <c r="Q91" s="70"/>
      <c r="R91" s="63"/>
      <c r="S91" s="63"/>
      <c r="T91" s="63"/>
      <c r="U91" s="63"/>
      <c r="V91" s="63"/>
      <c r="W91" s="63"/>
      <c r="X91" s="63"/>
      <c r="Y91" s="63"/>
      <c r="Z91" s="63"/>
      <c r="AA91" s="63"/>
      <c r="AB91" s="63"/>
      <c r="AC91" s="63"/>
      <c r="AD91" s="63"/>
      <c r="AE91" s="63"/>
      <c r="AF91" s="63"/>
      <c r="AG91" s="63"/>
      <c r="AH91" s="63"/>
      <c r="AI91" s="63"/>
      <c r="AJ91" s="63"/>
    </row>
    <row r="92">
      <c r="A92" s="135">
        <v>91.0</v>
      </c>
      <c r="B92" s="67">
        <v>28.0</v>
      </c>
      <c r="C92" s="31" t="s">
        <v>77</v>
      </c>
      <c r="D92" s="68" t="s">
        <v>1241</v>
      </c>
      <c r="E92" s="71" t="s">
        <v>2580</v>
      </c>
      <c r="F92" s="69" t="s">
        <v>1214</v>
      </c>
      <c r="G92" s="69" t="s">
        <v>2558</v>
      </c>
      <c r="H92" s="145">
        <v>0.0</v>
      </c>
      <c r="I92" s="145">
        <v>0.0</v>
      </c>
      <c r="J92" s="69">
        <v>5.0</v>
      </c>
      <c r="K92" s="69" t="str">
        <f>iferror(vlookup(E92,MasterClass!$C$2:$G988,5,false),"")</f>
        <v/>
      </c>
      <c r="L92" s="69">
        <v>2.0</v>
      </c>
      <c r="M92" s="69">
        <f t="shared" si="13"/>
        <v>5</v>
      </c>
      <c r="N92" s="69">
        <f t="shared" si="14"/>
        <v>2</v>
      </c>
      <c r="O92" s="146">
        <f t="shared" si="15"/>
        <v>0.4</v>
      </c>
      <c r="P92" s="146"/>
      <c r="Q92" s="70"/>
      <c r="R92" s="63"/>
      <c r="S92" s="63"/>
      <c r="T92" s="63"/>
      <c r="U92" s="63"/>
      <c r="V92" s="63"/>
      <c r="W92" s="63"/>
      <c r="X92" s="63"/>
      <c r="Y92" s="63"/>
      <c r="Z92" s="63"/>
      <c r="AA92" s="63"/>
      <c r="AB92" s="63"/>
      <c r="AC92" s="63"/>
      <c r="AD92" s="63"/>
      <c r="AE92" s="63"/>
      <c r="AF92" s="63"/>
      <c r="AG92" s="63"/>
      <c r="AH92" s="63"/>
      <c r="AI92" s="63"/>
      <c r="AJ92" s="63"/>
    </row>
    <row r="93">
      <c r="A93" s="135">
        <v>92.0</v>
      </c>
      <c r="B93" s="67">
        <v>29.0</v>
      </c>
      <c r="C93" s="31" t="s">
        <v>79</v>
      </c>
      <c r="D93" s="68" t="s">
        <v>1242</v>
      </c>
      <c r="E93" s="71" t="s">
        <v>2581</v>
      </c>
      <c r="F93" s="69" t="s">
        <v>1214</v>
      </c>
      <c r="G93" s="69" t="s">
        <v>2558</v>
      </c>
      <c r="H93" s="145">
        <v>0.0</v>
      </c>
      <c r="I93" s="145">
        <v>0.0</v>
      </c>
      <c r="J93" s="69">
        <v>5.0</v>
      </c>
      <c r="K93" s="69" t="str">
        <f>iferror(vlookup(E93,MasterClass!$C$2:$G988,5,false),"")</f>
        <v/>
      </c>
      <c r="L93" s="69">
        <v>2.0</v>
      </c>
      <c r="M93" s="69">
        <f t="shared" si="13"/>
        <v>5</v>
      </c>
      <c r="N93" s="69">
        <f t="shared" si="14"/>
        <v>2</v>
      </c>
      <c r="O93" s="146">
        <f t="shared" si="15"/>
        <v>0.4</v>
      </c>
      <c r="P93" s="146"/>
      <c r="Q93" s="70"/>
      <c r="R93" s="63"/>
      <c r="S93" s="63"/>
      <c r="T93" s="63"/>
      <c r="U93" s="63"/>
      <c r="V93" s="63"/>
      <c r="W93" s="63"/>
      <c r="X93" s="63"/>
      <c r="Y93" s="63"/>
      <c r="Z93" s="63"/>
      <c r="AA93" s="63"/>
      <c r="AB93" s="63"/>
      <c r="AC93" s="63"/>
      <c r="AD93" s="63"/>
      <c r="AE93" s="63"/>
      <c r="AF93" s="63"/>
      <c r="AG93" s="63"/>
      <c r="AH93" s="63"/>
      <c r="AI93" s="63"/>
      <c r="AJ93" s="63"/>
    </row>
    <row r="94">
      <c r="A94" s="135">
        <v>93.0</v>
      </c>
      <c r="B94" s="67">
        <v>30.0</v>
      </c>
      <c r="C94" s="31" t="s">
        <v>81</v>
      </c>
      <c r="D94" s="68" t="s">
        <v>1243</v>
      </c>
      <c r="E94" s="71" t="s">
        <v>2582</v>
      </c>
      <c r="F94" s="69" t="s">
        <v>1214</v>
      </c>
      <c r="G94" s="69" t="s">
        <v>2583</v>
      </c>
      <c r="H94" s="145">
        <v>4.0</v>
      </c>
      <c r="I94" s="145">
        <v>4.0</v>
      </c>
      <c r="J94" s="69">
        <v>5.0</v>
      </c>
      <c r="K94" s="69" t="str">
        <f>iferror(vlookup(E94,MasterClass!$C$2:$G988,5,false),"")</f>
        <v/>
      </c>
      <c r="L94" s="69">
        <v>5.0</v>
      </c>
      <c r="M94" s="69">
        <f t="shared" si="13"/>
        <v>9</v>
      </c>
      <c r="N94" s="69">
        <f t="shared" si="14"/>
        <v>9</v>
      </c>
      <c r="O94" s="146">
        <f t="shared" si="15"/>
        <v>1</v>
      </c>
      <c r="P94" s="69" t="s">
        <v>2508</v>
      </c>
      <c r="Q94" s="69"/>
      <c r="R94" s="63"/>
      <c r="S94" s="63"/>
      <c r="T94" s="63"/>
      <c r="U94" s="63"/>
      <c r="V94" s="63"/>
      <c r="W94" s="63"/>
      <c r="X94" s="63"/>
      <c r="Y94" s="63"/>
      <c r="Z94" s="63"/>
      <c r="AA94" s="63"/>
      <c r="AB94" s="63"/>
      <c r="AC94" s="63"/>
      <c r="AD94" s="63"/>
      <c r="AE94" s="63"/>
      <c r="AF94" s="63"/>
      <c r="AG94" s="63"/>
      <c r="AH94" s="63"/>
      <c r="AI94" s="63"/>
      <c r="AJ94" s="63"/>
    </row>
    <row r="95">
      <c r="A95" s="135">
        <v>94.0</v>
      </c>
      <c r="B95" s="67">
        <v>31.0</v>
      </c>
      <c r="C95" s="31" t="s">
        <v>83</v>
      </c>
      <c r="D95" s="68" t="s">
        <v>1244</v>
      </c>
      <c r="E95" s="71" t="s">
        <v>2584</v>
      </c>
      <c r="F95" s="69" t="s">
        <v>1214</v>
      </c>
      <c r="G95" s="69" t="s">
        <v>2558</v>
      </c>
      <c r="H95" s="145">
        <v>0.0</v>
      </c>
      <c r="I95" s="145">
        <v>0.0</v>
      </c>
      <c r="J95" s="69">
        <v>5.0</v>
      </c>
      <c r="K95" s="69" t="str">
        <f>iferror(vlookup(E95,MasterClass!$C$2:$G988,5,false),"")</f>
        <v/>
      </c>
      <c r="L95" s="69">
        <v>5.0</v>
      </c>
      <c r="M95" s="69">
        <f t="shared" si="13"/>
        <v>5</v>
      </c>
      <c r="N95" s="69">
        <f t="shared" si="14"/>
        <v>5</v>
      </c>
      <c r="O95" s="146">
        <f t="shared" si="15"/>
        <v>1</v>
      </c>
      <c r="P95" s="146"/>
      <c r="Q95" s="70"/>
      <c r="R95" s="63"/>
      <c r="S95" s="63"/>
      <c r="T95" s="63"/>
      <c r="U95" s="63"/>
      <c r="V95" s="63"/>
      <c r="W95" s="63"/>
      <c r="X95" s="63"/>
      <c r="Y95" s="63"/>
      <c r="Z95" s="63"/>
      <c r="AA95" s="63"/>
      <c r="AB95" s="63"/>
      <c r="AC95" s="63"/>
      <c r="AD95" s="63"/>
      <c r="AE95" s="63"/>
      <c r="AF95" s="63"/>
      <c r="AG95" s="63"/>
      <c r="AH95" s="63"/>
      <c r="AI95" s="63"/>
      <c r="AJ95" s="63"/>
    </row>
    <row r="96">
      <c r="A96" s="135">
        <v>95.0</v>
      </c>
      <c r="B96" s="67">
        <v>32.0</v>
      </c>
      <c r="C96" s="31" t="s">
        <v>85</v>
      </c>
      <c r="D96" s="68" t="s">
        <v>1245</v>
      </c>
      <c r="E96" s="71" t="s">
        <v>2585</v>
      </c>
      <c r="F96" s="69" t="s">
        <v>1214</v>
      </c>
      <c r="G96" s="69" t="s">
        <v>2558</v>
      </c>
      <c r="H96" s="145">
        <v>0.0</v>
      </c>
      <c r="I96" s="145">
        <v>0.0</v>
      </c>
      <c r="J96" s="69">
        <v>5.0</v>
      </c>
      <c r="K96" s="69">
        <f>iferror(vlookup(E96,MasterClass!$C$2:$G988,5,false),"")</f>
        <v>1</v>
      </c>
      <c r="L96" s="69">
        <v>5.0</v>
      </c>
      <c r="M96" s="69">
        <f t="shared" si="13"/>
        <v>5</v>
      </c>
      <c r="N96" s="69">
        <f t="shared" si="14"/>
        <v>6</v>
      </c>
      <c r="O96" s="146">
        <f t="shared" si="15"/>
        <v>1.2</v>
      </c>
      <c r="P96" s="146"/>
      <c r="Q96" s="70"/>
      <c r="R96" s="63"/>
      <c r="S96" s="63"/>
      <c r="T96" s="63"/>
      <c r="U96" s="63"/>
      <c r="V96" s="63"/>
      <c r="W96" s="63"/>
      <c r="X96" s="63"/>
      <c r="Y96" s="63"/>
      <c r="Z96" s="63"/>
      <c r="AA96" s="63"/>
      <c r="AB96" s="63"/>
      <c r="AC96" s="63"/>
      <c r="AD96" s="63"/>
      <c r="AE96" s="63"/>
      <c r="AF96" s="63"/>
      <c r="AG96" s="63"/>
      <c r="AH96" s="63"/>
      <c r="AI96" s="63"/>
      <c r="AJ96" s="63"/>
    </row>
    <row r="97">
      <c r="A97" s="135">
        <v>96.0</v>
      </c>
      <c r="B97" s="67">
        <v>33.0</v>
      </c>
      <c r="C97" s="31" t="s">
        <v>87</v>
      </c>
      <c r="D97" s="68" t="s">
        <v>1246</v>
      </c>
      <c r="E97" s="71" t="s">
        <v>2586</v>
      </c>
      <c r="F97" s="69" t="s">
        <v>1214</v>
      </c>
      <c r="G97" s="69" t="s">
        <v>2583</v>
      </c>
      <c r="H97" s="145">
        <v>4.0</v>
      </c>
      <c r="I97" s="145">
        <v>1.0</v>
      </c>
      <c r="J97" s="69">
        <v>5.0</v>
      </c>
      <c r="K97" s="69" t="str">
        <f>iferror(vlookup(E97,MasterClass!$C$2:$G988,5,false),"")</f>
        <v/>
      </c>
      <c r="L97" s="69">
        <v>2.0</v>
      </c>
      <c r="M97" s="69">
        <f t="shared" si="13"/>
        <v>9</v>
      </c>
      <c r="N97" s="69">
        <f t="shared" si="14"/>
        <v>3</v>
      </c>
      <c r="O97" s="146">
        <f t="shared" si="15"/>
        <v>0.3333333333</v>
      </c>
      <c r="P97" s="69" t="s">
        <v>2508</v>
      </c>
      <c r="Q97" s="69"/>
      <c r="R97" s="63"/>
      <c r="S97" s="63"/>
      <c r="T97" s="63"/>
      <c r="U97" s="63"/>
      <c r="V97" s="63"/>
      <c r="W97" s="63"/>
      <c r="X97" s="63"/>
      <c r="Y97" s="63"/>
      <c r="Z97" s="63"/>
      <c r="AA97" s="63"/>
      <c r="AB97" s="63"/>
      <c r="AC97" s="63"/>
      <c r="AD97" s="63"/>
      <c r="AE97" s="63"/>
      <c r="AF97" s="63"/>
      <c r="AG97" s="63"/>
      <c r="AH97" s="63"/>
      <c r="AI97" s="63"/>
      <c r="AJ97" s="63"/>
    </row>
    <row r="98">
      <c r="A98" s="135">
        <v>97.0</v>
      </c>
      <c r="B98" s="67">
        <v>34.0</v>
      </c>
      <c r="C98" s="31" t="s">
        <v>89</v>
      </c>
      <c r="D98" s="68" t="s">
        <v>1247</v>
      </c>
      <c r="E98" s="71" t="s">
        <v>2587</v>
      </c>
      <c r="F98" s="69" t="s">
        <v>1214</v>
      </c>
      <c r="G98" s="69" t="s">
        <v>2558</v>
      </c>
      <c r="H98" s="145">
        <v>0.0</v>
      </c>
      <c r="I98" s="145">
        <v>0.0</v>
      </c>
      <c r="J98" s="69">
        <v>5.0</v>
      </c>
      <c r="K98" s="69" t="str">
        <f>iferror(vlookup(E98,MasterClass!$C$2:$G988,5,false),"")</f>
        <v/>
      </c>
      <c r="L98" s="69">
        <v>4.0</v>
      </c>
      <c r="M98" s="69">
        <f t="shared" si="13"/>
        <v>5</v>
      </c>
      <c r="N98" s="69">
        <f t="shared" si="14"/>
        <v>4</v>
      </c>
      <c r="O98" s="146">
        <f t="shared" si="15"/>
        <v>0.8</v>
      </c>
      <c r="P98" s="146"/>
      <c r="Q98" s="70"/>
      <c r="R98" s="63"/>
      <c r="S98" s="63"/>
      <c r="T98" s="63"/>
      <c r="U98" s="63"/>
      <c r="V98" s="63"/>
      <c r="W98" s="63"/>
      <c r="X98" s="63"/>
      <c r="Y98" s="63"/>
      <c r="Z98" s="63"/>
      <c r="AA98" s="63"/>
      <c r="AB98" s="63"/>
      <c r="AC98" s="63"/>
      <c r="AD98" s="63"/>
      <c r="AE98" s="63"/>
      <c r="AF98" s="63"/>
      <c r="AG98" s="63"/>
      <c r="AH98" s="63"/>
      <c r="AI98" s="63"/>
      <c r="AJ98" s="63"/>
    </row>
    <row r="99">
      <c r="A99" s="135">
        <v>98.0</v>
      </c>
      <c r="B99" s="67">
        <v>35.0</v>
      </c>
      <c r="C99" s="31" t="s">
        <v>91</v>
      </c>
      <c r="D99" s="68" t="s">
        <v>1248</v>
      </c>
      <c r="E99" s="71" t="s">
        <v>2588</v>
      </c>
      <c r="F99" s="69" t="s">
        <v>1214</v>
      </c>
      <c r="G99" s="69" t="s">
        <v>2558</v>
      </c>
      <c r="H99" s="145">
        <v>0.0</v>
      </c>
      <c r="I99" s="145">
        <v>0.0</v>
      </c>
      <c r="J99" s="69">
        <v>5.0</v>
      </c>
      <c r="K99" s="69" t="str">
        <f>iferror(vlookup(E99,MasterClass!$C$2:$G988,5,false),"")</f>
        <v/>
      </c>
      <c r="L99" s="69">
        <v>2.0</v>
      </c>
      <c r="M99" s="69">
        <f t="shared" si="13"/>
        <v>5</v>
      </c>
      <c r="N99" s="69">
        <f t="shared" si="14"/>
        <v>2</v>
      </c>
      <c r="O99" s="146">
        <f t="shared" si="15"/>
        <v>0.4</v>
      </c>
      <c r="P99" s="146"/>
      <c r="Q99" s="70"/>
      <c r="R99" s="63"/>
      <c r="S99" s="63"/>
      <c r="T99" s="63"/>
      <c r="U99" s="63"/>
      <c r="V99" s="63"/>
      <c r="W99" s="63"/>
      <c r="X99" s="63"/>
      <c r="Y99" s="63"/>
      <c r="Z99" s="63"/>
      <c r="AA99" s="63"/>
      <c r="AB99" s="63"/>
      <c r="AC99" s="63"/>
      <c r="AD99" s="63"/>
      <c r="AE99" s="63"/>
      <c r="AF99" s="63"/>
      <c r="AG99" s="63"/>
      <c r="AH99" s="63"/>
      <c r="AI99" s="63"/>
      <c r="AJ99" s="63"/>
    </row>
    <row r="100">
      <c r="A100" s="135">
        <v>99.0</v>
      </c>
      <c r="B100" s="67">
        <v>36.0</v>
      </c>
      <c r="C100" s="31" t="s">
        <v>93</v>
      </c>
      <c r="D100" s="68" t="s">
        <v>1249</v>
      </c>
      <c r="E100" s="71" t="s">
        <v>2589</v>
      </c>
      <c r="F100" s="69" t="s">
        <v>1214</v>
      </c>
      <c r="G100" s="69" t="s">
        <v>2575</v>
      </c>
      <c r="H100" s="145">
        <v>2.0</v>
      </c>
      <c r="I100" s="145">
        <v>2.0</v>
      </c>
      <c r="J100" s="69">
        <v>5.0</v>
      </c>
      <c r="K100" s="69" t="str">
        <f>iferror(vlookup(E100,MasterClass!$C$2:$G988,5,false),"")</f>
        <v/>
      </c>
      <c r="L100" s="69">
        <v>2.0</v>
      </c>
      <c r="M100" s="69">
        <f t="shared" si="13"/>
        <v>7</v>
      </c>
      <c r="N100" s="69">
        <f t="shared" si="14"/>
        <v>4</v>
      </c>
      <c r="O100" s="146">
        <f t="shared" si="15"/>
        <v>0.5714285714</v>
      </c>
      <c r="P100" s="146"/>
      <c r="Q100" s="70"/>
      <c r="R100" s="63"/>
      <c r="S100" s="63"/>
      <c r="T100" s="63"/>
      <c r="U100" s="63"/>
      <c r="V100" s="63"/>
      <c r="W100" s="63"/>
      <c r="X100" s="63"/>
      <c r="Y100" s="63"/>
      <c r="Z100" s="63"/>
      <c r="AA100" s="63"/>
      <c r="AB100" s="63"/>
      <c r="AC100" s="63"/>
      <c r="AD100" s="63"/>
      <c r="AE100" s="63"/>
      <c r="AF100" s="63"/>
      <c r="AG100" s="63"/>
      <c r="AH100" s="63"/>
      <c r="AI100" s="63"/>
      <c r="AJ100" s="63"/>
    </row>
    <row r="101">
      <c r="A101" s="135">
        <v>100.0</v>
      </c>
      <c r="B101" s="67">
        <v>37.0</v>
      </c>
      <c r="C101" s="31" t="s">
        <v>95</v>
      </c>
      <c r="D101" s="68" t="s">
        <v>1250</v>
      </c>
      <c r="E101" s="71" t="s">
        <v>2590</v>
      </c>
      <c r="F101" s="69" t="s">
        <v>1214</v>
      </c>
      <c r="G101" s="69" t="s">
        <v>2575</v>
      </c>
      <c r="H101" s="145">
        <v>2.0</v>
      </c>
      <c r="I101" s="145">
        <v>1.0</v>
      </c>
      <c r="J101" s="69">
        <v>5.0</v>
      </c>
      <c r="K101" s="69" t="str">
        <f>iferror(vlookup(E101,MasterClass!$C$2:$G988,5,false),"")</f>
        <v/>
      </c>
      <c r="L101" s="69">
        <v>3.0</v>
      </c>
      <c r="M101" s="69">
        <f t="shared" si="13"/>
        <v>7</v>
      </c>
      <c r="N101" s="69">
        <f t="shared" si="14"/>
        <v>4</v>
      </c>
      <c r="O101" s="146">
        <f t="shared" si="15"/>
        <v>0.5714285714</v>
      </c>
      <c r="P101" s="146"/>
      <c r="Q101" s="70"/>
      <c r="R101" s="63"/>
      <c r="S101" s="63"/>
      <c r="T101" s="63"/>
      <c r="U101" s="63"/>
      <c r="V101" s="63"/>
      <c r="W101" s="63"/>
      <c r="X101" s="63"/>
      <c r="Y101" s="63"/>
      <c r="Z101" s="63"/>
      <c r="AA101" s="63"/>
      <c r="AB101" s="63"/>
      <c r="AC101" s="63"/>
      <c r="AD101" s="63"/>
      <c r="AE101" s="63"/>
      <c r="AF101" s="63"/>
      <c r="AG101" s="63"/>
      <c r="AH101" s="63"/>
      <c r="AI101" s="63"/>
      <c r="AJ101" s="63"/>
    </row>
    <row r="102">
      <c r="A102" s="135">
        <v>101.0</v>
      </c>
      <c r="B102" s="67">
        <v>38.0</v>
      </c>
      <c r="C102" s="31" t="s">
        <v>97</v>
      </c>
      <c r="D102" s="68" t="s">
        <v>1251</v>
      </c>
      <c r="E102" s="71" t="s">
        <v>2591</v>
      </c>
      <c r="F102" s="69" t="s">
        <v>1214</v>
      </c>
      <c r="G102" s="69" t="s">
        <v>1187</v>
      </c>
      <c r="H102" s="145"/>
      <c r="I102" s="145"/>
      <c r="J102" s="69"/>
      <c r="K102" s="69"/>
      <c r="L102" s="69"/>
      <c r="M102" s="69"/>
      <c r="N102" s="69"/>
      <c r="O102" s="146"/>
      <c r="P102" s="69" t="s">
        <v>2522</v>
      </c>
      <c r="Q102" s="70"/>
      <c r="R102" s="63"/>
      <c r="S102" s="63"/>
      <c r="T102" s="63"/>
      <c r="U102" s="63"/>
      <c r="V102" s="63"/>
      <c r="W102" s="63"/>
      <c r="X102" s="63"/>
      <c r="Y102" s="63"/>
      <c r="Z102" s="63"/>
      <c r="AA102" s="63"/>
      <c r="AB102" s="63"/>
      <c r="AC102" s="63"/>
      <c r="AD102" s="63"/>
      <c r="AE102" s="63"/>
      <c r="AF102" s="63"/>
      <c r="AG102" s="63"/>
      <c r="AH102" s="63"/>
      <c r="AI102" s="63"/>
      <c r="AJ102" s="63"/>
    </row>
    <row r="103">
      <c r="A103" s="135">
        <v>102.0</v>
      </c>
      <c r="B103" s="67">
        <v>39.0</v>
      </c>
      <c r="C103" s="31" t="s">
        <v>99</v>
      </c>
      <c r="D103" s="68" t="s">
        <v>1252</v>
      </c>
      <c r="E103" s="71" t="s">
        <v>2592</v>
      </c>
      <c r="F103" s="69" t="s">
        <v>1214</v>
      </c>
      <c r="G103" s="69" t="s">
        <v>2507</v>
      </c>
      <c r="H103" s="145">
        <v>3.0</v>
      </c>
      <c r="I103" s="145">
        <v>1.0</v>
      </c>
      <c r="J103" s="69">
        <v>5.0</v>
      </c>
      <c r="K103" s="69" t="str">
        <f>iferror(vlookup(E103,MasterClass!$C$2:$G988,5,false),"")</f>
        <v/>
      </c>
      <c r="L103" s="69">
        <v>2.0</v>
      </c>
      <c r="M103" s="69">
        <f t="shared" ref="M103:M107" si="16">J103+H103</f>
        <v>8</v>
      </c>
      <c r="N103" s="69">
        <f t="shared" ref="N103:N107" si="17">I103+L103+K103</f>
        <v>3</v>
      </c>
      <c r="O103" s="146">
        <f t="shared" ref="O103:O107" si="18">N103/M103</f>
        <v>0.375</v>
      </c>
      <c r="P103" s="69" t="s">
        <v>2508</v>
      </c>
      <c r="Q103" s="69"/>
      <c r="R103" s="63"/>
      <c r="S103" s="63"/>
      <c r="T103" s="63"/>
      <c r="U103" s="63"/>
      <c r="V103" s="63"/>
      <c r="W103" s="63"/>
      <c r="X103" s="63"/>
      <c r="Y103" s="63"/>
      <c r="Z103" s="63"/>
      <c r="AA103" s="63"/>
      <c r="AB103" s="63"/>
      <c r="AC103" s="63"/>
      <c r="AD103" s="63"/>
      <c r="AE103" s="63"/>
      <c r="AF103" s="63"/>
      <c r="AG103" s="63"/>
      <c r="AH103" s="63"/>
      <c r="AI103" s="63"/>
      <c r="AJ103" s="63"/>
    </row>
    <row r="104">
      <c r="A104" s="135">
        <v>103.0</v>
      </c>
      <c r="B104" s="67">
        <v>40.0</v>
      </c>
      <c r="C104" s="31" t="s">
        <v>101</v>
      </c>
      <c r="D104" s="68" t="s">
        <v>1253</v>
      </c>
      <c r="E104" s="71" t="s">
        <v>2593</v>
      </c>
      <c r="F104" s="69" t="s">
        <v>1214</v>
      </c>
      <c r="G104" s="69" t="s">
        <v>2575</v>
      </c>
      <c r="H104" s="145">
        <v>2.0</v>
      </c>
      <c r="I104" s="145">
        <v>2.0</v>
      </c>
      <c r="J104" s="69">
        <v>5.0</v>
      </c>
      <c r="K104" s="69" t="str">
        <f>iferror(vlookup(E104,MasterClass!$C$2:$G988,5,false),"")</f>
        <v/>
      </c>
      <c r="L104" s="69">
        <v>4.0</v>
      </c>
      <c r="M104" s="69">
        <f t="shared" si="16"/>
        <v>7</v>
      </c>
      <c r="N104" s="69">
        <f t="shared" si="17"/>
        <v>6</v>
      </c>
      <c r="O104" s="146">
        <f t="shared" si="18"/>
        <v>0.8571428571</v>
      </c>
      <c r="P104" s="146"/>
      <c r="Q104" s="70"/>
      <c r="R104" s="63"/>
      <c r="S104" s="63"/>
      <c r="T104" s="63"/>
      <c r="U104" s="63"/>
      <c r="V104" s="63"/>
      <c r="W104" s="63"/>
      <c r="X104" s="63"/>
      <c r="Y104" s="63"/>
      <c r="Z104" s="63"/>
      <c r="AA104" s="63"/>
      <c r="AB104" s="63"/>
      <c r="AC104" s="63"/>
      <c r="AD104" s="63"/>
      <c r="AE104" s="63"/>
      <c r="AF104" s="63"/>
      <c r="AG104" s="63"/>
      <c r="AH104" s="63"/>
      <c r="AI104" s="63"/>
      <c r="AJ104" s="63"/>
    </row>
    <row r="105">
      <c r="A105" s="135">
        <v>104.0</v>
      </c>
      <c r="B105" s="67">
        <v>41.0</v>
      </c>
      <c r="C105" s="31" t="s">
        <v>103</v>
      </c>
      <c r="D105" s="68" t="s">
        <v>1254</v>
      </c>
      <c r="E105" s="71" t="s">
        <v>2594</v>
      </c>
      <c r="F105" s="69" t="s">
        <v>1214</v>
      </c>
      <c r="G105" s="69" t="s">
        <v>2575</v>
      </c>
      <c r="H105" s="145">
        <v>2.0</v>
      </c>
      <c r="I105" s="145">
        <v>2.0</v>
      </c>
      <c r="J105" s="69">
        <v>5.0</v>
      </c>
      <c r="K105" s="69" t="str">
        <f>iferror(vlookup(E105,MasterClass!$C$2:$G988,5,false),"")</f>
        <v/>
      </c>
      <c r="L105" s="69">
        <v>3.0</v>
      </c>
      <c r="M105" s="69">
        <f t="shared" si="16"/>
        <v>7</v>
      </c>
      <c r="N105" s="69">
        <f t="shared" si="17"/>
        <v>5</v>
      </c>
      <c r="O105" s="146">
        <f t="shared" si="18"/>
        <v>0.7142857143</v>
      </c>
      <c r="P105" s="146"/>
      <c r="Q105" s="70"/>
      <c r="R105" s="63"/>
      <c r="S105" s="63"/>
      <c r="T105" s="63"/>
      <c r="U105" s="63"/>
      <c r="V105" s="63"/>
      <c r="W105" s="63"/>
      <c r="X105" s="63"/>
      <c r="Y105" s="63"/>
      <c r="Z105" s="63"/>
      <c r="AA105" s="63"/>
      <c r="AB105" s="63"/>
      <c r="AC105" s="63"/>
      <c r="AD105" s="63"/>
      <c r="AE105" s="63"/>
      <c r="AF105" s="63"/>
      <c r="AG105" s="63"/>
      <c r="AH105" s="63"/>
      <c r="AI105" s="63"/>
      <c r="AJ105" s="63"/>
    </row>
    <row r="106">
      <c r="A106" s="135">
        <v>105.0</v>
      </c>
      <c r="B106" s="67">
        <v>42.0</v>
      </c>
      <c r="C106" s="31" t="s">
        <v>105</v>
      </c>
      <c r="D106" s="68" t="s">
        <v>1255</v>
      </c>
      <c r="E106" s="71" t="s">
        <v>2595</v>
      </c>
      <c r="F106" s="69" t="s">
        <v>1214</v>
      </c>
      <c r="G106" s="69" t="s">
        <v>2553</v>
      </c>
      <c r="H106" s="145"/>
      <c r="I106" s="145"/>
      <c r="J106" s="69">
        <v>5.0</v>
      </c>
      <c r="K106" s="69" t="str">
        <f>iferror(vlookup(E106,MasterClass!$C$2:$G988,5,false),"")</f>
        <v/>
      </c>
      <c r="L106" s="69">
        <v>5.0</v>
      </c>
      <c r="M106" s="69">
        <f t="shared" si="16"/>
        <v>5</v>
      </c>
      <c r="N106" s="69">
        <f t="shared" si="17"/>
        <v>5</v>
      </c>
      <c r="O106" s="146">
        <f t="shared" si="18"/>
        <v>1</v>
      </c>
      <c r="P106" s="146"/>
      <c r="Q106" s="70"/>
      <c r="R106" s="63"/>
      <c r="S106" s="63"/>
      <c r="T106" s="63"/>
      <c r="U106" s="63"/>
      <c r="V106" s="63"/>
      <c r="W106" s="63"/>
      <c r="X106" s="63"/>
      <c r="Y106" s="63"/>
      <c r="Z106" s="63"/>
      <c r="AA106" s="63"/>
      <c r="AB106" s="63"/>
      <c r="AC106" s="63"/>
      <c r="AD106" s="63"/>
      <c r="AE106" s="63"/>
      <c r="AF106" s="63"/>
      <c r="AG106" s="63"/>
      <c r="AH106" s="63"/>
      <c r="AI106" s="63"/>
      <c r="AJ106" s="63"/>
    </row>
    <row r="107">
      <c r="A107" s="135">
        <v>106.0</v>
      </c>
      <c r="B107" s="67">
        <v>43.0</v>
      </c>
      <c r="C107" s="31" t="s">
        <v>107</v>
      </c>
      <c r="D107" s="68" t="s">
        <v>1256</v>
      </c>
      <c r="E107" s="71" t="s">
        <v>2596</v>
      </c>
      <c r="F107" s="69" t="s">
        <v>1214</v>
      </c>
      <c r="G107" s="69" t="s">
        <v>2575</v>
      </c>
      <c r="H107" s="145">
        <v>2.0</v>
      </c>
      <c r="I107" s="145">
        <v>2.0</v>
      </c>
      <c r="J107" s="69">
        <v>5.0</v>
      </c>
      <c r="K107" s="69" t="str">
        <f>iferror(vlookup(E107,MasterClass!$C$2:$G988,5,false),"")</f>
        <v/>
      </c>
      <c r="L107" s="69">
        <v>2.0</v>
      </c>
      <c r="M107" s="69">
        <f t="shared" si="16"/>
        <v>7</v>
      </c>
      <c r="N107" s="69">
        <f t="shared" si="17"/>
        <v>4</v>
      </c>
      <c r="O107" s="146">
        <f t="shared" si="18"/>
        <v>0.5714285714</v>
      </c>
      <c r="P107" s="146"/>
      <c r="Q107" s="70"/>
      <c r="R107" s="63"/>
      <c r="S107" s="63"/>
      <c r="T107" s="63"/>
      <c r="U107" s="63"/>
      <c r="V107" s="63"/>
      <c r="W107" s="63"/>
      <c r="X107" s="63"/>
      <c r="Y107" s="63"/>
      <c r="Z107" s="63"/>
      <c r="AA107" s="63"/>
      <c r="AB107" s="63"/>
      <c r="AC107" s="63"/>
      <c r="AD107" s="63"/>
      <c r="AE107" s="63"/>
      <c r="AF107" s="63"/>
      <c r="AG107" s="63"/>
      <c r="AH107" s="63"/>
      <c r="AI107" s="63"/>
      <c r="AJ107" s="63"/>
    </row>
    <row r="108">
      <c r="A108" s="135">
        <v>107.0</v>
      </c>
      <c r="B108" s="67">
        <v>44.0</v>
      </c>
      <c r="C108" s="31" t="s">
        <v>109</v>
      </c>
      <c r="D108" s="68" t="s">
        <v>1257</v>
      </c>
      <c r="E108" s="71" t="s">
        <v>2597</v>
      </c>
      <c r="F108" s="69" t="s">
        <v>1214</v>
      </c>
      <c r="G108" s="69" t="s">
        <v>1187</v>
      </c>
      <c r="H108" s="145"/>
      <c r="I108" s="145"/>
      <c r="J108" s="69"/>
      <c r="K108" s="69" t="str">
        <f>iferror(vlookup(E108,MasterClass!$C$2:$G988,5,false),"")</f>
        <v/>
      </c>
      <c r="L108" s="69"/>
      <c r="M108" s="69"/>
      <c r="N108" s="69"/>
      <c r="O108" s="146"/>
      <c r="P108" s="69" t="s">
        <v>2522</v>
      </c>
      <c r="Q108" s="70"/>
      <c r="R108" s="63"/>
      <c r="S108" s="63"/>
      <c r="T108" s="63"/>
      <c r="U108" s="63"/>
      <c r="V108" s="63"/>
      <c r="W108" s="63"/>
      <c r="X108" s="63"/>
      <c r="Y108" s="63"/>
      <c r="Z108" s="63"/>
      <c r="AA108" s="63"/>
      <c r="AB108" s="63"/>
      <c r="AC108" s="63"/>
      <c r="AD108" s="63"/>
      <c r="AE108" s="63"/>
      <c r="AF108" s="63"/>
      <c r="AG108" s="63"/>
      <c r="AH108" s="63"/>
      <c r="AI108" s="63"/>
      <c r="AJ108" s="63"/>
    </row>
    <row r="109">
      <c r="A109" s="135">
        <v>108.0</v>
      </c>
      <c r="B109" s="67">
        <v>45.0</v>
      </c>
      <c r="C109" s="31" t="s">
        <v>111</v>
      </c>
      <c r="D109" s="68" t="s">
        <v>1258</v>
      </c>
      <c r="E109" s="71" t="s">
        <v>2598</v>
      </c>
      <c r="F109" s="69" t="s">
        <v>1214</v>
      </c>
      <c r="G109" s="69" t="s">
        <v>2575</v>
      </c>
      <c r="H109" s="145">
        <v>2.0</v>
      </c>
      <c r="I109" s="145">
        <v>1.0</v>
      </c>
      <c r="J109" s="69">
        <v>5.0</v>
      </c>
      <c r="K109" s="69" t="str">
        <f>iferror(vlookup(E109,MasterClass!$C$2:$G988,5,false),"")</f>
        <v/>
      </c>
      <c r="L109" s="69">
        <v>2.0</v>
      </c>
      <c r="M109" s="69">
        <f t="shared" ref="M109:M111" si="19">J109+H109</f>
        <v>7</v>
      </c>
      <c r="N109" s="69">
        <f t="shared" ref="N109:N111" si="20">I109+L109+K109</f>
        <v>3</v>
      </c>
      <c r="O109" s="146">
        <f t="shared" ref="O109:O111" si="21">N109/M109</f>
        <v>0.4285714286</v>
      </c>
      <c r="P109" s="146"/>
      <c r="Q109" s="70"/>
      <c r="R109" s="63"/>
      <c r="S109" s="63"/>
      <c r="T109" s="63"/>
      <c r="U109" s="63"/>
      <c r="V109" s="63"/>
      <c r="W109" s="63"/>
      <c r="X109" s="63"/>
      <c r="Y109" s="63"/>
      <c r="Z109" s="63"/>
      <c r="AA109" s="63"/>
      <c r="AB109" s="63"/>
      <c r="AC109" s="63"/>
      <c r="AD109" s="63"/>
      <c r="AE109" s="63"/>
      <c r="AF109" s="63"/>
      <c r="AG109" s="63"/>
      <c r="AH109" s="63"/>
      <c r="AI109" s="63"/>
      <c r="AJ109" s="63"/>
    </row>
    <row r="110">
      <c r="A110" s="135">
        <v>109.0</v>
      </c>
      <c r="B110" s="67">
        <v>46.0</v>
      </c>
      <c r="C110" s="31" t="s">
        <v>113</v>
      </c>
      <c r="D110" s="68" t="s">
        <v>1259</v>
      </c>
      <c r="E110" s="71" t="s">
        <v>2599</v>
      </c>
      <c r="F110" s="69" t="s">
        <v>1214</v>
      </c>
      <c r="G110" s="69" t="s">
        <v>2558</v>
      </c>
      <c r="H110" s="145">
        <v>0.0</v>
      </c>
      <c r="I110" s="145">
        <v>0.0</v>
      </c>
      <c r="J110" s="69">
        <v>5.0</v>
      </c>
      <c r="K110" s="69" t="str">
        <f>iferror(vlookup(E110,MasterClass!$C$2:$G988,5,false),"")</f>
        <v/>
      </c>
      <c r="L110" s="69">
        <v>3.0</v>
      </c>
      <c r="M110" s="69">
        <f t="shared" si="19"/>
        <v>5</v>
      </c>
      <c r="N110" s="69">
        <f t="shared" si="20"/>
        <v>3</v>
      </c>
      <c r="O110" s="146">
        <f t="shared" si="21"/>
        <v>0.6</v>
      </c>
      <c r="P110" s="146"/>
      <c r="Q110" s="70"/>
      <c r="R110" s="63"/>
      <c r="S110" s="63"/>
      <c r="T110" s="63"/>
      <c r="U110" s="63"/>
      <c r="V110" s="63"/>
      <c r="W110" s="63"/>
      <c r="X110" s="63"/>
      <c r="Y110" s="63"/>
      <c r="Z110" s="63"/>
      <c r="AA110" s="63"/>
      <c r="AB110" s="63"/>
      <c r="AC110" s="63"/>
      <c r="AD110" s="63"/>
      <c r="AE110" s="63"/>
      <c r="AF110" s="63"/>
      <c r="AG110" s="63"/>
      <c r="AH110" s="63"/>
      <c r="AI110" s="63"/>
      <c r="AJ110" s="63"/>
    </row>
    <row r="111">
      <c r="A111" s="135">
        <v>110.0</v>
      </c>
      <c r="B111" s="67">
        <v>47.0</v>
      </c>
      <c r="C111" s="31" t="s">
        <v>115</v>
      </c>
      <c r="D111" s="68" t="s">
        <v>1260</v>
      </c>
      <c r="E111" s="71" t="s">
        <v>2600</v>
      </c>
      <c r="F111" s="69" t="s">
        <v>1214</v>
      </c>
      <c r="G111" s="69" t="s">
        <v>2575</v>
      </c>
      <c r="H111" s="145">
        <v>2.0</v>
      </c>
      <c r="I111" s="145">
        <v>1.0</v>
      </c>
      <c r="J111" s="69">
        <v>5.0</v>
      </c>
      <c r="K111" s="69" t="str">
        <f>iferror(vlookup(E111,MasterClass!$C$2:$G988,5,false),"")</f>
        <v/>
      </c>
      <c r="L111" s="69">
        <v>3.0</v>
      </c>
      <c r="M111" s="69">
        <f t="shared" si="19"/>
        <v>7</v>
      </c>
      <c r="N111" s="69">
        <f t="shared" si="20"/>
        <v>4</v>
      </c>
      <c r="O111" s="146">
        <f t="shared" si="21"/>
        <v>0.5714285714</v>
      </c>
      <c r="P111" s="146"/>
      <c r="Q111" s="70"/>
      <c r="R111" s="63"/>
      <c r="S111" s="63"/>
      <c r="T111" s="63"/>
      <c r="U111" s="63"/>
      <c r="V111" s="63"/>
      <c r="W111" s="63"/>
      <c r="X111" s="63"/>
      <c r="Y111" s="63"/>
      <c r="Z111" s="63"/>
      <c r="AA111" s="63"/>
      <c r="AB111" s="63"/>
      <c r="AC111" s="63"/>
      <c r="AD111" s="63"/>
      <c r="AE111" s="63"/>
      <c r="AF111" s="63"/>
      <c r="AG111" s="63"/>
      <c r="AH111" s="63"/>
      <c r="AI111" s="63"/>
      <c r="AJ111" s="63"/>
    </row>
    <row r="112">
      <c r="A112" s="135">
        <v>111.0</v>
      </c>
      <c r="B112" s="63"/>
      <c r="C112" s="63"/>
      <c r="D112" s="63"/>
      <c r="E112" s="149"/>
      <c r="F112" s="63"/>
      <c r="G112" s="63"/>
      <c r="H112" s="63"/>
      <c r="I112" s="63"/>
      <c r="J112" s="63"/>
      <c r="K112" s="150" t="str">
        <f>iferror(vlookup(E112,MasterClass!$C$2:$G988,5,false),"")</f>
        <v/>
      </c>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row>
    <row r="113">
      <c r="A113" s="135">
        <v>112.0</v>
      </c>
      <c r="B113" s="62" t="s">
        <v>3</v>
      </c>
      <c r="C113" s="63"/>
      <c r="D113" s="62" t="s">
        <v>4</v>
      </c>
      <c r="E113" s="149" t="s">
        <v>4</v>
      </c>
      <c r="F113" s="63"/>
      <c r="G113" s="63"/>
      <c r="H113" s="63"/>
      <c r="I113" s="63"/>
      <c r="J113" s="63"/>
      <c r="K113" s="150" t="str">
        <f>iferror(vlookup(E113,MasterClass!$C$2:$G988,5,false),"")</f>
        <v/>
      </c>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row>
    <row r="114">
      <c r="A114" s="135">
        <v>113.0</v>
      </c>
      <c r="B114" s="62" t="s">
        <v>5</v>
      </c>
      <c r="C114" s="63"/>
      <c r="D114" s="62" t="s">
        <v>218</v>
      </c>
      <c r="E114" s="149" t="s">
        <v>218</v>
      </c>
      <c r="F114" s="63"/>
      <c r="G114" s="63"/>
      <c r="H114" s="63"/>
      <c r="I114" s="63"/>
      <c r="J114" s="63"/>
      <c r="K114" s="150" t="str">
        <f>iferror(vlookup(E114,MasterClass!$C$2:$G988,5,false),"")</f>
        <v/>
      </c>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row>
    <row r="115">
      <c r="A115" s="135">
        <v>114.0</v>
      </c>
      <c r="B115" s="62" t="s">
        <v>7</v>
      </c>
      <c r="C115" s="63"/>
      <c r="D115" s="62" t="s">
        <v>8</v>
      </c>
      <c r="E115" s="149" t="s">
        <v>8</v>
      </c>
      <c r="F115" s="63"/>
      <c r="G115" s="63"/>
      <c r="H115" s="63"/>
      <c r="I115" s="63"/>
      <c r="J115" s="63"/>
      <c r="K115" s="150" t="str">
        <f>iferror(vlookup(E115,MasterClass!$C$2:$G988,5,false),"")</f>
        <v/>
      </c>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row>
    <row r="116">
      <c r="A116" s="135">
        <v>115.0</v>
      </c>
      <c r="B116" s="63"/>
      <c r="C116" s="63"/>
      <c r="D116" s="63"/>
      <c r="E116" s="149"/>
      <c r="F116" s="63"/>
      <c r="G116" s="63"/>
      <c r="H116" s="63"/>
      <c r="I116" s="63"/>
      <c r="J116" s="63"/>
      <c r="K116" s="150" t="str">
        <f>iferror(vlookup(E116,MasterClass!$C$2:$G988,5,false),"")</f>
        <v/>
      </c>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row>
    <row r="117" ht="24.0" customHeight="1">
      <c r="A117" s="161">
        <v>116.0</v>
      </c>
      <c r="B117" s="80" t="s">
        <v>9</v>
      </c>
      <c r="C117" s="81" t="s">
        <v>10</v>
      </c>
      <c r="D117" s="80" t="s">
        <v>11</v>
      </c>
      <c r="E117" s="151"/>
      <c r="F117" s="82" t="s">
        <v>5</v>
      </c>
      <c r="G117" s="152"/>
      <c r="H117" s="153" t="s">
        <v>2492</v>
      </c>
      <c r="I117" s="152"/>
      <c r="J117" s="154" t="s">
        <v>2493</v>
      </c>
      <c r="K117" s="155"/>
      <c r="L117" s="152"/>
      <c r="M117" s="162" t="s">
        <v>2489</v>
      </c>
      <c r="N117" s="82" t="s">
        <v>2490</v>
      </c>
      <c r="O117" s="162" t="s">
        <v>18</v>
      </c>
      <c r="P117" s="82" t="s">
        <v>2491</v>
      </c>
      <c r="Q117" s="83" t="s">
        <v>19</v>
      </c>
      <c r="R117" s="163"/>
      <c r="S117" s="163"/>
      <c r="T117" s="163"/>
      <c r="U117" s="163"/>
      <c r="V117" s="163"/>
      <c r="W117" s="163"/>
      <c r="X117" s="163"/>
      <c r="Y117" s="163"/>
      <c r="Z117" s="163"/>
      <c r="AA117" s="163"/>
      <c r="AB117" s="163"/>
      <c r="AC117" s="163"/>
      <c r="AD117" s="163"/>
      <c r="AE117" s="163"/>
      <c r="AF117" s="163"/>
      <c r="AG117" s="163"/>
      <c r="AH117" s="163"/>
      <c r="AI117" s="163"/>
      <c r="AJ117" s="163"/>
    </row>
    <row r="118">
      <c r="A118" s="161">
        <v>117.0</v>
      </c>
      <c r="B118" s="20"/>
      <c r="C118" s="20"/>
      <c r="D118" s="20"/>
      <c r="E118" s="151"/>
      <c r="F118" s="20"/>
      <c r="G118" s="164" t="s">
        <v>2483</v>
      </c>
      <c r="H118" s="158" t="s">
        <v>2484</v>
      </c>
      <c r="I118" s="164" t="s">
        <v>2485</v>
      </c>
      <c r="J118" s="165" t="s">
        <v>2486</v>
      </c>
      <c r="K118" s="166" t="s">
        <v>2487</v>
      </c>
      <c r="L118" s="164" t="s">
        <v>2488</v>
      </c>
      <c r="M118" s="20"/>
      <c r="N118" s="20"/>
      <c r="O118" s="20"/>
      <c r="P118" s="20"/>
      <c r="Q118" s="20"/>
      <c r="R118" s="163"/>
      <c r="S118" s="163"/>
      <c r="T118" s="163"/>
      <c r="U118" s="163"/>
      <c r="V118" s="163"/>
      <c r="W118" s="163"/>
      <c r="X118" s="163"/>
      <c r="Y118" s="163"/>
      <c r="Z118" s="163"/>
      <c r="AA118" s="163"/>
      <c r="AB118" s="163"/>
      <c r="AC118" s="163"/>
      <c r="AD118" s="163"/>
      <c r="AE118" s="163"/>
      <c r="AF118" s="163"/>
      <c r="AG118" s="163"/>
      <c r="AH118" s="163"/>
      <c r="AI118" s="163"/>
      <c r="AJ118" s="163"/>
    </row>
    <row r="119">
      <c r="A119" s="135">
        <v>119.0</v>
      </c>
      <c r="B119" s="67">
        <v>1.0</v>
      </c>
      <c r="C119" s="31" t="s">
        <v>219</v>
      </c>
      <c r="D119" s="71" t="s">
        <v>1261</v>
      </c>
      <c r="E119" s="71" t="s">
        <v>2601</v>
      </c>
      <c r="F119" s="69" t="s">
        <v>1262</v>
      </c>
      <c r="G119" s="69" t="s">
        <v>2602</v>
      </c>
      <c r="H119" s="145">
        <v>2.0</v>
      </c>
      <c r="I119" s="145">
        <v>1.0</v>
      </c>
      <c r="J119" s="69">
        <v>3.0</v>
      </c>
      <c r="K119" s="69" t="str">
        <f>iferror(vlookup(E119,MasterClass!$C$2:$G988,5,false),"")</f>
        <v/>
      </c>
      <c r="L119" s="69">
        <v>0.0</v>
      </c>
      <c r="M119" s="69">
        <f t="shared" ref="M119:M136" si="22">J119+H119</f>
        <v>5</v>
      </c>
      <c r="N119" s="69">
        <f t="shared" ref="N119:N136" si="23">I119+L119+K119</f>
        <v>1</v>
      </c>
      <c r="O119" s="146">
        <f t="shared" ref="O119:O136" si="24">N119/M119</f>
        <v>0.2</v>
      </c>
      <c r="P119" s="146"/>
      <c r="Q119" s="70"/>
      <c r="R119" s="63"/>
      <c r="S119" s="63"/>
      <c r="T119" s="63"/>
      <c r="U119" s="63"/>
      <c r="V119" s="63"/>
      <c r="W119" s="63"/>
      <c r="X119" s="63"/>
      <c r="Y119" s="63"/>
      <c r="Z119" s="63"/>
      <c r="AA119" s="63"/>
      <c r="AB119" s="63"/>
      <c r="AC119" s="63"/>
      <c r="AD119" s="63"/>
      <c r="AE119" s="63"/>
      <c r="AF119" s="63"/>
      <c r="AG119" s="63"/>
      <c r="AH119" s="63"/>
      <c r="AI119" s="63"/>
      <c r="AJ119" s="63"/>
    </row>
    <row r="120">
      <c r="A120" s="135">
        <v>120.0</v>
      </c>
      <c r="B120" s="67">
        <v>2.0</v>
      </c>
      <c r="C120" s="31" t="s">
        <v>221</v>
      </c>
      <c r="D120" s="71" t="s">
        <v>1263</v>
      </c>
      <c r="E120" s="71" t="s">
        <v>2603</v>
      </c>
      <c r="F120" s="69" t="s">
        <v>1262</v>
      </c>
      <c r="G120" s="69" t="s">
        <v>2602</v>
      </c>
      <c r="H120" s="145">
        <v>2.0</v>
      </c>
      <c r="I120" s="145">
        <v>1.0</v>
      </c>
      <c r="J120" s="69">
        <v>3.0</v>
      </c>
      <c r="K120" s="69" t="str">
        <f>iferror(vlookup(E120,MasterClass!$C$2:$G988,5,false),"")</f>
        <v/>
      </c>
      <c r="L120" s="69">
        <v>2.0</v>
      </c>
      <c r="M120" s="69">
        <f t="shared" si="22"/>
        <v>5</v>
      </c>
      <c r="N120" s="69">
        <f t="shared" si="23"/>
        <v>3</v>
      </c>
      <c r="O120" s="146">
        <f t="shared" si="24"/>
        <v>0.6</v>
      </c>
      <c r="P120" s="146"/>
      <c r="Q120" s="70"/>
      <c r="R120" s="63"/>
      <c r="S120" s="63"/>
      <c r="T120" s="63"/>
      <c r="U120" s="63"/>
      <c r="V120" s="63"/>
      <c r="W120" s="63"/>
      <c r="X120" s="63"/>
      <c r="Y120" s="63"/>
      <c r="Z120" s="63"/>
      <c r="AA120" s="63"/>
      <c r="AB120" s="63"/>
      <c r="AC120" s="63"/>
      <c r="AD120" s="63"/>
      <c r="AE120" s="63"/>
      <c r="AF120" s="63"/>
      <c r="AG120" s="63"/>
      <c r="AH120" s="63"/>
      <c r="AI120" s="63"/>
      <c r="AJ120" s="63"/>
    </row>
    <row r="121">
      <c r="A121" s="135">
        <v>121.0</v>
      </c>
      <c r="B121" s="67">
        <v>3.0</v>
      </c>
      <c r="C121" s="31" t="s">
        <v>223</v>
      </c>
      <c r="D121" s="71" t="s">
        <v>1264</v>
      </c>
      <c r="E121" s="71" t="s">
        <v>2604</v>
      </c>
      <c r="F121" s="69" t="s">
        <v>1262</v>
      </c>
      <c r="G121" s="69" t="s">
        <v>2605</v>
      </c>
      <c r="H121" s="145">
        <v>3.0</v>
      </c>
      <c r="I121" s="145">
        <v>3.0</v>
      </c>
      <c r="J121" s="69">
        <v>4.0</v>
      </c>
      <c r="K121" s="69" t="str">
        <f>iferror(vlookup(E121,MasterClass!$C$2:$G988,5,false),"")</f>
        <v/>
      </c>
      <c r="L121" s="69">
        <v>3.0</v>
      </c>
      <c r="M121" s="69">
        <f t="shared" si="22"/>
        <v>7</v>
      </c>
      <c r="N121" s="69">
        <f t="shared" si="23"/>
        <v>6</v>
      </c>
      <c r="O121" s="146">
        <f t="shared" si="24"/>
        <v>0.8571428571</v>
      </c>
      <c r="P121" s="146"/>
      <c r="Q121" s="70"/>
      <c r="R121" s="63"/>
      <c r="S121" s="63"/>
      <c r="T121" s="63"/>
      <c r="U121" s="63"/>
      <c r="V121" s="63"/>
      <c r="W121" s="63"/>
      <c r="X121" s="63"/>
      <c r="Y121" s="63"/>
      <c r="Z121" s="63"/>
      <c r="AA121" s="63"/>
      <c r="AB121" s="63"/>
      <c r="AC121" s="63"/>
      <c r="AD121" s="63"/>
      <c r="AE121" s="63"/>
      <c r="AF121" s="63"/>
      <c r="AG121" s="63"/>
      <c r="AH121" s="63"/>
      <c r="AI121" s="63"/>
      <c r="AJ121" s="63"/>
    </row>
    <row r="122">
      <c r="A122" s="135">
        <v>122.0</v>
      </c>
      <c r="B122" s="67">
        <v>4.0</v>
      </c>
      <c r="C122" s="31" t="s">
        <v>225</v>
      </c>
      <c r="D122" s="71" t="s">
        <v>1265</v>
      </c>
      <c r="E122" s="71" t="s">
        <v>2606</v>
      </c>
      <c r="F122" s="69" t="s">
        <v>1262</v>
      </c>
      <c r="G122" s="69" t="s">
        <v>2602</v>
      </c>
      <c r="H122" s="145">
        <v>2.0</v>
      </c>
      <c r="I122" s="145">
        <v>1.0</v>
      </c>
      <c r="J122" s="69">
        <v>3.0</v>
      </c>
      <c r="K122" s="69" t="str">
        <f>iferror(vlookup(E122,MasterClass!$C$2:$G988,5,false),"")</f>
        <v/>
      </c>
      <c r="L122" s="69">
        <v>3.0</v>
      </c>
      <c r="M122" s="69">
        <f t="shared" si="22"/>
        <v>5</v>
      </c>
      <c r="N122" s="69">
        <f t="shared" si="23"/>
        <v>4</v>
      </c>
      <c r="O122" s="146">
        <f t="shared" si="24"/>
        <v>0.8</v>
      </c>
      <c r="P122" s="146"/>
      <c r="Q122" s="70"/>
      <c r="R122" s="63"/>
      <c r="S122" s="63"/>
      <c r="T122" s="63"/>
      <c r="U122" s="63"/>
      <c r="V122" s="63"/>
      <c r="W122" s="63"/>
      <c r="X122" s="63"/>
      <c r="Y122" s="63"/>
      <c r="Z122" s="63"/>
      <c r="AA122" s="63"/>
      <c r="AB122" s="63"/>
      <c r="AC122" s="63"/>
      <c r="AD122" s="63"/>
      <c r="AE122" s="63"/>
      <c r="AF122" s="63"/>
      <c r="AG122" s="63"/>
      <c r="AH122" s="63"/>
      <c r="AI122" s="63"/>
      <c r="AJ122" s="63"/>
    </row>
    <row r="123">
      <c r="A123" s="135">
        <v>123.0</v>
      </c>
      <c r="B123" s="67">
        <v>5.0</v>
      </c>
      <c r="C123" s="31" t="s">
        <v>227</v>
      </c>
      <c r="D123" s="71" t="s">
        <v>1266</v>
      </c>
      <c r="E123" s="71" t="s">
        <v>2607</v>
      </c>
      <c r="F123" s="69" t="s">
        <v>1262</v>
      </c>
      <c r="G123" s="69" t="s">
        <v>2602</v>
      </c>
      <c r="H123" s="145">
        <v>2.0</v>
      </c>
      <c r="I123" s="145">
        <v>1.0</v>
      </c>
      <c r="J123" s="69">
        <v>3.0</v>
      </c>
      <c r="K123" s="69" t="str">
        <f>iferror(vlookup(E123,MasterClass!$C$2:$G988,5,false),"")</f>
        <v/>
      </c>
      <c r="L123" s="69">
        <v>3.0</v>
      </c>
      <c r="M123" s="69">
        <f t="shared" si="22"/>
        <v>5</v>
      </c>
      <c r="N123" s="69">
        <f t="shared" si="23"/>
        <v>4</v>
      </c>
      <c r="O123" s="146">
        <f t="shared" si="24"/>
        <v>0.8</v>
      </c>
      <c r="P123" s="146"/>
      <c r="Q123" s="70"/>
      <c r="R123" s="63"/>
      <c r="S123" s="63"/>
      <c r="T123" s="63"/>
      <c r="U123" s="63"/>
      <c r="V123" s="63"/>
      <c r="W123" s="63"/>
      <c r="X123" s="63"/>
      <c r="Y123" s="63"/>
      <c r="Z123" s="63"/>
      <c r="AA123" s="63"/>
      <c r="AB123" s="63"/>
      <c r="AC123" s="63"/>
      <c r="AD123" s="63"/>
      <c r="AE123" s="63"/>
      <c r="AF123" s="63"/>
      <c r="AG123" s="63"/>
      <c r="AH123" s="63"/>
      <c r="AI123" s="63"/>
      <c r="AJ123" s="63"/>
    </row>
    <row r="124">
      <c r="A124" s="135">
        <v>124.0</v>
      </c>
      <c r="B124" s="67">
        <v>6.0</v>
      </c>
      <c r="C124" s="31" t="s">
        <v>229</v>
      </c>
      <c r="D124" s="71" t="s">
        <v>1267</v>
      </c>
      <c r="E124" s="71" t="s">
        <v>2608</v>
      </c>
      <c r="F124" s="69" t="s">
        <v>1262</v>
      </c>
      <c r="G124" s="69" t="s">
        <v>2605</v>
      </c>
      <c r="H124" s="145">
        <v>3.0</v>
      </c>
      <c r="I124" s="145">
        <v>3.0</v>
      </c>
      <c r="J124" s="69">
        <v>4.0</v>
      </c>
      <c r="K124" s="69" t="str">
        <f>iferror(vlookup(E124,MasterClass!$C$2:$G988,5,false),"")</f>
        <v/>
      </c>
      <c r="L124" s="69">
        <v>4.0</v>
      </c>
      <c r="M124" s="69">
        <f t="shared" si="22"/>
        <v>7</v>
      </c>
      <c r="N124" s="69">
        <f t="shared" si="23"/>
        <v>7</v>
      </c>
      <c r="O124" s="146">
        <f t="shared" si="24"/>
        <v>1</v>
      </c>
      <c r="P124" s="146"/>
      <c r="Q124" s="70"/>
      <c r="R124" s="63"/>
      <c r="S124" s="63"/>
      <c r="T124" s="63"/>
      <c r="U124" s="63"/>
      <c r="V124" s="63"/>
      <c r="W124" s="63"/>
      <c r="X124" s="63"/>
      <c r="Y124" s="63"/>
      <c r="Z124" s="63"/>
      <c r="AA124" s="63"/>
      <c r="AB124" s="63"/>
      <c r="AC124" s="63"/>
      <c r="AD124" s="63"/>
      <c r="AE124" s="63"/>
      <c r="AF124" s="63"/>
      <c r="AG124" s="63"/>
      <c r="AH124" s="63"/>
      <c r="AI124" s="63"/>
      <c r="AJ124" s="63"/>
    </row>
    <row r="125">
      <c r="A125" s="135">
        <v>125.0</v>
      </c>
      <c r="B125" s="67">
        <v>7.0</v>
      </c>
      <c r="C125" s="31" t="s">
        <v>231</v>
      </c>
      <c r="D125" s="71" t="s">
        <v>1268</v>
      </c>
      <c r="E125" s="71" t="s">
        <v>2609</v>
      </c>
      <c r="F125" s="69" t="s">
        <v>1262</v>
      </c>
      <c r="G125" s="69" t="s">
        <v>2605</v>
      </c>
      <c r="H125" s="145">
        <v>3.0</v>
      </c>
      <c r="I125" s="145">
        <v>2.0</v>
      </c>
      <c r="J125" s="69">
        <v>4.0</v>
      </c>
      <c r="K125" s="69" t="str">
        <f>iferror(vlookup(E125,MasterClass!$C$2:$G988,5,false),"")</f>
        <v/>
      </c>
      <c r="L125" s="69">
        <v>4.0</v>
      </c>
      <c r="M125" s="69">
        <f t="shared" si="22"/>
        <v>7</v>
      </c>
      <c r="N125" s="69">
        <f t="shared" si="23"/>
        <v>6</v>
      </c>
      <c r="O125" s="146">
        <f t="shared" si="24"/>
        <v>0.8571428571</v>
      </c>
      <c r="P125" s="146"/>
      <c r="Q125" s="70"/>
      <c r="R125" s="63"/>
      <c r="S125" s="63"/>
      <c r="T125" s="63"/>
      <c r="U125" s="63"/>
      <c r="V125" s="63"/>
      <c r="W125" s="63"/>
      <c r="X125" s="63"/>
      <c r="Y125" s="63"/>
      <c r="Z125" s="63"/>
      <c r="AA125" s="63"/>
      <c r="AB125" s="63"/>
      <c r="AC125" s="63"/>
      <c r="AD125" s="63"/>
      <c r="AE125" s="63"/>
      <c r="AF125" s="63"/>
      <c r="AG125" s="63"/>
      <c r="AH125" s="63"/>
      <c r="AI125" s="63"/>
      <c r="AJ125" s="63"/>
    </row>
    <row r="126">
      <c r="A126" s="135">
        <v>126.0</v>
      </c>
      <c r="B126" s="67">
        <v>8.0</v>
      </c>
      <c r="C126" s="31" t="s">
        <v>233</v>
      </c>
      <c r="D126" s="71" t="s">
        <v>1269</v>
      </c>
      <c r="E126" s="71" t="s">
        <v>2610</v>
      </c>
      <c r="F126" s="69" t="s">
        <v>1262</v>
      </c>
      <c r="G126" s="69" t="s">
        <v>2605</v>
      </c>
      <c r="H126" s="145">
        <v>3.0</v>
      </c>
      <c r="I126" s="145">
        <v>2.0</v>
      </c>
      <c r="J126" s="69">
        <v>4.0</v>
      </c>
      <c r="K126" s="69" t="str">
        <f>iferror(vlookup(E126,MasterClass!$C$2:$G988,5,false),"")</f>
        <v/>
      </c>
      <c r="L126" s="69">
        <v>4.0</v>
      </c>
      <c r="M126" s="69">
        <f t="shared" si="22"/>
        <v>7</v>
      </c>
      <c r="N126" s="69">
        <f t="shared" si="23"/>
        <v>6</v>
      </c>
      <c r="O126" s="146">
        <f t="shared" si="24"/>
        <v>0.8571428571</v>
      </c>
      <c r="P126" s="146"/>
      <c r="Q126" s="70"/>
      <c r="R126" s="63"/>
      <c r="S126" s="63"/>
      <c r="T126" s="63"/>
      <c r="U126" s="63"/>
      <c r="V126" s="63"/>
      <c r="W126" s="63"/>
      <c r="X126" s="63"/>
      <c r="Y126" s="63"/>
      <c r="Z126" s="63"/>
      <c r="AA126" s="63"/>
      <c r="AB126" s="63"/>
      <c r="AC126" s="63"/>
      <c r="AD126" s="63"/>
      <c r="AE126" s="63"/>
      <c r="AF126" s="63"/>
      <c r="AG126" s="63"/>
      <c r="AH126" s="63"/>
      <c r="AI126" s="63"/>
      <c r="AJ126" s="63"/>
    </row>
    <row r="127">
      <c r="A127" s="135">
        <v>127.0</v>
      </c>
      <c r="B127" s="67">
        <v>9.0</v>
      </c>
      <c r="C127" s="31" t="s">
        <v>235</v>
      </c>
      <c r="D127" s="71" t="s">
        <v>1270</v>
      </c>
      <c r="E127" s="71" t="s">
        <v>2611</v>
      </c>
      <c r="F127" s="69" t="s">
        <v>1262</v>
      </c>
      <c r="G127" s="69" t="s">
        <v>2605</v>
      </c>
      <c r="H127" s="145">
        <v>3.0</v>
      </c>
      <c r="I127" s="145">
        <v>2.0</v>
      </c>
      <c r="J127" s="69">
        <v>4.0</v>
      </c>
      <c r="K127" s="69" t="str">
        <f>iferror(vlookup(E127,MasterClass!$C$2:$G988,5,false),"")</f>
        <v/>
      </c>
      <c r="L127" s="69">
        <v>3.0</v>
      </c>
      <c r="M127" s="69">
        <f t="shared" si="22"/>
        <v>7</v>
      </c>
      <c r="N127" s="69">
        <f t="shared" si="23"/>
        <v>5</v>
      </c>
      <c r="O127" s="146">
        <f t="shared" si="24"/>
        <v>0.7142857143</v>
      </c>
      <c r="P127" s="146"/>
      <c r="Q127" s="70"/>
      <c r="R127" s="63"/>
      <c r="S127" s="63"/>
      <c r="T127" s="63"/>
      <c r="U127" s="63"/>
      <c r="V127" s="63"/>
      <c r="W127" s="63"/>
      <c r="X127" s="63"/>
      <c r="Y127" s="63"/>
      <c r="Z127" s="63"/>
      <c r="AA127" s="63"/>
      <c r="AB127" s="63"/>
      <c r="AC127" s="63"/>
      <c r="AD127" s="63"/>
      <c r="AE127" s="63"/>
      <c r="AF127" s="63"/>
      <c r="AG127" s="63"/>
      <c r="AH127" s="63"/>
      <c r="AI127" s="63"/>
      <c r="AJ127" s="63"/>
    </row>
    <row r="128">
      <c r="A128" s="135">
        <v>128.0</v>
      </c>
      <c r="B128" s="67">
        <v>10.0</v>
      </c>
      <c r="C128" s="31" t="s">
        <v>237</v>
      </c>
      <c r="D128" s="71" t="s">
        <v>1271</v>
      </c>
      <c r="E128" s="71" t="s">
        <v>2612</v>
      </c>
      <c r="F128" s="69" t="s">
        <v>1262</v>
      </c>
      <c r="G128" s="69" t="s">
        <v>2602</v>
      </c>
      <c r="H128" s="145">
        <v>2.0</v>
      </c>
      <c r="I128" s="145">
        <v>1.0</v>
      </c>
      <c r="J128" s="69">
        <v>3.0</v>
      </c>
      <c r="K128" s="69" t="str">
        <f>iferror(vlookup(E128,MasterClass!$C$2:$G988,5,false),"")</f>
        <v/>
      </c>
      <c r="L128" s="69">
        <v>1.0</v>
      </c>
      <c r="M128" s="69">
        <f t="shared" si="22"/>
        <v>5</v>
      </c>
      <c r="N128" s="69">
        <f t="shared" si="23"/>
        <v>2</v>
      </c>
      <c r="O128" s="146">
        <f t="shared" si="24"/>
        <v>0.4</v>
      </c>
      <c r="P128" s="146"/>
      <c r="Q128" s="70"/>
      <c r="R128" s="63"/>
      <c r="S128" s="63"/>
      <c r="T128" s="63"/>
      <c r="U128" s="63"/>
      <c r="V128" s="63"/>
      <c r="W128" s="63"/>
      <c r="X128" s="63"/>
      <c r="Y128" s="63"/>
      <c r="Z128" s="63"/>
      <c r="AA128" s="63"/>
      <c r="AB128" s="63"/>
      <c r="AC128" s="63"/>
      <c r="AD128" s="63"/>
      <c r="AE128" s="63"/>
      <c r="AF128" s="63"/>
      <c r="AG128" s="63"/>
      <c r="AH128" s="63"/>
      <c r="AI128" s="63"/>
      <c r="AJ128" s="63"/>
    </row>
    <row r="129">
      <c r="A129" s="135">
        <v>129.0</v>
      </c>
      <c r="B129" s="67">
        <v>11.0</v>
      </c>
      <c r="C129" s="31" t="s">
        <v>239</v>
      </c>
      <c r="D129" s="71" t="s">
        <v>1272</v>
      </c>
      <c r="E129" s="71" t="s">
        <v>2613</v>
      </c>
      <c r="F129" s="69" t="s">
        <v>1262</v>
      </c>
      <c r="G129" s="69" t="s">
        <v>2605</v>
      </c>
      <c r="H129" s="145">
        <v>3.0</v>
      </c>
      <c r="I129" s="145">
        <v>2.0</v>
      </c>
      <c r="J129" s="69">
        <v>4.0</v>
      </c>
      <c r="K129" s="69" t="str">
        <f>iferror(vlookup(E129,MasterClass!$C$2:$G988,5,false),"")</f>
        <v/>
      </c>
      <c r="L129" s="69">
        <v>3.0</v>
      </c>
      <c r="M129" s="69">
        <f t="shared" si="22"/>
        <v>7</v>
      </c>
      <c r="N129" s="69">
        <f t="shared" si="23"/>
        <v>5</v>
      </c>
      <c r="O129" s="146">
        <f t="shared" si="24"/>
        <v>0.7142857143</v>
      </c>
      <c r="P129" s="146"/>
      <c r="Q129" s="70"/>
      <c r="R129" s="63"/>
      <c r="S129" s="63"/>
      <c r="T129" s="63"/>
      <c r="U129" s="63"/>
      <c r="V129" s="63"/>
      <c r="W129" s="63"/>
      <c r="X129" s="63"/>
      <c r="Y129" s="63"/>
      <c r="Z129" s="63"/>
      <c r="AA129" s="63"/>
      <c r="AB129" s="63"/>
      <c r="AC129" s="63"/>
      <c r="AD129" s="63"/>
      <c r="AE129" s="63"/>
      <c r="AF129" s="63"/>
      <c r="AG129" s="63"/>
      <c r="AH129" s="63"/>
      <c r="AI129" s="63"/>
      <c r="AJ129" s="63"/>
    </row>
    <row r="130">
      <c r="A130" s="135">
        <v>130.0</v>
      </c>
      <c r="B130" s="67">
        <v>12.0</v>
      </c>
      <c r="C130" s="31" t="s">
        <v>241</v>
      </c>
      <c r="D130" s="71" t="s">
        <v>1273</v>
      </c>
      <c r="E130" s="71" t="s">
        <v>2614</v>
      </c>
      <c r="F130" s="69" t="s">
        <v>1262</v>
      </c>
      <c r="G130" s="69" t="s">
        <v>2605</v>
      </c>
      <c r="H130" s="145">
        <v>3.0</v>
      </c>
      <c r="I130" s="145">
        <v>2.0</v>
      </c>
      <c r="J130" s="69">
        <v>4.0</v>
      </c>
      <c r="K130" s="69" t="str">
        <f>iferror(vlookup(E130,MasterClass!$C$2:$G988,5,false),"")</f>
        <v/>
      </c>
      <c r="L130" s="69">
        <v>4.0</v>
      </c>
      <c r="M130" s="69">
        <f t="shared" si="22"/>
        <v>7</v>
      </c>
      <c r="N130" s="69">
        <f t="shared" si="23"/>
        <v>6</v>
      </c>
      <c r="O130" s="146">
        <f t="shared" si="24"/>
        <v>0.8571428571</v>
      </c>
      <c r="P130" s="146"/>
      <c r="Q130" s="70"/>
      <c r="R130" s="63"/>
      <c r="S130" s="63"/>
      <c r="T130" s="63"/>
      <c r="U130" s="63"/>
      <c r="V130" s="63"/>
      <c r="W130" s="63"/>
      <c r="X130" s="63"/>
      <c r="Y130" s="63"/>
      <c r="Z130" s="63"/>
      <c r="AA130" s="63"/>
      <c r="AB130" s="63"/>
      <c r="AC130" s="63"/>
      <c r="AD130" s="63"/>
      <c r="AE130" s="63"/>
      <c r="AF130" s="63"/>
      <c r="AG130" s="63"/>
      <c r="AH130" s="63"/>
      <c r="AI130" s="63"/>
      <c r="AJ130" s="63"/>
    </row>
    <row r="131">
      <c r="A131" s="135">
        <v>131.0</v>
      </c>
      <c r="B131" s="67">
        <v>13.0</v>
      </c>
      <c r="C131" s="31" t="s">
        <v>243</v>
      </c>
      <c r="D131" s="71" t="s">
        <v>1274</v>
      </c>
      <c r="E131" s="71" t="s">
        <v>2615</v>
      </c>
      <c r="F131" s="69" t="s">
        <v>1262</v>
      </c>
      <c r="G131" s="69" t="s">
        <v>2602</v>
      </c>
      <c r="H131" s="145">
        <v>2.0</v>
      </c>
      <c r="I131" s="145">
        <v>0.0</v>
      </c>
      <c r="J131" s="69">
        <v>3.0</v>
      </c>
      <c r="K131" s="69" t="str">
        <f>iferror(vlookup(E131,MasterClass!$C$2:$G988,5,false),"")</f>
        <v/>
      </c>
      <c r="L131" s="69">
        <v>2.0</v>
      </c>
      <c r="M131" s="69">
        <f t="shared" si="22"/>
        <v>5</v>
      </c>
      <c r="N131" s="69">
        <f t="shared" si="23"/>
        <v>2</v>
      </c>
      <c r="O131" s="146">
        <f t="shared" si="24"/>
        <v>0.4</v>
      </c>
      <c r="P131" s="146"/>
      <c r="Q131" s="70"/>
      <c r="R131" s="63"/>
      <c r="S131" s="63"/>
      <c r="T131" s="63"/>
      <c r="U131" s="63"/>
      <c r="V131" s="63"/>
      <c r="W131" s="63"/>
      <c r="X131" s="63"/>
      <c r="Y131" s="63"/>
      <c r="Z131" s="63"/>
      <c r="AA131" s="63"/>
      <c r="AB131" s="63"/>
      <c r="AC131" s="63"/>
      <c r="AD131" s="63"/>
      <c r="AE131" s="63"/>
      <c r="AF131" s="63"/>
      <c r="AG131" s="63"/>
      <c r="AH131" s="63"/>
      <c r="AI131" s="63"/>
      <c r="AJ131" s="63"/>
    </row>
    <row r="132">
      <c r="A132" s="135">
        <v>132.0</v>
      </c>
      <c r="B132" s="67">
        <v>14.0</v>
      </c>
      <c r="C132" s="31" t="s">
        <v>245</v>
      </c>
      <c r="D132" s="71" t="s">
        <v>1275</v>
      </c>
      <c r="E132" s="71" t="s">
        <v>2616</v>
      </c>
      <c r="F132" s="69" t="s">
        <v>1262</v>
      </c>
      <c r="G132" s="69" t="s">
        <v>2602</v>
      </c>
      <c r="H132" s="145">
        <v>2.0</v>
      </c>
      <c r="I132" s="145">
        <v>0.0</v>
      </c>
      <c r="J132" s="69">
        <v>3.0</v>
      </c>
      <c r="K132" s="69" t="str">
        <f>iferror(vlookup(E132,MasterClass!$C$2:$G988,5,false),"")</f>
        <v/>
      </c>
      <c r="L132" s="69">
        <v>0.0</v>
      </c>
      <c r="M132" s="69">
        <f t="shared" si="22"/>
        <v>5</v>
      </c>
      <c r="N132" s="69">
        <f t="shared" si="23"/>
        <v>0</v>
      </c>
      <c r="O132" s="146">
        <f t="shared" si="24"/>
        <v>0</v>
      </c>
      <c r="P132" s="146"/>
      <c r="Q132" s="70"/>
      <c r="R132" s="63"/>
      <c r="S132" s="63"/>
      <c r="T132" s="63"/>
      <c r="U132" s="63"/>
      <c r="V132" s="63"/>
      <c r="W132" s="63"/>
      <c r="X132" s="63"/>
      <c r="Y132" s="63"/>
      <c r="Z132" s="63"/>
      <c r="AA132" s="63"/>
      <c r="AB132" s="63"/>
      <c r="AC132" s="63"/>
      <c r="AD132" s="63"/>
      <c r="AE132" s="63"/>
      <c r="AF132" s="63"/>
      <c r="AG132" s="63"/>
      <c r="AH132" s="63"/>
      <c r="AI132" s="63"/>
      <c r="AJ132" s="63"/>
    </row>
    <row r="133">
      <c r="A133" s="135">
        <v>133.0</v>
      </c>
      <c r="B133" s="67">
        <v>15.0</v>
      </c>
      <c r="C133" s="31" t="s">
        <v>247</v>
      </c>
      <c r="D133" s="71" t="s">
        <v>1276</v>
      </c>
      <c r="E133" s="71" t="s">
        <v>2617</v>
      </c>
      <c r="F133" s="69" t="s">
        <v>1262</v>
      </c>
      <c r="G133" s="69" t="s">
        <v>2605</v>
      </c>
      <c r="H133" s="145">
        <v>3.0</v>
      </c>
      <c r="I133" s="145">
        <v>3.0</v>
      </c>
      <c r="J133" s="69">
        <v>4.0</v>
      </c>
      <c r="K133" s="69" t="str">
        <f>iferror(vlookup(E133,MasterClass!$C$2:$G988,5,false),"")</f>
        <v/>
      </c>
      <c r="L133" s="69">
        <v>3.0</v>
      </c>
      <c r="M133" s="69">
        <f t="shared" si="22"/>
        <v>7</v>
      </c>
      <c r="N133" s="69">
        <f t="shared" si="23"/>
        <v>6</v>
      </c>
      <c r="O133" s="146">
        <f t="shared" si="24"/>
        <v>0.8571428571</v>
      </c>
      <c r="P133" s="146"/>
      <c r="Q133" s="70"/>
      <c r="R133" s="63"/>
      <c r="S133" s="63"/>
      <c r="T133" s="63"/>
      <c r="U133" s="63"/>
      <c r="V133" s="63"/>
      <c r="W133" s="63"/>
      <c r="X133" s="63"/>
      <c r="Y133" s="63"/>
      <c r="Z133" s="63"/>
      <c r="AA133" s="63"/>
      <c r="AB133" s="63"/>
      <c r="AC133" s="63"/>
      <c r="AD133" s="63"/>
      <c r="AE133" s="63"/>
      <c r="AF133" s="63"/>
      <c r="AG133" s="63"/>
      <c r="AH133" s="63"/>
      <c r="AI133" s="63"/>
      <c r="AJ133" s="63"/>
    </row>
    <row r="134">
      <c r="A134" s="135">
        <v>134.0</v>
      </c>
      <c r="B134" s="67">
        <v>16.0</v>
      </c>
      <c r="C134" s="31" t="s">
        <v>249</v>
      </c>
      <c r="D134" s="71" t="s">
        <v>1277</v>
      </c>
      <c r="E134" s="71" t="s">
        <v>2618</v>
      </c>
      <c r="F134" s="69" t="s">
        <v>1262</v>
      </c>
      <c r="G134" s="69" t="s">
        <v>2602</v>
      </c>
      <c r="H134" s="145">
        <v>2.0</v>
      </c>
      <c r="I134" s="145">
        <v>1.0</v>
      </c>
      <c r="J134" s="69">
        <v>3.0</v>
      </c>
      <c r="K134" s="69" t="str">
        <f>iferror(vlookup(E134,MasterClass!$C$2:$G988,5,false),"")</f>
        <v/>
      </c>
      <c r="L134" s="69">
        <v>1.0</v>
      </c>
      <c r="M134" s="69">
        <f t="shared" si="22"/>
        <v>5</v>
      </c>
      <c r="N134" s="69">
        <f t="shared" si="23"/>
        <v>2</v>
      </c>
      <c r="O134" s="146">
        <f t="shared" si="24"/>
        <v>0.4</v>
      </c>
      <c r="P134" s="146"/>
      <c r="Q134" s="70"/>
      <c r="R134" s="63"/>
      <c r="S134" s="63"/>
      <c r="T134" s="63"/>
      <c r="U134" s="63"/>
      <c r="V134" s="63"/>
      <c r="W134" s="63"/>
      <c r="X134" s="63"/>
      <c r="Y134" s="63"/>
      <c r="Z134" s="63"/>
      <c r="AA134" s="63"/>
      <c r="AB134" s="63"/>
      <c r="AC134" s="63"/>
      <c r="AD134" s="63"/>
      <c r="AE134" s="63"/>
      <c r="AF134" s="63"/>
      <c r="AG134" s="63"/>
      <c r="AH134" s="63"/>
      <c r="AI134" s="63"/>
      <c r="AJ134" s="63"/>
    </row>
    <row r="135">
      <c r="A135" s="135">
        <v>135.0</v>
      </c>
      <c r="B135" s="67">
        <v>17.0</v>
      </c>
      <c r="C135" s="31" t="s">
        <v>251</v>
      </c>
      <c r="D135" s="71" t="s">
        <v>1278</v>
      </c>
      <c r="E135" s="71" t="s">
        <v>2619</v>
      </c>
      <c r="F135" s="69" t="s">
        <v>1262</v>
      </c>
      <c r="G135" s="69" t="s">
        <v>2602</v>
      </c>
      <c r="H135" s="145">
        <v>2.0</v>
      </c>
      <c r="I135" s="145">
        <v>1.0</v>
      </c>
      <c r="J135" s="69">
        <v>3.0</v>
      </c>
      <c r="K135" s="69" t="str">
        <f>iferror(vlookup(E135,MasterClass!$C$2:$G988,5,false),"")</f>
        <v/>
      </c>
      <c r="L135" s="69">
        <v>2.0</v>
      </c>
      <c r="M135" s="69">
        <f t="shared" si="22"/>
        <v>5</v>
      </c>
      <c r="N135" s="69">
        <f t="shared" si="23"/>
        <v>3</v>
      </c>
      <c r="O135" s="146">
        <f t="shared" si="24"/>
        <v>0.6</v>
      </c>
      <c r="P135" s="146"/>
      <c r="Q135" s="70"/>
      <c r="R135" s="63"/>
      <c r="S135" s="63"/>
      <c r="T135" s="63"/>
      <c r="U135" s="63"/>
      <c r="V135" s="63"/>
      <c r="W135" s="63"/>
      <c r="X135" s="63"/>
      <c r="Y135" s="63"/>
      <c r="Z135" s="63"/>
      <c r="AA135" s="63"/>
      <c r="AB135" s="63"/>
      <c r="AC135" s="63"/>
      <c r="AD135" s="63"/>
      <c r="AE135" s="63"/>
      <c r="AF135" s="63"/>
      <c r="AG135" s="63"/>
      <c r="AH135" s="63"/>
      <c r="AI135" s="63"/>
      <c r="AJ135" s="63"/>
    </row>
    <row r="136">
      <c r="A136" s="135">
        <v>136.0</v>
      </c>
      <c r="B136" s="67">
        <v>18.0</v>
      </c>
      <c r="C136" s="31" t="s">
        <v>253</v>
      </c>
      <c r="D136" s="71" t="s">
        <v>1279</v>
      </c>
      <c r="E136" s="71" t="s">
        <v>2620</v>
      </c>
      <c r="F136" s="69" t="s">
        <v>1262</v>
      </c>
      <c r="G136" s="69" t="s">
        <v>2605</v>
      </c>
      <c r="H136" s="145">
        <v>3.0</v>
      </c>
      <c r="I136" s="145">
        <v>3.0</v>
      </c>
      <c r="J136" s="69">
        <v>4.0</v>
      </c>
      <c r="K136" s="69" t="str">
        <f>iferror(vlookup(E136,MasterClass!$C$2:$G988,5,false),"")</f>
        <v/>
      </c>
      <c r="L136" s="69">
        <v>4.0</v>
      </c>
      <c r="M136" s="69">
        <f t="shared" si="22"/>
        <v>7</v>
      </c>
      <c r="N136" s="69">
        <f t="shared" si="23"/>
        <v>7</v>
      </c>
      <c r="O136" s="146">
        <f t="shared" si="24"/>
        <v>1</v>
      </c>
      <c r="P136" s="146"/>
      <c r="Q136" s="70"/>
      <c r="R136" s="63"/>
      <c r="S136" s="63"/>
      <c r="T136" s="63"/>
      <c r="U136" s="63"/>
      <c r="V136" s="63"/>
      <c r="W136" s="63"/>
      <c r="X136" s="63"/>
      <c r="Y136" s="63"/>
      <c r="Z136" s="63"/>
      <c r="AA136" s="63"/>
      <c r="AB136" s="63"/>
      <c r="AC136" s="63"/>
      <c r="AD136" s="63"/>
      <c r="AE136" s="63"/>
      <c r="AF136" s="63"/>
      <c r="AG136" s="63"/>
      <c r="AH136" s="63"/>
      <c r="AI136" s="63"/>
      <c r="AJ136" s="63"/>
    </row>
    <row r="137">
      <c r="A137" s="135">
        <v>137.0</v>
      </c>
      <c r="B137" s="67">
        <v>19.0</v>
      </c>
      <c r="C137" s="31" t="s">
        <v>255</v>
      </c>
      <c r="D137" s="71" t="s">
        <v>1280</v>
      </c>
      <c r="E137" s="71" t="s">
        <v>2621</v>
      </c>
      <c r="F137" s="69" t="s">
        <v>1262</v>
      </c>
      <c r="G137" s="69" t="s">
        <v>1187</v>
      </c>
      <c r="H137" s="145" t="s">
        <v>1187</v>
      </c>
      <c r="I137" s="145" t="s">
        <v>1187</v>
      </c>
      <c r="J137" s="69" t="s">
        <v>1187</v>
      </c>
      <c r="K137" s="69" t="s">
        <v>1187</v>
      </c>
      <c r="L137" s="69" t="s">
        <v>1187</v>
      </c>
      <c r="M137" s="69" t="s">
        <v>1187</v>
      </c>
      <c r="N137" s="69" t="s">
        <v>1187</v>
      </c>
      <c r="O137" s="69" t="s">
        <v>1187</v>
      </c>
      <c r="P137" s="69" t="s">
        <v>2522</v>
      </c>
      <c r="Q137" s="70"/>
      <c r="R137" s="63"/>
      <c r="S137" s="63"/>
      <c r="T137" s="63"/>
      <c r="U137" s="63"/>
      <c r="V137" s="63"/>
      <c r="W137" s="63"/>
      <c r="X137" s="63"/>
      <c r="Y137" s="63"/>
      <c r="Z137" s="63"/>
      <c r="AA137" s="63"/>
      <c r="AB137" s="63"/>
      <c r="AC137" s="63"/>
      <c r="AD137" s="63"/>
      <c r="AE137" s="63"/>
      <c r="AF137" s="63"/>
      <c r="AG137" s="63"/>
      <c r="AH137" s="63"/>
      <c r="AI137" s="63"/>
      <c r="AJ137" s="63"/>
    </row>
    <row r="138">
      <c r="A138" s="135">
        <v>138.0</v>
      </c>
      <c r="B138" s="67">
        <v>20.0</v>
      </c>
      <c r="C138" s="31" t="s">
        <v>257</v>
      </c>
      <c r="D138" s="71" t="s">
        <v>1281</v>
      </c>
      <c r="E138" s="71" t="s">
        <v>2622</v>
      </c>
      <c r="F138" s="69" t="s">
        <v>1262</v>
      </c>
      <c r="G138" s="69" t="s">
        <v>1187</v>
      </c>
      <c r="H138" s="145" t="s">
        <v>1187</v>
      </c>
      <c r="I138" s="145" t="s">
        <v>1187</v>
      </c>
      <c r="J138" s="69" t="s">
        <v>1187</v>
      </c>
      <c r="K138" s="69" t="s">
        <v>1187</v>
      </c>
      <c r="L138" s="69" t="s">
        <v>1187</v>
      </c>
      <c r="M138" s="69" t="s">
        <v>1187</v>
      </c>
      <c r="N138" s="69" t="s">
        <v>1187</v>
      </c>
      <c r="O138" s="69" t="s">
        <v>1187</v>
      </c>
      <c r="P138" s="69" t="s">
        <v>2522</v>
      </c>
      <c r="Q138" s="70"/>
      <c r="R138" s="63"/>
      <c r="S138" s="63"/>
      <c r="T138" s="63"/>
      <c r="U138" s="63"/>
      <c r="V138" s="63"/>
      <c r="W138" s="63"/>
      <c r="X138" s="63"/>
      <c r="Y138" s="63"/>
      <c r="Z138" s="63"/>
      <c r="AA138" s="63"/>
      <c r="AB138" s="63"/>
      <c r="AC138" s="63"/>
      <c r="AD138" s="63"/>
      <c r="AE138" s="63"/>
      <c r="AF138" s="63"/>
      <c r="AG138" s="63"/>
      <c r="AH138" s="63"/>
      <c r="AI138" s="63"/>
      <c r="AJ138" s="63"/>
    </row>
    <row r="139">
      <c r="A139" s="135">
        <v>139.0</v>
      </c>
      <c r="B139" s="67">
        <v>21.0</v>
      </c>
      <c r="C139" s="31" t="s">
        <v>259</v>
      </c>
      <c r="D139" s="71" t="s">
        <v>1282</v>
      </c>
      <c r="E139" s="71" t="s">
        <v>2623</v>
      </c>
      <c r="F139" s="69" t="s">
        <v>1262</v>
      </c>
      <c r="G139" s="69" t="s">
        <v>2602</v>
      </c>
      <c r="H139" s="145">
        <v>2.0</v>
      </c>
      <c r="I139" s="145">
        <v>0.0</v>
      </c>
      <c r="J139" s="69">
        <v>3.0</v>
      </c>
      <c r="K139" s="69" t="str">
        <f>iferror(vlookup(E139,MasterClass!$C$2:$G988,5,false),"")</f>
        <v/>
      </c>
      <c r="L139" s="69">
        <v>2.0</v>
      </c>
      <c r="M139" s="69">
        <f t="shared" ref="M139:M142" si="25">J139+H139</f>
        <v>5</v>
      </c>
      <c r="N139" s="69">
        <f t="shared" ref="N139:N142" si="26">I139+L139+K139</f>
        <v>2</v>
      </c>
      <c r="O139" s="146">
        <f t="shared" ref="O139:O142" si="27">N139/M139</f>
        <v>0.4</v>
      </c>
      <c r="P139" s="146"/>
      <c r="Q139" s="70"/>
      <c r="R139" s="63"/>
      <c r="S139" s="63"/>
      <c r="T139" s="63"/>
      <c r="U139" s="63"/>
      <c r="V139" s="63"/>
      <c r="W139" s="63"/>
      <c r="X139" s="63"/>
      <c r="Y139" s="63"/>
      <c r="Z139" s="63"/>
      <c r="AA139" s="63"/>
      <c r="AB139" s="63"/>
      <c r="AC139" s="63"/>
      <c r="AD139" s="63"/>
      <c r="AE139" s="63"/>
      <c r="AF139" s="63"/>
      <c r="AG139" s="63"/>
      <c r="AH139" s="63"/>
      <c r="AI139" s="63"/>
      <c r="AJ139" s="63"/>
    </row>
    <row r="140">
      <c r="A140" s="135">
        <v>140.0</v>
      </c>
      <c r="B140" s="67">
        <v>22.0</v>
      </c>
      <c r="C140" s="31" t="s">
        <v>261</v>
      </c>
      <c r="D140" s="71" t="s">
        <v>1283</v>
      </c>
      <c r="E140" s="71" t="s">
        <v>2624</v>
      </c>
      <c r="F140" s="69" t="s">
        <v>1262</v>
      </c>
      <c r="G140" s="69" t="s">
        <v>2602</v>
      </c>
      <c r="H140" s="145">
        <v>2.0</v>
      </c>
      <c r="I140" s="145">
        <v>1.0</v>
      </c>
      <c r="J140" s="69">
        <v>3.0</v>
      </c>
      <c r="K140" s="69" t="str">
        <f>iferror(vlookup(E140,MasterClass!$C$2:$G988,5,false),"")</f>
        <v/>
      </c>
      <c r="L140" s="69">
        <v>2.0</v>
      </c>
      <c r="M140" s="69">
        <f t="shared" si="25"/>
        <v>5</v>
      </c>
      <c r="N140" s="69">
        <f t="shared" si="26"/>
        <v>3</v>
      </c>
      <c r="O140" s="146">
        <f t="shared" si="27"/>
        <v>0.6</v>
      </c>
      <c r="P140" s="146"/>
      <c r="Q140" s="70"/>
      <c r="R140" s="63"/>
      <c r="S140" s="63"/>
      <c r="T140" s="63"/>
      <c r="U140" s="63"/>
      <c r="V140" s="63"/>
      <c r="W140" s="63"/>
      <c r="X140" s="63"/>
      <c r="Y140" s="63"/>
      <c r="Z140" s="63"/>
      <c r="AA140" s="63"/>
      <c r="AB140" s="63"/>
      <c r="AC140" s="63"/>
      <c r="AD140" s="63"/>
      <c r="AE140" s="63"/>
      <c r="AF140" s="63"/>
      <c r="AG140" s="63"/>
      <c r="AH140" s="63"/>
      <c r="AI140" s="63"/>
      <c r="AJ140" s="63"/>
    </row>
    <row r="141">
      <c r="A141" s="135">
        <v>141.0</v>
      </c>
      <c r="B141" s="67">
        <v>23.0</v>
      </c>
      <c r="C141" s="31" t="s">
        <v>263</v>
      </c>
      <c r="D141" s="71" t="s">
        <v>1284</v>
      </c>
      <c r="E141" s="71" t="s">
        <v>2625</v>
      </c>
      <c r="F141" s="69" t="s">
        <v>1262</v>
      </c>
      <c r="G141" s="69" t="s">
        <v>2626</v>
      </c>
      <c r="H141" s="145">
        <v>3.0</v>
      </c>
      <c r="I141" s="145">
        <v>0.0</v>
      </c>
      <c r="J141" s="69">
        <v>5.0</v>
      </c>
      <c r="K141" s="69" t="str">
        <f>iferror(vlookup(E141,MasterClass!$C$2:$G988,5,false),"")</f>
        <v/>
      </c>
      <c r="L141" s="69">
        <v>2.0</v>
      </c>
      <c r="M141" s="69">
        <f t="shared" si="25"/>
        <v>8</v>
      </c>
      <c r="N141" s="69">
        <f t="shared" si="26"/>
        <v>2</v>
      </c>
      <c r="O141" s="146">
        <f t="shared" si="27"/>
        <v>0.25</v>
      </c>
      <c r="P141" s="146"/>
      <c r="Q141" s="70"/>
      <c r="R141" s="63"/>
      <c r="S141" s="63"/>
      <c r="T141" s="63"/>
      <c r="U141" s="63"/>
      <c r="V141" s="63"/>
      <c r="W141" s="63"/>
      <c r="X141" s="63"/>
      <c r="Y141" s="63"/>
      <c r="Z141" s="63"/>
      <c r="AA141" s="63"/>
      <c r="AB141" s="63"/>
      <c r="AC141" s="63"/>
      <c r="AD141" s="63"/>
      <c r="AE141" s="63"/>
      <c r="AF141" s="63"/>
      <c r="AG141" s="63"/>
      <c r="AH141" s="63"/>
      <c r="AI141" s="63"/>
      <c r="AJ141" s="63"/>
    </row>
    <row r="142">
      <c r="A142" s="135">
        <v>142.0</v>
      </c>
      <c r="B142" s="67">
        <v>24.0</v>
      </c>
      <c r="C142" s="31" t="s">
        <v>265</v>
      </c>
      <c r="D142" s="71" t="s">
        <v>1285</v>
      </c>
      <c r="E142" s="71" t="s">
        <v>2627</v>
      </c>
      <c r="F142" s="69" t="s">
        <v>1262</v>
      </c>
      <c r="G142" s="69" t="s">
        <v>2605</v>
      </c>
      <c r="H142" s="145">
        <v>3.0</v>
      </c>
      <c r="I142" s="145">
        <v>2.0</v>
      </c>
      <c r="J142" s="69">
        <v>4.0</v>
      </c>
      <c r="K142" s="69" t="str">
        <f>iferror(vlookup(E142,MasterClass!$C$2:$G988,5,false),"")</f>
        <v/>
      </c>
      <c r="L142" s="69">
        <v>3.0</v>
      </c>
      <c r="M142" s="69">
        <f t="shared" si="25"/>
        <v>7</v>
      </c>
      <c r="N142" s="69">
        <f t="shared" si="26"/>
        <v>5</v>
      </c>
      <c r="O142" s="146">
        <f t="shared" si="27"/>
        <v>0.7142857143</v>
      </c>
      <c r="P142" s="146"/>
      <c r="Q142" s="70"/>
      <c r="R142" s="63"/>
      <c r="S142" s="63"/>
      <c r="T142" s="63"/>
      <c r="U142" s="63"/>
      <c r="V142" s="63"/>
      <c r="W142" s="63"/>
      <c r="X142" s="63"/>
      <c r="Y142" s="63"/>
      <c r="Z142" s="63"/>
      <c r="AA142" s="63"/>
      <c r="AB142" s="63"/>
      <c r="AC142" s="63"/>
      <c r="AD142" s="63"/>
      <c r="AE142" s="63"/>
      <c r="AF142" s="63"/>
      <c r="AG142" s="63"/>
      <c r="AH142" s="63"/>
      <c r="AI142" s="63"/>
      <c r="AJ142" s="63"/>
    </row>
    <row r="143">
      <c r="A143" s="135">
        <v>143.0</v>
      </c>
      <c r="B143" s="67">
        <v>25.0</v>
      </c>
      <c r="C143" s="31" t="s">
        <v>267</v>
      </c>
      <c r="D143" s="71" t="s">
        <v>1286</v>
      </c>
      <c r="E143" s="71" t="s">
        <v>2628</v>
      </c>
      <c r="F143" s="69" t="s">
        <v>1262</v>
      </c>
      <c r="G143" s="69" t="s">
        <v>1187</v>
      </c>
      <c r="H143" s="145" t="s">
        <v>1187</v>
      </c>
      <c r="I143" s="145" t="s">
        <v>1187</v>
      </c>
      <c r="J143" s="69" t="s">
        <v>1187</v>
      </c>
      <c r="K143" s="69" t="s">
        <v>1187</v>
      </c>
      <c r="L143" s="69" t="s">
        <v>1187</v>
      </c>
      <c r="M143" s="69" t="s">
        <v>1187</v>
      </c>
      <c r="N143" s="69" t="s">
        <v>1187</v>
      </c>
      <c r="O143" s="69" t="s">
        <v>1187</v>
      </c>
      <c r="P143" s="69" t="s">
        <v>2522</v>
      </c>
      <c r="Q143" s="70"/>
      <c r="R143" s="63"/>
      <c r="S143" s="63"/>
      <c r="T143" s="63"/>
      <c r="U143" s="63"/>
      <c r="V143" s="63"/>
      <c r="W143" s="63"/>
      <c r="X143" s="63"/>
      <c r="Y143" s="63"/>
      <c r="Z143" s="63"/>
      <c r="AA143" s="63"/>
      <c r="AB143" s="63"/>
      <c r="AC143" s="63"/>
      <c r="AD143" s="63"/>
      <c r="AE143" s="63"/>
      <c r="AF143" s="63"/>
      <c r="AG143" s="63"/>
      <c r="AH143" s="63"/>
      <c r="AI143" s="63"/>
      <c r="AJ143" s="63"/>
    </row>
    <row r="144">
      <c r="A144" s="135">
        <v>144.0</v>
      </c>
      <c r="B144" s="67">
        <v>26.0</v>
      </c>
      <c r="C144" s="31" t="s">
        <v>269</v>
      </c>
      <c r="D144" s="71" t="s">
        <v>1287</v>
      </c>
      <c r="E144" s="71" t="s">
        <v>2629</v>
      </c>
      <c r="F144" s="69" t="s">
        <v>1262</v>
      </c>
      <c r="G144" s="69" t="s">
        <v>2605</v>
      </c>
      <c r="H144" s="145">
        <v>3.0</v>
      </c>
      <c r="I144" s="145">
        <v>2.0</v>
      </c>
      <c r="J144" s="69">
        <v>4.0</v>
      </c>
      <c r="K144" s="69" t="str">
        <f>iferror(vlookup(E144,MasterClass!$C$2:$G988,5,false),"")</f>
        <v/>
      </c>
      <c r="L144" s="69">
        <v>4.0</v>
      </c>
      <c r="M144" s="69">
        <f t="shared" ref="M144:M146" si="28">J144+H144</f>
        <v>7</v>
      </c>
      <c r="N144" s="69">
        <f t="shared" ref="N144:N146" si="29">I144+L144+K144</f>
        <v>6</v>
      </c>
      <c r="O144" s="146">
        <f t="shared" ref="O144:O146" si="30">N144/M144</f>
        <v>0.8571428571</v>
      </c>
      <c r="P144" s="146"/>
      <c r="Q144" s="70"/>
      <c r="R144" s="63"/>
      <c r="S144" s="63"/>
      <c r="T144" s="63"/>
      <c r="U144" s="63"/>
      <c r="V144" s="63"/>
      <c r="W144" s="63"/>
      <c r="X144" s="63"/>
      <c r="Y144" s="63"/>
      <c r="Z144" s="63"/>
      <c r="AA144" s="63"/>
      <c r="AB144" s="63"/>
      <c r="AC144" s="63"/>
      <c r="AD144" s="63"/>
      <c r="AE144" s="63"/>
      <c r="AF144" s="63"/>
      <c r="AG144" s="63"/>
      <c r="AH144" s="63"/>
      <c r="AI144" s="63"/>
      <c r="AJ144" s="63"/>
    </row>
    <row r="145">
      <c r="A145" s="135">
        <v>145.0</v>
      </c>
      <c r="B145" s="67">
        <v>27.0</v>
      </c>
      <c r="C145" s="31" t="s">
        <v>271</v>
      </c>
      <c r="D145" s="71" t="s">
        <v>1288</v>
      </c>
      <c r="E145" s="71" t="s">
        <v>2630</v>
      </c>
      <c r="F145" s="69" t="s">
        <v>1262</v>
      </c>
      <c r="G145" s="69" t="s">
        <v>2602</v>
      </c>
      <c r="H145" s="145">
        <v>2.0</v>
      </c>
      <c r="I145" s="145">
        <v>1.0</v>
      </c>
      <c r="J145" s="69">
        <v>3.0</v>
      </c>
      <c r="K145" s="69" t="str">
        <f>iferror(vlookup(E145,MasterClass!$C$2:$G988,5,false),"")</f>
        <v/>
      </c>
      <c r="L145" s="69">
        <v>1.0</v>
      </c>
      <c r="M145" s="69">
        <f t="shared" si="28"/>
        <v>5</v>
      </c>
      <c r="N145" s="69">
        <f t="shared" si="29"/>
        <v>2</v>
      </c>
      <c r="O145" s="146">
        <f t="shared" si="30"/>
        <v>0.4</v>
      </c>
      <c r="P145" s="146"/>
      <c r="Q145" s="70"/>
      <c r="R145" s="63"/>
      <c r="S145" s="63"/>
      <c r="T145" s="63"/>
      <c r="U145" s="63"/>
      <c r="V145" s="63"/>
      <c r="W145" s="63"/>
      <c r="X145" s="63"/>
      <c r="Y145" s="63"/>
      <c r="Z145" s="63"/>
      <c r="AA145" s="63"/>
      <c r="AB145" s="63"/>
      <c r="AC145" s="63"/>
      <c r="AD145" s="63"/>
      <c r="AE145" s="63"/>
      <c r="AF145" s="63"/>
      <c r="AG145" s="63"/>
      <c r="AH145" s="63"/>
      <c r="AI145" s="63"/>
      <c r="AJ145" s="63"/>
    </row>
    <row r="146">
      <c r="A146" s="135">
        <v>146.0</v>
      </c>
      <c r="B146" s="67">
        <v>28.0</v>
      </c>
      <c r="C146" s="31" t="s">
        <v>273</v>
      </c>
      <c r="D146" s="71" t="s">
        <v>1289</v>
      </c>
      <c r="E146" s="71" t="s">
        <v>2631</v>
      </c>
      <c r="F146" s="69" t="s">
        <v>1262</v>
      </c>
      <c r="G146" s="69" t="s">
        <v>2626</v>
      </c>
      <c r="H146" s="145">
        <v>3.0</v>
      </c>
      <c r="I146" s="145">
        <v>0.0</v>
      </c>
      <c r="J146" s="69">
        <v>5.0</v>
      </c>
      <c r="K146" s="69" t="str">
        <f>iferror(vlookup(E146,MasterClass!$C$2:$G988,5,false),"")</f>
        <v/>
      </c>
      <c r="L146" s="69">
        <v>2.0</v>
      </c>
      <c r="M146" s="69">
        <f t="shared" si="28"/>
        <v>8</v>
      </c>
      <c r="N146" s="69">
        <f t="shared" si="29"/>
        <v>2</v>
      </c>
      <c r="O146" s="146">
        <f t="shared" si="30"/>
        <v>0.25</v>
      </c>
      <c r="P146" s="146"/>
      <c r="Q146" s="70"/>
      <c r="R146" s="63"/>
      <c r="S146" s="63"/>
      <c r="T146" s="63"/>
      <c r="U146" s="63"/>
      <c r="V146" s="63"/>
      <c r="W146" s="63"/>
      <c r="X146" s="63"/>
      <c r="Y146" s="63"/>
      <c r="Z146" s="63"/>
      <c r="AA146" s="63"/>
      <c r="AB146" s="63"/>
      <c r="AC146" s="63"/>
      <c r="AD146" s="63"/>
      <c r="AE146" s="63"/>
      <c r="AF146" s="63"/>
      <c r="AG146" s="63"/>
      <c r="AH146" s="63"/>
      <c r="AI146" s="63"/>
      <c r="AJ146" s="63"/>
    </row>
    <row r="147">
      <c r="A147" s="135">
        <v>147.0</v>
      </c>
      <c r="B147" s="67">
        <v>29.0</v>
      </c>
      <c r="C147" s="31" t="s">
        <v>275</v>
      </c>
      <c r="D147" s="71" t="s">
        <v>1290</v>
      </c>
      <c r="E147" s="71" t="s">
        <v>2632</v>
      </c>
      <c r="F147" s="69" t="s">
        <v>1262</v>
      </c>
      <c r="G147" s="69" t="s">
        <v>1187</v>
      </c>
      <c r="H147" s="145" t="s">
        <v>1187</v>
      </c>
      <c r="I147" s="145" t="s">
        <v>1187</v>
      </c>
      <c r="J147" s="69" t="s">
        <v>1187</v>
      </c>
      <c r="K147" s="69" t="s">
        <v>1187</v>
      </c>
      <c r="L147" s="69" t="s">
        <v>1187</v>
      </c>
      <c r="M147" s="69" t="s">
        <v>1187</v>
      </c>
      <c r="N147" s="69" t="s">
        <v>1187</v>
      </c>
      <c r="O147" s="69" t="s">
        <v>1187</v>
      </c>
      <c r="P147" s="69" t="s">
        <v>2522</v>
      </c>
      <c r="Q147" s="70"/>
      <c r="R147" s="63"/>
      <c r="S147" s="63"/>
      <c r="T147" s="63"/>
      <c r="U147" s="63"/>
      <c r="V147" s="63"/>
      <c r="W147" s="63"/>
      <c r="X147" s="63"/>
      <c r="Y147" s="63"/>
      <c r="Z147" s="63"/>
      <c r="AA147" s="63"/>
      <c r="AB147" s="63"/>
      <c r="AC147" s="63"/>
      <c r="AD147" s="63"/>
      <c r="AE147" s="63"/>
      <c r="AF147" s="63"/>
      <c r="AG147" s="63"/>
      <c r="AH147" s="63"/>
      <c r="AI147" s="63"/>
      <c r="AJ147" s="63"/>
    </row>
    <row r="148">
      <c r="A148" s="135">
        <v>148.0</v>
      </c>
      <c r="B148" s="67">
        <v>30.0</v>
      </c>
      <c r="C148" s="31" t="s">
        <v>277</v>
      </c>
      <c r="D148" s="71" t="s">
        <v>1291</v>
      </c>
      <c r="E148" s="71" t="s">
        <v>2633</v>
      </c>
      <c r="F148" s="69" t="s">
        <v>1262</v>
      </c>
      <c r="G148" s="69" t="s">
        <v>2626</v>
      </c>
      <c r="H148" s="145"/>
      <c r="I148" s="145"/>
      <c r="J148" s="69">
        <v>5.0</v>
      </c>
      <c r="K148" s="69" t="str">
        <f>iferror(vlookup(E148,MasterClass!$C$2:$G988,5,false),"")</f>
        <v/>
      </c>
      <c r="L148" s="69">
        <v>2.0</v>
      </c>
      <c r="M148" s="69">
        <f t="shared" ref="M148:M163" si="31">J148+H148</f>
        <v>5</v>
      </c>
      <c r="N148" s="69">
        <f t="shared" ref="N148:N163" si="32">I148+L148+K148</f>
        <v>2</v>
      </c>
      <c r="O148" s="146">
        <f t="shared" ref="O148:O163" si="33">N148/M148</f>
        <v>0.4</v>
      </c>
      <c r="P148" s="146"/>
      <c r="Q148" s="70"/>
      <c r="R148" s="63"/>
      <c r="S148" s="63"/>
      <c r="T148" s="63"/>
      <c r="U148" s="63"/>
      <c r="V148" s="63"/>
      <c r="W148" s="63"/>
      <c r="X148" s="63"/>
      <c r="Y148" s="63"/>
      <c r="Z148" s="63"/>
      <c r="AA148" s="63"/>
      <c r="AB148" s="63"/>
      <c r="AC148" s="63"/>
      <c r="AD148" s="63"/>
      <c r="AE148" s="63"/>
      <c r="AF148" s="63"/>
      <c r="AG148" s="63"/>
      <c r="AH148" s="63"/>
      <c r="AI148" s="63"/>
      <c r="AJ148" s="63"/>
    </row>
    <row r="149">
      <c r="A149" s="135">
        <v>149.0</v>
      </c>
      <c r="B149" s="67">
        <v>31.0</v>
      </c>
      <c r="C149" s="31" t="s">
        <v>279</v>
      </c>
      <c r="D149" s="71" t="s">
        <v>1292</v>
      </c>
      <c r="E149" s="71" t="s">
        <v>2634</v>
      </c>
      <c r="F149" s="69" t="s">
        <v>1262</v>
      </c>
      <c r="G149" s="69" t="s">
        <v>2602</v>
      </c>
      <c r="H149" s="145">
        <v>2.0</v>
      </c>
      <c r="I149" s="145">
        <v>1.0</v>
      </c>
      <c r="J149" s="69">
        <v>3.0</v>
      </c>
      <c r="K149" s="69" t="str">
        <f>iferror(vlookup(E149,MasterClass!$C$2:$G988,5,false),"")</f>
        <v/>
      </c>
      <c r="L149" s="69">
        <v>2.0</v>
      </c>
      <c r="M149" s="69">
        <f t="shared" si="31"/>
        <v>5</v>
      </c>
      <c r="N149" s="69">
        <f t="shared" si="32"/>
        <v>3</v>
      </c>
      <c r="O149" s="146">
        <f t="shared" si="33"/>
        <v>0.6</v>
      </c>
      <c r="P149" s="146"/>
      <c r="Q149" s="70"/>
      <c r="R149" s="63"/>
      <c r="S149" s="63"/>
      <c r="T149" s="63"/>
      <c r="U149" s="63"/>
      <c r="V149" s="63"/>
      <c r="W149" s="63"/>
      <c r="X149" s="63"/>
      <c r="Y149" s="63"/>
      <c r="Z149" s="63"/>
      <c r="AA149" s="63"/>
      <c r="AB149" s="63"/>
      <c r="AC149" s="63"/>
      <c r="AD149" s="63"/>
      <c r="AE149" s="63"/>
      <c r="AF149" s="63"/>
      <c r="AG149" s="63"/>
      <c r="AH149" s="63"/>
      <c r="AI149" s="63"/>
      <c r="AJ149" s="63"/>
    </row>
    <row r="150">
      <c r="A150" s="135">
        <v>150.0</v>
      </c>
      <c r="B150" s="67">
        <v>32.0</v>
      </c>
      <c r="C150" s="31" t="s">
        <v>281</v>
      </c>
      <c r="D150" s="71" t="s">
        <v>1293</v>
      </c>
      <c r="E150" s="71" t="s">
        <v>2635</v>
      </c>
      <c r="F150" s="69" t="s">
        <v>1262</v>
      </c>
      <c r="G150" s="69" t="s">
        <v>2602</v>
      </c>
      <c r="H150" s="145">
        <v>2.0</v>
      </c>
      <c r="I150" s="145">
        <v>1.0</v>
      </c>
      <c r="J150" s="69">
        <v>3.0</v>
      </c>
      <c r="K150" s="69" t="str">
        <f>iferror(vlookup(E150,MasterClass!$C$2:$G988,5,false),"")</f>
        <v/>
      </c>
      <c r="L150" s="69">
        <v>1.0</v>
      </c>
      <c r="M150" s="69">
        <f t="shared" si="31"/>
        <v>5</v>
      </c>
      <c r="N150" s="69">
        <f t="shared" si="32"/>
        <v>2</v>
      </c>
      <c r="O150" s="146">
        <f t="shared" si="33"/>
        <v>0.4</v>
      </c>
      <c r="P150" s="146"/>
      <c r="Q150" s="70"/>
      <c r="R150" s="63"/>
      <c r="S150" s="63"/>
      <c r="T150" s="63"/>
      <c r="U150" s="63"/>
      <c r="V150" s="63"/>
      <c r="W150" s="63"/>
      <c r="X150" s="63"/>
      <c r="Y150" s="63"/>
      <c r="Z150" s="63"/>
      <c r="AA150" s="63"/>
      <c r="AB150" s="63"/>
      <c r="AC150" s="63"/>
      <c r="AD150" s="63"/>
      <c r="AE150" s="63"/>
      <c r="AF150" s="63"/>
      <c r="AG150" s="63"/>
      <c r="AH150" s="63"/>
      <c r="AI150" s="63"/>
      <c r="AJ150" s="63"/>
    </row>
    <row r="151">
      <c r="A151" s="135">
        <v>151.0</v>
      </c>
      <c r="B151" s="67">
        <v>33.0</v>
      </c>
      <c r="C151" s="31" t="s">
        <v>283</v>
      </c>
      <c r="D151" s="71" t="s">
        <v>1294</v>
      </c>
      <c r="E151" s="71" t="s">
        <v>2636</v>
      </c>
      <c r="F151" s="69" t="s">
        <v>1262</v>
      </c>
      <c r="G151" s="69" t="s">
        <v>2626</v>
      </c>
      <c r="H151" s="145">
        <v>3.0</v>
      </c>
      <c r="I151" s="145">
        <v>3.0</v>
      </c>
      <c r="J151" s="69">
        <v>5.0</v>
      </c>
      <c r="K151" s="69" t="str">
        <f>iferror(vlookup(E151,MasterClass!$C$2:$G988,5,false),"")</f>
        <v/>
      </c>
      <c r="L151" s="69">
        <v>4.0</v>
      </c>
      <c r="M151" s="69">
        <f t="shared" si="31"/>
        <v>8</v>
      </c>
      <c r="N151" s="69">
        <f t="shared" si="32"/>
        <v>7</v>
      </c>
      <c r="O151" s="146">
        <f t="shared" si="33"/>
        <v>0.875</v>
      </c>
      <c r="P151" s="146"/>
      <c r="Q151" s="70"/>
      <c r="R151" s="63"/>
      <c r="S151" s="63"/>
      <c r="T151" s="63"/>
      <c r="U151" s="63"/>
      <c r="V151" s="63"/>
      <c r="W151" s="63"/>
      <c r="X151" s="63"/>
      <c r="Y151" s="63"/>
      <c r="Z151" s="63"/>
      <c r="AA151" s="63"/>
      <c r="AB151" s="63"/>
      <c r="AC151" s="63"/>
      <c r="AD151" s="63"/>
      <c r="AE151" s="63"/>
      <c r="AF151" s="63"/>
      <c r="AG151" s="63"/>
      <c r="AH151" s="63"/>
      <c r="AI151" s="63"/>
      <c r="AJ151" s="63"/>
    </row>
    <row r="152">
      <c r="A152" s="135">
        <v>152.0</v>
      </c>
      <c r="B152" s="67">
        <v>34.0</v>
      </c>
      <c r="C152" s="31" t="s">
        <v>285</v>
      </c>
      <c r="D152" s="71" t="s">
        <v>1295</v>
      </c>
      <c r="E152" s="71" t="s">
        <v>2637</v>
      </c>
      <c r="F152" s="69" t="s">
        <v>1262</v>
      </c>
      <c r="G152" s="69" t="s">
        <v>2626</v>
      </c>
      <c r="H152" s="145"/>
      <c r="I152" s="145"/>
      <c r="J152" s="69">
        <v>5.0</v>
      </c>
      <c r="K152" s="69" t="str">
        <f>iferror(vlookup(E152,MasterClass!$C$2:$G988,5,false),"")</f>
        <v/>
      </c>
      <c r="L152" s="69">
        <v>1.0</v>
      </c>
      <c r="M152" s="69">
        <f t="shared" si="31"/>
        <v>5</v>
      </c>
      <c r="N152" s="69">
        <f t="shared" si="32"/>
        <v>1</v>
      </c>
      <c r="O152" s="146">
        <f t="shared" si="33"/>
        <v>0.2</v>
      </c>
      <c r="P152" s="146"/>
      <c r="Q152" s="70"/>
      <c r="R152" s="63"/>
      <c r="S152" s="63"/>
      <c r="T152" s="63"/>
      <c r="U152" s="63"/>
      <c r="V152" s="63"/>
      <c r="W152" s="63"/>
      <c r="X152" s="63"/>
      <c r="Y152" s="63"/>
      <c r="Z152" s="63"/>
      <c r="AA152" s="63"/>
      <c r="AB152" s="63"/>
      <c r="AC152" s="63"/>
      <c r="AD152" s="63"/>
      <c r="AE152" s="63"/>
      <c r="AF152" s="63"/>
      <c r="AG152" s="63"/>
      <c r="AH152" s="63"/>
      <c r="AI152" s="63"/>
      <c r="AJ152" s="63"/>
    </row>
    <row r="153">
      <c r="A153" s="135">
        <v>153.0</v>
      </c>
      <c r="B153" s="67">
        <v>35.0</v>
      </c>
      <c r="C153" s="31" t="s">
        <v>287</v>
      </c>
      <c r="D153" s="71" t="s">
        <v>1296</v>
      </c>
      <c r="E153" s="71" t="s">
        <v>2638</v>
      </c>
      <c r="F153" s="69" t="s">
        <v>1262</v>
      </c>
      <c r="G153" s="69" t="s">
        <v>2602</v>
      </c>
      <c r="H153" s="145">
        <v>2.0</v>
      </c>
      <c r="I153" s="145">
        <v>1.0</v>
      </c>
      <c r="J153" s="69">
        <v>3.0</v>
      </c>
      <c r="K153" s="69" t="str">
        <f>iferror(vlookup(E153,MasterClass!$C$2:$G988,5,false),"")</f>
        <v/>
      </c>
      <c r="L153" s="69">
        <v>1.0</v>
      </c>
      <c r="M153" s="69">
        <f t="shared" si="31"/>
        <v>5</v>
      </c>
      <c r="N153" s="69">
        <f t="shared" si="32"/>
        <v>2</v>
      </c>
      <c r="O153" s="146">
        <f t="shared" si="33"/>
        <v>0.4</v>
      </c>
      <c r="P153" s="146"/>
      <c r="Q153" s="70"/>
      <c r="R153" s="63"/>
      <c r="S153" s="63"/>
      <c r="T153" s="63"/>
      <c r="U153" s="63"/>
      <c r="V153" s="63"/>
      <c r="W153" s="63"/>
      <c r="X153" s="63"/>
      <c r="Y153" s="63"/>
      <c r="Z153" s="63"/>
      <c r="AA153" s="63"/>
      <c r="AB153" s="63"/>
      <c r="AC153" s="63"/>
      <c r="AD153" s="63"/>
      <c r="AE153" s="63"/>
      <c r="AF153" s="63"/>
      <c r="AG153" s="63"/>
      <c r="AH153" s="63"/>
      <c r="AI153" s="63"/>
      <c r="AJ153" s="63"/>
    </row>
    <row r="154">
      <c r="A154" s="135">
        <v>154.0</v>
      </c>
      <c r="B154" s="67">
        <v>36.0</v>
      </c>
      <c r="C154" s="31" t="s">
        <v>289</v>
      </c>
      <c r="D154" s="71" t="s">
        <v>1297</v>
      </c>
      <c r="E154" s="71" t="s">
        <v>2639</v>
      </c>
      <c r="F154" s="69" t="s">
        <v>1262</v>
      </c>
      <c r="G154" s="69" t="s">
        <v>2640</v>
      </c>
      <c r="H154" s="145">
        <v>3.0</v>
      </c>
      <c r="I154" s="145">
        <v>0.0</v>
      </c>
      <c r="J154" s="69">
        <v>5.0</v>
      </c>
      <c r="K154" s="69" t="str">
        <f>iferror(vlookup(E154,MasterClass!$C$2:$G988,5,false),"")</f>
        <v/>
      </c>
      <c r="L154" s="69">
        <v>2.0</v>
      </c>
      <c r="M154" s="69">
        <f t="shared" si="31"/>
        <v>8</v>
      </c>
      <c r="N154" s="69">
        <f t="shared" si="32"/>
        <v>2</v>
      </c>
      <c r="O154" s="146">
        <f t="shared" si="33"/>
        <v>0.25</v>
      </c>
      <c r="P154" s="146"/>
      <c r="Q154" s="70"/>
      <c r="R154" s="63"/>
      <c r="S154" s="63"/>
      <c r="T154" s="63"/>
      <c r="U154" s="63"/>
      <c r="V154" s="63"/>
      <c r="W154" s="63"/>
      <c r="X154" s="63"/>
      <c r="Y154" s="63"/>
      <c r="Z154" s="63"/>
      <c r="AA154" s="63"/>
      <c r="AB154" s="63"/>
      <c r="AC154" s="63"/>
      <c r="AD154" s="63"/>
      <c r="AE154" s="63"/>
      <c r="AF154" s="63"/>
      <c r="AG154" s="63"/>
      <c r="AH154" s="63"/>
      <c r="AI154" s="63"/>
      <c r="AJ154" s="63"/>
    </row>
    <row r="155">
      <c r="A155" s="135">
        <v>155.0</v>
      </c>
      <c r="B155" s="67">
        <v>37.0</v>
      </c>
      <c r="C155" s="31" t="s">
        <v>291</v>
      </c>
      <c r="D155" s="71" t="s">
        <v>1298</v>
      </c>
      <c r="E155" s="71" t="s">
        <v>2641</v>
      </c>
      <c r="F155" s="69" t="s">
        <v>1262</v>
      </c>
      <c r="G155" s="69" t="s">
        <v>2602</v>
      </c>
      <c r="H155" s="145">
        <v>2.0</v>
      </c>
      <c r="I155" s="145">
        <v>2.0</v>
      </c>
      <c r="J155" s="69">
        <v>3.0</v>
      </c>
      <c r="K155" s="69" t="str">
        <f>iferror(vlookup(E155,MasterClass!$C$2:$G988,5,false),"")</f>
        <v/>
      </c>
      <c r="L155" s="69">
        <v>2.0</v>
      </c>
      <c r="M155" s="69">
        <f t="shared" si="31"/>
        <v>5</v>
      </c>
      <c r="N155" s="69">
        <f t="shared" si="32"/>
        <v>4</v>
      </c>
      <c r="O155" s="146">
        <f t="shared" si="33"/>
        <v>0.8</v>
      </c>
      <c r="P155" s="146"/>
      <c r="Q155" s="70"/>
      <c r="R155" s="63"/>
      <c r="S155" s="63"/>
      <c r="T155" s="63"/>
      <c r="U155" s="63"/>
      <c r="V155" s="63"/>
      <c r="W155" s="63"/>
      <c r="X155" s="63"/>
      <c r="Y155" s="63"/>
      <c r="Z155" s="63"/>
      <c r="AA155" s="63"/>
      <c r="AB155" s="63"/>
      <c r="AC155" s="63"/>
      <c r="AD155" s="63"/>
      <c r="AE155" s="63"/>
      <c r="AF155" s="63"/>
      <c r="AG155" s="63"/>
      <c r="AH155" s="63"/>
      <c r="AI155" s="63"/>
      <c r="AJ155" s="63"/>
    </row>
    <row r="156">
      <c r="A156" s="135">
        <v>156.0</v>
      </c>
      <c r="B156" s="67">
        <v>38.0</v>
      </c>
      <c r="C156" s="31" t="s">
        <v>293</v>
      </c>
      <c r="D156" s="71" t="s">
        <v>1299</v>
      </c>
      <c r="E156" s="71" t="s">
        <v>2642</v>
      </c>
      <c r="F156" s="69" t="s">
        <v>1262</v>
      </c>
      <c r="G156" s="69" t="s">
        <v>2626</v>
      </c>
      <c r="H156" s="145"/>
      <c r="I156" s="145"/>
      <c r="J156" s="69">
        <v>5.0</v>
      </c>
      <c r="K156" s="69" t="str">
        <f>iferror(vlookup(E156,MasterClass!$C$2:$G988,5,false),"")</f>
        <v/>
      </c>
      <c r="L156" s="69">
        <v>0.0</v>
      </c>
      <c r="M156" s="69">
        <f t="shared" si="31"/>
        <v>5</v>
      </c>
      <c r="N156" s="69">
        <f t="shared" si="32"/>
        <v>0</v>
      </c>
      <c r="O156" s="146">
        <f t="shared" si="33"/>
        <v>0</v>
      </c>
      <c r="P156" s="146"/>
      <c r="Q156" s="70"/>
      <c r="R156" s="63"/>
      <c r="S156" s="63"/>
      <c r="T156" s="63"/>
      <c r="U156" s="63"/>
      <c r="V156" s="63"/>
      <c r="W156" s="63"/>
      <c r="X156" s="63"/>
      <c r="Y156" s="63"/>
      <c r="Z156" s="63"/>
      <c r="AA156" s="63"/>
      <c r="AB156" s="63"/>
      <c r="AC156" s="63"/>
      <c r="AD156" s="63"/>
      <c r="AE156" s="63"/>
      <c r="AF156" s="63"/>
      <c r="AG156" s="63"/>
      <c r="AH156" s="63"/>
      <c r="AI156" s="63"/>
      <c r="AJ156" s="63"/>
    </row>
    <row r="157">
      <c r="A157" s="135">
        <v>157.0</v>
      </c>
      <c r="B157" s="67">
        <v>39.0</v>
      </c>
      <c r="C157" s="31" t="s">
        <v>295</v>
      </c>
      <c r="D157" s="71" t="s">
        <v>1300</v>
      </c>
      <c r="E157" s="71" t="s">
        <v>2643</v>
      </c>
      <c r="F157" s="69" t="s">
        <v>1262</v>
      </c>
      <c r="G157" s="69" t="s">
        <v>2626</v>
      </c>
      <c r="H157" s="145">
        <v>3.0</v>
      </c>
      <c r="I157" s="145">
        <v>0.0</v>
      </c>
      <c r="J157" s="69">
        <v>5.0</v>
      </c>
      <c r="K157" s="69" t="str">
        <f>iferror(vlookup(E157,MasterClass!$C$2:$G988,5,false),"")</f>
        <v/>
      </c>
      <c r="L157" s="69">
        <v>2.0</v>
      </c>
      <c r="M157" s="69">
        <f t="shared" si="31"/>
        <v>8</v>
      </c>
      <c r="N157" s="69">
        <f t="shared" si="32"/>
        <v>2</v>
      </c>
      <c r="O157" s="146">
        <f t="shared" si="33"/>
        <v>0.25</v>
      </c>
      <c r="P157" s="146"/>
      <c r="Q157" s="70"/>
      <c r="R157" s="63"/>
      <c r="S157" s="63"/>
      <c r="T157" s="63"/>
      <c r="U157" s="63"/>
      <c r="V157" s="63"/>
      <c r="W157" s="63"/>
      <c r="X157" s="63"/>
      <c r="Y157" s="63"/>
      <c r="Z157" s="63"/>
      <c r="AA157" s="63"/>
      <c r="AB157" s="63"/>
      <c r="AC157" s="63"/>
      <c r="AD157" s="63"/>
      <c r="AE157" s="63"/>
      <c r="AF157" s="63"/>
      <c r="AG157" s="63"/>
      <c r="AH157" s="63"/>
      <c r="AI157" s="63"/>
      <c r="AJ157" s="63"/>
    </row>
    <row r="158">
      <c r="A158" s="135">
        <v>158.0</v>
      </c>
      <c r="B158" s="67">
        <v>40.0</v>
      </c>
      <c r="C158" s="31" t="s">
        <v>297</v>
      </c>
      <c r="D158" s="71" t="s">
        <v>1301</v>
      </c>
      <c r="E158" s="71" t="s">
        <v>2644</v>
      </c>
      <c r="F158" s="69" t="s">
        <v>1262</v>
      </c>
      <c r="G158" s="69" t="s">
        <v>2626</v>
      </c>
      <c r="H158" s="145">
        <v>3.0</v>
      </c>
      <c r="I158" s="145">
        <v>0.0</v>
      </c>
      <c r="J158" s="69">
        <v>5.0</v>
      </c>
      <c r="K158" s="69" t="str">
        <f>iferror(vlookup(E158,MasterClass!$C$2:$G988,5,false),"")</f>
        <v/>
      </c>
      <c r="L158" s="69">
        <v>2.0</v>
      </c>
      <c r="M158" s="69">
        <f t="shared" si="31"/>
        <v>8</v>
      </c>
      <c r="N158" s="69">
        <f t="shared" si="32"/>
        <v>2</v>
      </c>
      <c r="O158" s="146">
        <f t="shared" si="33"/>
        <v>0.25</v>
      </c>
      <c r="P158" s="146"/>
      <c r="Q158" s="70"/>
      <c r="R158" s="63"/>
      <c r="S158" s="63"/>
      <c r="T158" s="63"/>
      <c r="U158" s="63"/>
      <c r="V158" s="63"/>
      <c r="W158" s="63"/>
      <c r="X158" s="63"/>
      <c r="Y158" s="63"/>
      <c r="Z158" s="63"/>
      <c r="AA158" s="63"/>
      <c r="AB158" s="63"/>
      <c r="AC158" s="63"/>
      <c r="AD158" s="63"/>
      <c r="AE158" s="63"/>
      <c r="AF158" s="63"/>
      <c r="AG158" s="63"/>
      <c r="AH158" s="63"/>
      <c r="AI158" s="63"/>
      <c r="AJ158" s="63"/>
    </row>
    <row r="159">
      <c r="A159" s="135">
        <v>159.0</v>
      </c>
      <c r="B159" s="67">
        <v>41.0</v>
      </c>
      <c r="C159" s="31" t="s">
        <v>299</v>
      </c>
      <c r="D159" s="71" t="s">
        <v>1302</v>
      </c>
      <c r="E159" s="71" t="s">
        <v>2645</v>
      </c>
      <c r="F159" s="69" t="s">
        <v>1262</v>
      </c>
      <c r="G159" s="69" t="s">
        <v>2602</v>
      </c>
      <c r="H159" s="145">
        <v>2.0</v>
      </c>
      <c r="I159" s="145">
        <v>1.0</v>
      </c>
      <c r="J159" s="69">
        <v>3.0</v>
      </c>
      <c r="K159" s="69" t="str">
        <f>iferror(vlookup(E159,MasterClass!$C$2:$G988,5,false),"")</f>
        <v/>
      </c>
      <c r="L159" s="69">
        <v>3.0</v>
      </c>
      <c r="M159" s="69">
        <f t="shared" si="31"/>
        <v>5</v>
      </c>
      <c r="N159" s="69">
        <f t="shared" si="32"/>
        <v>4</v>
      </c>
      <c r="O159" s="146">
        <f t="shared" si="33"/>
        <v>0.8</v>
      </c>
      <c r="P159" s="146"/>
      <c r="Q159" s="70"/>
      <c r="R159" s="63"/>
      <c r="S159" s="63"/>
      <c r="T159" s="63"/>
      <c r="U159" s="63"/>
      <c r="V159" s="63"/>
      <c r="W159" s="63"/>
      <c r="X159" s="63"/>
      <c r="Y159" s="63"/>
      <c r="Z159" s="63"/>
      <c r="AA159" s="63"/>
      <c r="AB159" s="63"/>
      <c r="AC159" s="63"/>
      <c r="AD159" s="63"/>
      <c r="AE159" s="63"/>
      <c r="AF159" s="63"/>
      <c r="AG159" s="63"/>
      <c r="AH159" s="63"/>
      <c r="AI159" s="63"/>
      <c r="AJ159" s="63"/>
    </row>
    <row r="160">
      <c r="A160" s="135">
        <v>160.0</v>
      </c>
      <c r="B160" s="67">
        <v>42.0</v>
      </c>
      <c r="C160" s="31" t="s">
        <v>301</v>
      </c>
      <c r="D160" s="71" t="s">
        <v>1303</v>
      </c>
      <c r="E160" s="71" t="s">
        <v>2646</v>
      </c>
      <c r="F160" s="69" t="s">
        <v>1262</v>
      </c>
      <c r="G160" s="69" t="s">
        <v>2626</v>
      </c>
      <c r="H160" s="145">
        <v>3.0</v>
      </c>
      <c r="I160" s="145">
        <v>3.0</v>
      </c>
      <c r="J160" s="69">
        <v>5.0</v>
      </c>
      <c r="K160" s="69" t="str">
        <f>iferror(vlookup(E160,MasterClass!$C$2:$G988,5,false),"")</f>
        <v/>
      </c>
      <c r="L160" s="69">
        <v>4.0</v>
      </c>
      <c r="M160" s="69">
        <f t="shared" si="31"/>
        <v>8</v>
      </c>
      <c r="N160" s="69">
        <f t="shared" si="32"/>
        <v>7</v>
      </c>
      <c r="O160" s="146">
        <f t="shared" si="33"/>
        <v>0.875</v>
      </c>
      <c r="P160" s="146"/>
      <c r="Q160" s="70"/>
      <c r="R160" s="63"/>
      <c r="S160" s="63"/>
      <c r="T160" s="63"/>
      <c r="U160" s="63"/>
      <c r="V160" s="63"/>
      <c r="W160" s="63"/>
      <c r="X160" s="63"/>
      <c r="Y160" s="63"/>
      <c r="Z160" s="63"/>
      <c r="AA160" s="63"/>
      <c r="AB160" s="63"/>
      <c r="AC160" s="63"/>
      <c r="AD160" s="63"/>
      <c r="AE160" s="63"/>
      <c r="AF160" s="63"/>
      <c r="AG160" s="63"/>
      <c r="AH160" s="63"/>
      <c r="AI160" s="63"/>
      <c r="AJ160" s="63"/>
    </row>
    <row r="161">
      <c r="A161" s="135">
        <v>161.0</v>
      </c>
      <c r="B161" s="67">
        <v>43.0</v>
      </c>
      <c r="C161" s="31" t="s">
        <v>303</v>
      </c>
      <c r="D161" s="71" t="s">
        <v>1304</v>
      </c>
      <c r="E161" s="71" t="s">
        <v>2647</v>
      </c>
      <c r="F161" s="69" t="s">
        <v>1262</v>
      </c>
      <c r="G161" s="69" t="s">
        <v>2640</v>
      </c>
      <c r="H161" s="145">
        <v>3.0</v>
      </c>
      <c r="I161" s="145">
        <v>1.0</v>
      </c>
      <c r="J161" s="69">
        <v>5.0</v>
      </c>
      <c r="K161" s="69" t="str">
        <f>iferror(vlookup(E161,MasterClass!$C$2:$G988,5,false),"")</f>
        <v/>
      </c>
      <c r="L161" s="69">
        <v>4.0</v>
      </c>
      <c r="M161" s="69">
        <f t="shared" si="31"/>
        <v>8</v>
      </c>
      <c r="N161" s="69">
        <f t="shared" si="32"/>
        <v>5</v>
      </c>
      <c r="O161" s="146">
        <f t="shared" si="33"/>
        <v>0.625</v>
      </c>
      <c r="P161" s="146"/>
      <c r="Q161" s="70"/>
      <c r="R161" s="63"/>
      <c r="S161" s="63"/>
      <c r="T161" s="63"/>
      <c r="U161" s="63"/>
      <c r="V161" s="63"/>
      <c r="W161" s="63"/>
      <c r="X161" s="63"/>
      <c r="Y161" s="63"/>
      <c r="Z161" s="63"/>
      <c r="AA161" s="63"/>
      <c r="AB161" s="63"/>
      <c r="AC161" s="63"/>
      <c r="AD161" s="63"/>
      <c r="AE161" s="63"/>
      <c r="AF161" s="63"/>
      <c r="AG161" s="63"/>
      <c r="AH161" s="63"/>
      <c r="AI161" s="63"/>
      <c r="AJ161" s="63"/>
    </row>
    <row r="162">
      <c r="A162" s="135">
        <v>162.0</v>
      </c>
      <c r="B162" s="67">
        <v>44.0</v>
      </c>
      <c r="C162" s="31" t="s">
        <v>305</v>
      </c>
      <c r="D162" s="71" t="s">
        <v>1305</v>
      </c>
      <c r="E162" s="71" t="s">
        <v>2648</v>
      </c>
      <c r="F162" s="69" t="s">
        <v>1262</v>
      </c>
      <c r="G162" s="69" t="s">
        <v>2640</v>
      </c>
      <c r="H162" s="145">
        <v>3.0</v>
      </c>
      <c r="I162" s="145">
        <v>0.0</v>
      </c>
      <c r="J162" s="69">
        <v>5.0</v>
      </c>
      <c r="K162" s="69" t="str">
        <f>iferror(vlookup(E162,MasterClass!$C$2:$G988,5,false),"")</f>
        <v/>
      </c>
      <c r="L162" s="69">
        <v>2.0</v>
      </c>
      <c r="M162" s="69">
        <f t="shared" si="31"/>
        <v>8</v>
      </c>
      <c r="N162" s="69">
        <f t="shared" si="32"/>
        <v>2</v>
      </c>
      <c r="O162" s="146">
        <f t="shared" si="33"/>
        <v>0.25</v>
      </c>
      <c r="P162" s="146"/>
      <c r="Q162" s="70"/>
      <c r="R162" s="63"/>
      <c r="S162" s="63"/>
      <c r="T162" s="63"/>
      <c r="U162" s="63"/>
      <c r="V162" s="63"/>
      <c r="W162" s="63"/>
      <c r="X162" s="63"/>
      <c r="Y162" s="63"/>
      <c r="Z162" s="63"/>
      <c r="AA162" s="63"/>
      <c r="AB162" s="63"/>
      <c r="AC162" s="63"/>
      <c r="AD162" s="63"/>
      <c r="AE162" s="63"/>
      <c r="AF162" s="63"/>
      <c r="AG162" s="63"/>
      <c r="AH162" s="63"/>
      <c r="AI162" s="63"/>
      <c r="AJ162" s="63"/>
    </row>
    <row r="163">
      <c r="A163" s="135">
        <v>163.0</v>
      </c>
      <c r="B163" s="67">
        <v>45.0</v>
      </c>
      <c r="C163" s="31" t="s">
        <v>307</v>
      </c>
      <c r="D163" s="71" t="s">
        <v>1306</v>
      </c>
      <c r="E163" s="71" t="s">
        <v>2649</v>
      </c>
      <c r="F163" s="69" t="s">
        <v>1262</v>
      </c>
      <c r="G163" s="69" t="s">
        <v>2626</v>
      </c>
      <c r="H163" s="145">
        <v>3.0</v>
      </c>
      <c r="I163" s="145">
        <v>3.0</v>
      </c>
      <c r="J163" s="69">
        <v>5.0</v>
      </c>
      <c r="K163" s="69" t="str">
        <f>iferror(vlookup(E163,MasterClass!$C$2:$G988,5,false),"")</f>
        <v/>
      </c>
      <c r="L163" s="69">
        <v>4.0</v>
      </c>
      <c r="M163" s="69">
        <f t="shared" si="31"/>
        <v>8</v>
      </c>
      <c r="N163" s="69">
        <f t="shared" si="32"/>
        <v>7</v>
      </c>
      <c r="O163" s="146">
        <f t="shared" si="33"/>
        <v>0.875</v>
      </c>
      <c r="P163" s="146"/>
      <c r="Q163" s="70"/>
      <c r="R163" s="63"/>
      <c r="S163" s="63"/>
      <c r="T163" s="63"/>
      <c r="U163" s="63"/>
      <c r="V163" s="63"/>
      <c r="W163" s="63"/>
      <c r="X163" s="63"/>
      <c r="Y163" s="63"/>
      <c r="Z163" s="63"/>
      <c r="AA163" s="63"/>
      <c r="AB163" s="63"/>
      <c r="AC163" s="63"/>
      <c r="AD163" s="63"/>
      <c r="AE163" s="63"/>
      <c r="AF163" s="63"/>
      <c r="AG163" s="63"/>
      <c r="AH163" s="63"/>
      <c r="AI163" s="63"/>
      <c r="AJ163" s="63"/>
    </row>
    <row r="164">
      <c r="A164" s="135">
        <v>164.0</v>
      </c>
      <c r="B164" s="63"/>
      <c r="C164" s="63"/>
      <c r="D164" s="63"/>
      <c r="E164" s="149"/>
      <c r="F164" s="63"/>
      <c r="G164" s="63"/>
      <c r="H164" s="63"/>
      <c r="I164" s="63"/>
      <c r="J164" s="63"/>
      <c r="K164" s="150" t="str">
        <f>iferror(vlookup(E164,MasterClass!$C$2:$G988,5,false),"")</f>
        <v/>
      </c>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row>
    <row r="165">
      <c r="A165" s="135">
        <v>165.0</v>
      </c>
      <c r="B165" s="62" t="s">
        <v>3</v>
      </c>
      <c r="C165" s="63"/>
      <c r="D165" s="62" t="s">
        <v>4</v>
      </c>
      <c r="E165" s="149" t="s">
        <v>4</v>
      </c>
      <c r="F165" s="63"/>
      <c r="G165" s="63"/>
      <c r="H165" s="63"/>
      <c r="I165" s="63"/>
      <c r="J165" s="63"/>
      <c r="K165" s="150" t="str">
        <f>iferror(vlookup(E165,MasterClass!$C$2:$G988,5,false),"")</f>
        <v/>
      </c>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row>
    <row r="166">
      <c r="A166" s="135">
        <v>166.0</v>
      </c>
      <c r="B166" s="62" t="s">
        <v>5</v>
      </c>
      <c r="C166" s="63"/>
      <c r="D166" s="62" t="s">
        <v>310</v>
      </c>
      <c r="E166" s="149" t="s">
        <v>310</v>
      </c>
      <c r="F166" s="63"/>
      <c r="G166" s="63"/>
      <c r="H166" s="63"/>
      <c r="I166" s="63"/>
      <c r="J166" s="63"/>
      <c r="K166" s="150" t="str">
        <f>iferror(vlookup(E166,MasterClass!$C$2:$G988,5,false),"")</f>
        <v/>
      </c>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row>
    <row r="167">
      <c r="A167" s="135">
        <v>167.0</v>
      </c>
      <c r="B167" s="62" t="s">
        <v>7</v>
      </c>
      <c r="C167" s="63"/>
      <c r="D167" s="62" t="s">
        <v>8</v>
      </c>
      <c r="E167" s="149" t="s">
        <v>8</v>
      </c>
      <c r="F167" s="63"/>
      <c r="G167" s="63"/>
      <c r="H167" s="63"/>
      <c r="I167" s="63"/>
      <c r="J167" s="63"/>
      <c r="K167" s="150" t="str">
        <f>iferror(vlookup(E167,MasterClass!$C$2:$G988,5,false),"")</f>
        <v/>
      </c>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row>
    <row r="168">
      <c r="A168" s="135">
        <v>168.0</v>
      </c>
      <c r="B168" s="63"/>
      <c r="C168" s="63"/>
      <c r="D168" s="63"/>
      <c r="E168" s="149"/>
      <c r="F168" s="63"/>
      <c r="G168" s="63"/>
      <c r="H168" s="63"/>
      <c r="I168" s="63"/>
      <c r="J168" s="63"/>
      <c r="K168" s="150" t="str">
        <f>iferror(vlookup(E168,MasterClass!$C$2:$G988,5,false),"")</f>
        <v/>
      </c>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row>
    <row r="169" ht="24.0" customHeight="1">
      <c r="A169" s="167">
        <v>116.0</v>
      </c>
      <c r="B169" s="80" t="s">
        <v>9</v>
      </c>
      <c r="C169" s="81" t="s">
        <v>10</v>
      </c>
      <c r="D169" s="80" t="s">
        <v>11</v>
      </c>
      <c r="E169" s="151"/>
      <c r="F169" s="82" t="s">
        <v>5</v>
      </c>
      <c r="G169" s="152"/>
      <c r="H169" s="153" t="s">
        <v>2492</v>
      </c>
      <c r="I169" s="152"/>
      <c r="J169" s="154" t="s">
        <v>2493</v>
      </c>
      <c r="K169" s="155"/>
      <c r="L169" s="152"/>
      <c r="M169" s="162" t="s">
        <v>2489</v>
      </c>
      <c r="N169" s="82" t="s">
        <v>2490</v>
      </c>
      <c r="O169" s="162" t="s">
        <v>18</v>
      </c>
      <c r="P169" s="82" t="s">
        <v>2491</v>
      </c>
      <c r="Q169" s="83" t="s">
        <v>19</v>
      </c>
      <c r="R169" s="168"/>
      <c r="S169" s="168"/>
      <c r="T169" s="168"/>
      <c r="U169" s="168"/>
      <c r="V169" s="168"/>
      <c r="W169" s="168"/>
      <c r="X169" s="168"/>
      <c r="Y169" s="168"/>
      <c r="Z169" s="168"/>
      <c r="AA169" s="168"/>
      <c r="AB169" s="168"/>
      <c r="AC169" s="168"/>
      <c r="AD169" s="168"/>
      <c r="AE169" s="168"/>
      <c r="AF169" s="168"/>
      <c r="AG169" s="168"/>
      <c r="AH169" s="168"/>
      <c r="AI169" s="168"/>
      <c r="AJ169" s="168"/>
    </row>
    <row r="170">
      <c r="A170" s="167">
        <v>117.0</v>
      </c>
      <c r="B170" s="20"/>
      <c r="C170" s="20"/>
      <c r="D170" s="20"/>
      <c r="E170" s="151"/>
      <c r="F170" s="20"/>
      <c r="G170" s="164" t="s">
        <v>2483</v>
      </c>
      <c r="H170" s="158" t="s">
        <v>2484</v>
      </c>
      <c r="I170" s="164" t="s">
        <v>2485</v>
      </c>
      <c r="J170" s="165" t="s">
        <v>2486</v>
      </c>
      <c r="K170" s="166" t="s">
        <v>2487</v>
      </c>
      <c r="L170" s="164" t="s">
        <v>2488</v>
      </c>
      <c r="M170" s="20"/>
      <c r="N170" s="20"/>
      <c r="O170" s="20"/>
      <c r="P170" s="20"/>
      <c r="Q170" s="20"/>
      <c r="R170" s="168"/>
      <c r="S170" s="168"/>
      <c r="T170" s="168"/>
      <c r="U170" s="168"/>
      <c r="V170" s="168"/>
      <c r="W170" s="168"/>
      <c r="X170" s="168"/>
      <c r="Y170" s="168"/>
      <c r="Z170" s="168"/>
      <c r="AA170" s="168"/>
      <c r="AB170" s="168"/>
      <c r="AC170" s="168"/>
      <c r="AD170" s="168"/>
      <c r="AE170" s="168"/>
      <c r="AF170" s="168"/>
      <c r="AG170" s="168"/>
      <c r="AH170" s="168"/>
      <c r="AI170" s="168"/>
      <c r="AJ170" s="168"/>
    </row>
    <row r="171">
      <c r="A171" s="135">
        <v>172.0</v>
      </c>
      <c r="B171" s="67">
        <v>1.0</v>
      </c>
      <c r="C171" s="31" t="s">
        <v>311</v>
      </c>
      <c r="D171" s="68" t="s">
        <v>1307</v>
      </c>
      <c r="E171" s="71" t="s">
        <v>2650</v>
      </c>
      <c r="F171" s="69" t="s">
        <v>1308</v>
      </c>
      <c r="G171" s="69" t="s">
        <v>2651</v>
      </c>
      <c r="H171" s="145">
        <v>3.0</v>
      </c>
      <c r="I171" s="145">
        <v>2.0</v>
      </c>
      <c r="J171" s="69">
        <v>5.0</v>
      </c>
      <c r="K171" s="69" t="str">
        <f>iferror(vlookup(E171,MasterClass!$C$2:$G988,5,false),"")</f>
        <v/>
      </c>
      <c r="L171" s="69">
        <v>1.0</v>
      </c>
      <c r="M171" s="69">
        <f t="shared" ref="M171:M201" si="34">J171+H171</f>
        <v>8</v>
      </c>
      <c r="N171" s="69">
        <f t="shared" ref="N171:N201" si="35">I171+L171+K171</f>
        <v>3</v>
      </c>
      <c r="O171" s="146">
        <f t="shared" ref="O171:O201" si="36">N171/M171</f>
        <v>0.375</v>
      </c>
      <c r="P171" s="146"/>
      <c r="Q171" s="70"/>
      <c r="R171" s="63"/>
      <c r="S171" s="63"/>
      <c r="T171" s="63"/>
      <c r="U171" s="63"/>
      <c r="V171" s="63"/>
      <c r="W171" s="63"/>
      <c r="X171" s="63"/>
      <c r="Y171" s="63"/>
      <c r="Z171" s="63"/>
      <c r="AA171" s="63"/>
      <c r="AB171" s="63"/>
      <c r="AC171" s="63"/>
      <c r="AD171" s="63"/>
      <c r="AE171" s="63"/>
      <c r="AF171" s="63"/>
      <c r="AG171" s="63"/>
      <c r="AH171" s="63"/>
      <c r="AI171" s="63"/>
      <c r="AJ171" s="63"/>
    </row>
    <row r="172">
      <c r="A172" s="135">
        <v>173.0</v>
      </c>
      <c r="B172" s="67">
        <v>2.0</v>
      </c>
      <c r="C172" s="31" t="s">
        <v>313</v>
      </c>
      <c r="D172" s="68" t="s">
        <v>1309</v>
      </c>
      <c r="E172" s="71" t="s">
        <v>2652</v>
      </c>
      <c r="F172" s="69" t="s">
        <v>1308</v>
      </c>
      <c r="G172" s="69" t="s">
        <v>2651</v>
      </c>
      <c r="H172" s="145">
        <v>3.0</v>
      </c>
      <c r="I172" s="145">
        <v>2.0</v>
      </c>
      <c r="J172" s="69">
        <v>5.0</v>
      </c>
      <c r="K172" s="69" t="str">
        <f>iferror(vlookup(E172,MasterClass!$C$2:$G988,5,false),"")</f>
        <v/>
      </c>
      <c r="L172" s="69">
        <v>2.0</v>
      </c>
      <c r="M172" s="69">
        <f t="shared" si="34"/>
        <v>8</v>
      </c>
      <c r="N172" s="69">
        <f t="shared" si="35"/>
        <v>4</v>
      </c>
      <c r="O172" s="146">
        <f t="shared" si="36"/>
        <v>0.5</v>
      </c>
      <c r="P172" s="146"/>
      <c r="Q172" s="70"/>
      <c r="R172" s="63"/>
      <c r="S172" s="63"/>
      <c r="T172" s="63"/>
      <c r="U172" s="63"/>
      <c r="V172" s="63"/>
      <c r="W172" s="63"/>
      <c r="X172" s="63"/>
      <c r="Y172" s="63"/>
      <c r="Z172" s="63"/>
      <c r="AA172" s="63"/>
      <c r="AB172" s="63"/>
      <c r="AC172" s="63"/>
      <c r="AD172" s="63"/>
      <c r="AE172" s="63"/>
      <c r="AF172" s="63"/>
      <c r="AG172" s="63"/>
      <c r="AH172" s="63"/>
      <c r="AI172" s="63"/>
      <c r="AJ172" s="63"/>
    </row>
    <row r="173">
      <c r="A173" s="135">
        <v>174.0</v>
      </c>
      <c r="B173" s="67">
        <v>3.0</v>
      </c>
      <c r="C173" s="31" t="s">
        <v>315</v>
      </c>
      <c r="D173" s="68" t="s">
        <v>1310</v>
      </c>
      <c r="E173" s="71" t="s">
        <v>2653</v>
      </c>
      <c r="F173" s="69" t="s">
        <v>1308</v>
      </c>
      <c r="G173" s="69" t="s">
        <v>2651</v>
      </c>
      <c r="H173" s="145">
        <v>3.0</v>
      </c>
      <c r="I173" s="145">
        <v>2.0</v>
      </c>
      <c r="J173" s="69">
        <v>5.0</v>
      </c>
      <c r="K173" s="69" t="str">
        <f>iferror(vlookup(E173,MasterClass!$C$2:$G988,5,false),"")</f>
        <v/>
      </c>
      <c r="L173" s="69">
        <v>1.0</v>
      </c>
      <c r="M173" s="69">
        <f t="shared" si="34"/>
        <v>8</v>
      </c>
      <c r="N173" s="69">
        <f t="shared" si="35"/>
        <v>3</v>
      </c>
      <c r="O173" s="146">
        <f t="shared" si="36"/>
        <v>0.375</v>
      </c>
      <c r="P173" s="146"/>
      <c r="Q173" s="70"/>
      <c r="R173" s="63"/>
      <c r="S173" s="63"/>
      <c r="T173" s="63"/>
      <c r="U173" s="63"/>
      <c r="V173" s="63"/>
      <c r="W173" s="63"/>
      <c r="X173" s="63"/>
      <c r="Y173" s="63"/>
      <c r="Z173" s="63"/>
      <c r="AA173" s="63"/>
      <c r="AB173" s="63"/>
      <c r="AC173" s="63"/>
      <c r="AD173" s="63"/>
      <c r="AE173" s="63"/>
      <c r="AF173" s="63"/>
      <c r="AG173" s="63"/>
      <c r="AH173" s="63"/>
      <c r="AI173" s="63"/>
      <c r="AJ173" s="63"/>
    </row>
    <row r="174">
      <c r="A174" s="135">
        <v>175.0</v>
      </c>
      <c r="B174" s="67">
        <v>4.0</v>
      </c>
      <c r="C174" s="31" t="s">
        <v>317</v>
      </c>
      <c r="D174" s="68" t="s">
        <v>1311</v>
      </c>
      <c r="E174" s="71" t="s">
        <v>2654</v>
      </c>
      <c r="F174" s="69" t="s">
        <v>1308</v>
      </c>
      <c r="G174" s="69" t="s">
        <v>2655</v>
      </c>
      <c r="H174" s="145">
        <v>3.0</v>
      </c>
      <c r="I174" s="145">
        <v>0.0</v>
      </c>
      <c r="J174" s="69">
        <v>5.0</v>
      </c>
      <c r="K174" s="69" t="str">
        <f>iferror(vlookup(E174,MasterClass!$C$2:$G988,5,false),"")</f>
        <v/>
      </c>
      <c r="L174" s="69">
        <v>1.0</v>
      </c>
      <c r="M174" s="69">
        <f t="shared" si="34"/>
        <v>8</v>
      </c>
      <c r="N174" s="69">
        <f t="shared" si="35"/>
        <v>1</v>
      </c>
      <c r="O174" s="146">
        <f t="shared" si="36"/>
        <v>0.125</v>
      </c>
      <c r="P174" s="146"/>
      <c r="Q174" s="70"/>
      <c r="R174" s="63"/>
      <c r="S174" s="63"/>
      <c r="T174" s="63"/>
      <c r="U174" s="63"/>
      <c r="V174" s="63"/>
      <c r="W174" s="63"/>
      <c r="X174" s="63"/>
      <c r="Y174" s="63"/>
      <c r="Z174" s="63"/>
      <c r="AA174" s="63"/>
      <c r="AB174" s="63"/>
      <c r="AC174" s="63"/>
      <c r="AD174" s="63"/>
      <c r="AE174" s="63"/>
      <c r="AF174" s="63"/>
      <c r="AG174" s="63"/>
      <c r="AH174" s="63"/>
      <c r="AI174" s="63"/>
      <c r="AJ174" s="63"/>
    </row>
    <row r="175">
      <c r="A175" s="135">
        <v>176.0</v>
      </c>
      <c r="B175" s="67">
        <v>5.0</v>
      </c>
      <c r="C175" s="31" t="s">
        <v>319</v>
      </c>
      <c r="D175" s="68" t="s">
        <v>1312</v>
      </c>
      <c r="E175" s="71" t="s">
        <v>2656</v>
      </c>
      <c r="F175" s="69" t="s">
        <v>1308</v>
      </c>
      <c r="G175" s="69" t="s">
        <v>2655</v>
      </c>
      <c r="H175" s="145">
        <v>3.0</v>
      </c>
      <c r="I175" s="145">
        <v>0.0</v>
      </c>
      <c r="J175" s="69">
        <v>5.0</v>
      </c>
      <c r="K175" s="69" t="str">
        <f>iferror(vlookup(E175,MasterClass!$C$2:$G988,5,false),"")</f>
        <v/>
      </c>
      <c r="L175" s="69">
        <v>1.0</v>
      </c>
      <c r="M175" s="69">
        <f t="shared" si="34"/>
        <v>8</v>
      </c>
      <c r="N175" s="69">
        <f t="shared" si="35"/>
        <v>1</v>
      </c>
      <c r="O175" s="146">
        <f t="shared" si="36"/>
        <v>0.125</v>
      </c>
      <c r="P175" s="146"/>
      <c r="Q175" s="70"/>
      <c r="R175" s="63"/>
      <c r="S175" s="63"/>
      <c r="T175" s="63"/>
      <c r="U175" s="63"/>
      <c r="V175" s="63"/>
      <c r="W175" s="63"/>
      <c r="X175" s="63"/>
      <c r="Y175" s="63"/>
      <c r="Z175" s="63"/>
      <c r="AA175" s="63"/>
      <c r="AB175" s="63"/>
      <c r="AC175" s="63"/>
      <c r="AD175" s="63"/>
      <c r="AE175" s="63"/>
      <c r="AF175" s="63"/>
      <c r="AG175" s="63"/>
      <c r="AH175" s="63"/>
      <c r="AI175" s="63"/>
      <c r="AJ175" s="63"/>
    </row>
    <row r="176">
      <c r="A176" s="135">
        <v>177.0</v>
      </c>
      <c r="B176" s="67">
        <v>6.0</v>
      </c>
      <c r="C176" s="31" t="s">
        <v>321</v>
      </c>
      <c r="D176" s="68" t="s">
        <v>1313</v>
      </c>
      <c r="E176" s="71" t="s">
        <v>2657</v>
      </c>
      <c r="F176" s="69" t="s">
        <v>1308</v>
      </c>
      <c r="G176" s="69" t="s">
        <v>2551</v>
      </c>
      <c r="H176" s="145">
        <v>3.0</v>
      </c>
      <c r="I176" s="145">
        <v>2.0</v>
      </c>
      <c r="J176" s="69">
        <v>5.0</v>
      </c>
      <c r="K176" s="69" t="str">
        <f>iferror(vlookup(E176,MasterClass!$C$2:$G988,5,false),"")</f>
        <v/>
      </c>
      <c r="L176" s="69">
        <v>5.0</v>
      </c>
      <c r="M176" s="69">
        <f t="shared" si="34"/>
        <v>8</v>
      </c>
      <c r="N176" s="69">
        <f t="shared" si="35"/>
        <v>7</v>
      </c>
      <c r="O176" s="146">
        <f t="shared" si="36"/>
        <v>0.875</v>
      </c>
      <c r="P176" s="69" t="s">
        <v>2508</v>
      </c>
      <c r="Q176" s="69"/>
      <c r="R176" s="63"/>
      <c r="S176" s="63"/>
      <c r="T176" s="63"/>
      <c r="U176" s="63"/>
      <c r="V176" s="63"/>
      <c r="W176" s="63"/>
      <c r="X176" s="63"/>
      <c r="Y176" s="63"/>
      <c r="Z176" s="63"/>
      <c r="AA176" s="63"/>
      <c r="AB176" s="63"/>
      <c r="AC176" s="63"/>
      <c r="AD176" s="63"/>
      <c r="AE176" s="63"/>
      <c r="AF176" s="63"/>
      <c r="AG176" s="63"/>
      <c r="AH176" s="63"/>
      <c r="AI176" s="63"/>
      <c r="AJ176" s="63"/>
    </row>
    <row r="177">
      <c r="A177" s="135">
        <v>178.0</v>
      </c>
      <c r="B177" s="67">
        <v>7.0</v>
      </c>
      <c r="C177" s="31" t="s">
        <v>323</v>
      </c>
      <c r="D177" s="68" t="s">
        <v>1314</v>
      </c>
      <c r="E177" s="71" t="s">
        <v>2658</v>
      </c>
      <c r="F177" s="69" t="s">
        <v>1308</v>
      </c>
      <c r="G177" s="69" t="s">
        <v>2655</v>
      </c>
      <c r="H177" s="145">
        <v>3.0</v>
      </c>
      <c r="I177" s="145">
        <v>3.0</v>
      </c>
      <c r="J177" s="69">
        <v>5.0</v>
      </c>
      <c r="K177" s="69" t="str">
        <f>iferror(vlookup(E177,MasterClass!$C$2:$G988,5,false),"")</f>
        <v/>
      </c>
      <c r="L177" s="69">
        <v>5.0</v>
      </c>
      <c r="M177" s="69">
        <f t="shared" si="34"/>
        <v>8</v>
      </c>
      <c r="N177" s="69">
        <f t="shared" si="35"/>
        <v>8</v>
      </c>
      <c r="O177" s="146">
        <f t="shared" si="36"/>
        <v>1</v>
      </c>
      <c r="P177" s="146"/>
      <c r="Q177" s="70"/>
      <c r="R177" s="63"/>
      <c r="S177" s="63"/>
      <c r="T177" s="63"/>
      <c r="U177" s="63"/>
      <c r="V177" s="63"/>
      <c r="W177" s="63"/>
      <c r="X177" s="63"/>
      <c r="Y177" s="63"/>
      <c r="Z177" s="63"/>
      <c r="AA177" s="63"/>
      <c r="AB177" s="63"/>
      <c r="AC177" s="63"/>
      <c r="AD177" s="63"/>
      <c r="AE177" s="63"/>
      <c r="AF177" s="63"/>
      <c r="AG177" s="63"/>
      <c r="AH177" s="63"/>
      <c r="AI177" s="63"/>
      <c r="AJ177" s="63"/>
    </row>
    <row r="178">
      <c r="A178" s="135">
        <v>179.0</v>
      </c>
      <c r="B178" s="67">
        <v>8.0</v>
      </c>
      <c r="C178" s="31" t="s">
        <v>325</v>
      </c>
      <c r="D178" s="68" t="s">
        <v>1315</v>
      </c>
      <c r="E178" s="71" t="s">
        <v>2659</v>
      </c>
      <c r="F178" s="69" t="s">
        <v>1308</v>
      </c>
      <c r="G178" s="69" t="s">
        <v>2655</v>
      </c>
      <c r="H178" s="145">
        <v>3.0</v>
      </c>
      <c r="I178" s="145">
        <v>1.0</v>
      </c>
      <c r="J178" s="69">
        <v>5.0</v>
      </c>
      <c r="K178" s="69" t="str">
        <f>iferror(vlookup(E178,MasterClass!$C$2:$G988,5,false),"")</f>
        <v/>
      </c>
      <c r="L178" s="69">
        <v>3.0</v>
      </c>
      <c r="M178" s="69">
        <f t="shared" si="34"/>
        <v>8</v>
      </c>
      <c r="N178" s="69">
        <f t="shared" si="35"/>
        <v>4</v>
      </c>
      <c r="O178" s="146">
        <f t="shared" si="36"/>
        <v>0.5</v>
      </c>
      <c r="P178" s="146"/>
      <c r="Q178" s="70"/>
      <c r="R178" s="63"/>
      <c r="S178" s="63"/>
      <c r="T178" s="63"/>
      <c r="U178" s="63"/>
      <c r="V178" s="63"/>
      <c r="W178" s="63"/>
      <c r="X178" s="63"/>
      <c r="Y178" s="63"/>
      <c r="Z178" s="63"/>
      <c r="AA178" s="63"/>
      <c r="AB178" s="63"/>
      <c r="AC178" s="63"/>
      <c r="AD178" s="63"/>
      <c r="AE178" s="63"/>
      <c r="AF178" s="63"/>
      <c r="AG178" s="63"/>
      <c r="AH178" s="63"/>
      <c r="AI178" s="63"/>
      <c r="AJ178" s="63"/>
    </row>
    <row r="179">
      <c r="A179" s="135">
        <v>180.0</v>
      </c>
      <c r="B179" s="67">
        <v>9.0</v>
      </c>
      <c r="C179" s="31" t="s">
        <v>327</v>
      </c>
      <c r="D179" s="68" t="s">
        <v>1316</v>
      </c>
      <c r="E179" s="71" t="s">
        <v>2660</v>
      </c>
      <c r="F179" s="69" t="s">
        <v>1308</v>
      </c>
      <c r="G179" s="69" t="s">
        <v>2655</v>
      </c>
      <c r="H179" s="145">
        <v>3.0</v>
      </c>
      <c r="I179" s="145">
        <v>1.0</v>
      </c>
      <c r="J179" s="69">
        <v>5.0</v>
      </c>
      <c r="K179" s="69" t="str">
        <f>iferror(vlookup(E179,MasterClass!$C$2:$G988,5,false),"")</f>
        <v/>
      </c>
      <c r="L179" s="69">
        <v>3.0</v>
      </c>
      <c r="M179" s="69">
        <f t="shared" si="34"/>
        <v>8</v>
      </c>
      <c r="N179" s="69">
        <f t="shared" si="35"/>
        <v>4</v>
      </c>
      <c r="O179" s="146">
        <f t="shared" si="36"/>
        <v>0.5</v>
      </c>
      <c r="P179" s="146"/>
      <c r="Q179" s="70"/>
      <c r="R179" s="63"/>
      <c r="S179" s="63"/>
      <c r="T179" s="63"/>
      <c r="U179" s="63"/>
      <c r="V179" s="63"/>
      <c r="W179" s="63"/>
      <c r="X179" s="63"/>
      <c r="Y179" s="63"/>
      <c r="Z179" s="63"/>
      <c r="AA179" s="63"/>
      <c r="AB179" s="63"/>
      <c r="AC179" s="63"/>
      <c r="AD179" s="63"/>
      <c r="AE179" s="63"/>
      <c r="AF179" s="63"/>
      <c r="AG179" s="63"/>
      <c r="AH179" s="63"/>
      <c r="AI179" s="63"/>
      <c r="AJ179" s="63"/>
    </row>
    <row r="180">
      <c r="A180" s="135">
        <v>181.0</v>
      </c>
      <c r="B180" s="67">
        <v>10.0</v>
      </c>
      <c r="C180" s="31" t="s">
        <v>329</v>
      </c>
      <c r="D180" s="71" t="s">
        <v>1317</v>
      </c>
      <c r="E180" s="71" t="s">
        <v>2661</v>
      </c>
      <c r="F180" s="69" t="s">
        <v>1308</v>
      </c>
      <c r="G180" s="69" t="s">
        <v>2651</v>
      </c>
      <c r="H180" s="145">
        <v>3.0</v>
      </c>
      <c r="I180" s="145">
        <v>2.0</v>
      </c>
      <c r="J180" s="69">
        <v>5.0</v>
      </c>
      <c r="K180" s="69" t="str">
        <f>iferror(vlookup(E180,MasterClass!$C$2:$G988,5,false),"")</f>
        <v/>
      </c>
      <c r="L180" s="69">
        <v>1.0</v>
      </c>
      <c r="M180" s="69">
        <f t="shared" si="34"/>
        <v>8</v>
      </c>
      <c r="N180" s="69">
        <f t="shared" si="35"/>
        <v>3</v>
      </c>
      <c r="O180" s="146">
        <f t="shared" si="36"/>
        <v>0.375</v>
      </c>
      <c r="P180" s="146"/>
      <c r="Q180" s="70"/>
      <c r="R180" s="63"/>
      <c r="S180" s="63"/>
      <c r="T180" s="63"/>
      <c r="U180" s="63"/>
      <c r="V180" s="63"/>
      <c r="W180" s="63"/>
      <c r="X180" s="63"/>
      <c r="Y180" s="63"/>
      <c r="Z180" s="63"/>
      <c r="AA180" s="63"/>
      <c r="AB180" s="63"/>
      <c r="AC180" s="63"/>
      <c r="AD180" s="63"/>
      <c r="AE180" s="63"/>
      <c r="AF180" s="63"/>
      <c r="AG180" s="63"/>
      <c r="AH180" s="63"/>
      <c r="AI180" s="63"/>
      <c r="AJ180" s="63"/>
    </row>
    <row r="181">
      <c r="A181" s="135">
        <v>182.0</v>
      </c>
      <c r="B181" s="67">
        <v>11.0</v>
      </c>
      <c r="C181" s="31" t="s">
        <v>331</v>
      </c>
      <c r="D181" s="71" t="s">
        <v>1318</v>
      </c>
      <c r="E181" s="71" t="s">
        <v>2662</v>
      </c>
      <c r="F181" s="69" t="s">
        <v>1308</v>
      </c>
      <c r="G181" s="69" t="s">
        <v>2655</v>
      </c>
      <c r="H181" s="145">
        <v>3.0</v>
      </c>
      <c r="I181" s="145">
        <v>1.0</v>
      </c>
      <c r="J181" s="69">
        <v>5.0</v>
      </c>
      <c r="K181" s="69" t="str">
        <f>iferror(vlookup(E181,MasterClass!$C$2:$G988,5,false),"")</f>
        <v/>
      </c>
      <c r="L181" s="69">
        <v>3.0</v>
      </c>
      <c r="M181" s="69">
        <f t="shared" si="34"/>
        <v>8</v>
      </c>
      <c r="N181" s="69">
        <f t="shared" si="35"/>
        <v>4</v>
      </c>
      <c r="O181" s="146">
        <f t="shared" si="36"/>
        <v>0.5</v>
      </c>
      <c r="P181" s="146"/>
      <c r="Q181" s="70"/>
      <c r="R181" s="63"/>
      <c r="S181" s="63"/>
      <c r="T181" s="63"/>
      <c r="U181" s="63"/>
      <c r="V181" s="63"/>
      <c r="W181" s="63"/>
      <c r="X181" s="63"/>
      <c r="Y181" s="63"/>
      <c r="Z181" s="63"/>
      <c r="AA181" s="63"/>
      <c r="AB181" s="63"/>
      <c r="AC181" s="63"/>
      <c r="AD181" s="63"/>
      <c r="AE181" s="63"/>
      <c r="AF181" s="63"/>
      <c r="AG181" s="63"/>
      <c r="AH181" s="63"/>
      <c r="AI181" s="63"/>
      <c r="AJ181" s="63"/>
    </row>
    <row r="182">
      <c r="A182" s="135">
        <v>183.0</v>
      </c>
      <c r="B182" s="67">
        <v>12.0</v>
      </c>
      <c r="C182" s="31" t="s">
        <v>333</v>
      </c>
      <c r="D182" s="68" t="s">
        <v>1319</v>
      </c>
      <c r="E182" s="71" t="s">
        <v>2663</v>
      </c>
      <c r="F182" s="69" t="s">
        <v>1308</v>
      </c>
      <c r="G182" s="69" t="s">
        <v>2655</v>
      </c>
      <c r="H182" s="145">
        <v>3.0</v>
      </c>
      <c r="I182" s="145">
        <v>1.0</v>
      </c>
      <c r="J182" s="69">
        <v>5.0</v>
      </c>
      <c r="K182" s="69" t="str">
        <f>iferror(vlookup(E182,MasterClass!$C$2:$G988,5,false),"")</f>
        <v/>
      </c>
      <c r="L182" s="69">
        <v>3.0</v>
      </c>
      <c r="M182" s="69">
        <f t="shared" si="34"/>
        <v>8</v>
      </c>
      <c r="N182" s="69">
        <f t="shared" si="35"/>
        <v>4</v>
      </c>
      <c r="O182" s="146">
        <f t="shared" si="36"/>
        <v>0.5</v>
      </c>
      <c r="P182" s="146"/>
      <c r="Q182" s="70"/>
      <c r="R182" s="63"/>
      <c r="S182" s="63"/>
      <c r="T182" s="63"/>
      <c r="U182" s="63"/>
      <c r="V182" s="63"/>
      <c r="W182" s="63"/>
      <c r="X182" s="63"/>
      <c r="Y182" s="63"/>
      <c r="Z182" s="63"/>
      <c r="AA182" s="63"/>
      <c r="AB182" s="63"/>
      <c r="AC182" s="63"/>
      <c r="AD182" s="63"/>
      <c r="AE182" s="63"/>
      <c r="AF182" s="63"/>
      <c r="AG182" s="63"/>
      <c r="AH182" s="63"/>
      <c r="AI182" s="63"/>
      <c r="AJ182" s="63"/>
    </row>
    <row r="183">
      <c r="A183" s="135">
        <v>184.0</v>
      </c>
      <c r="B183" s="67">
        <v>13.0</v>
      </c>
      <c r="C183" s="31" t="s">
        <v>335</v>
      </c>
      <c r="D183" s="68" t="s">
        <v>1320</v>
      </c>
      <c r="E183" s="71" t="s">
        <v>2664</v>
      </c>
      <c r="F183" s="69" t="s">
        <v>1308</v>
      </c>
      <c r="G183" s="69" t="s">
        <v>2651</v>
      </c>
      <c r="H183" s="145">
        <v>3.0</v>
      </c>
      <c r="I183" s="145">
        <v>2.0</v>
      </c>
      <c r="J183" s="69">
        <v>5.0</v>
      </c>
      <c r="K183" s="69" t="str">
        <f>iferror(vlookup(E183,MasterClass!$C$2:$G988,5,false),"")</f>
        <v/>
      </c>
      <c r="L183" s="69">
        <v>0.0</v>
      </c>
      <c r="M183" s="69">
        <f t="shared" si="34"/>
        <v>8</v>
      </c>
      <c r="N183" s="69">
        <f t="shared" si="35"/>
        <v>2</v>
      </c>
      <c r="O183" s="146">
        <f t="shared" si="36"/>
        <v>0.25</v>
      </c>
      <c r="P183" s="146"/>
      <c r="Q183" s="70"/>
      <c r="R183" s="63"/>
      <c r="S183" s="63"/>
      <c r="T183" s="63"/>
      <c r="U183" s="63"/>
      <c r="V183" s="63"/>
      <c r="W183" s="63"/>
      <c r="X183" s="63"/>
      <c r="Y183" s="63"/>
      <c r="Z183" s="63"/>
      <c r="AA183" s="63"/>
      <c r="AB183" s="63"/>
      <c r="AC183" s="63"/>
      <c r="AD183" s="63"/>
      <c r="AE183" s="63"/>
      <c r="AF183" s="63"/>
      <c r="AG183" s="63"/>
      <c r="AH183" s="63"/>
      <c r="AI183" s="63"/>
      <c r="AJ183" s="63"/>
    </row>
    <row r="184">
      <c r="A184" s="135">
        <v>185.0</v>
      </c>
      <c r="B184" s="67">
        <v>14.0</v>
      </c>
      <c r="C184" s="31" t="s">
        <v>337</v>
      </c>
      <c r="D184" s="68" t="s">
        <v>1321</v>
      </c>
      <c r="E184" s="71" t="s">
        <v>2665</v>
      </c>
      <c r="F184" s="69" t="s">
        <v>1308</v>
      </c>
      <c r="G184" s="69" t="s">
        <v>2651</v>
      </c>
      <c r="H184" s="145">
        <v>3.0</v>
      </c>
      <c r="I184" s="145">
        <v>2.0</v>
      </c>
      <c r="J184" s="69">
        <v>5.0</v>
      </c>
      <c r="K184" s="69" t="str">
        <f>iferror(vlookup(E184,MasterClass!$C$2:$G988,5,false),"")</f>
        <v/>
      </c>
      <c r="L184" s="69">
        <v>2.0</v>
      </c>
      <c r="M184" s="69">
        <f t="shared" si="34"/>
        <v>8</v>
      </c>
      <c r="N184" s="69">
        <f t="shared" si="35"/>
        <v>4</v>
      </c>
      <c r="O184" s="146">
        <f t="shared" si="36"/>
        <v>0.5</v>
      </c>
      <c r="P184" s="146"/>
      <c r="Q184" s="70"/>
      <c r="R184" s="63"/>
      <c r="S184" s="63"/>
      <c r="T184" s="63"/>
      <c r="U184" s="63"/>
      <c r="V184" s="63"/>
      <c r="W184" s="63"/>
      <c r="X184" s="63"/>
      <c r="Y184" s="63"/>
      <c r="Z184" s="63"/>
      <c r="AA184" s="63"/>
      <c r="AB184" s="63"/>
      <c r="AC184" s="63"/>
      <c r="AD184" s="63"/>
      <c r="AE184" s="63"/>
      <c r="AF184" s="63"/>
      <c r="AG184" s="63"/>
      <c r="AH184" s="63"/>
      <c r="AI184" s="63"/>
      <c r="AJ184" s="63"/>
    </row>
    <row r="185">
      <c r="A185" s="135">
        <v>186.0</v>
      </c>
      <c r="B185" s="67">
        <v>15.0</v>
      </c>
      <c r="C185" s="31" t="s">
        <v>339</v>
      </c>
      <c r="D185" s="71" t="s">
        <v>1322</v>
      </c>
      <c r="E185" s="71" t="s">
        <v>2666</v>
      </c>
      <c r="F185" s="69" t="s">
        <v>1308</v>
      </c>
      <c r="G185" s="69" t="s">
        <v>2655</v>
      </c>
      <c r="H185" s="145">
        <v>3.0</v>
      </c>
      <c r="I185" s="145">
        <v>2.0</v>
      </c>
      <c r="J185" s="69">
        <v>5.0</v>
      </c>
      <c r="K185" s="69" t="str">
        <f>iferror(vlookup(E185,MasterClass!$C$2:$G988,5,false),"")</f>
        <v/>
      </c>
      <c r="L185" s="69">
        <v>4.0</v>
      </c>
      <c r="M185" s="69">
        <f t="shared" si="34"/>
        <v>8</v>
      </c>
      <c r="N185" s="69">
        <f t="shared" si="35"/>
        <v>6</v>
      </c>
      <c r="O185" s="146">
        <f t="shared" si="36"/>
        <v>0.75</v>
      </c>
      <c r="P185" s="146"/>
      <c r="Q185" s="70"/>
      <c r="R185" s="63"/>
      <c r="S185" s="63"/>
      <c r="T185" s="63"/>
      <c r="U185" s="63"/>
      <c r="V185" s="63"/>
      <c r="W185" s="63"/>
      <c r="X185" s="63"/>
      <c r="Y185" s="63"/>
      <c r="Z185" s="63"/>
      <c r="AA185" s="63"/>
      <c r="AB185" s="63"/>
      <c r="AC185" s="63"/>
      <c r="AD185" s="63"/>
      <c r="AE185" s="63"/>
      <c r="AF185" s="63"/>
      <c r="AG185" s="63"/>
      <c r="AH185" s="63"/>
      <c r="AI185" s="63"/>
      <c r="AJ185" s="63"/>
    </row>
    <row r="186">
      <c r="A186" s="135">
        <v>187.0</v>
      </c>
      <c r="B186" s="67">
        <v>16.0</v>
      </c>
      <c r="C186" s="31" t="s">
        <v>341</v>
      </c>
      <c r="D186" s="68" t="s">
        <v>1323</v>
      </c>
      <c r="E186" s="71" t="s">
        <v>2667</v>
      </c>
      <c r="F186" s="69" t="s">
        <v>1308</v>
      </c>
      <c r="G186" s="69" t="s">
        <v>2655</v>
      </c>
      <c r="H186" s="145">
        <v>3.0</v>
      </c>
      <c r="I186" s="145">
        <v>2.0</v>
      </c>
      <c r="J186" s="69">
        <v>5.0</v>
      </c>
      <c r="K186" s="69" t="str">
        <f>iferror(vlookup(E186,MasterClass!$C$2:$G988,5,false),"")</f>
        <v/>
      </c>
      <c r="L186" s="69">
        <v>4.0</v>
      </c>
      <c r="M186" s="69">
        <f t="shared" si="34"/>
        <v>8</v>
      </c>
      <c r="N186" s="69">
        <f t="shared" si="35"/>
        <v>6</v>
      </c>
      <c r="O186" s="146">
        <f t="shared" si="36"/>
        <v>0.75</v>
      </c>
      <c r="P186" s="146"/>
      <c r="Q186" s="70"/>
      <c r="R186" s="63"/>
      <c r="S186" s="63"/>
      <c r="T186" s="63"/>
      <c r="U186" s="63"/>
      <c r="V186" s="63"/>
      <c r="W186" s="63"/>
      <c r="X186" s="63"/>
      <c r="Y186" s="63"/>
      <c r="Z186" s="63"/>
      <c r="AA186" s="63"/>
      <c r="AB186" s="63"/>
      <c r="AC186" s="63"/>
      <c r="AD186" s="63"/>
      <c r="AE186" s="63"/>
      <c r="AF186" s="63"/>
      <c r="AG186" s="63"/>
      <c r="AH186" s="63"/>
      <c r="AI186" s="63"/>
      <c r="AJ186" s="63"/>
    </row>
    <row r="187">
      <c r="A187" s="135">
        <v>188.0</v>
      </c>
      <c r="B187" s="67">
        <v>17.0</v>
      </c>
      <c r="C187" s="31" t="s">
        <v>343</v>
      </c>
      <c r="D187" s="68" t="s">
        <v>1324</v>
      </c>
      <c r="E187" s="71" t="s">
        <v>2668</v>
      </c>
      <c r="F187" s="69" t="s">
        <v>1308</v>
      </c>
      <c r="G187" s="69" t="s">
        <v>2655</v>
      </c>
      <c r="H187" s="145">
        <v>3.0</v>
      </c>
      <c r="I187" s="145">
        <v>2.0</v>
      </c>
      <c r="J187" s="69">
        <v>5.0</v>
      </c>
      <c r="K187" s="69" t="str">
        <f>iferror(vlookup(E187,MasterClass!$C$2:$G988,5,false),"")</f>
        <v/>
      </c>
      <c r="L187" s="69">
        <v>4.0</v>
      </c>
      <c r="M187" s="69">
        <f t="shared" si="34"/>
        <v>8</v>
      </c>
      <c r="N187" s="69">
        <f t="shared" si="35"/>
        <v>6</v>
      </c>
      <c r="O187" s="146">
        <f t="shared" si="36"/>
        <v>0.75</v>
      </c>
      <c r="P187" s="146"/>
      <c r="Q187" s="70"/>
      <c r="R187" s="63"/>
      <c r="S187" s="63"/>
      <c r="T187" s="63"/>
      <c r="U187" s="63"/>
      <c r="V187" s="63"/>
      <c r="W187" s="63"/>
      <c r="X187" s="63"/>
      <c r="Y187" s="63"/>
      <c r="Z187" s="63"/>
      <c r="AA187" s="63"/>
      <c r="AB187" s="63"/>
      <c r="AC187" s="63"/>
      <c r="AD187" s="63"/>
      <c r="AE187" s="63"/>
      <c r="AF187" s="63"/>
      <c r="AG187" s="63"/>
      <c r="AH187" s="63"/>
      <c r="AI187" s="63"/>
      <c r="AJ187" s="63"/>
    </row>
    <row r="188">
      <c r="A188" s="135">
        <v>189.0</v>
      </c>
      <c r="B188" s="67">
        <v>18.0</v>
      </c>
      <c r="C188" s="31" t="s">
        <v>345</v>
      </c>
      <c r="D188" s="68" t="s">
        <v>1325</v>
      </c>
      <c r="E188" s="71" t="s">
        <v>2669</v>
      </c>
      <c r="F188" s="69" t="s">
        <v>1308</v>
      </c>
      <c r="G188" s="69" t="s">
        <v>2655</v>
      </c>
      <c r="H188" s="145">
        <v>3.0</v>
      </c>
      <c r="I188" s="145">
        <v>2.0</v>
      </c>
      <c r="J188" s="69">
        <v>5.0</v>
      </c>
      <c r="K188" s="69" t="str">
        <f>iferror(vlookup(E188,MasterClass!$C$2:$G988,5,false),"")</f>
        <v/>
      </c>
      <c r="L188" s="69">
        <v>4.0</v>
      </c>
      <c r="M188" s="69">
        <f t="shared" si="34"/>
        <v>8</v>
      </c>
      <c r="N188" s="69">
        <f t="shared" si="35"/>
        <v>6</v>
      </c>
      <c r="O188" s="146">
        <f t="shared" si="36"/>
        <v>0.75</v>
      </c>
      <c r="P188" s="146"/>
      <c r="Q188" s="70"/>
      <c r="R188" s="63"/>
      <c r="S188" s="63"/>
      <c r="T188" s="63"/>
      <c r="U188" s="63"/>
      <c r="V188" s="63"/>
      <c r="W188" s="63"/>
      <c r="X188" s="63"/>
      <c r="Y188" s="63"/>
      <c r="Z188" s="63"/>
      <c r="AA188" s="63"/>
      <c r="AB188" s="63"/>
      <c r="AC188" s="63"/>
      <c r="AD188" s="63"/>
      <c r="AE188" s="63"/>
      <c r="AF188" s="63"/>
      <c r="AG188" s="63"/>
      <c r="AH188" s="63"/>
      <c r="AI188" s="63"/>
      <c r="AJ188" s="63"/>
    </row>
    <row r="189">
      <c r="A189" s="135">
        <v>190.0</v>
      </c>
      <c r="B189" s="67">
        <v>19.0</v>
      </c>
      <c r="C189" s="31" t="s">
        <v>347</v>
      </c>
      <c r="D189" s="68" t="s">
        <v>1326</v>
      </c>
      <c r="E189" s="71" t="s">
        <v>2670</v>
      </c>
      <c r="F189" s="69" t="s">
        <v>1308</v>
      </c>
      <c r="G189" s="69" t="s">
        <v>2655</v>
      </c>
      <c r="H189" s="145">
        <v>3.0</v>
      </c>
      <c r="I189" s="145">
        <v>0.0</v>
      </c>
      <c r="J189" s="69">
        <v>5.0</v>
      </c>
      <c r="K189" s="69" t="str">
        <f>iferror(vlookup(E189,MasterClass!$C$2:$G988,5,false),"")</f>
        <v/>
      </c>
      <c r="L189" s="69">
        <v>1.0</v>
      </c>
      <c r="M189" s="69">
        <f t="shared" si="34"/>
        <v>8</v>
      </c>
      <c r="N189" s="69">
        <f t="shared" si="35"/>
        <v>1</v>
      </c>
      <c r="O189" s="146">
        <f t="shared" si="36"/>
        <v>0.125</v>
      </c>
      <c r="P189" s="146"/>
      <c r="Q189" s="70"/>
      <c r="R189" s="63"/>
      <c r="S189" s="63"/>
      <c r="T189" s="63"/>
      <c r="U189" s="63"/>
      <c r="V189" s="63"/>
      <c r="W189" s="63"/>
      <c r="X189" s="63"/>
      <c r="Y189" s="63"/>
      <c r="Z189" s="63"/>
      <c r="AA189" s="63"/>
      <c r="AB189" s="63"/>
      <c r="AC189" s="63"/>
      <c r="AD189" s="63"/>
      <c r="AE189" s="63"/>
      <c r="AF189" s="63"/>
      <c r="AG189" s="63"/>
      <c r="AH189" s="63"/>
      <c r="AI189" s="63"/>
      <c r="AJ189" s="63"/>
    </row>
    <row r="190">
      <c r="A190" s="135">
        <v>191.0</v>
      </c>
      <c r="B190" s="67">
        <v>20.0</v>
      </c>
      <c r="C190" s="31" t="s">
        <v>349</v>
      </c>
      <c r="D190" s="68" t="s">
        <v>1327</v>
      </c>
      <c r="E190" s="71" t="s">
        <v>2671</v>
      </c>
      <c r="F190" s="69" t="s">
        <v>1308</v>
      </c>
      <c r="G190" s="69" t="s">
        <v>2655</v>
      </c>
      <c r="H190" s="145">
        <v>3.0</v>
      </c>
      <c r="I190" s="145">
        <v>2.0</v>
      </c>
      <c r="J190" s="69">
        <v>5.0</v>
      </c>
      <c r="K190" s="69" t="str">
        <f>iferror(vlookup(E190,MasterClass!$C$2:$G988,5,false),"")</f>
        <v/>
      </c>
      <c r="L190" s="69">
        <v>4.0</v>
      </c>
      <c r="M190" s="69">
        <f t="shared" si="34"/>
        <v>8</v>
      </c>
      <c r="N190" s="69">
        <f t="shared" si="35"/>
        <v>6</v>
      </c>
      <c r="O190" s="146">
        <f t="shared" si="36"/>
        <v>0.75</v>
      </c>
      <c r="P190" s="146"/>
      <c r="Q190" s="70"/>
      <c r="R190" s="63"/>
      <c r="S190" s="63"/>
      <c r="T190" s="63"/>
      <c r="U190" s="63"/>
      <c r="V190" s="63"/>
      <c r="W190" s="63"/>
      <c r="X190" s="63"/>
      <c r="Y190" s="63"/>
      <c r="Z190" s="63"/>
      <c r="AA190" s="63"/>
      <c r="AB190" s="63"/>
      <c r="AC190" s="63"/>
      <c r="AD190" s="63"/>
      <c r="AE190" s="63"/>
      <c r="AF190" s="63"/>
      <c r="AG190" s="63"/>
      <c r="AH190" s="63"/>
      <c r="AI190" s="63"/>
      <c r="AJ190" s="63"/>
    </row>
    <row r="191">
      <c r="A191" s="135">
        <v>192.0</v>
      </c>
      <c r="B191" s="67">
        <v>21.0</v>
      </c>
      <c r="C191" s="31" t="s">
        <v>351</v>
      </c>
      <c r="D191" s="68" t="s">
        <v>1328</v>
      </c>
      <c r="E191" s="71" t="s">
        <v>2672</v>
      </c>
      <c r="F191" s="69" t="s">
        <v>1308</v>
      </c>
      <c r="G191" s="69" t="s">
        <v>2583</v>
      </c>
      <c r="H191" s="145">
        <v>4.0</v>
      </c>
      <c r="I191" s="145">
        <v>2.0</v>
      </c>
      <c r="J191" s="69">
        <v>5.0</v>
      </c>
      <c r="K191" s="69" t="str">
        <f>iferror(vlookup(E191,MasterClass!$C$2:$G988,5,false),"")</f>
        <v/>
      </c>
      <c r="L191" s="69">
        <v>3.0</v>
      </c>
      <c r="M191" s="69">
        <f t="shared" si="34"/>
        <v>9</v>
      </c>
      <c r="N191" s="69">
        <f t="shared" si="35"/>
        <v>5</v>
      </c>
      <c r="O191" s="146">
        <f t="shared" si="36"/>
        <v>0.5555555556</v>
      </c>
      <c r="P191" s="69" t="s">
        <v>2508</v>
      </c>
      <c r="Q191" s="69"/>
      <c r="R191" s="63"/>
      <c r="S191" s="63"/>
      <c r="T191" s="63"/>
      <c r="U191" s="63"/>
      <c r="V191" s="63"/>
      <c r="W191" s="63"/>
      <c r="X191" s="63"/>
      <c r="Y191" s="63"/>
      <c r="Z191" s="63"/>
      <c r="AA191" s="63"/>
      <c r="AB191" s="63"/>
      <c r="AC191" s="63"/>
      <c r="AD191" s="63"/>
      <c r="AE191" s="63"/>
      <c r="AF191" s="63"/>
      <c r="AG191" s="63"/>
      <c r="AH191" s="63"/>
      <c r="AI191" s="63"/>
      <c r="AJ191" s="63"/>
    </row>
    <row r="192">
      <c r="A192" s="135">
        <v>193.0</v>
      </c>
      <c r="B192" s="67">
        <v>22.0</v>
      </c>
      <c r="C192" s="31" t="s">
        <v>353</v>
      </c>
      <c r="D192" s="68" t="s">
        <v>1329</v>
      </c>
      <c r="E192" s="71" t="s">
        <v>2673</v>
      </c>
      <c r="F192" s="69" t="s">
        <v>1308</v>
      </c>
      <c r="G192" s="69" t="s">
        <v>2674</v>
      </c>
      <c r="H192" s="145">
        <v>3.0</v>
      </c>
      <c r="I192" s="145">
        <v>2.0</v>
      </c>
      <c r="J192" s="69">
        <v>5.0</v>
      </c>
      <c r="K192" s="69" t="str">
        <f>iferror(vlookup(E192,MasterClass!$C$2:$G988,5,false),"")</f>
        <v/>
      </c>
      <c r="L192" s="69">
        <v>5.0</v>
      </c>
      <c r="M192" s="69">
        <f t="shared" si="34"/>
        <v>8</v>
      </c>
      <c r="N192" s="69">
        <f t="shared" si="35"/>
        <v>7</v>
      </c>
      <c r="O192" s="146">
        <f t="shared" si="36"/>
        <v>0.875</v>
      </c>
      <c r="P192" s="146"/>
      <c r="Q192" s="70"/>
      <c r="R192" s="63"/>
      <c r="S192" s="63"/>
      <c r="T192" s="63"/>
      <c r="U192" s="63"/>
      <c r="V192" s="63"/>
      <c r="W192" s="63"/>
      <c r="X192" s="63"/>
      <c r="Y192" s="63"/>
      <c r="Z192" s="63"/>
      <c r="AA192" s="63"/>
      <c r="AB192" s="63"/>
      <c r="AC192" s="63"/>
      <c r="AD192" s="63"/>
      <c r="AE192" s="63"/>
      <c r="AF192" s="63"/>
      <c r="AG192" s="63"/>
      <c r="AH192" s="63"/>
      <c r="AI192" s="63"/>
      <c r="AJ192" s="63"/>
    </row>
    <row r="193">
      <c r="A193" s="135">
        <v>194.0</v>
      </c>
      <c r="B193" s="67">
        <v>23.0</v>
      </c>
      <c r="C193" s="31" t="s">
        <v>355</v>
      </c>
      <c r="D193" s="68" t="s">
        <v>1330</v>
      </c>
      <c r="E193" s="71" t="s">
        <v>2675</v>
      </c>
      <c r="F193" s="69" t="s">
        <v>1308</v>
      </c>
      <c r="G193" s="69" t="s">
        <v>2674</v>
      </c>
      <c r="H193" s="145">
        <v>3.0</v>
      </c>
      <c r="I193" s="145">
        <v>0.0</v>
      </c>
      <c r="J193" s="69">
        <v>5.0</v>
      </c>
      <c r="K193" s="69" t="str">
        <f>iferror(vlookup(E193,MasterClass!$C$2:$G988,5,false),"")</f>
        <v/>
      </c>
      <c r="L193" s="69">
        <v>2.0</v>
      </c>
      <c r="M193" s="69">
        <f t="shared" si="34"/>
        <v>8</v>
      </c>
      <c r="N193" s="69">
        <f t="shared" si="35"/>
        <v>2</v>
      </c>
      <c r="O193" s="146">
        <f t="shared" si="36"/>
        <v>0.25</v>
      </c>
      <c r="P193" s="146"/>
      <c r="Q193" s="70"/>
      <c r="R193" s="63"/>
      <c r="S193" s="63"/>
      <c r="T193" s="63"/>
      <c r="U193" s="63"/>
      <c r="V193" s="63"/>
      <c r="W193" s="63"/>
      <c r="X193" s="63"/>
      <c r="Y193" s="63"/>
      <c r="Z193" s="63"/>
      <c r="AA193" s="63"/>
      <c r="AB193" s="63"/>
      <c r="AC193" s="63"/>
      <c r="AD193" s="63"/>
      <c r="AE193" s="63"/>
      <c r="AF193" s="63"/>
      <c r="AG193" s="63"/>
      <c r="AH193" s="63"/>
      <c r="AI193" s="63"/>
      <c r="AJ193" s="63"/>
    </row>
    <row r="194">
      <c r="A194" s="135">
        <v>195.0</v>
      </c>
      <c r="B194" s="67">
        <v>24.0</v>
      </c>
      <c r="C194" s="31" t="s">
        <v>357</v>
      </c>
      <c r="D194" s="68" t="s">
        <v>1331</v>
      </c>
      <c r="E194" s="71" t="s">
        <v>2676</v>
      </c>
      <c r="F194" s="69" t="s">
        <v>1308</v>
      </c>
      <c r="G194" s="69" t="s">
        <v>2674</v>
      </c>
      <c r="H194" s="145">
        <v>3.0</v>
      </c>
      <c r="I194" s="145">
        <v>2.0</v>
      </c>
      <c r="J194" s="69">
        <v>5.0</v>
      </c>
      <c r="K194" s="69" t="str">
        <f>iferror(vlookup(E194,MasterClass!$C$2:$G988,5,false),"")</f>
        <v/>
      </c>
      <c r="L194" s="69">
        <v>5.0</v>
      </c>
      <c r="M194" s="69">
        <f t="shared" si="34"/>
        <v>8</v>
      </c>
      <c r="N194" s="69">
        <f t="shared" si="35"/>
        <v>7</v>
      </c>
      <c r="O194" s="146">
        <f t="shared" si="36"/>
        <v>0.875</v>
      </c>
      <c r="P194" s="146"/>
      <c r="Q194" s="70"/>
      <c r="R194" s="63"/>
      <c r="S194" s="63"/>
      <c r="T194" s="63"/>
      <c r="U194" s="63"/>
      <c r="V194" s="63"/>
      <c r="W194" s="63"/>
      <c r="X194" s="63"/>
      <c r="Y194" s="63"/>
      <c r="Z194" s="63"/>
      <c r="AA194" s="63"/>
      <c r="AB194" s="63"/>
      <c r="AC194" s="63"/>
      <c r="AD194" s="63"/>
      <c r="AE194" s="63"/>
      <c r="AF194" s="63"/>
      <c r="AG194" s="63"/>
      <c r="AH194" s="63"/>
      <c r="AI194" s="63"/>
      <c r="AJ194" s="63"/>
    </row>
    <row r="195">
      <c r="A195" s="135">
        <v>196.0</v>
      </c>
      <c r="B195" s="67">
        <v>25.0</v>
      </c>
      <c r="C195" s="31" t="s">
        <v>359</v>
      </c>
      <c r="D195" s="68" t="s">
        <v>1332</v>
      </c>
      <c r="E195" s="71" t="s">
        <v>2677</v>
      </c>
      <c r="F195" s="69" t="s">
        <v>1308</v>
      </c>
      <c r="G195" s="69" t="s">
        <v>2674</v>
      </c>
      <c r="H195" s="145">
        <v>3.0</v>
      </c>
      <c r="I195" s="145">
        <v>1.0</v>
      </c>
      <c r="J195" s="69">
        <v>5.0</v>
      </c>
      <c r="K195" s="69" t="str">
        <f>iferror(vlookup(E195,MasterClass!$C$2:$G988,5,false),"")</f>
        <v/>
      </c>
      <c r="L195" s="69">
        <v>4.0</v>
      </c>
      <c r="M195" s="69">
        <f t="shared" si="34"/>
        <v>8</v>
      </c>
      <c r="N195" s="69">
        <f t="shared" si="35"/>
        <v>5</v>
      </c>
      <c r="O195" s="146">
        <f t="shared" si="36"/>
        <v>0.625</v>
      </c>
      <c r="P195" s="146"/>
      <c r="Q195" s="70"/>
      <c r="R195" s="63"/>
      <c r="S195" s="63"/>
      <c r="T195" s="63"/>
      <c r="U195" s="63"/>
      <c r="V195" s="63"/>
      <c r="W195" s="63"/>
      <c r="X195" s="63"/>
      <c r="Y195" s="63"/>
      <c r="Z195" s="63"/>
      <c r="AA195" s="63"/>
      <c r="AB195" s="63"/>
      <c r="AC195" s="63"/>
      <c r="AD195" s="63"/>
      <c r="AE195" s="63"/>
      <c r="AF195" s="63"/>
      <c r="AG195" s="63"/>
      <c r="AH195" s="63"/>
      <c r="AI195" s="63"/>
      <c r="AJ195" s="63"/>
    </row>
    <row r="196">
      <c r="A196" s="135">
        <v>197.0</v>
      </c>
      <c r="B196" s="67">
        <v>26.0</v>
      </c>
      <c r="C196" s="31" t="s">
        <v>361</v>
      </c>
      <c r="D196" s="68" t="s">
        <v>1333</v>
      </c>
      <c r="E196" s="71" t="s">
        <v>2678</v>
      </c>
      <c r="F196" s="69" t="s">
        <v>1308</v>
      </c>
      <c r="G196" s="69" t="s">
        <v>2651</v>
      </c>
      <c r="H196" s="145">
        <v>3.0</v>
      </c>
      <c r="I196" s="145">
        <v>2.0</v>
      </c>
      <c r="J196" s="69">
        <v>5.0</v>
      </c>
      <c r="K196" s="69" t="str">
        <f>iferror(vlookup(E196,MasterClass!$C$2:$G988,5,false),"")</f>
        <v/>
      </c>
      <c r="L196" s="69">
        <v>2.0</v>
      </c>
      <c r="M196" s="69">
        <f t="shared" si="34"/>
        <v>8</v>
      </c>
      <c r="N196" s="69">
        <f t="shared" si="35"/>
        <v>4</v>
      </c>
      <c r="O196" s="146">
        <f t="shared" si="36"/>
        <v>0.5</v>
      </c>
      <c r="P196" s="146"/>
      <c r="Q196" s="70"/>
      <c r="R196" s="63"/>
      <c r="S196" s="63"/>
      <c r="T196" s="63"/>
      <c r="U196" s="63"/>
      <c r="V196" s="63"/>
      <c r="W196" s="63"/>
      <c r="X196" s="63"/>
      <c r="Y196" s="63"/>
      <c r="Z196" s="63"/>
      <c r="AA196" s="63"/>
      <c r="AB196" s="63"/>
      <c r="AC196" s="63"/>
      <c r="AD196" s="63"/>
      <c r="AE196" s="63"/>
      <c r="AF196" s="63"/>
      <c r="AG196" s="63"/>
      <c r="AH196" s="63"/>
      <c r="AI196" s="63"/>
      <c r="AJ196" s="63"/>
    </row>
    <row r="197">
      <c r="A197" s="135">
        <v>198.0</v>
      </c>
      <c r="B197" s="67">
        <v>27.0</v>
      </c>
      <c r="C197" s="31" t="s">
        <v>363</v>
      </c>
      <c r="D197" s="68" t="s">
        <v>1334</v>
      </c>
      <c r="E197" s="71" t="s">
        <v>2679</v>
      </c>
      <c r="F197" s="69" t="s">
        <v>1308</v>
      </c>
      <c r="G197" s="69" t="s">
        <v>2651</v>
      </c>
      <c r="H197" s="145">
        <v>3.0</v>
      </c>
      <c r="I197" s="145">
        <v>2.0</v>
      </c>
      <c r="J197" s="69">
        <v>5.0</v>
      </c>
      <c r="K197" s="69" t="str">
        <f>iferror(vlookup(E197,MasterClass!$C$2:$G988,5,false),"")</f>
        <v/>
      </c>
      <c r="L197" s="69">
        <v>1.0</v>
      </c>
      <c r="M197" s="69">
        <f t="shared" si="34"/>
        <v>8</v>
      </c>
      <c r="N197" s="69">
        <f t="shared" si="35"/>
        <v>3</v>
      </c>
      <c r="O197" s="146">
        <f t="shared" si="36"/>
        <v>0.375</v>
      </c>
      <c r="P197" s="146"/>
      <c r="Q197" s="70"/>
      <c r="R197" s="63"/>
      <c r="S197" s="63"/>
      <c r="T197" s="63"/>
      <c r="U197" s="63"/>
      <c r="V197" s="63"/>
      <c r="W197" s="63"/>
      <c r="X197" s="63"/>
      <c r="Y197" s="63"/>
      <c r="Z197" s="63"/>
      <c r="AA197" s="63"/>
      <c r="AB197" s="63"/>
      <c r="AC197" s="63"/>
      <c r="AD197" s="63"/>
      <c r="AE197" s="63"/>
      <c r="AF197" s="63"/>
      <c r="AG197" s="63"/>
      <c r="AH197" s="63"/>
      <c r="AI197" s="63"/>
      <c r="AJ197" s="63"/>
    </row>
    <row r="198">
      <c r="A198" s="135">
        <v>199.0</v>
      </c>
      <c r="B198" s="67">
        <v>28.0</v>
      </c>
      <c r="C198" s="31" t="s">
        <v>365</v>
      </c>
      <c r="D198" s="68" t="s">
        <v>1335</v>
      </c>
      <c r="E198" s="71" t="s">
        <v>2680</v>
      </c>
      <c r="F198" s="69" t="s">
        <v>1308</v>
      </c>
      <c r="G198" s="69" t="s">
        <v>2651</v>
      </c>
      <c r="H198" s="145">
        <v>3.0</v>
      </c>
      <c r="I198" s="145">
        <v>2.0</v>
      </c>
      <c r="J198" s="69">
        <v>5.0</v>
      </c>
      <c r="K198" s="69" t="str">
        <f>iferror(vlookup(E198,MasterClass!$C$2:$G988,5,false),"")</f>
        <v/>
      </c>
      <c r="L198" s="69">
        <v>1.0</v>
      </c>
      <c r="M198" s="69">
        <f t="shared" si="34"/>
        <v>8</v>
      </c>
      <c r="N198" s="69">
        <f t="shared" si="35"/>
        <v>3</v>
      </c>
      <c r="O198" s="146">
        <f t="shared" si="36"/>
        <v>0.375</v>
      </c>
      <c r="P198" s="146"/>
      <c r="Q198" s="70"/>
      <c r="R198" s="63"/>
      <c r="S198" s="63"/>
      <c r="T198" s="63"/>
      <c r="U198" s="63"/>
      <c r="V198" s="63"/>
      <c r="W198" s="63"/>
      <c r="X198" s="63"/>
      <c r="Y198" s="63"/>
      <c r="Z198" s="63"/>
      <c r="AA198" s="63"/>
      <c r="AB198" s="63"/>
      <c r="AC198" s="63"/>
      <c r="AD198" s="63"/>
      <c r="AE198" s="63"/>
      <c r="AF198" s="63"/>
      <c r="AG198" s="63"/>
      <c r="AH198" s="63"/>
      <c r="AI198" s="63"/>
      <c r="AJ198" s="63"/>
    </row>
    <row r="199">
      <c r="A199" s="135">
        <v>200.0</v>
      </c>
      <c r="B199" s="67">
        <v>29.0</v>
      </c>
      <c r="C199" s="31" t="s">
        <v>367</v>
      </c>
      <c r="D199" s="68" t="s">
        <v>1336</v>
      </c>
      <c r="E199" s="71" t="s">
        <v>2681</v>
      </c>
      <c r="F199" s="69" t="s">
        <v>1308</v>
      </c>
      <c r="G199" s="69" t="s">
        <v>2651</v>
      </c>
      <c r="H199" s="145">
        <v>3.0</v>
      </c>
      <c r="I199" s="145">
        <v>2.0</v>
      </c>
      <c r="J199" s="69">
        <v>5.0</v>
      </c>
      <c r="K199" s="69" t="str">
        <f>iferror(vlookup(E199,MasterClass!$C$2:$G988,5,false),"")</f>
        <v/>
      </c>
      <c r="L199" s="69">
        <v>1.0</v>
      </c>
      <c r="M199" s="69">
        <f t="shared" si="34"/>
        <v>8</v>
      </c>
      <c r="N199" s="69">
        <f t="shared" si="35"/>
        <v>3</v>
      </c>
      <c r="O199" s="146">
        <f t="shared" si="36"/>
        <v>0.375</v>
      </c>
      <c r="P199" s="146"/>
      <c r="Q199" s="70"/>
      <c r="R199" s="63"/>
      <c r="S199" s="63"/>
      <c r="T199" s="63"/>
      <c r="U199" s="63"/>
      <c r="V199" s="63"/>
      <c r="W199" s="63"/>
      <c r="X199" s="63"/>
      <c r="Y199" s="63"/>
      <c r="Z199" s="63"/>
      <c r="AA199" s="63"/>
      <c r="AB199" s="63"/>
      <c r="AC199" s="63"/>
      <c r="AD199" s="63"/>
      <c r="AE199" s="63"/>
      <c r="AF199" s="63"/>
      <c r="AG199" s="63"/>
      <c r="AH199" s="63"/>
      <c r="AI199" s="63"/>
      <c r="AJ199" s="63"/>
    </row>
    <row r="200">
      <c r="A200" s="135">
        <v>201.0</v>
      </c>
      <c r="B200" s="67">
        <v>30.0</v>
      </c>
      <c r="C200" s="31" t="s">
        <v>369</v>
      </c>
      <c r="D200" s="68" t="s">
        <v>1337</v>
      </c>
      <c r="E200" s="71" t="s">
        <v>2682</v>
      </c>
      <c r="F200" s="69" t="s">
        <v>1308</v>
      </c>
      <c r="G200" s="69" t="s">
        <v>2583</v>
      </c>
      <c r="H200" s="145">
        <v>4.0</v>
      </c>
      <c r="I200" s="145">
        <v>3.0</v>
      </c>
      <c r="J200" s="69">
        <v>5.0</v>
      </c>
      <c r="K200" s="69" t="str">
        <f>iferror(vlookup(E200,MasterClass!$C$2:$G988,5,false),"")</f>
        <v/>
      </c>
      <c r="L200" s="69">
        <v>2.0</v>
      </c>
      <c r="M200" s="69">
        <f t="shared" si="34"/>
        <v>9</v>
      </c>
      <c r="N200" s="69">
        <f t="shared" si="35"/>
        <v>5</v>
      </c>
      <c r="O200" s="146">
        <f t="shared" si="36"/>
        <v>0.5555555556</v>
      </c>
      <c r="P200" s="69" t="s">
        <v>2508</v>
      </c>
      <c r="Q200" s="69"/>
      <c r="R200" s="63"/>
      <c r="S200" s="63"/>
      <c r="T200" s="63"/>
      <c r="U200" s="63"/>
      <c r="V200" s="63"/>
      <c r="W200" s="63"/>
      <c r="X200" s="63"/>
      <c r="Y200" s="63"/>
      <c r="Z200" s="63"/>
      <c r="AA200" s="63"/>
      <c r="AB200" s="63"/>
      <c r="AC200" s="63"/>
      <c r="AD200" s="63"/>
      <c r="AE200" s="63"/>
      <c r="AF200" s="63"/>
      <c r="AG200" s="63"/>
      <c r="AH200" s="63"/>
      <c r="AI200" s="63"/>
      <c r="AJ200" s="63"/>
    </row>
    <row r="201">
      <c r="A201" s="135">
        <v>202.0</v>
      </c>
      <c r="B201" s="67">
        <v>31.0</v>
      </c>
      <c r="C201" s="31" t="s">
        <v>371</v>
      </c>
      <c r="D201" s="68" t="s">
        <v>1338</v>
      </c>
      <c r="E201" s="71" t="s">
        <v>2683</v>
      </c>
      <c r="F201" s="69" t="s">
        <v>1308</v>
      </c>
      <c r="G201" s="69" t="s">
        <v>2674</v>
      </c>
      <c r="H201" s="145">
        <v>3.0</v>
      </c>
      <c r="I201" s="145">
        <v>2.0</v>
      </c>
      <c r="J201" s="69">
        <v>5.0</v>
      </c>
      <c r="K201" s="69" t="str">
        <f>iferror(vlookup(E201,MasterClass!$C$2:$G988,5,false),"")</f>
        <v/>
      </c>
      <c r="L201" s="69">
        <v>5.0</v>
      </c>
      <c r="M201" s="69">
        <f t="shared" si="34"/>
        <v>8</v>
      </c>
      <c r="N201" s="69">
        <f t="shared" si="35"/>
        <v>7</v>
      </c>
      <c r="O201" s="146">
        <f t="shared" si="36"/>
        <v>0.875</v>
      </c>
      <c r="P201" s="146"/>
      <c r="Q201" s="70"/>
      <c r="R201" s="63"/>
      <c r="S201" s="63"/>
      <c r="T201" s="63"/>
      <c r="U201" s="63"/>
      <c r="V201" s="63"/>
      <c r="W201" s="63"/>
      <c r="X201" s="63"/>
      <c r="Y201" s="63"/>
      <c r="Z201" s="63"/>
      <c r="AA201" s="63"/>
      <c r="AB201" s="63"/>
      <c r="AC201" s="63"/>
      <c r="AD201" s="63"/>
      <c r="AE201" s="63"/>
      <c r="AF201" s="63"/>
      <c r="AG201" s="63"/>
      <c r="AH201" s="63"/>
      <c r="AI201" s="63"/>
      <c r="AJ201" s="63"/>
    </row>
    <row r="202">
      <c r="A202" s="135">
        <v>203.0</v>
      </c>
      <c r="B202" s="67">
        <v>32.0</v>
      </c>
      <c r="C202" s="31" t="s">
        <v>373</v>
      </c>
      <c r="D202" s="68" t="s">
        <v>1339</v>
      </c>
      <c r="E202" s="71" t="s">
        <v>2684</v>
      </c>
      <c r="F202" s="69" t="s">
        <v>1308</v>
      </c>
      <c r="G202" s="69" t="s">
        <v>1187</v>
      </c>
      <c r="H202" s="145" t="s">
        <v>1187</v>
      </c>
      <c r="I202" s="145" t="s">
        <v>1187</v>
      </c>
      <c r="J202" s="69" t="s">
        <v>1187</v>
      </c>
      <c r="K202" s="69" t="s">
        <v>1187</v>
      </c>
      <c r="L202" s="69" t="s">
        <v>1187</v>
      </c>
      <c r="M202" s="69" t="s">
        <v>1187</v>
      </c>
      <c r="N202" s="69" t="s">
        <v>1187</v>
      </c>
      <c r="O202" s="69" t="s">
        <v>1187</v>
      </c>
      <c r="P202" s="69" t="s">
        <v>2522</v>
      </c>
      <c r="Q202" s="70"/>
      <c r="R202" s="63"/>
      <c r="S202" s="63"/>
      <c r="T202" s="63"/>
      <c r="U202" s="63"/>
      <c r="V202" s="63"/>
      <c r="W202" s="63"/>
      <c r="X202" s="63"/>
      <c r="Y202" s="63"/>
      <c r="Z202" s="63"/>
      <c r="AA202" s="63"/>
      <c r="AB202" s="63"/>
      <c r="AC202" s="63"/>
      <c r="AD202" s="63"/>
      <c r="AE202" s="63"/>
      <c r="AF202" s="63"/>
      <c r="AG202" s="63"/>
      <c r="AH202" s="63"/>
      <c r="AI202" s="63"/>
      <c r="AJ202" s="63"/>
    </row>
    <row r="203">
      <c r="A203" s="135">
        <v>204.0</v>
      </c>
      <c r="B203" s="67">
        <v>33.0</v>
      </c>
      <c r="C203" s="31" t="s">
        <v>375</v>
      </c>
      <c r="D203" s="68" t="s">
        <v>1340</v>
      </c>
      <c r="E203" s="71" t="s">
        <v>2685</v>
      </c>
      <c r="F203" s="69" t="s">
        <v>1308</v>
      </c>
      <c r="G203" s="69" t="s">
        <v>2651</v>
      </c>
      <c r="H203" s="145">
        <v>3.0</v>
      </c>
      <c r="I203" s="145">
        <v>2.0</v>
      </c>
      <c r="J203" s="69">
        <v>5.0</v>
      </c>
      <c r="K203" s="69" t="str">
        <f>iferror(vlookup(E203,MasterClass!$C$2:$G988,5,false),"")</f>
        <v/>
      </c>
      <c r="L203" s="69">
        <v>1.0</v>
      </c>
      <c r="M203" s="69">
        <f t="shared" ref="M203:M216" si="37">J203+H203</f>
        <v>8</v>
      </c>
      <c r="N203" s="69">
        <f t="shared" ref="N203:N216" si="38">I203+L203+K203</f>
        <v>3</v>
      </c>
      <c r="O203" s="146">
        <f t="shared" ref="O203:O216" si="39">N203/M203</f>
        <v>0.375</v>
      </c>
      <c r="P203" s="146"/>
      <c r="Q203" s="70"/>
      <c r="R203" s="63"/>
      <c r="S203" s="63"/>
      <c r="T203" s="63"/>
      <c r="U203" s="63"/>
      <c r="V203" s="63"/>
      <c r="W203" s="63"/>
      <c r="X203" s="63"/>
      <c r="Y203" s="63"/>
      <c r="Z203" s="63"/>
      <c r="AA203" s="63"/>
      <c r="AB203" s="63"/>
      <c r="AC203" s="63"/>
      <c r="AD203" s="63"/>
      <c r="AE203" s="63"/>
      <c r="AF203" s="63"/>
      <c r="AG203" s="63"/>
      <c r="AH203" s="63"/>
      <c r="AI203" s="63"/>
      <c r="AJ203" s="63"/>
    </row>
    <row r="204">
      <c r="A204" s="135">
        <v>205.0</v>
      </c>
      <c r="B204" s="67">
        <v>34.0</v>
      </c>
      <c r="C204" s="31" t="s">
        <v>377</v>
      </c>
      <c r="D204" s="68" t="s">
        <v>1341</v>
      </c>
      <c r="E204" s="71" t="s">
        <v>2686</v>
      </c>
      <c r="F204" s="69" t="s">
        <v>1308</v>
      </c>
      <c r="G204" s="69" t="s">
        <v>2651</v>
      </c>
      <c r="H204" s="145">
        <v>3.0</v>
      </c>
      <c r="I204" s="145">
        <v>2.0</v>
      </c>
      <c r="J204" s="69">
        <v>5.0</v>
      </c>
      <c r="K204" s="69" t="str">
        <f>iferror(vlookup(E204,MasterClass!$C$2:$G988,5,false),"")</f>
        <v/>
      </c>
      <c r="L204" s="69">
        <v>1.0</v>
      </c>
      <c r="M204" s="69">
        <f t="shared" si="37"/>
        <v>8</v>
      </c>
      <c r="N204" s="69">
        <f t="shared" si="38"/>
        <v>3</v>
      </c>
      <c r="O204" s="146">
        <f t="shared" si="39"/>
        <v>0.375</v>
      </c>
      <c r="P204" s="146"/>
      <c r="Q204" s="70"/>
      <c r="R204" s="63"/>
      <c r="S204" s="63"/>
      <c r="T204" s="63"/>
      <c r="U204" s="63"/>
      <c r="V204" s="63"/>
      <c r="W204" s="63"/>
      <c r="X204" s="63"/>
      <c r="Y204" s="63"/>
      <c r="Z204" s="63"/>
      <c r="AA204" s="63"/>
      <c r="AB204" s="63"/>
      <c r="AC204" s="63"/>
      <c r="AD204" s="63"/>
      <c r="AE204" s="63"/>
      <c r="AF204" s="63"/>
      <c r="AG204" s="63"/>
      <c r="AH204" s="63"/>
      <c r="AI204" s="63"/>
      <c r="AJ204" s="63"/>
    </row>
    <row r="205">
      <c r="A205" s="135">
        <v>206.0</v>
      </c>
      <c r="B205" s="67">
        <v>35.0</v>
      </c>
      <c r="C205" s="31" t="s">
        <v>379</v>
      </c>
      <c r="D205" s="68" t="s">
        <v>1342</v>
      </c>
      <c r="E205" s="71" t="s">
        <v>2687</v>
      </c>
      <c r="F205" s="69" t="s">
        <v>1308</v>
      </c>
      <c r="G205" s="69" t="s">
        <v>2651</v>
      </c>
      <c r="H205" s="145">
        <v>3.0</v>
      </c>
      <c r="I205" s="145">
        <v>2.0</v>
      </c>
      <c r="J205" s="69">
        <v>5.0</v>
      </c>
      <c r="K205" s="69" t="str">
        <f>iferror(vlookup(E205,MasterClass!$C$2:$G988,5,false),"")</f>
        <v/>
      </c>
      <c r="L205" s="69">
        <v>0.0</v>
      </c>
      <c r="M205" s="69">
        <f t="shared" si="37"/>
        <v>8</v>
      </c>
      <c r="N205" s="69">
        <f t="shared" si="38"/>
        <v>2</v>
      </c>
      <c r="O205" s="146">
        <f t="shared" si="39"/>
        <v>0.25</v>
      </c>
      <c r="P205" s="146"/>
      <c r="Q205" s="70"/>
      <c r="R205" s="63"/>
      <c r="S205" s="63"/>
      <c r="T205" s="63"/>
      <c r="U205" s="63"/>
      <c r="V205" s="63"/>
      <c r="W205" s="63"/>
      <c r="X205" s="63"/>
      <c r="Y205" s="63"/>
      <c r="Z205" s="63"/>
      <c r="AA205" s="63"/>
      <c r="AB205" s="63"/>
      <c r="AC205" s="63"/>
      <c r="AD205" s="63"/>
      <c r="AE205" s="63"/>
      <c r="AF205" s="63"/>
      <c r="AG205" s="63"/>
      <c r="AH205" s="63"/>
      <c r="AI205" s="63"/>
      <c r="AJ205" s="63"/>
    </row>
    <row r="206">
      <c r="A206" s="135">
        <v>207.0</v>
      </c>
      <c r="B206" s="67">
        <v>36.0</v>
      </c>
      <c r="C206" s="31" t="s">
        <v>381</v>
      </c>
      <c r="D206" s="68" t="s">
        <v>1343</v>
      </c>
      <c r="E206" s="71" t="s">
        <v>2688</v>
      </c>
      <c r="F206" s="69" t="s">
        <v>1308</v>
      </c>
      <c r="G206" s="69" t="s">
        <v>2651</v>
      </c>
      <c r="H206" s="145">
        <v>3.0</v>
      </c>
      <c r="I206" s="145">
        <v>2.0</v>
      </c>
      <c r="J206" s="69">
        <v>5.0</v>
      </c>
      <c r="K206" s="69" t="str">
        <f>iferror(vlookup(E206,MasterClass!$C$2:$G988,5,false),"")</f>
        <v/>
      </c>
      <c r="L206" s="69">
        <v>1.0</v>
      </c>
      <c r="M206" s="69">
        <f t="shared" si="37"/>
        <v>8</v>
      </c>
      <c r="N206" s="69">
        <f t="shared" si="38"/>
        <v>3</v>
      </c>
      <c r="O206" s="146">
        <f t="shared" si="39"/>
        <v>0.375</v>
      </c>
      <c r="P206" s="146"/>
      <c r="Q206" s="70"/>
      <c r="R206" s="63"/>
      <c r="S206" s="63"/>
      <c r="T206" s="63"/>
      <c r="U206" s="63"/>
      <c r="V206" s="63"/>
      <c r="W206" s="63"/>
      <c r="X206" s="63"/>
      <c r="Y206" s="63"/>
      <c r="Z206" s="63"/>
      <c r="AA206" s="63"/>
      <c r="AB206" s="63"/>
      <c r="AC206" s="63"/>
      <c r="AD206" s="63"/>
      <c r="AE206" s="63"/>
      <c r="AF206" s="63"/>
      <c r="AG206" s="63"/>
      <c r="AH206" s="63"/>
      <c r="AI206" s="63"/>
      <c r="AJ206" s="63"/>
    </row>
    <row r="207">
      <c r="A207" s="135">
        <v>208.0</v>
      </c>
      <c r="B207" s="67">
        <v>37.0</v>
      </c>
      <c r="C207" s="31" t="s">
        <v>383</v>
      </c>
      <c r="D207" s="68" t="s">
        <v>1344</v>
      </c>
      <c r="E207" s="71" t="s">
        <v>2689</v>
      </c>
      <c r="F207" s="69" t="s">
        <v>1308</v>
      </c>
      <c r="G207" s="69" t="s">
        <v>2651</v>
      </c>
      <c r="H207" s="145">
        <v>3.0</v>
      </c>
      <c r="I207" s="145">
        <v>2.0</v>
      </c>
      <c r="J207" s="69">
        <v>5.0</v>
      </c>
      <c r="K207" s="69" t="str">
        <f>iferror(vlookup(E207,MasterClass!$C$2:$G988,5,false),"")</f>
        <v/>
      </c>
      <c r="L207" s="69">
        <v>2.0</v>
      </c>
      <c r="M207" s="69">
        <f t="shared" si="37"/>
        <v>8</v>
      </c>
      <c r="N207" s="69">
        <f t="shared" si="38"/>
        <v>4</v>
      </c>
      <c r="O207" s="146">
        <f t="shared" si="39"/>
        <v>0.5</v>
      </c>
      <c r="P207" s="146"/>
      <c r="Q207" s="70"/>
      <c r="R207" s="63"/>
      <c r="S207" s="63"/>
      <c r="T207" s="63"/>
      <c r="U207" s="63"/>
      <c r="V207" s="63"/>
      <c r="W207" s="63"/>
      <c r="X207" s="63"/>
      <c r="Y207" s="63"/>
      <c r="Z207" s="63"/>
      <c r="AA207" s="63"/>
      <c r="AB207" s="63"/>
      <c r="AC207" s="63"/>
      <c r="AD207" s="63"/>
      <c r="AE207" s="63"/>
      <c r="AF207" s="63"/>
      <c r="AG207" s="63"/>
      <c r="AH207" s="63"/>
      <c r="AI207" s="63"/>
      <c r="AJ207" s="63"/>
    </row>
    <row r="208">
      <c r="A208" s="135">
        <v>209.0</v>
      </c>
      <c r="B208" s="67">
        <v>38.0</v>
      </c>
      <c r="C208" s="31" t="s">
        <v>385</v>
      </c>
      <c r="D208" s="68" t="s">
        <v>1345</v>
      </c>
      <c r="E208" s="71" t="s">
        <v>2690</v>
      </c>
      <c r="F208" s="69" t="s">
        <v>1308</v>
      </c>
      <c r="G208" s="69" t="s">
        <v>2674</v>
      </c>
      <c r="H208" s="145">
        <v>3.0</v>
      </c>
      <c r="I208" s="145">
        <v>1.0</v>
      </c>
      <c r="J208" s="69">
        <v>5.0</v>
      </c>
      <c r="K208" s="69" t="str">
        <f>iferror(vlookup(E208,MasterClass!$C$2:$G988,5,false),"")</f>
        <v/>
      </c>
      <c r="L208" s="69">
        <v>4.0</v>
      </c>
      <c r="M208" s="69">
        <f t="shared" si="37"/>
        <v>8</v>
      </c>
      <c r="N208" s="69">
        <f t="shared" si="38"/>
        <v>5</v>
      </c>
      <c r="O208" s="146">
        <f t="shared" si="39"/>
        <v>0.625</v>
      </c>
      <c r="P208" s="146"/>
      <c r="Q208" s="70"/>
      <c r="R208" s="63"/>
      <c r="S208" s="63"/>
      <c r="T208" s="63"/>
      <c r="U208" s="63"/>
      <c r="V208" s="63"/>
      <c r="W208" s="63"/>
      <c r="X208" s="63"/>
      <c r="Y208" s="63"/>
      <c r="Z208" s="63"/>
      <c r="AA208" s="63"/>
      <c r="AB208" s="63"/>
      <c r="AC208" s="63"/>
      <c r="AD208" s="63"/>
      <c r="AE208" s="63"/>
      <c r="AF208" s="63"/>
      <c r="AG208" s="63"/>
      <c r="AH208" s="63"/>
      <c r="AI208" s="63"/>
      <c r="AJ208" s="63"/>
    </row>
    <row r="209">
      <c r="A209" s="135">
        <v>210.0</v>
      </c>
      <c r="B209" s="67">
        <v>39.0</v>
      </c>
      <c r="C209" s="31" t="s">
        <v>387</v>
      </c>
      <c r="D209" s="68" t="s">
        <v>1346</v>
      </c>
      <c r="E209" s="71" t="s">
        <v>2691</v>
      </c>
      <c r="F209" s="69" t="s">
        <v>1308</v>
      </c>
      <c r="G209" s="69" t="s">
        <v>2651</v>
      </c>
      <c r="H209" s="145">
        <v>3.0</v>
      </c>
      <c r="I209" s="145">
        <v>2.0</v>
      </c>
      <c r="J209" s="69">
        <v>5.0</v>
      </c>
      <c r="K209" s="69" t="str">
        <f>iferror(vlookup(E209,MasterClass!$C$2:$G988,5,false),"")</f>
        <v/>
      </c>
      <c r="L209" s="69">
        <v>1.0</v>
      </c>
      <c r="M209" s="69">
        <f t="shared" si="37"/>
        <v>8</v>
      </c>
      <c r="N209" s="69">
        <f t="shared" si="38"/>
        <v>3</v>
      </c>
      <c r="O209" s="146">
        <f t="shared" si="39"/>
        <v>0.375</v>
      </c>
      <c r="P209" s="146"/>
      <c r="Q209" s="70"/>
      <c r="R209" s="63"/>
      <c r="S209" s="63"/>
      <c r="T209" s="63"/>
      <c r="U209" s="63"/>
      <c r="V209" s="63"/>
      <c r="W209" s="63"/>
      <c r="X209" s="63"/>
      <c r="Y209" s="63"/>
      <c r="Z209" s="63"/>
      <c r="AA209" s="63"/>
      <c r="AB209" s="63"/>
      <c r="AC209" s="63"/>
      <c r="AD209" s="63"/>
      <c r="AE209" s="63"/>
      <c r="AF209" s="63"/>
      <c r="AG209" s="63"/>
      <c r="AH209" s="63"/>
      <c r="AI209" s="63"/>
      <c r="AJ209" s="63"/>
    </row>
    <row r="210">
      <c r="A210" s="135">
        <v>211.0</v>
      </c>
      <c r="B210" s="67">
        <v>40.0</v>
      </c>
      <c r="C210" s="31" t="s">
        <v>389</v>
      </c>
      <c r="D210" s="68" t="s">
        <v>1347</v>
      </c>
      <c r="E210" s="71" t="s">
        <v>2692</v>
      </c>
      <c r="F210" s="69" t="s">
        <v>1308</v>
      </c>
      <c r="G210" s="69" t="s">
        <v>2674</v>
      </c>
      <c r="H210" s="145">
        <v>3.0</v>
      </c>
      <c r="I210" s="145">
        <v>0.0</v>
      </c>
      <c r="J210" s="69">
        <v>5.0</v>
      </c>
      <c r="K210" s="69" t="str">
        <f>iferror(vlookup(E210,MasterClass!$C$2:$G988,5,false),"")</f>
        <v/>
      </c>
      <c r="L210" s="69">
        <v>2.0</v>
      </c>
      <c r="M210" s="69">
        <f t="shared" si="37"/>
        <v>8</v>
      </c>
      <c r="N210" s="69">
        <f t="shared" si="38"/>
        <v>2</v>
      </c>
      <c r="O210" s="146">
        <f t="shared" si="39"/>
        <v>0.25</v>
      </c>
      <c r="P210" s="146"/>
      <c r="Q210" s="70"/>
      <c r="R210" s="63"/>
      <c r="S210" s="63"/>
      <c r="T210" s="63"/>
      <c r="U210" s="63"/>
      <c r="V210" s="63"/>
      <c r="W210" s="63"/>
      <c r="X210" s="63"/>
      <c r="Y210" s="63"/>
      <c r="Z210" s="63"/>
      <c r="AA210" s="63"/>
      <c r="AB210" s="63"/>
      <c r="AC210" s="63"/>
      <c r="AD210" s="63"/>
      <c r="AE210" s="63"/>
      <c r="AF210" s="63"/>
      <c r="AG210" s="63"/>
      <c r="AH210" s="63"/>
      <c r="AI210" s="63"/>
      <c r="AJ210" s="63"/>
    </row>
    <row r="211">
      <c r="A211" s="135">
        <v>212.0</v>
      </c>
      <c r="B211" s="67">
        <v>41.0</v>
      </c>
      <c r="C211" s="31" t="s">
        <v>391</v>
      </c>
      <c r="D211" s="68" t="s">
        <v>1348</v>
      </c>
      <c r="E211" s="71" t="s">
        <v>2693</v>
      </c>
      <c r="F211" s="69" t="s">
        <v>1308</v>
      </c>
      <c r="G211" s="69" t="s">
        <v>2507</v>
      </c>
      <c r="H211" s="145">
        <v>3.0</v>
      </c>
      <c r="I211" s="145">
        <v>2.0</v>
      </c>
      <c r="J211" s="69">
        <v>5.0</v>
      </c>
      <c r="K211" s="69" t="str">
        <f>iferror(vlookup(E211,MasterClass!$C$2:$G988,5,false),"")</f>
        <v/>
      </c>
      <c r="L211" s="69">
        <v>5.0</v>
      </c>
      <c r="M211" s="69">
        <f t="shared" si="37"/>
        <v>8</v>
      </c>
      <c r="N211" s="69">
        <f t="shared" si="38"/>
        <v>7</v>
      </c>
      <c r="O211" s="146">
        <f t="shared" si="39"/>
        <v>0.875</v>
      </c>
      <c r="P211" s="69" t="s">
        <v>2508</v>
      </c>
      <c r="Q211" s="69"/>
      <c r="R211" s="63"/>
      <c r="S211" s="63"/>
      <c r="T211" s="63"/>
      <c r="U211" s="63"/>
      <c r="V211" s="63"/>
      <c r="W211" s="63"/>
      <c r="X211" s="63"/>
      <c r="Y211" s="63"/>
      <c r="Z211" s="63"/>
      <c r="AA211" s="63"/>
      <c r="AB211" s="63"/>
      <c r="AC211" s="63"/>
      <c r="AD211" s="63"/>
      <c r="AE211" s="63"/>
      <c r="AF211" s="63"/>
      <c r="AG211" s="63"/>
      <c r="AH211" s="63"/>
      <c r="AI211" s="63"/>
      <c r="AJ211" s="63"/>
    </row>
    <row r="212">
      <c r="A212" s="135">
        <v>213.0</v>
      </c>
      <c r="B212" s="67">
        <v>42.0</v>
      </c>
      <c r="C212" s="31" t="s">
        <v>393</v>
      </c>
      <c r="D212" s="68" t="s">
        <v>1349</v>
      </c>
      <c r="E212" s="71" t="s">
        <v>2694</v>
      </c>
      <c r="F212" s="69" t="s">
        <v>1308</v>
      </c>
      <c r="G212" s="69" t="s">
        <v>2674</v>
      </c>
      <c r="H212" s="145">
        <v>3.0</v>
      </c>
      <c r="I212" s="145">
        <v>2.0</v>
      </c>
      <c r="J212" s="69">
        <v>5.0</v>
      </c>
      <c r="K212" s="69" t="str">
        <f>iferror(vlookup(E212,MasterClass!$C$2:$G988,5,false),"")</f>
        <v/>
      </c>
      <c r="L212" s="69">
        <v>4.0</v>
      </c>
      <c r="M212" s="69">
        <f t="shared" si="37"/>
        <v>8</v>
      </c>
      <c r="N212" s="69">
        <f t="shared" si="38"/>
        <v>6</v>
      </c>
      <c r="O212" s="146">
        <f t="shared" si="39"/>
        <v>0.75</v>
      </c>
      <c r="P212" s="146"/>
      <c r="Q212" s="70"/>
      <c r="R212" s="63"/>
      <c r="S212" s="63"/>
      <c r="T212" s="63"/>
      <c r="U212" s="63"/>
      <c r="V212" s="63"/>
      <c r="W212" s="63"/>
      <c r="X212" s="63"/>
      <c r="Y212" s="63"/>
      <c r="Z212" s="63"/>
      <c r="AA212" s="63"/>
      <c r="AB212" s="63"/>
      <c r="AC212" s="63"/>
      <c r="AD212" s="63"/>
      <c r="AE212" s="63"/>
      <c r="AF212" s="63"/>
      <c r="AG212" s="63"/>
      <c r="AH212" s="63"/>
      <c r="AI212" s="63"/>
      <c r="AJ212" s="63"/>
    </row>
    <row r="213">
      <c r="A213" s="135">
        <v>214.0</v>
      </c>
      <c r="B213" s="67">
        <v>43.0</v>
      </c>
      <c r="C213" s="31" t="s">
        <v>395</v>
      </c>
      <c r="D213" s="68" t="s">
        <v>1350</v>
      </c>
      <c r="E213" s="71" t="s">
        <v>2695</v>
      </c>
      <c r="F213" s="69" t="s">
        <v>1308</v>
      </c>
      <c r="G213" s="69" t="s">
        <v>2674</v>
      </c>
      <c r="H213" s="145">
        <v>3.0</v>
      </c>
      <c r="I213" s="145">
        <v>2.0</v>
      </c>
      <c r="J213" s="69">
        <v>5.0</v>
      </c>
      <c r="K213" s="69" t="str">
        <f>iferror(vlookup(E213,MasterClass!$C$2:$G988,5,false),"")</f>
        <v/>
      </c>
      <c r="L213" s="69">
        <v>5.0</v>
      </c>
      <c r="M213" s="69">
        <f t="shared" si="37"/>
        <v>8</v>
      </c>
      <c r="N213" s="69">
        <f t="shared" si="38"/>
        <v>7</v>
      </c>
      <c r="O213" s="146">
        <f t="shared" si="39"/>
        <v>0.875</v>
      </c>
      <c r="P213" s="146"/>
      <c r="Q213" s="70"/>
      <c r="R213" s="63"/>
      <c r="S213" s="63"/>
      <c r="T213" s="63"/>
      <c r="U213" s="63"/>
      <c r="V213" s="63"/>
      <c r="W213" s="63"/>
      <c r="X213" s="63"/>
      <c r="Y213" s="63"/>
      <c r="Z213" s="63"/>
      <c r="AA213" s="63"/>
      <c r="AB213" s="63"/>
      <c r="AC213" s="63"/>
      <c r="AD213" s="63"/>
      <c r="AE213" s="63"/>
      <c r="AF213" s="63"/>
      <c r="AG213" s="63"/>
      <c r="AH213" s="63"/>
      <c r="AI213" s="63"/>
      <c r="AJ213" s="63"/>
    </row>
    <row r="214">
      <c r="A214" s="135">
        <v>215.0</v>
      </c>
      <c r="B214" s="67">
        <v>44.0</v>
      </c>
      <c r="C214" s="31" t="s">
        <v>397</v>
      </c>
      <c r="D214" s="68" t="s">
        <v>1351</v>
      </c>
      <c r="E214" s="71" t="s">
        <v>2696</v>
      </c>
      <c r="F214" s="69" t="s">
        <v>1308</v>
      </c>
      <c r="G214" s="69" t="s">
        <v>2674</v>
      </c>
      <c r="H214" s="145">
        <v>3.0</v>
      </c>
      <c r="I214" s="145">
        <v>0.0</v>
      </c>
      <c r="J214" s="69">
        <v>5.0</v>
      </c>
      <c r="K214" s="69" t="str">
        <f>iferror(vlookup(E214,MasterClass!$C$2:$G988,5,false),"")</f>
        <v/>
      </c>
      <c r="L214" s="69">
        <v>1.0</v>
      </c>
      <c r="M214" s="69">
        <f t="shared" si="37"/>
        <v>8</v>
      </c>
      <c r="N214" s="69">
        <f t="shared" si="38"/>
        <v>1</v>
      </c>
      <c r="O214" s="146">
        <f t="shared" si="39"/>
        <v>0.125</v>
      </c>
      <c r="P214" s="146"/>
      <c r="Q214" s="70"/>
      <c r="R214" s="63"/>
      <c r="S214" s="63"/>
      <c r="T214" s="63"/>
      <c r="U214" s="63"/>
      <c r="V214" s="63"/>
      <c r="W214" s="63"/>
      <c r="X214" s="63"/>
      <c r="Y214" s="63"/>
      <c r="Z214" s="63"/>
      <c r="AA214" s="63"/>
      <c r="AB214" s="63"/>
      <c r="AC214" s="63"/>
      <c r="AD214" s="63"/>
      <c r="AE214" s="63"/>
      <c r="AF214" s="63"/>
      <c r="AG214" s="63"/>
      <c r="AH214" s="63"/>
      <c r="AI214" s="63"/>
      <c r="AJ214" s="63"/>
    </row>
    <row r="215">
      <c r="A215" s="135">
        <v>216.0</v>
      </c>
      <c r="B215" s="67">
        <v>45.0</v>
      </c>
      <c r="C215" s="31" t="s">
        <v>399</v>
      </c>
      <c r="D215" s="68" t="s">
        <v>1352</v>
      </c>
      <c r="E215" s="71" t="s">
        <v>2697</v>
      </c>
      <c r="F215" s="69" t="s">
        <v>1308</v>
      </c>
      <c r="G215" s="69" t="s">
        <v>2674</v>
      </c>
      <c r="H215" s="145">
        <v>3.0</v>
      </c>
      <c r="I215" s="145">
        <v>1.0</v>
      </c>
      <c r="J215" s="69">
        <v>5.0</v>
      </c>
      <c r="K215" s="69" t="str">
        <f>iferror(vlookup(E215,MasterClass!$C$2:$G988,5,false),"")</f>
        <v/>
      </c>
      <c r="L215" s="69">
        <v>5.0</v>
      </c>
      <c r="M215" s="69">
        <f t="shared" si="37"/>
        <v>8</v>
      </c>
      <c r="N215" s="69">
        <f t="shared" si="38"/>
        <v>6</v>
      </c>
      <c r="O215" s="146">
        <f t="shared" si="39"/>
        <v>0.75</v>
      </c>
      <c r="P215" s="146"/>
      <c r="Q215" s="70"/>
      <c r="R215" s="63"/>
      <c r="S215" s="63"/>
      <c r="T215" s="63"/>
      <c r="U215" s="63"/>
      <c r="V215" s="63"/>
      <c r="W215" s="63"/>
      <c r="X215" s="63"/>
      <c r="Y215" s="63"/>
      <c r="Z215" s="63"/>
      <c r="AA215" s="63"/>
      <c r="AB215" s="63"/>
      <c r="AC215" s="63"/>
      <c r="AD215" s="63"/>
      <c r="AE215" s="63"/>
      <c r="AF215" s="63"/>
      <c r="AG215" s="63"/>
      <c r="AH215" s="63"/>
      <c r="AI215" s="63"/>
      <c r="AJ215" s="63"/>
    </row>
    <row r="216">
      <c r="A216" s="135">
        <v>217.0</v>
      </c>
      <c r="B216" s="67">
        <v>46.0</v>
      </c>
      <c r="C216" s="31" t="s">
        <v>401</v>
      </c>
      <c r="D216" s="71" t="s">
        <v>1353</v>
      </c>
      <c r="E216" s="71" t="s">
        <v>2698</v>
      </c>
      <c r="F216" s="69" t="s">
        <v>1308</v>
      </c>
      <c r="G216" s="69" t="s">
        <v>2674</v>
      </c>
      <c r="H216" s="145">
        <v>3.0</v>
      </c>
      <c r="I216" s="145">
        <v>3.0</v>
      </c>
      <c r="J216" s="69">
        <v>5.0</v>
      </c>
      <c r="K216" s="69" t="str">
        <f>iferror(vlookup(E216,MasterClass!$C$2:$G988,5,false),"")</f>
        <v/>
      </c>
      <c r="L216" s="69">
        <v>4.0</v>
      </c>
      <c r="M216" s="69">
        <f t="shared" si="37"/>
        <v>8</v>
      </c>
      <c r="N216" s="69">
        <f t="shared" si="38"/>
        <v>7</v>
      </c>
      <c r="O216" s="146">
        <f t="shared" si="39"/>
        <v>0.875</v>
      </c>
      <c r="P216" s="146"/>
      <c r="Q216" s="70"/>
      <c r="R216" s="63"/>
      <c r="S216" s="63"/>
      <c r="T216" s="63"/>
      <c r="U216" s="63"/>
      <c r="V216" s="63"/>
      <c r="W216" s="63"/>
      <c r="X216" s="63"/>
      <c r="Y216" s="63"/>
      <c r="Z216" s="63"/>
      <c r="AA216" s="63"/>
      <c r="AB216" s="63"/>
      <c r="AC216" s="63"/>
      <c r="AD216" s="63"/>
      <c r="AE216" s="63"/>
      <c r="AF216" s="63"/>
      <c r="AG216" s="63"/>
      <c r="AH216" s="63"/>
      <c r="AI216" s="63"/>
      <c r="AJ216" s="63"/>
    </row>
    <row r="217">
      <c r="A217" s="135">
        <v>218.0</v>
      </c>
      <c r="B217" s="63"/>
      <c r="C217" s="63"/>
      <c r="D217" s="63"/>
      <c r="E217" s="149"/>
      <c r="F217" s="63"/>
      <c r="G217" s="63"/>
      <c r="H217" s="63"/>
      <c r="I217" s="63"/>
      <c r="J217" s="63"/>
      <c r="K217" s="150" t="str">
        <f>iferror(vlookup(E217,MasterClass!$C$2:$G988,5,false),"")</f>
        <v/>
      </c>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row>
    <row r="218">
      <c r="A218" s="135">
        <v>219.0</v>
      </c>
      <c r="B218" s="62" t="s">
        <v>3</v>
      </c>
      <c r="C218" s="63"/>
      <c r="D218" s="62" t="s">
        <v>4</v>
      </c>
      <c r="E218" s="149" t="s">
        <v>4</v>
      </c>
      <c r="F218" s="63"/>
      <c r="G218" s="63"/>
      <c r="H218" s="63"/>
      <c r="I218" s="63"/>
      <c r="J218" s="63"/>
      <c r="K218" s="150" t="str">
        <f>iferror(vlookup(E218,MasterClass!$C$2:$G988,5,false),"")</f>
        <v/>
      </c>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row>
    <row r="219">
      <c r="A219" s="135">
        <v>220.0</v>
      </c>
      <c r="B219" s="62" t="s">
        <v>5</v>
      </c>
      <c r="C219" s="63"/>
      <c r="D219" s="62" t="s">
        <v>404</v>
      </c>
      <c r="E219" s="149" t="s">
        <v>404</v>
      </c>
      <c r="F219" s="63"/>
      <c r="G219" s="63"/>
      <c r="H219" s="63"/>
      <c r="I219" s="63"/>
      <c r="J219" s="63"/>
      <c r="K219" s="150" t="str">
        <f>iferror(vlookup(E219,MasterClass!$C$2:$G988,5,false),"")</f>
        <v/>
      </c>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row>
    <row r="220">
      <c r="A220" s="135">
        <v>221.0</v>
      </c>
      <c r="B220" s="62" t="s">
        <v>7</v>
      </c>
      <c r="C220" s="63"/>
      <c r="D220" s="62" t="s">
        <v>8</v>
      </c>
      <c r="E220" s="149" t="s">
        <v>8</v>
      </c>
      <c r="F220" s="63"/>
      <c r="G220" s="63"/>
      <c r="H220" s="63"/>
      <c r="I220" s="63"/>
      <c r="J220" s="63"/>
      <c r="K220" s="150" t="str">
        <f>iferror(vlookup(E220,MasterClass!$C$2:$G988,5,false),"")</f>
        <v/>
      </c>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row>
    <row r="221">
      <c r="A221" s="135">
        <v>222.0</v>
      </c>
      <c r="B221" s="63"/>
      <c r="C221" s="63"/>
      <c r="D221" s="63"/>
      <c r="E221" s="149"/>
      <c r="F221" s="63"/>
      <c r="G221" s="63"/>
      <c r="H221" s="63"/>
      <c r="I221" s="63"/>
      <c r="J221" s="63"/>
      <c r="K221" s="150" t="str">
        <f>iferror(vlookup(E221,MasterClass!$C$2:$G988,5,false),"")</f>
        <v/>
      </c>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row>
    <row r="222">
      <c r="A222" s="169">
        <v>168.0</v>
      </c>
      <c r="B222" s="84"/>
      <c r="C222" s="84"/>
      <c r="D222" s="84"/>
      <c r="E222" s="170"/>
      <c r="F222" s="84"/>
      <c r="G222" s="84"/>
      <c r="H222" s="171"/>
      <c r="I222" s="84"/>
      <c r="J222" s="171"/>
      <c r="K222" s="171" t="str">
        <f>iferror(vlookup(E222,MasterClass!$C$2:$G988,5,false),"")</f>
        <v/>
      </c>
      <c r="L222" s="84"/>
      <c r="M222" s="84"/>
      <c r="N222" s="84"/>
      <c r="O222" s="84"/>
      <c r="P222" s="84"/>
      <c r="Q222" s="84"/>
      <c r="R222" s="172"/>
      <c r="S222" s="172"/>
      <c r="T222" s="172"/>
      <c r="U222" s="172"/>
      <c r="V222" s="172"/>
      <c r="W222" s="172"/>
      <c r="X222" s="172"/>
      <c r="Y222" s="172"/>
      <c r="Z222" s="172"/>
      <c r="AA222" s="172"/>
      <c r="AB222" s="172"/>
      <c r="AC222" s="172"/>
      <c r="AD222" s="172"/>
      <c r="AE222" s="172"/>
      <c r="AF222" s="172"/>
      <c r="AG222" s="172"/>
      <c r="AH222" s="172"/>
      <c r="AI222" s="172"/>
      <c r="AJ222" s="172"/>
    </row>
    <row r="223" ht="22.5" customHeight="1">
      <c r="A223" s="173">
        <v>116.0</v>
      </c>
      <c r="B223" s="80" t="s">
        <v>9</v>
      </c>
      <c r="C223" s="81" t="s">
        <v>10</v>
      </c>
      <c r="D223" s="80" t="s">
        <v>11</v>
      </c>
      <c r="E223" s="174"/>
      <c r="F223" s="85" t="s">
        <v>5</v>
      </c>
      <c r="G223" s="175"/>
      <c r="H223" s="153" t="s">
        <v>2492</v>
      </c>
      <c r="I223" s="175"/>
      <c r="J223" s="154" t="s">
        <v>2493</v>
      </c>
      <c r="K223" s="175"/>
      <c r="L223" s="175"/>
      <c r="M223" s="176" t="s">
        <v>2489</v>
      </c>
      <c r="N223" s="85" t="s">
        <v>2490</v>
      </c>
      <c r="O223" s="162" t="s">
        <v>18</v>
      </c>
      <c r="P223" s="82" t="s">
        <v>2491</v>
      </c>
      <c r="Q223" s="83" t="s">
        <v>19</v>
      </c>
      <c r="R223" s="177"/>
      <c r="S223" s="177"/>
      <c r="T223" s="177"/>
      <c r="U223" s="177"/>
      <c r="V223" s="177"/>
      <c r="W223" s="177"/>
      <c r="X223" s="177"/>
      <c r="Y223" s="177"/>
      <c r="Z223" s="177"/>
      <c r="AA223" s="177"/>
      <c r="AB223" s="177"/>
      <c r="AC223" s="177"/>
      <c r="AD223" s="177"/>
      <c r="AE223" s="177"/>
      <c r="AF223" s="177"/>
      <c r="AG223" s="177"/>
      <c r="AH223" s="177"/>
      <c r="AI223" s="177"/>
      <c r="AJ223" s="177"/>
    </row>
    <row r="224">
      <c r="A224" s="173">
        <v>117.0</v>
      </c>
      <c r="B224" s="20"/>
      <c r="C224" s="20"/>
      <c r="D224" s="20"/>
      <c r="E224" s="174"/>
      <c r="F224" s="20"/>
      <c r="G224" s="164" t="s">
        <v>2483</v>
      </c>
      <c r="H224" s="158" t="s">
        <v>2484</v>
      </c>
      <c r="I224" s="164" t="s">
        <v>2485</v>
      </c>
      <c r="J224" s="165" t="s">
        <v>2486</v>
      </c>
      <c r="K224" s="166" t="s">
        <v>2487</v>
      </c>
      <c r="L224" s="164" t="s">
        <v>2488</v>
      </c>
      <c r="M224" s="20"/>
      <c r="N224" s="20"/>
      <c r="O224" s="20"/>
      <c r="P224" s="20"/>
      <c r="Q224" s="20"/>
      <c r="R224" s="177"/>
      <c r="S224" s="177"/>
      <c r="T224" s="177"/>
      <c r="U224" s="177"/>
      <c r="V224" s="177"/>
      <c r="W224" s="177"/>
      <c r="X224" s="177"/>
      <c r="Y224" s="177"/>
      <c r="Z224" s="177"/>
      <c r="AA224" s="177"/>
      <c r="AB224" s="177"/>
      <c r="AC224" s="177"/>
      <c r="AD224" s="177"/>
      <c r="AE224" s="177"/>
      <c r="AF224" s="177"/>
      <c r="AG224" s="177"/>
      <c r="AH224" s="177"/>
      <c r="AI224" s="177"/>
      <c r="AJ224" s="177"/>
    </row>
    <row r="225">
      <c r="A225" s="135">
        <v>226.0</v>
      </c>
      <c r="B225" s="67">
        <v>1.0</v>
      </c>
      <c r="C225" s="31" t="s">
        <v>405</v>
      </c>
      <c r="D225" s="68" t="s">
        <v>1354</v>
      </c>
      <c r="E225" s="71" t="s">
        <v>2699</v>
      </c>
      <c r="F225" s="69" t="s">
        <v>1355</v>
      </c>
      <c r="G225" s="69" t="s">
        <v>2583</v>
      </c>
      <c r="H225" s="145">
        <v>4.0</v>
      </c>
      <c r="I225" s="145">
        <v>2.0</v>
      </c>
      <c r="J225" s="69">
        <v>5.0</v>
      </c>
      <c r="K225" s="69" t="str">
        <f>iferror(vlookup(E225,MasterClass!$C$2:$G988,5,false),"")</f>
        <v/>
      </c>
      <c r="L225" s="69">
        <v>3.0</v>
      </c>
      <c r="M225" s="69">
        <f t="shared" ref="M225:M269" si="40">J225+H225</f>
        <v>9</v>
      </c>
      <c r="N225" s="69">
        <f t="shared" ref="N225:N269" si="41">I225+L225+K225</f>
        <v>5</v>
      </c>
      <c r="O225" s="146">
        <f t="shared" ref="O225:O269" si="42">N225/M225</f>
        <v>0.5555555556</v>
      </c>
      <c r="P225" s="69" t="s">
        <v>2508</v>
      </c>
      <c r="Q225" s="69"/>
      <c r="R225" s="63"/>
      <c r="S225" s="63"/>
      <c r="T225" s="63"/>
      <c r="U225" s="63"/>
      <c r="V225" s="63"/>
      <c r="W225" s="63"/>
      <c r="X225" s="63"/>
      <c r="Y225" s="63"/>
      <c r="Z225" s="63"/>
      <c r="AA225" s="63"/>
      <c r="AB225" s="63"/>
      <c r="AC225" s="63"/>
      <c r="AD225" s="63"/>
      <c r="AE225" s="63"/>
      <c r="AF225" s="63"/>
      <c r="AG225" s="63"/>
      <c r="AH225" s="63"/>
      <c r="AI225" s="63"/>
      <c r="AJ225" s="63"/>
    </row>
    <row r="226">
      <c r="A226" s="135">
        <v>227.0</v>
      </c>
      <c r="B226" s="67">
        <v>2.0</v>
      </c>
      <c r="C226" s="31" t="s">
        <v>407</v>
      </c>
      <c r="D226" s="68" t="s">
        <v>1356</v>
      </c>
      <c r="E226" s="71" t="s">
        <v>2700</v>
      </c>
      <c r="F226" s="69" t="s">
        <v>1355</v>
      </c>
      <c r="G226" s="69" t="s">
        <v>2701</v>
      </c>
      <c r="H226" s="145">
        <v>3.0</v>
      </c>
      <c r="I226" s="145">
        <v>1.0</v>
      </c>
      <c r="J226" s="69">
        <v>5.0</v>
      </c>
      <c r="K226" s="69" t="str">
        <f>iferror(vlookup(E226,MasterClass!$C$2:$G988,5,false),"")</f>
        <v/>
      </c>
      <c r="L226" s="69">
        <v>0.0</v>
      </c>
      <c r="M226" s="69">
        <f t="shared" si="40"/>
        <v>8</v>
      </c>
      <c r="N226" s="69">
        <f t="shared" si="41"/>
        <v>1</v>
      </c>
      <c r="O226" s="146">
        <f t="shared" si="42"/>
        <v>0.125</v>
      </c>
      <c r="P226" s="146"/>
      <c r="Q226" s="70"/>
      <c r="R226" s="63"/>
      <c r="S226" s="63"/>
      <c r="T226" s="63"/>
      <c r="U226" s="63"/>
      <c r="V226" s="63"/>
      <c r="W226" s="63"/>
      <c r="X226" s="63"/>
      <c r="Y226" s="63"/>
      <c r="Z226" s="63"/>
      <c r="AA226" s="63"/>
      <c r="AB226" s="63"/>
      <c r="AC226" s="63"/>
      <c r="AD226" s="63"/>
      <c r="AE226" s="63"/>
      <c r="AF226" s="63"/>
      <c r="AG226" s="63"/>
      <c r="AH226" s="63"/>
      <c r="AI226" s="63"/>
      <c r="AJ226" s="63"/>
    </row>
    <row r="227">
      <c r="A227" s="135">
        <v>228.0</v>
      </c>
      <c r="B227" s="67">
        <v>3.0</v>
      </c>
      <c r="C227" s="31" t="s">
        <v>409</v>
      </c>
      <c r="D227" s="68" t="s">
        <v>1357</v>
      </c>
      <c r="E227" s="71" t="s">
        <v>2702</v>
      </c>
      <c r="F227" s="69" t="s">
        <v>1355</v>
      </c>
      <c r="G227" s="69" t="s">
        <v>2507</v>
      </c>
      <c r="H227" s="145">
        <v>3.0</v>
      </c>
      <c r="I227" s="145">
        <v>1.0</v>
      </c>
      <c r="J227" s="69">
        <v>5.0</v>
      </c>
      <c r="K227" s="69" t="str">
        <f>iferror(vlookup(E227,MasterClass!$C$2:$G988,5,false),"")</f>
        <v/>
      </c>
      <c r="L227" s="69">
        <v>1.0</v>
      </c>
      <c r="M227" s="69">
        <f t="shared" si="40"/>
        <v>8</v>
      </c>
      <c r="N227" s="69">
        <f t="shared" si="41"/>
        <v>2</v>
      </c>
      <c r="O227" s="146">
        <f t="shared" si="42"/>
        <v>0.25</v>
      </c>
      <c r="P227" s="69" t="s">
        <v>2508</v>
      </c>
      <c r="Q227" s="69"/>
      <c r="R227" s="63"/>
      <c r="S227" s="63"/>
      <c r="T227" s="63"/>
      <c r="U227" s="63"/>
      <c r="V227" s="63"/>
      <c r="W227" s="63"/>
      <c r="X227" s="63"/>
      <c r="Y227" s="63"/>
      <c r="Z227" s="63"/>
      <c r="AA227" s="63"/>
      <c r="AB227" s="63"/>
      <c r="AC227" s="63"/>
      <c r="AD227" s="63"/>
      <c r="AE227" s="63"/>
      <c r="AF227" s="63"/>
      <c r="AG227" s="63"/>
      <c r="AH227" s="63"/>
      <c r="AI227" s="63"/>
      <c r="AJ227" s="63"/>
    </row>
    <row r="228">
      <c r="A228" s="135">
        <v>229.0</v>
      </c>
      <c r="B228" s="67">
        <v>4.0</v>
      </c>
      <c r="C228" s="31" t="s">
        <v>411</v>
      </c>
      <c r="D228" s="68" t="s">
        <v>1358</v>
      </c>
      <c r="E228" s="71" t="s">
        <v>2703</v>
      </c>
      <c r="F228" s="69" t="s">
        <v>1355</v>
      </c>
      <c r="G228" s="69" t="s">
        <v>2704</v>
      </c>
      <c r="H228" s="145">
        <v>3.0</v>
      </c>
      <c r="I228" s="145">
        <v>2.0</v>
      </c>
      <c r="J228" s="69">
        <v>5.0</v>
      </c>
      <c r="K228" s="69" t="str">
        <f>iferror(vlookup(E228,MasterClass!$C$2:$G988,5,false),"")</f>
        <v/>
      </c>
      <c r="L228" s="69">
        <v>3.0</v>
      </c>
      <c r="M228" s="69">
        <f t="shared" si="40"/>
        <v>8</v>
      </c>
      <c r="N228" s="69">
        <f t="shared" si="41"/>
        <v>5</v>
      </c>
      <c r="O228" s="146">
        <f t="shared" si="42"/>
        <v>0.625</v>
      </c>
      <c r="P228" s="146"/>
      <c r="Q228" s="70"/>
      <c r="R228" s="63"/>
      <c r="S228" s="63"/>
      <c r="T228" s="63"/>
      <c r="U228" s="63"/>
      <c r="V228" s="63"/>
      <c r="W228" s="63"/>
      <c r="X228" s="63"/>
      <c r="Y228" s="63"/>
      <c r="Z228" s="63"/>
      <c r="AA228" s="63"/>
      <c r="AB228" s="63"/>
      <c r="AC228" s="63"/>
      <c r="AD228" s="63"/>
      <c r="AE228" s="63"/>
      <c r="AF228" s="63"/>
      <c r="AG228" s="63"/>
      <c r="AH228" s="63"/>
      <c r="AI228" s="63"/>
      <c r="AJ228" s="63"/>
    </row>
    <row r="229">
      <c r="A229" s="135">
        <v>230.0</v>
      </c>
      <c r="B229" s="67">
        <v>5.0</v>
      </c>
      <c r="C229" s="31" t="s">
        <v>413</v>
      </c>
      <c r="D229" s="68" t="s">
        <v>1359</v>
      </c>
      <c r="E229" s="71" t="s">
        <v>2705</v>
      </c>
      <c r="F229" s="69" t="s">
        <v>1355</v>
      </c>
      <c r="G229" s="69" t="s">
        <v>2701</v>
      </c>
      <c r="H229" s="145">
        <v>3.0</v>
      </c>
      <c r="I229" s="145">
        <v>1.0</v>
      </c>
      <c r="J229" s="69">
        <v>5.0</v>
      </c>
      <c r="K229" s="69" t="str">
        <f>iferror(vlookup(E229,MasterClass!$C$2:$G988,5,false),"")</f>
        <v/>
      </c>
      <c r="L229" s="69">
        <v>1.0</v>
      </c>
      <c r="M229" s="69">
        <f t="shared" si="40"/>
        <v>8</v>
      </c>
      <c r="N229" s="69">
        <f t="shared" si="41"/>
        <v>2</v>
      </c>
      <c r="O229" s="146">
        <f t="shared" si="42"/>
        <v>0.25</v>
      </c>
      <c r="P229" s="146"/>
      <c r="Q229" s="70"/>
      <c r="R229" s="63"/>
      <c r="S229" s="63"/>
      <c r="T229" s="63"/>
      <c r="U229" s="63"/>
      <c r="V229" s="63"/>
      <c r="W229" s="63"/>
      <c r="X229" s="63"/>
      <c r="Y229" s="63"/>
      <c r="Z229" s="63"/>
      <c r="AA229" s="63"/>
      <c r="AB229" s="63"/>
      <c r="AC229" s="63"/>
      <c r="AD229" s="63"/>
      <c r="AE229" s="63"/>
      <c r="AF229" s="63"/>
      <c r="AG229" s="63"/>
      <c r="AH229" s="63"/>
      <c r="AI229" s="63"/>
      <c r="AJ229" s="63"/>
    </row>
    <row r="230">
      <c r="A230" s="135">
        <v>231.0</v>
      </c>
      <c r="B230" s="67">
        <v>6.0</v>
      </c>
      <c r="C230" s="31" t="s">
        <v>415</v>
      </c>
      <c r="D230" s="68" t="s">
        <v>1360</v>
      </c>
      <c r="E230" s="71" t="s">
        <v>2706</v>
      </c>
      <c r="F230" s="69" t="s">
        <v>1355</v>
      </c>
      <c r="G230" s="69" t="s">
        <v>2551</v>
      </c>
      <c r="H230" s="145">
        <v>3.0</v>
      </c>
      <c r="I230" s="145">
        <v>1.0</v>
      </c>
      <c r="J230" s="69">
        <v>5.0</v>
      </c>
      <c r="K230" s="69" t="str">
        <f>iferror(vlookup(E230,MasterClass!$C$2:$G988,5,false),"")</f>
        <v/>
      </c>
      <c r="L230" s="69">
        <v>1.0</v>
      </c>
      <c r="M230" s="69">
        <f t="shared" si="40"/>
        <v>8</v>
      </c>
      <c r="N230" s="69">
        <f t="shared" si="41"/>
        <v>2</v>
      </c>
      <c r="O230" s="146">
        <f t="shared" si="42"/>
        <v>0.25</v>
      </c>
      <c r="P230" s="69" t="s">
        <v>2508</v>
      </c>
      <c r="Q230" s="69"/>
      <c r="R230" s="63"/>
      <c r="S230" s="63"/>
      <c r="T230" s="63"/>
      <c r="U230" s="63"/>
      <c r="V230" s="63"/>
      <c r="W230" s="63"/>
      <c r="X230" s="63"/>
      <c r="Y230" s="63"/>
      <c r="Z230" s="63"/>
      <c r="AA230" s="63"/>
      <c r="AB230" s="63"/>
      <c r="AC230" s="63"/>
      <c r="AD230" s="63"/>
      <c r="AE230" s="63"/>
      <c r="AF230" s="63"/>
      <c r="AG230" s="63"/>
      <c r="AH230" s="63"/>
      <c r="AI230" s="63"/>
      <c r="AJ230" s="63"/>
    </row>
    <row r="231">
      <c r="A231" s="135">
        <v>232.0</v>
      </c>
      <c r="B231" s="67">
        <v>7.0</v>
      </c>
      <c r="C231" s="31" t="s">
        <v>417</v>
      </c>
      <c r="D231" s="68" t="s">
        <v>1361</v>
      </c>
      <c r="E231" s="71" t="s">
        <v>2707</v>
      </c>
      <c r="F231" s="69" t="s">
        <v>1355</v>
      </c>
      <c r="G231" s="69" t="s">
        <v>2704</v>
      </c>
      <c r="H231" s="145">
        <v>3.0</v>
      </c>
      <c r="I231" s="145">
        <v>2.0</v>
      </c>
      <c r="J231" s="69">
        <v>5.0</v>
      </c>
      <c r="K231" s="69">
        <f>iferror(vlookup(E231,MasterClass!$C$2:$G988,5,false),"")</f>
        <v>1</v>
      </c>
      <c r="L231" s="69">
        <v>4.0</v>
      </c>
      <c r="M231" s="69">
        <f t="shared" si="40"/>
        <v>8</v>
      </c>
      <c r="N231" s="69">
        <f t="shared" si="41"/>
        <v>7</v>
      </c>
      <c r="O231" s="146">
        <f t="shared" si="42"/>
        <v>0.875</v>
      </c>
      <c r="P231" s="146"/>
      <c r="Q231" s="70"/>
      <c r="R231" s="63"/>
      <c r="S231" s="63"/>
      <c r="T231" s="63"/>
      <c r="U231" s="63"/>
      <c r="V231" s="63"/>
      <c r="W231" s="63"/>
      <c r="X231" s="63"/>
      <c r="Y231" s="63"/>
      <c r="Z231" s="63"/>
      <c r="AA231" s="63"/>
      <c r="AB231" s="63"/>
      <c r="AC231" s="63"/>
      <c r="AD231" s="63"/>
      <c r="AE231" s="63"/>
      <c r="AF231" s="63"/>
      <c r="AG231" s="63"/>
      <c r="AH231" s="63"/>
      <c r="AI231" s="63"/>
      <c r="AJ231" s="63"/>
    </row>
    <row r="232">
      <c r="A232" s="135">
        <v>233.0</v>
      </c>
      <c r="B232" s="67">
        <v>8.0</v>
      </c>
      <c r="C232" s="31" t="s">
        <v>419</v>
      </c>
      <c r="D232" s="68" t="s">
        <v>1362</v>
      </c>
      <c r="E232" s="71" t="s">
        <v>2708</v>
      </c>
      <c r="F232" s="69" t="s">
        <v>1355</v>
      </c>
      <c r="G232" s="69" t="s">
        <v>2704</v>
      </c>
      <c r="H232" s="145">
        <v>3.0</v>
      </c>
      <c r="I232" s="145">
        <v>3.0</v>
      </c>
      <c r="J232" s="69">
        <v>5.0</v>
      </c>
      <c r="K232" s="69" t="str">
        <f>iferror(vlookup(E232,MasterClass!$C$2:$G988,5,false),"")</f>
        <v/>
      </c>
      <c r="L232" s="69">
        <v>3.0</v>
      </c>
      <c r="M232" s="69">
        <f t="shared" si="40"/>
        <v>8</v>
      </c>
      <c r="N232" s="69">
        <f t="shared" si="41"/>
        <v>6</v>
      </c>
      <c r="O232" s="146">
        <f t="shared" si="42"/>
        <v>0.75</v>
      </c>
      <c r="P232" s="146"/>
      <c r="Q232" s="70"/>
      <c r="R232" s="63"/>
      <c r="S232" s="63"/>
      <c r="T232" s="63"/>
      <c r="U232" s="63"/>
      <c r="V232" s="63"/>
      <c r="W232" s="63"/>
      <c r="X232" s="63"/>
      <c r="Y232" s="63"/>
      <c r="Z232" s="63"/>
      <c r="AA232" s="63"/>
      <c r="AB232" s="63"/>
      <c r="AC232" s="63"/>
      <c r="AD232" s="63"/>
      <c r="AE232" s="63"/>
      <c r="AF232" s="63"/>
      <c r="AG232" s="63"/>
      <c r="AH232" s="63"/>
      <c r="AI232" s="63"/>
      <c r="AJ232" s="63"/>
    </row>
    <row r="233">
      <c r="A233" s="135">
        <v>234.0</v>
      </c>
      <c r="B233" s="67">
        <v>9.0</v>
      </c>
      <c r="C233" s="31" t="s">
        <v>421</v>
      </c>
      <c r="D233" s="68" t="s">
        <v>1363</v>
      </c>
      <c r="E233" s="71" t="s">
        <v>2709</v>
      </c>
      <c r="F233" s="69" t="s">
        <v>1355</v>
      </c>
      <c r="G233" s="69" t="s">
        <v>2701</v>
      </c>
      <c r="H233" s="145">
        <v>3.0</v>
      </c>
      <c r="I233" s="145">
        <v>1.0</v>
      </c>
      <c r="J233" s="69">
        <v>5.0</v>
      </c>
      <c r="K233" s="69" t="str">
        <f>iferror(vlookup(E233,MasterClass!$C$2:$G988,5,false),"")</f>
        <v/>
      </c>
      <c r="L233" s="69">
        <v>2.0</v>
      </c>
      <c r="M233" s="69">
        <f t="shared" si="40"/>
        <v>8</v>
      </c>
      <c r="N233" s="69">
        <f t="shared" si="41"/>
        <v>3</v>
      </c>
      <c r="O233" s="146">
        <f t="shared" si="42"/>
        <v>0.375</v>
      </c>
      <c r="P233" s="146"/>
      <c r="Q233" s="70"/>
      <c r="R233" s="63"/>
      <c r="S233" s="63"/>
      <c r="T233" s="63"/>
      <c r="U233" s="63"/>
      <c r="V233" s="63"/>
      <c r="W233" s="63"/>
      <c r="X233" s="63"/>
      <c r="Y233" s="63"/>
      <c r="Z233" s="63"/>
      <c r="AA233" s="63"/>
      <c r="AB233" s="63"/>
      <c r="AC233" s="63"/>
      <c r="AD233" s="63"/>
      <c r="AE233" s="63"/>
      <c r="AF233" s="63"/>
      <c r="AG233" s="63"/>
      <c r="AH233" s="63"/>
      <c r="AI233" s="63"/>
      <c r="AJ233" s="63"/>
    </row>
    <row r="234">
      <c r="A234" s="135">
        <v>235.0</v>
      </c>
      <c r="B234" s="67">
        <v>10.0</v>
      </c>
      <c r="C234" s="31" t="s">
        <v>423</v>
      </c>
      <c r="D234" s="68" t="s">
        <v>1364</v>
      </c>
      <c r="E234" s="71" t="s">
        <v>2710</v>
      </c>
      <c r="F234" s="69" t="s">
        <v>1355</v>
      </c>
      <c r="G234" s="69" t="s">
        <v>2704</v>
      </c>
      <c r="H234" s="145">
        <v>3.0</v>
      </c>
      <c r="I234" s="145">
        <v>2.0</v>
      </c>
      <c r="J234" s="69">
        <v>5.0</v>
      </c>
      <c r="K234" s="69" t="str">
        <f>iferror(vlookup(E234,MasterClass!$C$2:$G988,5,false),"")</f>
        <v/>
      </c>
      <c r="L234" s="69">
        <v>3.0</v>
      </c>
      <c r="M234" s="69">
        <f t="shared" si="40"/>
        <v>8</v>
      </c>
      <c r="N234" s="69">
        <f t="shared" si="41"/>
        <v>5</v>
      </c>
      <c r="O234" s="146">
        <f t="shared" si="42"/>
        <v>0.625</v>
      </c>
      <c r="P234" s="146"/>
      <c r="Q234" s="70"/>
      <c r="R234" s="63"/>
      <c r="S234" s="63"/>
      <c r="T234" s="63"/>
      <c r="U234" s="63"/>
      <c r="V234" s="63"/>
      <c r="W234" s="63"/>
      <c r="X234" s="63"/>
      <c r="Y234" s="63"/>
      <c r="Z234" s="63"/>
      <c r="AA234" s="63"/>
      <c r="AB234" s="63"/>
      <c r="AC234" s="63"/>
      <c r="AD234" s="63"/>
      <c r="AE234" s="63"/>
      <c r="AF234" s="63"/>
      <c r="AG234" s="63"/>
      <c r="AH234" s="63"/>
      <c r="AI234" s="63"/>
      <c r="AJ234" s="63"/>
    </row>
    <row r="235">
      <c r="A235" s="135">
        <v>236.0</v>
      </c>
      <c r="B235" s="67">
        <v>11.0</v>
      </c>
      <c r="C235" s="31" t="s">
        <v>425</v>
      </c>
      <c r="D235" s="68" t="s">
        <v>1365</v>
      </c>
      <c r="E235" s="71" t="s">
        <v>2711</v>
      </c>
      <c r="F235" s="69" t="s">
        <v>1355</v>
      </c>
      <c r="G235" s="69" t="s">
        <v>2701</v>
      </c>
      <c r="H235" s="145">
        <v>3.0</v>
      </c>
      <c r="I235" s="145">
        <v>1.0</v>
      </c>
      <c r="J235" s="69">
        <v>5.0</v>
      </c>
      <c r="K235" s="69" t="str">
        <f>iferror(vlookup(E235,MasterClass!$C$2:$G988,5,false),"")</f>
        <v/>
      </c>
      <c r="L235" s="69">
        <v>1.0</v>
      </c>
      <c r="M235" s="69">
        <f t="shared" si="40"/>
        <v>8</v>
      </c>
      <c r="N235" s="69">
        <f t="shared" si="41"/>
        <v>2</v>
      </c>
      <c r="O235" s="146">
        <f t="shared" si="42"/>
        <v>0.25</v>
      </c>
      <c r="P235" s="146"/>
      <c r="Q235" s="70"/>
      <c r="R235" s="63"/>
      <c r="S235" s="63"/>
      <c r="T235" s="63"/>
      <c r="U235" s="63"/>
      <c r="V235" s="63"/>
      <c r="W235" s="63"/>
      <c r="X235" s="63"/>
      <c r="Y235" s="63"/>
      <c r="Z235" s="63"/>
      <c r="AA235" s="63"/>
      <c r="AB235" s="63"/>
      <c r="AC235" s="63"/>
      <c r="AD235" s="63"/>
      <c r="AE235" s="63"/>
      <c r="AF235" s="63"/>
      <c r="AG235" s="63"/>
      <c r="AH235" s="63"/>
      <c r="AI235" s="63"/>
      <c r="AJ235" s="63"/>
    </row>
    <row r="236">
      <c r="A236" s="135">
        <v>237.0</v>
      </c>
      <c r="B236" s="67">
        <v>12.0</v>
      </c>
      <c r="C236" s="31" t="s">
        <v>427</v>
      </c>
      <c r="D236" s="68" t="s">
        <v>1366</v>
      </c>
      <c r="E236" s="71" t="s">
        <v>2712</v>
      </c>
      <c r="F236" s="69" t="s">
        <v>1355</v>
      </c>
      <c r="G236" s="69" t="s">
        <v>2704</v>
      </c>
      <c r="H236" s="145">
        <v>3.0</v>
      </c>
      <c r="I236" s="145">
        <v>3.0</v>
      </c>
      <c r="J236" s="69">
        <v>5.0</v>
      </c>
      <c r="K236" s="69" t="str">
        <f>iferror(vlookup(E236,MasterClass!$C$2:$G988,5,false),"")</f>
        <v/>
      </c>
      <c r="L236" s="69">
        <v>5.0</v>
      </c>
      <c r="M236" s="69">
        <f t="shared" si="40"/>
        <v>8</v>
      </c>
      <c r="N236" s="69">
        <f t="shared" si="41"/>
        <v>8</v>
      </c>
      <c r="O236" s="146">
        <f t="shared" si="42"/>
        <v>1</v>
      </c>
      <c r="P236" s="146"/>
      <c r="Q236" s="70"/>
      <c r="R236" s="63"/>
      <c r="S236" s="63"/>
      <c r="T236" s="63"/>
      <c r="U236" s="63"/>
      <c r="V236" s="63"/>
      <c r="W236" s="63"/>
      <c r="X236" s="63"/>
      <c r="Y236" s="63"/>
      <c r="Z236" s="63"/>
      <c r="AA236" s="63"/>
      <c r="AB236" s="63"/>
      <c r="AC236" s="63"/>
      <c r="AD236" s="63"/>
      <c r="AE236" s="63"/>
      <c r="AF236" s="63"/>
      <c r="AG236" s="63"/>
      <c r="AH236" s="63"/>
      <c r="AI236" s="63"/>
      <c r="AJ236" s="63"/>
    </row>
    <row r="237">
      <c r="A237" s="135">
        <v>238.0</v>
      </c>
      <c r="B237" s="67">
        <v>13.0</v>
      </c>
      <c r="C237" s="31" t="s">
        <v>429</v>
      </c>
      <c r="D237" s="68" t="s">
        <v>1367</v>
      </c>
      <c r="E237" s="71" t="s">
        <v>2713</v>
      </c>
      <c r="F237" s="69" t="s">
        <v>1355</v>
      </c>
      <c r="G237" s="69" t="s">
        <v>2704</v>
      </c>
      <c r="H237" s="145">
        <v>3.0</v>
      </c>
      <c r="I237" s="145">
        <v>3.0</v>
      </c>
      <c r="J237" s="69">
        <v>5.0</v>
      </c>
      <c r="K237" s="69">
        <f>iferror(vlookup(E237,MasterClass!$C$2:$G988,5,false),"")</f>
        <v>1</v>
      </c>
      <c r="L237" s="69">
        <v>5.0</v>
      </c>
      <c r="M237" s="69">
        <f t="shared" si="40"/>
        <v>8</v>
      </c>
      <c r="N237" s="69">
        <f t="shared" si="41"/>
        <v>9</v>
      </c>
      <c r="O237" s="146">
        <f t="shared" si="42"/>
        <v>1.125</v>
      </c>
      <c r="P237" s="146"/>
      <c r="Q237" s="70"/>
      <c r="R237" s="63"/>
      <c r="S237" s="63"/>
      <c r="T237" s="63"/>
      <c r="U237" s="63"/>
      <c r="V237" s="63"/>
      <c r="W237" s="63"/>
      <c r="X237" s="63"/>
      <c r="Y237" s="63"/>
      <c r="Z237" s="63"/>
      <c r="AA237" s="63"/>
      <c r="AB237" s="63"/>
      <c r="AC237" s="63"/>
      <c r="AD237" s="63"/>
      <c r="AE237" s="63"/>
      <c r="AF237" s="63"/>
      <c r="AG237" s="63"/>
      <c r="AH237" s="63"/>
      <c r="AI237" s="63"/>
      <c r="AJ237" s="63"/>
    </row>
    <row r="238">
      <c r="A238" s="135">
        <v>239.0</v>
      </c>
      <c r="B238" s="67">
        <v>14.0</v>
      </c>
      <c r="C238" s="31" t="s">
        <v>431</v>
      </c>
      <c r="D238" s="68" t="s">
        <v>1368</v>
      </c>
      <c r="E238" s="71" t="s">
        <v>2714</v>
      </c>
      <c r="F238" s="69" t="s">
        <v>1355</v>
      </c>
      <c r="G238" s="69" t="s">
        <v>2704</v>
      </c>
      <c r="H238" s="145">
        <v>3.0</v>
      </c>
      <c r="I238" s="145">
        <v>2.0</v>
      </c>
      <c r="J238" s="69">
        <v>5.0</v>
      </c>
      <c r="K238" s="69" t="str">
        <f>iferror(vlookup(E238,MasterClass!$C$2:$G988,5,false),"")</f>
        <v/>
      </c>
      <c r="L238" s="69">
        <v>4.0</v>
      </c>
      <c r="M238" s="69">
        <f t="shared" si="40"/>
        <v>8</v>
      </c>
      <c r="N238" s="69">
        <f t="shared" si="41"/>
        <v>6</v>
      </c>
      <c r="O238" s="146">
        <f t="shared" si="42"/>
        <v>0.75</v>
      </c>
      <c r="P238" s="146"/>
      <c r="Q238" s="70"/>
      <c r="R238" s="63"/>
      <c r="S238" s="63"/>
      <c r="T238" s="63"/>
      <c r="U238" s="63"/>
      <c r="V238" s="63"/>
      <c r="W238" s="63"/>
      <c r="X238" s="63"/>
      <c r="Y238" s="63"/>
      <c r="Z238" s="63"/>
      <c r="AA238" s="63"/>
      <c r="AB238" s="63"/>
      <c r="AC238" s="63"/>
      <c r="AD238" s="63"/>
      <c r="AE238" s="63"/>
      <c r="AF238" s="63"/>
      <c r="AG238" s="63"/>
      <c r="AH238" s="63"/>
      <c r="AI238" s="63"/>
      <c r="AJ238" s="63"/>
    </row>
    <row r="239">
      <c r="A239" s="135">
        <v>240.0</v>
      </c>
      <c r="B239" s="67">
        <v>15.0</v>
      </c>
      <c r="C239" s="31" t="s">
        <v>433</v>
      </c>
      <c r="D239" s="32" t="s">
        <v>1369</v>
      </c>
      <c r="E239" s="71" t="s">
        <v>2715</v>
      </c>
      <c r="F239" s="69" t="s">
        <v>1355</v>
      </c>
      <c r="G239" s="69" t="s">
        <v>2551</v>
      </c>
      <c r="H239" s="145">
        <v>3.0</v>
      </c>
      <c r="I239" s="145">
        <v>2.0</v>
      </c>
      <c r="J239" s="69">
        <v>5.0</v>
      </c>
      <c r="K239" s="69" t="str">
        <f>iferror(vlookup(E239,MasterClass!$C$2:$G988,5,false),"")</f>
        <v/>
      </c>
      <c r="L239" s="69">
        <v>2.0</v>
      </c>
      <c r="M239" s="69">
        <f t="shared" si="40"/>
        <v>8</v>
      </c>
      <c r="N239" s="69">
        <f t="shared" si="41"/>
        <v>4</v>
      </c>
      <c r="O239" s="146">
        <f t="shared" si="42"/>
        <v>0.5</v>
      </c>
      <c r="P239" s="69" t="s">
        <v>2508</v>
      </c>
      <c r="Q239" s="69"/>
      <c r="R239" s="63"/>
      <c r="S239" s="63"/>
      <c r="T239" s="63"/>
      <c r="U239" s="63"/>
      <c r="V239" s="63"/>
      <c r="W239" s="63"/>
      <c r="X239" s="63"/>
      <c r="Y239" s="63"/>
      <c r="Z239" s="63"/>
      <c r="AA239" s="63"/>
      <c r="AB239" s="63"/>
      <c r="AC239" s="63"/>
      <c r="AD239" s="63"/>
      <c r="AE239" s="63"/>
      <c r="AF239" s="63"/>
      <c r="AG239" s="63"/>
      <c r="AH239" s="63"/>
      <c r="AI239" s="63"/>
      <c r="AJ239" s="63"/>
    </row>
    <row r="240">
      <c r="A240" s="135">
        <v>241.0</v>
      </c>
      <c r="B240" s="67">
        <v>16.0</v>
      </c>
      <c r="C240" s="31" t="s">
        <v>435</v>
      </c>
      <c r="D240" s="32" t="s">
        <v>1370</v>
      </c>
      <c r="E240" s="71" t="s">
        <v>2716</v>
      </c>
      <c r="F240" s="69" t="s">
        <v>1355</v>
      </c>
      <c r="G240" s="69" t="s">
        <v>2704</v>
      </c>
      <c r="H240" s="145">
        <v>3.0</v>
      </c>
      <c r="I240" s="145">
        <v>2.0</v>
      </c>
      <c r="J240" s="69">
        <v>5.0</v>
      </c>
      <c r="K240" s="69" t="str">
        <f>iferror(vlookup(E240,MasterClass!$C$2:$G988,5,false),"")</f>
        <v/>
      </c>
      <c r="L240" s="69">
        <v>4.0</v>
      </c>
      <c r="M240" s="69">
        <f t="shared" si="40"/>
        <v>8</v>
      </c>
      <c r="N240" s="69">
        <f t="shared" si="41"/>
        <v>6</v>
      </c>
      <c r="O240" s="146">
        <f t="shared" si="42"/>
        <v>0.75</v>
      </c>
      <c r="P240" s="146"/>
      <c r="Q240" s="70"/>
      <c r="R240" s="63"/>
      <c r="S240" s="63"/>
      <c r="T240" s="63"/>
      <c r="U240" s="63"/>
      <c r="V240" s="63"/>
      <c r="W240" s="63"/>
      <c r="X240" s="63"/>
      <c r="Y240" s="63"/>
      <c r="Z240" s="63"/>
      <c r="AA240" s="63"/>
      <c r="AB240" s="63"/>
      <c r="AC240" s="63"/>
      <c r="AD240" s="63"/>
      <c r="AE240" s="63"/>
      <c r="AF240" s="63"/>
      <c r="AG240" s="63"/>
      <c r="AH240" s="63"/>
      <c r="AI240" s="63"/>
      <c r="AJ240" s="63"/>
    </row>
    <row r="241">
      <c r="A241" s="135">
        <v>242.0</v>
      </c>
      <c r="B241" s="67">
        <v>17.0</v>
      </c>
      <c r="C241" s="31" t="s">
        <v>437</v>
      </c>
      <c r="D241" s="32" t="s">
        <v>1371</v>
      </c>
      <c r="E241" s="71" t="s">
        <v>2717</v>
      </c>
      <c r="F241" s="69" t="s">
        <v>1355</v>
      </c>
      <c r="G241" s="69" t="s">
        <v>2701</v>
      </c>
      <c r="H241" s="145">
        <v>3.0</v>
      </c>
      <c r="I241" s="145">
        <v>1.0</v>
      </c>
      <c r="J241" s="69">
        <v>5.0</v>
      </c>
      <c r="K241" s="69" t="str">
        <f>iferror(vlookup(E241,MasterClass!$C$2:$G988,5,false),"")</f>
        <v/>
      </c>
      <c r="L241" s="69">
        <v>0.0</v>
      </c>
      <c r="M241" s="69">
        <f t="shared" si="40"/>
        <v>8</v>
      </c>
      <c r="N241" s="69">
        <f t="shared" si="41"/>
        <v>1</v>
      </c>
      <c r="O241" s="146">
        <f t="shared" si="42"/>
        <v>0.125</v>
      </c>
      <c r="P241" s="146"/>
      <c r="Q241" s="70"/>
      <c r="R241" s="63"/>
      <c r="S241" s="63"/>
      <c r="T241" s="63"/>
      <c r="U241" s="63"/>
      <c r="V241" s="63"/>
      <c r="W241" s="63"/>
      <c r="X241" s="63"/>
      <c r="Y241" s="63"/>
      <c r="Z241" s="63"/>
      <c r="AA241" s="63"/>
      <c r="AB241" s="63"/>
      <c r="AC241" s="63"/>
      <c r="AD241" s="63"/>
      <c r="AE241" s="63"/>
      <c r="AF241" s="63"/>
      <c r="AG241" s="63"/>
      <c r="AH241" s="63"/>
      <c r="AI241" s="63"/>
      <c r="AJ241" s="63"/>
    </row>
    <row r="242">
      <c r="A242" s="135">
        <v>243.0</v>
      </c>
      <c r="B242" s="67">
        <v>18.0</v>
      </c>
      <c r="C242" s="31" t="s">
        <v>439</v>
      </c>
      <c r="D242" s="32" t="s">
        <v>1372</v>
      </c>
      <c r="E242" s="71" t="s">
        <v>2718</v>
      </c>
      <c r="F242" s="69" t="s">
        <v>1355</v>
      </c>
      <c r="G242" s="69" t="s">
        <v>2704</v>
      </c>
      <c r="H242" s="145">
        <v>3.0</v>
      </c>
      <c r="I242" s="145">
        <v>3.0</v>
      </c>
      <c r="J242" s="69">
        <v>5.0</v>
      </c>
      <c r="K242" s="69" t="str">
        <f>iferror(vlookup(E242,MasterClass!$C$2:$G988,5,false),"")</f>
        <v/>
      </c>
      <c r="L242" s="69">
        <v>3.0</v>
      </c>
      <c r="M242" s="69">
        <f t="shared" si="40"/>
        <v>8</v>
      </c>
      <c r="N242" s="69">
        <f t="shared" si="41"/>
        <v>6</v>
      </c>
      <c r="O242" s="146">
        <f t="shared" si="42"/>
        <v>0.75</v>
      </c>
      <c r="P242" s="146"/>
      <c r="Q242" s="70"/>
      <c r="R242" s="63"/>
      <c r="S242" s="63"/>
      <c r="T242" s="63"/>
      <c r="U242" s="63"/>
      <c r="V242" s="63"/>
      <c r="W242" s="63"/>
      <c r="X242" s="63"/>
      <c r="Y242" s="63"/>
      <c r="Z242" s="63"/>
      <c r="AA242" s="63"/>
      <c r="AB242" s="63"/>
      <c r="AC242" s="63"/>
      <c r="AD242" s="63"/>
      <c r="AE242" s="63"/>
      <c r="AF242" s="63"/>
      <c r="AG242" s="63"/>
      <c r="AH242" s="63"/>
      <c r="AI242" s="63"/>
      <c r="AJ242" s="63"/>
    </row>
    <row r="243">
      <c r="A243" s="135">
        <v>244.0</v>
      </c>
      <c r="B243" s="67">
        <v>19.0</v>
      </c>
      <c r="C243" s="31" t="s">
        <v>441</v>
      </c>
      <c r="D243" s="32" t="s">
        <v>1373</v>
      </c>
      <c r="E243" s="71" t="s">
        <v>2719</v>
      </c>
      <c r="F243" s="69" t="s">
        <v>1355</v>
      </c>
      <c r="G243" s="69" t="s">
        <v>2704</v>
      </c>
      <c r="H243" s="145">
        <v>3.0</v>
      </c>
      <c r="I243" s="145">
        <v>2.0</v>
      </c>
      <c r="J243" s="69">
        <v>5.0</v>
      </c>
      <c r="K243" s="69" t="str">
        <f>iferror(vlookup(E243,MasterClass!$C$2:$G988,5,false),"")</f>
        <v/>
      </c>
      <c r="L243" s="69">
        <v>3.0</v>
      </c>
      <c r="M243" s="69">
        <f t="shared" si="40"/>
        <v>8</v>
      </c>
      <c r="N243" s="69">
        <f t="shared" si="41"/>
        <v>5</v>
      </c>
      <c r="O243" s="146">
        <f t="shared" si="42"/>
        <v>0.625</v>
      </c>
      <c r="P243" s="146"/>
      <c r="Q243" s="70"/>
      <c r="R243" s="63"/>
      <c r="S243" s="63"/>
      <c r="T243" s="63"/>
      <c r="U243" s="63"/>
      <c r="V243" s="63"/>
      <c r="W243" s="63"/>
      <c r="X243" s="63"/>
      <c r="Y243" s="63"/>
      <c r="Z243" s="63"/>
      <c r="AA243" s="63"/>
      <c r="AB243" s="63"/>
      <c r="AC243" s="63"/>
      <c r="AD243" s="63"/>
      <c r="AE243" s="63"/>
      <c r="AF243" s="63"/>
      <c r="AG243" s="63"/>
      <c r="AH243" s="63"/>
      <c r="AI243" s="63"/>
      <c r="AJ243" s="63"/>
    </row>
    <row r="244">
      <c r="A244" s="135">
        <v>245.0</v>
      </c>
      <c r="B244" s="67">
        <v>20.0</v>
      </c>
      <c r="C244" s="31" t="s">
        <v>443</v>
      </c>
      <c r="D244" s="32" t="s">
        <v>1374</v>
      </c>
      <c r="E244" s="71" t="s">
        <v>2720</v>
      </c>
      <c r="F244" s="69" t="s">
        <v>1355</v>
      </c>
      <c r="G244" s="69" t="s">
        <v>2704</v>
      </c>
      <c r="H244" s="145">
        <v>3.0</v>
      </c>
      <c r="I244" s="145">
        <v>3.0</v>
      </c>
      <c r="J244" s="69">
        <v>5.0</v>
      </c>
      <c r="K244" s="69" t="str">
        <f>iferror(vlookup(E244,MasterClass!$C$2:$G988,5,false),"")</f>
        <v/>
      </c>
      <c r="L244" s="69">
        <v>5.0</v>
      </c>
      <c r="M244" s="69">
        <f t="shared" si="40"/>
        <v>8</v>
      </c>
      <c r="N244" s="69">
        <f t="shared" si="41"/>
        <v>8</v>
      </c>
      <c r="O244" s="146">
        <f t="shared" si="42"/>
        <v>1</v>
      </c>
      <c r="P244" s="146"/>
      <c r="Q244" s="70"/>
      <c r="R244" s="63"/>
      <c r="S244" s="63"/>
      <c r="T244" s="63"/>
      <c r="U244" s="63"/>
      <c r="V244" s="63"/>
      <c r="W244" s="63"/>
      <c r="X244" s="63"/>
      <c r="Y244" s="63"/>
      <c r="Z244" s="63"/>
      <c r="AA244" s="63"/>
      <c r="AB244" s="63"/>
      <c r="AC244" s="63"/>
      <c r="AD244" s="63"/>
      <c r="AE244" s="63"/>
      <c r="AF244" s="63"/>
      <c r="AG244" s="63"/>
      <c r="AH244" s="63"/>
      <c r="AI244" s="63"/>
      <c r="AJ244" s="63"/>
    </row>
    <row r="245">
      <c r="A245" s="135">
        <v>246.0</v>
      </c>
      <c r="B245" s="67">
        <v>21.0</v>
      </c>
      <c r="C245" s="31" t="s">
        <v>445</v>
      </c>
      <c r="D245" s="32" t="s">
        <v>1375</v>
      </c>
      <c r="E245" s="71" t="s">
        <v>2721</v>
      </c>
      <c r="F245" s="69" t="s">
        <v>1355</v>
      </c>
      <c r="G245" s="69" t="s">
        <v>2704</v>
      </c>
      <c r="H245" s="145">
        <v>3.0</v>
      </c>
      <c r="I245" s="145">
        <v>3.0</v>
      </c>
      <c r="J245" s="69">
        <v>5.0</v>
      </c>
      <c r="K245" s="69" t="str">
        <f>iferror(vlookup(E245,MasterClass!$C$2:$G988,5,false),"")</f>
        <v/>
      </c>
      <c r="L245" s="69">
        <v>3.0</v>
      </c>
      <c r="M245" s="69">
        <f t="shared" si="40"/>
        <v>8</v>
      </c>
      <c r="N245" s="69">
        <f t="shared" si="41"/>
        <v>6</v>
      </c>
      <c r="O245" s="146">
        <f t="shared" si="42"/>
        <v>0.75</v>
      </c>
      <c r="P245" s="146"/>
      <c r="Q245" s="70"/>
      <c r="R245" s="63"/>
      <c r="S245" s="63"/>
      <c r="T245" s="63"/>
      <c r="U245" s="63"/>
      <c r="V245" s="63"/>
      <c r="W245" s="63"/>
      <c r="X245" s="63"/>
      <c r="Y245" s="63"/>
      <c r="Z245" s="63"/>
      <c r="AA245" s="63"/>
      <c r="AB245" s="63"/>
      <c r="AC245" s="63"/>
      <c r="AD245" s="63"/>
      <c r="AE245" s="63"/>
      <c r="AF245" s="63"/>
      <c r="AG245" s="63"/>
      <c r="AH245" s="63"/>
      <c r="AI245" s="63"/>
      <c r="AJ245" s="63"/>
    </row>
    <row r="246">
      <c r="A246" s="135">
        <v>247.0</v>
      </c>
      <c r="B246" s="67">
        <v>22.0</v>
      </c>
      <c r="C246" s="31" t="s">
        <v>447</v>
      </c>
      <c r="D246" s="32" t="s">
        <v>1376</v>
      </c>
      <c r="E246" s="71" t="s">
        <v>2722</v>
      </c>
      <c r="F246" s="69" t="s">
        <v>1355</v>
      </c>
      <c r="G246" s="69" t="s">
        <v>2701</v>
      </c>
      <c r="H246" s="145">
        <v>3.0</v>
      </c>
      <c r="I246" s="145">
        <v>2.0</v>
      </c>
      <c r="J246" s="69">
        <v>5.0</v>
      </c>
      <c r="K246" s="69" t="str">
        <f>iferror(vlookup(E246,MasterClass!$C$2:$G988,5,false),"")</f>
        <v/>
      </c>
      <c r="L246" s="69">
        <v>1.0</v>
      </c>
      <c r="M246" s="69">
        <f t="shared" si="40"/>
        <v>8</v>
      </c>
      <c r="N246" s="69">
        <f t="shared" si="41"/>
        <v>3</v>
      </c>
      <c r="O246" s="146">
        <f t="shared" si="42"/>
        <v>0.375</v>
      </c>
      <c r="P246" s="146"/>
      <c r="Q246" s="70"/>
      <c r="R246" s="63"/>
      <c r="S246" s="63"/>
      <c r="T246" s="63"/>
      <c r="U246" s="63"/>
      <c r="V246" s="63"/>
      <c r="W246" s="63"/>
      <c r="X246" s="63"/>
      <c r="Y246" s="63"/>
      <c r="Z246" s="63"/>
      <c r="AA246" s="63"/>
      <c r="AB246" s="63"/>
      <c r="AC246" s="63"/>
      <c r="AD246" s="63"/>
      <c r="AE246" s="63"/>
      <c r="AF246" s="63"/>
      <c r="AG246" s="63"/>
      <c r="AH246" s="63"/>
      <c r="AI246" s="63"/>
      <c r="AJ246" s="63"/>
    </row>
    <row r="247">
      <c r="A247" s="135">
        <v>248.0</v>
      </c>
      <c r="B247" s="67">
        <v>23.0</v>
      </c>
      <c r="C247" s="31" t="s">
        <v>449</v>
      </c>
      <c r="D247" s="32" t="s">
        <v>1377</v>
      </c>
      <c r="E247" s="71" t="s">
        <v>2723</v>
      </c>
      <c r="F247" s="69" t="s">
        <v>1355</v>
      </c>
      <c r="G247" s="69" t="s">
        <v>2701</v>
      </c>
      <c r="H247" s="145">
        <v>3.0</v>
      </c>
      <c r="I247" s="145">
        <v>1.0</v>
      </c>
      <c r="J247" s="69">
        <v>5.0</v>
      </c>
      <c r="K247" s="69" t="str">
        <f>iferror(vlookup(E247,MasterClass!$C$2:$G988,5,false),"")</f>
        <v/>
      </c>
      <c r="L247" s="69">
        <v>3.0</v>
      </c>
      <c r="M247" s="69">
        <f t="shared" si="40"/>
        <v>8</v>
      </c>
      <c r="N247" s="69">
        <f t="shared" si="41"/>
        <v>4</v>
      </c>
      <c r="O247" s="146">
        <f t="shared" si="42"/>
        <v>0.5</v>
      </c>
      <c r="P247" s="146"/>
      <c r="Q247" s="70"/>
      <c r="R247" s="63"/>
      <c r="S247" s="63"/>
      <c r="T247" s="63"/>
      <c r="U247" s="63"/>
      <c r="V247" s="63"/>
      <c r="W247" s="63"/>
      <c r="X247" s="63"/>
      <c r="Y247" s="63"/>
      <c r="Z247" s="63"/>
      <c r="AA247" s="63"/>
      <c r="AB247" s="63"/>
      <c r="AC247" s="63"/>
      <c r="AD247" s="63"/>
      <c r="AE247" s="63"/>
      <c r="AF247" s="63"/>
      <c r="AG247" s="63"/>
      <c r="AH247" s="63"/>
      <c r="AI247" s="63"/>
      <c r="AJ247" s="63"/>
    </row>
    <row r="248">
      <c r="A248" s="135">
        <v>249.0</v>
      </c>
      <c r="B248" s="67">
        <v>24.0</v>
      </c>
      <c r="C248" s="31" t="s">
        <v>451</v>
      </c>
      <c r="D248" s="71" t="s">
        <v>1378</v>
      </c>
      <c r="E248" s="71" t="s">
        <v>2724</v>
      </c>
      <c r="F248" s="69" t="s">
        <v>1355</v>
      </c>
      <c r="G248" s="69" t="s">
        <v>2583</v>
      </c>
      <c r="H248" s="145">
        <v>4.0</v>
      </c>
      <c r="I248" s="145">
        <v>1.0</v>
      </c>
      <c r="J248" s="69">
        <v>5.0</v>
      </c>
      <c r="K248" s="69" t="str">
        <f>iferror(vlookup(E248,MasterClass!$C$2:$G988,5,false),"")</f>
        <v/>
      </c>
      <c r="L248" s="69">
        <v>2.0</v>
      </c>
      <c r="M248" s="69">
        <f t="shared" si="40"/>
        <v>9</v>
      </c>
      <c r="N248" s="69">
        <f t="shared" si="41"/>
        <v>3</v>
      </c>
      <c r="O248" s="146">
        <f t="shared" si="42"/>
        <v>0.3333333333</v>
      </c>
      <c r="P248" s="69" t="s">
        <v>2508</v>
      </c>
      <c r="Q248" s="69"/>
      <c r="R248" s="63"/>
      <c r="S248" s="63"/>
      <c r="T248" s="63"/>
      <c r="U248" s="63"/>
      <c r="V248" s="63"/>
      <c r="W248" s="63"/>
      <c r="X248" s="63"/>
      <c r="Y248" s="63"/>
      <c r="Z248" s="63"/>
      <c r="AA248" s="63"/>
      <c r="AB248" s="63"/>
      <c r="AC248" s="63"/>
      <c r="AD248" s="63"/>
      <c r="AE248" s="63"/>
      <c r="AF248" s="63"/>
      <c r="AG248" s="63"/>
      <c r="AH248" s="63"/>
      <c r="AI248" s="63"/>
      <c r="AJ248" s="63"/>
    </row>
    <row r="249">
      <c r="A249" s="135">
        <v>250.0</v>
      </c>
      <c r="B249" s="67">
        <v>25.0</v>
      </c>
      <c r="C249" s="31" t="s">
        <v>453</v>
      </c>
      <c r="D249" s="32" t="s">
        <v>1379</v>
      </c>
      <c r="E249" s="71" t="s">
        <v>2725</v>
      </c>
      <c r="F249" s="69" t="s">
        <v>1355</v>
      </c>
      <c r="G249" s="69" t="s">
        <v>2701</v>
      </c>
      <c r="H249" s="145">
        <v>3.0</v>
      </c>
      <c r="I249" s="145">
        <v>2.0</v>
      </c>
      <c r="J249" s="69">
        <v>5.0</v>
      </c>
      <c r="K249" s="69" t="str">
        <f>iferror(vlookup(E249,MasterClass!$C$2:$G988,5,false),"")</f>
        <v/>
      </c>
      <c r="L249" s="69">
        <v>5.0</v>
      </c>
      <c r="M249" s="69">
        <f t="shared" si="40"/>
        <v>8</v>
      </c>
      <c r="N249" s="69">
        <f t="shared" si="41"/>
        <v>7</v>
      </c>
      <c r="O249" s="146">
        <f t="shared" si="42"/>
        <v>0.875</v>
      </c>
      <c r="P249" s="146"/>
      <c r="Q249" s="70"/>
      <c r="R249" s="63"/>
      <c r="S249" s="63"/>
      <c r="T249" s="63"/>
      <c r="U249" s="63"/>
      <c r="V249" s="63"/>
      <c r="W249" s="63"/>
      <c r="X249" s="63"/>
      <c r="Y249" s="63"/>
      <c r="Z249" s="63"/>
      <c r="AA249" s="63"/>
      <c r="AB249" s="63"/>
      <c r="AC249" s="63"/>
      <c r="AD249" s="63"/>
      <c r="AE249" s="63"/>
      <c r="AF249" s="63"/>
      <c r="AG249" s="63"/>
      <c r="AH249" s="63"/>
      <c r="AI249" s="63"/>
      <c r="AJ249" s="63"/>
    </row>
    <row r="250">
      <c r="A250" s="135">
        <v>251.0</v>
      </c>
      <c r="B250" s="67">
        <v>26.0</v>
      </c>
      <c r="C250" s="31" t="s">
        <v>455</v>
      </c>
      <c r="D250" s="32" t="s">
        <v>1380</v>
      </c>
      <c r="E250" s="71" t="s">
        <v>2726</v>
      </c>
      <c r="F250" s="69" t="s">
        <v>1355</v>
      </c>
      <c r="G250" s="69" t="s">
        <v>2701</v>
      </c>
      <c r="H250" s="145">
        <v>3.0</v>
      </c>
      <c r="I250" s="145">
        <v>1.0</v>
      </c>
      <c r="J250" s="69">
        <v>5.0</v>
      </c>
      <c r="K250" s="69" t="str">
        <f>iferror(vlookup(E250,MasterClass!$C$2:$G988,5,false),"")</f>
        <v/>
      </c>
      <c r="L250" s="69">
        <v>2.0</v>
      </c>
      <c r="M250" s="69">
        <f t="shared" si="40"/>
        <v>8</v>
      </c>
      <c r="N250" s="69">
        <f t="shared" si="41"/>
        <v>3</v>
      </c>
      <c r="O250" s="146">
        <f t="shared" si="42"/>
        <v>0.375</v>
      </c>
      <c r="P250" s="146"/>
      <c r="Q250" s="70"/>
      <c r="R250" s="63"/>
      <c r="S250" s="63"/>
      <c r="T250" s="63"/>
      <c r="U250" s="63"/>
      <c r="V250" s="63"/>
      <c r="W250" s="63"/>
      <c r="X250" s="63"/>
      <c r="Y250" s="63"/>
      <c r="Z250" s="63"/>
      <c r="AA250" s="63"/>
      <c r="AB250" s="63"/>
      <c r="AC250" s="63"/>
      <c r="AD250" s="63"/>
      <c r="AE250" s="63"/>
      <c r="AF250" s="63"/>
      <c r="AG250" s="63"/>
      <c r="AH250" s="63"/>
      <c r="AI250" s="63"/>
      <c r="AJ250" s="63"/>
    </row>
    <row r="251">
      <c r="A251" s="135">
        <v>252.0</v>
      </c>
      <c r="B251" s="67">
        <v>27.0</v>
      </c>
      <c r="C251" s="31" t="s">
        <v>457</v>
      </c>
      <c r="D251" s="32" t="s">
        <v>1381</v>
      </c>
      <c r="E251" s="71" t="s">
        <v>2727</v>
      </c>
      <c r="F251" s="69" t="s">
        <v>1355</v>
      </c>
      <c r="G251" s="69" t="s">
        <v>2728</v>
      </c>
      <c r="H251" s="145">
        <v>3.0</v>
      </c>
      <c r="I251" s="145">
        <v>1.0</v>
      </c>
      <c r="J251" s="69">
        <v>5.0</v>
      </c>
      <c r="K251" s="69" t="str">
        <f>iferror(vlookup(E251,MasterClass!$C$2:$G988,5,false),"")</f>
        <v/>
      </c>
      <c r="L251" s="69">
        <v>2.0</v>
      </c>
      <c r="M251" s="69">
        <f t="shared" si="40"/>
        <v>8</v>
      </c>
      <c r="N251" s="69">
        <f t="shared" si="41"/>
        <v>3</v>
      </c>
      <c r="O251" s="146">
        <f t="shared" si="42"/>
        <v>0.375</v>
      </c>
      <c r="P251" s="146"/>
      <c r="Q251" s="70"/>
      <c r="R251" s="63"/>
      <c r="S251" s="63"/>
      <c r="T251" s="63"/>
      <c r="U251" s="63"/>
      <c r="V251" s="63"/>
      <c r="W251" s="63"/>
      <c r="X251" s="63"/>
      <c r="Y251" s="63"/>
      <c r="Z251" s="63"/>
      <c r="AA251" s="63"/>
      <c r="AB251" s="63"/>
      <c r="AC251" s="63"/>
      <c r="AD251" s="63"/>
      <c r="AE251" s="63"/>
      <c r="AF251" s="63"/>
      <c r="AG251" s="63"/>
      <c r="AH251" s="63"/>
      <c r="AI251" s="63"/>
      <c r="AJ251" s="63"/>
    </row>
    <row r="252">
      <c r="A252" s="135">
        <v>253.0</v>
      </c>
      <c r="B252" s="67">
        <v>28.0</v>
      </c>
      <c r="C252" s="31" t="s">
        <v>459</v>
      </c>
      <c r="D252" s="32" t="s">
        <v>1382</v>
      </c>
      <c r="E252" s="71" t="s">
        <v>2729</v>
      </c>
      <c r="F252" s="69" t="s">
        <v>1355</v>
      </c>
      <c r="G252" s="69" t="s">
        <v>2728</v>
      </c>
      <c r="H252" s="145"/>
      <c r="I252" s="145"/>
      <c r="J252" s="69">
        <v>5.0</v>
      </c>
      <c r="K252" s="69" t="str">
        <f>iferror(vlookup(E252,MasterClass!$C$2:$G988,5,false),"")</f>
        <v/>
      </c>
      <c r="L252" s="69">
        <v>1.0</v>
      </c>
      <c r="M252" s="69">
        <f t="shared" si="40"/>
        <v>5</v>
      </c>
      <c r="N252" s="69">
        <f t="shared" si="41"/>
        <v>1</v>
      </c>
      <c r="O252" s="146">
        <f t="shared" si="42"/>
        <v>0.2</v>
      </c>
      <c r="P252" s="146"/>
      <c r="Q252" s="70"/>
      <c r="R252" s="63"/>
      <c r="S252" s="63"/>
      <c r="T252" s="63"/>
      <c r="U252" s="63"/>
      <c r="V252" s="63"/>
      <c r="W252" s="63"/>
      <c r="X252" s="63"/>
      <c r="Y252" s="63"/>
      <c r="Z252" s="63"/>
      <c r="AA252" s="63"/>
      <c r="AB252" s="63"/>
      <c r="AC252" s="63"/>
      <c r="AD252" s="63"/>
      <c r="AE252" s="63"/>
      <c r="AF252" s="63"/>
      <c r="AG252" s="63"/>
      <c r="AH252" s="63"/>
      <c r="AI252" s="63"/>
      <c r="AJ252" s="63"/>
    </row>
    <row r="253">
      <c r="A253" s="135">
        <v>254.0</v>
      </c>
      <c r="B253" s="67">
        <v>29.0</v>
      </c>
      <c r="C253" s="31" t="s">
        <v>461</v>
      </c>
      <c r="D253" s="32" t="s">
        <v>1383</v>
      </c>
      <c r="E253" s="71" t="s">
        <v>2730</v>
      </c>
      <c r="F253" s="69" t="s">
        <v>1355</v>
      </c>
      <c r="G253" s="69" t="s">
        <v>2701</v>
      </c>
      <c r="H253" s="145">
        <v>3.0</v>
      </c>
      <c r="I253" s="145">
        <v>2.0</v>
      </c>
      <c r="J253" s="69">
        <v>5.0</v>
      </c>
      <c r="K253" s="69" t="str">
        <f>iferror(vlookup(E253,MasterClass!$C$2:$G988,5,false),"")</f>
        <v/>
      </c>
      <c r="L253" s="69">
        <v>3.0</v>
      </c>
      <c r="M253" s="69">
        <f t="shared" si="40"/>
        <v>8</v>
      </c>
      <c r="N253" s="69">
        <f t="shared" si="41"/>
        <v>5</v>
      </c>
      <c r="O253" s="146">
        <f t="shared" si="42"/>
        <v>0.625</v>
      </c>
      <c r="P253" s="146"/>
      <c r="Q253" s="70"/>
      <c r="R253" s="63"/>
      <c r="S253" s="63"/>
      <c r="T253" s="63"/>
      <c r="U253" s="63"/>
      <c r="V253" s="63"/>
      <c r="W253" s="63"/>
      <c r="X253" s="63"/>
      <c r="Y253" s="63"/>
      <c r="Z253" s="63"/>
      <c r="AA253" s="63"/>
      <c r="AB253" s="63"/>
      <c r="AC253" s="63"/>
      <c r="AD253" s="63"/>
      <c r="AE253" s="63"/>
      <c r="AF253" s="63"/>
      <c r="AG253" s="63"/>
      <c r="AH253" s="63"/>
      <c r="AI253" s="63"/>
      <c r="AJ253" s="63"/>
    </row>
    <row r="254">
      <c r="A254" s="135">
        <v>255.0</v>
      </c>
      <c r="B254" s="67">
        <v>30.0</v>
      </c>
      <c r="C254" s="31" t="s">
        <v>463</v>
      </c>
      <c r="D254" s="32" t="s">
        <v>1384</v>
      </c>
      <c r="E254" s="71" t="s">
        <v>2731</v>
      </c>
      <c r="F254" s="69" t="s">
        <v>1355</v>
      </c>
      <c r="G254" s="69" t="s">
        <v>2551</v>
      </c>
      <c r="H254" s="145">
        <v>3.0</v>
      </c>
      <c r="I254" s="145">
        <v>0.0</v>
      </c>
      <c r="J254" s="69">
        <v>5.0</v>
      </c>
      <c r="K254" s="69" t="str">
        <f>iferror(vlookup(E254,MasterClass!$C$2:$G988,5,false),"")</f>
        <v/>
      </c>
      <c r="L254" s="69">
        <v>2.0</v>
      </c>
      <c r="M254" s="69">
        <f t="shared" si="40"/>
        <v>8</v>
      </c>
      <c r="N254" s="69">
        <f t="shared" si="41"/>
        <v>2</v>
      </c>
      <c r="O254" s="146">
        <f t="shared" si="42"/>
        <v>0.25</v>
      </c>
      <c r="P254" s="69" t="s">
        <v>2508</v>
      </c>
      <c r="Q254" s="69"/>
      <c r="R254" s="63"/>
      <c r="S254" s="63"/>
      <c r="T254" s="63"/>
      <c r="U254" s="63"/>
      <c r="V254" s="63"/>
      <c r="W254" s="63"/>
      <c r="X254" s="63"/>
      <c r="Y254" s="63"/>
      <c r="Z254" s="63"/>
      <c r="AA254" s="63"/>
      <c r="AB254" s="63"/>
      <c r="AC254" s="63"/>
      <c r="AD254" s="63"/>
      <c r="AE254" s="63"/>
      <c r="AF254" s="63"/>
      <c r="AG254" s="63"/>
      <c r="AH254" s="63"/>
      <c r="AI254" s="63"/>
      <c r="AJ254" s="63"/>
    </row>
    <row r="255">
      <c r="A255" s="135">
        <v>256.0</v>
      </c>
      <c r="B255" s="67">
        <v>31.0</v>
      </c>
      <c r="C255" s="31" t="s">
        <v>465</v>
      </c>
      <c r="D255" s="32" t="s">
        <v>1385</v>
      </c>
      <c r="E255" s="71" t="s">
        <v>2732</v>
      </c>
      <c r="F255" s="69" t="s">
        <v>1355</v>
      </c>
      <c r="G255" s="69" t="s">
        <v>2728</v>
      </c>
      <c r="H255" s="145"/>
      <c r="I255" s="145"/>
      <c r="J255" s="69">
        <v>5.0</v>
      </c>
      <c r="K255" s="69" t="str">
        <f>iferror(vlookup(E255,MasterClass!$C$2:$G988,5,false),"")</f>
        <v/>
      </c>
      <c r="L255" s="69">
        <v>3.0</v>
      </c>
      <c r="M255" s="69">
        <f t="shared" si="40"/>
        <v>5</v>
      </c>
      <c r="N255" s="69">
        <f t="shared" si="41"/>
        <v>3</v>
      </c>
      <c r="O255" s="146">
        <f t="shared" si="42"/>
        <v>0.6</v>
      </c>
      <c r="P255" s="146"/>
      <c r="Q255" s="70"/>
      <c r="R255" s="63"/>
      <c r="S255" s="63"/>
      <c r="T255" s="63"/>
      <c r="U255" s="63"/>
      <c r="V255" s="63"/>
      <c r="W255" s="63"/>
      <c r="X255" s="63"/>
      <c r="Y255" s="63"/>
      <c r="Z255" s="63"/>
      <c r="AA255" s="63"/>
      <c r="AB255" s="63"/>
      <c r="AC255" s="63"/>
      <c r="AD255" s="63"/>
      <c r="AE255" s="63"/>
      <c r="AF255" s="63"/>
      <c r="AG255" s="63"/>
      <c r="AH255" s="63"/>
      <c r="AI255" s="63"/>
      <c r="AJ255" s="63"/>
    </row>
    <row r="256">
      <c r="A256" s="135">
        <v>257.0</v>
      </c>
      <c r="B256" s="67">
        <v>32.0</v>
      </c>
      <c r="C256" s="31" t="s">
        <v>467</v>
      </c>
      <c r="D256" s="32" t="s">
        <v>1386</v>
      </c>
      <c r="E256" s="71" t="s">
        <v>2733</v>
      </c>
      <c r="F256" s="69" t="s">
        <v>1355</v>
      </c>
      <c r="G256" s="69" t="s">
        <v>2551</v>
      </c>
      <c r="H256" s="145">
        <v>3.0</v>
      </c>
      <c r="I256" s="145">
        <v>1.0</v>
      </c>
      <c r="J256" s="69">
        <v>5.0</v>
      </c>
      <c r="K256" s="69" t="str">
        <f>iferror(vlookup(E256,MasterClass!$C$2:$G988,5,false),"")</f>
        <v/>
      </c>
      <c r="L256" s="69">
        <v>1.0</v>
      </c>
      <c r="M256" s="69">
        <f t="shared" si="40"/>
        <v>8</v>
      </c>
      <c r="N256" s="69">
        <f t="shared" si="41"/>
        <v>2</v>
      </c>
      <c r="O256" s="146">
        <f t="shared" si="42"/>
        <v>0.25</v>
      </c>
      <c r="P256" s="69" t="s">
        <v>2508</v>
      </c>
      <c r="Q256" s="69"/>
      <c r="R256" s="63"/>
      <c r="S256" s="63"/>
      <c r="T256" s="63"/>
      <c r="U256" s="63"/>
      <c r="V256" s="63"/>
      <c r="W256" s="63"/>
      <c r="X256" s="63"/>
      <c r="Y256" s="63"/>
      <c r="Z256" s="63"/>
      <c r="AA256" s="63"/>
      <c r="AB256" s="63"/>
      <c r="AC256" s="63"/>
      <c r="AD256" s="63"/>
      <c r="AE256" s="63"/>
      <c r="AF256" s="63"/>
      <c r="AG256" s="63"/>
      <c r="AH256" s="63"/>
      <c r="AI256" s="63"/>
      <c r="AJ256" s="63"/>
    </row>
    <row r="257">
      <c r="A257" s="135">
        <v>258.0</v>
      </c>
      <c r="B257" s="67">
        <v>33.0</v>
      </c>
      <c r="C257" s="31" t="s">
        <v>469</v>
      </c>
      <c r="D257" s="32" t="s">
        <v>1387</v>
      </c>
      <c r="E257" s="71" t="s">
        <v>2734</v>
      </c>
      <c r="F257" s="69" t="s">
        <v>1355</v>
      </c>
      <c r="G257" s="69" t="s">
        <v>2701</v>
      </c>
      <c r="H257" s="145">
        <v>3.0</v>
      </c>
      <c r="I257" s="145">
        <v>2.0</v>
      </c>
      <c r="J257" s="69">
        <v>5.0</v>
      </c>
      <c r="K257" s="69" t="str">
        <f>iferror(vlookup(E257,MasterClass!$C$2:$G988,5,false),"")</f>
        <v/>
      </c>
      <c r="L257" s="69">
        <v>3.0</v>
      </c>
      <c r="M257" s="69">
        <f t="shared" si="40"/>
        <v>8</v>
      </c>
      <c r="N257" s="69">
        <f t="shared" si="41"/>
        <v>5</v>
      </c>
      <c r="O257" s="146">
        <f t="shared" si="42"/>
        <v>0.625</v>
      </c>
      <c r="P257" s="146"/>
      <c r="Q257" s="70"/>
      <c r="R257" s="63"/>
      <c r="S257" s="63"/>
      <c r="T257" s="63"/>
      <c r="U257" s="63"/>
      <c r="V257" s="63"/>
      <c r="W257" s="63"/>
      <c r="X257" s="63"/>
      <c r="Y257" s="63"/>
      <c r="Z257" s="63"/>
      <c r="AA257" s="63"/>
      <c r="AB257" s="63"/>
      <c r="AC257" s="63"/>
      <c r="AD257" s="63"/>
      <c r="AE257" s="63"/>
      <c r="AF257" s="63"/>
      <c r="AG257" s="63"/>
      <c r="AH257" s="63"/>
      <c r="AI257" s="63"/>
      <c r="AJ257" s="63"/>
    </row>
    <row r="258">
      <c r="A258" s="135">
        <v>259.0</v>
      </c>
      <c r="B258" s="67">
        <v>34.0</v>
      </c>
      <c r="C258" s="31" t="s">
        <v>471</v>
      </c>
      <c r="D258" s="32" t="s">
        <v>1388</v>
      </c>
      <c r="E258" s="71" t="s">
        <v>2735</v>
      </c>
      <c r="F258" s="69" t="s">
        <v>1355</v>
      </c>
      <c r="G258" s="69" t="s">
        <v>2728</v>
      </c>
      <c r="H258" s="145"/>
      <c r="I258" s="145"/>
      <c r="J258" s="69">
        <v>5.0</v>
      </c>
      <c r="K258" s="69" t="str">
        <f>iferror(vlookup(E258,MasterClass!$C$2:$G988,5,false),"")</f>
        <v/>
      </c>
      <c r="L258" s="69">
        <v>2.0</v>
      </c>
      <c r="M258" s="69">
        <f t="shared" si="40"/>
        <v>5</v>
      </c>
      <c r="N258" s="69">
        <f t="shared" si="41"/>
        <v>2</v>
      </c>
      <c r="O258" s="146">
        <f t="shared" si="42"/>
        <v>0.4</v>
      </c>
      <c r="P258" s="146"/>
      <c r="Q258" s="70"/>
      <c r="R258" s="63"/>
      <c r="S258" s="63"/>
      <c r="T258" s="63"/>
      <c r="U258" s="63"/>
      <c r="V258" s="63"/>
      <c r="W258" s="63"/>
      <c r="X258" s="63"/>
      <c r="Y258" s="63"/>
      <c r="Z258" s="63"/>
      <c r="AA258" s="63"/>
      <c r="AB258" s="63"/>
      <c r="AC258" s="63"/>
      <c r="AD258" s="63"/>
      <c r="AE258" s="63"/>
      <c r="AF258" s="63"/>
      <c r="AG258" s="63"/>
      <c r="AH258" s="63"/>
      <c r="AI258" s="63"/>
      <c r="AJ258" s="63"/>
    </row>
    <row r="259">
      <c r="A259" s="135">
        <v>260.0</v>
      </c>
      <c r="B259" s="67">
        <v>35.0</v>
      </c>
      <c r="C259" s="31" t="s">
        <v>473</v>
      </c>
      <c r="D259" s="32" t="s">
        <v>1389</v>
      </c>
      <c r="E259" s="71" t="s">
        <v>2736</v>
      </c>
      <c r="F259" s="69" t="s">
        <v>1355</v>
      </c>
      <c r="G259" s="69" t="s">
        <v>2728</v>
      </c>
      <c r="H259" s="145"/>
      <c r="I259" s="145"/>
      <c r="J259" s="69">
        <v>5.0</v>
      </c>
      <c r="K259" s="69" t="str">
        <f>iferror(vlookup(E259,MasterClass!$C$2:$G988,5,false),"")</f>
        <v/>
      </c>
      <c r="L259" s="69">
        <v>1.0</v>
      </c>
      <c r="M259" s="69">
        <f t="shared" si="40"/>
        <v>5</v>
      </c>
      <c r="N259" s="69">
        <f t="shared" si="41"/>
        <v>1</v>
      </c>
      <c r="O259" s="146">
        <f t="shared" si="42"/>
        <v>0.2</v>
      </c>
      <c r="P259" s="146"/>
      <c r="Q259" s="70"/>
      <c r="R259" s="63"/>
      <c r="S259" s="63"/>
      <c r="T259" s="63"/>
      <c r="U259" s="63"/>
      <c r="V259" s="63"/>
      <c r="W259" s="63"/>
      <c r="X259" s="63"/>
      <c r="Y259" s="63"/>
      <c r="Z259" s="63"/>
      <c r="AA259" s="63"/>
      <c r="AB259" s="63"/>
      <c r="AC259" s="63"/>
      <c r="AD259" s="63"/>
      <c r="AE259" s="63"/>
      <c r="AF259" s="63"/>
      <c r="AG259" s="63"/>
      <c r="AH259" s="63"/>
      <c r="AI259" s="63"/>
      <c r="AJ259" s="63"/>
    </row>
    <row r="260">
      <c r="A260" s="135">
        <v>261.0</v>
      </c>
      <c r="B260" s="67">
        <v>36.0</v>
      </c>
      <c r="C260" s="31" t="s">
        <v>475</v>
      </c>
      <c r="D260" s="32" t="s">
        <v>1390</v>
      </c>
      <c r="E260" s="71" t="s">
        <v>2737</v>
      </c>
      <c r="F260" s="69" t="s">
        <v>1355</v>
      </c>
      <c r="G260" s="69" t="s">
        <v>2728</v>
      </c>
      <c r="H260" s="145"/>
      <c r="I260" s="145"/>
      <c r="J260" s="69">
        <v>5.0</v>
      </c>
      <c r="K260" s="69" t="str">
        <f>iferror(vlookup(E260,MasterClass!$C$2:$G988,5,false),"")</f>
        <v/>
      </c>
      <c r="L260" s="69">
        <v>1.0</v>
      </c>
      <c r="M260" s="69">
        <f t="shared" si="40"/>
        <v>5</v>
      </c>
      <c r="N260" s="69">
        <f t="shared" si="41"/>
        <v>1</v>
      </c>
      <c r="O260" s="146">
        <f t="shared" si="42"/>
        <v>0.2</v>
      </c>
      <c r="P260" s="146"/>
      <c r="Q260" s="70"/>
      <c r="R260" s="63"/>
      <c r="S260" s="63"/>
      <c r="T260" s="63"/>
      <c r="U260" s="63"/>
      <c r="V260" s="63"/>
      <c r="W260" s="63"/>
      <c r="X260" s="63"/>
      <c r="Y260" s="63"/>
      <c r="Z260" s="63"/>
      <c r="AA260" s="63"/>
      <c r="AB260" s="63"/>
      <c r="AC260" s="63"/>
      <c r="AD260" s="63"/>
      <c r="AE260" s="63"/>
      <c r="AF260" s="63"/>
      <c r="AG260" s="63"/>
      <c r="AH260" s="63"/>
      <c r="AI260" s="63"/>
      <c r="AJ260" s="63"/>
    </row>
    <row r="261">
      <c r="A261" s="135">
        <v>262.0</v>
      </c>
      <c r="B261" s="67">
        <v>37.0</v>
      </c>
      <c r="C261" s="31" t="s">
        <v>477</v>
      </c>
      <c r="D261" s="32" t="s">
        <v>1391</v>
      </c>
      <c r="E261" s="71" t="s">
        <v>2738</v>
      </c>
      <c r="F261" s="69" t="s">
        <v>1355</v>
      </c>
      <c r="G261" s="69" t="s">
        <v>2701</v>
      </c>
      <c r="H261" s="145">
        <v>3.0</v>
      </c>
      <c r="I261" s="145">
        <v>1.0</v>
      </c>
      <c r="J261" s="69">
        <v>5.0</v>
      </c>
      <c r="K261" s="69" t="str">
        <f>iferror(vlookup(E261,MasterClass!$C$2:$G988,5,false),"")</f>
        <v/>
      </c>
      <c r="L261" s="69">
        <v>3.0</v>
      </c>
      <c r="M261" s="69">
        <f t="shared" si="40"/>
        <v>8</v>
      </c>
      <c r="N261" s="69">
        <f t="shared" si="41"/>
        <v>4</v>
      </c>
      <c r="O261" s="146">
        <f t="shared" si="42"/>
        <v>0.5</v>
      </c>
      <c r="P261" s="146"/>
      <c r="Q261" s="70"/>
      <c r="R261" s="63"/>
      <c r="S261" s="63"/>
      <c r="T261" s="63"/>
      <c r="U261" s="63"/>
      <c r="V261" s="63"/>
      <c r="W261" s="63"/>
      <c r="X261" s="63"/>
      <c r="Y261" s="63"/>
      <c r="Z261" s="63"/>
      <c r="AA261" s="63"/>
      <c r="AB261" s="63"/>
      <c r="AC261" s="63"/>
      <c r="AD261" s="63"/>
      <c r="AE261" s="63"/>
      <c r="AF261" s="63"/>
      <c r="AG261" s="63"/>
      <c r="AH261" s="63"/>
      <c r="AI261" s="63"/>
      <c r="AJ261" s="63"/>
    </row>
    <row r="262">
      <c r="A262" s="135">
        <v>263.0</v>
      </c>
      <c r="B262" s="67">
        <v>38.0</v>
      </c>
      <c r="C262" s="31" t="s">
        <v>479</v>
      </c>
      <c r="D262" s="32" t="s">
        <v>1392</v>
      </c>
      <c r="E262" s="71" t="s">
        <v>2739</v>
      </c>
      <c r="F262" s="69" t="s">
        <v>1355</v>
      </c>
      <c r="G262" s="69" t="s">
        <v>2728</v>
      </c>
      <c r="H262" s="145"/>
      <c r="I262" s="145"/>
      <c r="J262" s="69">
        <v>5.0</v>
      </c>
      <c r="K262" s="69" t="str">
        <f>iferror(vlookup(E262,MasterClass!$C$2:$G988,5,false),"")</f>
        <v/>
      </c>
      <c r="L262" s="69">
        <v>1.0</v>
      </c>
      <c r="M262" s="69">
        <f t="shared" si="40"/>
        <v>5</v>
      </c>
      <c r="N262" s="69">
        <f t="shared" si="41"/>
        <v>1</v>
      </c>
      <c r="O262" s="146">
        <f t="shared" si="42"/>
        <v>0.2</v>
      </c>
      <c r="P262" s="146"/>
      <c r="Q262" s="70"/>
      <c r="R262" s="63"/>
      <c r="S262" s="63"/>
      <c r="T262" s="63"/>
      <c r="U262" s="63"/>
      <c r="V262" s="63"/>
      <c r="W262" s="63"/>
      <c r="X262" s="63"/>
      <c r="Y262" s="63"/>
      <c r="Z262" s="63"/>
      <c r="AA262" s="63"/>
      <c r="AB262" s="63"/>
      <c r="AC262" s="63"/>
      <c r="AD262" s="63"/>
      <c r="AE262" s="63"/>
      <c r="AF262" s="63"/>
      <c r="AG262" s="63"/>
      <c r="AH262" s="63"/>
      <c r="AI262" s="63"/>
      <c r="AJ262" s="63"/>
    </row>
    <row r="263">
      <c r="A263" s="135">
        <v>264.0</v>
      </c>
      <c r="B263" s="67">
        <v>39.0</v>
      </c>
      <c r="C263" s="31" t="s">
        <v>481</v>
      </c>
      <c r="D263" s="32" t="s">
        <v>1393</v>
      </c>
      <c r="E263" s="71" t="s">
        <v>2740</v>
      </c>
      <c r="F263" s="69" t="s">
        <v>1355</v>
      </c>
      <c r="G263" s="69" t="s">
        <v>2728</v>
      </c>
      <c r="H263" s="145"/>
      <c r="I263" s="145"/>
      <c r="J263" s="69">
        <v>5.0</v>
      </c>
      <c r="K263" s="69" t="str">
        <f>iferror(vlookup(E263,MasterClass!$C$2:$G988,5,false),"")</f>
        <v/>
      </c>
      <c r="L263" s="69">
        <v>2.0</v>
      </c>
      <c r="M263" s="69">
        <f t="shared" si="40"/>
        <v>5</v>
      </c>
      <c r="N263" s="69">
        <f t="shared" si="41"/>
        <v>2</v>
      </c>
      <c r="O263" s="146">
        <f t="shared" si="42"/>
        <v>0.4</v>
      </c>
      <c r="P263" s="146"/>
      <c r="Q263" s="70"/>
      <c r="R263" s="63"/>
      <c r="S263" s="63"/>
      <c r="T263" s="63"/>
      <c r="U263" s="63"/>
      <c r="V263" s="63"/>
      <c r="W263" s="63"/>
      <c r="X263" s="63"/>
      <c r="Y263" s="63"/>
      <c r="Z263" s="63"/>
      <c r="AA263" s="63"/>
      <c r="AB263" s="63"/>
      <c r="AC263" s="63"/>
      <c r="AD263" s="63"/>
      <c r="AE263" s="63"/>
      <c r="AF263" s="63"/>
      <c r="AG263" s="63"/>
      <c r="AH263" s="63"/>
      <c r="AI263" s="63"/>
      <c r="AJ263" s="63"/>
    </row>
    <row r="264">
      <c r="A264" s="135">
        <v>265.0</v>
      </c>
      <c r="B264" s="67">
        <v>40.0</v>
      </c>
      <c r="C264" s="31" t="s">
        <v>483</v>
      </c>
      <c r="D264" s="32" t="s">
        <v>1394</v>
      </c>
      <c r="E264" s="71" t="s">
        <v>2741</v>
      </c>
      <c r="F264" s="69" t="s">
        <v>1355</v>
      </c>
      <c r="G264" s="69" t="s">
        <v>2728</v>
      </c>
      <c r="H264" s="145"/>
      <c r="I264" s="145"/>
      <c r="J264" s="69">
        <v>5.0</v>
      </c>
      <c r="K264" s="69" t="str">
        <f>iferror(vlookup(E264,MasterClass!$C$2:$G988,5,false),"")</f>
        <v/>
      </c>
      <c r="L264" s="69">
        <v>3.0</v>
      </c>
      <c r="M264" s="69">
        <f t="shared" si="40"/>
        <v>5</v>
      </c>
      <c r="N264" s="69">
        <f t="shared" si="41"/>
        <v>3</v>
      </c>
      <c r="O264" s="146">
        <f t="shared" si="42"/>
        <v>0.6</v>
      </c>
      <c r="P264" s="146"/>
      <c r="Q264" s="70"/>
      <c r="R264" s="63"/>
      <c r="S264" s="63"/>
      <c r="T264" s="63"/>
      <c r="U264" s="63"/>
      <c r="V264" s="63"/>
      <c r="W264" s="63"/>
      <c r="X264" s="63"/>
      <c r="Y264" s="63"/>
      <c r="Z264" s="63"/>
      <c r="AA264" s="63"/>
      <c r="AB264" s="63"/>
      <c r="AC264" s="63"/>
      <c r="AD264" s="63"/>
      <c r="AE264" s="63"/>
      <c r="AF264" s="63"/>
      <c r="AG264" s="63"/>
      <c r="AH264" s="63"/>
      <c r="AI264" s="63"/>
      <c r="AJ264" s="63"/>
    </row>
    <row r="265">
      <c r="A265" s="135">
        <v>266.0</v>
      </c>
      <c r="B265" s="67">
        <v>41.0</v>
      </c>
      <c r="C265" s="31" t="s">
        <v>485</v>
      </c>
      <c r="D265" s="32" t="s">
        <v>1395</v>
      </c>
      <c r="E265" s="71" t="s">
        <v>2742</v>
      </c>
      <c r="F265" s="69" t="s">
        <v>1355</v>
      </c>
      <c r="G265" s="69" t="s">
        <v>2728</v>
      </c>
      <c r="H265" s="145"/>
      <c r="I265" s="145"/>
      <c r="J265" s="69">
        <v>5.0</v>
      </c>
      <c r="K265" s="69" t="str">
        <f>iferror(vlookup(E265,MasterClass!$C$2:$G988,5,false),"")</f>
        <v/>
      </c>
      <c r="L265" s="69">
        <v>3.0</v>
      </c>
      <c r="M265" s="69">
        <f t="shared" si="40"/>
        <v>5</v>
      </c>
      <c r="N265" s="69">
        <f t="shared" si="41"/>
        <v>3</v>
      </c>
      <c r="O265" s="146">
        <f t="shared" si="42"/>
        <v>0.6</v>
      </c>
      <c r="P265" s="146"/>
      <c r="Q265" s="70"/>
      <c r="R265" s="63"/>
      <c r="S265" s="63"/>
      <c r="T265" s="63"/>
      <c r="U265" s="63"/>
      <c r="V265" s="63"/>
      <c r="W265" s="63"/>
      <c r="X265" s="63"/>
      <c r="Y265" s="63"/>
      <c r="Z265" s="63"/>
      <c r="AA265" s="63"/>
      <c r="AB265" s="63"/>
      <c r="AC265" s="63"/>
      <c r="AD265" s="63"/>
      <c r="AE265" s="63"/>
      <c r="AF265" s="63"/>
      <c r="AG265" s="63"/>
      <c r="AH265" s="63"/>
      <c r="AI265" s="63"/>
      <c r="AJ265" s="63"/>
    </row>
    <row r="266">
      <c r="A266" s="135">
        <v>267.0</v>
      </c>
      <c r="B266" s="67">
        <v>42.0</v>
      </c>
      <c r="C266" s="31" t="s">
        <v>487</v>
      </c>
      <c r="D266" s="32" t="s">
        <v>1396</v>
      </c>
      <c r="E266" s="71" t="s">
        <v>2743</v>
      </c>
      <c r="F266" s="69" t="s">
        <v>1355</v>
      </c>
      <c r="G266" s="69" t="s">
        <v>2728</v>
      </c>
      <c r="H266" s="145"/>
      <c r="I266" s="145"/>
      <c r="J266" s="69">
        <v>5.0</v>
      </c>
      <c r="K266" s="69" t="str">
        <f>iferror(vlookup(E266,MasterClass!$C$2:$G988,5,false),"")</f>
        <v/>
      </c>
      <c r="L266" s="69">
        <v>1.0</v>
      </c>
      <c r="M266" s="69">
        <f t="shared" si="40"/>
        <v>5</v>
      </c>
      <c r="N266" s="69">
        <f t="shared" si="41"/>
        <v>1</v>
      </c>
      <c r="O266" s="146">
        <f t="shared" si="42"/>
        <v>0.2</v>
      </c>
      <c r="P266" s="146"/>
      <c r="Q266" s="70"/>
      <c r="R266" s="63"/>
      <c r="S266" s="63"/>
      <c r="T266" s="63"/>
      <c r="U266" s="63"/>
      <c r="V266" s="63"/>
      <c r="W266" s="63"/>
      <c r="X266" s="63"/>
      <c r="Y266" s="63"/>
      <c r="Z266" s="63"/>
      <c r="AA266" s="63"/>
      <c r="AB266" s="63"/>
      <c r="AC266" s="63"/>
      <c r="AD266" s="63"/>
      <c r="AE266" s="63"/>
      <c r="AF266" s="63"/>
      <c r="AG266" s="63"/>
      <c r="AH266" s="63"/>
      <c r="AI266" s="63"/>
      <c r="AJ266" s="63"/>
    </row>
    <row r="267">
      <c r="A267" s="135">
        <v>268.0</v>
      </c>
      <c r="B267" s="67">
        <v>43.0</v>
      </c>
      <c r="C267" s="31" t="s">
        <v>489</v>
      </c>
      <c r="D267" s="32" t="s">
        <v>1397</v>
      </c>
      <c r="E267" s="71" t="s">
        <v>2744</v>
      </c>
      <c r="F267" s="69" t="s">
        <v>1355</v>
      </c>
      <c r="G267" s="69" t="s">
        <v>2728</v>
      </c>
      <c r="H267" s="145"/>
      <c r="I267" s="145"/>
      <c r="J267" s="69">
        <v>5.0</v>
      </c>
      <c r="K267" s="69" t="str">
        <f>iferror(vlookup(E267,MasterClass!$C$2:$G988,5,false),"")</f>
        <v/>
      </c>
      <c r="L267" s="69">
        <v>2.0</v>
      </c>
      <c r="M267" s="69">
        <f t="shared" si="40"/>
        <v>5</v>
      </c>
      <c r="N267" s="69">
        <f t="shared" si="41"/>
        <v>2</v>
      </c>
      <c r="O267" s="146">
        <f t="shared" si="42"/>
        <v>0.4</v>
      </c>
      <c r="P267" s="146"/>
      <c r="Q267" s="70"/>
      <c r="R267" s="63"/>
      <c r="S267" s="63"/>
      <c r="T267" s="63"/>
      <c r="U267" s="63"/>
      <c r="V267" s="63"/>
      <c r="W267" s="63"/>
      <c r="X267" s="63"/>
      <c r="Y267" s="63"/>
      <c r="Z267" s="63"/>
      <c r="AA267" s="63"/>
      <c r="AB267" s="63"/>
      <c r="AC267" s="63"/>
      <c r="AD267" s="63"/>
      <c r="AE267" s="63"/>
      <c r="AF267" s="63"/>
      <c r="AG267" s="63"/>
      <c r="AH267" s="63"/>
      <c r="AI267" s="63"/>
      <c r="AJ267" s="63"/>
    </row>
    <row r="268">
      <c r="A268" s="135">
        <v>269.0</v>
      </c>
      <c r="B268" s="67">
        <v>44.0</v>
      </c>
      <c r="C268" s="31" t="s">
        <v>491</v>
      </c>
      <c r="D268" s="32" t="s">
        <v>1398</v>
      </c>
      <c r="E268" s="71" t="s">
        <v>2745</v>
      </c>
      <c r="F268" s="69" t="s">
        <v>1355</v>
      </c>
      <c r="G268" s="69" t="s">
        <v>2701</v>
      </c>
      <c r="H268" s="145">
        <v>3.0</v>
      </c>
      <c r="I268" s="145">
        <v>2.0</v>
      </c>
      <c r="J268" s="69">
        <v>5.0</v>
      </c>
      <c r="K268" s="69" t="str">
        <f>iferror(vlookup(E268,MasterClass!$C$2:$G988,5,false),"")</f>
        <v/>
      </c>
      <c r="L268" s="69">
        <v>4.0</v>
      </c>
      <c r="M268" s="69">
        <f t="shared" si="40"/>
        <v>8</v>
      </c>
      <c r="N268" s="69">
        <f t="shared" si="41"/>
        <v>6</v>
      </c>
      <c r="O268" s="146">
        <f t="shared" si="42"/>
        <v>0.75</v>
      </c>
      <c r="P268" s="146"/>
      <c r="Q268" s="70"/>
      <c r="R268" s="63"/>
      <c r="S268" s="63"/>
      <c r="T268" s="63"/>
      <c r="U268" s="63"/>
      <c r="V268" s="63"/>
      <c r="W268" s="63"/>
      <c r="X268" s="63"/>
      <c r="Y268" s="63"/>
      <c r="Z268" s="63"/>
      <c r="AA268" s="63"/>
      <c r="AB268" s="63"/>
      <c r="AC268" s="63"/>
      <c r="AD268" s="63"/>
      <c r="AE268" s="63"/>
      <c r="AF268" s="63"/>
      <c r="AG268" s="63"/>
      <c r="AH268" s="63"/>
      <c r="AI268" s="63"/>
      <c r="AJ268" s="63"/>
    </row>
    <row r="269">
      <c r="A269" s="135">
        <v>270.0</v>
      </c>
      <c r="B269" s="67">
        <v>45.0</v>
      </c>
      <c r="C269" s="31" t="s">
        <v>493</v>
      </c>
      <c r="D269" s="32" t="s">
        <v>1399</v>
      </c>
      <c r="E269" s="71" t="s">
        <v>2746</v>
      </c>
      <c r="F269" s="69" t="s">
        <v>1355</v>
      </c>
      <c r="G269" s="69" t="s">
        <v>2728</v>
      </c>
      <c r="H269" s="145"/>
      <c r="I269" s="145"/>
      <c r="J269" s="69">
        <v>5.0</v>
      </c>
      <c r="K269" s="69" t="str">
        <f>iferror(vlookup(E269,MasterClass!$C$2:$G988,5,false),"")</f>
        <v/>
      </c>
      <c r="L269" s="69">
        <v>2.0</v>
      </c>
      <c r="M269" s="69">
        <f t="shared" si="40"/>
        <v>5</v>
      </c>
      <c r="N269" s="69">
        <f t="shared" si="41"/>
        <v>2</v>
      </c>
      <c r="O269" s="146">
        <f t="shared" si="42"/>
        <v>0.4</v>
      </c>
      <c r="P269" s="146"/>
      <c r="Q269" s="70"/>
      <c r="R269" s="63"/>
      <c r="S269" s="63"/>
      <c r="T269" s="63"/>
      <c r="U269" s="63"/>
      <c r="V269" s="63"/>
      <c r="W269" s="63"/>
      <c r="X269" s="63"/>
      <c r="Y269" s="63"/>
      <c r="Z269" s="63"/>
      <c r="AA269" s="63"/>
      <c r="AB269" s="63"/>
      <c r="AC269" s="63"/>
      <c r="AD269" s="63"/>
      <c r="AE269" s="63"/>
      <c r="AF269" s="63"/>
      <c r="AG269" s="63"/>
      <c r="AH269" s="63"/>
      <c r="AI269" s="63"/>
      <c r="AJ269" s="63"/>
    </row>
    <row r="270">
      <c r="A270" s="135">
        <v>271.0</v>
      </c>
      <c r="B270" s="63"/>
      <c r="C270" s="63"/>
      <c r="D270" s="63"/>
      <c r="E270" s="149"/>
      <c r="F270" s="63"/>
      <c r="G270" s="63"/>
      <c r="H270" s="63"/>
      <c r="I270" s="63"/>
      <c r="J270" s="63"/>
      <c r="K270" s="150" t="str">
        <f>iferror(vlookup(E270,MasterClass!$C$2:$G988,5,false),"")</f>
        <v/>
      </c>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row>
    <row r="271">
      <c r="A271" s="135">
        <v>272.0</v>
      </c>
      <c r="B271" s="62" t="s">
        <v>3</v>
      </c>
      <c r="C271" s="63"/>
      <c r="D271" s="62" t="s">
        <v>4</v>
      </c>
      <c r="E271" s="149" t="s">
        <v>4</v>
      </c>
      <c r="F271" s="63"/>
      <c r="G271" s="63"/>
      <c r="H271" s="63"/>
      <c r="I271" s="63"/>
      <c r="J271" s="63"/>
      <c r="K271" s="150" t="str">
        <f>iferror(vlookup(E271,MasterClass!$C$2:$G988,5,false),"")</f>
        <v/>
      </c>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row>
    <row r="272">
      <c r="A272" s="135">
        <v>273.0</v>
      </c>
      <c r="B272" s="62" t="s">
        <v>5</v>
      </c>
      <c r="C272" s="63"/>
      <c r="D272" s="62" t="s">
        <v>496</v>
      </c>
      <c r="E272" s="149" t="s">
        <v>496</v>
      </c>
      <c r="F272" s="63"/>
      <c r="G272" s="63"/>
      <c r="H272" s="63"/>
      <c r="I272" s="63"/>
      <c r="J272" s="63"/>
      <c r="K272" s="150" t="str">
        <f>iferror(vlookup(E272,MasterClass!$C$2:$G988,5,false),"")</f>
        <v/>
      </c>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row>
    <row r="273">
      <c r="A273" s="135">
        <v>274.0</v>
      </c>
      <c r="B273" s="62" t="s">
        <v>7</v>
      </c>
      <c r="C273" s="63"/>
      <c r="D273" s="62" t="s">
        <v>8</v>
      </c>
      <c r="E273" s="149" t="s">
        <v>8</v>
      </c>
      <c r="F273" s="63"/>
      <c r="G273" s="63"/>
      <c r="H273" s="63"/>
      <c r="I273" s="63"/>
      <c r="J273" s="63"/>
      <c r="K273" s="150" t="str">
        <f>iferror(vlookup(E273,MasterClass!$C$2:$G988,5,false),"")</f>
        <v/>
      </c>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row>
    <row r="274">
      <c r="A274" s="135">
        <v>275.0</v>
      </c>
      <c r="B274" s="63"/>
      <c r="C274" s="63"/>
      <c r="D274" s="63"/>
      <c r="E274" s="149"/>
      <c r="F274" s="63"/>
      <c r="G274" s="63"/>
      <c r="H274" s="63"/>
      <c r="I274" s="63"/>
      <c r="J274" s="63"/>
      <c r="K274" s="150" t="str">
        <f>iferror(vlookup(E274,MasterClass!$C$2:$G988,5,false),"")</f>
        <v/>
      </c>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row>
    <row r="275">
      <c r="A275" s="135">
        <v>277.0</v>
      </c>
      <c r="B275" s="80" t="s">
        <v>9</v>
      </c>
      <c r="C275" s="81" t="s">
        <v>10</v>
      </c>
      <c r="D275" s="80" t="s">
        <v>11</v>
      </c>
      <c r="E275" s="174"/>
      <c r="F275" s="85" t="s">
        <v>5</v>
      </c>
      <c r="G275" s="175"/>
      <c r="H275" s="153" t="s">
        <v>2492</v>
      </c>
      <c r="I275" s="175"/>
      <c r="J275" s="154" t="s">
        <v>2493</v>
      </c>
      <c r="K275" s="175"/>
      <c r="L275" s="175"/>
      <c r="M275" s="176" t="s">
        <v>2489</v>
      </c>
      <c r="N275" s="85" t="s">
        <v>2490</v>
      </c>
      <c r="O275" s="162" t="s">
        <v>18</v>
      </c>
      <c r="P275" s="82" t="s">
        <v>2491</v>
      </c>
      <c r="Q275" s="83" t="s">
        <v>19</v>
      </c>
      <c r="R275" s="63"/>
      <c r="S275" s="63"/>
      <c r="T275" s="63"/>
      <c r="U275" s="63"/>
      <c r="V275" s="63"/>
      <c r="W275" s="63"/>
      <c r="X275" s="63"/>
      <c r="Y275" s="63"/>
      <c r="Z275" s="63"/>
      <c r="AA275" s="63"/>
      <c r="AB275" s="63"/>
      <c r="AC275" s="63"/>
      <c r="AD275" s="63"/>
      <c r="AE275" s="63"/>
      <c r="AF275" s="63"/>
      <c r="AG275" s="63"/>
      <c r="AH275" s="63"/>
      <c r="AI275" s="63"/>
      <c r="AJ275" s="63"/>
    </row>
    <row r="276">
      <c r="A276" s="135">
        <v>278.0</v>
      </c>
      <c r="B276" s="20"/>
      <c r="C276" s="20"/>
      <c r="D276" s="20"/>
      <c r="E276" s="174"/>
      <c r="F276" s="20"/>
      <c r="G276" s="164" t="s">
        <v>2483</v>
      </c>
      <c r="H276" s="158" t="s">
        <v>2484</v>
      </c>
      <c r="I276" s="164" t="s">
        <v>2485</v>
      </c>
      <c r="J276" s="165" t="s">
        <v>2486</v>
      </c>
      <c r="K276" s="166" t="s">
        <v>2487</v>
      </c>
      <c r="L276" s="164" t="s">
        <v>2488</v>
      </c>
      <c r="M276" s="20"/>
      <c r="N276" s="20"/>
      <c r="O276" s="20"/>
      <c r="P276" s="20"/>
      <c r="Q276" s="20"/>
      <c r="R276" s="63"/>
      <c r="S276" s="63"/>
      <c r="T276" s="63"/>
      <c r="U276" s="63"/>
      <c r="V276" s="63"/>
      <c r="W276" s="63"/>
      <c r="X276" s="63"/>
      <c r="Y276" s="63"/>
      <c r="Z276" s="63"/>
      <c r="AA276" s="63"/>
      <c r="AB276" s="63"/>
      <c r="AC276" s="63"/>
      <c r="AD276" s="63"/>
      <c r="AE276" s="63"/>
      <c r="AF276" s="63"/>
      <c r="AG276" s="63"/>
      <c r="AH276" s="63"/>
      <c r="AI276" s="63"/>
      <c r="AJ276" s="63"/>
    </row>
    <row r="277">
      <c r="A277" s="135">
        <v>279.0</v>
      </c>
      <c r="B277" s="67">
        <v>1.0</v>
      </c>
      <c r="C277" s="31" t="s">
        <v>497</v>
      </c>
      <c r="D277" s="68" t="s">
        <v>1400</v>
      </c>
      <c r="E277" s="71" t="s">
        <v>2747</v>
      </c>
      <c r="F277" s="69" t="s">
        <v>1401</v>
      </c>
      <c r="G277" s="69" t="s">
        <v>2748</v>
      </c>
      <c r="H277" s="145">
        <v>3.0</v>
      </c>
      <c r="I277" s="145">
        <v>1.0</v>
      </c>
      <c r="J277" s="69">
        <v>5.0</v>
      </c>
      <c r="K277" s="69" t="str">
        <f>iferror(vlookup(E277,MasterClass!$C$2:$G988,5,false),"")</f>
        <v/>
      </c>
      <c r="L277" s="69">
        <v>1.0</v>
      </c>
      <c r="M277" s="69">
        <f t="shared" ref="M277:M281" si="43">J277+H277</f>
        <v>8</v>
      </c>
      <c r="N277" s="69">
        <f t="shared" ref="N277:N281" si="44">I277+L277+K277</f>
        <v>2</v>
      </c>
      <c r="O277" s="146">
        <f t="shared" ref="O277:O281" si="45">N277/M277</f>
        <v>0.25</v>
      </c>
      <c r="P277" s="146"/>
      <c r="Q277" s="70"/>
      <c r="R277" s="63"/>
      <c r="S277" s="63"/>
      <c r="T277" s="63"/>
      <c r="U277" s="63"/>
      <c r="V277" s="63"/>
      <c r="W277" s="63"/>
      <c r="X277" s="63"/>
      <c r="Y277" s="63"/>
      <c r="Z277" s="63"/>
      <c r="AA277" s="63"/>
      <c r="AB277" s="63"/>
      <c r="AC277" s="63"/>
      <c r="AD277" s="63"/>
      <c r="AE277" s="63"/>
      <c r="AF277" s="63"/>
      <c r="AG277" s="63"/>
      <c r="AH277" s="63"/>
      <c r="AI277" s="63"/>
      <c r="AJ277" s="63"/>
    </row>
    <row r="278">
      <c r="A278" s="135">
        <v>280.0</v>
      </c>
      <c r="B278" s="67">
        <v>2.0</v>
      </c>
      <c r="C278" s="31" t="s">
        <v>499</v>
      </c>
      <c r="D278" s="68" t="s">
        <v>1402</v>
      </c>
      <c r="E278" s="71" t="s">
        <v>2749</v>
      </c>
      <c r="F278" s="69" t="s">
        <v>1401</v>
      </c>
      <c r="G278" s="69" t="s">
        <v>2748</v>
      </c>
      <c r="H278" s="145">
        <v>3.0</v>
      </c>
      <c r="I278" s="145">
        <v>1.0</v>
      </c>
      <c r="J278" s="69">
        <v>5.0</v>
      </c>
      <c r="K278" s="69" t="str">
        <f>iferror(vlookup(E278,MasterClass!$C$2:$G988,5,false),"")</f>
        <v/>
      </c>
      <c r="L278" s="69">
        <v>0.0</v>
      </c>
      <c r="M278" s="69">
        <f t="shared" si="43"/>
        <v>8</v>
      </c>
      <c r="N278" s="69">
        <f t="shared" si="44"/>
        <v>1</v>
      </c>
      <c r="O278" s="146">
        <f t="shared" si="45"/>
        <v>0.125</v>
      </c>
      <c r="P278" s="146"/>
      <c r="Q278" s="70"/>
      <c r="R278" s="63"/>
      <c r="S278" s="63"/>
      <c r="T278" s="63"/>
      <c r="U278" s="63"/>
      <c r="V278" s="63"/>
      <c r="W278" s="63"/>
      <c r="X278" s="63"/>
      <c r="Y278" s="63"/>
      <c r="Z278" s="63"/>
      <c r="AA278" s="63"/>
      <c r="AB278" s="63"/>
      <c r="AC278" s="63"/>
      <c r="AD278" s="63"/>
      <c r="AE278" s="63"/>
      <c r="AF278" s="63"/>
      <c r="AG278" s="63"/>
      <c r="AH278" s="63"/>
      <c r="AI278" s="63"/>
      <c r="AJ278" s="63"/>
    </row>
    <row r="279">
      <c r="A279" s="135">
        <v>281.0</v>
      </c>
      <c r="B279" s="67">
        <v>3.0</v>
      </c>
      <c r="C279" s="31" t="s">
        <v>501</v>
      </c>
      <c r="D279" s="68" t="s">
        <v>1403</v>
      </c>
      <c r="E279" s="71" t="s">
        <v>2750</v>
      </c>
      <c r="F279" s="69" t="s">
        <v>1401</v>
      </c>
      <c r="G279" s="69" t="s">
        <v>2751</v>
      </c>
      <c r="H279" s="145">
        <v>3.0</v>
      </c>
      <c r="I279" s="145">
        <v>0.0</v>
      </c>
      <c r="J279" s="69">
        <v>5.0</v>
      </c>
      <c r="K279" s="69" t="str">
        <f>iferror(vlookup(E279,MasterClass!$C$2:$G988,5,false),"")</f>
        <v/>
      </c>
      <c r="L279" s="69">
        <v>2.0</v>
      </c>
      <c r="M279" s="69">
        <f t="shared" si="43"/>
        <v>8</v>
      </c>
      <c r="N279" s="69">
        <f t="shared" si="44"/>
        <v>2</v>
      </c>
      <c r="O279" s="146">
        <f t="shared" si="45"/>
        <v>0.25</v>
      </c>
      <c r="P279" s="146"/>
      <c r="Q279" s="70"/>
      <c r="R279" s="63"/>
      <c r="S279" s="63"/>
      <c r="T279" s="63"/>
      <c r="U279" s="63"/>
      <c r="V279" s="63"/>
      <c r="W279" s="63"/>
      <c r="X279" s="63"/>
      <c r="Y279" s="63"/>
      <c r="Z279" s="63"/>
      <c r="AA279" s="63"/>
      <c r="AB279" s="63"/>
      <c r="AC279" s="63"/>
      <c r="AD279" s="63"/>
      <c r="AE279" s="63"/>
      <c r="AF279" s="63"/>
      <c r="AG279" s="63"/>
      <c r="AH279" s="63"/>
      <c r="AI279" s="63"/>
      <c r="AJ279" s="63"/>
    </row>
    <row r="280">
      <c r="A280" s="135">
        <v>282.0</v>
      </c>
      <c r="B280" s="67">
        <v>4.0</v>
      </c>
      <c r="C280" s="31" t="s">
        <v>503</v>
      </c>
      <c r="D280" s="68" t="s">
        <v>1404</v>
      </c>
      <c r="E280" s="71" t="s">
        <v>2752</v>
      </c>
      <c r="F280" s="69" t="s">
        <v>1401</v>
      </c>
      <c r="G280" s="69" t="s">
        <v>2751</v>
      </c>
      <c r="H280" s="145">
        <v>3.0</v>
      </c>
      <c r="I280" s="145">
        <v>2.0</v>
      </c>
      <c r="J280" s="69">
        <v>5.0</v>
      </c>
      <c r="K280" s="69" t="str">
        <f>iferror(vlookup(E280,MasterClass!$C$2:$G988,5,false),"")</f>
        <v/>
      </c>
      <c r="L280" s="69">
        <v>3.0</v>
      </c>
      <c r="M280" s="69">
        <f t="shared" si="43"/>
        <v>8</v>
      </c>
      <c r="N280" s="69">
        <f t="shared" si="44"/>
        <v>5</v>
      </c>
      <c r="O280" s="146">
        <f t="shared" si="45"/>
        <v>0.625</v>
      </c>
      <c r="P280" s="146"/>
      <c r="Q280" s="70"/>
      <c r="R280" s="63"/>
      <c r="S280" s="63"/>
      <c r="T280" s="63"/>
      <c r="U280" s="63"/>
      <c r="V280" s="63"/>
      <c r="W280" s="63"/>
      <c r="X280" s="63"/>
      <c r="Y280" s="63"/>
      <c r="Z280" s="63"/>
      <c r="AA280" s="63"/>
      <c r="AB280" s="63"/>
      <c r="AC280" s="63"/>
      <c r="AD280" s="63"/>
      <c r="AE280" s="63"/>
      <c r="AF280" s="63"/>
      <c r="AG280" s="63"/>
      <c r="AH280" s="63"/>
      <c r="AI280" s="63"/>
      <c r="AJ280" s="63"/>
    </row>
    <row r="281">
      <c r="A281" s="135">
        <v>283.0</v>
      </c>
      <c r="B281" s="67">
        <v>5.0</v>
      </c>
      <c r="C281" s="31" t="s">
        <v>505</v>
      </c>
      <c r="D281" s="68" t="s">
        <v>1405</v>
      </c>
      <c r="E281" s="71" t="s">
        <v>2753</v>
      </c>
      <c r="F281" s="69" t="s">
        <v>1401</v>
      </c>
      <c r="G281" s="69" t="s">
        <v>2751</v>
      </c>
      <c r="H281" s="145">
        <v>3.0</v>
      </c>
      <c r="I281" s="145">
        <v>0.0</v>
      </c>
      <c r="J281" s="69">
        <v>5.0</v>
      </c>
      <c r="K281" s="69" t="str">
        <f>iferror(vlookup(E281,MasterClass!$C$2:$G988,5,false),"")</f>
        <v/>
      </c>
      <c r="L281" s="69">
        <v>2.0</v>
      </c>
      <c r="M281" s="69">
        <f t="shared" si="43"/>
        <v>8</v>
      </c>
      <c r="N281" s="69">
        <f t="shared" si="44"/>
        <v>2</v>
      </c>
      <c r="O281" s="146">
        <f t="shared" si="45"/>
        <v>0.25</v>
      </c>
      <c r="P281" s="146"/>
      <c r="Q281" s="70"/>
      <c r="R281" s="63"/>
      <c r="S281" s="63"/>
      <c r="T281" s="63"/>
      <c r="U281" s="63"/>
      <c r="V281" s="63"/>
      <c r="W281" s="63"/>
      <c r="X281" s="63"/>
      <c r="Y281" s="63"/>
      <c r="Z281" s="63"/>
      <c r="AA281" s="63"/>
      <c r="AB281" s="63"/>
      <c r="AC281" s="63"/>
      <c r="AD281" s="63"/>
      <c r="AE281" s="63"/>
      <c r="AF281" s="63"/>
      <c r="AG281" s="63"/>
      <c r="AH281" s="63"/>
      <c r="AI281" s="63"/>
      <c r="AJ281" s="63"/>
    </row>
    <row r="282">
      <c r="A282" s="135">
        <v>284.0</v>
      </c>
      <c r="B282" s="67">
        <v>6.0</v>
      </c>
      <c r="C282" s="31" t="s">
        <v>507</v>
      </c>
      <c r="D282" s="68" t="s">
        <v>1406</v>
      </c>
      <c r="E282" s="71" t="s">
        <v>2754</v>
      </c>
      <c r="F282" s="69" t="s">
        <v>1401</v>
      </c>
      <c r="G282" s="69" t="s">
        <v>1187</v>
      </c>
      <c r="H282" s="145" t="s">
        <v>1187</v>
      </c>
      <c r="I282" s="145" t="s">
        <v>1187</v>
      </c>
      <c r="J282" s="69" t="s">
        <v>1187</v>
      </c>
      <c r="K282" s="69" t="s">
        <v>1187</v>
      </c>
      <c r="L282" s="69" t="s">
        <v>1187</v>
      </c>
      <c r="M282" s="69" t="s">
        <v>1187</v>
      </c>
      <c r="N282" s="69" t="s">
        <v>1187</v>
      </c>
      <c r="O282" s="69" t="s">
        <v>1187</v>
      </c>
      <c r="P282" s="69" t="s">
        <v>2522</v>
      </c>
      <c r="Q282" s="70"/>
      <c r="R282" s="63"/>
      <c r="S282" s="63"/>
      <c r="T282" s="63"/>
      <c r="U282" s="63"/>
      <c r="V282" s="63"/>
      <c r="W282" s="63"/>
      <c r="X282" s="63"/>
      <c r="Y282" s="63"/>
      <c r="Z282" s="63"/>
      <c r="AA282" s="63"/>
      <c r="AB282" s="63"/>
      <c r="AC282" s="63"/>
      <c r="AD282" s="63"/>
      <c r="AE282" s="63"/>
      <c r="AF282" s="63"/>
      <c r="AG282" s="63"/>
      <c r="AH282" s="63"/>
      <c r="AI282" s="63"/>
      <c r="AJ282" s="63"/>
    </row>
    <row r="283">
      <c r="A283" s="135">
        <v>285.0</v>
      </c>
      <c r="B283" s="67">
        <v>7.0</v>
      </c>
      <c r="C283" s="31" t="s">
        <v>509</v>
      </c>
      <c r="D283" s="68" t="s">
        <v>1407</v>
      </c>
      <c r="E283" s="71" t="s">
        <v>2755</v>
      </c>
      <c r="F283" s="69" t="s">
        <v>1401</v>
      </c>
      <c r="G283" s="69" t="s">
        <v>2751</v>
      </c>
      <c r="H283" s="145">
        <v>3.0</v>
      </c>
      <c r="I283" s="145">
        <v>0.0</v>
      </c>
      <c r="J283" s="69">
        <v>5.0</v>
      </c>
      <c r="K283" s="69" t="str">
        <f>iferror(vlookup(E283,MasterClass!$C$2:$G988,5,false),"")</f>
        <v/>
      </c>
      <c r="L283" s="69">
        <v>1.0</v>
      </c>
      <c r="M283" s="69">
        <f t="shared" ref="M283:M296" si="46">J283+H283</f>
        <v>8</v>
      </c>
      <c r="N283" s="69">
        <f t="shared" ref="N283:N296" si="47">I283+L283+K283</f>
        <v>1</v>
      </c>
      <c r="O283" s="146">
        <f t="shared" ref="O283:O296" si="48">N283/M283</f>
        <v>0.125</v>
      </c>
      <c r="P283" s="146"/>
      <c r="Q283" s="70"/>
      <c r="R283" s="63"/>
      <c r="S283" s="63"/>
      <c r="T283" s="63"/>
      <c r="U283" s="63"/>
      <c r="V283" s="63"/>
      <c r="W283" s="63"/>
      <c r="X283" s="63"/>
      <c r="Y283" s="63"/>
      <c r="Z283" s="63"/>
      <c r="AA283" s="63"/>
      <c r="AB283" s="63"/>
      <c r="AC283" s="63"/>
      <c r="AD283" s="63"/>
      <c r="AE283" s="63"/>
      <c r="AF283" s="63"/>
      <c r="AG283" s="63"/>
      <c r="AH283" s="63"/>
      <c r="AI283" s="63"/>
      <c r="AJ283" s="63"/>
    </row>
    <row r="284">
      <c r="A284" s="135">
        <v>286.0</v>
      </c>
      <c r="B284" s="67">
        <v>8.0</v>
      </c>
      <c r="C284" s="31" t="s">
        <v>511</v>
      </c>
      <c r="D284" s="68" t="s">
        <v>1408</v>
      </c>
      <c r="E284" s="71" t="s">
        <v>2756</v>
      </c>
      <c r="F284" s="69" t="s">
        <v>1401</v>
      </c>
      <c r="G284" s="69" t="s">
        <v>2748</v>
      </c>
      <c r="H284" s="145">
        <v>3.0</v>
      </c>
      <c r="I284" s="145">
        <v>1.0</v>
      </c>
      <c r="J284" s="69">
        <v>5.0</v>
      </c>
      <c r="K284" s="69" t="str">
        <f>iferror(vlookup(E284,MasterClass!$C$2:$G988,5,false),"")</f>
        <v/>
      </c>
      <c r="L284" s="69">
        <v>1.0</v>
      </c>
      <c r="M284" s="69">
        <f t="shared" si="46"/>
        <v>8</v>
      </c>
      <c r="N284" s="69">
        <f t="shared" si="47"/>
        <v>2</v>
      </c>
      <c r="O284" s="146">
        <f t="shared" si="48"/>
        <v>0.25</v>
      </c>
      <c r="P284" s="146"/>
      <c r="Q284" s="70"/>
      <c r="R284" s="63"/>
      <c r="S284" s="63"/>
      <c r="T284" s="63"/>
      <c r="U284" s="63"/>
      <c r="V284" s="63"/>
      <c r="W284" s="63"/>
      <c r="X284" s="63"/>
      <c r="Y284" s="63"/>
      <c r="Z284" s="63"/>
      <c r="AA284" s="63"/>
      <c r="AB284" s="63"/>
      <c r="AC284" s="63"/>
      <c r="AD284" s="63"/>
      <c r="AE284" s="63"/>
      <c r="AF284" s="63"/>
      <c r="AG284" s="63"/>
      <c r="AH284" s="63"/>
      <c r="AI284" s="63"/>
      <c r="AJ284" s="63"/>
    </row>
    <row r="285">
      <c r="A285" s="135">
        <v>287.0</v>
      </c>
      <c r="B285" s="67">
        <v>9.0</v>
      </c>
      <c r="C285" s="31" t="s">
        <v>513</v>
      </c>
      <c r="D285" s="68" t="s">
        <v>1409</v>
      </c>
      <c r="E285" s="71" t="s">
        <v>2757</v>
      </c>
      <c r="F285" s="69" t="s">
        <v>1401</v>
      </c>
      <c r="G285" s="69" t="s">
        <v>2751</v>
      </c>
      <c r="H285" s="145">
        <v>3.0</v>
      </c>
      <c r="I285" s="145">
        <v>1.0</v>
      </c>
      <c r="J285" s="69">
        <v>5.0</v>
      </c>
      <c r="K285" s="69" t="str">
        <f>iferror(vlookup(E285,MasterClass!$C$2:$G988,5,false),"")</f>
        <v/>
      </c>
      <c r="L285" s="69">
        <v>1.0</v>
      </c>
      <c r="M285" s="69">
        <f t="shared" si="46"/>
        <v>8</v>
      </c>
      <c r="N285" s="69">
        <f t="shared" si="47"/>
        <v>2</v>
      </c>
      <c r="O285" s="146">
        <f t="shared" si="48"/>
        <v>0.25</v>
      </c>
      <c r="P285" s="146"/>
      <c r="Q285" s="70"/>
      <c r="R285" s="63"/>
      <c r="S285" s="63"/>
      <c r="T285" s="63"/>
      <c r="U285" s="63"/>
      <c r="V285" s="63"/>
      <c r="W285" s="63"/>
      <c r="X285" s="63"/>
      <c r="Y285" s="63"/>
      <c r="Z285" s="63"/>
      <c r="AA285" s="63"/>
      <c r="AB285" s="63"/>
      <c r="AC285" s="63"/>
      <c r="AD285" s="63"/>
      <c r="AE285" s="63"/>
      <c r="AF285" s="63"/>
      <c r="AG285" s="63"/>
      <c r="AH285" s="63"/>
      <c r="AI285" s="63"/>
      <c r="AJ285" s="63"/>
    </row>
    <row r="286">
      <c r="A286" s="135">
        <v>288.0</v>
      </c>
      <c r="B286" s="67">
        <v>10.0</v>
      </c>
      <c r="C286" s="31" t="s">
        <v>515</v>
      </c>
      <c r="D286" s="68" t="s">
        <v>1410</v>
      </c>
      <c r="E286" s="71" t="s">
        <v>2758</v>
      </c>
      <c r="F286" s="69" t="s">
        <v>1401</v>
      </c>
      <c r="G286" s="69" t="s">
        <v>2751</v>
      </c>
      <c r="H286" s="145"/>
      <c r="I286" s="145">
        <v>1.0</v>
      </c>
      <c r="J286" s="69">
        <v>5.0</v>
      </c>
      <c r="K286" s="69" t="str">
        <f>iferror(vlookup(E286,MasterClass!$C$2:$G988,5,false),"")</f>
        <v/>
      </c>
      <c r="L286" s="69">
        <v>1.0</v>
      </c>
      <c r="M286" s="69">
        <f t="shared" si="46"/>
        <v>5</v>
      </c>
      <c r="N286" s="69">
        <f t="shared" si="47"/>
        <v>2</v>
      </c>
      <c r="O286" s="146">
        <f t="shared" si="48"/>
        <v>0.4</v>
      </c>
      <c r="P286" s="146"/>
      <c r="Q286" s="70"/>
      <c r="R286" s="63"/>
      <c r="S286" s="63"/>
      <c r="T286" s="63"/>
      <c r="U286" s="63"/>
      <c r="V286" s="63"/>
      <c r="W286" s="63"/>
      <c r="X286" s="63"/>
      <c r="Y286" s="63"/>
      <c r="Z286" s="63"/>
      <c r="AA286" s="63"/>
      <c r="AB286" s="63"/>
      <c r="AC286" s="63"/>
      <c r="AD286" s="63"/>
      <c r="AE286" s="63"/>
      <c r="AF286" s="63"/>
      <c r="AG286" s="63"/>
      <c r="AH286" s="63"/>
      <c r="AI286" s="63"/>
      <c r="AJ286" s="63"/>
    </row>
    <row r="287">
      <c r="A287" s="135">
        <v>289.0</v>
      </c>
      <c r="B287" s="67">
        <v>11.0</v>
      </c>
      <c r="C287" s="31" t="s">
        <v>517</v>
      </c>
      <c r="D287" s="86" t="s">
        <v>1411</v>
      </c>
      <c r="E287" s="71" t="s">
        <v>2759</v>
      </c>
      <c r="F287" s="69" t="s">
        <v>1401</v>
      </c>
      <c r="G287" s="69" t="s">
        <v>2751</v>
      </c>
      <c r="H287" s="145">
        <v>3.0</v>
      </c>
      <c r="I287" s="145">
        <v>1.0</v>
      </c>
      <c r="J287" s="69">
        <v>5.0</v>
      </c>
      <c r="K287" s="69" t="str">
        <f>iferror(vlookup(E287,MasterClass!$C$2:$G988,5,false),"")</f>
        <v/>
      </c>
      <c r="L287" s="69">
        <v>3.0</v>
      </c>
      <c r="M287" s="69">
        <f t="shared" si="46"/>
        <v>8</v>
      </c>
      <c r="N287" s="69">
        <f t="shared" si="47"/>
        <v>4</v>
      </c>
      <c r="O287" s="146">
        <f t="shared" si="48"/>
        <v>0.5</v>
      </c>
      <c r="P287" s="146"/>
      <c r="Q287" s="70"/>
      <c r="R287" s="63"/>
      <c r="S287" s="63"/>
      <c r="T287" s="63"/>
      <c r="U287" s="63"/>
      <c r="V287" s="63"/>
      <c r="W287" s="63"/>
      <c r="X287" s="63"/>
      <c r="Y287" s="63"/>
      <c r="Z287" s="63"/>
      <c r="AA287" s="63"/>
      <c r="AB287" s="63"/>
      <c r="AC287" s="63"/>
      <c r="AD287" s="63"/>
      <c r="AE287" s="63"/>
      <c r="AF287" s="63"/>
      <c r="AG287" s="63"/>
      <c r="AH287" s="63"/>
      <c r="AI287" s="63"/>
      <c r="AJ287" s="63"/>
    </row>
    <row r="288">
      <c r="A288" s="135">
        <v>290.0</v>
      </c>
      <c r="B288" s="67">
        <v>12.0</v>
      </c>
      <c r="C288" s="31" t="s">
        <v>519</v>
      </c>
      <c r="D288" s="68" t="s">
        <v>1412</v>
      </c>
      <c r="E288" s="71" t="s">
        <v>2760</v>
      </c>
      <c r="F288" s="69" t="s">
        <v>1401</v>
      </c>
      <c r="G288" s="69" t="s">
        <v>2748</v>
      </c>
      <c r="H288" s="145">
        <v>3.0</v>
      </c>
      <c r="I288" s="145">
        <v>1.0</v>
      </c>
      <c r="J288" s="69">
        <v>5.0</v>
      </c>
      <c r="K288" s="69" t="str">
        <f>iferror(vlookup(E288,MasterClass!$C$2:$G988,5,false),"")</f>
        <v/>
      </c>
      <c r="L288" s="69">
        <v>0.0</v>
      </c>
      <c r="M288" s="69">
        <f t="shared" si="46"/>
        <v>8</v>
      </c>
      <c r="N288" s="69">
        <f t="shared" si="47"/>
        <v>1</v>
      </c>
      <c r="O288" s="146">
        <f t="shared" si="48"/>
        <v>0.125</v>
      </c>
      <c r="P288" s="146"/>
      <c r="Q288" s="70"/>
      <c r="R288" s="63"/>
      <c r="S288" s="63"/>
      <c r="T288" s="63"/>
      <c r="U288" s="63"/>
      <c r="V288" s="63"/>
      <c r="W288" s="63"/>
      <c r="X288" s="63"/>
      <c r="Y288" s="63"/>
      <c r="Z288" s="63"/>
      <c r="AA288" s="63"/>
      <c r="AB288" s="63"/>
      <c r="AC288" s="63"/>
      <c r="AD288" s="63"/>
      <c r="AE288" s="63"/>
      <c r="AF288" s="63"/>
      <c r="AG288" s="63"/>
      <c r="AH288" s="63"/>
      <c r="AI288" s="63"/>
      <c r="AJ288" s="63"/>
    </row>
    <row r="289">
      <c r="A289" s="135">
        <v>291.0</v>
      </c>
      <c r="B289" s="67">
        <v>13.0</v>
      </c>
      <c r="C289" s="31" t="s">
        <v>521</v>
      </c>
      <c r="D289" s="68" t="s">
        <v>1413</v>
      </c>
      <c r="E289" s="71" t="s">
        <v>2761</v>
      </c>
      <c r="F289" s="69" t="s">
        <v>1401</v>
      </c>
      <c r="G289" s="69" t="s">
        <v>2751</v>
      </c>
      <c r="H289" s="145">
        <v>3.0</v>
      </c>
      <c r="I289" s="145">
        <v>2.0</v>
      </c>
      <c r="J289" s="69">
        <v>5.0</v>
      </c>
      <c r="K289" s="69" t="str">
        <f>iferror(vlookup(E289,MasterClass!$C$2:$G988,5,false),"")</f>
        <v/>
      </c>
      <c r="L289" s="69">
        <v>2.0</v>
      </c>
      <c r="M289" s="69">
        <f t="shared" si="46"/>
        <v>8</v>
      </c>
      <c r="N289" s="69">
        <f t="shared" si="47"/>
        <v>4</v>
      </c>
      <c r="O289" s="146">
        <f t="shared" si="48"/>
        <v>0.5</v>
      </c>
      <c r="P289" s="146"/>
      <c r="Q289" s="70"/>
      <c r="R289" s="63"/>
      <c r="S289" s="63"/>
      <c r="T289" s="63"/>
      <c r="U289" s="63"/>
      <c r="V289" s="63"/>
      <c r="W289" s="63"/>
      <c r="X289" s="63"/>
      <c r="Y289" s="63"/>
      <c r="Z289" s="63"/>
      <c r="AA289" s="63"/>
      <c r="AB289" s="63"/>
      <c r="AC289" s="63"/>
      <c r="AD289" s="63"/>
      <c r="AE289" s="63"/>
      <c r="AF289" s="63"/>
      <c r="AG289" s="63"/>
      <c r="AH289" s="63"/>
      <c r="AI289" s="63"/>
      <c r="AJ289" s="63"/>
    </row>
    <row r="290">
      <c r="A290" s="135">
        <v>292.0</v>
      </c>
      <c r="B290" s="67">
        <v>14.0</v>
      </c>
      <c r="C290" s="31" t="s">
        <v>523</v>
      </c>
      <c r="D290" s="68" t="s">
        <v>1414</v>
      </c>
      <c r="E290" s="71" t="s">
        <v>2762</v>
      </c>
      <c r="F290" s="69" t="s">
        <v>1401</v>
      </c>
      <c r="G290" s="69" t="s">
        <v>2751</v>
      </c>
      <c r="H290" s="145">
        <v>3.0</v>
      </c>
      <c r="I290" s="145">
        <v>3.0</v>
      </c>
      <c r="J290" s="69">
        <v>5.0</v>
      </c>
      <c r="K290" s="69" t="str">
        <f>iferror(vlookup(E290,MasterClass!$C$2:$G988,5,false),"")</f>
        <v/>
      </c>
      <c r="L290" s="69">
        <v>4.0</v>
      </c>
      <c r="M290" s="69">
        <f t="shared" si="46"/>
        <v>8</v>
      </c>
      <c r="N290" s="69">
        <f t="shared" si="47"/>
        <v>7</v>
      </c>
      <c r="O290" s="146">
        <f t="shared" si="48"/>
        <v>0.875</v>
      </c>
      <c r="P290" s="146"/>
      <c r="Q290" s="70"/>
      <c r="R290" s="63"/>
      <c r="S290" s="63"/>
      <c r="T290" s="63"/>
      <c r="U290" s="63"/>
      <c r="V290" s="63"/>
      <c r="W290" s="63"/>
      <c r="X290" s="63"/>
      <c r="Y290" s="63"/>
      <c r="Z290" s="63"/>
      <c r="AA290" s="63"/>
      <c r="AB290" s="63"/>
      <c r="AC290" s="63"/>
      <c r="AD290" s="63"/>
      <c r="AE290" s="63"/>
      <c r="AF290" s="63"/>
      <c r="AG290" s="63"/>
      <c r="AH290" s="63"/>
      <c r="AI290" s="63"/>
      <c r="AJ290" s="63"/>
    </row>
    <row r="291">
      <c r="A291" s="135">
        <v>293.0</v>
      </c>
      <c r="B291" s="67">
        <v>15.0</v>
      </c>
      <c r="C291" s="31" t="s">
        <v>525</v>
      </c>
      <c r="D291" s="68" t="s">
        <v>1415</v>
      </c>
      <c r="E291" s="71" t="s">
        <v>2763</v>
      </c>
      <c r="F291" s="69" t="s">
        <v>1401</v>
      </c>
      <c r="G291" s="69" t="s">
        <v>2507</v>
      </c>
      <c r="H291" s="145">
        <v>3.0</v>
      </c>
      <c r="I291" s="145">
        <v>1.0</v>
      </c>
      <c r="J291" s="69">
        <v>5.0</v>
      </c>
      <c r="K291" s="69" t="str">
        <f>iferror(vlookup(E291,MasterClass!$C$2:$G988,5,false),"")</f>
        <v/>
      </c>
      <c r="L291" s="69">
        <v>3.0</v>
      </c>
      <c r="M291" s="69">
        <f t="shared" si="46"/>
        <v>8</v>
      </c>
      <c r="N291" s="69">
        <f t="shared" si="47"/>
        <v>4</v>
      </c>
      <c r="O291" s="146">
        <f t="shared" si="48"/>
        <v>0.5</v>
      </c>
      <c r="P291" s="69" t="s">
        <v>2508</v>
      </c>
      <c r="Q291" s="69"/>
      <c r="R291" s="63"/>
      <c r="S291" s="63"/>
      <c r="T291" s="63"/>
      <c r="U291" s="63"/>
      <c r="V291" s="63"/>
      <c r="W291" s="63"/>
      <c r="X291" s="63"/>
      <c r="Y291" s="63"/>
      <c r="Z291" s="63"/>
      <c r="AA291" s="63"/>
      <c r="AB291" s="63"/>
      <c r="AC291" s="63"/>
      <c r="AD291" s="63"/>
      <c r="AE291" s="63"/>
      <c r="AF291" s="63"/>
      <c r="AG291" s="63"/>
      <c r="AH291" s="63"/>
      <c r="AI291" s="63"/>
      <c r="AJ291" s="63"/>
    </row>
    <row r="292">
      <c r="A292" s="135">
        <v>294.0</v>
      </c>
      <c r="B292" s="67">
        <v>16.0</v>
      </c>
      <c r="C292" s="31" t="s">
        <v>527</v>
      </c>
      <c r="D292" s="68" t="s">
        <v>1416</v>
      </c>
      <c r="E292" s="71" t="s">
        <v>2764</v>
      </c>
      <c r="F292" s="69" t="s">
        <v>1401</v>
      </c>
      <c r="G292" s="69" t="s">
        <v>2748</v>
      </c>
      <c r="H292" s="145">
        <v>3.0</v>
      </c>
      <c r="I292" s="145">
        <v>1.0</v>
      </c>
      <c r="J292" s="69">
        <v>5.0</v>
      </c>
      <c r="K292" s="69" t="str">
        <f>iferror(vlookup(E292,MasterClass!$C$2:$G988,5,false),"")</f>
        <v/>
      </c>
      <c r="L292" s="69">
        <v>1.0</v>
      </c>
      <c r="M292" s="69">
        <f t="shared" si="46"/>
        <v>8</v>
      </c>
      <c r="N292" s="69">
        <f t="shared" si="47"/>
        <v>2</v>
      </c>
      <c r="O292" s="146">
        <f t="shared" si="48"/>
        <v>0.25</v>
      </c>
      <c r="P292" s="146"/>
      <c r="Q292" s="70"/>
      <c r="R292" s="63"/>
      <c r="S292" s="63"/>
      <c r="T292" s="63"/>
      <c r="U292" s="63"/>
      <c r="V292" s="63"/>
      <c r="W292" s="63"/>
      <c r="X292" s="63"/>
      <c r="Y292" s="63"/>
      <c r="Z292" s="63"/>
      <c r="AA292" s="63"/>
      <c r="AB292" s="63"/>
      <c r="AC292" s="63"/>
      <c r="AD292" s="63"/>
      <c r="AE292" s="63"/>
      <c r="AF292" s="63"/>
      <c r="AG292" s="63"/>
      <c r="AH292" s="63"/>
      <c r="AI292" s="63"/>
      <c r="AJ292" s="63"/>
    </row>
    <row r="293">
      <c r="A293" s="135">
        <v>295.0</v>
      </c>
      <c r="B293" s="67">
        <v>17.0</v>
      </c>
      <c r="C293" s="31" t="s">
        <v>529</v>
      </c>
      <c r="D293" s="71" t="s">
        <v>1417</v>
      </c>
      <c r="E293" s="71" t="s">
        <v>2765</v>
      </c>
      <c r="F293" s="69" t="s">
        <v>1401</v>
      </c>
      <c r="G293" s="69" t="s">
        <v>2748</v>
      </c>
      <c r="H293" s="145">
        <v>3.0</v>
      </c>
      <c r="I293" s="145">
        <v>1.0</v>
      </c>
      <c r="J293" s="69">
        <v>5.0</v>
      </c>
      <c r="K293" s="69" t="str">
        <f>iferror(vlookup(E293,MasterClass!$C$2:$G988,5,false),"")</f>
        <v/>
      </c>
      <c r="L293" s="69">
        <v>1.0</v>
      </c>
      <c r="M293" s="69">
        <f t="shared" si="46"/>
        <v>8</v>
      </c>
      <c r="N293" s="69">
        <f t="shared" si="47"/>
        <v>2</v>
      </c>
      <c r="O293" s="146">
        <f t="shared" si="48"/>
        <v>0.25</v>
      </c>
      <c r="P293" s="146"/>
      <c r="Q293" s="70"/>
      <c r="R293" s="63"/>
      <c r="S293" s="63"/>
      <c r="T293" s="63"/>
      <c r="U293" s="63"/>
      <c r="V293" s="63"/>
      <c r="W293" s="63"/>
      <c r="X293" s="63"/>
      <c r="Y293" s="63"/>
      <c r="Z293" s="63"/>
      <c r="AA293" s="63"/>
      <c r="AB293" s="63"/>
      <c r="AC293" s="63"/>
      <c r="AD293" s="63"/>
      <c r="AE293" s="63"/>
      <c r="AF293" s="63"/>
      <c r="AG293" s="63"/>
      <c r="AH293" s="63"/>
      <c r="AI293" s="63"/>
      <c r="AJ293" s="63"/>
    </row>
    <row r="294">
      <c r="A294" s="135">
        <v>296.0</v>
      </c>
      <c r="B294" s="67">
        <v>18.0</v>
      </c>
      <c r="C294" s="31" t="s">
        <v>531</v>
      </c>
      <c r="D294" s="68" t="s">
        <v>1418</v>
      </c>
      <c r="E294" s="71" t="s">
        <v>2766</v>
      </c>
      <c r="F294" s="69" t="s">
        <v>1401</v>
      </c>
      <c r="G294" s="69" t="s">
        <v>2751</v>
      </c>
      <c r="H294" s="145">
        <v>3.0</v>
      </c>
      <c r="I294" s="145">
        <v>1.0</v>
      </c>
      <c r="J294" s="69">
        <v>5.0</v>
      </c>
      <c r="K294" s="69" t="str">
        <f>iferror(vlookup(E294,MasterClass!$C$2:$G988,5,false),"")</f>
        <v/>
      </c>
      <c r="L294" s="69">
        <v>3.0</v>
      </c>
      <c r="M294" s="69">
        <f t="shared" si="46"/>
        <v>8</v>
      </c>
      <c r="N294" s="69">
        <f t="shared" si="47"/>
        <v>4</v>
      </c>
      <c r="O294" s="146">
        <f t="shared" si="48"/>
        <v>0.5</v>
      </c>
      <c r="P294" s="146"/>
      <c r="Q294" s="70"/>
      <c r="R294" s="63"/>
      <c r="S294" s="63"/>
      <c r="T294" s="63"/>
      <c r="U294" s="63"/>
      <c r="V294" s="63"/>
      <c r="W294" s="63"/>
      <c r="X294" s="63"/>
      <c r="Y294" s="63"/>
      <c r="Z294" s="63"/>
      <c r="AA294" s="63"/>
      <c r="AB294" s="63"/>
      <c r="AC294" s="63"/>
      <c r="AD294" s="63"/>
      <c r="AE294" s="63"/>
      <c r="AF294" s="63"/>
      <c r="AG294" s="63"/>
      <c r="AH294" s="63"/>
      <c r="AI294" s="63"/>
      <c r="AJ294" s="63"/>
    </row>
    <row r="295">
      <c r="A295" s="135">
        <v>297.0</v>
      </c>
      <c r="B295" s="67">
        <v>19.0</v>
      </c>
      <c r="C295" s="31" t="s">
        <v>533</v>
      </c>
      <c r="D295" s="68" t="s">
        <v>1419</v>
      </c>
      <c r="E295" s="71" t="s">
        <v>2767</v>
      </c>
      <c r="F295" s="69" t="s">
        <v>1401</v>
      </c>
      <c r="G295" s="69" t="s">
        <v>2751</v>
      </c>
      <c r="H295" s="145">
        <v>3.0</v>
      </c>
      <c r="I295" s="145">
        <v>2.0</v>
      </c>
      <c r="J295" s="69">
        <v>5.0</v>
      </c>
      <c r="K295" s="69" t="str">
        <f>iferror(vlookup(E295,MasterClass!$C$2:$G988,5,false),"")</f>
        <v/>
      </c>
      <c r="L295" s="69">
        <v>1.0</v>
      </c>
      <c r="M295" s="69">
        <f t="shared" si="46"/>
        <v>8</v>
      </c>
      <c r="N295" s="69">
        <f t="shared" si="47"/>
        <v>3</v>
      </c>
      <c r="O295" s="146">
        <f t="shared" si="48"/>
        <v>0.375</v>
      </c>
      <c r="P295" s="146"/>
      <c r="Q295" s="70"/>
      <c r="R295" s="63"/>
      <c r="S295" s="63"/>
      <c r="T295" s="63"/>
      <c r="U295" s="63"/>
      <c r="V295" s="63"/>
      <c r="W295" s="63"/>
      <c r="X295" s="63"/>
      <c r="Y295" s="63"/>
      <c r="Z295" s="63"/>
      <c r="AA295" s="63"/>
      <c r="AB295" s="63"/>
      <c r="AC295" s="63"/>
      <c r="AD295" s="63"/>
      <c r="AE295" s="63"/>
      <c r="AF295" s="63"/>
      <c r="AG295" s="63"/>
      <c r="AH295" s="63"/>
      <c r="AI295" s="63"/>
      <c r="AJ295" s="63"/>
    </row>
    <row r="296">
      <c r="A296" s="135">
        <v>298.0</v>
      </c>
      <c r="B296" s="67">
        <v>20.0</v>
      </c>
      <c r="C296" s="31" t="s">
        <v>535</v>
      </c>
      <c r="D296" s="68" t="s">
        <v>1420</v>
      </c>
      <c r="E296" s="71" t="s">
        <v>2768</v>
      </c>
      <c r="F296" s="69" t="s">
        <v>1401</v>
      </c>
      <c r="G296" s="69" t="s">
        <v>2751</v>
      </c>
      <c r="H296" s="145">
        <v>3.0</v>
      </c>
      <c r="I296" s="145">
        <v>1.0</v>
      </c>
      <c r="J296" s="69">
        <v>5.0</v>
      </c>
      <c r="K296" s="69" t="str">
        <f>iferror(vlookup(E296,MasterClass!$C$2:$G988,5,false),"")</f>
        <v/>
      </c>
      <c r="L296" s="69">
        <v>1.0</v>
      </c>
      <c r="M296" s="69">
        <f t="shared" si="46"/>
        <v>8</v>
      </c>
      <c r="N296" s="69">
        <f t="shared" si="47"/>
        <v>2</v>
      </c>
      <c r="O296" s="146">
        <f t="shared" si="48"/>
        <v>0.25</v>
      </c>
      <c r="P296" s="146"/>
      <c r="Q296" s="70"/>
      <c r="R296" s="63"/>
      <c r="S296" s="63"/>
      <c r="T296" s="63"/>
      <c r="U296" s="63"/>
      <c r="V296" s="63"/>
      <c r="W296" s="63"/>
      <c r="X296" s="63"/>
      <c r="Y296" s="63"/>
      <c r="Z296" s="63"/>
      <c r="AA296" s="63"/>
      <c r="AB296" s="63"/>
      <c r="AC296" s="63"/>
      <c r="AD296" s="63"/>
      <c r="AE296" s="63"/>
      <c r="AF296" s="63"/>
      <c r="AG296" s="63"/>
      <c r="AH296" s="63"/>
      <c r="AI296" s="63"/>
      <c r="AJ296" s="63"/>
    </row>
    <row r="297">
      <c r="A297" s="135">
        <v>299.0</v>
      </c>
      <c r="B297" s="67">
        <v>21.0</v>
      </c>
      <c r="C297" s="31" t="s">
        <v>537</v>
      </c>
      <c r="D297" s="68" t="s">
        <v>1421</v>
      </c>
      <c r="E297" s="71" t="s">
        <v>2769</v>
      </c>
      <c r="F297" s="69" t="s">
        <v>1401</v>
      </c>
      <c r="G297" s="69" t="s">
        <v>1187</v>
      </c>
      <c r="H297" s="145" t="s">
        <v>1187</v>
      </c>
      <c r="I297" s="145" t="s">
        <v>1187</v>
      </c>
      <c r="J297" s="69" t="s">
        <v>1187</v>
      </c>
      <c r="K297" s="69" t="s">
        <v>1187</v>
      </c>
      <c r="L297" s="69" t="s">
        <v>1187</v>
      </c>
      <c r="M297" s="69" t="s">
        <v>1187</v>
      </c>
      <c r="N297" s="69" t="s">
        <v>1187</v>
      </c>
      <c r="O297" s="69" t="s">
        <v>1187</v>
      </c>
      <c r="P297" s="69" t="s">
        <v>2522</v>
      </c>
      <c r="Q297" s="70"/>
      <c r="R297" s="63"/>
      <c r="S297" s="63"/>
      <c r="T297" s="63"/>
      <c r="U297" s="63"/>
      <c r="V297" s="63"/>
      <c r="W297" s="63"/>
      <c r="X297" s="63"/>
      <c r="Y297" s="63"/>
      <c r="Z297" s="63"/>
      <c r="AA297" s="63"/>
      <c r="AB297" s="63"/>
      <c r="AC297" s="63"/>
      <c r="AD297" s="63"/>
      <c r="AE297" s="63"/>
      <c r="AF297" s="63"/>
      <c r="AG297" s="63"/>
      <c r="AH297" s="63"/>
      <c r="AI297" s="63"/>
      <c r="AJ297" s="63"/>
    </row>
    <row r="298">
      <c r="A298" s="135">
        <v>300.0</v>
      </c>
      <c r="B298" s="67">
        <v>22.0</v>
      </c>
      <c r="C298" s="31" t="s">
        <v>539</v>
      </c>
      <c r="D298" s="68" t="s">
        <v>1422</v>
      </c>
      <c r="E298" s="71" t="s">
        <v>2770</v>
      </c>
      <c r="F298" s="69" t="s">
        <v>1401</v>
      </c>
      <c r="G298" s="69" t="s">
        <v>2751</v>
      </c>
      <c r="H298" s="145">
        <v>3.0</v>
      </c>
      <c r="I298" s="145">
        <v>0.0</v>
      </c>
      <c r="J298" s="69">
        <v>5.0</v>
      </c>
      <c r="K298" s="69" t="str">
        <f>iferror(vlookup(E298,MasterClass!$C$2:$G988,5,false),"")</f>
        <v/>
      </c>
      <c r="L298" s="69">
        <v>1.0</v>
      </c>
      <c r="M298" s="69">
        <f t="shared" ref="M298:M321" si="49">J298+H298</f>
        <v>8</v>
      </c>
      <c r="N298" s="69">
        <f t="shared" ref="N298:N321" si="50">I298+L298+K298</f>
        <v>1</v>
      </c>
      <c r="O298" s="146">
        <f t="shared" ref="O298:O321" si="51">N298/M298</f>
        <v>0.125</v>
      </c>
      <c r="P298" s="146"/>
      <c r="Q298" s="70"/>
      <c r="R298" s="63"/>
      <c r="S298" s="63"/>
      <c r="T298" s="63"/>
      <c r="U298" s="63"/>
      <c r="V298" s="63"/>
      <c r="W298" s="63"/>
      <c r="X298" s="63"/>
      <c r="Y298" s="63"/>
      <c r="Z298" s="63"/>
      <c r="AA298" s="63"/>
      <c r="AB298" s="63"/>
      <c r="AC298" s="63"/>
      <c r="AD298" s="63"/>
      <c r="AE298" s="63"/>
      <c r="AF298" s="63"/>
      <c r="AG298" s="63"/>
      <c r="AH298" s="63"/>
      <c r="AI298" s="63"/>
      <c r="AJ298" s="63"/>
    </row>
    <row r="299">
      <c r="A299" s="135">
        <v>301.0</v>
      </c>
      <c r="B299" s="67">
        <v>23.0</v>
      </c>
      <c r="C299" s="31" t="s">
        <v>541</v>
      </c>
      <c r="D299" s="68" t="s">
        <v>1423</v>
      </c>
      <c r="E299" s="71" t="s">
        <v>2771</v>
      </c>
      <c r="F299" s="69" t="s">
        <v>1401</v>
      </c>
      <c r="G299" s="69" t="s">
        <v>2772</v>
      </c>
      <c r="H299" s="145">
        <v>3.0</v>
      </c>
      <c r="I299" s="145">
        <v>1.0</v>
      </c>
      <c r="J299" s="69">
        <v>5.0</v>
      </c>
      <c r="K299" s="69" t="str">
        <f>iferror(vlookup(E299,MasterClass!$C$2:$G988,5,false),"")</f>
        <v/>
      </c>
      <c r="L299" s="69">
        <v>1.0</v>
      </c>
      <c r="M299" s="69">
        <f t="shared" si="49"/>
        <v>8</v>
      </c>
      <c r="N299" s="69">
        <f t="shared" si="50"/>
        <v>2</v>
      </c>
      <c r="O299" s="146">
        <f t="shared" si="51"/>
        <v>0.25</v>
      </c>
      <c r="P299" s="146"/>
      <c r="Q299" s="70"/>
      <c r="R299" s="63"/>
      <c r="S299" s="63"/>
      <c r="T299" s="63"/>
      <c r="U299" s="63"/>
      <c r="V299" s="63"/>
      <c r="W299" s="63"/>
      <c r="X299" s="63"/>
      <c r="Y299" s="63"/>
      <c r="Z299" s="63"/>
      <c r="AA299" s="63"/>
      <c r="AB299" s="63"/>
      <c r="AC299" s="63"/>
      <c r="AD299" s="63"/>
      <c r="AE299" s="63"/>
      <c r="AF299" s="63"/>
      <c r="AG299" s="63"/>
      <c r="AH299" s="63"/>
      <c r="AI299" s="63"/>
      <c r="AJ299" s="63"/>
    </row>
    <row r="300">
      <c r="A300" s="135">
        <v>302.0</v>
      </c>
      <c r="B300" s="67">
        <v>24.0</v>
      </c>
      <c r="C300" s="31" t="s">
        <v>543</v>
      </c>
      <c r="D300" s="68" t="s">
        <v>1424</v>
      </c>
      <c r="E300" s="71" t="s">
        <v>2773</v>
      </c>
      <c r="F300" s="69" t="s">
        <v>1401</v>
      </c>
      <c r="G300" s="69" t="s">
        <v>2751</v>
      </c>
      <c r="H300" s="145">
        <v>3.0</v>
      </c>
      <c r="I300" s="145">
        <v>3.0</v>
      </c>
      <c r="J300" s="69">
        <v>5.0</v>
      </c>
      <c r="K300" s="69" t="str">
        <f>iferror(vlookup(E300,MasterClass!$C$2:$G988,5,false),"")</f>
        <v/>
      </c>
      <c r="L300" s="69">
        <v>4.0</v>
      </c>
      <c r="M300" s="69">
        <f t="shared" si="49"/>
        <v>8</v>
      </c>
      <c r="N300" s="69">
        <f t="shared" si="50"/>
        <v>7</v>
      </c>
      <c r="O300" s="146">
        <f t="shared" si="51"/>
        <v>0.875</v>
      </c>
      <c r="P300" s="146"/>
      <c r="Q300" s="70"/>
      <c r="R300" s="63"/>
      <c r="S300" s="63"/>
      <c r="T300" s="63"/>
      <c r="U300" s="63"/>
      <c r="V300" s="63"/>
      <c r="W300" s="63"/>
      <c r="X300" s="63"/>
      <c r="Y300" s="63"/>
      <c r="Z300" s="63"/>
      <c r="AA300" s="63"/>
      <c r="AB300" s="63"/>
      <c r="AC300" s="63"/>
      <c r="AD300" s="63"/>
      <c r="AE300" s="63"/>
      <c r="AF300" s="63"/>
      <c r="AG300" s="63"/>
      <c r="AH300" s="63"/>
      <c r="AI300" s="63"/>
      <c r="AJ300" s="63"/>
    </row>
    <row r="301">
      <c r="A301" s="135">
        <v>303.0</v>
      </c>
      <c r="B301" s="67">
        <v>25.0</v>
      </c>
      <c r="C301" s="31" t="s">
        <v>545</v>
      </c>
      <c r="D301" s="68" t="s">
        <v>1425</v>
      </c>
      <c r="E301" s="71" t="s">
        <v>2774</v>
      </c>
      <c r="F301" s="69" t="s">
        <v>1401</v>
      </c>
      <c r="G301" s="69" t="s">
        <v>2772</v>
      </c>
      <c r="H301" s="145">
        <v>3.0</v>
      </c>
      <c r="I301" s="145">
        <v>1.0</v>
      </c>
      <c r="J301" s="69">
        <v>5.0</v>
      </c>
      <c r="K301" s="69" t="str">
        <f>iferror(vlookup(E301,MasterClass!$C$2:$G988,5,false),"")</f>
        <v/>
      </c>
      <c r="L301" s="69">
        <v>1.0</v>
      </c>
      <c r="M301" s="69">
        <f t="shared" si="49"/>
        <v>8</v>
      </c>
      <c r="N301" s="69">
        <f t="shared" si="50"/>
        <v>2</v>
      </c>
      <c r="O301" s="146">
        <f t="shared" si="51"/>
        <v>0.25</v>
      </c>
      <c r="P301" s="146"/>
      <c r="Q301" s="70"/>
      <c r="R301" s="63"/>
      <c r="S301" s="63"/>
      <c r="T301" s="63"/>
      <c r="U301" s="63"/>
      <c r="V301" s="63"/>
      <c r="W301" s="63"/>
      <c r="X301" s="63"/>
      <c r="Y301" s="63"/>
      <c r="Z301" s="63"/>
      <c r="AA301" s="63"/>
      <c r="AB301" s="63"/>
      <c r="AC301" s="63"/>
      <c r="AD301" s="63"/>
      <c r="AE301" s="63"/>
      <c r="AF301" s="63"/>
      <c r="AG301" s="63"/>
      <c r="AH301" s="63"/>
      <c r="AI301" s="63"/>
      <c r="AJ301" s="63"/>
    </row>
    <row r="302">
      <c r="A302" s="135">
        <v>304.0</v>
      </c>
      <c r="B302" s="67">
        <v>26.0</v>
      </c>
      <c r="C302" s="31" t="s">
        <v>547</v>
      </c>
      <c r="D302" s="68" t="s">
        <v>1426</v>
      </c>
      <c r="E302" s="71" t="s">
        <v>2775</v>
      </c>
      <c r="F302" s="69" t="s">
        <v>1401</v>
      </c>
      <c r="G302" s="69" t="s">
        <v>2772</v>
      </c>
      <c r="H302" s="145">
        <v>3.0</v>
      </c>
      <c r="I302" s="145">
        <v>1.0</v>
      </c>
      <c r="J302" s="69">
        <v>5.0</v>
      </c>
      <c r="K302" s="69" t="str">
        <f>iferror(vlookup(E302,MasterClass!$C$2:$G988,5,false),"")</f>
        <v/>
      </c>
      <c r="L302" s="69">
        <v>2.0</v>
      </c>
      <c r="M302" s="69">
        <f t="shared" si="49"/>
        <v>8</v>
      </c>
      <c r="N302" s="69">
        <f t="shared" si="50"/>
        <v>3</v>
      </c>
      <c r="O302" s="146">
        <f t="shared" si="51"/>
        <v>0.375</v>
      </c>
      <c r="P302" s="146"/>
      <c r="Q302" s="70"/>
      <c r="R302" s="63"/>
      <c r="S302" s="63"/>
      <c r="T302" s="63"/>
      <c r="U302" s="63"/>
      <c r="V302" s="63"/>
      <c r="W302" s="63"/>
      <c r="X302" s="63"/>
      <c r="Y302" s="63"/>
      <c r="Z302" s="63"/>
      <c r="AA302" s="63"/>
      <c r="AB302" s="63"/>
      <c r="AC302" s="63"/>
      <c r="AD302" s="63"/>
      <c r="AE302" s="63"/>
      <c r="AF302" s="63"/>
      <c r="AG302" s="63"/>
      <c r="AH302" s="63"/>
      <c r="AI302" s="63"/>
      <c r="AJ302" s="63"/>
    </row>
    <row r="303">
      <c r="A303" s="135">
        <v>305.0</v>
      </c>
      <c r="B303" s="67">
        <v>27.0</v>
      </c>
      <c r="C303" s="31" t="s">
        <v>549</v>
      </c>
      <c r="D303" s="68" t="s">
        <v>1427</v>
      </c>
      <c r="E303" s="71" t="s">
        <v>2776</v>
      </c>
      <c r="F303" s="69" t="s">
        <v>1401</v>
      </c>
      <c r="G303" s="69" t="s">
        <v>2748</v>
      </c>
      <c r="H303" s="145">
        <v>3.0</v>
      </c>
      <c r="I303" s="145">
        <v>1.0</v>
      </c>
      <c r="J303" s="69">
        <v>5.0</v>
      </c>
      <c r="K303" s="69" t="str">
        <f>iferror(vlookup(E303,MasterClass!$C$2:$G988,5,false),"")</f>
        <v/>
      </c>
      <c r="L303" s="69">
        <v>1.0</v>
      </c>
      <c r="M303" s="69">
        <f t="shared" si="49"/>
        <v>8</v>
      </c>
      <c r="N303" s="69">
        <f t="shared" si="50"/>
        <v>2</v>
      </c>
      <c r="O303" s="146">
        <f t="shared" si="51"/>
        <v>0.25</v>
      </c>
      <c r="P303" s="146"/>
      <c r="Q303" s="70"/>
      <c r="R303" s="63"/>
      <c r="S303" s="63"/>
      <c r="T303" s="63"/>
      <c r="U303" s="63"/>
      <c r="V303" s="63"/>
      <c r="W303" s="63"/>
      <c r="X303" s="63"/>
      <c r="Y303" s="63"/>
      <c r="Z303" s="63"/>
      <c r="AA303" s="63"/>
      <c r="AB303" s="63"/>
      <c r="AC303" s="63"/>
      <c r="AD303" s="63"/>
      <c r="AE303" s="63"/>
      <c r="AF303" s="63"/>
      <c r="AG303" s="63"/>
      <c r="AH303" s="63"/>
      <c r="AI303" s="63"/>
      <c r="AJ303" s="63"/>
    </row>
    <row r="304">
      <c r="A304" s="135">
        <v>306.0</v>
      </c>
      <c r="B304" s="67">
        <v>28.0</v>
      </c>
      <c r="C304" s="31" t="s">
        <v>551</v>
      </c>
      <c r="D304" s="68" t="s">
        <v>1428</v>
      </c>
      <c r="E304" s="71" t="s">
        <v>2777</v>
      </c>
      <c r="F304" s="69" t="s">
        <v>1401</v>
      </c>
      <c r="G304" s="69" t="s">
        <v>2748</v>
      </c>
      <c r="H304" s="145">
        <v>3.0</v>
      </c>
      <c r="I304" s="145">
        <v>1.0</v>
      </c>
      <c r="J304" s="69">
        <v>5.0</v>
      </c>
      <c r="K304" s="69" t="str">
        <f>iferror(vlookup(E304,MasterClass!$C$2:$G988,5,false),"")</f>
        <v/>
      </c>
      <c r="L304" s="69">
        <v>0.0</v>
      </c>
      <c r="M304" s="69">
        <f t="shared" si="49"/>
        <v>8</v>
      </c>
      <c r="N304" s="69">
        <f t="shared" si="50"/>
        <v>1</v>
      </c>
      <c r="O304" s="146">
        <f t="shared" si="51"/>
        <v>0.125</v>
      </c>
      <c r="P304" s="146"/>
      <c r="Q304" s="70"/>
      <c r="R304" s="63"/>
      <c r="S304" s="63"/>
      <c r="T304" s="63"/>
      <c r="U304" s="63"/>
      <c r="V304" s="63"/>
      <c r="W304" s="63"/>
      <c r="X304" s="63"/>
      <c r="Y304" s="63"/>
      <c r="Z304" s="63"/>
      <c r="AA304" s="63"/>
      <c r="AB304" s="63"/>
      <c r="AC304" s="63"/>
      <c r="AD304" s="63"/>
      <c r="AE304" s="63"/>
      <c r="AF304" s="63"/>
      <c r="AG304" s="63"/>
      <c r="AH304" s="63"/>
      <c r="AI304" s="63"/>
      <c r="AJ304" s="63"/>
    </row>
    <row r="305">
      <c r="A305" s="135">
        <v>307.0</v>
      </c>
      <c r="B305" s="67">
        <v>29.0</v>
      </c>
      <c r="C305" s="31" t="s">
        <v>553</v>
      </c>
      <c r="D305" s="68" t="s">
        <v>1429</v>
      </c>
      <c r="E305" s="71" t="s">
        <v>2778</v>
      </c>
      <c r="F305" s="69" t="s">
        <v>1401</v>
      </c>
      <c r="G305" s="69" t="s">
        <v>2748</v>
      </c>
      <c r="H305" s="145">
        <v>3.0</v>
      </c>
      <c r="I305" s="145">
        <v>1.0</v>
      </c>
      <c r="J305" s="69">
        <v>5.0</v>
      </c>
      <c r="K305" s="69" t="str">
        <f>iferror(vlookup(E305,MasterClass!$C$2:$G988,5,false),"")</f>
        <v/>
      </c>
      <c r="L305" s="69">
        <v>0.0</v>
      </c>
      <c r="M305" s="69">
        <f t="shared" si="49"/>
        <v>8</v>
      </c>
      <c r="N305" s="69">
        <f t="shared" si="50"/>
        <v>1</v>
      </c>
      <c r="O305" s="146">
        <f t="shared" si="51"/>
        <v>0.125</v>
      </c>
      <c r="P305" s="146"/>
      <c r="Q305" s="70"/>
      <c r="R305" s="63"/>
      <c r="S305" s="63"/>
      <c r="T305" s="63"/>
      <c r="U305" s="63"/>
      <c r="V305" s="63"/>
      <c r="W305" s="63"/>
      <c r="X305" s="63"/>
      <c r="Y305" s="63"/>
      <c r="Z305" s="63"/>
      <c r="AA305" s="63"/>
      <c r="AB305" s="63"/>
      <c r="AC305" s="63"/>
      <c r="AD305" s="63"/>
      <c r="AE305" s="63"/>
      <c r="AF305" s="63"/>
      <c r="AG305" s="63"/>
      <c r="AH305" s="63"/>
      <c r="AI305" s="63"/>
      <c r="AJ305" s="63"/>
    </row>
    <row r="306">
      <c r="A306" s="135">
        <v>308.0</v>
      </c>
      <c r="B306" s="67">
        <v>30.0</v>
      </c>
      <c r="C306" s="31" t="s">
        <v>555</v>
      </c>
      <c r="D306" s="68" t="s">
        <v>1430</v>
      </c>
      <c r="E306" s="71" t="s">
        <v>2779</v>
      </c>
      <c r="F306" s="69" t="s">
        <v>1401</v>
      </c>
      <c r="G306" s="69" t="s">
        <v>2772</v>
      </c>
      <c r="H306" s="145">
        <v>3.0</v>
      </c>
      <c r="I306" s="145">
        <v>1.0</v>
      </c>
      <c r="J306" s="69">
        <v>5.0</v>
      </c>
      <c r="K306" s="69" t="str">
        <f>iferror(vlookup(E306,MasterClass!$C$2:$G988,5,false),"")</f>
        <v/>
      </c>
      <c r="L306" s="69">
        <v>4.0</v>
      </c>
      <c r="M306" s="69">
        <f t="shared" si="49"/>
        <v>8</v>
      </c>
      <c r="N306" s="69">
        <f t="shared" si="50"/>
        <v>5</v>
      </c>
      <c r="O306" s="146">
        <f t="shared" si="51"/>
        <v>0.625</v>
      </c>
      <c r="P306" s="146"/>
      <c r="Q306" s="70"/>
      <c r="R306" s="63"/>
      <c r="S306" s="63"/>
      <c r="T306" s="63"/>
      <c r="U306" s="63"/>
      <c r="V306" s="63"/>
      <c r="W306" s="63"/>
      <c r="X306" s="63"/>
      <c r="Y306" s="63"/>
      <c r="Z306" s="63"/>
      <c r="AA306" s="63"/>
      <c r="AB306" s="63"/>
      <c r="AC306" s="63"/>
      <c r="AD306" s="63"/>
      <c r="AE306" s="63"/>
      <c r="AF306" s="63"/>
      <c r="AG306" s="63"/>
      <c r="AH306" s="63"/>
      <c r="AI306" s="63"/>
      <c r="AJ306" s="63"/>
    </row>
    <row r="307">
      <c r="A307" s="135">
        <v>309.0</v>
      </c>
      <c r="B307" s="67">
        <v>31.0</v>
      </c>
      <c r="C307" s="31" t="s">
        <v>557</v>
      </c>
      <c r="D307" s="68" t="s">
        <v>1431</v>
      </c>
      <c r="E307" s="71" t="s">
        <v>2780</v>
      </c>
      <c r="F307" s="69" t="s">
        <v>1401</v>
      </c>
      <c r="G307" s="69" t="s">
        <v>2772</v>
      </c>
      <c r="H307" s="145">
        <v>3.0</v>
      </c>
      <c r="I307" s="145">
        <v>1.0</v>
      </c>
      <c r="J307" s="69">
        <v>5.0</v>
      </c>
      <c r="K307" s="69" t="str">
        <f>iferror(vlookup(E307,MasterClass!$C$2:$G988,5,false),"")</f>
        <v/>
      </c>
      <c r="L307" s="69">
        <v>0.0</v>
      </c>
      <c r="M307" s="69">
        <f t="shared" si="49"/>
        <v>8</v>
      </c>
      <c r="N307" s="69">
        <f t="shared" si="50"/>
        <v>1</v>
      </c>
      <c r="O307" s="146">
        <f t="shared" si="51"/>
        <v>0.125</v>
      </c>
      <c r="P307" s="146"/>
      <c r="Q307" s="70"/>
      <c r="R307" s="63"/>
      <c r="S307" s="63"/>
      <c r="T307" s="63"/>
      <c r="U307" s="63"/>
      <c r="V307" s="63"/>
      <c r="W307" s="63"/>
      <c r="X307" s="63"/>
      <c r="Y307" s="63"/>
      <c r="Z307" s="63"/>
      <c r="AA307" s="63"/>
      <c r="AB307" s="63"/>
      <c r="AC307" s="63"/>
      <c r="AD307" s="63"/>
      <c r="AE307" s="63"/>
      <c r="AF307" s="63"/>
      <c r="AG307" s="63"/>
      <c r="AH307" s="63"/>
      <c r="AI307" s="63"/>
      <c r="AJ307" s="63"/>
    </row>
    <row r="308">
      <c r="A308" s="135">
        <v>310.0</v>
      </c>
      <c r="B308" s="67">
        <v>32.0</v>
      </c>
      <c r="C308" s="31" t="s">
        <v>559</v>
      </c>
      <c r="D308" s="68" t="s">
        <v>1432</v>
      </c>
      <c r="E308" s="71" t="s">
        <v>2781</v>
      </c>
      <c r="F308" s="69" t="s">
        <v>1401</v>
      </c>
      <c r="G308" s="69" t="s">
        <v>2772</v>
      </c>
      <c r="H308" s="145">
        <v>3.0</v>
      </c>
      <c r="I308" s="145">
        <v>2.0</v>
      </c>
      <c r="J308" s="69">
        <v>5.0</v>
      </c>
      <c r="K308" s="69" t="str">
        <f>iferror(vlookup(E308,MasterClass!$C$2:$G988,5,false),"")</f>
        <v/>
      </c>
      <c r="L308" s="69">
        <v>1.0</v>
      </c>
      <c r="M308" s="69">
        <f t="shared" si="49"/>
        <v>8</v>
      </c>
      <c r="N308" s="69">
        <f t="shared" si="50"/>
        <v>3</v>
      </c>
      <c r="O308" s="146">
        <f t="shared" si="51"/>
        <v>0.375</v>
      </c>
      <c r="P308" s="146"/>
      <c r="Q308" s="70"/>
      <c r="R308" s="63"/>
      <c r="S308" s="63"/>
      <c r="T308" s="63"/>
      <c r="U308" s="63"/>
      <c r="V308" s="63"/>
      <c r="W308" s="63"/>
      <c r="X308" s="63"/>
      <c r="Y308" s="63"/>
      <c r="Z308" s="63"/>
      <c r="AA308" s="63"/>
      <c r="AB308" s="63"/>
      <c r="AC308" s="63"/>
      <c r="AD308" s="63"/>
      <c r="AE308" s="63"/>
      <c r="AF308" s="63"/>
      <c r="AG308" s="63"/>
      <c r="AH308" s="63"/>
      <c r="AI308" s="63"/>
      <c r="AJ308" s="63"/>
    </row>
    <row r="309">
      <c r="A309" s="135">
        <v>311.0</v>
      </c>
      <c r="B309" s="67">
        <v>33.0</v>
      </c>
      <c r="C309" s="31" t="s">
        <v>561</v>
      </c>
      <c r="D309" s="68" t="s">
        <v>1433</v>
      </c>
      <c r="E309" s="71" t="s">
        <v>2782</v>
      </c>
      <c r="F309" s="69" t="s">
        <v>1401</v>
      </c>
      <c r="G309" s="69" t="s">
        <v>2772</v>
      </c>
      <c r="H309" s="145">
        <v>3.0</v>
      </c>
      <c r="I309" s="145">
        <v>1.0</v>
      </c>
      <c r="J309" s="69">
        <v>5.0</v>
      </c>
      <c r="K309" s="69" t="str">
        <f>iferror(vlookup(E309,MasterClass!$C$2:$G988,5,false),"")</f>
        <v/>
      </c>
      <c r="L309" s="69">
        <v>3.0</v>
      </c>
      <c r="M309" s="69">
        <f t="shared" si="49"/>
        <v>8</v>
      </c>
      <c r="N309" s="69">
        <f t="shared" si="50"/>
        <v>4</v>
      </c>
      <c r="O309" s="146">
        <f t="shared" si="51"/>
        <v>0.5</v>
      </c>
      <c r="P309" s="146"/>
      <c r="Q309" s="70"/>
      <c r="R309" s="63"/>
      <c r="S309" s="63"/>
      <c r="T309" s="63"/>
      <c r="U309" s="63"/>
      <c r="V309" s="63"/>
      <c r="W309" s="63"/>
      <c r="X309" s="63"/>
      <c r="Y309" s="63"/>
      <c r="Z309" s="63"/>
      <c r="AA309" s="63"/>
      <c r="AB309" s="63"/>
      <c r="AC309" s="63"/>
      <c r="AD309" s="63"/>
      <c r="AE309" s="63"/>
      <c r="AF309" s="63"/>
      <c r="AG309" s="63"/>
      <c r="AH309" s="63"/>
      <c r="AI309" s="63"/>
      <c r="AJ309" s="63"/>
    </row>
    <row r="310">
      <c r="A310" s="135">
        <v>312.0</v>
      </c>
      <c r="B310" s="67">
        <v>34.0</v>
      </c>
      <c r="C310" s="31" t="s">
        <v>563</v>
      </c>
      <c r="D310" s="68" t="s">
        <v>1434</v>
      </c>
      <c r="E310" s="71" t="s">
        <v>2783</v>
      </c>
      <c r="F310" s="69" t="s">
        <v>1401</v>
      </c>
      <c r="G310" s="69" t="s">
        <v>2748</v>
      </c>
      <c r="H310" s="145">
        <v>3.0</v>
      </c>
      <c r="I310" s="145">
        <v>1.0</v>
      </c>
      <c r="J310" s="69">
        <v>5.0</v>
      </c>
      <c r="K310" s="69" t="str">
        <f>iferror(vlookup(E310,MasterClass!$C$2:$G988,5,false),"")</f>
        <v/>
      </c>
      <c r="L310" s="69">
        <v>2.0</v>
      </c>
      <c r="M310" s="69">
        <f t="shared" si="49"/>
        <v>8</v>
      </c>
      <c r="N310" s="69">
        <f t="shared" si="50"/>
        <v>3</v>
      </c>
      <c r="O310" s="146">
        <f t="shared" si="51"/>
        <v>0.375</v>
      </c>
      <c r="P310" s="146"/>
      <c r="Q310" s="70"/>
      <c r="R310" s="63"/>
      <c r="S310" s="63"/>
      <c r="T310" s="63"/>
      <c r="U310" s="63"/>
      <c r="V310" s="63"/>
      <c r="W310" s="63"/>
      <c r="X310" s="63"/>
      <c r="Y310" s="63"/>
      <c r="Z310" s="63"/>
      <c r="AA310" s="63"/>
      <c r="AB310" s="63"/>
      <c r="AC310" s="63"/>
      <c r="AD310" s="63"/>
      <c r="AE310" s="63"/>
      <c r="AF310" s="63"/>
      <c r="AG310" s="63"/>
      <c r="AH310" s="63"/>
      <c r="AI310" s="63"/>
      <c r="AJ310" s="63"/>
    </row>
    <row r="311">
      <c r="A311" s="135">
        <v>313.0</v>
      </c>
      <c r="B311" s="67">
        <v>35.0</v>
      </c>
      <c r="C311" s="31" t="s">
        <v>565</v>
      </c>
      <c r="D311" s="68" t="s">
        <v>1435</v>
      </c>
      <c r="E311" s="71" t="s">
        <v>2784</v>
      </c>
      <c r="F311" s="69" t="s">
        <v>1401</v>
      </c>
      <c r="G311" s="69" t="s">
        <v>2748</v>
      </c>
      <c r="H311" s="145">
        <v>3.0</v>
      </c>
      <c r="I311" s="145">
        <v>1.0</v>
      </c>
      <c r="J311" s="69">
        <v>5.0</v>
      </c>
      <c r="K311" s="69" t="str">
        <f>iferror(vlookup(E311,MasterClass!$C$2:$G988,5,false),"")</f>
        <v/>
      </c>
      <c r="L311" s="69">
        <v>1.0</v>
      </c>
      <c r="M311" s="69">
        <f t="shared" si="49"/>
        <v>8</v>
      </c>
      <c r="N311" s="69">
        <f t="shared" si="50"/>
        <v>2</v>
      </c>
      <c r="O311" s="146">
        <f t="shared" si="51"/>
        <v>0.25</v>
      </c>
      <c r="P311" s="146"/>
      <c r="Q311" s="70"/>
      <c r="R311" s="63"/>
      <c r="S311" s="63"/>
      <c r="T311" s="63"/>
      <c r="U311" s="63"/>
      <c r="V311" s="63"/>
      <c r="W311" s="63"/>
      <c r="X311" s="63"/>
      <c r="Y311" s="63"/>
      <c r="Z311" s="63"/>
      <c r="AA311" s="63"/>
      <c r="AB311" s="63"/>
      <c r="AC311" s="63"/>
      <c r="AD311" s="63"/>
      <c r="AE311" s="63"/>
      <c r="AF311" s="63"/>
      <c r="AG311" s="63"/>
      <c r="AH311" s="63"/>
      <c r="AI311" s="63"/>
      <c r="AJ311" s="63"/>
    </row>
    <row r="312">
      <c r="A312" s="135">
        <v>314.0</v>
      </c>
      <c r="B312" s="67">
        <v>36.0</v>
      </c>
      <c r="C312" s="31" t="s">
        <v>567</v>
      </c>
      <c r="D312" s="68" t="s">
        <v>1436</v>
      </c>
      <c r="E312" s="71" t="s">
        <v>2785</v>
      </c>
      <c r="F312" s="69" t="s">
        <v>1401</v>
      </c>
      <c r="G312" s="69" t="s">
        <v>2748</v>
      </c>
      <c r="H312" s="145">
        <v>3.0</v>
      </c>
      <c r="I312" s="145">
        <v>1.0</v>
      </c>
      <c r="J312" s="69">
        <v>5.0</v>
      </c>
      <c r="K312" s="69" t="str">
        <f>iferror(vlookup(E312,MasterClass!$C$2:$G988,5,false),"")</f>
        <v/>
      </c>
      <c r="L312" s="69">
        <v>1.0</v>
      </c>
      <c r="M312" s="69">
        <f t="shared" si="49"/>
        <v>8</v>
      </c>
      <c r="N312" s="69">
        <f t="shared" si="50"/>
        <v>2</v>
      </c>
      <c r="O312" s="146">
        <f t="shared" si="51"/>
        <v>0.25</v>
      </c>
      <c r="P312" s="146"/>
      <c r="Q312" s="70"/>
      <c r="R312" s="63"/>
      <c r="S312" s="63"/>
      <c r="T312" s="63"/>
      <c r="U312" s="63"/>
      <c r="V312" s="63"/>
      <c r="W312" s="63"/>
      <c r="X312" s="63"/>
      <c r="Y312" s="63"/>
      <c r="Z312" s="63"/>
      <c r="AA312" s="63"/>
      <c r="AB312" s="63"/>
      <c r="AC312" s="63"/>
      <c r="AD312" s="63"/>
      <c r="AE312" s="63"/>
      <c r="AF312" s="63"/>
      <c r="AG312" s="63"/>
      <c r="AH312" s="63"/>
      <c r="AI312" s="63"/>
      <c r="AJ312" s="63"/>
    </row>
    <row r="313">
      <c r="A313" s="135">
        <v>315.0</v>
      </c>
      <c r="B313" s="67">
        <v>37.0</v>
      </c>
      <c r="C313" s="31" t="s">
        <v>569</v>
      </c>
      <c r="D313" s="68" t="s">
        <v>1437</v>
      </c>
      <c r="E313" s="71" t="s">
        <v>2786</v>
      </c>
      <c r="F313" s="69" t="s">
        <v>1401</v>
      </c>
      <c r="G313" s="69" t="s">
        <v>2748</v>
      </c>
      <c r="H313" s="145">
        <v>3.0</v>
      </c>
      <c r="I313" s="145">
        <v>1.0</v>
      </c>
      <c r="J313" s="69">
        <v>5.0</v>
      </c>
      <c r="K313" s="69" t="str">
        <f>iferror(vlookup(E313,MasterClass!$C$2:$G988,5,false),"")</f>
        <v/>
      </c>
      <c r="L313" s="69">
        <v>0.0</v>
      </c>
      <c r="M313" s="69">
        <f t="shared" si="49"/>
        <v>8</v>
      </c>
      <c r="N313" s="69">
        <f t="shared" si="50"/>
        <v>1</v>
      </c>
      <c r="O313" s="146">
        <f t="shared" si="51"/>
        <v>0.125</v>
      </c>
      <c r="P313" s="146"/>
      <c r="Q313" s="70"/>
      <c r="R313" s="63"/>
      <c r="S313" s="63"/>
      <c r="T313" s="63"/>
      <c r="U313" s="63"/>
      <c r="V313" s="63"/>
      <c r="W313" s="63"/>
      <c r="X313" s="63"/>
      <c r="Y313" s="63"/>
      <c r="Z313" s="63"/>
      <c r="AA313" s="63"/>
      <c r="AB313" s="63"/>
      <c r="AC313" s="63"/>
      <c r="AD313" s="63"/>
      <c r="AE313" s="63"/>
      <c r="AF313" s="63"/>
      <c r="AG313" s="63"/>
      <c r="AH313" s="63"/>
      <c r="AI313" s="63"/>
      <c r="AJ313" s="63"/>
    </row>
    <row r="314">
      <c r="A314" s="135">
        <v>316.0</v>
      </c>
      <c r="B314" s="67">
        <v>38.0</v>
      </c>
      <c r="C314" s="31" t="s">
        <v>571</v>
      </c>
      <c r="D314" s="68" t="s">
        <v>1438</v>
      </c>
      <c r="E314" s="71" t="s">
        <v>2787</v>
      </c>
      <c r="F314" s="69" t="s">
        <v>1401</v>
      </c>
      <c r="G314" s="69" t="s">
        <v>2772</v>
      </c>
      <c r="H314" s="145">
        <v>3.0</v>
      </c>
      <c r="I314" s="145">
        <v>2.0</v>
      </c>
      <c r="J314" s="69">
        <v>5.0</v>
      </c>
      <c r="K314" s="69" t="str">
        <f>iferror(vlookup(E314,MasterClass!$C$2:$G988,5,false),"")</f>
        <v/>
      </c>
      <c r="L314" s="69">
        <v>3.0</v>
      </c>
      <c r="M314" s="69">
        <f t="shared" si="49"/>
        <v>8</v>
      </c>
      <c r="N314" s="69">
        <f t="shared" si="50"/>
        <v>5</v>
      </c>
      <c r="O314" s="146">
        <f t="shared" si="51"/>
        <v>0.625</v>
      </c>
      <c r="P314" s="146"/>
      <c r="Q314" s="70"/>
      <c r="R314" s="63"/>
      <c r="S314" s="63"/>
      <c r="T314" s="63"/>
      <c r="U314" s="63"/>
      <c r="V314" s="63"/>
      <c r="W314" s="63"/>
      <c r="X314" s="63"/>
      <c r="Y314" s="63"/>
      <c r="Z314" s="63"/>
      <c r="AA314" s="63"/>
      <c r="AB314" s="63"/>
      <c r="AC314" s="63"/>
      <c r="AD314" s="63"/>
      <c r="AE314" s="63"/>
      <c r="AF314" s="63"/>
      <c r="AG314" s="63"/>
      <c r="AH314" s="63"/>
      <c r="AI314" s="63"/>
      <c r="AJ314" s="63"/>
    </row>
    <row r="315">
      <c r="A315" s="135">
        <v>317.0</v>
      </c>
      <c r="B315" s="67">
        <v>39.0</v>
      </c>
      <c r="C315" s="31" t="s">
        <v>573</v>
      </c>
      <c r="D315" s="68" t="s">
        <v>1439</v>
      </c>
      <c r="E315" s="71" t="s">
        <v>2788</v>
      </c>
      <c r="F315" s="69" t="s">
        <v>1401</v>
      </c>
      <c r="G315" s="69" t="s">
        <v>2772</v>
      </c>
      <c r="H315" s="145">
        <v>3.0</v>
      </c>
      <c r="I315" s="145">
        <v>1.0</v>
      </c>
      <c r="J315" s="69">
        <v>5.0</v>
      </c>
      <c r="K315" s="69" t="str">
        <f>iferror(vlookup(E315,MasterClass!$C$2:$G988,5,false),"")</f>
        <v/>
      </c>
      <c r="L315" s="69">
        <v>2.0</v>
      </c>
      <c r="M315" s="69">
        <f t="shared" si="49"/>
        <v>8</v>
      </c>
      <c r="N315" s="69">
        <f t="shared" si="50"/>
        <v>3</v>
      </c>
      <c r="O315" s="146">
        <f t="shared" si="51"/>
        <v>0.375</v>
      </c>
      <c r="P315" s="146"/>
      <c r="Q315" s="70"/>
      <c r="R315" s="63"/>
      <c r="S315" s="63"/>
      <c r="T315" s="63"/>
      <c r="U315" s="63"/>
      <c r="V315" s="63"/>
      <c r="W315" s="63"/>
      <c r="X315" s="63"/>
      <c r="Y315" s="63"/>
      <c r="Z315" s="63"/>
      <c r="AA315" s="63"/>
      <c r="AB315" s="63"/>
      <c r="AC315" s="63"/>
      <c r="AD315" s="63"/>
      <c r="AE315" s="63"/>
      <c r="AF315" s="63"/>
      <c r="AG315" s="63"/>
      <c r="AH315" s="63"/>
      <c r="AI315" s="63"/>
      <c r="AJ315" s="63"/>
    </row>
    <row r="316">
      <c r="A316" s="135">
        <v>318.0</v>
      </c>
      <c r="B316" s="67">
        <v>40.0</v>
      </c>
      <c r="C316" s="31" t="s">
        <v>575</v>
      </c>
      <c r="D316" s="68" t="s">
        <v>1440</v>
      </c>
      <c r="E316" s="71" t="s">
        <v>2789</v>
      </c>
      <c r="F316" s="69" t="s">
        <v>1401</v>
      </c>
      <c r="G316" s="69" t="s">
        <v>2772</v>
      </c>
      <c r="H316" s="145">
        <v>3.0</v>
      </c>
      <c r="I316" s="145">
        <v>1.0</v>
      </c>
      <c r="J316" s="69">
        <v>5.0</v>
      </c>
      <c r="K316" s="69" t="str">
        <f>iferror(vlookup(E316,MasterClass!$C$2:$G988,5,false),"")</f>
        <v/>
      </c>
      <c r="L316" s="69">
        <v>2.0</v>
      </c>
      <c r="M316" s="69">
        <f t="shared" si="49"/>
        <v>8</v>
      </c>
      <c r="N316" s="69">
        <f t="shared" si="50"/>
        <v>3</v>
      </c>
      <c r="O316" s="146">
        <f t="shared" si="51"/>
        <v>0.375</v>
      </c>
      <c r="P316" s="146"/>
      <c r="Q316" s="70"/>
      <c r="R316" s="63"/>
      <c r="S316" s="63"/>
      <c r="T316" s="63"/>
      <c r="U316" s="63"/>
      <c r="V316" s="63"/>
      <c r="W316" s="63"/>
      <c r="X316" s="63"/>
      <c r="Y316" s="63"/>
      <c r="Z316" s="63"/>
      <c r="AA316" s="63"/>
      <c r="AB316" s="63"/>
      <c r="AC316" s="63"/>
      <c r="AD316" s="63"/>
      <c r="AE316" s="63"/>
      <c r="AF316" s="63"/>
      <c r="AG316" s="63"/>
      <c r="AH316" s="63"/>
      <c r="AI316" s="63"/>
      <c r="AJ316" s="63"/>
    </row>
    <row r="317">
      <c r="A317" s="135">
        <v>319.0</v>
      </c>
      <c r="B317" s="67">
        <v>41.0</v>
      </c>
      <c r="C317" s="31" t="s">
        <v>577</v>
      </c>
      <c r="D317" s="68" t="s">
        <v>1441</v>
      </c>
      <c r="E317" s="71" t="s">
        <v>2790</v>
      </c>
      <c r="F317" s="69" t="s">
        <v>1401</v>
      </c>
      <c r="G317" s="69" t="s">
        <v>2772</v>
      </c>
      <c r="H317" s="145">
        <v>3.0</v>
      </c>
      <c r="I317" s="145">
        <v>2.0</v>
      </c>
      <c r="J317" s="69">
        <v>5.0</v>
      </c>
      <c r="K317" s="69" t="str">
        <f>iferror(vlookup(E317,MasterClass!$C$2:$G988,5,false),"")</f>
        <v/>
      </c>
      <c r="L317" s="69">
        <v>3.0</v>
      </c>
      <c r="M317" s="69">
        <f t="shared" si="49"/>
        <v>8</v>
      </c>
      <c r="N317" s="69">
        <f t="shared" si="50"/>
        <v>5</v>
      </c>
      <c r="O317" s="146">
        <f t="shared" si="51"/>
        <v>0.625</v>
      </c>
      <c r="P317" s="146"/>
      <c r="Q317" s="70"/>
      <c r="R317" s="63"/>
      <c r="S317" s="63"/>
      <c r="T317" s="63"/>
      <c r="U317" s="63"/>
      <c r="V317" s="63"/>
      <c r="W317" s="63"/>
      <c r="X317" s="63"/>
      <c r="Y317" s="63"/>
      <c r="Z317" s="63"/>
      <c r="AA317" s="63"/>
      <c r="AB317" s="63"/>
      <c r="AC317" s="63"/>
      <c r="AD317" s="63"/>
      <c r="AE317" s="63"/>
      <c r="AF317" s="63"/>
      <c r="AG317" s="63"/>
      <c r="AH317" s="63"/>
      <c r="AI317" s="63"/>
      <c r="AJ317" s="63"/>
    </row>
    <row r="318">
      <c r="A318" s="135">
        <v>320.0</v>
      </c>
      <c r="B318" s="67">
        <v>42.0</v>
      </c>
      <c r="C318" s="31" t="s">
        <v>579</v>
      </c>
      <c r="D318" s="68" t="s">
        <v>1442</v>
      </c>
      <c r="E318" s="71" t="s">
        <v>2791</v>
      </c>
      <c r="F318" s="69" t="s">
        <v>1401</v>
      </c>
      <c r="G318" s="69" t="s">
        <v>2772</v>
      </c>
      <c r="H318" s="145">
        <v>3.0</v>
      </c>
      <c r="I318" s="145">
        <v>1.0</v>
      </c>
      <c r="J318" s="69">
        <v>5.0</v>
      </c>
      <c r="K318" s="69" t="str">
        <f>iferror(vlookup(E318,MasterClass!$C$2:$G988,5,false),"")</f>
        <v/>
      </c>
      <c r="L318" s="69">
        <v>0.0</v>
      </c>
      <c r="M318" s="69">
        <f t="shared" si="49"/>
        <v>8</v>
      </c>
      <c r="N318" s="69">
        <f t="shared" si="50"/>
        <v>1</v>
      </c>
      <c r="O318" s="146">
        <f t="shared" si="51"/>
        <v>0.125</v>
      </c>
      <c r="P318" s="146"/>
      <c r="Q318" s="70"/>
      <c r="R318" s="63"/>
      <c r="S318" s="63"/>
      <c r="T318" s="63"/>
      <c r="U318" s="63"/>
      <c r="V318" s="63"/>
      <c r="W318" s="63"/>
      <c r="X318" s="63"/>
      <c r="Y318" s="63"/>
      <c r="Z318" s="63"/>
      <c r="AA318" s="63"/>
      <c r="AB318" s="63"/>
      <c r="AC318" s="63"/>
      <c r="AD318" s="63"/>
      <c r="AE318" s="63"/>
      <c r="AF318" s="63"/>
      <c r="AG318" s="63"/>
      <c r="AH318" s="63"/>
      <c r="AI318" s="63"/>
      <c r="AJ318" s="63"/>
    </row>
    <row r="319">
      <c r="A319" s="135">
        <v>321.0</v>
      </c>
      <c r="B319" s="67">
        <v>43.0</v>
      </c>
      <c r="C319" s="31" t="s">
        <v>581</v>
      </c>
      <c r="D319" s="68" t="s">
        <v>1443</v>
      </c>
      <c r="E319" s="71" t="s">
        <v>2792</v>
      </c>
      <c r="F319" s="69" t="s">
        <v>1401</v>
      </c>
      <c r="G319" s="69" t="s">
        <v>2748</v>
      </c>
      <c r="H319" s="145">
        <v>3.0</v>
      </c>
      <c r="I319" s="145">
        <v>1.0</v>
      </c>
      <c r="J319" s="69">
        <v>5.0</v>
      </c>
      <c r="K319" s="69" t="str">
        <f>iferror(vlookup(E319,MasterClass!$C$2:$G988,5,false),"")</f>
        <v/>
      </c>
      <c r="L319" s="69">
        <v>2.0</v>
      </c>
      <c r="M319" s="69">
        <f t="shared" si="49"/>
        <v>8</v>
      </c>
      <c r="N319" s="69">
        <f t="shared" si="50"/>
        <v>3</v>
      </c>
      <c r="O319" s="146">
        <f t="shared" si="51"/>
        <v>0.375</v>
      </c>
      <c r="P319" s="146"/>
      <c r="Q319" s="70"/>
      <c r="R319" s="63"/>
      <c r="S319" s="63"/>
      <c r="T319" s="63"/>
      <c r="U319" s="63"/>
      <c r="V319" s="63"/>
      <c r="W319" s="63"/>
      <c r="X319" s="63"/>
      <c r="Y319" s="63"/>
      <c r="Z319" s="63"/>
      <c r="AA319" s="63"/>
      <c r="AB319" s="63"/>
      <c r="AC319" s="63"/>
      <c r="AD319" s="63"/>
      <c r="AE319" s="63"/>
      <c r="AF319" s="63"/>
      <c r="AG319" s="63"/>
      <c r="AH319" s="63"/>
      <c r="AI319" s="63"/>
      <c r="AJ319" s="63"/>
    </row>
    <row r="320">
      <c r="A320" s="135">
        <v>322.0</v>
      </c>
      <c r="B320" s="67">
        <v>44.0</v>
      </c>
      <c r="C320" s="31" t="s">
        <v>583</v>
      </c>
      <c r="D320" s="71" t="s">
        <v>1444</v>
      </c>
      <c r="E320" s="71" t="s">
        <v>2793</v>
      </c>
      <c r="F320" s="69" t="s">
        <v>1401</v>
      </c>
      <c r="G320" s="69" t="s">
        <v>2748</v>
      </c>
      <c r="H320" s="145">
        <v>3.0</v>
      </c>
      <c r="I320" s="145">
        <v>2.0</v>
      </c>
      <c r="J320" s="69">
        <v>5.0</v>
      </c>
      <c r="K320" s="69" t="str">
        <f>iferror(vlookup(E320,MasterClass!$C$2:$G988,5,false),"")</f>
        <v/>
      </c>
      <c r="L320" s="69">
        <v>4.0</v>
      </c>
      <c r="M320" s="69">
        <f t="shared" si="49"/>
        <v>8</v>
      </c>
      <c r="N320" s="69">
        <f t="shared" si="50"/>
        <v>6</v>
      </c>
      <c r="O320" s="146">
        <f t="shared" si="51"/>
        <v>0.75</v>
      </c>
      <c r="P320" s="146"/>
      <c r="Q320" s="70"/>
      <c r="R320" s="63"/>
      <c r="S320" s="63"/>
      <c r="T320" s="63"/>
      <c r="U320" s="63"/>
      <c r="V320" s="63"/>
      <c r="W320" s="63"/>
      <c r="X320" s="63"/>
      <c r="Y320" s="63"/>
      <c r="Z320" s="63"/>
      <c r="AA320" s="63"/>
      <c r="AB320" s="63"/>
      <c r="AC320" s="63"/>
      <c r="AD320" s="63"/>
      <c r="AE320" s="63"/>
      <c r="AF320" s="63"/>
      <c r="AG320" s="63"/>
      <c r="AH320" s="63"/>
      <c r="AI320" s="63"/>
      <c r="AJ320" s="63"/>
    </row>
    <row r="321">
      <c r="A321" s="135">
        <v>323.0</v>
      </c>
      <c r="B321" s="67">
        <v>45.0</v>
      </c>
      <c r="C321" s="31" t="s">
        <v>585</v>
      </c>
      <c r="D321" s="68" t="s">
        <v>1445</v>
      </c>
      <c r="E321" s="71" t="s">
        <v>2794</v>
      </c>
      <c r="F321" s="69" t="s">
        <v>1401</v>
      </c>
      <c r="G321" s="69" t="s">
        <v>2748</v>
      </c>
      <c r="H321" s="145">
        <v>3.0</v>
      </c>
      <c r="I321" s="145">
        <v>1.0</v>
      </c>
      <c r="J321" s="69">
        <v>5.0</v>
      </c>
      <c r="K321" s="69" t="str">
        <f>iferror(vlookup(E321,MasterClass!$C$2:$G988,5,false),"")</f>
        <v/>
      </c>
      <c r="L321" s="69">
        <v>1.0</v>
      </c>
      <c r="M321" s="69">
        <f t="shared" si="49"/>
        <v>8</v>
      </c>
      <c r="N321" s="69">
        <f t="shared" si="50"/>
        <v>2</v>
      </c>
      <c r="O321" s="146">
        <f t="shared" si="51"/>
        <v>0.25</v>
      </c>
      <c r="P321" s="146"/>
      <c r="Q321" s="70"/>
      <c r="R321" s="63"/>
      <c r="S321" s="63"/>
      <c r="T321" s="63"/>
      <c r="U321" s="63"/>
      <c r="V321" s="63"/>
      <c r="W321" s="63"/>
      <c r="X321" s="63"/>
      <c r="Y321" s="63"/>
      <c r="Z321" s="63"/>
      <c r="AA321" s="63"/>
      <c r="AB321" s="63"/>
      <c r="AC321" s="63"/>
      <c r="AD321" s="63"/>
      <c r="AE321" s="63"/>
      <c r="AF321" s="63"/>
      <c r="AG321" s="63"/>
      <c r="AH321" s="63"/>
      <c r="AI321" s="63"/>
      <c r="AJ321" s="63"/>
    </row>
    <row r="322">
      <c r="A322" s="135">
        <v>324.0</v>
      </c>
      <c r="B322" s="63"/>
      <c r="C322" s="63"/>
      <c r="D322" s="63"/>
      <c r="E322" s="149"/>
      <c r="F322" s="63"/>
      <c r="G322" s="63"/>
      <c r="H322" s="63"/>
      <c r="I322" s="63"/>
      <c r="J322" s="63"/>
      <c r="K322" s="150" t="str">
        <f>iferror(vlookup(E322,MasterClass!$C$2:$G988,5,false),"")</f>
        <v/>
      </c>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row>
    <row r="323">
      <c r="A323" s="135">
        <v>325.0</v>
      </c>
      <c r="B323" s="62" t="s">
        <v>3</v>
      </c>
      <c r="C323" s="63"/>
      <c r="D323" s="62" t="s">
        <v>4</v>
      </c>
      <c r="E323" s="149" t="s">
        <v>4</v>
      </c>
      <c r="F323" s="63"/>
      <c r="G323" s="63"/>
      <c r="H323" s="63"/>
      <c r="I323" s="63"/>
      <c r="J323" s="63"/>
      <c r="K323" s="150" t="str">
        <f>iferror(vlookup(E323,MasterClass!$C$2:$G988,5,false),"")</f>
        <v/>
      </c>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row>
    <row r="324">
      <c r="A324" s="135">
        <v>326.0</v>
      </c>
      <c r="B324" s="62" t="s">
        <v>5</v>
      </c>
      <c r="C324" s="63"/>
      <c r="D324" s="62" t="s">
        <v>588</v>
      </c>
      <c r="E324" s="149" t="s">
        <v>588</v>
      </c>
      <c r="F324" s="63"/>
      <c r="G324" s="63"/>
      <c r="H324" s="63"/>
      <c r="I324" s="63"/>
      <c r="J324" s="63"/>
      <c r="K324" s="150" t="str">
        <f>iferror(vlookup(E324,MasterClass!$C$2:$G988,5,false),"")</f>
        <v/>
      </c>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row>
    <row r="325">
      <c r="A325" s="135">
        <v>327.0</v>
      </c>
      <c r="B325" s="62" t="s">
        <v>7</v>
      </c>
      <c r="C325" s="63"/>
      <c r="D325" s="62" t="s">
        <v>8</v>
      </c>
      <c r="E325" s="149" t="s">
        <v>8</v>
      </c>
      <c r="F325" s="63"/>
      <c r="G325" s="63"/>
      <c r="H325" s="63"/>
      <c r="I325" s="63"/>
      <c r="J325" s="63"/>
      <c r="K325" s="150" t="str">
        <f>iferror(vlookup(E325,MasterClass!$C$2:$G988,5,false),"")</f>
        <v/>
      </c>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row>
    <row r="326">
      <c r="A326" s="135">
        <v>328.0</v>
      </c>
      <c r="B326" s="63"/>
      <c r="C326" s="63"/>
      <c r="D326" s="63"/>
      <c r="E326" s="149"/>
      <c r="F326" s="63"/>
      <c r="G326" s="63"/>
      <c r="H326" s="63"/>
      <c r="I326" s="63"/>
      <c r="J326" s="63"/>
      <c r="K326" s="150" t="str">
        <f>iferror(vlookup(E326,MasterClass!$C$2:$G988,5,false),"")</f>
        <v/>
      </c>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row>
    <row r="327">
      <c r="A327" s="135">
        <v>330.0</v>
      </c>
      <c r="B327" s="80" t="s">
        <v>9</v>
      </c>
      <c r="C327" s="81" t="s">
        <v>10</v>
      </c>
      <c r="D327" s="80" t="s">
        <v>11</v>
      </c>
      <c r="E327" s="174"/>
      <c r="F327" s="85" t="s">
        <v>5</v>
      </c>
      <c r="G327" s="175"/>
      <c r="H327" s="153" t="s">
        <v>2492</v>
      </c>
      <c r="I327" s="175"/>
      <c r="J327" s="154" t="s">
        <v>2493</v>
      </c>
      <c r="K327" s="175"/>
      <c r="L327" s="175"/>
      <c r="M327" s="176" t="s">
        <v>2489</v>
      </c>
      <c r="N327" s="85" t="s">
        <v>2490</v>
      </c>
      <c r="O327" s="162" t="s">
        <v>18</v>
      </c>
      <c r="P327" s="82" t="s">
        <v>2491</v>
      </c>
      <c r="Q327" s="83" t="s">
        <v>19</v>
      </c>
      <c r="R327" s="63"/>
      <c r="S327" s="63"/>
      <c r="T327" s="63"/>
      <c r="U327" s="63"/>
      <c r="V327" s="63"/>
      <c r="W327" s="63"/>
      <c r="X327" s="63"/>
      <c r="Y327" s="63"/>
      <c r="Z327" s="63"/>
      <c r="AA327" s="63"/>
      <c r="AB327" s="63"/>
      <c r="AC327" s="63"/>
      <c r="AD327" s="63"/>
      <c r="AE327" s="63"/>
      <c r="AF327" s="63"/>
      <c r="AG327" s="63"/>
      <c r="AH327" s="63"/>
      <c r="AI327" s="63"/>
      <c r="AJ327" s="63"/>
    </row>
    <row r="328">
      <c r="A328" s="135">
        <v>331.0</v>
      </c>
      <c r="B328" s="20"/>
      <c r="C328" s="20"/>
      <c r="D328" s="20"/>
      <c r="E328" s="174"/>
      <c r="F328" s="20"/>
      <c r="G328" s="164" t="s">
        <v>2483</v>
      </c>
      <c r="H328" s="158" t="s">
        <v>2484</v>
      </c>
      <c r="I328" s="164" t="s">
        <v>2485</v>
      </c>
      <c r="J328" s="165" t="s">
        <v>2486</v>
      </c>
      <c r="K328" s="166" t="s">
        <v>2487</v>
      </c>
      <c r="L328" s="164" t="s">
        <v>2488</v>
      </c>
      <c r="M328" s="20"/>
      <c r="N328" s="20"/>
      <c r="O328" s="20"/>
      <c r="P328" s="20"/>
      <c r="Q328" s="20"/>
      <c r="R328" s="63"/>
      <c r="S328" s="63"/>
      <c r="T328" s="63"/>
      <c r="U328" s="63"/>
      <c r="V328" s="63"/>
      <c r="W328" s="63"/>
      <c r="X328" s="63"/>
      <c r="Y328" s="63"/>
      <c r="Z328" s="63"/>
      <c r="AA328" s="63"/>
      <c r="AB328" s="63"/>
      <c r="AC328" s="63"/>
      <c r="AD328" s="63"/>
      <c r="AE328" s="63"/>
      <c r="AF328" s="63"/>
      <c r="AG328" s="63"/>
      <c r="AH328" s="63"/>
      <c r="AI328" s="63"/>
      <c r="AJ328" s="63"/>
    </row>
    <row r="329">
      <c r="A329" s="135">
        <v>332.0</v>
      </c>
      <c r="B329" s="67">
        <v>1.0</v>
      </c>
      <c r="C329" s="31" t="s">
        <v>589</v>
      </c>
      <c r="D329" s="68" t="s">
        <v>1446</v>
      </c>
      <c r="E329" s="71" t="s">
        <v>2795</v>
      </c>
      <c r="F329" s="69" t="s">
        <v>1447</v>
      </c>
      <c r="G329" s="69" t="s">
        <v>2796</v>
      </c>
      <c r="H329" s="145">
        <v>3.0</v>
      </c>
      <c r="I329" s="145">
        <v>0.0</v>
      </c>
      <c r="J329" s="69">
        <v>5.0</v>
      </c>
      <c r="K329" s="69" t="str">
        <f>iferror(vlookup(E329,MasterClass!$C$2:$G988,5,false),"")</f>
        <v/>
      </c>
      <c r="L329" s="69">
        <v>4.0</v>
      </c>
      <c r="M329" s="69">
        <f t="shared" ref="M329:M341" si="52">J329+H329</f>
        <v>8</v>
      </c>
      <c r="N329" s="69">
        <f t="shared" ref="N329:N341" si="53">I329+L329+K329</f>
        <v>4</v>
      </c>
      <c r="O329" s="146">
        <f t="shared" ref="O329:O341" si="54">N329/M329</f>
        <v>0.5</v>
      </c>
      <c r="P329" s="146"/>
      <c r="Q329" s="70"/>
      <c r="R329" s="63"/>
      <c r="S329" s="63"/>
      <c r="T329" s="63"/>
      <c r="U329" s="63"/>
      <c r="V329" s="63"/>
      <c r="W329" s="63"/>
      <c r="X329" s="63"/>
      <c r="Y329" s="63"/>
      <c r="Z329" s="63"/>
      <c r="AA329" s="63"/>
      <c r="AB329" s="63"/>
      <c r="AC329" s="63"/>
      <c r="AD329" s="63"/>
      <c r="AE329" s="63"/>
      <c r="AF329" s="63"/>
      <c r="AG329" s="63"/>
      <c r="AH329" s="63"/>
      <c r="AI329" s="63"/>
      <c r="AJ329" s="63"/>
    </row>
    <row r="330">
      <c r="A330" s="135">
        <v>333.0</v>
      </c>
      <c r="B330" s="67">
        <v>2.0</v>
      </c>
      <c r="C330" s="31" t="s">
        <v>591</v>
      </c>
      <c r="D330" s="68" t="s">
        <v>1448</v>
      </c>
      <c r="E330" s="71" t="s">
        <v>2797</v>
      </c>
      <c r="F330" s="69" t="s">
        <v>1447</v>
      </c>
      <c r="G330" s="178" t="s">
        <v>2798</v>
      </c>
      <c r="H330" s="145">
        <v>3.0</v>
      </c>
      <c r="I330" s="145">
        <v>0.0</v>
      </c>
      <c r="J330" s="69">
        <v>5.0</v>
      </c>
      <c r="K330" s="69" t="str">
        <f>iferror(vlookup(E330,MasterClass!$C$2:$G988,5,false),"")</f>
        <v/>
      </c>
      <c r="L330" s="178">
        <v>1.0</v>
      </c>
      <c r="M330" s="69">
        <f t="shared" si="52"/>
        <v>8</v>
      </c>
      <c r="N330" s="69">
        <f t="shared" si="53"/>
        <v>1</v>
      </c>
      <c r="O330" s="146">
        <f t="shared" si="54"/>
        <v>0.125</v>
      </c>
      <c r="P330" s="146"/>
      <c r="Q330" s="70"/>
      <c r="R330" s="179"/>
      <c r="S330" s="180"/>
      <c r="T330" s="63"/>
      <c r="U330" s="63"/>
      <c r="V330" s="63"/>
      <c r="W330" s="63"/>
      <c r="X330" s="63"/>
      <c r="Y330" s="63"/>
      <c r="Z330" s="63"/>
      <c r="AA330" s="63"/>
      <c r="AB330" s="63"/>
      <c r="AC330" s="63"/>
      <c r="AD330" s="63"/>
      <c r="AE330" s="63"/>
      <c r="AF330" s="63"/>
      <c r="AG330" s="63"/>
      <c r="AH330" s="63"/>
      <c r="AI330" s="63"/>
      <c r="AJ330" s="63"/>
    </row>
    <row r="331">
      <c r="A331" s="135">
        <v>334.0</v>
      </c>
      <c r="B331" s="67">
        <v>3.0</v>
      </c>
      <c r="C331" s="31" t="s">
        <v>593</v>
      </c>
      <c r="D331" s="68" t="s">
        <v>1449</v>
      </c>
      <c r="E331" s="71" t="s">
        <v>2799</v>
      </c>
      <c r="F331" s="69" t="s">
        <v>1447</v>
      </c>
      <c r="G331" s="69" t="s">
        <v>2796</v>
      </c>
      <c r="H331" s="145">
        <v>3.0</v>
      </c>
      <c r="I331" s="145">
        <v>2.0</v>
      </c>
      <c r="J331" s="69">
        <v>5.0</v>
      </c>
      <c r="K331" s="69" t="str">
        <f>iferror(vlookup(E331,MasterClass!$C$2:$G988,5,false),"")</f>
        <v/>
      </c>
      <c r="L331" s="181">
        <v>3.0</v>
      </c>
      <c r="M331" s="69">
        <f t="shared" si="52"/>
        <v>8</v>
      </c>
      <c r="N331" s="69">
        <f t="shared" si="53"/>
        <v>5</v>
      </c>
      <c r="O331" s="146">
        <f t="shared" si="54"/>
        <v>0.625</v>
      </c>
      <c r="P331" s="146"/>
      <c r="Q331" s="70"/>
      <c r="R331" s="63"/>
      <c r="S331" s="63"/>
      <c r="T331" s="63"/>
      <c r="U331" s="63"/>
      <c r="V331" s="63"/>
      <c r="W331" s="63"/>
      <c r="X331" s="63"/>
      <c r="Y331" s="63"/>
      <c r="Z331" s="63"/>
      <c r="AA331" s="63"/>
      <c r="AB331" s="63"/>
      <c r="AC331" s="63"/>
      <c r="AD331" s="63"/>
      <c r="AE331" s="63"/>
      <c r="AF331" s="63"/>
      <c r="AG331" s="63"/>
      <c r="AH331" s="63"/>
      <c r="AI331" s="63"/>
      <c r="AJ331" s="63"/>
    </row>
    <row r="332">
      <c r="A332" s="135">
        <v>335.0</v>
      </c>
      <c r="B332" s="67">
        <v>4.0</v>
      </c>
      <c r="C332" s="31" t="s">
        <v>595</v>
      </c>
      <c r="D332" s="68" t="s">
        <v>1450</v>
      </c>
      <c r="E332" s="71" t="s">
        <v>2800</v>
      </c>
      <c r="F332" s="69" t="s">
        <v>1447</v>
      </c>
      <c r="G332" s="69" t="s">
        <v>2796</v>
      </c>
      <c r="H332" s="145">
        <v>3.0</v>
      </c>
      <c r="I332" s="145">
        <v>1.0</v>
      </c>
      <c r="J332" s="69">
        <v>5.0</v>
      </c>
      <c r="K332" s="69" t="str">
        <f>iferror(vlookup(E332,MasterClass!$C$2:$G988,5,false),"")</f>
        <v/>
      </c>
      <c r="L332" s="181">
        <v>4.0</v>
      </c>
      <c r="M332" s="69">
        <f t="shared" si="52"/>
        <v>8</v>
      </c>
      <c r="N332" s="69">
        <f t="shared" si="53"/>
        <v>5</v>
      </c>
      <c r="O332" s="146">
        <f t="shared" si="54"/>
        <v>0.625</v>
      </c>
      <c r="P332" s="146"/>
      <c r="Q332" s="70"/>
      <c r="R332" s="63"/>
      <c r="S332" s="63"/>
      <c r="T332" s="63"/>
      <c r="U332" s="63"/>
      <c r="V332" s="63"/>
      <c r="W332" s="63"/>
      <c r="X332" s="63"/>
      <c r="Y332" s="63"/>
      <c r="Z332" s="63"/>
      <c r="AA332" s="63"/>
      <c r="AB332" s="63"/>
      <c r="AC332" s="63"/>
      <c r="AD332" s="63"/>
      <c r="AE332" s="63"/>
      <c r="AF332" s="63"/>
      <c r="AG332" s="63"/>
      <c r="AH332" s="63"/>
      <c r="AI332" s="63"/>
      <c r="AJ332" s="63"/>
    </row>
    <row r="333">
      <c r="A333" s="135">
        <v>336.0</v>
      </c>
      <c r="B333" s="67">
        <v>5.0</v>
      </c>
      <c r="C333" s="31" t="s">
        <v>597</v>
      </c>
      <c r="D333" s="68" t="s">
        <v>1451</v>
      </c>
      <c r="E333" s="71" t="s">
        <v>2801</v>
      </c>
      <c r="F333" s="69" t="s">
        <v>1447</v>
      </c>
      <c r="G333" s="69" t="s">
        <v>2796</v>
      </c>
      <c r="H333" s="145">
        <v>3.0</v>
      </c>
      <c r="I333" s="145">
        <v>2.0</v>
      </c>
      <c r="J333" s="69">
        <v>5.0</v>
      </c>
      <c r="K333" s="69" t="str">
        <f>iferror(vlookup(E333,MasterClass!$C$2:$G988,5,false),"")</f>
        <v/>
      </c>
      <c r="L333" s="181">
        <v>3.0</v>
      </c>
      <c r="M333" s="69">
        <f t="shared" si="52"/>
        <v>8</v>
      </c>
      <c r="N333" s="69">
        <f t="shared" si="53"/>
        <v>5</v>
      </c>
      <c r="O333" s="146">
        <f t="shared" si="54"/>
        <v>0.625</v>
      </c>
      <c r="P333" s="146"/>
      <c r="Q333" s="70"/>
      <c r="R333" s="63"/>
      <c r="S333" s="63"/>
      <c r="T333" s="63"/>
      <c r="U333" s="63"/>
      <c r="V333" s="63"/>
      <c r="W333" s="63"/>
      <c r="X333" s="63"/>
      <c r="Y333" s="63"/>
      <c r="Z333" s="63"/>
      <c r="AA333" s="63"/>
      <c r="AB333" s="63"/>
      <c r="AC333" s="63"/>
      <c r="AD333" s="63"/>
      <c r="AE333" s="63"/>
      <c r="AF333" s="63"/>
      <c r="AG333" s="63"/>
      <c r="AH333" s="63"/>
      <c r="AI333" s="63"/>
      <c r="AJ333" s="63"/>
    </row>
    <row r="334">
      <c r="A334" s="135">
        <v>337.0</v>
      </c>
      <c r="B334" s="67">
        <v>6.0</v>
      </c>
      <c r="C334" s="31" t="s">
        <v>599</v>
      </c>
      <c r="D334" s="68" t="s">
        <v>1452</v>
      </c>
      <c r="E334" s="71" t="s">
        <v>2802</v>
      </c>
      <c r="F334" s="69" t="s">
        <v>1447</v>
      </c>
      <c r="G334" s="69" t="s">
        <v>2796</v>
      </c>
      <c r="H334" s="145">
        <v>3.0</v>
      </c>
      <c r="I334" s="145">
        <v>3.0</v>
      </c>
      <c r="J334" s="69">
        <v>5.0</v>
      </c>
      <c r="K334" s="69" t="str">
        <f>iferror(vlookup(E334,MasterClass!$C$2:$G988,5,false),"")</f>
        <v/>
      </c>
      <c r="L334" s="181">
        <v>5.0</v>
      </c>
      <c r="M334" s="69">
        <f t="shared" si="52"/>
        <v>8</v>
      </c>
      <c r="N334" s="69">
        <f t="shared" si="53"/>
        <v>8</v>
      </c>
      <c r="O334" s="146">
        <f t="shared" si="54"/>
        <v>1</v>
      </c>
      <c r="P334" s="146"/>
      <c r="Q334" s="70"/>
      <c r="R334" s="63"/>
      <c r="S334" s="63"/>
      <c r="T334" s="63"/>
      <c r="U334" s="63"/>
      <c r="V334" s="63"/>
      <c r="W334" s="63"/>
      <c r="X334" s="63"/>
      <c r="Y334" s="63"/>
      <c r="Z334" s="63"/>
      <c r="AA334" s="63"/>
      <c r="AB334" s="63"/>
      <c r="AC334" s="63"/>
      <c r="AD334" s="63"/>
      <c r="AE334" s="63"/>
      <c r="AF334" s="63"/>
      <c r="AG334" s="63"/>
      <c r="AH334" s="63"/>
      <c r="AI334" s="63"/>
      <c r="AJ334" s="63"/>
    </row>
    <row r="335">
      <c r="A335" s="135">
        <v>338.0</v>
      </c>
      <c r="B335" s="67">
        <v>7.0</v>
      </c>
      <c r="C335" s="31" t="s">
        <v>601</v>
      </c>
      <c r="D335" s="68" t="s">
        <v>1453</v>
      </c>
      <c r="E335" s="71" t="s">
        <v>2803</v>
      </c>
      <c r="F335" s="69" t="s">
        <v>1447</v>
      </c>
      <c r="G335" s="178" t="s">
        <v>2798</v>
      </c>
      <c r="H335" s="145">
        <v>3.0</v>
      </c>
      <c r="I335" s="145">
        <v>0.0</v>
      </c>
      <c r="J335" s="69">
        <v>5.0</v>
      </c>
      <c r="K335" s="69" t="str">
        <f>iferror(vlookup(E335,MasterClass!$C$2:$G988,5,false),"")</f>
        <v/>
      </c>
      <c r="L335" s="178">
        <v>4.0</v>
      </c>
      <c r="M335" s="69">
        <f t="shared" si="52"/>
        <v>8</v>
      </c>
      <c r="N335" s="69">
        <f t="shared" si="53"/>
        <v>4</v>
      </c>
      <c r="O335" s="146">
        <f t="shared" si="54"/>
        <v>0.5</v>
      </c>
      <c r="P335" s="146"/>
      <c r="Q335" s="70"/>
      <c r="R335" s="179"/>
      <c r="S335" s="180"/>
      <c r="T335" s="63"/>
      <c r="U335" s="63"/>
      <c r="V335" s="63"/>
      <c r="W335" s="63"/>
      <c r="X335" s="63"/>
      <c r="Y335" s="63"/>
      <c r="Z335" s="63"/>
      <c r="AA335" s="63"/>
      <c r="AB335" s="63"/>
      <c r="AC335" s="63"/>
      <c r="AD335" s="63"/>
      <c r="AE335" s="63"/>
      <c r="AF335" s="63"/>
      <c r="AG335" s="63"/>
      <c r="AH335" s="63"/>
      <c r="AI335" s="63"/>
      <c r="AJ335" s="63"/>
    </row>
    <row r="336">
      <c r="A336" s="135">
        <v>339.0</v>
      </c>
      <c r="B336" s="67">
        <v>8.0</v>
      </c>
      <c r="C336" s="31" t="s">
        <v>603</v>
      </c>
      <c r="D336" s="68" t="s">
        <v>1454</v>
      </c>
      <c r="E336" s="71" t="s">
        <v>2804</v>
      </c>
      <c r="F336" s="69" t="s">
        <v>1447</v>
      </c>
      <c r="G336" s="69" t="s">
        <v>2796</v>
      </c>
      <c r="H336" s="145">
        <v>3.0</v>
      </c>
      <c r="I336" s="145">
        <v>1.0</v>
      </c>
      <c r="J336" s="69">
        <v>5.0</v>
      </c>
      <c r="K336" s="69" t="str">
        <f>iferror(vlookup(E336,MasterClass!$C$2:$G988,5,false),"")</f>
        <v/>
      </c>
      <c r="L336" s="181">
        <v>1.0</v>
      </c>
      <c r="M336" s="69">
        <f t="shared" si="52"/>
        <v>8</v>
      </c>
      <c r="N336" s="69">
        <f t="shared" si="53"/>
        <v>2</v>
      </c>
      <c r="O336" s="146">
        <f t="shared" si="54"/>
        <v>0.25</v>
      </c>
      <c r="P336" s="146"/>
      <c r="Q336" s="70"/>
      <c r="R336" s="63"/>
      <c r="S336" s="63"/>
      <c r="T336" s="63"/>
      <c r="U336" s="63"/>
      <c r="V336" s="63"/>
      <c r="W336" s="63"/>
      <c r="X336" s="63"/>
      <c r="Y336" s="63"/>
      <c r="Z336" s="63"/>
      <c r="AA336" s="63"/>
      <c r="AB336" s="63"/>
      <c r="AC336" s="63"/>
      <c r="AD336" s="63"/>
      <c r="AE336" s="63"/>
      <c r="AF336" s="63"/>
      <c r="AG336" s="63"/>
      <c r="AH336" s="63"/>
      <c r="AI336" s="63"/>
      <c r="AJ336" s="63"/>
    </row>
    <row r="337">
      <c r="A337" s="135">
        <v>340.0</v>
      </c>
      <c r="B337" s="67">
        <v>9.0</v>
      </c>
      <c r="C337" s="31" t="s">
        <v>605</v>
      </c>
      <c r="D337" s="68" t="s">
        <v>1455</v>
      </c>
      <c r="E337" s="71" t="s">
        <v>2805</v>
      </c>
      <c r="F337" s="69" t="s">
        <v>1447</v>
      </c>
      <c r="G337" s="69" t="s">
        <v>2796</v>
      </c>
      <c r="H337" s="145">
        <v>3.0</v>
      </c>
      <c r="I337" s="145">
        <v>1.0</v>
      </c>
      <c r="J337" s="69">
        <v>5.0</v>
      </c>
      <c r="K337" s="69" t="str">
        <f>iferror(vlookup(E337,MasterClass!$C$2:$G988,5,false),"")</f>
        <v/>
      </c>
      <c r="L337" s="181">
        <v>2.0</v>
      </c>
      <c r="M337" s="69">
        <f t="shared" si="52"/>
        <v>8</v>
      </c>
      <c r="N337" s="69">
        <f t="shared" si="53"/>
        <v>3</v>
      </c>
      <c r="O337" s="146">
        <f t="shared" si="54"/>
        <v>0.375</v>
      </c>
      <c r="P337" s="146"/>
      <c r="Q337" s="70"/>
      <c r="R337" s="63"/>
      <c r="S337" s="63"/>
      <c r="T337" s="63"/>
      <c r="U337" s="63"/>
      <c r="V337" s="63"/>
      <c r="W337" s="63"/>
      <c r="X337" s="63"/>
      <c r="Y337" s="63"/>
      <c r="Z337" s="63"/>
      <c r="AA337" s="63"/>
      <c r="AB337" s="63"/>
      <c r="AC337" s="63"/>
      <c r="AD337" s="63"/>
      <c r="AE337" s="63"/>
      <c r="AF337" s="63"/>
      <c r="AG337" s="63"/>
      <c r="AH337" s="63"/>
      <c r="AI337" s="63"/>
      <c r="AJ337" s="63"/>
    </row>
    <row r="338">
      <c r="A338" s="135">
        <v>341.0</v>
      </c>
      <c r="B338" s="67">
        <v>10.0</v>
      </c>
      <c r="C338" s="31" t="s">
        <v>607</v>
      </c>
      <c r="D338" s="68" t="s">
        <v>1456</v>
      </c>
      <c r="E338" s="71" t="s">
        <v>2806</v>
      </c>
      <c r="F338" s="69" t="s">
        <v>1447</v>
      </c>
      <c r="G338" s="69" t="s">
        <v>2583</v>
      </c>
      <c r="H338" s="145">
        <v>4.0</v>
      </c>
      <c r="I338" s="145">
        <v>4.0</v>
      </c>
      <c r="J338" s="69">
        <v>5.0</v>
      </c>
      <c r="K338" s="69" t="str">
        <f>iferror(vlookup(E338,MasterClass!$C$2:$G988,5,false),"")</f>
        <v/>
      </c>
      <c r="L338" s="69">
        <v>4.0</v>
      </c>
      <c r="M338" s="69">
        <f t="shared" si="52"/>
        <v>9</v>
      </c>
      <c r="N338" s="69">
        <f t="shared" si="53"/>
        <v>8</v>
      </c>
      <c r="O338" s="146">
        <f t="shared" si="54"/>
        <v>0.8888888889</v>
      </c>
      <c r="P338" s="69" t="s">
        <v>2508</v>
      </c>
      <c r="Q338" s="69"/>
      <c r="R338" s="179"/>
      <c r="S338" s="180"/>
      <c r="T338" s="63"/>
      <c r="U338" s="63"/>
      <c r="V338" s="63"/>
      <c r="W338" s="63"/>
      <c r="X338" s="63"/>
      <c r="Y338" s="63"/>
      <c r="Z338" s="63"/>
      <c r="AA338" s="63"/>
      <c r="AB338" s="63"/>
      <c r="AC338" s="63"/>
      <c r="AD338" s="63"/>
      <c r="AE338" s="63"/>
      <c r="AF338" s="63"/>
      <c r="AG338" s="63"/>
      <c r="AH338" s="63"/>
      <c r="AI338" s="63"/>
      <c r="AJ338" s="63"/>
    </row>
    <row r="339">
      <c r="A339" s="135">
        <v>342.0</v>
      </c>
      <c r="B339" s="67">
        <v>11.0</v>
      </c>
      <c r="C339" s="31" t="s">
        <v>609</v>
      </c>
      <c r="D339" s="68" t="s">
        <v>1457</v>
      </c>
      <c r="E339" s="71" t="s">
        <v>2807</v>
      </c>
      <c r="F339" s="69" t="s">
        <v>1447</v>
      </c>
      <c r="G339" s="69" t="s">
        <v>2796</v>
      </c>
      <c r="H339" s="145">
        <v>3.0</v>
      </c>
      <c r="I339" s="145">
        <v>3.0</v>
      </c>
      <c r="J339" s="69">
        <v>5.0</v>
      </c>
      <c r="K339" s="69" t="str">
        <f>iferror(vlookup(E339,MasterClass!$C$2:$G988,5,false),"")</f>
        <v/>
      </c>
      <c r="L339" s="181">
        <v>5.0</v>
      </c>
      <c r="M339" s="69">
        <f t="shared" si="52"/>
        <v>8</v>
      </c>
      <c r="N339" s="69">
        <f t="shared" si="53"/>
        <v>8</v>
      </c>
      <c r="O339" s="146">
        <f t="shared" si="54"/>
        <v>1</v>
      </c>
      <c r="P339" s="146"/>
      <c r="Q339" s="70"/>
      <c r="R339" s="63"/>
      <c r="S339" s="63"/>
      <c r="T339" s="63"/>
      <c r="U339" s="63"/>
      <c r="V339" s="63"/>
      <c r="W339" s="63"/>
      <c r="X339" s="63"/>
      <c r="Y339" s="63"/>
      <c r="Z339" s="63"/>
      <c r="AA339" s="63"/>
      <c r="AB339" s="63"/>
      <c r="AC339" s="63"/>
      <c r="AD339" s="63"/>
      <c r="AE339" s="63"/>
      <c r="AF339" s="63"/>
      <c r="AG339" s="63"/>
      <c r="AH339" s="63"/>
      <c r="AI339" s="63"/>
      <c r="AJ339" s="63"/>
    </row>
    <row r="340">
      <c r="A340" s="135">
        <v>343.0</v>
      </c>
      <c r="B340" s="67">
        <v>12.0</v>
      </c>
      <c r="C340" s="31" t="s">
        <v>611</v>
      </c>
      <c r="D340" s="68" t="s">
        <v>1458</v>
      </c>
      <c r="E340" s="71" t="s">
        <v>2808</v>
      </c>
      <c r="F340" s="69" t="s">
        <v>1447</v>
      </c>
      <c r="G340" s="69" t="s">
        <v>2796</v>
      </c>
      <c r="H340" s="145">
        <v>3.0</v>
      </c>
      <c r="I340" s="145">
        <v>2.0</v>
      </c>
      <c r="J340" s="69">
        <v>5.0</v>
      </c>
      <c r="K340" s="69" t="str">
        <f>iferror(vlookup(E340,MasterClass!$C$2:$G988,5,false),"")</f>
        <v/>
      </c>
      <c r="L340" s="181">
        <v>4.0</v>
      </c>
      <c r="M340" s="69">
        <f t="shared" si="52"/>
        <v>8</v>
      </c>
      <c r="N340" s="69">
        <f t="shared" si="53"/>
        <v>6</v>
      </c>
      <c r="O340" s="146">
        <f t="shared" si="54"/>
        <v>0.75</v>
      </c>
      <c r="P340" s="146"/>
      <c r="Q340" s="70"/>
      <c r="R340" s="63"/>
      <c r="S340" s="63"/>
      <c r="T340" s="63"/>
      <c r="U340" s="63"/>
      <c r="V340" s="63"/>
      <c r="W340" s="63"/>
      <c r="X340" s="63"/>
      <c r="Y340" s="63"/>
      <c r="Z340" s="63"/>
      <c r="AA340" s="63"/>
      <c r="AB340" s="63"/>
      <c r="AC340" s="63"/>
      <c r="AD340" s="63"/>
      <c r="AE340" s="63"/>
      <c r="AF340" s="63"/>
      <c r="AG340" s="63"/>
      <c r="AH340" s="63"/>
      <c r="AI340" s="63"/>
      <c r="AJ340" s="63"/>
    </row>
    <row r="341">
      <c r="A341" s="135">
        <v>344.0</v>
      </c>
      <c r="B341" s="67">
        <v>13.0</v>
      </c>
      <c r="C341" s="31" t="s">
        <v>613</v>
      </c>
      <c r="D341" s="68" t="s">
        <v>1459</v>
      </c>
      <c r="E341" s="71" t="s">
        <v>2809</v>
      </c>
      <c r="F341" s="69" t="s">
        <v>1447</v>
      </c>
      <c r="G341" s="69" t="s">
        <v>2796</v>
      </c>
      <c r="H341" s="145">
        <v>3.0</v>
      </c>
      <c r="I341" s="145">
        <v>2.0</v>
      </c>
      <c r="J341" s="69">
        <v>5.0</v>
      </c>
      <c r="K341" s="69" t="str">
        <f>iferror(vlookup(E341,MasterClass!$C$2:$G988,5,false),"")</f>
        <v/>
      </c>
      <c r="L341" s="181">
        <v>3.0</v>
      </c>
      <c r="M341" s="69">
        <f t="shared" si="52"/>
        <v>8</v>
      </c>
      <c r="N341" s="69">
        <f t="shared" si="53"/>
        <v>5</v>
      </c>
      <c r="O341" s="146">
        <f t="shared" si="54"/>
        <v>0.625</v>
      </c>
      <c r="P341" s="146"/>
      <c r="Q341" s="70"/>
      <c r="R341" s="63"/>
      <c r="S341" s="63"/>
      <c r="T341" s="63"/>
      <c r="U341" s="63"/>
      <c r="V341" s="63"/>
      <c r="W341" s="63"/>
      <c r="X341" s="63"/>
      <c r="Y341" s="63"/>
      <c r="Z341" s="63"/>
      <c r="AA341" s="63"/>
      <c r="AB341" s="63"/>
      <c r="AC341" s="63"/>
      <c r="AD341" s="63"/>
      <c r="AE341" s="63"/>
      <c r="AF341" s="63"/>
      <c r="AG341" s="63"/>
      <c r="AH341" s="63"/>
      <c r="AI341" s="63"/>
      <c r="AJ341" s="63"/>
    </row>
    <row r="342">
      <c r="A342" s="135">
        <v>345.0</v>
      </c>
      <c r="B342" s="67">
        <v>14.0</v>
      </c>
      <c r="C342" s="31" t="s">
        <v>615</v>
      </c>
      <c r="D342" s="68" t="s">
        <v>1460</v>
      </c>
      <c r="E342" s="71" t="s">
        <v>2810</v>
      </c>
      <c r="F342" s="69" t="s">
        <v>1447</v>
      </c>
      <c r="G342" s="69" t="s">
        <v>1187</v>
      </c>
      <c r="H342" s="145" t="s">
        <v>1187</v>
      </c>
      <c r="I342" s="145" t="s">
        <v>1187</v>
      </c>
      <c r="J342" s="69" t="s">
        <v>1187</v>
      </c>
      <c r="K342" s="69" t="s">
        <v>1187</v>
      </c>
      <c r="L342" s="69" t="s">
        <v>1187</v>
      </c>
      <c r="M342" s="69" t="s">
        <v>1187</v>
      </c>
      <c r="N342" s="69" t="s">
        <v>1187</v>
      </c>
      <c r="O342" s="69" t="s">
        <v>1187</v>
      </c>
      <c r="P342" s="69" t="s">
        <v>2522</v>
      </c>
      <c r="Q342" s="70"/>
      <c r="R342" s="179"/>
      <c r="S342" s="180"/>
      <c r="T342" s="63"/>
      <c r="U342" s="63"/>
      <c r="V342" s="63"/>
      <c r="W342" s="63"/>
      <c r="X342" s="63"/>
      <c r="Y342" s="63"/>
      <c r="Z342" s="63"/>
      <c r="AA342" s="63"/>
      <c r="AB342" s="63"/>
      <c r="AC342" s="63"/>
      <c r="AD342" s="63"/>
      <c r="AE342" s="63"/>
      <c r="AF342" s="63"/>
      <c r="AG342" s="63"/>
      <c r="AH342" s="63"/>
      <c r="AI342" s="63"/>
      <c r="AJ342" s="63"/>
    </row>
    <row r="343">
      <c r="A343" s="135">
        <v>346.0</v>
      </c>
      <c r="B343" s="67">
        <v>15.0</v>
      </c>
      <c r="C343" s="31" t="s">
        <v>617</v>
      </c>
      <c r="D343" s="68" t="s">
        <v>1461</v>
      </c>
      <c r="E343" s="71" t="s">
        <v>2811</v>
      </c>
      <c r="F343" s="69" t="s">
        <v>1447</v>
      </c>
      <c r="G343" s="69" t="s">
        <v>2583</v>
      </c>
      <c r="H343" s="145">
        <v>4.0</v>
      </c>
      <c r="I343" s="145">
        <v>0.0</v>
      </c>
      <c r="J343" s="69">
        <v>5.0</v>
      </c>
      <c r="K343" s="69" t="str">
        <f>iferror(vlookup(E343,MasterClass!$C$2:$G988,5,false),"")</f>
        <v/>
      </c>
      <c r="L343" s="69">
        <v>1.0</v>
      </c>
      <c r="M343" s="69">
        <f t="shared" ref="M343:M350" si="55">J343+H343</f>
        <v>9</v>
      </c>
      <c r="N343" s="69">
        <f t="shared" ref="N343:N350" si="56">I343+L343+K343</f>
        <v>1</v>
      </c>
      <c r="O343" s="146">
        <f t="shared" ref="O343:O350" si="57">N343/M343</f>
        <v>0.1111111111</v>
      </c>
      <c r="P343" s="69" t="s">
        <v>2508</v>
      </c>
      <c r="Q343" s="69"/>
      <c r="R343" s="179"/>
      <c r="S343" s="180"/>
      <c r="T343" s="63"/>
      <c r="U343" s="63"/>
      <c r="V343" s="63"/>
      <c r="W343" s="63"/>
      <c r="X343" s="63"/>
      <c r="Y343" s="63"/>
      <c r="Z343" s="63"/>
      <c r="AA343" s="63"/>
      <c r="AB343" s="63"/>
      <c r="AC343" s="63"/>
      <c r="AD343" s="63"/>
      <c r="AE343" s="63"/>
      <c r="AF343" s="63"/>
      <c r="AG343" s="63"/>
      <c r="AH343" s="63"/>
      <c r="AI343" s="63"/>
      <c r="AJ343" s="63"/>
    </row>
    <row r="344">
      <c r="A344" s="135">
        <v>347.0</v>
      </c>
      <c r="B344" s="67">
        <v>16.0</v>
      </c>
      <c r="C344" s="31" t="s">
        <v>619</v>
      </c>
      <c r="D344" s="68" t="s">
        <v>1462</v>
      </c>
      <c r="E344" s="71" t="s">
        <v>2812</v>
      </c>
      <c r="F344" s="69" t="s">
        <v>1447</v>
      </c>
      <c r="G344" s="178" t="s">
        <v>2798</v>
      </c>
      <c r="H344" s="145">
        <v>3.0</v>
      </c>
      <c r="I344" s="145">
        <v>3.0</v>
      </c>
      <c r="J344" s="69">
        <v>5.0</v>
      </c>
      <c r="K344" s="69" t="str">
        <f>iferror(vlookup(E344,MasterClass!$C$2:$G988,5,false),"")</f>
        <v/>
      </c>
      <c r="L344" s="69">
        <v>4.0</v>
      </c>
      <c r="M344" s="69">
        <f t="shared" si="55"/>
        <v>8</v>
      </c>
      <c r="N344" s="69">
        <f t="shared" si="56"/>
        <v>7</v>
      </c>
      <c r="O344" s="146">
        <f t="shared" si="57"/>
        <v>0.875</v>
      </c>
      <c r="P344" s="146"/>
      <c r="Q344" s="70"/>
      <c r="R344" s="179"/>
      <c r="S344" s="180"/>
      <c r="T344" s="63"/>
      <c r="U344" s="63"/>
      <c r="V344" s="63"/>
      <c r="W344" s="63"/>
      <c r="X344" s="63"/>
      <c r="Y344" s="63"/>
      <c r="Z344" s="63"/>
      <c r="AA344" s="63"/>
      <c r="AB344" s="63"/>
      <c r="AC344" s="63"/>
      <c r="AD344" s="63"/>
      <c r="AE344" s="63"/>
      <c r="AF344" s="63"/>
      <c r="AG344" s="63"/>
      <c r="AH344" s="63"/>
      <c r="AI344" s="63"/>
      <c r="AJ344" s="63"/>
    </row>
    <row r="345">
      <c r="A345" s="135">
        <v>348.0</v>
      </c>
      <c r="B345" s="67">
        <v>17.0</v>
      </c>
      <c r="C345" s="31" t="s">
        <v>621</v>
      </c>
      <c r="D345" s="68" t="s">
        <v>1463</v>
      </c>
      <c r="E345" s="71" t="s">
        <v>2813</v>
      </c>
      <c r="F345" s="69" t="s">
        <v>1447</v>
      </c>
      <c r="G345" s="69" t="s">
        <v>2796</v>
      </c>
      <c r="H345" s="145">
        <v>3.0</v>
      </c>
      <c r="I345" s="145">
        <v>2.0</v>
      </c>
      <c r="J345" s="69">
        <v>5.0</v>
      </c>
      <c r="K345" s="69" t="str">
        <f>iferror(vlookup(E345,MasterClass!$C$2:$G988,5,false),"")</f>
        <v/>
      </c>
      <c r="L345" s="181">
        <v>2.0</v>
      </c>
      <c r="M345" s="69">
        <f t="shared" si="55"/>
        <v>8</v>
      </c>
      <c r="N345" s="69">
        <f t="shared" si="56"/>
        <v>4</v>
      </c>
      <c r="O345" s="146">
        <f t="shared" si="57"/>
        <v>0.5</v>
      </c>
      <c r="P345" s="146"/>
      <c r="Q345" s="70"/>
      <c r="R345" s="63"/>
      <c r="S345" s="63"/>
      <c r="T345" s="63"/>
      <c r="U345" s="63"/>
      <c r="V345" s="63"/>
      <c r="W345" s="63"/>
      <c r="X345" s="63"/>
      <c r="Y345" s="63"/>
      <c r="Z345" s="63"/>
      <c r="AA345" s="63"/>
      <c r="AB345" s="63"/>
      <c r="AC345" s="63"/>
      <c r="AD345" s="63"/>
      <c r="AE345" s="63"/>
      <c r="AF345" s="63"/>
      <c r="AG345" s="63"/>
      <c r="AH345" s="63"/>
      <c r="AI345" s="63"/>
      <c r="AJ345" s="63"/>
    </row>
    <row r="346">
      <c r="A346" s="135">
        <v>349.0</v>
      </c>
      <c r="B346" s="67">
        <v>18.0</v>
      </c>
      <c r="C346" s="31" t="s">
        <v>623</v>
      </c>
      <c r="D346" s="68" t="s">
        <v>1464</v>
      </c>
      <c r="E346" s="71" t="s">
        <v>2814</v>
      </c>
      <c r="F346" s="69" t="s">
        <v>1447</v>
      </c>
      <c r="G346" s="178" t="s">
        <v>2798</v>
      </c>
      <c r="H346" s="145">
        <v>3.0</v>
      </c>
      <c r="I346" s="145">
        <v>2.0</v>
      </c>
      <c r="J346" s="69">
        <v>5.0</v>
      </c>
      <c r="K346" s="69" t="str">
        <f>iferror(vlookup(E346,MasterClass!$C$2:$G988,5,false),"")</f>
        <v/>
      </c>
      <c r="L346" s="69">
        <v>5.0</v>
      </c>
      <c r="M346" s="69">
        <f t="shared" si="55"/>
        <v>8</v>
      </c>
      <c r="N346" s="69">
        <f t="shared" si="56"/>
        <v>7</v>
      </c>
      <c r="O346" s="146">
        <f t="shared" si="57"/>
        <v>0.875</v>
      </c>
      <c r="P346" s="146"/>
      <c r="Q346" s="70"/>
      <c r="R346" s="179"/>
      <c r="S346" s="180"/>
      <c r="T346" s="63"/>
      <c r="U346" s="63"/>
      <c r="V346" s="63"/>
      <c r="W346" s="63"/>
      <c r="X346" s="63"/>
      <c r="Y346" s="63"/>
      <c r="Z346" s="63"/>
      <c r="AA346" s="63"/>
      <c r="AB346" s="63"/>
      <c r="AC346" s="63"/>
      <c r="AD346" s="63"/>
      <c r="AE346" s="63"/>
      <c r="AF346" s="63"/>
      <c r="AG346" s="63"/>
      <c r="AH346" s="63"/>
      <c r="AI346" s="63"/>
      <c r="AJ346" s="63"/>
    </row>
    <row r="347">
      <c r="A347" s="135">
        <v>350.0</v>
      </c>
      <c r="B347" s="67">
        <v>19.0</v>
      </c>
      <c r="C347" s="31" t="s">
        <v>625</v>
      </c>
      <c r="D347" s="68" t="s">
        <v>1465</v>
      </c>
      <c r="E347" s="71" t="s">
        <v>2815</v>
      </c>
      <c r="F347" s="69" t="s">
        <v>1447</v>
      </c>
      <c r="G347" s="178" t="s">
        <v>2798</v>
      </c>
      <c r="H347" s="145">
        <v>3.0</v>
      </c>
      <c r="I347" s="145">
        <v>1.0</v>
      </c>
      <c r="J347" s="69">
        <v>5.0</v>
      </c>
      <c r="K347" s="69" t="str">
        <f>iferror(vlookup(E347,MasterClass!$C$2:$G988,5,false),"")</f>
        <v/>
      </c>
      <c r="L347" s="69">
        <v>4.0</v>
      </c>
      <c r="M347" s="69">
        <f t="shared" si="55"/>
        <v>8</v>
      </c>
      <c r="N347" s="69">
        <f t="shared" si="56"/>
        <v>5</v>
      </c>
      <c r="O347" s="146">
        <f t="shared" si="57"/>
        <v>0.625</v>
      </c>
      <c r="P347" s="146"/>
      <c r="Q347" s="70"/>
      <c r="R347" s="179"/>
      <c r="S347" s="180"/>
      <c r="T347" s="63"/>
      <c r="U347" s="63"/>
      <c r="V347" s="63"/>
      <c r="W347" s="63"/>
      <c r="X347" s="63"/>
      <c r="Y347" s="63"/>
      <c r="Z347" s="63"/>
      <c r="AA347" s="63"/>
      <c r="AB347" s="63"/>
      <c r="AC347" s="63"/>
      <c r="AD347" s="63"/>
      <c r="AE347" s="63"/>
      <c r="AF347" s="63"/>
      <c r="AG347" s="63"/>
      <c r="AH347" s="63"/>
      <c r="AI347" s="63"/>
      <c r="AJ347" s="63"/>
    </row>
    <row r="348">
      <c r="A348" s="135">
        <v>351.0</v>
      </c>
      <c r="B348" s="67">
        <v>20.0</v>
      </c>
      <c r="C348" s="31" t="s">
        <v>627</v>
      </c>
      <c r="D348" s="68" t="s">
        <v>1466</v>
      </c>
      <c r="E348" s="71" t="s">
        <v>2816</v>
      </c>
      <c r="F348" s="69" t="s">
        <v>1447</v>
      </c>
      <c r="G348" s="69" t="s">
        <v>2796</v>
      </c>
      <c r="H348" s="145">
        <v>3.0</v>
      </c>
      <c r="I348" s="145">
        <v>3.0</v>
      </c>
      <c r="J348" s="69">
        <v>5.0</v>
      </c>
      <c r="K348" s="69" t="str">
        <f>iferror(vlookup(E348,MasterClass!$C$2:$G988,5,false),"")</f>
        <v/>
      </c>
      <c r="L348" s="181">
        <v>5.0</v>
      </c>
      <c r="M348" s="69">
        <f t="shared" si="55"/>
        <v>8</v>
      </c>
      <c r="N348" s="69">
        <f t="shared" si="56"/>
        <v>8</v>
      </c>
      <c r="O348" s="146">
        <f t="shared" si="57"/>
        <v>1</v>
      </c>
      <c r="P348" s="146"/>
      <c r="Q348" s="70"/>
      <c r="R348" s="63"/>
      <c r="S348" s="63"/>
      <c r="T348" s="63"/>
      <c r="U348" s="63"/>
      <c r="V348" s="63"/>
      <c r="W348" s="63"/>
      <c r="X348" s="63"/>
      <c r="Y348" s="63"/>
      <c r="Z348" s="63"/>
      <c r="AA348" s="63"/>
      <c r="AB348" s="63"/>
      <c r="AC348" s="63"/>
      <c r="AD348" s="63"/>
      <c r="AE348" s="63"/>
      <c r="AF348" s="63"/>
      <c r="AG348" s="63"/>
      <c r="AH348" s="63"/>
      <c r="AI348" s="63"/>
      <c r="AJ348" s="63"/>
    </row>
    <row r="349">
      <c r="A349" s="135">
        <v>352.0</v>
      </c>
      <c r="B349" s="67">
        <v>21.0</v>
      </c>
      <c r="C349" s="31" t="s">
        <v>629</v>
      </c>
      <c r="D349" s="68" t="s">
        <v>1467</v>
      </c>
      <c r="E349" s="71" t="s">
        <v>2817</v>
      </c>
      <c r="F349" s="69" t="s">
        <v>1447</v>
      </c>
      <c r="G349" s="69" t="s">
        <v>2796</v>
      </c>
      <c r="H349" s="145">
        <v>3.0</v>
      </c>
      <c r="I349" s="145">
        <v>3.0</v>
      </c>
      <c r="J349" s="69">
        <v>5.0</v>
      </c>
      <c r="K349" s="69" t="str">
        <f>iferror(vlookup(E349,MasterClass!$C$2:$G988,5,false),"")</f>
        <v/>
      </c>
      <c r="L349" s="181">
        <v>5.0</v>
      </c>
      <c r="M349" s="69">
        <f t="shared" si="55"/>
        <v>8</v>
      </c>
      <c r="N349" s="69">
        <f t="shared" si="56"/>
        <v>8</v>
      </c>
      <c r="O349" s="146">
        <f t="shared" si="57"/>
        <v>1</v>
      </c>
      <c r="P349" s="146"/>
      <c r="Q349" s="70"/>
      <c r="R349" s="63"/>
      <c r="S349" s="63"/>
      <c r="T349" s="63"/>
      <c r="U349" s="63"/>
      <c r="V349" s="63"/>
      <c r="W349" s="63"/>
      <c r="X349" s="63"/>
      <c r="Y349" s="63"/>
      <c r="Z349" s="63"/>
      <c r="AA349" s="63"/>
      <c r="AB349" s="63"/>
      <c r="AC349" s="63"/>
      <c r="AD349" s="63"/>
      <c r="AE349" s="63"/>
      <c r="AF349" s="63"/>
      <c r="AG349" s="63"/>
      <c r="AH349" s="63"/>
      <c r="AI349" s="63"/>
      <c r="AJ349" s="63"/>
    </row>
    <row r="350">
      <c r="A350" s="135">
        <v>353.0</v>
      </c>
      <c r="B350" s="67">
        <v>22.0</v>
      </c>
      <c r="C350" s="31" t="s">
        <v>631</v>
      </c>
      <c r="D350" s="68" t="s">
        <v>1468</v>
      </c>
      <c r="E350" s="71" t="s">
        <v>2818</v>
      </c>
      <c r="F350" s="69" t="s">
        <v>1447</v>
      </c>
      <c r="G350" s="69" t="s">
        <v>2796</v>
      </c>
      <c r="H350" s="145">
        <v>3.0</v>
      </c>
      <c r="I350" s="145">
        <v>1.0</v>
      </c>
      <c r="J350" s="69">
        <v>5.0</v>
      </c>
      <c r="K350" s="69" t="str">
        <f>iferror(vlookup(E350,MasterClass!$C$2:$G988,5,false),"")</f>
        <v/>
      </c>
      <c r="L350" s="181">
        <v>2.0</v>
      </c>
      <c r="M350" s="69">
        <f t="shared" si="55"/>
        <v>8</v>
      </c>
      <c r="N350" s="69">
        <f t="shared" si="56"/>
        <v>3</v>
      </c>
      <c r="O350" s="146">
        <f t="shared" si="57"/>
        <v>0.375</v>
      </c>
      <c r="P350" s="146"/>
      <c r="Q350" s="70"/>
      <c r="R350" s="63"/>
      <c r="S350" s="63"/>
      <c r="T350" s="63"/>
      <c r="U350" s="63"/>
      <c r="V350" s="63"/>
      <c r="W350" s="63"/>
      <c r="X350" s="63"/>
      <c r="Y350" s="63"/>
      <c r="Z350" s="63"/>
      <c r="AA350" s="63"/>
      <c r="AB350" s="63"/>
      <c r="AC350" s="63"/>
      <c r="AD350" s="63"/>
      <c r="AE350" s="63"/>
      <c r="AF350" s="63"/>
      <c r="AG350" s="63"/>
      <c r="AH350" s="63"/>
      <c r="AI350" s="63"/>
      <c r="AJ350" s="63"/>
    </row>
    <row r="351">
      <c r="A351" s="135">
        <v>354.0</v>
      </c>
      <c r="B351" s="67">
        <v>23.0</v>
      </c>
      <c r="C351" s="31" t="s">
        <v>633</v>
      </c>
      <c r="D351" s="32" t="s">
        <v>1469</v>
      </c>
      <c r="E351" s="71" t="s">
        <v>2819</v>
      </c>
      <c r="F351" s="69" t="s">
        <v>1447</v>
      </c>
      <c r="G351" s="69" t="s">
        <v>1187</v>
      </c>
      <c r="H351" s="145" t="s">
        <v>1187</v>
      </c>
      <c r="I351" s="145" t="s">
        <v>1187</v>
      </c>
      <c r="J351" s="69" t="s">
        <v>1187</v>
      </c>
      <c r="K351" s="69" t="s">
        <v>1187</v>
      </c>
      <c r="L351" s="69" t="s">
        <v>1187</v>
      </c>
      <c r="M351" s="69" t="s">
        <v>1187</v>
      </c>
      <c r="N351" s="69" t="s">
        <v>1187</v>
      </c>
      <c r="O351" s="69" t="s">
        <v>1187</v>
      </c>
      <c r="P351" s="69" t="s">
        <v>2522</v>
      </c>
      <c r="Q351" s="70"/>
      <c r="R351" s="63"/>
      <c r="S351" s="63"/>
      <c r="T351" s="63"/>
      <c r="U351" s="63"/>
      <c r="V351" s="63"/>
      <c r="W351" s="63"/>
      <c r="X351" s="63"/>
      <c r="Y351" s="63"/>
      <c r="Z351" s="63"/>
      <c r="AA351" s="63"/>
      <c r="AB351" s="63"/>
      <c r="AC351" s="63"/>
      <c r="AD351" s="63"/>
      <c r="AE351" s="63"/>
      <c r="AF351" s="63"/>
      <c r="AG351" s="63"/>
      <c r="AH351" s="63"/>
      <c r="AI351" s="63"/>
      <c r="AJ351" s="63"/>
    </row>
    <row r="352">
      <c r="A352" s="135">
        <v>355.0</v>
      </c>
      <c r="B352" s="67">
        <v>24.0</v>
      </c>
      <c r="C352" s="31" t="s">
        <v>635</v>
      </c>
      <c r="D352" s="32" t="s">
        <v>1470</v>
      </c>
      <c r="E352" s="71" t="s">
        <v>2820</v>
      </c>
      <c r="F352" s="69" t="s">
        <v>1447</v>
      </c>
      <c r="G352" s="69" t="s">
        <v>2796</v>
      </c>
      <c r="H352" s="145">
        <v>3.0</v>
      </c>
      <c r="I352" s="145">
        <v>1.0</v>
      </c>
      <c r="J352" s="69">
        <v>5.0</v>
      </c>
      <c r="K352" s="69" t="str">
        <f>iferror(vlookup(E352,MasterClass!$C$2:$G988,5,false),"")</f>
        <v/>
      </c>
      <c r="L352" s="181">
        <v>3.0</v>
      </c>
      <c r="M352" s="69">
        <f t="shared" ref="M352:M374" si="58">J352+H352</f>
        <v>8</v>
      </c>
      <c r="N352" s="69">
        <f t="shared" ref="N352:N374" si="59">I352+L352+K352</f>
        <v>4</v>
      </c>
      <c r="O352" s="146">
        <f t="shared" ref="O352:O374" si="60">N352/M352</f>
        <v>0.5</v>
      </c>
      <c r="P352" s="146"/>
      <c r="Q352" s="70"/>
      <c r="R352" s="63"/>
      <c r="S352" s="63"/>
      <c r="T352" s="63"/>
      <c r="U352" s="63"/>
      <c r="V352" s="63"/>
      <c r="W352" s="63"/>
      <c r="X352" s="63"/>
      <c r="Y352" s="63"/>
      <c r="Z352" s="63"/>
      <c r="AA352" s="63"/>
      <c r="AB352" s="63"/>
      <c r="AC352" s="63"/>
      <c r="AD352" s="63"/>
      <c r="AE352" s="63"/>
      <c r="AF352" s="63"/>
      <c r="AG352" s="63"/>
      <c r="AH352" s="63"/>
      <c r="AI352" s="63"/>
      <c r="AJ352" s="63"/>
    </row>
    <row r="353">
      <c r="A353" s="135">
        <v>356.0</v>
      </c>
      <c r="B353" s="67">
        <v>25.0</v>
      </c>
      <c r="C353" s="31" t="s">
        <v>637</v>
      </c>
      <c r="D353" s="32" t="s">
        <v>1471</v>
      </c>
      <c r="E353" s="71" t="s">
        <v>2821</v>
      </c>
      <c r="F353" s="69" t="s">
        <v>1447</v>
      </c>
      <c r="G353" s="178" t="s">
        <v>2798</v>
      </c>
      <c r="H353" s="145">
        <v>3.0</v>
      </c>
      <c r="I353" s="145">
        <v>3.0</v>
      </c>
      <c r="J353" s="69">
        <v>5.0</v>
      </c>
      <c r="K353" s="69" t="str">
        <f>iferror(vlookup(E353,MasterClass!$C$2:$G988,5,false),"")</f>
        <v/>
      </c>
      <c r="L353" s="69">
        <v>5.0</v>
      </c>
      <c r="M353" s="69">
        <f t="shared" si="58"/>
        <v>8</v>
      </c>
      <c r="N353" s="69">
        <f t="shared" si="59"/>
        <v>8</v>
      </c>
      <c r="O353" s="146">
        <f t="shared" si="60"/>
        <v>1</v>
      </c>
      <c r="P353" s="146"/>
      <c r="Q353" s="70"/>
      <c r="R353" s="179"/>
      <c r="S353" s="180"/>
      <c r="T353" s="63"/>
      <c r="U353" s="63"/>
      <c r="V353" s="63"/>
      <c r="W353" s="63"/>
      <c r="X353" s="63"/>
      <c r="Y353" s="63"/>
      <c r="Z353" s="63"/>
      <c r="AA353" s="63"/>
      <c r="AB353" s="63"/>
      <c r="AC353" s="63"/>
      <c r="AD353" s="63"/>
      <c r="AE353" s="63"/>
      <c r="AF353" s="63"/>
      <c r="AG353" s="63"/>
      <c r="AH353" s="63"/>
      <c r="AI353" s="63"/>
      <c r="AJ353" s="63"/>
    </row>
    <row r="354">
      <c r="A354" s="135">
        <v>357.0</v>
      </c>
      <c r="B354" s="67">
        <v>26.0</v>
      </c>
      <c r="C354" s="31" t="s">
        <v>639</v>
      </c>
      <c r="D354" s="32" t="s">
        <v>1472</v>
      </c>
      <c r="E354" s="71" t="s">
        <v>2822</v>
      </c>
      <c r="F354" s="69" t="s">
        <v>1447</v>
      </c>
      <c r="G354" s="178" t="s">
        <v>2798</v>
      </c>
      <c r="H354" s="145">
        <v>3.0</v>
      </c>
      <c r="I354" s="145">
        <v>2.0</v>
      </c>
      <c r="J354" s="69">
        <v>5.0</v>
      </c>
      <c r="K354" s="69" t="str">
        <f>iferror(vlookup(E354,MasterClass!$C$2:$G988,5,false),"")</f>
        <v/>
      </c>
      <c r="L354" s="69">
        <v>4.0</v>
      </c>
      <c r="M354" s="69">
        <f t="shared" si="58"/>
        <v>8</v>
      </c>
      <c r="N354" s="69">
        <f t="shared" si="59"/>
        <v>6</v>
      </c>
      <c r="O354" s="146">
        <f t="shared" si="60"/>
        <v>0.75</v>
      </c>
      <c r="P354" s="146"/>
      <c r="Q354" s="70"/>
      <c r="R354" s="179"/>
      <c r="S354" s="180"/>
      <c r="T354" s="63"/>
      <c r="U354" s="63"/>
      <c r="V354" s="63"/>
      <c r="W354" s="63"/>
      <c r="X354" s="63"/>
      <c r="Y354" s="63"/>
      <c r="Z354" s="63"/>
      <c r="AA354" s="63"/>
      <c r="AB354" s="63"/>
      <c r="AC354" s="63"/>
      <c r="AD354" s="63"/>
      <c r="AE354" s="63"/>
      <c r="AF354" s="63"/>
      <c r="AG354" s="63"/>
      <c r="AH354" s="63"/>
      <c r="AI354" s="63"/>
      <c r="AJ354" s="63"/>
    </row>
    <row r="355">
      <c r="A355" s="135">
        <v>358.0</v>
      </c>
      <c r="B355" s="67">
        <v>27.0</v>
      </c>
      <c r="C355" s="31" t="s">
        <v>641</v>
      </c>
      <c r="D355" s="32" t="s">
        <v>1473</v>
      </c>
      <c r="E355" s="71" t="s">
        <v>2823</v>
      </c>
      <c r="F355" s="69" t="s">
        <v>1447</v>
      </c>
      <c r="G355" s="178" t="s">
        <v>2798</v>
      </c>
      <c r="H355" s="145">
        <v>3.0</v>
      </c>
      <c r="I355" s="145">
        <v>2.0</v>
      </c>
      <c r="J355" s="69">
        <v>5.0</v>
      </c>
      <c r="K355" s="69" t="str">
        <f>iferror(vlookup(E355,MasterClass!$C$2:$G988,5,false),"")</f>
        <v/>
      </c>
      <c r="L355" s="69">
        <v>3.0</v>
      </c>
      <c r="M355" s="69">
        <f t="shared" si="58"/>
        <v>8</v>
      </c>
      <c r="N355" s="69">
        <f t="shared" si="59"/>
        <v>5</v>
      </c>
      <c r="O355" s="146">
        <f t="shared" si="60"/>
        <v>0.625</v>
      </c>
      <c r="P355" s="146"/>
      <c r="Q355" s="70"/>
      <c r="R355" s="179"/>
      <c r="S355" s="180"/>
      <c r="T355" s="63"/>
      <c r="U355" s="63"/>
      <c r="V355" s="63"/>
      <c r="W355" s="63"/>
      <c r="X355" s="63"/>
      <c r="Y355" s="63"/>
      <c r="Z355" s="63"/>
      <c r="AA355" s="63"/>
      <c r="AB355" s="63"/>
      <c r="AC355" s="63"/>
      <c r="AD355" s="63"/>
      <c r="AE355" s="63"/>
      <c r="AF355" s="63"/>
      <c r="AG355" s="63"/>
      <c r="AH355" s="63"/>
      <c r="AI355" s="63"/>
      <c r="AJ355" s="63"/>
    </row>
    <row r="356">
      <c r="A356" s="135">
        <v>359.0</v>
      </c>
      <c r="B356" s="67">
        <v>28.0</v>
      </c>
      <c r="C356" s="31" t="s">
        <v>643</v>
      </c>
      <c r="D356" s="32" t="s">
        <v>1474</v>
      </c>
      <c r="E356" s="71" t="s">
        <v>2824</v>
      </c>
      <c r="F356" s="69" t="s">
        <v>1447</v>
      </c>
      <c r="G356" s="178" t="s">
        <v>2798</v>
      </c>
      <c r="H356" s="145">
        <v>3.0</v>
      </c>
      <c r="I356" s="145">
        <v>1.0</v>
      </c>
      <c r="J356" s="69">
        <v>5.0</v>
      </c>
      <c r="K356" s="69" t="str">
        <f>iferror(vlookup(E356,MasterClass!$C$2:$G988,5,false),"")</f>
        <v/>
      </c>
      <c r="L356" s="69">
        <v>3.0</v>
      </c>
      <c r="M356" s="69">
        <f t="shared" si="58"/>
        <v>8</v>
      </c>
      <c r="N356" s="69">
        <f t="shared" si="59"/>
        <v>4</v>
      </c>
      <c r="O356" s="146">
        <f t="shared" si="60"/>
        <v>0.5</v>
      </c>
      <c r="P356" s="146"/>
      <c r="Q356" s="70"/>
      <c r="R356" s="179"/>
      <c r="S356" s="180"/>
      <c r="T356" s="63"/>
      <c r="U356" s="63"/>
      <c r="V356" s="63"/>
      <c r="W356" s="63"/>
      <c r="X356" s="63"/>
      <c r="Y356" s="63"/>
      <c r="Z356" s="63"/>
      <c r="AA356" s="63"/>
      <c r="AB356" s="63"/>
      <c r="AC356" s="63"/>
      <c r="AD356" s="63"/>
      <c r="AE356" s="63"/>
      <c r="AF356" s="63"/>
      <c r="AG356" s="63"/>
      <c r="AH356" s="63"/>
      <c r="AI356" s="63"/>
      <c r="AJ356" s="63"/>
    </row>
    <row r="357">
      <c r="A357" s="135">
        <v>360.0</v>
      </c>
      <c r="B357" s="67">
        <v>29.0</v>
      </c>
      <c r="C357" s="31" t="s">
        <v>645</v>
      </c>
      <c r="D357" s="32" t="s">
        <v>1475</v>
      </c>
      <c r="E357" s="71" t="s">
        <v>2825</v>
      </c>
      <c r="F357" s="69" t="s">
        <v>1447</v>
      </c>
      <c r="G357" s="178" t="s">
        <v>2798</v>
      </c>
      <c r="H357" s="145">
        <v>3.0</v>
      </c>
      <c r="I357" s="145">
        <v>3.0</v>
      </c>
      <c r="J357" s="69">
        <v>5.0</v>
      </c>
      <c r="K357" s="69" t="str">
        <f>iferror(vlookup(E357,MasterClass!$C$2:$G988,5,false),"")</f>
        <v/>
      </c>
      <c r="L357" s="69">
        <v>2.0</v>
      </c>
      <c r="M357" s="69">
        <f t="shared" si="58"/>
        <v>8</v>
      </c>
      <c r="N357" s="69">
        <f t="shared" si="59"/>
        <v>5</v>
      </c>
      <c r="O357" s="146">
        <f t="shared" si="60"/>
        <v>0.625</v>
      </c>
      <c r="P357" s="146"/>
      <c r="Q357" s="70"/>
      <c r="R357" s="179"/>
      <c r="S357" s="180"/>
      <c r="T357" s="63"/>
      <c r="U357" s="63"/>
      <c r="V357" s="63"/>
      <c r="W357" s="63"/>
      <c r="X357" s="63"/>
      <c r="Y357" s="63"/>
      <c r="Z357" s="63"/>
      <c r="AA357" s="63"/>
      <c r="AB357" s="63"/>
      <c r="AC357" s="63"/>
      <c r="AD357" s="63"/>
      <c r="AE357" s="63"/>
      <c r="AF357" s="63"/>
      <c r="AG357" s="63"/>
      <c r="AH357" s="63"/>
      <c r="AI357" s="63"/>
      <c r="AJ357" s="63"/>
    </row>
    <row r="358">
      <c r="A358" s="135">
        <v>361.0</v>
      </c>
      <c r="B358" s="67">
        <v>30.0</v>
      </c>
      <c r="C358" s="31" t="s">
        <v>647</v>
      </c>
      <c r="D358" s="32" t="s">
        <v>1476</v>
      </c>
      <c r="E358" s="71" t="s">
        <v>2826</v>
      </c>
      <c r="F358" s="69" t="s">
        <v>1447</v>
      </c>
      <c r="G358" s="178" t="s">
        <v>2798</v>
      </c>
      <c r="H358" s="145">
        <v>3.0</v>
      </c>
      <c r="I358" s="145">
        <v>1.0</v>
      </c>
      <c r="J358" s="69">
        <v>5.0</v>
      </c>
      <c r="K358" s="69" t="str">
        <f>iferror(vlookup(E358,MasterClass!$C$2:$G988,5,false),"")</f>
        <v/>
      </c>
      <c r="L358" s="69">
        <v>4.0</v>
      </c>
      <c r="M358" s="69">
        <f t="shared" si="58"/>
        <v>8</v>
      </c>
      <c r="N358" s="69">
        <f t="shared" si="59"/>
        <v>5</v>
      </c>
      <c r="O358" s="146">
        <f t="shared" si="60"/>
        <v>0.625</v>
      </c>
      <c r="P358" s="146"/>
      <c r="Q358" s="70"/>
      <c r="R358" s="179"/>
      <c r="S358" s="180"/>
      <c r="T358" s="63"/>
      <c r="U358" s="63"/>
      <c r="V358" s="63"/>
      <c r="W358" s="63"/>
      <c r="X358" s="63"/>
      <c r="Y358" s="63"/>
      <c r="Z358" s="63"/>
      <c r="AA358" s="63"/>
      <c r="AB358" s="63"/>
      <c r="AC358" s="63"/>
      <c r="AD358" s="63"/>
      <c r="AE358" s="63"/>
      <c r="AF358" s="63"/>
      <c r="AG358" s="63"/>
      <c r="AH358" s="63"/>
      <c r="AI358" s="63"/>
      <c r="AJ358" s="63"/>
    </row>
    <row r="359">
      <c r="A359" s="135">
        <v>362.0</v>
      </c>
      <c r="B359" s="67">
        <v>31.0</v>
      </c>
      <c r="C359" s="31" t="s">
        <v>649</v>
      </c>
      <c r="D359" s="32" t="s">
        <v>1477</v>
      </c>
      <c r="E359" s="71" t="s">
        <v>2827</v>
      </c>
      <c r="F359" s="69" t="s">
        <v>1447</v>
      </c>
      <c r="G359" s="69" t="s">
        <v>2427</v>
      </c>
      <c r="H359" s="145">
        <v>3.0</v>
      </c>
      <c r="I359" s="145">
        <v>2.0</v>
      </c>
      <c r="J359" s="69">
        <v>5.0</v>
      </c>
      <c r="K359" s="69" t="str">
        <f>iferror(vlookup(E359,MasterClass!$C$2:$G988,5,false),"")</f>
        <v/>
      </c>
      <c r="L359" s="181">
        <v>3.0</v>
      </c>
      <c r="M359" s="69">
        <f t="shared" si="58"/>
        <v>8</v>
      </c>
      <c r="N359" s="69">
        <f t="shared" si="59"/>
        <v>5</v>
      </c>
      <c r="O359" s="146">
        <f t="shared" si="60"/>
        <v>0.625</v>
      </c>
      <c r="P359" s="146"/>
      <c r="Q359" s="70"/>
      <c r="R359" s="63"/>
      <c r="S359" s="63"/>
      <c r="T359" s="63"/>
      <c r="U359" s="63"/>
      <c r="V359" s="63"/>
      <c r="W359" s="63"/>
      <c r="X359" s="63"/>
      <c r="Y359" s="63"/>
      <c r="Z359" s="63"/>
      <c r="AA359" s="63"/>
      <c r="AB359" s="63"/>
      <c r="AC359" s="63"/>
      <c r="AD359" s="63"/>
      <c r="AE359" s="63"/>
      <c r="AF359" s="63"/>
      <c r="AG359" s="63"/>
      <c r="AH359" s="63"/>
      <c r="AI359" s="63"/>
      <c r="AJ359" s="63"/>
    </row>
    <row r="360">
      <c r="A360" s="135">
        <v>363.0</v>
      </c>
      <c r="B360" s="67">
        <v>32.0</v>
      </c>
      <c r="C360" s="31" t="s">
        <v>651</v>
      </c>
      <c r="D360" s="32" t="s">
        <v>1478</v>
      </c>
      <c r="E360" s="71" t="s">
        <v>2828</v>
      </c>
      <c r="F360" s="69" t="s">
        <v>1447</v>
      </c>
      <c r="G360" s="69" t="s">
        <v>2427</v>
      </c>
      <c r="H360" s="145">
        <v>3.0</v>
      </c>
      <c r="I360" s="145">
        <v>3.0</v>
      </c>
      <c r="J360" s="69">
        <v>5.0</v>
      </c>
      <c r="K360" s="69" t="str">
        <f>iferror(vlookup(E360,MasterClass!$C$2:$G988,5,false),"")</f>
        <v/>
      </c>
      <c r="L360" s="181">
        <v>4.0</v>
      </c>
      <c r="M360" s="69">
        <f t="shared" si="58"/>
        <v>8</v>
      </c>
      <c r="N360" s="69">
        <f t="shared" si="59"/>
        <v>7</v>
      </c>
      <c r="O360" s="146">
        <f t="shared" si="60"/>
        <v>0.875</v>
      </c>
      <c r="P360" s="146"/>
      <c r="Q360" s="70"/>
      <c r="R360" s="63"/>
      <c r="S360" s="63"/>
      <c r="T360" s="63"/>
      <c r="U360" s="63"/>
      <c r="V360" s="63"/>
      <c r="W360" s="63"/>
      <c r="X360" s="63"/>
      <c r="Y360" s="63"/>
      <c r="Z360" s="63"/>
      <c r="AA360" s="63"/>
      <c r="AB360" s="63"/>
      <c r="AC360" s="63"/>
      <c r="AD360" s="63"/>
      <c r="AE360" s="63"/>
      <c r="AF360" s="63"/>
      <c r="AG360" s="63"/>
      <c r="AH360" s="63"/>
      <c r="AI360" s="63"/>
      <c r="AJ360" s="63"/>
    </row>
    <row r="361">
      <c r="A361" s="135">
        <v>364.0</v>
      </c>
      <c r="B361" s="67">
        <v>33.0</v>
      </c>
      <c r="C361" s="31" t="s">
        <v>653</v>
      </c>
      <c r="D361" s="32" t="s">
        <v>1479</v>
      </c>
      <c r="E361" s="71" t="s">
        <v>2829</v>
      </c>
      <c r="F361" s="69" t="s">
        <v>1447</v>
      </c>
      <c r="G361" s="69" t="s">
        <v>2427</v>
      </c>
      <c r="H361" s="145">
        <v>3.0</v>
      </c>
      <c r="I361" s="145">
        <v>2.0</v>
      </c>
      <c r="J361" s="69">
        <v>5.0</v>
      </c>
      <c r="K361" s="69" t="str">
        <f>iferror(vlookup(E361,MasterClass!$C$2:$G988,5,false),"")</f>
        <v/>
      </c>
      <c r="L361" s="181">
        <v>3.0</v>
      </c>
      <c r="M361" s="69">
        <f t="shared" si="58"/>
        <v>8</v>
      </c>
      <c r="N361" s="69">
        <f t="shared" si="59"/>
        <v>5</v>
      </c>
      <c r="O361" s="146">
        <f t="shared" si="60"/>
        <v>0.625</v>
      </c>
      <c r="P361" s="146"/>
      <c r="Q361" s="70"/>
      <c r="R361" s="63"/>
      <c r="S361" s="63"/>
      <c r="T361" s="63"/>
      <c r="U361" s="63"/>
      <c r="V361" s="63"/>
      <c r="W361" s="63"/>
      <c r="X361" s="63"/>
      <c r="Y361" s="63"/>
      <c r="Z361" s="63"/>
      <c r="AA361" s="63"/>
      <c r="AB361" s="63"/>
      <c r="AC361" s="63"/>
      <c r="AD361" s="63"/>
      <c r="AE361" s="63"/>
      <c r="AF361" s="63"/>
      <c r="AG361" s="63"/>
      <c r="AH361" s="63"/>
      <c r="AI361" s="63"/>
      <c r="AJ361" s="63"/>
    </row>
    <row r="362">
      <c r="A362" s="135">
        <v>365.0</v>
      </c>
      <c r="B362" s="67">
        <v>34.0</v>
      </c>
      <c r="C362" s="31" t="s">
        <v>655</v>
      </c>
      <c r="D362" s="32" t="s">
        <v>1480</v>
      </c>
      <c r="E362" s="71" t="s">
        <v>2830</v>
      </c>
      <c r="F362" s="69" t="s">
        <v>1447</v>
      </c>
      <c r="G362" s="69" t="s">
        <v>2427</v>
      </c>
      <c r="H362" s="145">
        <v>3.0</v>
      </c>
      <c r="I362" s="145">
        <v>2.0</v>
      </c>
      <c r="J362" s="69">
        <v>5.0</v>
      </c>
      <c r="K362" s="69" t="str">
        <f>iferror(vlookup(E362,MasterClass!$C$2:$G988,5,false),"")</f>
        <v/>
      </c>
      <c r="L362" s="181">
        <v>2.0</v>
      </c>
      <c r="M362" s="69">
        <f t="shared" si="58"/>
        <v>8</v>
      </c>
      <c r="N362" s="69">
        <f t="shared" si="59"/>
        <v>4</v>
      </c>
      <c r="O362" s="146">
        <f t="shared" si="60"/>
        <v>0.5</v>
      </c>
      <c r="P362" s="146"/>
      <c r="Q362" s="70"/>
      <c r="R362" s="63"/>
      <c r="S362" s="63"/>
      <c r="T362" s="63"/>
      <c r="U362" s="63"/>
      <c r="V362" s="63"/>
      <c r="W362" s="63"/>
      <c r="X362" s="63"/>
      <c r="Y362" s="63"/>
      <c r="Z362" s="63"/>
      <c r="AA362" s="63"/>
      <c r="AB362" s="63"/>
      <c r="AC362" s="63"/>
      <c r="AD362" s="63"/>
      <c r="AE362" s="63"/>
      <c r="AF362" s="63"/>
      <c r="AG362" s="63"/>
      <c r="AH362" s="63"/>
      <c r="AI362" s="63"/>
      <c r="AJ362" s="63"/>
    </row>
    <row r="363">
      <c r="A363" s="135">
        <v>366.0</v>
      </c>
      <c r="B363" s="67">
        <v>35.0</v>
      </c>
      <c r="C363" s="31" t="s">
        <v>657</v>
      </c>
      <c r="D363" s="32" t="s">
        <v>1481</v>
      </c>
      <c r="E363" s="71" t="s">
        <v>2831</v>
      </c>
      <c r="F363" s="69" t="s">
        <v>1447</v>
      </c>
      <c r="G363" s="69" t="s">
        <v>2427</v>
      </c>
      <c r="H363" s="145">
        <v>3.0</v>
      </c>
      <c r="I363" s="145">
        <v>3.0</v>
      </c>
      <c r="J363" s="69">
        <v>5.0</v>
      </c>
      <c r="K363" s="69" t="str">
        <f>iferror(vlookup(E363,MasterClass!$C$2:$G988,5,false),"")</f>
        <v/>
      </c>
      <c r="L363" s="181">
        <v>4.0</v>
      </c>
      <c r="M363" s="69">
        <f t="shared" si="58"/>
        <v>8</v>
      </c>
      <c r="N363" s="69">
        <f t="shared" si="59"/>
        <v>7</v>
      </c>
      <c r="O363" s="146">
        <f t="shared" si="60"/>
        <v>0.875</v>
      </c>
      <c r="P363" s="146"/>
      <c r="Q363" s="70"/>
      <c r="R363" s="63"/>
      <c r="S363" s="63"/>
      <c r="T363" s="63"/>
      <c r="U363" s="63"/>
      <c r="V363" s="63"/>
      <c r="W363" s="63"/>
      <c r="X363" s="63"/>
      <c r="Y363" s="63"/>
      <c r="Z363" s="63"/>
      <c r="AA363" s="63"/>
      <c r="AB363" s="63"/>
      <c r="AC363" s="63"/>
      <c r="AD363" s="63"/>
      <c r="AE363" s="63"/>
      <c r="AF363" s="63"/>
      <c r="AG363" s="63"/>
      <c r="AH363" s="63"/>
      <c r="AI363" s="63"/>
      <c r="AJ363" s="63"/>
    </row>
    <row r="364">
      <c r="A364" s="135">
        <v>367.0</v>
      </c>
      <c r="B364" s="67">
        <v>36.0</v>
      </c>
      <c r="C364" s="31" t="s">
        <v>659</v>
      </c>
      <c r="D364" s="32" t="s">
        <v>1482</v>
      </c>
      <c r="E364" s="71" t="s">
        <v>2832</v>
      </c>
      <c r="F364" s="69" t="s">
        <v>1447</v>
      </c>
      <c r="G364" s="69" t="s">
        <v>2551</v>
      </c>
      <c r="H364" s="145">
        <v>3.0</v>
      </c>
      <c r="I364" s="145">
        <v>0.0</v>
      </c>
      <c r="J364" s="69">
        <v>5.0</v>
      </c>
      <c r="K364" s="69" t="str">
        <f>iferror(vlookup(E364,MasterClass!$C$2:$G988,5,false),"")</f>
        <v/>
      </c>
      <c r="L364" s="181">
        <v>3.0</v>
      </c>
      <c r="M364" s="69">
        <f t="shared" si="58"/>
        <v>8</v>
      </c>
      <c r="N364" s="69">
        <f t="shared" si="59"/>
        <v>3</v>
      </c>
      <c r="O364" s="146">
        <f t="shared" si="60"/>
        <v>0.375</v>
      </c>
      <c r="P364" s="69" t="s">
        <v>2508</v>
      </c>
      <c r="Q364" s="69"/>
      <c r="R364" s="63"/>
      <c r="S364" s="63"/>
      <c r="T364" s="63"/>
      <c r="U364" s="63"/>
      <c r="V364" s="63"/>
      <c r="W364" s="63"/>
      <c r="X364" s="63"/>
      <c r="Y364" s="63"/>
      <c r="Z364" s="63"/>
      <c r="AA364" s="63"/>
      <c r="AB364" s="63"/>
      <c r="AC364" s="63"/>
      <c r="AD364" s="63"/>
      <c r="AE364" s="63"/>
      <c r="AF364" s="63"/>
      <c r="AG364" s="63"/>
      <c r="AH364" s="63"/>
      <c r="AI364" s="63"/>
      <c r="AJ364" s="63"/>
    </row>
    <row r="365">
      <c r="A365" s="135">
        <v>368.0</v>
      </c>
      <c r="B365" s="67">
        <v>37.0</v>
      </c>
      <c r="C365" s="31" t="s">
        <v>661</v>
      </c>
      <c r="D365" s="32" t="s">
        <v>1483</v>
      </c>
      <c r="E365" s="71" t="s">
        <v>2833</v>
      </c>
      <c r="F365" s="69" t="s">
        <v>1447</v>
      </c>
      <c r="G365" s="69" t="s">
        <v>2427</v>
      </c>
      <c r="H365" s="145">
        <v>3.0</v>
      </c>
      <c r="I365" s="145">
        <v>2.0</v>
      </c>
      <c r="J365" s="69">
        <v>5.0</v>
      </c>
      <c r="K365" s="69" t="str">
        <f>iferror(vlookup(E365,MasterClass!$C$2:$G988,5,false),"")</f>
        <v/>
      </c>
      <c r="L365" s="181">
        <v>2.0</v>
      </c>
      <c r="M365" s="69">
        <f t="shared" si="58"/>
        <v>8</v>
      </c>
      <c r="N365" s="69">
        <f t="shared" si="59"/>
        <v>4</v>
      </c>
      <c r="O365" s="146">
        <f t="shared" si="60"/>
        <v>0.5</v>
      </c>
      <c r="P365" s="146"/>
      <c r="Q365" s="70"/>
      <c r="R365" s="63"/>
      <c r="S365" s="63"/>
      <c r="T365" s="63"/>
      <c r="U365" s="63"/>
      <c r="V365" s="63"/>
      <c r="W365" s="63"/>
      <c r="X365" s="63"/>
      <c r="Y365" s="63"/>
      <c r="Z365" s="63"/>
      <c r="AA365" s="63"/>
      <c r="AB365" s="63"/>
      <c r="AC365" s="63"/>
      <c r="AD365" s="63"/>
      <c r="AE365" s="63"/>
      <c r="AF365" s="63"/>
      <c r="AG365" s="63"/>
      <c r="AH365" s="63"/>
      <c r="AI365" s="63"/>
      <c r="AJ365" s="63"/>
    </row>
    <row r="366">
      <c r="A366" s="135">
        <v>369.0</v>
      </c>
      <c r="B366" s="67">
        <v>38.0</v>
      </c>
      <c r="C366" s="31" t="s">
        <v>663</v>
      </c>
      <c r="D366" s="68" t="s">
        <v>1484</v>
      </c>
      <c r="E366" s="71" t="s">
        <v>2834</v>
      </c>
      <c r="F366" s="69" t="s">
        <v>1447</v>
      </c>
      <c r="G366" s="69" t="s">
        <v>2427</v>
      </c>
      <c r="H366" s="145">
        <v>3.0</v>
      </c>
      <c r="I366" s="145">
        <v>2.0</v>
      </c>
      <c r="J366" s="69">
        <v>5.0</v>
      </c>
      <c r="K366" s="69" t="str">
        <f>iferror(vlookup(E366,MasterClass!$C$2:$G988,5,false),"")</f>
        <v/>
      </c>
      <c r="L366" s="181">
        <v>0.0</v>
      </c>
      <c r="M366" s="69">
        <f t="shared" si="58"/>
        <v>8</v>
      </c>
      <c r="N366" s="69">
        <f t="shared" si="59"/>
        <v>2</v>
      </c>
      <c r="O366" s="146">
        <f t="shared" si="60"/>
        <v>0.25</v>
      </c>
      <c r="P366" s="146"/>
      <c r="Q366" s="70"/>
      <c r="R366" s="63"/>
      <c r="S366" s="63"/>
      <c r="T366" s="63"/>
      <c r="U366" s="63"/>
      <c r="V366" s="63"/>
      <c r="W366" s="63"/>
      <c r="X366" s="63"/>
      <c r="Y366" s="63"/>
      <c r="Z366" s="63"/>
      <c r="AA366" s="63"/>
      <c r="AB366" s="63"/>
      <c r="AC366" s="63"/>
      <c r="AD366" s="63"/>
      <c r="AE366" s="63"/>
      <c r="AF366" s="63"/>
      <c r="AG366" s="63"/>
      <c r="AH366" s="63"/>
      <c r="AI366" s="63"/>
      <c r="AJ366" s="63"/>
    </row>
    <row r="367">
      <c r="A367" s="135">
        <v>370.0</v>
      </c>
      <c r="B367" s="67">
        <v>39.0</v>
      </c>
      <c r="C367" s="31" t="s">
        <v>665</v>
      </c>
      <c r="D367" s="68" t="s">
        <v>1485</v>
      </c>
      <c r="E367" s="71" t="s">
        <v>2835</v>
      </c>
      <c r="F367" s="69" t="s">
        <v>1447</v>
      </c>
      <c r="G367" s="178" t="s">
        <v>2798</v>
      </c>
      <c r="H367" s="145">
        <v>3.0</v>
      </c>
      <c r="I367" s="145">
        <v>2.0</v>
      </c>
      <c r="J367" s="69">
        <v>5.0</v>
      </c>
      <c r="K367" s="69" t="str">
        <f>iferror(vlookup(E367,MasterClass!$C$2:$G988,5,false),"")</f>
        <v/>
      </c>
      <c r="L367" s="69">
        <v>3.0</v>
      </c>
      <c r="M367" s="69">
        <f t="shared" si="58"/>
        <v>8</v>
      </c>
      <c r="N367" s="69">
        <f t="shared" si="59"/>
        <v>5</v>
      </c>
      <c r="O367" s="146">
        <f t="shared" si="60"/>
        <v>0.625</v>
      </c>
      <c r="P367" s="146"/>
      <c r="Q367" s="70"/>
      <c r="R367" s="179"/>
      <c r="S367" s="180"/>
      <c r="T367" s="63"/>
      <c r="U367" s="63"/>
      <c r="V367" s="63"/>
      <c r="W367" s="63"/>
      <c r="X367" s="63"/>
      <c r="Y367" s="63"/>
      <c r="Z367" s="63"/>
      <c r="AA367" s="63"/>
      <c r="AB367" s="63"/>
      <c r="AC367" s="63"/>
      <c r="AD367" s="63"/>
      <c r="AE367" s="63"/>
      <c r="AF367" s="63"/>
      <c r="AG367" s="63"/>
      <c r="AH367" s="63"/>
      <c r="AI367" s="63"/>
      <c r="AJ367" s="63"/>
    </row>
    <row r="368">
      <c r="A368" s="135">
        <v>371.0</v>
      </c>
      <c r="B368" s="67">
        <v>40.0</v>
      </c>
      <c r="C368" s="31" t="s">
        <v>667</v>
      </c>
      <c r="D368" s="68" t="s">
        <v>1486</v>
      </c>
      <c r="E368" s="71" t="s">
        <v>2836</v>
      </c>
      <c r="F368" s="69" t="s">
        <v>1447</v>
      </c>
      <c r="G368" s="69" t="s">
        <v>2427</v>
      </c>
      <c r="H368" s="145">
        <v>3.0</v>
      </c>
      <c r="I368" s="145">
        <v>3.0</v>
      </c>
      <c r="J368" s="69">
        <v>5.0</v>
      </c>
      <c r="K368" s="69" t="str">
        <f>iferror(vlookup(E368,MasterClass!$C$2:$G988,5,false),"")</f>
        <v/>
      </c>
      <c r="L368" s="181">
        <v>3.0</v>
      </c>
      <c r="M368" s="69">
        <f t="shared" si="58"/>
        <v>8</v>
      </c>
      <c r="N368" s="69">
        <f t="shared" si="59"/>
        <v>6</v>
      </c>
      <c r="O368" s="146">
        <f t="shared" si="60"/>
        <v>0.75</v>
      </c>
      <c r="P368" s="146"/>
      <c r="Q368" s="70"/>
      <c r="R368" s="63"/>
      <c r="S368" s="63"/>
      <c r="T368" s="63"/>
      <c r="U368" s="63"/>
      <c r="V368" s="63"/>
      <c r="W368" s="63"/>
      <c r="X368" s="63"/>
      <c r="Y368" s="63"/>
      <c r="Z368" s="63"/>
      <c r="AA368" s="63"/>
      <c r="AB368" s="63"/>
      <c r="AC368" s="63"/>
      <c r="AD368" s="63"/>
      <c r="AE368" s="63"/>
      <c r="AF368" s="63"/>
      <c r="AG368" s="63"/>
      <c r="AH368" s="63"/>
      <c r="AI368" s="63"/>
      <c r="AJ368" s="63"/>
    </row>
    <row r="369">
      <c r="A369" s="135">
        <v>372.0</v>
      </c>
      <c r="B369" s="67">
        <v>41.0</v>
      </c>
      <c r="C369" s="31" t="s">
        <v>669</v>
      </c>
      <c r="D369" s="68" t="s">
        <v>1487</v>
      </c>
      <c r="E369" s="71" t="s">
        <v>2837</v>
      </c>
      <c r="F369" s="69" t="s">
        <v>1447</v>
      </c>
      <c r="G369" s="178" t="s">
        <v>2798</v>
      </c>
      <c r="H369" s="145">
        <v>3.0</v>
      </c>
      <c r="I369" s="145">
        <v>2.0</v>
      </c>
      <c r="J369" s="69">
        <v>5.0</v>
      </c>
      <c r="K369" s="69" t="str">
        <f>iferror(vlookup(E369,MasterClass!$C$2:$G988,5,false),"")</f>
        <v/>
      </c>
      <c r="L369" s="69">
        <v>4.0</v>
      </c>
      <c r="M369" s="69">
        <f t="shared" si="58"/>
        <v>8</v>
      </c>
      <c r="N369" s="69">
        <f t="shared" si="59"/>
        <v>6</v>
      </c>
      <c r="O369" s="146">
        <f t="shared" si="60"/>
        <v>0.75</v>
      </c>
      <c r="P369" s="146"/>
      <c r="Q369" s="70"/>
      <c r="R369" s="182"/>
      <c r="S369" s="182"/>
      <c r="T369" s="63"/>
      <c r="U369" s="63"/>
      <c r="V369" s="63"/>
      <c r="W369" s="63"/>
      <c r="X369" s="63"/>
      <c r="Y369" s="63"/>
      <c r="Z369" s="63"/>
      <c r="AA369" s="63"/>
      <c r="AB369" s="63"/>
      <c r="AC369" s="63"/>
      <c r="AD369" s="63"/>
      <c r="AE369" s="63"/>
      <c r="AF369" s="63"/>
      <c r="AG369" s="63"/>
      <c r="AH369" s="63"/>
      <c r="AI369" s="63"/>
      <c r="AJ369" s="63"/>
    </row>
    <row r="370">
      <c r="A370" s="135">
        <v>373.0</v>
      </c>
      <c r="B370" s="67">
        <v>42.0</v>
      </c>
      <c r="C370" s="31" t="s">
        <v>671</v>
      </c>
      <c r="D370" s="68" t="s">
        <v>1488</v>
      </c>
      <c r="E370" s="71" t="s">
        <v>2838</v>
      </c>
      <c r="F370" s="69" t="s">
        <v>1447</v>
      </c>
      <c r="G370" s="69" t="s">
        <v>2427</v>
      </c>
      <c r="H370" s="145">
        <v>3.0</v>
      </c>
      <c r="I370" s="145">
        <v>3.0</v>
      </c>
      <c r="J370" s="69">
        <v>5.0</v>
      </c>
      <c r="K370" s="69" t="str">
        <f>iferror(vlookup(E370,MasterClass!$C$2:$G988,5,false),"")</f>
        <v/>
      </c>
      <c r="L370" s="181">
        <v>3.0</v>
      </c>
      <c r="M370" s="69">
        <f t="shared" si="58"/>
        <v>8</v>
      </c>
      <c r="N370" s="69">
        <f t="shared" si="59"/>
        <v>6</v>
      </c>
      <c r="O370" s="146">
        <f t="shared" si="60"/>
        <v>0.75</v>
      </c>
      <c r="P370" s="146"/>
      <c r="Q370" s="70"/>
      <c r="R370" s="63"/>
      <c r="S370" s="63"/>
      <c r="T370" s="63"/>
      <c r="U370" s="63"/>
      <c r="V370" s="63"/>
      <c r="W370" s="63"/>
      <c r="X370" s="63"/>
      <c r="Y370" s="63"/>
      <c r="Z370" s="63"/>
      <c r="AA370" s="63"/>
      <c r="AB370" s="63"/>
      <c r="AC370" s="63"/>
      <c r="AD370" s="63"/>
      <c r="AE370" s="63"/>
      <c r="AF370" s="63"/>
      <c r="AG370" s="63"/>
      <c r="AH370" s="63"/>
      <c r="AI370" s="63"/>
      <c r="AJ370" s="63"/>
    </row>
    <row r="371">
      <c r="A371" s="135">
        <v>374.0</v>
      </c>
      <c r="B371" s="67">
        <v>43.0</v>
      </c>
      <c r="C371" s="31" t="s">
        <v>673</v>
      </c>
      <c r="D371" s="68" t="s">
        <v>1489</v>
      </c>
      <c r="E371" s="71" t="s">
        <v>2839</v>
      </c>
      <c r="F371" s="69" t="s">
        <v>1447</v>
      </c>
      <c r="G371" s="69" t="s">
        <v>2427</v>
      </c>
      <c r="H371" s="145">
        <v>3.0</v>
      </c>
      <c r="I371" s="145">
        <v>1.0</v>
      </c>
      <c r="J371" s="69">
        <v>5.0</v>
      </c>
      <c r="K371" s="69" t="str">
        <f>iferror(vlookup(E371,MasterClass!$C$2:$G988,5,false),"")</f>
        <v/>
      </c>
      <c r="L371" s="181">
        <v>3.0</v>
      </c>
      <c r="M371" s="69">
        <f t="shared" si="58"/>
        <v>8</v>
      </c>
      <c r="N371" s="69">
        <f t="shared" si="59"/>
        <v>4</v>
      </c>
      <c r="O371" s="146">
        <f t="shared" si="60"/>
        <v>0.5</v>
      </c>
      <c r="P371" s="146"/>
      <c r="Q371" s="70"/>
      <c r="R371" s="63"/>
      <c r="S371" s="63"/>
      <c r="T371" s="63"/>
      <c r="U371" s="63"/>
      <c r="V371" s="63"/>
      <c r="W371" s="63"/>
      <c r="X371" s="63"/>
      <c r="Y371" s="63"/>
      <c r="Z371" s="63"/>
      <c r="AA371" s="63"/>
      <c r="AB371" s="63"/>
      <c r="AC371" s="63"/>
      <c r="AD371" s="63"/>
      <c r="AE371" s="63"/>
      <c r="AF371" s="63"/>
      <c r="AG371" s="63"/>
      <c r="AH371" s="63"/>
      <c r="AI371" s="63"/>
      <c r="AJ371" s="63"/>
    </row>
    <row r="372">
      <c r="A372" s="135">
        <v>375.0</v>
      </c>
      <c r="B372" s="67">
        <v>44.0</v>
      </c>
      <c r="C372" s="31" t="s">
        <v>675</v>
      </c>
      <c r="D372" s="68" t="s">
        <v>1490</v>
      </c>
      <c r="E372" s="71" t="s">
        <v>2840</v>
      </c>
      <c r="F372" s="69" t="s">
        <v>1447</v>
      </c>
      <c r="G372" s="178" t="s">
        <v>2798</v>
      </c>
      <c r="H372" s="145">
        <v>3.0</v>
      </c>
      <c r="I372" s="145">
        <v>2.0</v>
      </c>
      <c r="J372" s="69">
        <v>5.0</v>
      </c>
      <c r="K372" s="69" t="str">
        <f>iferror(vlookup(E372,MasterClass!$C$2:$G988,5,false),"")</f>
        <v/>
      </c>
      <c r="L372" s="69">
        <v>4.0</v>
      </c>
      <c r="M372" s="69">
        <f t="shared" si="58"/>
        <v>8</v>
      </c>
      <c r="N372" s="69">
        <f t="shared" si="59"/>
        <v>6</v>
      </c>
      <c r="O372" s="146">
        <f t="shared" si="60"/>
        <v>0.75</v>
      </c>
      <c r="P372" s="146"/>
      <c r="Q372" s="70"/>
      <c r="R372" s="182"/>
      <c r="S372" s="182"/>
      <c r="T372" s="63"/>
      <c r="U372" s="63"/>
      <c r="V372" s="63"/>
      <c r="W372" s="63"/>
      <c r="X372" s="63"/>
      <c r="Y372" s="63"/>
      <c r="Z372" s="63"/>
      <c r="AA372" s="63"/>
      <c r="AB372" s="63"/>
      <c r="AC372" s="63"/>
      <c r="AD372" s="63"/>
      <c r="AE372" s="63"/>
      <c r="AF372" s="63"/>
      <c r="AG372" s="63"/>
      <c r="AH372" s="63"/>
      <c r="AI372" s="63"/>
      <c r="AJ372" s="63"/>
    </row>
    <row r="373">
      <c r="A373" s="135">
        <v>376.0</v>
      </c>
      <c r="B373" s="67">
        <v>45.0</v>
      </c>
      <c r="C373" s="31" t="s">
        <v>677</v>
      </c>
      <c r="D373" s="68" t="s">
        <v>1491</v>
      </c>
      <c r="E373" s="71" t="s">
        <v>2841</v>
      </c>
      <c r="F373" s="69" t="s">
        <v>1447</v>
      </c>
      <c r="G373" s="178" t="s">
        <v>2798</v>
      </c>
      <c r="H373" s="145">
        <v>3.0</v>
      </c>
      <c r="I373" s="145">
        <v>1.0</v>
      </c>
      <c r="J373" s="69">
        <v>5.0</v>
      </c>
      <c r="K373" s="69" t="str">
        <f>iferror(vlookup(E373,MasterClass!$C$2:$G988,5,false),"")</f>
        <v/>
      </c>
      <c r="L373" s="69">
        <v>4.0</v>
      </c>
      <c r="M373" s="69">
        <f t="shared" si="58"/>
        <v>8</v>
      </c>
      <c r="N373" s="69">
        <f t="shared" si="59"/>
        <v>5</v>
      </c>
      <c r="O373" s="146">
        <f t="shared" si="60"/>
        <v>0.625</v>
      </c>
      <c r="P373" s="146"/>
      <c r="Q373" s="70"/>
      <c r="R373" s="182"/>
      <c r="S373" s="182"/>
      <c r="T373" s="63"/>
      <c r="U373" s="63"/>
      <c r="V373" s="63"/>
      <c r="W373" s="63"/>
      <c r="X373" s="63"/>
      <c r="Y373" s="63"/>
      <c r="Z373" s="63"/>
      <c r="AA373" s="63"/>
      <c r="AB373" s="63"/>
      <c r="AC373" s="63"/>
      <c r="AD373" s="63"/>
      <c r="AE373" s="63"/>
      <c r="AF373" s="63"/>
      <c r="AG373" s="63"/>
      <c r="AH373" s="63"/>
      <c r="AI373" s="63"/>
      <c r="AJ373" s="63"/>
    </row>
    <row r="374">
      <c r="A374" s="135">
        <v>377.0</v>
      </c>
      <c r="B374" s="67">
        <v>46.0</v>
      </c>
      <c r="C374" s="31" t="s">
        <v>679</v>
      </c>
      <c r="D374" s="68" t="s">
        <v>1492</v>
      </c>
      <c r="E374" s="71" t="s">
        <v>2842</v>
      </c>
      <c r="F374" s="69" t="s">
        <v>1447</v>
      </c>
      <c r="G374" s="69" t="s">
        <v>2427</v>
      </c>
      <c r="H374" s="145">
        <v>3.0</v>
      </c>
      <c r="I374" s="145">
        <v>1.0</v>
      </c>
      <c r="J374" s="69">
        <v>5.0</v>
      </c>
      <c r="K374" s="69" t="str">
        <f>iferror(vlookup(E374,MasterClass!$C$2:$G988,5,false),"")</f>
        <v/>
      </c>
      <c r="L374" s="181">
        <v>3.0</v>
      </c>
      <c r="M374" s="69">
        <f t="shared" si="58"/>
        <v>8</v>
      </c>
      <c r="N374" s="69">
        <f t="shared" si="59"/>
        <v>4</v>
      </c>
      <c r="O374" s="146">
        <f t="shared" si="60"/>
        <v>0.5</v>
      </c>
      <c r="P374" s="146"/>
      <c r="Q374" s="70"/>
      <c r="R374" s="63"/>
      <c r="S374" s="63"/>
      <c r="T374" s="63"/>
      <c r="U374" s="63"/>
      <c r="V374" s="63"/>
      <c r="W374" s="63"/>
      <c r="X374" s="63"/>
      <c r="Y374" s="63"/>
      <c r="Z374" s="63"/>
      <c r="AA374" s="63"/>
      <c r="AB374" s="63"/>
      <c r="AC374" s="63"/>
      <c r="AD374" s="63"/>
      <c r="AE374" s="63"/>
      <c r="AF374" s="63"/>
      <c r="AG374" s="63"/>
      <c r="AH374" s="63"/>
      <c r="AI374" s="63"/>
      <c r="AJ374" s="63"/>
    </row>
    <row r="375">
      <c r="A375" s="135">
        <v>378.0</v>
      </c>
      <c r="B375" s="63"/>
      <c r="C375" s="63"/>
      <c r="D375" s="63"/>
      <c r="E375" s="149"/>
      <c r="F375" s="63"/>
      <c r="G375" s="63"/>
      <c r="H375" s="63"/>
      <c r="I375" s="63"/>
      <c r="J375" s="63"/>
      <c r="K375" s="150" t="str">
        <f>iferror(vlookup(E375,MasterClass!$C$2:$G988,5,false),"")</f>
        <v/>
      </c>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row>
    <row r="376">
      <c r="A376" s="135">
        <v>379.0</v>
      </c>
      <c r="B376" s="62" t="s">
        <v>3</v>
      </c>
      <c r="C376" s="63"/>
      <c r="D376" s="62" t="s">
        <v>4</v>
      </c>
      <c r="E376" s="149" t="s">
        <v>4</v>
      </c>
      <c r="F376" s="63"/>
      <c r="G376" s="63"/>
      <c r="H376" s="63"/>
      <c r="I376" s="63"/>
      <c r="J376" s="63"/>
      <c r="K376" s="150" t="str">
        <f>iferror(vlookup(E376,MasterClass!$C$2:$G988,5,false),"")</f>
        <v/>
      </c>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row>
    <row r="377">
      <c r="A377" s="135">
        <v>380.0</v>
      </c>
      <c r="B377" s="62" t="s">
        <v>5</v>
      </c>
      <c r="C377" s="63"/>
      <c r="D377" s="62" t="s">
        <v>682</v>
      </c>
      <c r="E377" s="149" t="s">
        <v>682</v>
      </c>
      <c r="F377" s="63"/>
      <c r="G377" s="63"/>
      <c r="H377" s="63"/>
      <c r="I377" s="63"/>
      <c r="J377" s="63"/>
      <c r="K377" s="150" t="str">
        <f>iferror(vlookup(E377,MasterClass!$C$2:$G988,5,false),"")</f>
        <v/>
      </c>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row>
    <row r="378">
      <c r="A378" s="135">
        <v>381.0</v>
      </c>
      <c r="B378" s="62" t="s">
        <v>7</v>
      </c>
      <c r="C378" s="63"/>
      <c r="D378" s="62" t="s">
        <v>8</v>
      </c>
      <c r="E378" s="149" t="s">
        <v>8</v>
      </c>
      <c r="F378" s="63"/>
      <c r="G378" s="63"/>
      <c r="H378" s="63"/>
      <c r="I378" s="63"/>
      <c r="J378" s="63"/>
      <c r="K378" s="150" t="str">
        <f>iferror(vlookup(E378,MasterClass!$C$2:$G988,5,false),"")</f>
        <v/>
      </c>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row>
    <row r="379">
      <c r="A379" s="135">
        <v>382.0</v>
      </c>
      <c r="B379" s="63"/>
      <c r="C379" s="63"/>
      <c r="D379" s="63"/>
      <c r="E379" s="149"/>
      <c r="F379" s="63"/>
      <c r="G379" s="63"/>
      <c r="H379" s="63"/>
      <c r="I379" s="63"/>
      <c r="J379" s="63"/>
      <c r="K379" s="150" t="str">
        <f>iferror(vlookup(E379,MasterClass!$C$2:$G988,5,false),"")</f>
        <v/>
      </c>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row>
    <row r="380">
      <c r="A380" s="135">
        <v>384.0</v>
      </c>
      <c r="B380" s="80" t="s">
        <v>9</v>
      </c>
      <c r="C380" s="81" t="s">
        <v>10</v>
      </c>
      <c r="D380" s="80" t="s">
        <v>11</v>
      </c>
      <c r="E380" s="174"/>
      <c r="F380" s="85" t="s">
        <v>5</v>
      </c>
      <c r="G380" s="175"/>
      <c r="H380" s="153" t="s">
        <v>2492</v>
      </c>
      <c r="I380" s="175"/>
      <c r="J380" s="154" t="s">
        <v>2493</v>
      </c>
      <c r="K380" s="175"/>
      <c r="L380" s="175"/>
      <c r="M380" s="176" t="s">
        <v>2489</v>
      </c>
      <c r="N380" s="85" t="s">
        <v>2490</v>
      </c>
      <c r="O380" s="162" t="s">
        <v>18</v>
      </c>
      <c r="P380" s="82" t="s">
        <v>2491</v>
      </c>
      <c r="Q380" s="83" t="s">
        <v>19</v>
      </c>
      <c r="R380" s="63"/>
      <c r="S380" s="63"/>
      <c r="T380" s="63"/>
      <c r="U380" s="63"/>
      <c r="V380" s="63"/>
      <c r="W380" s="63"/>
      <c r="X380" s="63"/>
      <c r="Y380" s="63"/>
      <c r="Z380" s="63"/>
      <c r="AA380" s="63"/>
      <c r="AB380" s="63"/>
      <c r="AC380" s="63"/>
      <c r="AD380" s="63"/>
      <c r="AE380" s="63"/>
      <c r="AF380" s="63"/>
      <c r="AG380" s="63"/>
      <c r="AH380" s="63"/>
      <c r="AI380" s="63"/>
      <c r="AJ380" s="63"/>
    </row>
    <row r="381">
      <c r="A381" s="135">
        <v>385.0</v>
      </c>
      <c r="B381" s="20"/>
      <c r="C381" s="20"/>
      <c r="D381" s="20"/>
      <c r="E381" s="174"/>
      <c r="F381" s="20"/>
      <c r="G381" s="164" t="s">
        <v>2483</v>
      </c>
      <c r="H381" s="158" t="s">
        <v>2484</v>
      </c>
      <c r="I381" s="164" t="s">
        <v>2485</v>
      </c>
      <c r="J381" s="165" t="s">
        <v>2486</v>
      </c>
      <c r="K381" s="166" t="s">
        <v>2487</v>
      </c>
      <c r="L381" s="164" t="s">
        <v>2488</v>
      </c>
      <c r="M381" s="20"/>
      <c r="N381" s="20"/>
      <c r="O381" s="20"/>
      <c r="P381" s="20"/>
      <c r="Q381" s="20"/>
      <c r="R381" s="63"/>
      <c r="S381" s="63"/>
      <c r="T381" s="63"/>
      <c r="U381" s="63"/>
      <c r="V381" s="63"/>
      <c r="W381" s="63"/>
      <c r="X381" s="63"/>
      <c r="Y381" s="63"/>
      <c r="Z381" s="63"/>
      <c r="AA381" s="63"/>
      <c r="AB381" s="63"/>
      <c r="AC381" s="63"/>
      <c r="AD381" s="63"/>
      <c r="AE381" s="63"/>
      <c r="AF381" s="63"/>
      <c r="AG381" s="63"/>
      <c r="AH381" s="63"/>
      <c r="AI381" s="63"/>
      <c r="AJ381" s="63"/>
    </row>
    <row r="382">
      <c r="A382" s="135">
        <v>386.0</v>
      </c>
      <c r="B382" s="67">
        <v>1.0</v>
      </c>
      <c r="C382" s="31" t="s">
        <v>683</v>
      </c>
      <c r="D382" s="68" t="s">
        <v>1493</v>
      </c>
      <c r="E382" s="71" t="s">
        <v>2843</v>
      </c>
      <c r="F382" s="69" t="s">
        <v>1494</v>
      </c>
      <c r="G382" s="69" t="s">
        <v>2844</v>
      </c>
      <c r="H382" s="145">
        <v>3.0</v>
      </c>
      <c r="I382" s="145">
        <v>3.0</v>
      </c>
      <c r="J382" s="69">
        <v>5.0</v>
      </c>
      <c r="K382" s="69" t="str">
        <f>iferror(vlookup(E382,MasterClass!$C$2:$G988,5,false),"")</f>
        <v/>
      </c>
      <c r="L382" s="69">
        <v>1.0</v>
      </c>
      <c r="M382" s="69">
        <f t="shared" ref="M382:M399" si="61">J382+H382</f>
        <v>8</v>
      </c>
      <c r="N382" s="69">
        <f t="shared" ref="N382:N399" si="62">I382+L382+K382</f>
        <v>4</v>
      </c>
      <c r="O382" s="146">
        <f t="shared" ref="O382:O399" si="63">N382/M382</f>
        <v>0.5</v>
      </c>
      <c r="P382" s="146"/>
      <c r="Q382" s="70"/>
      <c r="R382" s="63"/>
      <c r="S382" s="63"/>
      <c r="T382" s="63"/>
      <c r="U382" s="63"/>
      <c r="V382" s="63"/>
      <c r="W382" s="63"/>
      <c r="X382" s="63"/>
      <c r="Y382" s="63"/>
      <c r="Z382" s="63"/>
      <c r="AA382" s="63"/>
      <c r="AB382" s="63"/>
      <c r="AC382" s="63"/>
      <c r="AD382" s="63"/>
      <c r="AE382" s="63"/>
      <c r="AF382" s="63"/>
      <c r="AG382" s="63"/>
      <c r="AH382" s="63"/>
      <c r="AI382" s="63"/>
      <c r="AJ382" s="63"/>
    </row>
    <row r="383">
      <c r="A383" s="135">
        <v>387.0</v>
      </c>
      <c r="B383" s="67">
        <v>2.0</v>
      </c>
      <c r="C383" s="31" t="s">
        <v>685</v>
      </c>
      <c r="D383" s="68" t="s">
        <v>1495</v>
      </c>
      <c r="E383" s="71" t="s">
        <v>2845</v>
      </c>
      <c r="F383" s="69" t="s">
        <v>1494</v>
      </c>
      <c r="G383" s="69" t="s">
        <v>2844</v>
      </c>
      <c r="H383" s="145">
        <v>3.0</v>
      </c>
      <c r="I383" s="145">
        <v>2.0</v>
      </c>
      <c r="J383" s="69">
        <v>5.0</v>
      </c>
      <c r="K383" s="69" t="str">
        <f>iferror(vlookup(E383,MasterClass!$C$2:$G988,5,false),"")</f>
        <v/>
      </c>
      <c r="L383" s="181">
        <v>0.0</v>
      </c>
      <c r="M383" s="69">
        <f t="shared" si="61"/>
        <v>8</v>
      </c>
      <c r="N383" s="69">
        <f t="shared" si="62"/>
        <v>2</v>
      </c>
      <c r="O383" s="146">
        <f t="shared" si="63"/>
        <v>0.25</v>
      </c>
      <c r="P383" s="146"/>
      <c r="Q383" s="70"/>
      <c r="R383" s="63"/>
      <c r="S383" s="63"/>
      <c r="T383" s="63"/>
      <c r="U383" s="63"/>
      <c r="V383" s="63"/>
      <c r="W383" s="63"/>
      <c r="X383" s="63"/>
      <c r="Y383" s="63"/>
      <c r="Z383" s="63"/>
      <c r="AA383" s="63"/>
      <c r="AB383" s="63"/>
      <c r="AC383" s="63"/>
      <c r="AD383" s="63"/>
      <c r="AE383" s="63"/>
      <c r="AF383" s="63"/>
      <c r="AG383" s="63"/>
      <c r="AH383" s="63"/>
      <c r="AI383" s="63"/>
      <c r="AJ383" s="63"/>
    </row>
    <row r="384">
      <c r="A384" s="135">
        <v>388.0</v>
      </c>
      <c r="B384" s="67">
        <v>3.0</v>
      </c>
      <c r="C384" s="31" t="s">
        <v>687</v>
      </c>
      <c r="D384" s="68" t="s">
        <v>1496</v>
      </c>
      <c r="E384" s="71" t="s">
        <v>2846</v>
      </c>
      <c r="F384" s="69" t="s">
        <v>1494</v>
      </c>
      <c r="G384" s="69" t="s">
        <v>2844</v>
      </c>
      <c r="H384" s="145">
        <v>2.0</v>
      </c>
      <c r="I384" s="145">
        <v>1.0</v>
      </c>
      <c r="J384" s="69">
        <v>5.0</v>
      </c>
      <c r="K384" s="69" t="str">
        <f>iferror(vlookup(E384,MasterClass!$C$2:$G988,5,false),"")</f>
        <v/>
      </c>
      <c r="L384" s="181">
        <v>1.0</v>
      </c>
      <c r="M384" s="69">
        <f t="shared" si="61"/>
        <v>7</v>
      </c>
      <c r="N384" s="69">
        <f t="shared" si="62"/>
        <v>2</v>
      </c>
      <c r="O384" s="146">
        <f t="shared" si="63"/>
        <v>0.2857142857</v>
      </c>
      <c r="P384" s="146"/>
      <c r="Q384" s="70"/>
      <c r="R384" s="63"/>
      <c r="S384" s="63"/>
      <c r="T384" s="63"/>
      <c r="U384" s="63"/>
      <c r="V384" s="63"/>
      <c r="W384" s="63"/>
      <c r="X384" s="63"/>
      <c r="Y384" s="63"/>
      <c r="Z384" s="63"/>
      <c r="AA384" s="63"/>
      <c r="AB384" s="63"/>
      <c r="AC384" s="63"/>
      <c r="AD384" s="63"/>
      <c r="AE384" s="63"/>
      <c r="AF384" s="63"/>
      <c r="AG384" s="63"/>
      <c r="AH384" s="63"/>
      <c r="AI384" s="63"/>
      <c r="AJ384" s="63"/>
    </row>
    <row r="385">
      <c r="A385" s="135">
        <v>389.0</v>
      </c>
      <c r="B385" s="67">
        <v>4.0</v>
      </c>
      <c r="C385" s="31" t="s">
        <v>689</v>
      </c>
      <c r="D385" s="68" t="s">
        <v>1497</v>
      </c>
      <c r="E385" s="71" t="s">
        <v>2847</v>
      </c>
      <c r="F385" s="69" t="s">
        <v>1494</v>
      </c>
      <c r="G385" s="69" t="s">
        <v>2844</v>
      </c>
      <c r="H385" s="145">
        <v>3.0</v>
      </c>
      <c r="I385" s="145">
        <v>3.0</v>
      </c>
      <c r="J385" s="69">
        <v>5.0</v>
      </c>
      <c r="K385" s="69" t="str">
        <f>iferror(vlookup(E385,MasterClass!$C$2:$G988,5,false),"")</f>
        <v/>
      </c>
      <c r="L385" s="181">
        <v>1.0</v>
      </c>
      <c r="M385" s="69">
        <f t="shared" si="61"/>
        <v>8</v>
      </c>
      <c r="N385" s="69">
        <f t="shared" si="62"/>
        <v>4</v>
      </c>
      <c r="O385" s="146">
        <f t="shared" si="63"/>
        <v>0.5</v>
      </c>
      <c r="P385" s="146"/>
      <c r="Q385" s="70"/>
      <c r="R385" s="63"/>
      <c r="S385" s="63"/>
      <c r="T385" s="63"/>
      <c r="U385" s="63"/>
      <c r="V385" s="63"/>
      <c r="W385" s="63"/>
      <c r="X385" s="63"/>
      <c r="Y385" s="63"/>
      <c r="Z385" s="63"/>
      <c r="AA385" s="63"/>
      <c r="AB385" s="63"/>
      <c r="AC385" s="63"/>
      <c r="AD385" s="63"/>
      <c r="AE385" s="63"/>
      <c r="AF385" s="63"/>
      <c r="AG385" s="63"/>
      <c r="AH385" s="63"/>
      <c r="AI385" s="63"/>
      <c r="AJ385" s="63"/>
    </row>
    <row r="386">
      <c r="A386" s="135">
        <v>390.0</v>
      </c>
      <c r="B386" s="67">
        <v>5.0</v>
      </c>
      <c r="C386" s="31" t="s">
        <v>691</v>
      </c>
      <c r="D386" s="68" t="s">
        <v>1498</v>
      </c>
      <c r="E386" s="71" t="s">
        <v>2848</v>
      </c>
      <c r="F386" s="69" t="s">
        <v>1494</v>
      </c>
      <c r="G386" s="69" t="s">
        <v>2844</v>
      </c>
      <c r="H386" s="145">
        <v>3.0</v>
      </c>
      <c r="I386" s="145">
        <v>3.0</v>
      </c>
      <c r="J386" s="69">
        <v>5.0</v>
      </c>
      <c r="K386" s="69" t="str">
        <f>iferror(vlookup(E386,MasterClass!$C$2:$G988,5,false),"")</f>
        <v/>
      </c>
      <c r="L386" s="181">
        <v>0.0</v>
      </c>
      <c r="M386" s="69">
        <f t="shared" si="61"/>
        <v>8</v>
      </c>
      <c r="N386" s="69">
        <f t="shared" si="62"/>
        <v>3</v>
      </c>
      <c r="O386" s="146">
        <f t="shared" si="63"/>
        <v>0.375</v>
      </c>
      <c r="P386" s="146"/>
      <c r="Q386" s="70"/>
      <c r="R386" s="63"/>
      <c r="S386" s="63"/>
      <c r="T386" s="63"/>
      <c r="U386" s="63"/>
      <c r="V386" s="63"/>
      <c r="W386" s="63"/>
      <c r="X386" s="63"/>
      <c r="Y386" s="63"/>
      <c r="Z386" s="63"/>
      <c r="AA386" s="63"/>
      <c r="AB386" s="63"/>
      <c r="AC386" s="63"/>
      <c r="AD386" s="63"/>
      <c r="AE386" s="63"/>
      <c r="AF386" s="63"/>
      <c r="AG386" s="63"/>
      <c r="AH386" s="63"/>
      <c r="AI386" s="63"/>
      <c r="AJ386" s="63"/>
    </row>
    <row r="387">
      <c r="A387" s="135">
        <v>391.0</v>
      </c>
      <c r="B387" s="67">
        <v>6.0</v>
      </c>
      <c r="C387" s="31" t="s">
        <v>693</v>
      </c>
      <c r="D387" s="68" t="s">
        <v>1499</v>
      </c>
      <c r="E387" s="71" t="s">
        <v>2849</v>
      </c>
      <c r="F387" s="69" t="s">
        <v>1494</v>
      </c>
      <c r="G387" s="69" t="s">
        <v>2844</v>
      </c>
      <c r="H387" s="145">
        <v>2.0</v>
      </c>
      <c r="I387" s="145">
        <v>2.0</v>
      </c>
      <c r="J387" s="69">
        <v>5.0</v>
      </c>
      <c r="K387" s="69" t="str">
        <f>iferror(vlookup(E387,MasterClass!$C$2:$G988,5,false),"")</f>
        <v/>
      </c>
      <c r="L387" s="181">
        <v>1.0</v>
      </c>
      <c r="M387" s="69">
        <f t="shared" si="61"/>
        <v>7</v>
      </c>
      <c r="N387" s="69">
        <f t="shared" si="62"/>
        <v>3</v>
      </c>
      <c r="O387" s="146">
        <f t="shared" si="63"/>
        <v>0.4285714286</v>
      </c>
      <c r="P387" s="146"/>
      <c r="Q387" s="70"/>
      <c r="R387" s="63"/>
      <c r="S387" s="63"/>
      <c r="T387" s="63"/>
      <c r="U387" s="63"/>
      <c r="V387" s="63"/>
      <c r="W387" s="63"/>
      <c r="X387" s="63"/>
      <c r="Y387" s="63"/>
      <c r="Z387" s="63"/>
      <c r="AA387" s="63"/>
      <c r="AB387" s="63"/>
      <c r="AC387" s="63"/>
      <c r="AD387" s="63"/>
      <c r="AE387" s="63"/>
      <c r="AF387" s="63"/>
      <c r="AG387" s="63"/>
      <c r="AH387" s="63"/>
      <c r="AI387" s="63"/>
      <c r="AJ387" s="63"/>
    </row>
    <row r="388">
      <c r="A388" s="135">
        <v>392.0</v>
      </c>
      <c r="B388" s="67">
        <v>7.0</v>
      </c>
      <c r="C388" s="31" t="s">
        <v>695</v>
      </c>
      <c r="D388" s="68" t="s">
        <v>1500</v>
      </c>
      <c r="E388" s="71" t="s">
        <v>2850</v>
      </c>
      <c r="F388" s="69" t="s">
        <v>1494</v>
      </c>
      <c r="G388" s="69" t="s">
        <v>2844</v>
      </c>
      <c r="H388" s="145">
        <v>3.0</v>
      </c>
      <c r="I388" s="145">
        <v>3.0</v>
      </c>
      <c r="J388" s="69">
        <v>5.0</v>
      </c>
      <c r="K388" s="69" t="str">
        <f>iferror(vlookup(E388,MasterClass!$C$2:$G988,5,false),"")</f>
        <v/>
      </c>
      <c r="L388" s="181">
        <v>1.0</v>
      </c>
      <c r="M388" s="69">
        <f t="shared" si="61"/>
        <v>8</v>
      </c>
      <c r="N388" s="69">
        <f t="shared" si="62"/>
        <v>4</v>
      </c>
      <c r="O388" s="146">
        <f t="shared" si="63"/>
        <v>0.5</v>
      </c>
      <c r="P388" s="146"/>
      <c r="Q388" s="70"/>
      <c r="R388" s="63"/>
      <c r="S388" s="63"/>
      <c r="T388" s="63"/>
      <c r="U388" s="63"/>
      <c r="V388" s="63"/>
      <c r="W388" s="63"/>
      <c r="X388" s="63"/>
      <c r="Y388" s="63"/>
      <c r="Z388" s="63"/>
      <c r="AA388" s="63"/>
      <c r="AB388" s="63"/>
      <c r="AC388" s="63"/>
      <c r="AD388" s="63"/>
      <c r="AE388" s="63"/>
      <c r="AF388" s="63"/>
      <c r="AG388" s="63"/>
      <c r="AH388" s="63"/>
      <c r="AI388" s="63"/>
      <c r="AJ388" s="63"/>
    </row>
    <row r="389">
      <c r="A389" s="135">
        <v>393.0</v>
      </c>
      <c r="B389" s="67">
        <v>8.0</v>
      </c>
      <c r="C389" s="31" t="s">
        <v>697</v>
      </c>
      <c r="D389" s="68" t="s">
        <v>1501</v>
      </c>
      <c r="E389" s="71" t="s">
        <v>2851</v>
      </c>
      <c r="F389" s="69" t="s">
        <v>1494</v>
      </c>
      <c r="G389" s="69" t="s">
        <v>2844</v>
      </c>
      <c r="H389" s="145">
        <v>3.0</v>
      </c>
      <c r="I389" s="145">
        <v>3.0</v>
      </c>
      <c r="J389" s="69">
        <v>5.0</v>
      </c>
      <c r="K389" s="69" t="str">
        <f>iferror(vlookup(E389,MasterClass!$C$2:$G988,5,false),"")</f>
        <v/>
      </c>
      <c r="L389" s="181">
        <v>0.0</v>
      </c>
      <c r="M389" s="69">
        <f t="shared" si="61"/>
        <v>8</v>
      </c>
      <c r="N389" s="69">
        <f t="shared" si="62"/>
        <v>3</v>
      </c>
      <c r="O389" s="146">
        <f t="shared" si="63"/>
        <v>0.375</v>
      </c>
      <c r="P389" s="146"/>
      <c r="Q389" s="70"/>
      <c r="R389" s="63"/>
      <c r="S389" s="63"/>
      <c r="T389" s="63"/>
      <c r="U389" s="63"/>
      <c r="V389" s="63"/>
      <c r="W389" s="63"/>
      <c r="X389" s="63"/>
      <c r="Y389" s="63"/>
      <c r="Z389" s="63"/>
      <c r="AA389" s="63"/>
      <c r="AB389" s="63"/>
      <c r="AC389" s="63"/>
      <c r="AD389" s="63"/>
      <c r="AE389" s="63"/>
      <c r="AF389" s="63"/>
      <c r="AG389" s="63"/>
      <c r="AH389" s="63"/>
      <c r="AI389" s="63"/>
      <c r="AJ389" s="63"/>
    </row>
    <row r="390">
      <c r="A390" s="135">
        <v>394.0</v>
      </c>
      <c r="B390" s="67">
        <v>9.0</v>
      </c>
      <c r="C390" s="31" t="s">
        <v>699</v>
      </c>
      <c r="D390" s="68" t="s">
        <v>1502</v>
      </c>
      <c r="E390" s="71" t="s">
        <v>2852</v>
      </c>
      <c r="F390" s="69" t="s">
        <v>1494</v>
      </c>
      <c r="G390" s="69" t="s">
        <v>2844</v>
      </c>
      <c r="H390" s="145">
        <v>2.0</v>
      </c>
      <c r="I390" s="145">
        <v>2.0</v>
      </c>
      <c r="J390" s="69">
        <v>5.0</v>
      </c>
      <c r="K390" s="69" t="str">
        <f>iferror(vlookup(E390,MasterClass!$C$2:$G988,5,false),"")</f>
        <v/>
      </c>
      <c r="L390" s="181">
        <v>0.0</v>
      </c>
      <c r="M390" s="69">
        <f t="shared" si="61"/>
        <v>7</v>
      </c>
      <c r="N390" s="69">
        <f t="shared" si="62"/>
        <v>2</v>
      </c>
      <c r="O390" s="146">
        <f t="shared" si="63"/>
        <v>0.2857142857</v>
      </c>
      <c r="P390" s="146"/>
      <c r="Q390" s="70"/>
      <c r="R390" s="63"/>
      <c r="S390" s="63"/>
      <c r="T390" s="63"/>
      <c r="U390" s="63"/>
      <c r="V390" s="63"/>
      <c r="W390" s="63"/>
      <c r="X390" s="63"/>
      <c r="Y390" s="63"/>
      <c r="Z390" s="63"/>
      <c r="AA390" s="63"/>
      <c r="AB390" s="63"/>
      <c r="AC390" s="63"/>
      <c r="AD390" s="63"/>
      <c r="AE390" s="63"/>
      <c r="AF390" s="63"/>
      <c r="AG390" s="63"/>
      <c r="AH390" s="63"/>
      <c r="AI390" s="63"/>
      <c r="AJ390" s="63"/>
    </row>
    <row r="391">
      <c r="A391" s="135">
        <v>395.0</v>
      </c>
      <c r="B391" s="67">
        <v>10.0</v>
      </c>
      <c r="C391" s="31" t="s">
        <v>701</v>
      </c>
      <c r="D391" s="68" t="s">
        <v>1503</v>
      </c>
      <c r="E391" s="71" t="s">
        <v>2853</v>
      </c>
      <c r="F391" s="69" t="s">
        <v>1494</v>
      </c>
      <c r="G391" s="69" t="s">
        <v>2844</v>
      </c>
      <c r="H391" s="145">
        <v>3.0</v>
      </c>
      <c r="I391" s="145">
        <v>3.0</v>
      </c>
      <c r="J391" s="69">
        <v>5.0</v>
      </c>
      <c r="K391" s="69" t="str">
        <f>iferror(vlookup(E391,MasterClass!$C$2:$G988,5,false),"")</f>
        <v/>
      </c>
      <c r="L391" s="181">
        <v>0.0</v>
      </c>
      <c r="M391" s="69">
        <f t="shared" si="61"/>
        <v>8</v>
      </c>
      <c r="N391" s="69">
        <f t="shared" si="62"/>
        <v>3</v>
      </c>
      <c r="O391" s="146">
        <f t="shared" si="63"/>
        <v>0.375</v>
      </c>
      <c r="P391" s="146"/>
      <c r="Q391" s="70"/>
      <c r="R391" s="63"/>
      <c r="S391" s="63"/>
      <c r="T391" s="63"/>
      <c r="U391" s="63"/>
      <c r="V391" s="63"/>
      <c r="W391" s="63"/>
      <c r="X391" s="63"/>
      <c r="Y391" s="63"/>
      <c r="Z391" s="63"/>
      <c r="AA391" s="63"/>
      <c r="AB391" s="63"/>
      <c r="AC391" s="63"/>
      <c r="AD391" s="63"/>
      <c r="AE391" s="63"/>
      <c r="AF391" s="63"/>
      <c r="AG391" s="63"/>
      <c r="AH391" s="63"/>
      <c r="AI391" s="63"/>
      <c r="AJ391" s="63"/>
    </row>
    <row r="392">
      <c r="A392" s="135">
        <v>396.0</v>
      </c>
      <c r="B392" s="67">
        <v>11.0</v>
      </c>
      <c r="C392" s="31" t="s">
        <v>703</v>
      </c>
      <c r="D392" s="68" t="s">
        <v>1504</v>
      </c>
      <c r="E392" s="71" t="s">
        <v>2854</v>
      </c>
      <c r="F392" s="69" t="s">
        <v>1494</v>
      </c>
      <c r="G392" s="69" t="s">
        <v>2855</v>
      </c>
      <c r="H392" s="145">
        <v>3.0</v>
      </c>
      <c r="I392" s="145">
        <v>3.0</v>
      </c>
      <c r="J392" s="69">
        <v>5.0</v>
      </c>
      <c r="K392" s="69">
        <f>iferror(vlookup(E392,MasterClass!$C$2:$G988,5,false),"")</f>
        <v>1</v>
      </c>
      <c r="L392" s="181">
        <v>3.0</v>
      </c>
      <c r="M392" s="69">
        <f t="shared" si="61"/>
        <v>8</v>
      </c>
      <c r="N392" s="69">
        <f t="shared" si="62"/>
        <v>7</v>
      </c>
      <c r="O392" s="146">
        <f t="shared" si="63"/>
        <v>0.875</v>
      </c>
      <c r="P392" s="146"/>
      <c r="Q392" s="70"/>
      <c r="R392" s="63"/>
      <c r="S392" s="63"/>
      <c r="T392" s="63"/>
      <c r="U392" s="63"/>
      <c r="V392" s="63"/>
      <c r="W392" s="63"/>
      <c r="X392" s="63"/>
      <c r="Y392" s="63"/>
      <c r="Z392" s="63"/>
      <c r="AA392" s="63"/>
      <c r="AB392" s="63"/>
      <c r="AC392" s="63"/>
      <c r="AD392" s="63"/>
      <c r="AE392" s="63"/>
      <c r="AF392" s="63"/>
      <c r="AG392" s="63"/>
      <c r="AH392" s="63"/>
      <c r="AI392" s="63"/>
      <c r="AJ392" s="63"/>
    </row>
    <row r="393">
      <c r="A393" s="135">
        <v>397.0</v>
      </c>
      <c r="B393" s="67">
        <v>12.0</v>
      </c>
      <c r="C393" s="31" t="s">
        <v>705</v>
      </c>
      <c r="D393" s="68" t="s">
        <v>1505</v>
      </c>
      <c r="E393" s="71" t="s">
        <v>2856</v>
      </c>
      <c r="F393" s="69" t="s">
        <v>1494</v>
      </c>
      <c r="G393" s="69" t="s">
        <v>2844</v>
      </c>
      <c r="H393" s="145">
        <v>2.0</v>
      </c>
      <c r="I393" s="145">
        <v>2.0</v>
      </c>
      <c r="J393" s="69">
        <v>5.0</v>
      </c>
      <c r="K393" s="69" t="str">
        <f>iferror(vlookup(E393,MasterClass!$C$2:$G988,5,false),"")</f>
        <v/>
      </c>
      <c r="L393" s="181">
        <v>0.0</v>
      </c>
      <c r="M393" s="69">
        <f t="shared" si="61"/>
        <v>7</v>
      </c>
      <c r="N393" s="69">
        <f t="shared" si="62"/>
        <v>2</v>
      </c>
      <c r="O393" s="146">
        <f t="shared" si="63"/>
        <v>0.2857142857</v>
      </c>
      <c r="P393" s="146"/>
      <c r="Q393" s="70"/>
      <c r="R393" s="63"/>
      <c r="S393" s="63"/>
      <c r="T393" s="63"/>
      <c r="U393" s="63"/>
      <c r="V393" s="63"/>
      <c r="W393" s="63"/>
      <c r="X393" s="63"/>
      <c r="Y393" s="63"/>
      <c r="Z393" s="63"/>
      <c r="AA393" s="63"/>
      <c r="AB393" s="63"/>
      <c r="AC393" s="63"/>
      <c r="AD393" s="63"/>
      <c r="AE393" s="63"/>
      <c r="AF393" s="63"/>
      <c r="AG393" s="63"/>
      <c r="AH393" s="63"/>
      <c r="AI393" s="63"/>
      <c r="AJ393" s="63"/>
    </row>
    <row r="394">
      <c r="A394" s="135">
        <v>398.0</v>
      </c>
      <c r="B394" s="67">
        <v>13.0</v>
      </c>
      <c r="C394" s="31" t="s">
        <v>707</v>
      </c>
      <c r="D394" s="68" t="s">
        <v>1506</v>
      </c>
      <c r="E394" s="71" t="s">
        <v>2857</v>
      </c>
      <c r="F394" s="69" t="s">
        <v>1494</v>
      </c>
      <c r="G394" s="69" t="s">
        <v>2551</v>
      </c>
      <c r="H394" s="145">
        <v>3.0</v>
      </c>
      <c r="I394" s="145">
        <v>0.0</v>
      </c>
      <c r="J394" s="69">
        <v>5.0</v>
      </c>
      <c r="K394" s="69" t="str">
        <f>iferror(vlookup(E394,MasterClass!$C$2:$G988,5,false),"")</f>
        <v/>
      </c>
      <c r="L394" s="181">
        <v>2.0</v>
      </c>
      <c r="M394" s="69">
        <f t="shared" si="61"/>
        <v>8</v>
      </c>
      <c r="N394" s="69">
        <f t="shared" si="62"/>
        <v>2</v>
      </c>
      <c r="O394" s="146">
        <f t="shared" si="63"/>
        <v>0.25</v>
      </c>
      <c r="P394" s="69" t="s">
        <v>2508</v>
      </c>
      <c r="Q394" s="69"/>
      <c r="R394" s="63"/>
      <c r="S394" s="63"/>
      <c r="T394" s="63"/>
      <c r="U394" s="63"/>
      <c r="V394" s="63"/>
      <c r="W394" s="63"/>
      <c r="X394" s="63"/>
      <c r="Y394" s="63"/>
      <c r="Z394" s="63"/>
      <c r="AA394" s="63"/>
      <c r="AB394" s="63"/>
      <c r="AC394" s="63"/>
      <c r="AD394" s="63"/>
      <c r="AE394" s="63"/>
      <c r="AF394" s="63"/>
      <c r="AG394" s="63"/>
      <c r="AH394" s="63"/>
      <c r="AI394" s="63"/>
      <c r="AJ394" s="63"/>
    </row>
    <row r="395">
      <c r="A395" s="135">
        <v>399.0</v>
      </c>
      <c r="B395" s="67">
        <v>14.0</v>
      </c>
      <c r="C395" s="31" t="s">
        <v>709</v>
      </c>
      <c r="D395" s="68" t="s">
        <v>1507</v>
      </c>
      <c r="E395" s="71" t="s">
        <v>2858</v>
      </c>
      <c r="F395" s="69" t="s">
        <v>1494</v>
      </c>
      <c r="G395" s="69" t="s">
        <v>2844</v>
      </c>
      <c r="H395" s="145">
        <v>3.0</v>
      </c>
      <c r="I395" s="145">
        <v>3.0</v>
      </c>
      <c r="J395" s="69">
        <v>5.0</v>
      </c>
      <c r="K395" s="69" t="str">
        <f>iferror(vlookup(E395,MasterClass!$C$2:$G988,5,false),"")</f>
        <v/>
      </c>
      <c r="L395" s="181">
        <v>1.0</v>
      </c>
      <c r="M395" s="69">
        <f t="shared" si="61"/>
        <v>8</v>
      </c>
      <c r="N395" s="69">
        <f t="shared" si="62"/>
        <v>4</v>
      </c>
      <c r="O395" s="146">
        <f t="shared" si="63"/>
        <v>0.5</v>
      </c>
      <c r="P395" s="146"/>
      <c r="Q395" s="70"/>
      <c r="R395" s="63"/>
      <c r="S395" s="63"/>
      <c r="T395" s="63"/>
      <c r="U395" s="63"/>
      <c r="V395" s="63"/>
      <c r="W395" s="63"/>
      <c r="X395" s="63"/>
      <c r="Y395" s="63"/>
      <c r="Z395" s="63"/>
      <c r="AA395" s="63"/>
      <c r="AB395" s="63"/>
      <c r="AC395" s="63"/>
      <c r="AD395" s="63"/>
      <c r="AE395" s="63"/>
      <c r="AF395" s="63"/>
      <c r="AG395" s="63"/>
      <c r="AH395" s="63"/>
      <c r="AI395" s="63"/>
      <c r="AJ395" s="63"/>
    </row>
    <row r="396">
      <c r="A396" s="135">
        <v>400.0</v>
      </c>
      <c r="B396" s="67">
        <v>15.0</v>
      </c>
      <c r="C396" s="31" t="s">
        <v>711</v>
      </c>
      <c r="D396" s="68" t="s">
        <v>1508</v>
      </c>
      <c r="E396" s="71" t="s">
        <v>2859</v>
      </c>
      <c r="F396" s="69" t="s">
        <v>1494</v>
      </c>
      <c r="G396" s="69" t="s">
        <v>2844</v>
      </c>
      <c r="H396" s="145">
        <v>3.0</v>
      </c>
      <c r="I396" s="145">
        <v>3.0</v>
      </c>
      <c r="J396" s="69">
        <v>5.0</v>
      </c>
      <c r="K396" s="69" t="str">
        <f>iferror(vlookup(E396,MasterClass!$C$2:$G988,5,false),"")</f>
        <v/>
      </c>
      <c r="L396" s="181">
        <v>1.0</v>
      </c>
      <c r="M396" s="69">
        <f t="shared" si="61"/>
        <v>8</v>
      </c>
      <c r="N396" s="69">
        <f t="shared" si="62"/>
        <v>4</v>
      </c>
      <c r="O396" s="146">
        <f t="shared" si="63"/>
        <v>0.5</v>
      </c>
      <c r="P396" s="146"/>
      <c r="Q396" s="70"/>
      <c r="R396" s="63"/>
      <c r="S396" s="63"/>
      <c r="T396" s="63"/>
      <c r="U396" s="63"/>
      <c r="V396" s="63"/>
      <c r="W396" s="63"/>
      <c r="X396" s="63"/>
      <c r="Y396" s="63"/>
      <c r="Z396" s="63"/>
      <c r="AA396" s="63"/>
      <c r="AB396" s="63"/>
      <c r="AC396" s="63"/>
      <c r="AD396" s="63"/>
      <c r="AE396" s="63"/>
      <c r="AF396" s="63"/>
      <c r="AG396" s="63"/>
      <c r="AH396" s="63"/>
      <c r="AI396" s="63"/>
      <c r="AJ396" s="63"/>
    </row>
    <row r="397">
      <c r="A397" s="135">
        <v>401.0</v>
      </c>
      <c r="B397" s="67">
        <v>16.0</v>
      </c>
      <c r="C397" s="31" t="s">
        <v>713</v>
      </c>
      <c r="D397" s="71" t="s">
        <v>1509</v>
      </c>
      <c r="E397" s="71" t="s">
        <v>2860</v>
      </c>
      <c r="F397" s="69" t="s">
        <v>1494</v>
      </c>
      <c r="G397" s="69" t="s">
        <v>2855</v>
      </c>
      <c r="H397" s="145">
        <v>3.0</v>
      </c>
      <c r="I397" s="145">
        <v>3.0</v>
      </c>
      <c r="J397" s="69">
        <v>5.0</v>
      </c>
      <c r="K397" s="69" t="str">
        <f>iferror(vlookup(E397,MasterClass!$C$2:$G988,5,false),"")</f>
        <v/>
      </c>
      <c r="L397" s="181">
        <v>1.0</v>
      </c>
      <c r="M397" s="69">
        <f t="shared" si="61"/>
        <v>8</v>
      </c>
      <c r="N397" s="69">
        <f t="shared" si="62"/>
        <v>4</v>
      </c>
      <c r="O397" s="146">
        <f t="shared" si="63"/>
        <v>0.5</v>
      </c>
      <c r="P397" s="146"/>
      <c r="Q397" s="70"/>
      <c r="R397" s="63"/>
      <c r="S397" s="63"/>
      <c r="T397" s="63"/>
      <c r="U397" s="63"/>
      <c r="V397" s="63"/>
      <c r="W397" s="63"/>
      <c r="X397" s="63"/>
      <c r="Y397" s="63"/>
      <c r="Z397" s="63"/>
      <c r="AA397" s="63"/>
      <c r="AB397" s="63"/>
      <c r="AC397" s="63"/>
      <c r="AD397" s="63"/>
      <c r="AE397" s="63"/>
      <c r="AF397" s="63"/>
      <c r="AG397" s="63"/>
      <c r="AH397" s="63"/>
      <c r="AI397" s="63"/>
      <c r="AJ397" s="63"/>
    </row>
    <row r="398">
      <c r="A398" s="135">
        <v>402.0</v>
      </c>
      <c r="B398" s="67">
        <v>17.0</v>
      </c>
      <c r="C398" s="31" t="s">
        <v>715</v>
      </c>
      <c r="D398" s="68" t="s">
        <v>1510</v>
      </c>
      <c r="E398" s="71" t="s">
        <v>2861</v>
      </c>
      <c r="F398" s="69" t="s">
        <v>1494</v>
      </c>
      <c r="G398" s="69" t="s">
        <v>2855</v>
      </c>
      <c r="H398" s="145">
        <v>3.0</v>
      </c>
      <c r="I398" s="145">
        <v>2.0</v>
      </c>
      <c r="J398" s="69">
        <v>5.0</v>
      </c>
      <c r="K398" s="69">
        <f>iferror(vlookup(E398,MasterClass!$C$2:$G988,5,false),"")</f>
        <v>1</v>
      </c>
      <c r="L398" s="181">
        <v>4.0</v>
      </c>
      <c r="M398" s="69">
        <f t="shared" si="61"/>
        <v>8</v>
      </c>
      <c r="N398" s="69">
        <f t="shared" si="62"/>
        <v>7</v>
      </c>
      <c r="O398" s="146">
        <f t="shared" si="63"/>
        <v>0.875</v>
      </c>
      <c r="P398" s="146"/>
      <c r="Q398" s="70"/>
      <c r="R398" s="63"/>
      <c r="S398" s="63"/>
      <c r="T398" s="63"/>
      <c r="U398" s="63"/>
      <c r="V398" s="63"/>
      <c r="W398" s="63"/>
      <c r="X398" s="63"/>
      <c r="Y398" s="63"/>
      <c r="Z398" s="63"/>
      <c r="AA398" s="63"/>
      <c r="AB398" s="63"/>
      <c r="AC398" s="63"/>
      <c r="AD398" s="63"/>
      <c r="AE398" s="63"/>
      <c r="AF398" s="63"/>
      <c r="AG398" s="63"/>
      <c r="AH398" s="63"/>
      <c r="AI398" s="63"/>
      <c r="AJ398" s="63"/>
    </row>
    <row r="399">
      <c r="A399" s="135">
        <v>403.0</v>
      </c>
      <c r="B399" s="67">
        <v>18.0</v>
      </c>
      <c r="C399" s="31" t="s">
        <v>717</v>
      </c>
      <c r="D399" s="68" t="s">
        <v>1511</v>
      </c>
      <c r="E399" s="71" t="s">
        <v>2862</v>
      </c>
      <c r="F399" s="69" t="s">
        <v>1494</v>
      </c>
      <c r="G399" s="69" t="s">
        <v>2551</v>
      </c>
      <c r="H399" s="145">
        <v>3.0</v>
      </c>
      <c r="I399" s="145">
        <v>0.0</v>
      </c>
      <c r="J399" s="69">
        <v>5.0</v>
      </c>
      <c r="K399" s="69" t="str">
        <f>iferror(vlookup(E399,MasterClass!$C$2:$G988,5,false),"")</f>
        <v/>
      </c>
      <c r="L399" s="181">
        <v>2.0</v>
      </c>
      <c r="M399" s="69">
        <f t="shared" si="61"/>
        <v>8</v>
      </c>
      <c r="N399" s="69">
        <f t="shared" si="62"/>
        <v>2</v>
      </c>
      <c r="O399" s="146">
        <f t="shared" si="63"/>
        <v>0.25</v>
      </c>
      <c r="P399" s="69" t="s">
        <v>2508</v>
      </c>
      <c r="Q399" s="69"/>
      <c r="R399" s="63"/>
      <c r="S399" s="63"/>
      <c r="T399" s="63"/>
      <c r="U399" s="63"/>
      <c r="V399" s="63"/>
      <c r="W399" s="63"/>
      <c r="X399" s="63"/>
      <c r="Y399" s="63"/>
      <c r="Z399" s="63"/>
      <c r="AA399" s="63"/>
      <c r="AB399" s="63"/>
      <c r="AC399" s="63"/>
      <c r="AD399" s="63"/>
      <c r="AE399" s="63"/>
      <c r="AF399" s="63"/>
      <c r="AG399" s="63"/>
      <c r="AH399" s="63"/>
      <c r="AI399" s="63"/>
      <c r="AJ399" s="63"/>
    </row>
    <row r="400">
      <c r="A400" s="135">
        <v>404.0</v>
      </c>
      <c r="B400" s="67">
        <v>19.0</v>
      </c>
      <c r="C400" s="31" t="s">
        <v>719</v>
      </c>
      <c r="D400" s="68" t="s">
        <v>1512</v>
      </c>
      <c r="E400" s="71" t="s">
        <v>2863</v>
      </c>
      <c r="F400" s="69" t="s">
        <v>1494</v>
      </c>
      <c r="G400" s="69" t="s">
        <v>1187</v>
      </c>
      <c r="H400" s="145" t="s">
        <v>1187</v>
      </c>
      <c r="I400" s="145" t="s">
        <v>1187</v>
      </c>
      <c r="J400" s="69" t="s">
        <v>1187</v>
      </c>
      <c r="K400" s="69" t="s">
        <v>1187</v>
      </c>
      <c r="L400" s="69" t="s">
        <v>1187</v>
      </c>
      <c r="M400" s="69" t="s">
        <v>1187</v>
      </c>
      <c r="N400" s="69" t="s">
        <v>1187</v>
      </c>
      <c r="O400" s="69" t="s">
        <v>1187</v>
      </c>
      <c r="P400" s="69" t="s">
        <v>2522</v>
      </c>
      <c r="Q400" s="70"/>
      <c r="R400" s="63"/>
      <c r="S400" s="63"/>
      <c r="T400" s="63"/>
      <c r="U400" s="63"/>
      <c r="V400" s="63"/>
      <c r="W400" s="63"/>
      <c r="X400" s="63"/>
      <c r="Y400" s="63"/>
      <c r="Z400" s="63"/>
      <c r="AA400" s="63"/>
      <c r="AB400" s="63"/>
      <c r="AC400" s="63"/>
      <c r="AD400" s="63"/>
      <c r="AE400" s="63"/>
      <c r="AF400" s="63"/>
      <c r="AG400" s="63"/>
      <c r="AH400" s="63"/>
      <c r="AI400" s="63"/>
      <c r="AJ400" s="63"/>
    </row>
    <row r="401">
      <c r="A401" s="135">
        <v>405.0</v>
      </c>
      <c r="B401" s="67">
        <v>20.0</v>
      </c>
      <c r="C401" s="31" t="s">
        <v>721</v>
      </c>
      <c r="D401" s="68" t="s">
        <v>1513</v>
      </c>
      <c r="E401" s="71" t="s">
        <v>2864</v>
      </c>
      <c r="F401" s="69" t="s">
        <v>1494</v>
      </c>
      <c r="G401" s="69" t="s">
        <v>2865</v>
      </c>
      <c r="H401" s="145">
        <v>3.0</v>
      </c>
      <c r="I401" s="145">
        <v>3.0</v>
      </c>
      <c r="J401" s="69">
        <v>5.0</v>
      </c>
      <c r="K401" s="69" t="str">
        <f>iferror(vlookup(E401,MasterClass!$C$2:$G988,5,false),"")</f>
        <v/>
      </c>
      <c r="L401" s="69">
        <v>5.0</v>
      </c>
      <c r="M401" s="69">
        <f t="shared" ref="M401:M428" si="64">J401+H401</f>
        <v>8</v>
      </c>
      <c r="N401" s="69">
        <f t="shared" ref="N401:N428" si="65">I401+L401+K401</f>
        <v>8</v>
      </c>
      <c r="O401" s="146">
        <f t="shared" ref="O401:O428" si="66">N401/M401</f>
        <v>1</v>
      </c>
      <c r="P401" s="146"/>
      <c r="Q401" s="70"/>
      <c r="R401" s="63"/>
      <c r="S401" s="63"/>
      <c r="T401" s="63"/>
      <c r="U401" s="63"/>
      <c r="V401" s="63"/>
      <c r="W401" s="63"/>
      <c r="X401" s="63"/>
      <c r="Y401" s="63"/>
      <c r="Z401" s="63"/>
      <c r="AA401" s="63"/>
      <c r="AB401" s="63"/>
      <c r="AC401" s="63"/>
      <c r="AD401" s="63"/>
      <c r="AE401" s="63"/>
      <c r="AF401" s="63"/>
      <c r="AG401" s="63"/>
      <c r="AH401" s="63"/>
      <c r="AI401" s="63"/>
      <c r="AJ401" s="63"/>
    </row>
    <row r="402">
      <c r="A402" s="135">
        <v>406.0</v>
      </c>
      <c r="B402" s="67">
        <v>21.0</v>
      </c>
      <c r="C402" s="31" t="s">
        <v>723</v>
      </c>
      <c r="D402" s="68" t="s">
        <v>1514</v>
      </c>
      <c r="E402" s="71" t="s">
        <v>2866</v>
      </c>
      <c r="F402" s="69" t="s">
        <v>1494</v>
      </c>
      <c r="G402" s="69" t="s">
        <v>2855</v>
      </c>
      <c r="H402" s="145">
        <v>3.0</v>
      </c>
      <c r="I402" s="145">
        <v>2.0</v>
      </c>
      <c r="J402" s="69">
        <v>5.0</v>
      </c>
      <c r="K402" s="69" t="str">
        <f>iferror(vlookup(E402,MasterClass!$C$2:$G988,5,false),"")</f>
        <v/>
      </c>
      <c r="L402" s="181">
        <v>3.0</v>
      </c>
      <c r="M402" s="69">
        <f t="shared" si="64"/>
        <v>8</v>
      </c>
      <c r="N402" s="69">
        <f t="shared" si="65"/>
        <v>5</v>
      </c>
      <c r="O402" s="146">
        <f t="shared" si="66"/>
        <v>0.625</v>
      </c>
      <c r="P402" s="146"/>
      <c r="Q402" s="70"/>
      <c r="R402" s="63"/>
      <c r="S402" s="63"/>
      <c r="T402" s="63"/>
      <c r="U402" s="63"/>
      <c r="V402" s="63"/>
      <c r="W402" s="63"/>
      <c r="X402" s="63"/>
      <c r="Y402" s="63"/>
      <c r="Z402" s="63"/>
      <c r="AA402" s="63"/>
      <c r="AB402" s="63"/>
      <c r="AC402" s="63"/>
      <c r="AD402" s="63"/>
      <c r="AE402" s="63"/>
      <c r="AF402" s="63"/>
      <c r="AG402" s="63"/>
      <c r="AH402" s="63"/>
      <c r="AI402" s="63"/>
      <c r="AJ402" s="63"/>
    </row>
    <row r="403">
      <c r="A403" s="135">
        <v>407.0</v>
      </c>
      <c r="B403" s="67">
        <v>22.0</v>
      </c>
      <c r="C403" s="31" t="s">
        <v>725</v>
      </c>
      <c r="D403" s="68" t="s">
        <v>1515</v>
      </c>
      <c r="E403" s="71" t="s">
        <v>2867</v>
      </c>
      <c r="F403" s="69" t="s">
        <v>1494</v>
      </c>
      <c r="G403" s="69" t="s">
        <v>2855</v>
      </c>
      <c r="H403" s="145">
        <v>3.0</v>
      </c>
      <c r="I403" s="145">
        <v>3.0</v>
      </c>
      <c r="J403" s="69">
        <v>5.0</v>
      </c>
      <c r="K403" s="69" t="str">
        <f>iferror(vlookup(E403,MasterClass!$C$2:$G988,5,false),"")</f>
        <v/>
      </c>
      <c r="L403" s="181">
        <v>4.0</v>
      </c>
      <c r="M403" s="69">
        <f t="shared" si="64"/>
        <v>8</v>
      </c>
      <c r="N403" s="69">
        <f t="shared" si="65"/>
        <v>7</v>
      </c>
      <c r="O403" s="146">
        <f t="shared" si="66"/>
        <v>0.875</v>
      </c>
      <c r="P403" s="146"/>
      <c r="Q403" s="70"/>
      <c r="R403" s="63"/>
      <c r="S403" s="63"/>
      <c r="T403" s="63"/>
      <c r="U403" s="63"/>
      <c r="V403" s="63"/>
      <c r="W403" s="63"/>
      <c r="X403" s="63"/>
      <c r="Y403" s="63"/>
      <c r="Z403" s="63"/>
      <c r="AA403" s="63"/>
      <c r="AB403" s="63"/>
      <c r="AC403" s="63"/>
      <c r="AD403" s="63"/>
      <c r="AE403" s="63"/>
      <c r="AF403" s="63"/>
      <c r="AG403" s="63"/>
      <c r="AH403" s="63"/>
      <c r="AI403" s="63"/>
      <c r="AJ403" s="63"/>
    </row>
    <row r="404">
      <c r="A404" s="135">
        <v>408.0</v>
      </c>
      <c r="B404" s="67">
        <v>23.0</v>
      </c>
      <c r="C404" s="31" t="s">
        <v>727</v>
      </c>
      <c r="D404" s="68" t="s">
        <v>1516</v>
      </c>
      <c r="E404" s="71" t="s">
        <v>2868</v>
      </c>
      <c r="F404" s="69" t="s">
        <v>1494</v>
      </c>
      <c r="G404" s="69" t="s">
        <v>2855</v>
      </c>
      <c r="H404" s="145">
        <v>3.0</v>
      </c>
      <c r="I404" s="145">
        <v>2.0</v>
      </c>
      <c r="J404" s="69">
        <v>5.0</v>
      </c>
      <c r="K404" s="69" t="str">
        <f>iferror(vlookup(E404,MasterClass!$C$2:$G988,5,false),"")</f>
        <v/>
      </c>
      <c r="L404" s="181">
        <v>2.0</v>
      </c>
      <c r="M404" s="69">
        <f t="shared" si="64"/>
        <v>8</v>
      </c>
      <c r="N404" s="69">
        <f t="shared" si="65"/>
        <v>4</v>
      </c>
      <c r="O404" s="146">
        <f t="shared" si="66"/>
        <v>0.5</v>
      </c>
      <c r="P404" s="146"/>
      <c r="Q404" s="70"/>
      <c r="R404" s="63"/>
      <c r="S404" s="63"/>
      <c r="T404" s="63"/>
      <c r="U404" s="63"/>
      <c r="V404" s="63"/>
      <c r="W404" s="63"/>
      <c r="X404" s="63"/>
      <c r="Y404" s="63"/>
      <c r="Z404" s="63"/>
      <c r="AA404" s="63"/>
      <c r="AB404" s="63"/>
      <c r="AC404" s="63"/>
      <c r="AD404" s="63"/>
      <c r="AE404" s="63"/>
      <c r="AF404" s="63"/>
      <c r="AG404" s="63"/>
      <c r="AH404" s="63"/>
      <c r="AI404" s="63"/>
      <c r="AJ404" s="63"/>
    </row>
    <row r="405">
      <c r="A405" s="135">
        <v>409.0</v>
      </c>
      <c r="B405" s="67">
        <v>24.0</v>
      </c>
      <c r="C405" s="31" t="s">
        <v>729</v>
      </c>
      <c r="D405" s="68" t="s">
        <v>1517</v>
      </c>
      <c r="E405" s="71" t="s">
        <v>2869</v>
      </c>
      <c r="F405" s="69" t="s">
        <v>1494</v>
      </c>
      <c r="G405" s="69" t="s">
        <v>2865</v>
      </c>
      <c r="H405" s="145">
        <v>3.0</v>
      </c>
      <c r="I405" s="145">
        <v>3.0</v>
      </c>
      <c r="J405" s="69">
        <v>5.0</v>
      </c>
      <c r="K405" s="69" t="str">
        <f>iferror(vlookup(E405,MasterClass!$C$2:$G988,5,false),"")</f>
        <v/>
      </c>
      <c r="L405" s="69">
        <v>4.0</v>
      </c>
      <c r="M405" s="69">
        <f t="shared" si="64"/>
        <v>8</v>
      </c>
      <c r="N405" s="69">
        <f t="shared" si="65"/>
        <v>7</v>
      </c>
      <c r="O405" s="146">
        <f t="shared" si="66"/>
        <v>0.875</v>
      </c>
      <c r="P405" s="146"/>
      <c r="Q405" s="70"/>
      <c r="R405" s="63"/>
      <c r="S405" s="63"/>
      <c r="T405" s="63"/>
      <c r="U405" s="63"/>
      <c r="V405" s="63"/>
      <c r="W405" s="63"/>
      <c r="X405" s="63"/>
      <c r="Y405" s="63"/>
      <c r="Z405" s="63"/>
      <c r="AA405" s="63"/>
      <c r="AB405" s="63"/>
      <c r="AC405" s="63"/>
      <c r="AD405" s="63"/>
      <c r="AE405" s="63"/>
      <c r="AF405" s="63"/>
      <c r="AG405" s="63"/>
      <c r="AH405" s="63"/>
      <c r="AI405" s="63"/>
      <c r="AJ405" s="63"/>
    </row>
    <row r="406">
      <c r="A406" s="135">
        <v>410.0</v>
      </c>
      <c r="B406" s="67">
        <v>25.0</v>
      </c>
      <c r="C406" s="31" t="s">
        <v>731</v>
      </c>
      <c r="D406" s="68" t="s">
        <v>1518</v>
      </c>
      <c r="E406" s="71" t="s">
        <v>2870</v>
      </c>
      <c r="F406" s="69" t="s">
        <v>1494</v>
      </c>
      <c r="G406" s="69" t="s">
        <v>2583</v>
      </c>
      <c r="H406" s="145">
        <v>4.0</v>
      </c>
      <c r="I406" s="145">
        <v>4.0</v>
      </c>
      <c r="J406" s="69">
        <v>5.0</v>
      </c>
      <c r="K406" s="69">
        <f>iferror(vlookup(E406,MasterClass!$C$2:$G988,5,false),"")</f>
        <v>1</v>
      </c>
      <c r="L406" s="69">
        <v>4.0</v>
      </c>
      <c r="M406" s="69">
        <f t="shared" si="64"/>
        <v>9</v>
      </c>
      <c r="N406" s="69">
        <f t="shared" si="65"/>
        <v>9</v>
      </c>
      <c r="O406" s="146">
        <f t="shared" si="66"/>
        <v>1</v>
      </c>
      <c r="P406" s="69" t="s">
        <v>2508</v>
      </c>
      <c r="Q406" s="69"/>
      <c r="R406" s="63"/>
      <c r="S406" s="63"/>
      <c r="T406" s="63"/>
      <c r="U406" s="63"/>
      <c r="V406" s="63"/>
      <c r="W406" s="63"/>
      <c r="X406" s="63"/>
      <c r="Y406" s="63"/>
      <c r="Z406" s="63"/>
      <c r="AA406" s="63"/>
      <c r="AB406" s="63"/>
      <c r="AC406" s="63"/>
      <c r="AD406" s="63"/>
      <c r="AE406" s="63"/>
      <c r="AF406" s="63"/>
      <c r="AG406" s="63"/>
      <c r="AH406" s="63"/>
      <c r="AI406" s="63"/>
      <c r="AJ406" s="63"/>
    </row>
    <row r="407">
      <c r="A407" s="135">
        <v>411.0</v>
      </c>
      <c r="B407" s="67">
        <v>26.0</v>
      </c>
      <c r="C407" s="31" t="s">
        <v>733</v>
      </c>
      <c r="D407" s="68" t="s">
        <v>1519</v>
      </c>
      <c r="E407" s="71" t="s">
        <v>2871</v>
      </c>
      <c r="F407" s="69" t="s">
        <v>1494</v>
      </c>
      <c r="G407" s="69" t="s">
        <v>2855</v>
      </c>
      <c r="H407" s="145">
        <v>3.0</v>
      </c>
      <c r="I407" s="145"/>
      <c r="J407" s="69">
        <v>5.0</v>
      </c>
      <c r="K407" s="69" t="str">
        <f>iferror(vlookup(E407,MasterClass!$C$2:$G988,5,false),"")</f>
        <v/>
      </c>
      <c r="L407" s="181">
        <v>1.0</v>
      </c>
      <c r="M407" s="69">
        <f t="shared" si="64"/>
        <v>8</v>
      </c>
      <c r="N407" s="69">
        <f t="shared" si="65"/>
        <v>1</v>
      </c>
      <c r="O407" s="146">
        <f t="shared" si="66"/>
        <v>0.125</v>
      </c>
      <c r="P407" s="146"/>
      <c r="Q407" s="70"/>
      <c r="R407" s="63"/>
      <c r="S407" s="63"/>
      <c r="T407" s="63"/>
      <c r="U407" s="63"/>
      <c r="V407" s="63"/>
      <c r="W407" s="63"/>
      <c r="X407" s="63"/>
      <c r="Y407" s="63"/>
      <c r="Z407" s="63"/>
      <c r="AA407" s="63"/>
      <c r="AB407" s="63"/>
      <c r="AC407" s="63"/>
      <c r="AD407" s="63"/>
      <c r="AE407" s="63"/>
      <c r="AF407" s="63"/>
      <c r="AG407" s="63"/>
      <c r="AH407" s="63"/>
      <c r="AI407" s="63"/>
      <c r="AJ407" s="63"/>
    </row>
    <row r="408">
      <c r="A408" s="135">
        <v>412.0</v>
      </c>
      <c r="B408" s="67">
        <v>27.0</v>
      </c>
      <c r="C408" s="31" t="s">
        <v>735</v>
      </c>
      <c r="D408" s="68" t="s">
        <v>1520</v>
      </c>
      <c r="E408" s="71" t="s">
        <v>2872</v>
      </c>
      <c r="F408" s="69" t="s">
        <v>1494</v>
      </c>
      <c r="G408" s="69" t="s">
        <v>2855</v>
      </c>
      <c r="H408" s="145">
        <v>3.0</v>
      </c>
      <c r="I408" s="145"/>
      <c r="J408" s="69">
        <v>5.0</v>
      </c>
      <c r="K408" s="69" t="str">
        <f>iferror(vlookup(E408,MasterClass!$C$2:$G988,5,false),"")</f>
        <v/>
      </c>
      <c r="L408" s="181">
        <v>2.0</v>
      </c>
      <c r="M408" s="69">
        <f t="shared" si="64"/>
        <v>8</v>
      </c>
      <c r="N408" s="69">
        <f t="shared" si="65"/>
        <v>2</v>
      </c>
      <c r="O408" s="146">
        <f t="shared" si="66"/>
        <v>0.25</v>
      </c>
      <c r="P408" s="146"/>
      <c r="Q408" s="70"/>
      <c r="R408" s="63"/>
      <c r="S408" s="63"/>
      <c r="T408" s="63"/>
      <c r="U408" s="63"/>
      <c r="V408" s="63"/>
      <c r="W408" s="63"/>
      <c r="X408" s="63"/>
      <c r="Y408" s="63"/>
      <c r="Z408" s="63"/>
      <c r="AA408" s="63"/>
      <c r="AB408" s="63"/>
      <c r="AC408" s="63"/>
      <c r="AD408" s="63"/>
      <c r="AE408" s="63"/>
      <c r="AF408" s="63"/>
      <c r="AG408" s="63"/>
      <c r="AH408" s="63"/>
      <c r="AI408" s="63"/>
      <c r="AJ408" s="63"/>
    </row>
    <row r="409">
      <c r="A409" s="135">
        <v>413.0</v>
      </c>
      <c r="B409" s="67">
        <v>28.0</v>
      </c>
      <c r="C409" s="31" t="s">
        <v>737</v>
      </c>
      <c r="D409" s="68" t="s">
        <v>1521</v>
      </c>
      <c r="E409" s="71" t="s">
        <v>2873</v>
      </c>
      <c r="F409" s="69" t="s">
        <v>1494</v>
      </c>
      <c r="G409" s="69" t="s">
        <v>2855</v>
      </c>
      <c r="H409" s="145">
        <v>3.0</v>
      </c>
      <c r="I409" s="145"/>
      <c r="J409" s="69">
        <v>5.0</v>
      </c>
      <c r="K409" s="69">
        <f>iferror(vlookup(E409,MasterClass!$C$2:$G988,5,false),"")</f>
        <v>1</v>
      </c>
      <c r="L409" s="181">
        <v>2.0</v>
      </c>
      <c r="M409" s="69">
        <f t="shared" si="64"/>
        <v>8</v>
      </c>
      <c r="N409" s="69">
        <f t="shared" si="65"/>
        <v>3</v>
      </c>
      <c r="O409" s="146">
        <f t="shared" si="66"/>
        <v>0.375</v>
      </c>
      <c r="P409" s="146"/>
      <c r="Q409" s="70"/>
      <c r="R409" s="63"/>
      <c r="S409" s="63"/>
      <c r="T409" s="63"/>
      <c r="U409" s="63"/>
      <c r="V409" s="63"/>
      <c r="W409" s="63"/>
      <c r="X409" s="63"/>
      <c r="Y409" s="63"/>
      <c r="Z409" s="63"/>
      <c r="AA409" s="63"/>
      <c r="AB409" s="63"/>
      <c r="AC409" s="63"/>
      <c r="AD409" s="63"/>
      <c r="AE409" s="63"/>
      <c r="AF409" s="63"/>
      <c r="AG409" s="63"/>
      <c r="AH409" s="63"/>
      <c r="AI409" s="63"/>
      <c r="AJ409" s="63"/>
    </row>
    <row r="410">
      <c r="A410" s="135">
        <v>414.0</v>
      </c>
      <c r="B410" s="67">
        <v>29.0</v>
      </c>
      <c r="C410" s="31" t="s">
        <v>739</v>
      </c>
      <c r="D410" s="68" t="s">
        <v>1522</v>
      </c>
      <c r="E410" s="71" t="s">
        <v>2874</v>
      </c>
      <c r="F410" s="69" t="s">
        <v>1494</v>
      </c>
      <c r="G410" s="69" t="s">
        <v>2855</v>
      </c>
      <c r="H410" s="145">
        <v>4.0</v>
      </c>
      <c r="I410" s="145">
        <v>3.0</v>
      </c>
      <c r="J410" s="69">
        <v>5.0</v>
      </c>
      <c r="K410" s="69" t="str">
        <f>iferror(vlookup(E410,MasterClass!$C$2:$G988,5,false),"")</f>
        <v/>
      </c>
      <c r="L410" s="69">
        <v>3.0</v>
      </c>
      <c r="M410" s="69">
        <f t="shared" si="64"/>
        <v>9</v>
      </c>
      <c r="N410" s="69">
        <f t="shared" si="65"/>
        <v>6</v>
      </c>
      <c r="O410" s="146">
        <f t="shared" si="66"/>
        <v>0.6666666667</v>
      </c>
      <c r="P410" s="146"/>
      <c r="Q410" s="70"/>
      <c r="R410" s="63"/>
      <c r="S410" s="63"/>
      <c r="T410" s="63"/>
      <c r="U410" s="63"/>
      <c r="V410" s="63"/>
      <c r="W410" s="63"/>
      <c r="X410" s="63"/>
      <c r="Y410" s="63"/>
      <c r="Z410" s="63"/>
      <c r="AA410" s="63"/>
      <c r="AB410" s="63"/>
      <c r="AC410" s="63"/>
      <c r="AD410" s="63"/>
      <c r="AE410" s="63"/>
      <c r="AF410" s="63"/>
      <c r="AG410" s="63"/>
      <c r="AH410" s="63"/>
      <c r="AI410" s="63"/>
      <c r="AJ410" s="63"/>
    </row>
    <row r="411">
      <c r="A411" s="135">
        <v>415.0</v>
      </c>
      <c r="B411" s="67">
        <v>30.0</v>
      </c>
      <c r="C411" s="31" t="s">
        <v>741</v>
      </c>
      <c r="D411" s="68" t="s">
        <v>1523</v>
      </c>
      <c r="E411" s="71" t="s">
        <v>2875</v>
      </c>
      <c r="F411" s="69" t="s">
        <v>1494</v>
      </c>
      <c r="G411" s="69" t="s">
        <v>2855</v>
      </c>
      <c r="H411" s="145">
        <v>3.0</v>
      </c>
      <c r="I411" s="145">
        <v>3.0</v>
      </c>
      <c r="J411" s="69">
        <v>5.0</v>
      </c>
      <c r="K411" s="69" t="str">
        <f>iferror(vlookup(E411,MasterClass!$C$2:$G988,5,false),"")</f>
        <v/>
      </c>
      <c r="L411" s="181">
        <v>3.0</v>
      </c>
      <c r="M411" s="69">
        <f t="shared" si="64"/>
        <v>8</v>
      </c>
      <c r="N411" s="69">
        <f t="shared" si="65"/>
        <v>6</v>
      </c>
      <c r="O411" s="146">
        <f t="shared" si="66"/>
        <v>0.75</v>
      </c>
      <c r="P411" s="146"/>
      <c r="Q411" s="70"/>
      <c r="R411" s="63"/>
      <c r="S411" s="63"/>
      <c r="T411" s="63"/>
      <c r="U411" s="63"/>
      <c r="V411" s="63"/>
      <c r="W411" s="63"/>
      <c r="X411" s="63"/>
      <c r="Y411" s="63"/>
      <c r="Z411" s="63"/>
      <c r="AA411" s="63"/>
      <c r="AB411" s="63"/>
      <c r="AC411" s="63"/>
      <c r="AD411" s="63"/>
      <c r="AE411" s="63"/>
      <c r="AF411" s="63"/>
      <c r="AG411" s="63"/>
      <c r="AH411" s="63"/>
      <c r="AI411" s="63"/>
      <c r="AJ411" s="63"/>
    </row>
    <row r="412">
      <c r="A412" s="135">
        <v>416.0</v>
      </c>
      <c r="B412" s="67">
        <v>31.0</v>
      </c>
      <c r="C412" s="31" t="s">
        <v>743</v>
      </c>
      <c r="D412" s="68" t="s">
        <v>1524</v>
      </c>
      <c r="E412" s="71" t="s">
        <v>2876</v>
      </c>
      <c r="F412" s="69" t="s">
        <v>1494</v>
      </c>
      <c r="G412" s="69" t="s">
        <v>2855</v>
      </c>
      <c r="H412" s="145">
        <v>3.0</v>
      </c>
      <c r="I412" s="145">
        <v>3.0</v>
      </c>
      <c r="J412" s="69">
        <v>5.0</v>
      </c>
      <c r="K412" s="69" t="str">
        <f>iferror(vlookup(E412,MasterClass!$C$2:$G988,5,false),"")</f>
        <v/>
      </c>
      <c r="L412" s="181">
        <v>4.0</v>
      </c>
      <c r="M412" s="69">
        <f t="shared" si="64"/>
        <v>8</v>
      </c>
      <c r="N412" s="69">
        <f t="shared" si="65"/>
        <v>7</v>
      </c>
      <c r="O412" s="146">
        <f t="shared" si="66"/>
        <v>0.875</v>
      </c>
      <c r="P412" s="146"/>
      <c r="Q412" s="70"/>
      <c r="R412" s="63"/>
      <c r="S412" s="63"/>
      <c r="T412" s="63"/>
      <c r="U412" s="63"/>
      <c r="V412" s="63"/>
      <c r="W412" s="63"/>
      <c r="X412" s="63"/>
      <c r="Y412" s="63"/>
      <c r="Z412" s="63"/>
      <c r="AA412" s="63"/>
      <c r="AB412" s="63"/>
      <c r="AC412" s="63"/>
      <c r="AD412" s="63"/>
      <c r="AE412" s="63"/>
      <c r="AF412" s="63"/>
      <c r="AG412" s="63"/>
      <c r="AH412" s="63"/>
      <c r="AI412" s="63"/>
      <c r="AJ412" s="63"/>
    </row>
    <row r="413">
      <c r="A413" s="135">
        <v>417.0</v>
      </c>
      <c r="B413" s="67">
        <v>32.0</v>
      </c>
      <c r="C413" s="31" t="s">
        <v>745</v>
      </c>
      <c r="D413" s="68" t="s">
        <v>1525</v>
      </c>
      <c r="E413" s="71" t="s">
        <v>2877</v>
      </c>
      <c r="F413" s="69" t="s">
        <v>1494</v>
      </c>
      <c r="G413" s="69" t="s">
        <v>2865</v>
      </c>
      <c r="H413" s="145">
        <v>3.0</v>
      </c>
      <c r="I413" s="145">
        <v>3.0</v>
      </c>
      <c r="J413" s="69">
        <v>5.0</v>
      </c>
      <c r="K413" s="69" t="str">
        <f>iferror(vlookup(E413,MasterClass!$C$2:$G988,5,false),"")</f>
        <v/>
      </c>
      <c r="L413" s="69">
        <v>5.0</v>
      </c>
      <c r="M413" s="69">
        <f t="shared" si="64"/>
        <v>8</v>
      </c>
      <c r="N413" s="69">
        <f t="shared" si="65"/>
        <v>8</v>
      </c>
      <c r="O413" s="146">
        <f t="shared" si="66"/>
        <v>1</v>
      </c>
      <c r="P413" s="146"/>
      <c r="Q413" s="70"/>
      <c r="R413" s="63"/>
      <c r="S413" s="63"/>
      <c r="T413" s="63"/>
      <c r="U413" s="63"/>
      <c r="V413" s="63"/>
      <c r="W413" s="63"/>
      <c r="X413" s="63"/>
      <c r="Y413" s="63"/>
      <c r="Z413" s="63"/>
      <c r="AA413" s="63"/>
      <c r="AB413" s="63"/>
      <c r="AC413" s="63"/>
      <c r="AD413" s="63"/>
      <c r="AE413" s="63"/>
      <c r="AF413" s="63"/>
      <c r="AG413" s="63"/>
      <c r="AH413" s="63"/>
      <c r="AI413" s="63"/>
      <c r="AJ413" s="63"/>
    </row>
    <row r="414">
      <c r="A414" s="135">
        <v>418.0</v>
      </c>
      <c r="B414" s="67">
        <v>33.0</v>
      </c>
      <c r="C414" s="31" t="s">
        <v>747</v>
      </c>
      <c r="D414" s="68" t="s">
        <v>1526</v>
      </c>
      <c r="E414" s="71" t="s">
        <v>2878</v>
      </c>
      <c r="F414" s="69" t="s">
        <v>1494</v>
      </c>
      <c r="G414" s="69" t="s">
        <v>2865</v>
      </c>
      <c r="H414" s="145">
        <v>3.0</v>
      </c>
      <c r="I414" s="145">
        <v>3.0</v>
      </c>
      <c r="J414" s="69">
        <v>5.0</v>
      </c>
      <c r="K414" s="69" t="str">
        <f>iferror(vlookup(E414,MasterClass!$C$2:$G988,5,false),"")</f>
        <v/>
      </c>
      <c r="L414" s="69">
        <v>4.0</v>
      </c>
      <c r="M414" s="69">
        <f t="shared" si="64"/>
        <v>8</v>
      </c>
      <c r="N414" s="69">
        <f t="shared" si="65"/>
        <v>7</v>
      </c>
      <c r="O414" s="146">
        <f t="shared" si="66"/>
        <v>0.875</v>
      </c>
      <c r="P414" s="146"/>
      <c r="Q414" s="70"/>
      <c r="R414" s="63"/>
      <c r="S414" s="63"/>
      <c r="T414" s="63"/>
      <c r="U414" s="63"/>
      <c r="V414" s="63"/>
      <c r="W414" s="63"/>
      <c r="X414" s="63"/>
      <c r="Y414" s="63"/>
      <c r="Z414" s="63"/>
      <c r="AA414" s="63"/>
      <c r="AB414" s="63"/>
      <c r="AC414" s="63"/>
      <c r="AD414" s="63"/>
      <c r="AE414" s="63"/>
      <c r="AF414" s="63"/>
      <c r="AG414" s="63"/>
      <c r="AH414" s="63"/>
      <c r="AI414" s="63"/>
      <c r="AJ414" s="63"/>
    </row>
    <row r="415">
      <c r="A415" s="135">
        <v>419.0</v>
      </c>
      <c r="B415" s="67">
        <v>34.0</v>
      </c>
      <c r="C415" s="31" t="s">
        <v>749</v>
      </c>
      <c r="D415" s="68" t="s">
        <v>1527</v>
      </c>
      <c r="E415" s="71" t="s">
        <v>2879</v>
      </c>
      <c r="F415" s="69" t="s">
        <v>1494</v>
      </c>
      <c r="G415" s="69" t="s">
        <v>2865</v>
      </c>
      <c r="H415" s="145">
        <v>3.0</v>
      </c>
      <c r="I415" s="145">
        <v>3.0</v>
      </c>
      <c r="J415" s="69">
        <v>5.0</v>
      </c>
      <c r="K415" s="69" t="str">
        <f>iferror(vlookup(E415,MasterClass!$C$2:$G988,5,false),"")</f>
        <v/>
      </c>
      <c r="L415" s="69">
        <v>5.0</v>
      </c>
      <c r="M415" s="69">
        <f t="shared" si="64"/>
        <v>8</v>
      </c>
      <c r="N415" s="69">
        <f t="shared" si="65"/>
        <v>8</v>
      </c>
      <c r="O415" s="146">
        <f t="shared" si="66"/>
        <v>1</v>
      </c>
      <c r="P415" s="146"/>
      <c r="Q415" s="70"/>
      <c r="R415" s="63"/>
      <c r="S415" s="63"/>
      <c r="T415" s="63"/>
      <c r="U415" s="63"/>
      <c r="V415" s="63"/>
      <c r="W415" s="63"/>
      <c r="X415" s="63"/>
      <c r="Y415" s="63"/>
      <c r="Z415" s="63"/>
      <c r="AA415" s="63"/>
      <c r="AB415" s="63"/>
      <c r="AC415" s="63"/>
      <c r="AD415" s="63"/>
      <c r="AE415" s="63"/>
      <c r="AF415" s="63"/>
      <c r="AG415" s="63"/>
      <c r="AH415" s="63"/>
      <c r="AI415" s="63"/>
      <c r="AJ415" s="63"/>
    </row>
    <row r="416">
      <c r="A416" s="135">
        <v>420.0</v>
      </c>
      <c r="B416" s="67">
        <v>35.0</v>
      </c>
      <c r="C416" s="31" t="s">
        <v>751</v>
      </c>
      <c r="D416" s="68" t="s">
        <v>1528</v>
      </c>
      <c r="E416" s="71" t="s">
        <v>2880</v>
      </c>
      <c r="F416" s="69" t="s">
        <v>1494</v>
      </c>
      <c r="G416" s="69" t="s">
        <v>2865</v>
      </c>
      <c r="H416" s="145">
        <v>3.0</v>
      </c>
      <c r="I416" s="145">
        <v>3.0</v>
      </c>
      <c r="J416" s="69">
        <v>5.0</v>
      </c>
      <c r="K416" s="69" t="str">
        <f>iferror(vlookup(E416,MasterClass!$C$2:$G988,5,false),"")</f>
        <v/>
      </c>
      <c r="L416" s="69">
        <v>4.0</v>
      </c>
      <c r="M416" s="69">
        <f t="shared" si="64"/>
        <v>8</v>
      </c>
      <c r="N416" s="69">
        <f t="shared" si="65"/>
        <v>7</v>
      </c>
      <c r="O416" s="146">
        <f t="shared" si="66"/>
        <v>0.875</v>
      </c>
      <c r="P416" s="146"/>
      <c r="Q416" s="70"/>
      <c r="R416" s="63"/>
      <c r="S416" s="63"/>
      <c r="T416" s="63"/>
      <c r="U416" s="63"/>
      <c r="V416" s="63"/>
      <c r="W416" s="63"/>
      <c r="X416" s="63"/>
      <c r="Y416" s="63"/>
      <c r="Z416" s="63"/>
      <c r="AA416" s="63"/>
      <c r="AB416" s="63"/>
      <c r="AC416" s="63"/>
      <c r="AD416" s="63"/>
      <c r="AE416" s="63"/>
      <c r="AF416" s="63"/>
      <c r="AG416" s="63"/>
      <c r="AH416" s="63"/>
      <c r="AI416" s="63"/>
      <c r="AJ416" s="63"/>
    </row>
    <row r="417">
      <c r="A417" s="135">
        <v>421.0</v>
      </c>
      <c r="B417" s="67">
        <v>36.0</v>
      </c>
      <c r="C417" s="31" t="s">
        <v>753</v>
      </c>
      <c r="D417" s="68" t="s">
        <v>1529</v>
      </c>
      <c r="E417" s="71" t="s">
        <v>2881</v>
      </c>
      <c r="F417" s="69" t="s">
        <v>1494</v>
      </c>
      <c r="G417" s="69" t="s">
        <v>2865</v>
      </c>
      <c r="H417" s="145">
        <v>3.0</v>
      </c>
      <c r="I417" s="145">
        <v>3.0</v>
      </c>
      <c r="J417" s="69">
        <v>5.0</v>
      </c>
      <c r="K417" s="69" t="str">
        <f>iferror(vlookup(E417,MasterClass!$C$2:$G988,5,false),"")</f>
        <v/>
      </c>
      <c r="L417" s="69">
        <v>5.0</v>
      </c>
      <c r="M417" s="69">
        <f t="shared" si="64"/>
        <v>8</v>
      </c>
      <c r="N417" s="69">
        <f t="shared" si="65"/>
        <v>8</v>
      </c>
      <c r="O417" s="146">
        <f t="shared" si="66"/>
        <v>1</v>
      </c>
      <c r="P417" s="146"/>
      <c r="Q417" s="70"/>
      <c r="R417" s="63"/>
      <c r="S417" s="63"/>
      <c r="T417" s="63"/>
      <c r="U417" s="63"/>
      <c r="V417" s="63"/>
      <c r="W417" s="63"/>
      <c r="X417" s="63"/>
      <c r="Y417" s="63"/>
      <c r="Z417" s="63"/>
      <c r="AA417" s="63"/>
      <c r="AB417" s="63"/>
      <c r="AC417" s="63"/>
      <c r="AD417" s="63"/>
      <c r="AE417" s="63"/>
      <c r="AF417" s="63"/>
      <c r="AG417" s="63"/>
      <c r="AH417" s="63"/>
      <c r="AI417" s="63"/>
      <c r="AJ417" s="63"/>
    </row>
    <row r="418">
      <c r="A418" s="135">
        <v>422.0</v>
      </c>
      <c r="B418" s="67">
        <v>37.0</v>
      </c>
      <c r="C418" s="31" t="s">
        <v>755</v>
      </c>
      <c r="D418" s="68" t="s">
        <v>1530</v>
      </c>
      <c r="E418" s="71" t="s">
        <v>2882</v>
      </c>
      <c r="F418" s="69" t="s">
        <v>1494</v>
      </c>
      <c r="G418" s="69" t="s">
        <v>2865</v>
      </c>
      <c r="H418" s="145">
        <v>3.0</v>
      </c>
      <c r="I418" s="145">
        <v>3.0</v>
      </c>
      <c r="J418" s="69">
        <v>5.0</v>
      </c>
      <c r="K418" s="69" t="str">
        <f>iferror(vlookup(E418,MasterClass!$C$2:$G988,5,false),"")</f>
        <v/>
      </c>
      <c r="L418" s="69">
        <v>5.0</v>
      </c>
      <c r="M418" s="69">
        <f t="shared" si="64"/>
        <v>8</v>
      </c>
      <c r="N418" s="69">
        <f t="shared" si="65"/>
        <v>8</v>
      </c>
      <c r="O418" s="146">
        <f t="shared" si="66"/>
        <v>1</v>
      </c>
      <c r="P418" s="146"/>
      <c r="Q418" s="70"/>
      <c r="R418" s="63"/>
      <c r="S418" s="63"/>
      <c r="T418" s="63"/>
      <c r="U418" s="63"/>
      <c r="V418" s="63"/>
      <c r="W418" s="63"/>
      <c r="X418" s="63"/>
      <c r="Y418" s="63"/>
      <c r="Z418" s="63"/>
      <c r="AA418" s="63"/>
      <c r="AB418" s="63"/>
      <c r="AC418" s="63"/>
      <c r="AD418" s="63"/>
      <c r="AE418" s="63"/>
      <c r="AF418" s="63"/>
      <c r="AG418" s="63"/>
      <c r="AH418" s="63"/>
      <c r="AI418" s="63"/>
      <c r="AJ418" s="63"/>
    </row>
    <row r="419">
      <c r="A419" s="135">
        <v>423.0</v>
      </c>
      <c r="B419" s="67">
        <v>38.0</v>
      </c>
      <c r="C419" s="31" t="s">
        <v>757</v>
      </c>
      <c r="D419" s="68" t="s">
        <v>1531</v>
      </c>
      <c r="E419" s="71" t="s">
        <v>2883</v>
      </c>
      <c r="F419" s="69" t="s">
        <v>1494</v>
      </c>
      <c r="G419" s="69" t="s">
        <v>2865</v>
      </c>
      <c r="H419" s="145">
        <v>3.0</v>
      </c>
      <c r="I419" s="145">
        <v>3.0</v>
      </c>
      <c r="J419" s="69">
        <v>5.0</v>
      </c>
      <c r="K419" s="69" t="str">
        <f>iferror(vlookup(E419,MasterClass!$C$2:$G988,5,false),"")</f>
        <v/>
      </c>
      <c r="L419" s="69">
        <v>4.0</v>
      </c>
      <c r="M419" s="69">
        <f t="shared" si="64"/>
        <v>8</v>
      </c>
      <c r="N419" s="69">
        <f t="shared" si="65"/>
        <v>7</v>
      </c>
      <c r="O419" s="146">
        <f t="shared" si="66"/>
        <v>0.875</v>
      </c>
      <c r="P419" s="146"/>
      <c r="Q419" s="70"/>
      <c r="R419" s="63"/>
      <c r="S419" s="63"/>
      <c r="T419" s="63"/>
      <c r="U419" s="63"/>
      <c r="V419" s="63"/>
      <c r="W419" s="63"/>
      <c r="X419" s="63"/>
      <c r="Y419" s="63"/>
      <c r="Z419" s="63"/>
      <c r="AA419" s="63"/>
      <c r="AB419" s="63"/>
      <c r="AC419" s="63"/>
      <c r="AD419" s="63"/>
      <c r="AE419" s="63"/>
      <c r="AF419" s="63"/>
      <c r="AG419" s="63"/>
      <c r="AH419" s="63"/>
      <c r="AI419" s="63"/>
      <c r="AJ419" s="63"/>
    </row>
    <row r="420">
      <c r="A420" s="135">
        <v>424.0</v>
      </c>
      <c r="B420" s="67">
        <v>39.0</v>
      </c>
      <c r="C420" s="31" t="s">
        <v>759</v>
      </c>
      <c r="D420" s="68" t="s">
        <v>1532</v>
      </c>
      <c r="E420" s="71" t="s">
        <v>2884</v>
      </c>
      <c r="F420" s="69" t="s">
        <v>1494</v>
      </c>
      <c r="G420" s="69" t="s">
        <v>2865</v>
      </c>
      <c r="H420" s="145">
        <v>3.0</v>
      </c>
      <c r="I420" s="145">
        <v>3.0</v>
      </c>
      <c r="J420" s="69">
        <v>5.0</v>
      </c>
      <c r="K420" s="69" t="str">
        <f>iferror(vlookup(E420,MasterClass!$C$2:$G988,5,false),"")</f>
        <v/>
      </c>
      <c r="L420" s="69">
        <v>5.0</v>
      </c>
      <c r="M420" s="69">
        <f t="shared" si="64"/>
        <v>8</v>
      </c>
      <c r="N420" s="69">
        <f t="shared" si="65"/>
        <v>8</v>
      </c>
      <c r="O420" s="146">
        <f t="shared" si="66"/>
        <v>1</v>
      </c>
      <c r="P420" s="146"/>
      <c r="Q420" s="70"/>
      <c r="R420" s="63"/>
      <c r="S420" s="63"/>
      <c r="T420" s="63"/>
      <c r="U420" s="63"/>
      <c r="V420" s="63"/>
      <c r="W420" s="63"/>
      <c r="X420" s="63"/>
      <c r="Y420" s="63"/>
      <c r="Z420" s="63"/>
      <c r="AA420" s="63"/>
      <c r="AB420" s="63"/>
      <c r="AC420" s="63"/>
      <c r="AD420" s="63"/>
      <c r="AE420" s="63"/>
      <c r="AF420" s="63"/>
      <c r="AG420" s="63"/>
      <c r="AH420" s="63"/>
      <c r="AI420" s="63"/>
      <c r="AJ420" s="63"/>
    </row>
    <row r="421">
      <c r="A421" s="135">
        <v>425.0</v>
      </c>
      <c r="B421" s="67">
        <v>40.0</v>
      </c>
      <c r="C421" s="31" t="s">
        <v>761</v>
      </c>
      <c r="D421" s="68" t="s">
        <v>1533</v>
      </c>
      <c r="E421" s="71" t="s">
        <v>2885</v>
      </c>
      <c r="F421" s="69" t="s">
        <v>1494</v>
      </c>
      <c r="G421" s="69" t="s">
        <v>2865</v>
      </c>
      <c r="H421" s="145">
        <v>3.0</v>
      </c>
      <c r="I421" s="145">
        <v>3.0</v>
      </c>
      <c r="J421" s="69">
        <v>5.0</v>
      </c>
      <c r="K421" s="69" t="str">
        <f>iferror(vlookup(E421,MasterClass!$C$2:$G988,5,false),"")</f>
        <v/>
      </c>
      <c r="L421" s="69">
        <v>4.0</v>
      </c>
      <c r="M421" s="69">
        <f t="shared" si="64"/>
        <v>8</v>
      </c>
      <c r="N421" s="69">
        <f t="shared" si="65"/>
        <v>7</v>
      </c>
      <c r="O421" s="146">
        <f t="shared" si="66"/>
        <v>0.875</v>
      </c>
      <c r="P421" s="146"/>
      <c r="Q421" s="70"/>
      <c r="R421" s="63"/>
      <c r="S421" s="63"/>
      <c r="T421" s="63"/>
      <c r="U421" s="63"/>
      <c r="V421" s="63"/>
      <c r="W421" s="63"/>
      <c r="X421" s="63"/>
      <c r="Y421" s="63"/>
      <c r="Z421" s="63"/>
      <c r="AA421" s="63"/>
      <c r="AB421" s="63"/>
      <c r="AC421" s="63"/>
      <c r="AD421" s="63"/>
      <c r="AE421" s="63"/>
      <c r="AF421" s="63"/>
      <c r="AG421" s="63"/>
      <c r="AH421" s="63"/>
      <c r="AI421" s="63"/>
      <c r="AJ421" s="63"/>
    </row>
    <row r="422">
      <c r="A422" s="135">
        <v>426.0</v>
      </c>
      <c r="B422" s="67">
        <v>41.0</v>
      </c>
      <c r="C422" s="31" t="s">
        <v>763</v>
      </c>
      <c r="D422" s="68" t="s">
        <v>1534</v>
      </c>
      <c r="E422" s="71" t="s">
        <v>2886</v>
      </c>
      <c r="F422" s="69" t="s">
        <v>1494</v>
      </c>
      <c r="G422" s="69" t="s">
        <v>2855</v>
      </c>
      <c r="H422" s="145"/>
      <c r="I422" s="183"/>
      <c r="J422" s="69">
        <v>5.0</v>
      </c>
      <c r="K422" s="69" t="str">
        <f>iferror(vlookup(E422,MasterClass!$C$2:$G988,5,false),"")</f>
        <v/>
      </c>
      <c r="L422" s="181">
        <v>4.0</v>
      </c>
      <c r="M422" s="69">
        <f t="shared" si="64"/>
        <v>5</v>
      </c>
      <c r="N422" s="69">
        <f t="shared" si="65"/>
        <v>4</v>
      </c>
      <c r="O422" s="146">
        <f t="shared" si="66"/>
        <v>0.8</v>
      </c>
      <c r="P422" s="146"/>
      <c r="Q422" s="70"/>
      <c r="R422" s="63"/>
      <c r="S422" s="63"/>
      <c r="T422" s="63"/>
      <c r="U422" s="63"/>
      <c r="V422" s="63"/>
      <c r="W422" s="63"/>
      <c r="X422" s="63"/>
      <c r="Y422" s="63"/>
      <c r="Z422" s="63"/>
      <c r="AA422" s="63"/>
      <c r="AB422" s="63"/>
      <c r="AC422" s="63"/>
      <c r="AD422" s="63"/>
      <c r="AE422" s="63"/>
      <c r="AF422" s="63"/>
      <c r="AG422" s="63"/>
      <c r="AH422" s="63"/>
      <c r="AI422" s="63"/>
      <c r="AJ422" s="63"/>
    </row>
    <row r="423">
      <c r="A423" s="135">
        <v>427.0</v>
      </c>
      <c r="B423" s="67">
        <v>42.0</v>
      </c>
      <c r="C423" s="31" t="s">
        <v>765</v>
      </c>
      <c r="D423" s="68" t="s">
        <v>1535</v>
      </c>
      <c r="E423" s="71" t="s">
        <v>2887</v>
      </c>
      <c r="F423" s="69" t="s">
        <v>1494</v>
      </c>
      <c r="G423" s="69" t="s">
        <v>2583</v>
      </c>
      <c r="H423" s="145">
        <v>4.0</v>
      </c>
      <c r="I423" s="145">
        <v>3.0</v>
      </c>
      <c r="J423" s="69">
        <v>5.0</v>
      </c>
      <c r="K423" s="69" t="str">
        <f>iferror(vlookup(E423,MasterClass!$C$2:$G988,5,false),"")</f>
        <v/>
      </c>
      <c r="L423" s="69">
        <v>3.0</v>
      </c>
      <c r="M423" s="69">
        <f t="shared" si="64"/>
        <v>9</v>
      </c>
      <c r="N423" s="69">
        <f t="shared" si="65"/>
        <v>6</v>
      </c>
      <c r="O423" s="146">
        <f t="shared" si="66"/>
        <v>0.6666666667</v>
      </c>
      <c r="P423" s="69" t="s">
        <v>2508</v>
      </c>
      <c r="Q423" s="69"/>
      <c r="R423" s="63"/>
      <c r="S423" s="63"/>
      <c r="T423" s="63"/>
      <c r="U423" s="63"/>
      <c r="V423" s="63"/>
      <c r="W423" s="63"/>
      <c r="X423" s="63"/>
      <c r="Y423" s="63"/>
      <c r="Z423" s="63"/>
      <c r="AA423" s="63"/>
      <c r="AB423" s="63"/>
      <c r="AC423" s="63"/>
      <c r="AD423" s="63"/>
      <c r="AE423" s="63"/>
      <c r="AF423" s="63"/>
      <c r="AG423" s="63"/>
      <c r="AH423" s="63"/>
      <c r="AI423" s="63"/>
      <c r="AJ423" s="63"/>
    </row>
    <row r="424">
      <c r="A424" s="135">
        <v>428.0</v>
      </c>
      <c r="B424" s="67">
        <v>43.0</v>
      </c>
      <c r="C424" s="31" t="s">
        <v>767</v>
      </c>
      <c r="D424" s="68" t="s">
        <v>1536</v>
      </c>
      <c r="E424" s="71" t="s">
        <v>2888</v>
      </c>
      <c r="F424" s="69" t="s">
        <v>1494</v>
      </c>
      <c r="G424" s="69" t="s">
        <v>2855</v>
      </c>
      <c r="H424" s="145">
        <v>3.0</v>
      </c>
      <c r="I424" s="183"/>
      <c r="J424" s="69">
        <v>5.0</v>
      </c>
      <c r="K424" s="69" t="str">
        <f>iferror(vlookup(E424,MasterClass!$C$2:$G988,5,false),"")</f>
        <v/>
      </c>
      <c r="L424" s="181">
        <v>4.0</v>
      </c>
      <c r="M424" s="69">
        <f t="shared" si="64"/>
        <v>8</v>
      </c>
      <c r="N424" s="69">
        <f t="shared" si="65"/>
        <v>4</v>
      </c>
      <c r="O424" s="146">
        <f t="shared" si="66"/>
        <v>0.5</v>
      </c>
      <c r="P424" s="146"/>
      <c r="Q424" s="70"/>
      <c r="R424" s="63"/>
      <c r="S424" s="63"/>
      <c r="T424" s="63"/>
      <c r="U424" s="63"/>
      <c r="V424" s="63"/>
      <c r="W424" s="63"/>
      <c r="X424" s="63"/>
      <c r="Y424" s="63"/>
      <c r="Z424" s="63"/>
      <c r="AA424" s="63"/>
      <c r="AB424" s="63"/>
      <c r="AC424" s="63"/>
      <c r="AD424" s="63"/>
      <c r="AE424" s="63"/>
      <c r="AF424" s="63"/>
      <c r="AG424" s="63"/>
      <c r="AH424" s="63"/>
      <c r="AI424" s="63"/>
      <c r="AJ424" s="63"/>
    </row>
    <row r="425">
      <c r="A425" s="135">
        <v>429.0</v>
      </c>
      <c r="B425" s="67">
        <v>44.0</v>
      </c>
      <c r="C425" s="31" t="s">
        <v>769</v>
      </c>
      <c r="D425" s="68" t="s">
        <v>1537</v>
      </c>
      <c r="E425" s="71" t="s">
        <v>2889</v>
      </c>
      <c r="F425" s="69" t="s">
        <v>1494</v>
      </c>
      <c r="G425" s="69" t="s">
        <v>2865</v>
      </c>
      <c r="H425" s="145">
        <v>3.0</v>
      </c>
      <c r="I425" s="145">
        <v>3.0</v>
      </c>
      <c r="J425" s="69">
        <v>5.0</v>
      </c>
      <c r="K425" s="69" t="str">
        <f>iferror(vlookup(E425,MasterClass!$C$2:$G988,5,false),"")</f>
        <v/>
      </c>
      <c r="L425" s="69">
        <v>4.0</v>
      </c>
      <c r="M425" s="69">
        <f t="shared" si="64"/>
        <v>8</v>
      </c>
      <c r="N425" s="69">
        <f t="shared" si="65"/>
        <v>7</v>
      </c>
      <c r="O425" s="146">
        <f t="shared" si="66"/>
        <v>0.875</v>
      </c>
      <c r="P425" s="146"/>
      <c r="Q425" s="70"/>
      <c r="R425" s="63"/>
      <c r="S425" s="63"/>
      <c r="T425" s="63"/>
      <c r="U425" s="63"/>
      <c r="V425" s="63"/>
      <c r="W425" s="63"/>
      <c r="X425" s="63"/>
      <c r="Y425" s="63"/>
      <c r="Z425" s="63"/>
      <c r="AA425" s="63"/>
      <c r="AB425" s="63"/>
      <c r="AC425" s="63"/>
      <c r="AD425" s="63"/>
      <c r="AE425" s="63"/>
      <c r="AF425" s="63"/>
      <c r="AG425" s="63"/>
      <c r="AH425" s="63"/>
      <c r="AI425" s="63"/>
      <c r="AJ425" s="63"/>
    </row>
    <row r="426">
      <c r="A426" s="135">
        <v>430.0</v>
      </c>
      <c r="B426" s="67">
        <v>45.0</v>
      </c>
      <c r="C426" s="31" t="s">
        <v>771</v>
      </c>
      <c r="D426" s="68" t="s">
        <v>1538</v>
      </c>
      <c r="E426" s="71" t="s">
        <v>2890</v>
      </c>
      <c r="F426" s="69" t="s">
        <v>1494</v>
      </c>
      <c r="G426" s="69" t="s">
        <v>2865</v>
      </c>
      <c r="H426" s="145">
        <v>3.0</v>
      </c>
      <c r="I426" s="145">
        <v>3.0</v>
      </c>
      <c r="J426" s="69">
        <v>5.0</v>
      </c>
      <c r="K426" s="69" t="str">
        <f>iferror(vlookup(E426,MasterClass!$C$2:$G988,5,false),"")</f>
        <v/>
      </c>
      <c r="L426" s="69">
        <v>4.0</v>
      </c>
      <c r="M426" s="69">
        <f t="shared" si="64"/>
        <v>8</v>
      </c>
      <c r="N426" s="69">
        <f t="shared" si="65"/>
        <v>7</v>
      </c>
      <c r="O426" s="146">
        <f t="shared" si="66"/>
        <v>0.875</v>
      </c>
      <c r="P426" s="146"/>
      <c r="Q426" s="70"/>
      <c r="R426" s="63"/>
      <c r="S426" s="63"/>
      <c r="T426" s="63"/>
      <c r="U426" s="63"/>
      <c r="V426" s="63"/>
      <c r="W426" s="63"/>
      <c r="X426" s="63"/>
      <c r="Y426" s="63"/>
      <c r="Z426" s="63"/>
      <c r="AA426" s="63"/>
      <c r="AB426" s="63"/>
      <c r="AC426" s="63"/>
      <c r="AD426" s="63"/>
      <c r="AE426" s="63"/>
      <c r="AF426" s="63"/>
      <c r="AG426" s="63"/>
      <c r="AH426" s="63"/>
      <c r="AI426" s="63"/>
      <c r="AJ426" s="63"/>
    </row>
    <row r="427">
      <c r="A427" s="135">
        <v>431.0</v>
      </c>
      <c r="B427" s="67">
        <v>46.0</v>
      </c>
      <c r="C427" s="31" t="s">
        <v>773</v>
      </c>
      <c r="D427" s="68" t="s">
        <v>1539</v>
      </c>
      <c r="E427" s="71" t="s">
        <v>2891</v>
      </c>
      <c r="F427" s="69" t="s">
        <v>1494</v>
      </c>
      <c r="G427" s="69" t="s">
        <v>2865</v>
      </c>
      <c r="H427" s="145">
        <v>3.0</v>
      </c>
      <c r="I427" s="145">
        <v>3.0</v>
      </c>
      <c r="J427" s="69">
        <v>5.0</v>
      </c>
      <c r="K427" s="69" t="str">
        <f>iferror(vlookup(E427,MasterClass!$C$2:$G988,5,false),"")</f>
        <v/>
      </c>
      <c r="L427" s="69">
        <v>4.0</v>
      </c>
      <c r="M427" s="69">
        <f t="shared" si="64"/>
        <v>8</v>
      </c>
      <c r="N427" s="69">
        <f t="shared" si="65"/>
        <v>7</v>
      </c>
      <c r="O427" s="146">
        <f t="shared" si="66"/>
        <v>0.875</v>
      </c>
      <c r="P427" s="146"/>
      <c r="Q427" s="70"/>
      <c r="R427" s="134"/>
      <c r="S427" s="134"/>
      <c r="T427" s="134"/>
      <c r="U427" s="134"/>
      <c r="V427" s="63"/>
      <c r="W427" s="63"/>
      <c r="X427" s="63"/>
      <c r="Y427" s="63"/>
      <c r="Z427" s="63"/>
      <c r="AA427" s="63"/>
      <c r="AB427" s="63"/>
      <c r="AC427" s="63"/>
      <c r="AD427" s="63"/>
      <c r="AE427" s="63"/>
      <c r="AF427" s="63"/>
      <c r="AG427" s="63"/>
      <c r="AH427" s="63"/>
      <c r="AI427" s="63"/>
      <c r="AJ427" s="63"/>
    </row>
    <row r="428">
      <c r="A428" s="135">
        <v>432.0</v>
      </c>
      <c r="B428" s="67">
        <v>47.0</v>
      </c>
      <c r="C428" s="31" t="s">
        <v>775</v>
      </c>
      <c r="D428" s="68" t="s">
        <v>1540</v>
      </c>
      <c r="E428" s="71" t="s">
        <v>2892</v>
      </c>
      <c r="F428" s="69" t="s">
        <v>1494</v>
      </c>
      <c r="G428" s="69" t="s">
        <v>2855</v>
      </c>
      <c r="H428" s="145">
        <v>3.0</v>
      </c>
      <c r="I428" s="183"/>
      <c r="J428" s="69">
        <v>5.0</v>
      </c>
      <c r="K428" s="69" t="str">
        <f>iferror(vlookup(E428,MasterClass!$C$2:$G988,5,false),"")</f>
        <v/>
      </c>
      <c r="L428" s="181">
        <v>0.0</v>
      </c>
      <c r="M428" s="69">
        <f t="shared" si="64"/>
        <v>8</v>
      </c>
      <c r="N428" s="69">
        <f t="shared" si="65"/>
        <v>0</v>
      </c>
      <c r="O428" s="146">
        <f t="shared" si="66"/>
        <v>0</v>
      </c>
      <c r="P428" s="146"/>
      <c r="Q428" s="70"/>
      <c r="R428" s="63"/>
      <c r="S428" s="63"/>
      <c r="T428" s="63"/>
      <c r="U428" s="63"/>
      <c r="V428" s="63"/>
      <c r="W428" s="63"/>
      <c r="X428" s="63"/>
      <c r="Y428" s="63"/>
      <c r="Z428" s="63"/>
      <c r="AA428" s="63"/>
      <c r="AB428" s="63"/>
      <c r="AC428" s="63"/>
      <c r="AD428" s="63"/>
      <c r="AE428" s="63"/>
      <c r="AF428" s="63"/>
      <c r="AG428" s="63"/>
      <c r="AH428" s="63"/>
      <c r="AI428" s="63"/>
      <c r="AJ428" s="63"/>
    </row>
    <row r="429">
      <c r="A429" s="135">
        <v>433.0</v>
      </c>
      <c r="B429" s="63"/>
      <c r="C429" s="63"/>
      <c r="D429" s="63"/>
      <c r="E429" s="149"/>
      <c r="F429" s="63"/>
      <c r="G429" s="63"/>
      <c r="H429" s="63"/>
      <c r="I429" s="63"/>
      <c r="J429" s="63"/>
      <c r="K429" s="150" t="str">
        <f>iferror(vlookup(E429,MasterClass!$C$2:$G988,5,false),"")</f>
        <v/>
      </c>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row>
    <row r="430">
      <c r="A430" s="135">
        <v>434.0</v>
      </c>
      <c r="B430" s="62" t="s">
        <v>3</v>
      </c>
      <c r="C430" s="63"/>
      <c r="D430" s="62" t="s">
        <v>4</v>
      </c>
      <c r="E430" s="149" t="s">
        <v>4</v>
      </c>
      <c r="F430" s="63"/>
      <c r="G430" s="63"/>
      <c r="H430" s="63"/>
      <c r="I430" s="63"/>
      <c r="J430" s="63"/>
      <c r="K430" s="150" t="str">
        <f>iferror(vlookup(E430,MasterClass!$C$2:$G988,5,false),"")</f>
        <v/>
      </c>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row>
    <row r="431">
      <c r="A431" s="135">
        <v>435.0</v>
      </c>
      <c r="B431" s="62" t="s">
        <v>5</v>
      </c>
      <c r="C431" s="63"/>
      <c r="D431" s="62" t="s">
        <v>778</v>
      </c>
      <c r="E431" s="149" t="s">
        <v>778</v>
      </c>
      <c r="F431" s="63"/>
      <c r="G431" s="63"/>
      <c r="H431" s="63"/>
      <c r="I431" s="63"/>
      <c r="J431" s="63"/>
      <c r="K431" s="150" t="str">
        <f>iferror(vlookup(E431,MasterClass!$C$2:$G988,5,false),"")</f>
        <v/>
      </c>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row>
    <row r="432">
      <c r="A432" s="135">
        <v>436.0</v>
      </c>
      <c r="B432" s="62" t="s">
        <v>7</v>
      </c>
      <c r="C432" s="63"/>
      <c r="D432" s="62" t="s">
        <v>8</v>
      </c>
      <c r="E432" s="149" t="s">
        <v>8</v>
      </c>
      <c r="F432" s="63"/>
      <c r="G432" s="63"/>
      <c r="H432" s="63"/>
      <c r="I432" s="63"/>
      <c r="J432" s="63"/>
      <c r="K432" s="150" t="str">
        <f>iferror(vlookup(E432,MasterClass!$C$2:$G988,5,false),"")</f>
        <v/>
      </c>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row>
    <row r="433">
      <c r="A433" s="135">
        <v>437.0</v>
      </c>
      <c r="B433" s="63"/>
      <c r="C433" s="63"/>
      <c r="D433" s="63"/>
      <c r="E433" s="149"/>
      <c r="F433" s="63"/>
      <c r="G433" s="63"/>
      <c r="H433" s="63"/>
      <c r="I433" s="63"/>
      <c r="J433" s="63"/>
      <c r="K433" s="150" t="str">
        <f>iferror(vlookup(E433,MasterClass!$C$2:$G988,5,false),"")</f>
        <v/>
      </c>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row>
    <row r="434">
      <c r="A434" s="135">
        <v>439.0</v>
      </c>
      <c r="B434" s="80" t="s">
        <v>9</v>
      </c>
      <c r="C434" s="81" t="s">
        <v>10</v>
      </c>
      <c r="D434" s="80" t="s">
        <v>11</v>
      </c>
      <c r="E434" s="174"/>
      <c r="F434" s="85" t="s">
        <v>5</v>
      </c>
      <c r="G434" s="175"/>
      <c r="H434" s="153" t="s">
        <v>2492</v>
      </c>
      <c r="I434" s="175"/>
      <c r="J434" s="154" t="s">
        <v>2493</v>
      </c>
      <c r="K434" s="175"/>
      <c r="L434" s="175"/>
      <c r="M434" s="176" t="s">
        <v>2489</v>
      </c>
      <c r="N434" s="85" t="s">
        <v>2490</v>
      </c>
      <c r="O434" s="162" t="s">
        <v>18</v>
      </c>
      <c r="P434" s="82" t="s">
        <v>2491</v>
      </c>
      <c r="Q434" s="83" t="s">
        <v>19</v>
      </c>
      <c r="R434" s="63"/>
      <c r="S434" s="63"/>
      <c r="T434" s="63"/>
      <c r="U434" s="63"/>
      <c r="V434" s="63"/>
      <c r="W434" s="63"/>
      <c r="X434" s="63"/>
      <c r="Y434" s="63"/>
      <c r="Z434" s="63"/>
      <c r="AA434" s="63"/>
      <c r="AB434" s="63"/>
      <c r="AC434" s="63"/>
      <c r="AD434" s="63"/>
      <c r="AE434" s="63"/>
      <c r="AF434" s="63"/>
      <c r="AG434" s="63"/>
      <c r="AH434" s="63"/>
      <c r="AI434" s="63"/>
      <c r="AJ434" s="63"/>
    </row>
    <row r="435">
      <c r="A435" s="135">
        <v>440.0</v>
      </c>
      <c r="B435" s="20"/>
      <c r="C435" s="20"/>
      <c r="D435" s="20"/>
      <c r="E435" s="174"/>
      <c r="F435" s="20"/>
      <c r="G435" s="164" t="s">
        <v>2483</v>
      </c>
      <c r="H435" s="158" t="s">
        <v>2484</v>
      </c>
      <c r="I435" s="164" t="s">
        <v>2485</v>
      </c>
      <c r="J435" s="165" t="s">
        <v>2486</v>
      </c>
      <c r="K435" s="166" t="s">
        <v>2487</v>
      </c>
      <c r="L435" s="164" t="s">
        <v>2488</v>
      </c>
      <c r="M435" s="20"/>
      <c r="N435" s="20"/>
      <c r="O435" s="20"/>
      <c r="P435" s="20"/>
      <c r="Q435" s="20"/>
      <c r="R435" s="63"/>
      <c r="S435" s="63"/>
      <c r="T435" s="63"/>
      <c r="U435" s="63"/>
      <c r="V435" s="63"/>
      <c r="W435" s="63"/>
      <c r="X435" s="63"/>
      <c r="Y435" s="63"/>
      <c r="Z435" s="63"/>
      <c r="AA435" s="63"/>
      <c r="AB435" s="63"/>
      <c r="AC435" s="63"/>
      <c r="AD435" s="63"/>
      <c r="AE435" s="63"/>
      <c r="AF435" s="63"/>
      <c r="AG435" s="63"/>
      <c r="AH435" s="63"/>
      <c r="AI435" s="63"/>
      <c r="AJ435" s="63"/>
    </row>
    <row r="436">
      <c r="A436" s="135">
        <v>441.0</v>
      </c>
      <c r="B436" s="67">
        <v>1.0</v>
      </c>
      <c r="C436" s="31" t="s">
        <v>779</v>
      </c>
      <c r="D436" s="68" t="s">
        <v>1541</v>
      </c>
      <c r="E436" s="71" t="s">
        <v>2893</v>
      </c>
      <c r="F436" s="69" t="s">
        <v>1542</v>
      </c>
      <c r="G436" s="69" t="s">
        <v>2894</v>
      </c>
      <c r="H436" s="145">
        <v>3.0</v>
      </c>
      <c r="I436" s="145">
        <v>3.0</v>
      </c>
      <c r="J436" s="69">
        <v>5.0</v>
      </c>
      <c r="K436" s="69" t="str">
        <f>iferror(vlookup(E436,MasterClass!$C$2:$G988,5,false),"")</f>
        <v/>
      </c>
      <c r="L436" s="69">
        <v>1.0</v>
      </c>
      <c r="M436" s="69">
        <f t="shared" ref="M436:M480" si="67">J436+H436</f>
        <v>8</v>
      </c>
      <c r="N436" s="69">
        <f t="shared" ref="N436:N480" si="68">I436+L436+K436</f>
        <v>4</v>
      </c>
      <c r="O436" s="146">
        <f t="shared" ref="O436:O480" si="69">N436/M436</f>
        <v>0.5</v>
      </c>
      <c r="P436" s="146"/>
      <c r="Q436" s="70"/>
      <c r="R436" s="63"/>
      <c r="S436" s="63"/>
      <c r="T436" s="63"/>
      <c r="U436" s="63"/>
      <c r="V436" s="63"/>
      <c r="W436" s="63"/>
      <c r="X436" s="63"/>
      <c r="Y436" s="63"/>
      <c r="Z436" s="63"/>
      <c r="AA436" s="63"/>
      <c r="AB436" s="63"/>
      <c r="AC436" s="63"/>
      <c r="AD436" s="63"/>
      <c r="AE436" s="63"/>
      <c r="AF436" s="63"/>
      <c r="AG436" s="63"/>
      <c r="AH436" s="63"/>
      <c r="AI436" s="63"/>
      <c r="AJ436" s="63"/>
    </row>
    <row r="437">
      <c r="A437" s="135">
        <v>442.0</v>
      </c>
      <c r="B437" s="67">
        <v>2.0</v>
      </c>
      <c r="C437" s="31" t="s">
        <v>781</v>
      </c>
      <c r="D437" s="68" t="s">
        <v>1543</v>
      </c>
      <c r="E437" s="71" t="s">
        <v>2895</v>
      </c>
      <c r="F437" s="69" t="s">
        <v>1542</v>
      </c>
      <c r="G437" s="69" t="s">
        <v>2894</v>
      </c>
      <c r="H437" s="145">
        <v>3.0</v>
      </c>
      <c r="I437" s="145">
        <v>3.0</v>
      </c>
      <c r="J437" s="69">
        <v>5.0</v>
      </c>
      <c r="K437" s="69" t="str">
        <f>iferror(vlookup(E437,MasterClass!$C$2:$G988,5,false),"")</f>
        <v/>
      </c>
      <c r="L437" s="69">
        <v>3.0</v>
      </c>
      <c r="M437" s="69">
        <f t="shared" si="67"/>
        <v>8</v>
      </c>
      <c r="N437" s="69">
        <f t="shared" si="68"/>
        <v>6</v>
      </c>
      <c r="O437" s="146">
        <f t="shared" si="69"/>
        <v>0.75</v>
      </c>
      <c r="P437" s="146"/>
      <c r="Q437" s="70"/>
      <c r="R437" s="63"/>
      <c r="S437" s="63"/>
      <c r="T437" s="63"/>
      <c r="U437" s="63"/>
      <c r="V437" s="63"/>
      <c r="W437" s="63"/>
      <c r="X437" s="63"/>
      <c r="Y437" s="63"/>
      <c r="Z437" s="63"/>
      <c r="AA437" s="63"/>
      <c r="AB437" s="63"/>
      <c r="AC437" s="63"/>
      <c r="AD437" s="63"/>
      <c r="AE437" s="63"/>
      <c r="AF437" s="63"/>
      <c r="AG437" s="63"/>
      <c r="AH437" s="63"/>
      <c r="AI437" s="63"/>
      <c r="AJ437" s="63"/>
    </row>
    <row r="438">
      <c r="A438" s="135">
        <v>443.0</v>
      </c>
      <c r="B438" s="67">
        <v>3.0</v>
      </c>
      <c r="C438" s="31" t="s">
        <v>783</v>
      </c>
      <c r="D438" s="68" t="s">
        <v>1544</v>
      </c>
      <c r="E438" s="71" t="s">
        <v>2896</v>
      </c>
      <c r="F438" s="69" t="s">
        <v>1542</v>
      </c>
      <c r="G438" s="69" t="s">
        <v>2897</v>
      </c>
      <c r="H438" s="145">
        <v>3.0</v>
      </c>
      <c r="I438" s="145">
        <v>3.0</v>
      </c>
      <c r="J438" s="69">
        <v>5.0</v>
      </c>
      <c r="K438" s="69" t="str">
        <f>iferror(vlookup(E438,MasterClass!$C$2:$G988,5,false),"")</f>
        <v/>
      </c>
      <c r="L438" s="69">
        <v>4.0</v>
      </c>
      <c r="M438" s="69">
        <f t="shared" si="67"/>
        <v>8</v>
      </c>
      <c r="N438" s="69">
        <f t="shared" si="68"/>
        <v>7</v>
      </c>
      <c r="O438" s="146">
        <f t="shared" si="69"/>
        <v>0.875</v>
      </c>
      <c r="P438" s="146"/>
      <c r="Q438" s="70"/>
      <c r="V438" s="63"/>
      <c r="W438" s="63"/>
      <c r="X438" s="63"/>
      <c r="Y438" s="63"/>
      <c r="Z438" s="63"/>
      <c r="AA438" s="63"/>
      <c r="AB438" s="63"/>
      <c r="AC438" s="63"/>
      <c r="AD438" s="63"/>
      <c r="AE438" s="63"/>
      <c r="AF438" s="63"/>
      <c r="AG438" s="63"/>
      <c r="AH438" s="63"/>
      <c r="AI438" s="63"/>
      <c r="AJ438" s="63"/>
    </row>
    <row r="439">
      <c r="A439" s="135">
        <v>444.0</v>
      </c>
      <c r="B439" s="67">
        <v>4.0</v>
      </c>
      <c r="C439" s="31" t="s">
        <v>785</v>
      </c>
      <c r="D439" s="68" t="s">
        <v>1545</v>
      </c>
      <c r="E439" s="71" t="s">
        <v>2898</v>
      </c>
      <c r="F439" s="69" t="s">
        <v>1542</v>
      </c>
      <c r="G439" s="69" t="s">
        <v>2897</v>
      </c>
      <c r="H439" s="145">
        <v>3.0</v>
      </c>
      <c r="I439" s="145">
        <v>1.0</v>
      </c>
      <c r="J439" s="69">
        <v>5.0</v>
      </c>
      <c r="K439" s="69" t="str">
        <f>iferror(vlookup(E439,MasterClass!$C$2:$G988,5,false),"")</f>
        <v/>
      </c>
      <c r="L439" s="69">
        <v>4.0</v>
      </c>
      <c r="M439" s="69">
        <f t="shared" si="67"/>
        <v>8</v>
      </c>
      <c r="N439" s="69">
        <f t="shared" si="68"/>
        <v>5</v>
      </c>
      <c r="O439" s="146">
        <f t="shared" si="69"/>
        <v>0.625</v>
      </c>
      <c r="P439" s="146"/>
      <c r="Q439" s="70"/>
      <c r="V439" s="63"/>
      <c r="W439" s="63"/>
      <c r="X439" s="63"/>
      <c r="Y439" s="63"/>
      <c r="Z439" s="63"/>
      <c r="AA439" s="63"/>
      <c r="AB439" s="63"/>
      <c r="AC439" s="63"/>
      <c r="AD439" s="63"/>
      <c r="AE439" s="63"/>
      <c r="AF439" s="63"/>
      <c r="AG439" s="63"/>
      <c r="AH439" s="63"/>
      <c r="AI439" s="63"/>
      <c r="AJ439" s="63"/>
    </row>
    <row r="440">
      <c r="A440" s="135">
        <v>445.0</v>
      </c>
      <c r="B440" s="67">
        <v>5.0</v>
      </c>
      <c r="C440" s="31" t="s">
        <v>787</v>
      </c>
      <c r="D440" s="68" t="s">
        <v>1546</v>
      </c>
      <c r="E440" s="71" t="s">
        <v>2899</v>
      </c>
      <c r="F440" s="69" t="s">
        <v>1542</v>
      </c>
      <c r="G440" s="69" t="s">
        <v>2897</v>
      </c>
      <c r="H440" s="145">
        <v>3.0</v>
      </c>
      <c r="I440" s="145">
        <v>1.0</v>
      </c>
      <c r="J440" s="69">
        <v>5.0</v>
      </c>
      <c r="K440" s="69" t="str">
        <f>iferror(vlookup(E440,MasterClass!$C$2:$G988,5,false),"")</f>
        <v/>
      </c>
      <c r="L440" s="69">
        <v>3.0</v>
      </c>
      <c r="M440" s="69">
        <f t="shared" si="67"/>
        <v>8</v>
      </c>
      <c r="N440" s="69">
        <f t="shared" si="68"/>
        <v>4</v>
      </c>
      <c r="O440" s="146">
        <f t="shared" si="69"/>
        <v>0.5</v>
      </c>
      <c r="P440" s="146"/>
      <c r="Q440" s="70"/>
      <c r="V440" s="63"/>
      <c r="W440" s="63"/>
      <c r="X440" s="63"/>
      <c r="Y440" s="63"/>
      <c r="Z440" s="63"/>
      <c r="AA440" s="63"/>
      <c r="AB440" s="63"/>
      <c r="AC440" s="63"/>
      <c r="AD440" s="63"/>
      <c r="AE440" s="63"/>
      <c r="AF440" s="63"/>
      <c r="AG440" s="63"/>
      <c r="AH440" s="63"/>
      <c r="AI440" s="63"/>
      <c r="AJ440" s="63"/>
    </row>
    <row r="441">
      <c r="A441" s="135">
        <v>446.0</v>
      </c>
      <c r="B441" s="67">
        <v>6.0</v>
      </c>
      <c r="C441" s="31" t="s">
        <v>789</v>
      </c>
      <c r="D441" s="68" t="s">
        <v>1547</v>
      </c>
      <c r="E441" s="71" t="s">
        <v>2900</v>
      </c>
      <c r="F441" s="69" t="s">
        <v>1542</v>
      </c>
      <c r="G441" s="69" t="s">
        <v>2894</v>
      </c>
      <c r="H441" s="145">
        <v>3.0</v>
      </c>
      <c r="I441" s="145">
        <v>3.0</v>
      </c>
      <c r="J441" s="69">
        <v>5.0</v>
      </c>
      <c r="K441" s="69" t="str">
        <f>iferror(vlookup(E441,MasterClass!$C$2:$G988,5,false),"")</f>
        <v/>
      </c>
      <c r="L441" s="181">
        <v>0.0</v>
      </c>
      <c r="M441" s="69">
        <f t="shared" si="67"/>
        <v>8</v>
      </c>
      <c r="N441" s="69">
        <f t="shared" si="68"/>
        <v>3</v>
      </c>
      <c r="O441" s="146">
        <f t="shared" si="69"/>
        <v>0.375</v>
      </c>
      <c r="P441" s="146"/>
      <c r="Q441" s="70"/>
      <c r="R441" s="63"/>
      <c r="S441" s="63"/>
      <c r="T441" s="63"/>
      <c r="U441" s="63"/>
      <c r="V441" s="63"/>
      <c r="W441" s="63"/>
      <c r="X441" s="63"/>
      <c r="Y441" s="63"/>
      <c r="Z441" s="63"/>
      <c r="AA441" s="63"/>
      <c r="AB441" s="63"/>
      <c r="AC441" s="63"/>
      <c r="AD441" s="63"/>
      <c r="AE441" s="63"/>
      <c r="AF441" s="63"/>
      <c r="AG441" s="63"/>
      <c r="AH441" s="63"/>
      <c r="AI441" s="63"/>
      <c r="AJ441" s="63"/>
    </row>
    <row r="442">
      <c r="A442" s="135">
        <v>447.0</v>
      </c>
      <c r="B442" s="67">
        <v>7.0</v>
      </c>
      <c r="C442" s="31" t="s">
        <v>791</v>
      </c>
      <c r="D442" s="68" t="s">
        <v>1548</v>
      </c>
      <c r="E442" s="71" t="s">
        <v>2901</v>
      </c>
      <c r="F442" s="69" t="s">
        <v>1542</v>
      </c>
      <c r="G442" s="69" t="s">
        <v>2897</v>
      </c>
      <c r="H442" s="145">
        <v>3.0</v>
      </c>
      <c r="I442" s="145">
        <v>3.0</v>
      </c>
      <c r="J442" s="69">
        <v>5.0</v>
      </c>
      <c r="K442" s="69" t="str">
        <f>iferror(vlookup(E442,MasterClass!$C$2:$G988,5,false),"")</f>
        <v/>
      </c>
      <c r="L442" s="69">
        <v>5.0</v>
      </c>
      <c r="M442" s="69">
        <f t="shared" si="67"/>
        <v>8</v>
      </c>
      <c r="N442" s="69">
        <f t="shared" si="68"/>
        <v>8</v>
      </c>
      <c r="O442" s="146">
        <f t="shared" si="69"/>
        <v>1</v>
      </c>
      <c r="P442" s="146"/>
      <c r="Q442" s="70"/>
      <c r="V442" s="63"/>
      <c r="W442" s="63"/>
      <c r="X442" s="63"/>
      <c r="Y442" s="63"/>
      <c r="Z442" s="63"/>
      <c r="AA442" s="63"/>
      <c r="AB442" s="63"/>
      <c r="AC442" s="63"/>
      <c r="AD442" s="63"/>
      <c r="AE442" s="63"/>
      <c r="AF442" s="63"/>
      <c r="AG442" s="63"/>
      <c r="AH442" s="63"/>
      <c r="AI442" s="63"/>
      <c r="AJ442" s="63"/>
    </row>
    <row r="443">
      <c r="A443" s="135">
        <v>448.0</v>
      </c>
      <c r="B443" s="67">
        <v>8.0</v>
      </c>
      <c r="C443" s="31" t="s">
        <v>793</v>
      </c>
      <c r="D443" s="71" t="s">
        <v>1549</v>
      </c>
      <c r="E443" s="71" t="s">
        <v>2902</v>
      </c>
      <c r="F443" s="69" t="s">
        <v>1542</v>
      </c>
      <c r="G443" s="69" t="s">
        <v>2894</v>
      </c>
      <c r="H443" s="145">
        <v>3.0</v>
      </c>
      <c r="I443" s="145">
        <v>3.0</v>
      </c>
      <c r="J443" s="69">
        <v>5.0</v>
      </c>
      <c r="K443" s="69" t="str">
        <f>iferror(vlookup(E443,MasterClass!$C$2:$G988,5,false),"")</f>
        <v/>
      </c>
      <c r="L443" s="181">
        <v>0.0</v>
      </c>
      <c r="M443" s="69">
        <f t="shared" si="67"/>
        <v>8</v>
      </c>
      <c r="N443" s="69">
        <f t="shared" si="68"/>
        <v>3</v>
      </c>
      <c r="O443" s="146">
        <f t="shared" si="69"/>
        <v>0.375</v>
      </c>
      <c r="P443" s="146"/>
      <c r="Q443" s="70"/>
      <c r="V443" s="63"/>
      <c r="W443" s="63"/>
      <c r="X443" s="63"/>
      <c r="Y443" s="63"/>
      <c r="Z443" s="63"/>
      <c r="AA443" s="63"/>
      <c r="AB443" s="63"/>
      <c r="AC443" s="63"/>
      <c r="AD443" s="63"/>
      <c r="AE443" s="63"/>
      <c r="AF443" s="63"/>
      <c r="AG443" s="63"/>
      <c r="AH443" s="63"/>
      <c r="AI443" s="63"/>
      <c r="AJ443" s="63"/>
    </row>
    <row r="444">
      <c r="A444" s="135">
        <v>449.0</v>
      </c>
      <c r="B444" s="67">
        <v>9.0</v>
      </c>
      <c r="C444" s="31" t="s">
        <v>795</v>
      </c>
      <c r="D444" s="68" t="s">
        <v>1550</v>
      </c>
      <c r="E444" s="71" t="s">
        <v>2903</v>
      </c>
      <c r="F444" s="69" t="s">
        <v>1542</v>
      </c>
      <c r="G444" s="69" t="s">
        <v>2897</v>
      </c>
      <c r="H444" s="145">
        <v>3.0</v>
      </c>
      <c r="I444" s="145">
        <v>3.0</v>
      </c>
      <c r="J444" s="69">
        <v>5.0</v>
      </c>
      <c r="K444" s="69" t="str">
        <f>iferror(vlookup(E444,MasterClass!$C$2:$G988,5,false),"")</f>
        <v/>
      </c>
      <c r="L444" s="69">
        <v>4.0</v>
      </c>
      <c r="M444" s="69">
        <f t="shared" si="67"/>
        <v>8</v>
      </c>
      <c r="N444" s="69">
        <f t="shared" si="68"/>
        <v>7</v>
      </c>
      <c r="O444" s="146">
        <f t="shared" si="69"/>
        <v>0.875</v>
      </c>
      <c r="P444" s="146"/>
      <c r="Q444" s="70"/>
      <c r="V444" s="63"/>
      <c r="W444" s="63"/>
      <c r="X444" s="63"/>
      <c r="Y444" s="63"/>
      <c r="Z444" s="63"/>
      <c r="AA444" s="63"/>
      <c r="AB444" s="63"/>
      <c r="AC444" s="63"/>
      <c r="AD444" s="63"/>
      <c r="AE444" s="63"/>
      <c r="AF444" s="63"/>
      <c r="AG444" s="63"/>
      <c r="AH444" s="63"/>
      <c r="AI444" s="63"/>
      <c r="AJ444" s="63"/>
    </row>
    <row r="445">
      <c r="A445" s="135">
        <v>450.0</v>
      </c>
      <c r="B445" s="67">
        <v>10.0</v>
      </c>
      <c r="C445" s="31" t="s">
        <v>797</v>
      </c>
      <c r="D445" s="68" t="s">
        <v>1551</v>
      </c>
      <c r="E445" s="71" t="s">
        <v>2904</v>
      </c>
      <c r="F445" s="69" t="s">
        <v>1542</v>
      </c>
      <c r="G445" s="69" t="s">
        <v>2897</v>
      </c>
      <c r="H445" s="145">
        <v>3.0</v>
      </c>
      <c r="I445" s="145">
        <v>1.0</v>
      </c>
      <c r="J445" s="69">
        <v>5.0</v>
      </c>
      <c r="K445" s="69" t="str">
        <f>iferror(vlookup(E445,MasterClass!$C$2:$G988,5,false),"")</f>
        <v/>
      </c>
      <c r="L445" s="69">
        <v>3.0</v>
      </c>
      <c r="M445" s="69">
        <f t="shared" si="67"/>
        <v>8</v>
      </c>
      <c r="N445" s="69">
        <f t="shared" si="68"/>
        <v>4</v>
      </c>
      <c r="O445" s="146">
        <f t="shared" si="69"/>
        <v>0.5</v>
      </c>
      <c r="P445" s="146"/>
      <c r="Q445" s="70"/>
      <c r="V445" s="63"/>
      <c r="W445" s="63"/>
      <c r="X445" s="63"/>
      <c r="Y445" s="63"/>
      <c r="Z445" s="63"/>
      <c r="AA445" s="63"/>
      <c r="AB445" s="63"/>
      <c r="AC445" s="63"/>
      <c r="AD445" s="63"/>
      <c r="AE445" s="63"/>
      <c r="AF445" s="63"/>
      <c r="AG445" s="63"/>
      <c r="AH445" s="63"/>
      <c r="AI445" s="63"/>
      <c r="AJ445" s="63"/>
    </row>
    <row r="446">
      <c r="A446" s="135">
        <v>451.0</v>
      </c>
      <c r="B446" s="67">
        <v>11.0</v>
      </c>
      <c r="C446" s="31" t="s">
        <v>799</v>
      </c>
      <c r="D446" s="68" t="s">
        <v>1552</v>
      </c>
      <c r="E446" s="71" t="s">
        <v>2905</v>
      </c>
      <c r="F446" s="69" t="s">
        <v>1542</v>
      </c>
      <c r="G446" s="69" t="s">
        <v>2897</v>
      </c>
      <c r="H446" s="145">
        <v>3.0</v>
      </c>
      <c r="I446" s="145">
        <v>3.0</v>
      </c>
      <c r="J446" s="69">
        <v>5.0</v>
      </c>
      <c r="K446" s="69" t="str">
        <f>iferror(vlookup(E446,MasterClass!$C$2:$G988,5,false),"")</f>
        <v/>
      </c>
      <c r="L446" s="69">
        <v>3.0</v>
      </c>
      <c r="M446" s="69">
        <f t="shared" si="67"/>
        <v>8</v>
      </c>
      <c r="N446" s="69">
        <f t="shared" si="68"/>
        <v>6</v>
      </c>
      <c r="O446" s="146">
        <f t="shared" si="69"/>
        <v>0.75</v>
      </c>
      <c r="P446" s="146"/>
      <c r="Q446" s="70"/>
      <c r="V446" s="63"/>
      <c r="W446" s="63"/>
      <c r="X446" s="63"/>
      <c r="Y446" s="63"/>
      <c r="Z446" s="63"/>
      <c r="AA446" s="63"/>
      <c r="AB446" s="63"/>
      <c r="AC446" s="63"/>
      <c r="AD446" s="63"/>
      <c r="AE446" s="63"/>
      <c r="AF446" s="63"/>
      <c r="AG446" s="63"/>
      <c r="AH446" s="63"/>
      <c r="AI446" s="63"/>
      <c r="AJ446" s="63"/>
    </row>
    <row r="447">
      <c r="A447" s="135">
        <v>452.0</v>
      </c>
      <c r="B447" s="67">
        <v>12.0</v>
      </c>
      <c r="C447" s="31" t="s">
        <v>801</v>
      </c>
      <c r="D447" s="71" t="s">
        <v>1553</v>
      </c>
      <c r="E447" s="71" t="s">
        <v>2906</v>
      </c>
      <c r="F447" s="69" t="s">
        <v>1542</v>
      </c>
      <c r="G447" s="69" t="s">
        <v>2897</v>
      </c>
      <c r="H447" s="145">
        <v>3.0</v>
      </c>
      <c r="I447" s="145">
        <v>3.0</v>
      </c>
      <c r="J447" s="69">
        <v>5.0</v>
      </c>
      <c r="K447" s="69" t="str">
        <f>iferror(vlookup(E447,MasterClass!$C$2:$G988,5,false),"")</f>
        <v/>
      </c>
      <c r="L447" s="181">
        <v>1.0</v>
      </c>
      <c r="M447" s="69">
        <f t="shared" si="67"/>
        <v>8</v>
      </c>
      <c r="N447" s="69">
        <f t="shared" si="68"/>
        <v>4</v>
      </c>
      <c r="O447" s="146">
        <f t="shared" si="69"/>
        <v>0.5</v>
      </c>
      <c r="P447" s="146"/>
      <c r="Q447" s="70"/>
      <c r="R447" s="63"/>
      <c r="S447" s="63"/>
      <c r="T447" s="63"/>
      <c r="U447" s="63"/>
      <c r="V447" s="63"/>
      <c r="W447" s="63"/>
      <c r="X447" s="63"/>
      <c r="Y447" s="63"/>
      <c r="Z447" s="63"/>
      <c r="AA447" s="63"/>
      <c r="AB447" s="63"/>
      <c r="AC447" s="63"/>
      <c r="AD447" s="63"/>
      <c r="AE447" s="63"/>
      <c r="AF447" s="63"/>
      <c r="AG447" s="63"/>
      <c r="AH447" s="63"/>
      <c r="AI447" s="63"/>
      <c r="AJ447" s="63"/>
    </row>
    <row r="448">
      <c r="A448" s="135">
        <v>453.0</v>
      </c>
      <c r="B448" s="67">
        <v>13.0</v>
      </c>
      <c r="C448" s="31" t="s">
        <v>803</v>
      </c>
      <c r="D448" s="68" t="s">
        <v>1554</v>
      </c>
      <c r="E448" s="71" t="s">
        <v>2907</v>
      </c>
      <c r="F448" s="69" t="s">
        <v>1542</v>
      </c>
      <c r="G448" s="69" t="s">
        <v>2897</v>
      </c>
      <c r="H448" s="145">
        <v>3.0</v>
      </c>
      <c r="I448" s="145">
        <v>3.0</v>
      </c>
      <c r="J448" s="69">
        <v>5.0</v>
      </c>
      <c r="K448" s="69" t="str">
        <f>iferror(vlookup(E448,MasterClass!$C$2:$G988,5,false),"")</f>
        <v/>
      </c>
      <c r="L448" s="69">
        <v>4.0</v>
      </c>
      <c r="M448" s="69">
        <f t="shared" si="67"/>
        <v>8</v>
      </c>
      <c r="N448" s="69">
        <f t="shared" si="68"/>
        <v>7</v>
      </c>
      <c r="O448" s="146">
        <f t="shared" si="69"/>
        <v>0.875</v>
      </c>
      <c r="P448" s="146"/>
      <c r="Q448" s="70"/>
      <c r="V448" s="63"/>
      <c r="W448" s="63"/>
      <c r="X448" s="63"/>
      <c r="Y448" s="63"/>
      <c r="Z448" s="63"/>
      <c r="AA448" s="63"/>
      <c r="AB448" s="63"/>
      <c r="AC448" s="63"/>
      <c r="AD448" s="63"/>
      <c r="AE448" s="63"/>
      <c r="AF448" s="63"/>
      <c r="AG448" s="63"/>
      <c r="AH448" s="63"/>
      <c r="AI448" s="63"/>
      <c r="AJ448" s="63"/>
    </row>
    <row r="449">
      <c r="A449" s="135">
        <v>454.0</v>
      </c>
      <c r="B449" s="67">
        <v>14.0</v>
      </c>
      <c r="C449" s="31" t="s">
        <v>805</v>
      </c>
      <c r="D449" s="68" t="s">
        <v>1555</v>
      </c>
      <c r="E449" s="71" t="s">
        <v>2908</v>
      </c>
      <c r="F449" s="69" t="s">
        <v>1542</v>
      </c>
      <c r="G449" s="69" t="s">
        <v>2897</v>
      </c>
      <c r="H449" s="145">
        <v>3.0</v>
      </c>
      <c r="I449" s="145">
        <v>2.0</v>
      </c>
      <c r="J449" s="69">
        <v>5.0</v>
      </c>
      <c r="K449" s="69" t="str">
        <f>iferror(vlookup(E449,MasterClass!$C$2:$G988,5,false),"")</f>
        <v/>
      </c>
      <c r="L449" s="69">
        <v>3.0</v>
      </c>
      <c r="M449" s="69">
        <f t="shared" si="67"/>
        <v>8</v>
      </c>
      <c r="N449" s="69">
        <f t="shared" si="68"/>
        <v>5</v>
      </c>
      <c r="O449" s="146">
        <f t="shared" si="69"/>
        <v>0.625</v>
      </c>
      <c r="P449" s="146"/>
      <c r="Q449" s="70"/>
      <c r="V449" s="63"/>
      <c r="W449" s="63"/>
      <c r="X449" s="63"/>
      <c r="Y449" s="63"/>
      <c r="Z449" s="63"/>
      <c r="AA449" s="63"/>
      <c r="AB449" s="63"/>
      <c r="AC449" s="63"/>
      <c r="AD449" s="63"/>
      <c r="AE449" s="63"/>
      <c r="AF449" s="63"/>
      <c r="AG449" s="63"/>
      <c r="AH449" s="63"/>
      <c r="AI449" s="63"/>
      <c r="AJ449" s="63"/>
    </row>
    <row r="450">
      <c r="A450" s="135">
        <v>455.0</v>
      </c>
      <c r="B450" s="67">
        <v>15.0</v>
      </c>
      <c r="C450" s="31" t="s">
        <v>807</v>
      </c>
      <c r="D450" s="68" t="s">
        <v>1556</v>
      </c>
      <c r="E450" s="71" t="s">
        <v>2909</v>
      </c>
      <c r="F450" s="69" t="s">
        <v>1542</v>
      </c>
      <c r="G450" s="69" t="s">
        <v>2894</v>
      </c>
      <c r="H450" s="145">
        <v>3.0</v>
      </c>
      <c r="I450" s="145">
        <v>3.0</v>
      </c>
      <c r="J450" s="69">
        <v>5.0</v>
      </c>
      <c r="K450" s="69" t="str">
        <f>iferror(vlookup(E450,MasterClass!$C$2:$G988,5,false),"")</f>
        <v/>
      </c>
      <c r="L450" s="69">
        <v>3.0</v>
      </c>
      <c r="M450" s="69">
        <f t="shared" si="67"/>
        <v>8</v>
      </c>
      <c r="N450" s="69">
        <f t="shared" si="68"/>
        <v>6</v>
      </c>
      <c r="O450" s="146">
        <f t="shared" si="69"/>
        <v>0.75</v>
      </c>
      <c r="P450" s="146"/>
      <c r="Q450" s="70"/>
      <c r="R450" s="63"/>
      <c r="S450" s="63"/>
      <c r="T450" s="63"/>
      <c r="U450" s="63"/>
      <c r="V450" s="63"/>
      <c r="W450" s="63"/>
      <c r="X450" s="63"/>
      <c r="Y450" s="63"/>
      <c r="Z450" s="63"/>
      <c r="AA450" s="63"/>
      <c r="AB450" s="63"/>
      <c r="AC450" s="63"/>
      <c r="AD450" s="63"/>
      <c r="AE450" s="63"/>
      <c r="AF450" s="63"/>
      <c r="AG450" s="63"/>
      <c r="AH450" s="63"/>
      <c r="AI450" s="63"/>
      <c r="AJ450" s="63"/>
    </row>
    <row r="451">
      <c r="A451" s="135">
        <v>456.0</v>
      </c>
      <c r="B451" s="67">
        <v>16.0</v>
      </c>
      <c r="C451" s="31" t="s">
        <v>809</v>
      </c>
      <c r="D451" s="68" t="s">
        <v>1557</v>
      </c>
      <c r="E451" s="71" t="s">
        <v>2910</v>
      </c>
      <c r="F451" s="69" t="s">
        <v>1542</v>
      </c>
      <c r="G451" s="69" t="s">
        <v>2897</v>
      </c>
      <c r="H451" s="145">
        <v>3.0</v>
      </c>
      <c r="I451" s="145">
        <v>1.0</v>
      </c>
      <c r="J451" s="69">
        <v>5.0</v>
      </c>
      <c r="K451" s="69" t="str">
        <f>iferror(vlookup(E451,MasterClass!$C$2:$G988,5,false),"")</f>
        <v/>
      </c>
      <c r="L451" s="69">
        <v>2.0</v>
      </c>
      <c r="M451" s="69">
        <f t="shared" si="67"/>
        <v>8</v>
      </c>
      <c r="N451" s="69">
        <f t="shared" si="68"/>
        <v>3</v>
      </c>
      <c r="O451" s="146">
        <f t="shared" si="69"/>
        <v>0.375</v>
      </c>
      <c r="P451" s="146"/>
      <c r="Q451" s="70"/>
      <c r="V451" s="63"/>
      <c r="W451" s="63"/>
      <c r="X451" s="63"/>
      <c r="Y451" s="63"/>
      <c r="Z451" s="63"/>
      <c r="AA451" s="63"/>
      <c r="AB451" s="63"/>
      <c r="AC451" s="63"/>
      <c r="AD451" s="63"/>
      <c r="AE451" s="63"/>
      <c r="AF451" s="63"/>
      <c r="AG451" s="63"/>
      <c r="AH451" s="63"/>
      <c r="AI451" s="63"/>
      <c r="AJ451" s="63"/>
    </row>
    <row r="452">
      <c r="A452" s="135">
        <v>457.0</v>
      </c>
      <c r="B452" s="67">
        <v>17.0</v>
      </c>
      <c r="C452" s="31" t="s">
        <v>811</v>
      </c>
      <c r="D452" s="68" t="s">
        <v>1558</v>
      </c>
      <c r="E452" s="71" t="s">
        <v>2911</v>
      </c>
      <c r="F452" s="69" t="s">
        <v>1542</v>
      </c>
      <c r="G452" s="69" t="s">
        <v>2897</v>
      </c>
      <c r="H452" s="145">
        <v>3.0</v>
      </c>
      <c r="I452" s="145">
        <v>3.0</v>
      </c>
      <c r="J452" s="69">
        <v>5.0</v>
      </c>
      <c r="K452" s="69" t="str">
        <f>iferror(vlookup(E452,MasterClass!$C$2:$G988,5,false),"")</f>
        <v/>
      </c>
      <c r="L452" s="69">
        <v>4.0</v>
      </c>
      <c r="M452" s="69">
        <f t="shared" si="67"/>
        <v>8</v>
      </c>
      <c r="N452" s="69">
        <f t="shared" si="68"/>
        <v>7</v>
      </c>
      <c r="O452" s="146">
        <f t="shared" si="69"/>
        <v>0.875</v>
      </c>
      <c r="P452" s="146"/>
      <c r="Q452" s="70"/>
      <c r="V452" s="63"/>
      <c r="W452" s="63"/>
      <c r="X452" s="63"/>
      <c r="Y452" s="63"/>
      <c r="Z452" s="63"/>
      <c r="AA452" s="63"/>
      <c r="AB452" s="63"/>
      <c r="AC452" s="63"/>
      <c r="AD452" s="63"/>
      <c r="AE452" s="63"/>
      <c r="AF452" s="63"/>
      <c r="AG452" s="63"/>
      <c r="AH452" s="63"/>
      <c r="AI452" s="63"/>
      <c r="AJ452" s="63"/>
    </row>
    <row r="453">
      <c r="A453" s="135">
        <v>458.0</v>
      </c>
      <c r="B453" s="67">
        <v>18.0</v>
      </c>
      <c r="C453" s="31" t="s">
        <v>813</v>
      </c>
      <c r="D453" s="68" t="s">
        <v>1559</v>
      </c>
      <c r="E453" s="71" t="s">
        <v>2912</v>
      </c>
      <c r="F453" s="69" t="s">
        <v>1542</v>
      </c>
      <c r="G453" s="69" t="s">
        <v>2894</v>
      </c>
      <c r="H453" s="145">
        <v>3.0</v>
      </c>
      <c r="I453" s="145">
        <v>3.0</v>
      </c>
      <c r="J453" s="69">
        <v>5.0</v>
      </c>
      <c r="K453" s="69" t="str">
        <f>iferror(vlookup(E453,MasterClass!$C$2:$G988,5,false),"")</f>
        <v/>
      </c>
      <c r="L453" s="181">
        <v>0.0</v>
      </c>
      <c r="M453" s="69">
        <f t="shared" si="67"/>
        <v>8</v>
      </c>
      <c r="N453" s="69">
        <f t="shared" si="68"/>
        <v>3</v>
      </c>
      <c r="O453" s="146">
        <f t="shared" si="69"/>
        <v>0.375</v>
      </c>
      <c r="P453" s="146"/>
      <c r="Q453" s="70"/>
      <c r="R453" s="63"/>
      <c r="S453" s="63"/>
      <c r="T453" s="63"/>
      <c r="U453" s="63"/>
      <c r="V453" s="63"/>
      <c r="W453" s="63"/>
      <c r="X453" s="63"/>
      <c r="Y453" s="63"/>
      <c r="Z453" s="63"/>
      <c r="AA453" s="63"/>
      <c r="AB453" s="63"/>
      <c r="AC453" s="63"/>
      <c r="AD453" s="63"/>
      <c r="AE453" s="63"/>
      <c r="AF453" s="63"/>
      <c r="AG453" s="63"/>
      <c r="AH453" s="63"/>
      <c r="AI453" s="63"/>
      <c r="AJ453" s="63"/>
    </row>
    <row r="454">
      <c r="A454" s="135">
        <v>459.0</v>
      </c>
      <c r="B454" s="67">
        <v>19.0</v>
      </c>
      <c r="C454" s="31" t="s">
        <v>815</v>
      </c>
      <c r="D454" s="68" t="s">
        <v>1560</v>
      </c>
      <c r="E454" s="71" t="s">
        <v>2913</v>
      </c>
      <c r="F454" s="69" t="s">
        <v>1542</v>
      </c>
      <c r="G454" s="69" t="s">
        <v>2894</v>
      </c>
      <c r="H454" s="145">
        <v>3.0</v>
      </c>
      <c r="I454" s="145">
        <v>3.0</v>
      </c>
      <c r="J454" s="69">
        <v>5.0</v>
      </c>
      <c r="K454" s="69" t="str">
        <f>iferror(vlookup(E454,MasterClass!$C$2:$G988,5,false),"")</f>
        <v/>
      </c>
      <c r="L454" s="181">
        <v>1.0</v>
      </c>
      <c r="M454" s="69">
        <f t="shared" si="67"/>
        <v>8</v>
      </c>
      <c r="N454" s="69">
        <f t="shared" si="68"/>
        <v>4</v>
      </c>
      <c r="O454" s="146">
        <f t="shared" si="69"/>
        <v>0.5</v>
      </c>
      <c r="P454" s="146"/>
      <c r="Q454" s="70"/>
      <c r="R454" s="63"/>
      <c r="S454" s="63"/>
      <c r="T454" s="63"/>
      <c r="U454" s="63"/>
      <c r="V454" s="63"/>
      <c r="W454" s="63"/>
      <c r="X454" s="63"/>
      <c r="Y454" s="63"/>
      <c r="Z454" s="63"/>
      <c r="AA454" s="63"/>
      <c r="AB454" s="63"/>
      <c r="AC454" s="63"/>
      <c r="AD454" s="63"/>
      <c r="AE454" s="63"/>
      <c r="AF454" s="63"/>
      <c r="AG454" s="63"/>
      <c r="AH454" s="63"/>
      <c r="AI454" s="63"/>
      <c r="AJ454" s="63"/>
    </row>
    <row r="455">
      <c r="A455" s="135">
        <v>460.0</v>
      </c>
      <c r="B455" s="67">
        <v>20.0</v>
      </c>
      <c r="C455" s="31" t="s">
        <v>817</v>
      </c>
      <c r="D455" s="71" t="s">
        <v>1561</v>
      </c>
      <c r="E455" s="71" t="s">
        <v>2914</v>
      </c>
      <c r="F455" s="69" t="s">
        <v>1542</v>
      </c>
      <c r="G455" s="69" t="s">
        <v>2894</v>
      </c>
      <c r="H455" s="145">
        <v>3.0</v>
      </c>
      <c r="I455" s="145">
        <v>3.0</v>
      </c>
      <c r="J455" s="69">
        <v>5.0</v>
      </c>
      <c r="K455" s="69" t="str">
        <f>iferror(vlookup(E455,MasterClass!$C$2:$G988,5,false),"")</f>
        <v/>
      </c>
      <c r="L455" s="69">
        <v>4.0</v>
      </c>
      <c r="M455" s="69">
        <f t="shared" si="67"/>
        <v>8</v>
      </c>
      <c r="N455" s="69">
        <f t="shared" si="68"/>
        <v>7</v>
      </c>
      <c r="O455" s="146">
        <f t="shared" si="69"/>
        <v>0.875</v>
      </c>
      <c r="P455" s="146"/>
      <c r="Q455" s="70"/>
      <c r="V455" s="63"/>
      <c r="W455" s="63"/>
      <c r="X455" s="63"/>
      <c r="Y455" s="63"/>
      <c r="Z455" s="63"/>
      <c r="AA455" s="63"/>
      <c r="AB455" s="63"/>
      <c r="AC455" s="63"/>
      <c r="AD455" s="63"/>
      <c r="AE455" s="63"/>
      <c r="AF455" s="63"/>
      <c r="AG455" s="63"/>
      <c r="AH455" s="63"/>
      <c r="AI455" s="63"/>
      <c r="AJ455" s="63"/>
    </row>
    <row r="456">
      <c r="A456" s="135">
        <v>461.0</v>
      </c>
      <c r="B456" s="67">
        <v>21.0</v>
      </c>
      <c r="C456" s="31" t="s">
        <v>819</v>
      </c>
      <c r="D456" s="68" t="s">
        <v>1562</v>
      </c>
      <c r="E456" s="71" t="s">
        <v>2915</v>
      </c>
      <c r="F456" s="69" t="s">
        <v>1542</v>
      </c>
      <c r="G456" s="69" t="s">
        <v>2894</v>
      </c>
      <c r="H456" s="145">
        <v>3.0</v>
      </c>
      <c r="I456" s="145">
        <v>3.0</v>
      </c>
      <c r="J456" s="69">
        <v>5.0</v>
      </c>
      <c r="K456" s="69" t="str">
        <f>iferror(vlookup(E456,MasterClass!$C$2:$G988,5,false),"")</f>
        <v/>
      </c>
      <c r="L456" s="181">
        <v>1.0</v>
      </c>
      <c r="M456" s="69">
        <f t="shared" si="67"/>
        <v>8</v>
      </c>
      <c r="N456" s="69">
        <f t="shared" si="68"/>
        <v>4</v>
      </c>
      <c r="O456" s="146">
        <f t="shared" si="69"/>
        <v>0.5</v>
      </c>
      <c r="P456" s="146"/>
      <c r="Q456" s="70"/>
      <c r="R456" s="63"/>
      <c r="S456" s="63"/>
      <c r="T456" s="63"/>
      <c r="U456" s="63"/>
      <c r="V456" s="63"/>
      <c r="W456" s="63"/>
      <c r="X456" s="63"/>
      <c r="Y456" s="63"/>
      <c r="Z456" s="63"/>
      <c r="AA456" s="63"/>
      <c r="AB456" s="63"/>
      <c r="AC456" s="63"/>
      <c r="AD456" s="63"/>
      <c r="AE456" s="63"/>
      <c r="AF456" s="63"/>
      <c r="AG456" s="63"/>
      <c r="AH456" s="63"/>
      <c r="AI456" s="63"/>
      <c r="AJ456" s="63"/>
    </row>
    <row r="457">
      <c r="A457" s="135">
        <v>462.0</v>
      </c>
      <c r="B457" s="67">
        <v>22.0</v>
      </c>
      <c r="C457" s="31" t="s">
        <v>821</v>
      </c>
      <c r="D457" s="68" t="s">
        <v>1563</v>
      </c>
      <c r="E457" s="71" t="s">
        <v>2916</v>
      </c>
      <c r="F457" s="69" t="s">
        <v>1542</v>
      </c>
      <c r="G457" s="69" t="s">
        <v>2897</v>
      </c>
      <c r="H457" s="145">
        <v>3.0</v>
      </c>
      <c r="I457" s="145">
        <v>3.0</v>
      </c>
      <c r="J457" s="69">
        <v>5.0</v>
      </c>
      <c r="K457" s="69" t="str">
        <f>iferror(vlookup(E457,MasterClass!$C$2:$G988,5,false),"")</f>
        <v/>
      </c>
      <c r="L457" s="69">
        <v>4.0</v>
      </c>
      <c r="M457" s="69">
        <f t="shared" si="67"/>
        <v>8</v>
      </c>
      <c r="N457" s="69">
        <f t="shared" si="68"/>
        <v>7</v>
      </c>
      <c r="O457" s="146">
        <f t="shared" si="69"/>
        <v>0.875</v>
      </c>
      <c r="P457" s="146"/>
      <c r="Q457" s="70"/>
      <c r="V457" s="63"/>
      <c r="W457" s="63"/>
      <c r="X457" s="63"/>
      <c r="Y457" s="63"/>
      <c r="Z457" s="63"/>
      <c r="AA457" s="63"/>
      <c r="AB457" s="63"/>
      <c r="AC457" s="63"/>
      <c r="AD457" s="63"/>
      <c r="AE457" s="63"/>
      <c r="AF457" s="63"/>
      <c r="AG457" s="63"/>
      <c r="AH457" s="63"/>
      <c r="AI457" s="63"/>
      <c r="AJ457" s="63"/>
    </row>
    <row r="458">
      <c r="A458" s="135">
        <v>463.0</v>
      </c>
      <c r="B458" s="67">
        <v>23.0</v>
      </c>
      <c r="C458" s="31" t="s">
        <v>823</v>
      </c>
      <c r="D458" s="68" t="s">
        <v>1564</v>
      </c>
      <c r="E458" s="71" t="s">
        <v>2917</v>
      </c>
      <c r="F458" s="69" t="s">
        <v>1542</v>
      </c>
      <c r="G458" s="69" t="s">
        <v>2918</v>
      </c>
      <c r="H458" s="145">
        <v>2.0</v>
      </c>
      <c r="I458" s="145">
        <v>0.0</v>
      </c>
      <c r="J458" s="69">
        <v>5.0</v>
      </c>
      <c r="K458" s="69" t="str">
        <f>iferror(vlookup(E458,MasterClass!$C$2:$G988,5,false),"")</f>
        <v/>
      </c>
      <c r="L458" s="181">
        <v>2.0</v>
      </c>
      <c r="M458" s="69">
        <f t="shared" si="67"/>
        <v>7</v>
      </c>
      <c r="N458" s="69">
        <f t="shared" si="68"/>
        <v>2</v>
      </c>
      <c r="O458" s="146">
        <f t="shared" si="69"/>
        <v>0.2857142857</v>
      </c>
      <c r="P458" s="146"/>
      <c r="Q458" s="70"/>
      <c r="R458" s="63"/>
      <c r="S458" s="63"/>
      <c r="T458" s="63"/>
      <c r="U458" s="63"/>
      <c r="V458" s="63"/>
      <c r="W458" s="63"/>
      <c r="X458" s="63"/>
      <c r="Y458" s="63"/>
      <c r="Z458" s="63"/>
      <c r="AA458" s="63"/>
      <c r="AB458" s="63"/>
      <c r="AC458" s="63"/>
      <c r="AD458" s="63"/>
      <c r="AE458" s="63"/>
      <c r="AF458" s="63"/>
      <c r="AG458" s="63"/>
      <c r="AH458" s="63"/>
      <c r="AI458" s="63"/>
      <c r="AJ458" s="63"/>
    </row>
    <row r="459">
      <c r="A459" s="135">
        <v>464.0</v>
      </c>
      <c r="B459" s="67">
        <v>24.0</v>
      </c>
      <c r="C459" s="31" t="s">
        <v>825</v>
      </c>
      <c r="D459" s="68" t="s">
        <v>1565</v>
      </c>
      <c r="E459" s="71" t="s">
        <v>2919</v>
      </c>
      <c r="F459" s="69" t="s">
        <v>1542</v>
      </c>
      <c r="G459" s="69" t="s">
        <v>2918</v>
      </c>
      <c r="H459" s="145">
        <v>2.0</v>
      </c>
      <c r="I459" s="145">
        <v>0.0</v>
      </c>
      <c r="J459" s="69">
        <v>5.0</v>
      </c>
      <c r="K459" s="69" t="str">
        <f>iferror(vlookup(E459,MasterClass!$C$2:$G988,5,false),"")</f>
        <v/>
      </c>
      <c r="L459" s="69">
        <v>2.0</v>
      </c>
      <c r="M459" s="69">
        <f t="shared" si="67"/>
        <v>7</v>
      </c>
      <c r="N459" s="69">
        <f t="shared" si="68"/>
        <v>2</v>
      </c>
      <c r="O459" s="146">
        <f t="shared" si="69"/>
        <v>0.2857142857</v>
      </c>
      <c r="P459" s="146"/>
      <c r="Q459" s="70"/>
      <c r="R459" s="63"/>
      <c r="S459" s="63"/>
      <c r="T459" s="63"/>
      <c r="U459" s="63"/>
      <c r="V459" s="63"/>
      <c r="W459" s="63"/>
      <c r="X459" s="63"/>
      <c r="Y459" s="63"/>
      <c r="Z459" s="63"/>
      <c r="AA459" s="63"/>
      <c r="AB459" s="63"/>
      <c r="AC459" s="63"/>
      <c r="AD459" s="63"/>
      <c r="AE459" s="63"/>
      <c r="AF459" s="63"/>
      <c r="AG459" s="63"/>
      <c r="AH459" s="63"/>
      <c r="AI459" s="63"/>
      <c r="AJ459" s="63"/>
    </row>
    <row r="460">
      <c r="A460" s="135">
        <v>465.0</v>
      </c>
      <c r="B460" s="67">
        <v>25.0</v>
      </c>
      <c r="C460" s="31" t="s">
        <v>827</v>
      </c>
      <c r="D460" s="68" t="s">
        <v>1566</v>
      </c>
      <c r="E460" s="71" t="s">
        <v>2920</v>
      </c>
      <c r="F460" s="69" t="s">
        <v>1542</v>
      </c>
      <c r="G460" s="69" t="s">
        <v>2918</v>
      </c>
      <c r="H460" s="145">
        <v>2.0</v>
      </c>
      <c r="I460" s="145">
        <v>1.0</v>
      </c>
      <c r="J460" s="69">
        <v>5.0</v>
      </c>
      <c r="K460" s="69" t="str">
        <f>iferror(vlookup(E460,MasterClass!$C$2:$G988,5,false),"")</f>
        <v/>
      </c>
      <c r="L460" s="69">
        <v>2.0</v>
      </c>
      <c r="M460" s="69">
        <f t="shared" si="67"/>
        <v>7</v>
      </c>
      <c r="N460" s="69">
        <f t="shared" si="68"/>
        <v>3</v>
      </c>
      <c r="O460" s="146">
        <f t="shared" si="69"/>
        <v>0.4285714286</v>
      </c>
      <c r="P460" s="146"/>
      <c r="Q460" s="70"/>
      <c r="R460" s="63"/>
      <c r="S460" s="63"/>
      <c r="T460" s="63"/>
      <c r="U460" s="63"/>
      <c r="V460" s="63"/>
      <c r="W460" s="63"/>
      <c r="X460" s="63"/>
      <c r="Y460" s="63"/>
      <c r="Z460" s="63"/>
      <c r="AA460" s="63"/>
      <c r="AB460" s="63"/>
      <c r="AC460" s="63"/>
      <c r="AD460" s="63"/>
      <c r="AE460" s="63"/>
      <c r="AF460" s="63"/>
      <c r="AG460" s="63"/>
      <c r="AH460" s="63"/>
      <c r="AI460" s="63"/>
      <c r="AJ460" s="63"/>
    </row>
    <row r="461">
      <c r="A461" s="135">
        <v>466.0</v>
      </c>
      <c r="B461" s="67">
        <v>26.0</v>
      </c>
      <c r="C461" s="31" t="s">
        <v>829</v>
      </c>
      <c r="D461" s="68" t="s">
        <v>1567</v>
      </c>
      <c r="E461" s="71" t="s">
        <v>2921</v>
      </c>
      <c r="F461" s="69" t="s">
        <v>1542</v>
      </c>
      <c r="G461" s="69" t="s">
        <v>2894</v>
      </c>
      <c r="H461" s="145">
        <v>3.0</v>
      </c>
      <c r="I461" s="145">
        <v>3.0</v>
      </c>
      <c r="J461" s="69">
        <v>5.0</v>
      </c>
      <c r="K461" s="69" t="str">
        <f>iferror(vlookup(E461,MasterClass!$C$2:$G988,5,false),"")</f>
        <v/>
      </c>
      <c r="L461" s="181">
        <v>1.0</v>
      </c>
      <c r="M461" s="69">
        <f t="shared" si="67"/>
        <v>8</v>
      </c>
      <c r="N461" s="69">
        <f t="shared" si="68"/>
        <v>4</v>
      </c>
      <c r="O461" s="146">
        <f t="shared" si="69"/>
        <v>0.5</v>
      </c>
      <c r="P461" s="146"/>
      <c r="Q461" s="70"/>
      <c r="R461" s="63"/>
      <c r="S461" s="63"/>
      <c r="T461" s="63"/>
      <c r="U461" s="63"/>
      <c r="V461" s="63"/>
      <c r="W461" s="63"/>
      <c r="X461" s="63"/>
      <c r="Y461" s="63"/>
      <c r="Z461" s="63"/>
      <c r="AA461" s="63"/>
      <c r="AB461" s="63"/>
      <c r="AC461" s="63"/>
      <c r="AD461" s="63"/>
      <c r="AE461" s="63"/>
      <c r="AF461" s="63"/>
      <c r="AG461" s="63"/>
      <c r="AH461" s="63"/>
      <c r="AI461" s="63"/>
      <c r="AJ461" s="63"/>
    </row>
    <row r="462">
      <c r="A462" s="135">
        <v>467.0</v>
      </c>
      <c r="B462" s="67">
        <v>27.0</v>
      </c>
      <c r="C462" s="31" t="s">
        <v>831</v>
      </c>
      <c r="D462" s="68" t="s">
        <v>1568</v>
      </c>
      <c r="E462" s="71" t="s">
        <v>2922</v>
      </c>
      <c r="F462" s="69" t="s">
        <v>1542</v>
      </c>
      <c r="G462" s="69" t="s">
        <v>2894</v>
      </c>
      <c r="H462" s="145">
        <v>3.0</v>
      </c>
      <c r="I462" s="145">
        <v>3.0</v>
      </c>
      <c r="J462" s="69">
        <v>5.0</v>
      </c>
      <c r="K462" s="69" t="str">
        <f>iferror(vlookup(E462,MasterClass!$C$2:$G988,5,false),"")</f>
        <v/>
      </c>
      <c r="L462" s="181">
        <v>0.0</v>
      </c>
      <c r="M462" s="69">
        <f t="shared" si="67"/>
        <v>8</v>
      </c>
      <c r="N462" s="69">
        <f t="shared" si="68"/>
        <v>3</v>
      </c>
      <c r="O462" s="146">
        <f t="shared" si="69"/>
        <v>0.375</v>
      </c>
      <c r="P462" s="146"/>
      <c r="Q462" s="70"/>
      <c r="R462" s="63"/>
      <c r="S462" s="63"/>
      <c r="T462" s="63"/>
      <c r="U462" s="63"/>
      <c r="V462" s="63"/>
      <c r="W462" s="63"/>
      <c r="X462" s="63"/>
      <c r="Y462" s="63"/>
      <c r="Z462" s="63"/>
      <c r="AA462" s="63"/>
      <c r="AB462" s="63"/>
      <c r="AC462" s="63"/>
      <c r="AD462" s="63"/>
      <c r="AE462" s="63"/>
      <c r="AF462" s="63"/>
      <c r="AG462" s="63"/>
      <c r="AH462" s="63"/>
      <c r="AI462" s="63"/>
      <c r="AJ462" s="63"/>
    </row>
    <row r="463">
      <c r="A463" s="135">
        <v>468.0</v>
      </c>
      <c r="B463" s="67">
        <v>28.0</v>
      </c>
      <c r="C463" s="31" t="s">
        <v>833</v>
      </c>
      <c r="D463" s="68" t="s">
        <v>1569</v>
      </c>
      <c r="E463" s="71" t="s">
        <v>2923</v>
      </c>
      <c r="F463" s="69" t="s">
        <v>1542</v>
      </c>
      <c r="G463" s="69" t="s">
        <v>2894</v>
      </c>
      <c r="H463" s="145">
        <v>3.0</v>
      </c>
      <c r="I463" s="145">
        <v>3.0</v>
      </c>
      <c r="J463" s="69">
        <v>5.0</v>
      </c>
      <c r="K463" s="69" t="str">
        <f>iferror(vlookup(E463,MasterClass!$C$2:$G988,5,false),"")</f>
        <v/>
      </c>
      <c r="L463" s="181">
        <v>0.0</v>
      </c>
      <c r="M463" s="69">
        <f t="shared" si="67"/>
        <v>8</v>
      </c>
      <c r="N463" s="69">
        <f t="shared" si="68"/>
        <v>3</v>
      </c>
      <c r="O463" s="146">
        <f t="shared" si="69"/>
        <v>0.375</v>
      </c>
      <c r="P463" s="146"/>
      <c r="Q463" s="70"/>
      <c r="R463" s="63"/>
      <c r="S463" s="63"/>
      <c r="T463" s="63"/>
      <c r="U463" s="63"/>
      <c r="V463" s="63"/>
      <c r="W463" s="63"/>
      <c r="X463" s="63"/>
      <c r="Y463" s="63"/>
      <c r="Z463" s="63"/>
      <c r="AA463" s="63"/>
      <c r="AB463" s="63"/>
      <c r="AC463" s="63"/>
      <c r="AD463" s="63"/>
      <c r="AE463" s="63"/>
      <c r="AF463" s="63"/>
      <c r="AG463" s="63"/>
      <c r="AH463" s="63"/>
      <c r="AI463" s="63"/>
      <c r="AJ463" s="63"/>
    </row>
    <row r="464">
      <c r="A464" s="135">
        <v>469.0</v>
      </c>
      <c r="B464" s="67">
        <v>29.0</v>
      </c>
      <c r="C464" s="31" t="s">
        <v>835</v>
      </c>
      <c r="D464" s="68" t="s">
        <v>1570</v>
      </c>
      <c r="E464" s="71" t="s">
        <v>2924</v>
      </c>
      <c r="F464" s="69" t="s">
        <v>1542</v>
      </c>
      <c r="G464" s="69" t="s">
        <v>2894</v>
      </c>
      <c r="H464" s="145">
        <v>3.0</v>
      </c>
      <c r="I464" s="145">
        <v>3.0</v>
      </c>
      <c r="J464" s="69">
        <v>5.0</v>
      </c>
      <c r="K464" s="69" t="str">
        <f>iferror(vlookup(E464,MasterClass!$C$2:$G988,5,false),"")</f>
        <v/>
      </c>
      <c r="L464" s="181">
        <v>0.0</v>
      </c>
      <c r="M464" s="69">
        <f t="shared" si="67"/>
        <v>8</v>
      </c>
      <c r="N464" s="69">
        <f t="shared" si="68"/>
        <v>3</v>
      </c>
      <c r="O464" s="146">
        <f t="shared" si="69"/>
        <v>0.375</v>
      </c>
      <c r="P464" s="146"/>
      <c r="Q464" s="70"/>
      <c r="R464" s="63"/>
      <c r="S464" s="63"/>
      <c r="T464" s="63"/>
      <c r="U464" s="63"/>
      <c r="V464" s="63"/>
      <c r="W464" s="63"/>
      <c r="X464" s="63"/>
      <c r="Y464" s="63"/>
      <c r="Z464" s="63"/>
      <c r="AA464" s="63"/>
      <c r="AB464" s="63"/>
      <c r="AC464" s="63"/>
      <c r="AD464" s="63"/>
      <c r="AE464" s="63"/>
      <c r="AF464" s="63"/>
      <c r="AG464" s="63"/>
      <c r="AH464" s="63"/>
      <c r="AI464" s="63"/>
      <c r="AJ464" s="63"/>
    </row>
    <row r="465">
      <c r="A465" s="135">
        <v>470.0</v>
      </c>
      <c r="B465" s="67">
        <v>30.0</v>
      </c>
      <c r="C465" s="31" t="s">
        <v>837</v>
      </c>
      <c r="D465" s="68" t="s">
        <v>1571</v>
      </c>
      <c r="E465" s="71" t="s">
        <v>2925</v>
      </c>
      <c r="F465" s="69" t="s">
        <v>1542</v>
      </c>
      <c r="G465" s="69" t="s">
        <v>2894</v>
      </c>
      <c r="H465" s="145">
        <v>3.0</v>
      </c>
      <c r="I465" s="145">
        <v>3.0</v>
      </c>
      <c r="J465" s="69">
        <v>5.0</v>
      </c>
      <c r="K465" s="69" t="str">
        <f>iferror(vlookup(E465,MasterClass!$C$2:$G988,5,false),"")</f>
        <v/>
      </c>
      <c r="L465" s="181">
        <v>1.0</v>
      </c>
      <c r="M465" s="69">
        <f t="shared" si="67"/>
        <v>8</v>
      </c>
      <c r="N465" s="69">
        <f t="shared" si="68"/>
        <v>4</v>
      </c>
      <c r="O465" s="146">
        <f t="shared" si="69"/>
        <v>0.5</v>
      </c>
      <c r="P465" s="146"/>
      <c r="Q465" s="70"/>
      <c r="R465" s="63"/>
      <c r="S465" s="63"/>
      <c r="T465" s="63"/>
      <c r="U465" s="63"/>
      <c r="V465" s="63"/>
      <c r="W465" s="63"/>
      <c r="X465" s="63"/>
      <c r="Y465" s="63"/>
      <c r="Z465" s="63"/>
      <c r="AA465" s="63"/>
      <c r="AB465" s="63"/>
      <c r="AC465" s="63"/>
      <c r="AD465" s="63"/>
      <c r="AE465" s="63"/>
      <c r="AF465" s="63"/>
      <c r="AG465" s="63"/>
      <c r="AH465" s="63"/>
      <c r="AI465" s="63"/>
      <c r="AJ465" s="63"/>
    </row>
    <row r="466">
      <c r="A466" s="135">
        <v>471.0</v>
      </c>
      <c r="B466" s="67">
        <v>31.0</v>
      </c>
      <c r="C466" s="31" t="s">
        <v>839</v>
      </c>
      <c r="D466" s="68" t="s">
        <v>1572</v>
      </c>
      <c r="E466" s="71" t="s">
        <v>2926</v>
      </c>
      <c r="F466" s="69" t="s">
        <v>1542</v>
      </c>
      <c r="G466" s="69" t="s">
        <v>2894</v>
      </c>
      <c r="H466" s="145">
        <v>3.0</v>
      </c>
      <c r="I466" s="145">
        <v>3.0</v>
      </c>
      <c r="J466" s="69">
        <v>5.0</v>
      </c>
      <c r="K466" s="69" t="str">
        <f>iferror(vlookup(E466,MasterClass!$C$2:$G988,5,false),"")</f>
        <v/>
      </c>
      <c r="L466" s="181">
        <v>0.0</v>
      </c>
      <c r="M466" s="69">
        <f t="shared" si="67"/>
        <v>8</v>
      </c>
      <c r="N466" s="69">
        <f t="shared" si="68"/>
        <v>3</v>
      </c>
      <c r="O466" s="146">
        <f t="shared" si="69"/>
        <v>0.375</v>
      </c>
      <c r="P466" s="146"/>
      <c r="Q466" s="70"/>
      <c r="R466" s="63"/>
      <c r="S466" s="63"/>
      <c r="T466" s="63"/>
      <c r="U466" s="63"/>
      <c r="V466" s="63"/>
      <c r="W466" s="63"/>
      <c r="X466" s="63"/>
      <c r="Y466" s="63"/>
      <c r="Z466" s="63"/>
      <c r="AA466" s="63"/>
      <c r="AB466" s="63"/>
      <c r="AC466" s="63"/>
      <c r="AD466" s="63"/>
      <c r="AE466" s="63"/>
      <c r="AF466" s="63"/>
      <c r="AG466" s="63"/>
      <c r="AH466" s="63"/>
      <c r="AI466" s="63"/>
      <c r="AJ466" s="63"/>
    </row>
    <row r="467">
      <c r="A467" s="135">
        <v>472.0</v>
      </c>
      <c r="B467" s="67">
        <v>32.0</v>
      </c>
      <c r="C467" s="31" t="s">
        <v>841</v>
      </c>
      <c r="D467" s="68" t="s">
        <v>1573</v>
      </c>
      <c r="E467" s="71" t="s">
        <v>2927</v>
      </c>
      <c r="F467" s="69" t="s">
        <v>1542</v>
      </c>
      <c r="G467" s="69" t="s">
        <v>2894</v>
      </c>
      <c r="H467" s="145">
        <v>3.0</v>
      </c>
      <c r="I467" s="145">
        <v>3.0</v>
      </c>
      <c r="J467" s="69">
        <v>5.0</v>
      </c>
      <c r="K467" s="69" t="str">
        <f>iferror(vlookup(E467,MasterClass!$C$2:$G988,5,false),"")</f>
        <v/>
      </c>
      <c r="L467" s="181">
        <v>0.0</v>
      </c>
      <c r="M467" s="69">
        <f t="shared" si="67"/>
        <v>8</v>
      </c>
      <c r="N467" s="69">
        <f t="shared" si="68"/>
        <v>3</v>
      </c>
      <c r="O467" s="146">
        <f t="shared" si="69"/>
        <v>0.375</v>
      </c>
      <c r="P467" s="146"/>
      <c r="Q467" s="70"/>
      <c r="R467" s="63"/>
      <c r="S467" s="63"/>
      <c r="T467" s="63"/>
      <c r="U467" s="63"/>
      <c r="V467" s="63"/>
      <c r="W467" s="63"/>
      <c r="X467" s="63"/>
      <c r="Y467" s="63"/>
      <c r="Z467" s="63"/>
      <c r="AA467" s="63"/>
      <c r="AB467" s="63"/>
      <c r="AC467" s="63"/>
      <c r="AD467" s="63"/>
      <c r="AE467" s="63"/>
      <c r="AF467" s="63"/>
      <c r="AG467" s="63"/>
      <c r="AH467" s="63"/>
      <c r="AI467" s="63"/>
      <c r="AJ467" s="63"/>
    </row>
    <row r="468">
      <c r="A468" s="135">
        <v>473.0</v>
      </c>
      <c r="B468" s="67">
        <v>33.0</v>
      </c>
      <c r="C468" s="31" t="s">
        <v>843</v>
      </c>
      <c r="D468" s="68" t="s">
        <v>1574</v>
      </c>
      <c r="E468" s="71" t="s">
        <v>2928</v>
      </c>
      <c r="F468" s="69" t="s">
        <v>1542</v>
      </c>
      <c r="G468" s="69" t="s">
        <v>2894</v>
      </c>
      <c r="H468" s="145">
        <v>3.0</v>
      </c>
      <c r="I468" s="145">
        <v>3.0</v>
      </c>
      <c r="J468" s="69">
        <v>5.0</v>
      </c>
      <c r="K468" s="69" t="str">
        <f>iferror(vlookup(E468,MasterClass!$C$2:$G988,5,false),"")</f>
        <v/>
      </c>
      <c r="L468" s="181">
        <v>0.0</v>
      </c>
      <c r="M468" s="69">
        <f t="shared" si="67"/>
        <v>8</v>
      </c>
      <c r="N468" s="69">
        <f t="shared" si="68"/>
        <v>3</v>
      </c>
      <c r="O468" s="146">
        <f t="shared" si="69"/>
        <v>0.375</v>
      </c>
      <c r="P468" s="146"/>
      <c r="Q468" s="70"/>
      <c r="R468" s="63"/>
      <c r="S468" s="63"/>
      <c r="T468" s="63"/>
      <c r="U468" s="63"/>
      <c r="V468" s="63"/>
      <c r="W468" s="63"/>
      <c r="X468" s="63"/>
      <c r="Y468" s="63"/>
      <c r="Z468" s="63"/>
      <c r="AA468" s="63"/>
      <c r="AB468" s="63"/>
      <c r="AC468" s="63"/>
      <c r="AD468" s="63"/>
      <c r="AE468" s="63"/>
      <c r="AF468" s="63"/>
      <c r="AG468" s="63"/>
      <c r="AH468" s="63"/>
      <c r="AI468" s="63"/>
      <c r="AJ468" s="63"/>
    </row>
    <row r="469">
      <c r="A469" s="135">
        <v>474.0</v>
      </c>
      <c r="B469" s="67">
        <v>34.0</v>
      </c>
      <c r="C469" s="31" t="s">
        <v>845</v>
      </c>
      <c r="D469" s="71" t="s">
        <v>1575</v>
      </c>
      <c r="E469" s="71" t="s">
        <v>2929</v>
      </c>
      <c r="F469" s="69" t="s">
        <v>1542</v>
      </c>
      <c r="G469" s="69" t="s">
        <v>2894</v>
      </c>
      <c r="H469" s="145">
        <v>3.0</v>
      </c>
      <c r="I469" s="145">
        <v>3.0</v>
      </c>
      <c r="J469" s="69">
        <v>5.0</v>
      </c>
      <c r="K469" s="69" t="str">
        <f>iferror(vlookup(E469,MasterClass!$C$2:$G988,5,false),"")</f>
        <v/>
      </c>
      <c r="L469" s="181">
        <v>0.0</v>
      </c>
      <c r="M469" s="69">
        <f t="shared" si="67"/>
        <v>8</v>
      </c>
      <c r="N469" s="69">
        <f t="shared" si="68"/>
        <v>3</v>
      </c>
      <c r="O469" s="146">
        <f t="shared" si="69"/>
        <v>0.375</v>
      </c>
      <c r="P469" s="146"/>
      <c r="Q469" s="70"/>
      <c r="R469" s="63"/>
      <c r="S469" s="63"/>
      <c r="T469" s="63"/>
      <c r="U469" s="63"/>
      <c r="V469" s="63"/>
      <c r="W469" s="63"/>
      <c r="X469" s="63"/>
      <c r="Y469" s="63"/>
      <c r="Z469" s="63"/>
      <c r="AA469" s="63"/>
      <c r="AB469" s="63"/>
      <c r="AC469" s="63"/>
      <c r="AD469" s="63"/>
      <c r="AE469" s="63"/>
      <c r="AF469" s="63"/>
      <c r="AG469" s="63"/>
      <c r="AH469" s="63"/>
      <c r="AI469" s="63"/>
      <c r="AJ469" s="63"/>
    </row>
    <row r="470">
      <c r="A470" s="135">
        <v>475.0</v>
      </c>
      <c r="B470" s="67">
        <v>35.0</v>
      </c>
      <c r="C470" s="31" t="s">
        <v>847</v>
      </c>
      <c r="D470" s="68" t="s">
        <v>1576</v>
      </c>
      <c r="E470" s="71" t="s">
        <v>2930</v>
      </c>
      <c r="F470" s="69" t="s">
        <v>1542</v>
      </c>
      <c r="G470" s="69" t="s">
        <v>2918</v>
      </c>
      <c r="H470" s="145">
        <v>2.0</v>
      </c>
      <c r="I470" s="145"/>
      <c r="J470" s="69">
        <v>5.0</v>
      </c>
      <c r="K470" s="69" t="str">
        <f>iferror(vlookup(E470,MasterClass!$C$2:$G988,5,false),"")</f>
        <v/>
      </c>
      <c r="L470" s="69">
        <v>2.0</v>
      </c>
      <c r="M470" s="69">
        <f t="shared" si="67"/>
        <v>7</v>
      </c>
      <c r="N470" s="69">
        <f t="shared" si="68"/>
        <v>2</v>
      </c>
      <c r="O470" s="146">
        <f t="shared" si="69"/>
        <v>0.2857142857</v>
      </c>
      <c r="P470" s="146"/>
      <c r="Q470" s="70"/>
      <c r="R470" s="63"/>
      <c r="S470" s="63"/>
      <c r="T470" s="63"/>
      <c r="U470" s="63"/>
      <c r="V470" s="63"/>
      <c r="W470" s="63"/>
      <c r="X470" s="63"/>
      <c r="Y470" s="63"/>
      <c r="Z470" s="63"/>
      <c r="AA470" s="63"/>
      <c r="AB470" s="63"/>
      <c r="AC470" s="63"/>
      <c r="AD470" s="63"/>
      <c r="AE470" s="63"/>
      <c r="AF470" s="63"/>
      <c r="AG470" s="63"/>
      <c r="AH470" s="63"/>
      <c r="AI470" s="63"/>
      <c r="AJ470" s="63"/>
    </row>
    <row r="471">
      <c r="A471" s="135">
        <v>476.0</v>
      </c>
      <c r="B471" s="67">
        <v>36.0</v>
      </c>
      <c r="C471" s="31" t="s">
        <v>849</v>
      </c>
      <c r="D471" s="68" t="s">
        <v>1577</v>
      </c>
      <c r="E471" s="71" t="s">
        <v>2931</v>
      </c>
      <c r="F471" s="69" t="s">
        <v>1542</v>
      </c>
      <c r="G471" s="69" t="s">
        <v>2918</v>
      </c>
      <c r="H471" s="145">
        <v>2.0</v>
      </c>
      <c r="I471" s="145"/>
      <c r="J471" s="69">
        <v>5.0</v>
      </c>
      <c r="K471" s="69" t="str">
        <f>iferror(vlookup(E471,MasterClass!$C$2:$G988,5,false),"")</f>
        <v/>
      </c>
      <c r="L471" s="181">
        <v>4.0</v>
      </c>
      <c r="M471" s="69">
        <f t="shared" si="67"/>
        <v>7</v>
      </c>
      <c r="N471" s="69">
        <f t="shared" si="68"/>
        <v>4</v>
      </c>
      <c r="O471" s="146">
        <f t="shared" si="69"/>
        <v>0.5714285714</v>
      </c>
      <c r="P471" s="146"/>
      <c r="Q471" s="70"/>
      <c r="R471" s="63"/>
      <c r="S471" s="63"/>
      <c r="T471" s="63"/>
      <c r="U471" s="63"/>
      <c r="V471" s="63"/>
      <c r="W471" s="63"/>
      <c r="X471" s="63"/>
      <c r="Y471" s="63"/>
      <c r="Z471" s="63"/>
      <c r="AA471" s="63"/>
      <c r="AB471" s="63"/>
      <c r="AC471" s="63"/>
      <c r="AD471" s="63"/>
      <c r="AE471" s="63"/>
      <c r="AF471" s="63"/>
      <c r="AG471" s="63"/>
      <c r="AH471" s="63"/>
      <c r="AI471" s="63"/>
      <c r="AJ471" s="63"/>
    </row>
    <row r="472">
      <c r="A472" s="135">
        <v>477.0</v>
      </c>
      <c r="B472" s="67">
        <v>37.0</v>
      </c>
      <c r="C472" s="31" t="s">
        <v>851</v>
      </c>
      <c r="D472" s="68" t="s">
        <v>1578</v>
      </c>
      <c r="E472" s="71" t="s">
        <v>2932</v>
      </c>
      <c r="F472" s="69" t="s">
        <v>1542</v>
      </c>
      <c r="G472" s="69" t="s">
        <v>2918</v>
      </c>
      <c r="H472" s="145">
        <v>2.0</v>
      </c>
      <c r="I472" s="145"/>
      <c r="J472" s="69">
        <v>5.0</v>
      </c>
      <c r="K472" s="69" t="str">
        <f>iferror(vlookup(E472,MasterClass!$C$2:$G988,5,false),"")</f>
        <v/>
      </c>
      <c r="L472" s="181">
        <v>2.0</v>
      </c>
      <c r="M472" s="69">
        <f t="shared" si="67"/>
        <v>7</v>
      </c>
      <c r="N472" s="69">
        <f t="shared" si="68"/>
        <v>2</v>
      </c>
      <c r="O472" s="146">
        <f t="shared" si="69"/>
        <v>0.2857142857</v>
      </c>
      <c r="P472" s="146"/>
      <c r="Q472" s="70"/>
      <c r="R472" s="63"/>
      <c r="S472" s="63"/>
      <c r="T472" s="63"/>
      <c r="U472" s="63"/>
      <c r="V472" s="63"/>
      <c r="W472" s="63"/>
      <c r="X472" s="63"/>
      <c r="Y472" s="63"/>
      <c r="Z472" s="63"/>
      <c r="AA472" s="63"/>
      <c r="AB472" s="63"/>
      <c r="AC472" s="63"/>
      <c r="AD472" s="63"/>
      <c r="AE472" s="63"/>
      <c r="AF472" s="63"/>
      <c r="AG472" s="63"/>
      <c r="AH472" s="63"/>
      <c r="AI472" s="63"/>
      <c r="AJ472" s="63"/>
    </row>
    <row r="473">
      <c r="A473" s="135">
        <v>478.0</v>
      </c>
      <c r="B473" s="67">
        <v>38.0</v>
      </c>
      <c r="C473" s="31" t="s">
        <v>853</v>
      </c>
      <c r="D473" s="68" t="s">
        <v>1579</v>
      </c>
      <c r="E473" s="71" t="s">
        <v>2933</v>
      </c>
      <c r="F473" s="69" t="s">
        <v>1542</v>
      </c>
      <c r="G473" s="69" t="s">
        <v>2894</v>
      </c>
      <c r="H473" s="145">
        <v>3.0</v>
      </c>
      <c r="I473" s="145">
        <v>3.0</v>
      </c>
      <c r="J473" s="69">
        <v>5.0</v>
      </c>
      <c r="K473" s="69" t="str">
        <f>iferror(vlookup(E473,MasterClass!$C$2:$G988,5,false),"")</f>
        <v/>
      </c>
      <c r="L473" s="181">
        <v>1.0</v>
      </c>
      <c r="M473" s="69">
        <f t="shared" si="67"/>
        <v>8</v>
      </c>
      <c r="N473" s="69">
        <f t="shared" si="68"/>
        <v>4</v>
      </c>
      <c r="O473" s="146">
        <f t="shared" si="69"/>
        <v>0.5</v>
      </c>
      <c r="P473" s="146"/>
      <c r="Q473" s="70"/>
      <c r="R473" s="63"/>
      <c r="S473" s="63"/>
      <c r="T473" s="63"/>
      <c r="U473" s="63"/>
      <c r="V473" s="63"/>
      <c r="W473" s="63"/>
      <c r="X473" s="63"/>
      <c r="Y473" s="63"/>
      <c r="Z473" s="63"/>
      <c r="AA473" s="63"/>
      <c r="AB473" s="63"/>
      <c r="AC473" s="63"/>
      <c r="AD473" s="63"/>
      <c r="AE473" s="63"/>
      <c r="AF473" s="63"/>
      <c r="AG473" s="63"/>
      <c r="AH473" s="63"/>
      <c r="AI473" s="63"/>
      <c r="AJ473" s="63"/>
    </row>
    <row r="474">
      <c r="A474" s="135">
        <v>479.0</v>
      </c>
      <c r="B474" s="67">
        <v>39.0</v>
      </c>
      <c r="C474" s="31" t="s">
        <v>855</v>
      </c>
      <c r="D474" s="68" t="s">
        <v>1580</v>
      </c>
      <c r="E474" s="71" t="s">
        <v>2934</v>
      </c>
      <c r="F474" s="69" t="s">
        <v>1542</v>
      </c>
      <c r="G474" s="69" t="s">
        <v>2918</v>
      </c>
      <c r="H474" s="145">
        <v>2.0</v>
      </c>
      <c r="I474" s="145">
        <v>1.0</v>
      </c>
      <c r="J474" s="69">
        <v>5.0</v>
      </c>
      <c r="K474" s="69" t="str">
        <f>iferror(vlookup(E474,MasterClass!$C$2:$G988,5,false),"")</f>
        <v/>
      </c>
      <c r="L474" s="181">
        <v>4.0</v>
      </c>
      <c r="M474" s="69">
        <f t="shared" si="67"/>
        <v>7</v>
      </c>
      <c r="N474" s="69">
        <f t="shared" si="68"/>
        <v>5</v>
      </c>
      <c r="O474" s="146">
        <f t="shared" si="69"/>
        <v>0.7142857143</v>
      </c>
      <c r="P474" s="146"/>
      <c r="Q474" s="70"/>
      <c r="R474" s="63"/>
      <c r="S474" s="63"/>
      <c r="T474" s="63"/>
      <c r="U474" s="63"/>
      <c r="V474" s="63"/>
      <c r="W474" s="63"/>
      <c r="X474" s="63"/>
      <c r="Y474" s="63"/>
      <c r="Z474" s="63"/>
      <c r="AA474" s="63"/>
      <c r="AB474" s="63"/>
      <c r="AC474" s="63"/>
      <c r="AD474" s="63"/>
      <c r="AE474" s="63"/>
      <c r="AF474" s="63"/>
      <c r="AG474" s="63"/>
      <c r="AH474" s="63"/>
      <c r="AI474" s="63"/>
      <c r="AJ474" s="63"/>
    </row>
    <row r="475">
      <c r="A475" s="135">
        <v>480.0</v>
      </c>
      <c r="B475" s="67">
        <v>40.0</v>
      </c>
      <c r="C475" s="31" t="s">
        <v>857</v>
      </c>
      <c r="D475" s="68" t="s">
        <v>1581</v>
      </c>
      <c r="E475" s="71" t="s">
        <v>2935</v>
      </c>
      <c r="F475" s="69" t="s">
        <v>1542</v>
      </c>
      <c r="G475" s="69" t="s">
        <v>2551</v>
      </c>
      <c r="H475" s="145">
        <v>3.0</v>
      </c>
      <c r="I475" s="145">
        <v>0.0</v>
      </c>
      <c r="J475" s="69">
        <v>5.0</v>
      </c>
      <c r="K475" s="69" t="str">
        <f>iferror(vlookup(E475,MasterClass!$C$2:$G988,5,false),"")</f>
        <v/>
      </c>
      <c r="L475" s="181">
        <v>0.0</v>
      </c>
      <c r="M475" s="69">
        <f t="shared" si="67"/>
        <v>8</v>
      </c>
      <c r="N475" s="69">
        <f t="shared" si="68"/>
        <v>0</v>
      </c>
      <c r="O475" s="146">
        <f t="shared" si="69"/>
        <v>0</v>
      </c>
      <c r="P475" s="69" t="s">
        <v>2508</v>
      </c>
      <c r="Q475" s="69"/>
      <c r="R475" s="63"/>
      <c r="S475" s="63"/>
      <c r="T475" s="63"/>
      <c r="U475" s="63"/>
      <c r="V475" s="63"/>
      <c r="W475" s="63"/>
      <c r="X475" s="63"/>
      <c r="Y475" s="63"/>
      <c r="Z475" s="63"/>
      <c r="AA475" s="63"/>
      <c r="AB475" s="63"/>
      <c r="AC475" s="63"/>
      <c r="AD475" s="63"/>
      <c r="AE475" s="63"/>
      <c r="AF475" s="63"/>
      <c r="AG475" s="63"/>
      <c r="AH475" s="63"/>
      <c r="AI475" s="63"/>
      <c r="AJ475" s="63"/>
    </row>
    <row r="476">
      <c r="A476" s="135">
        <v>481.0</v>
      </c>
      <c r="B476" s="67">
        <v>41.0</v>
      </c>
      <c r="C476" s="31" t="s">
        <v>859</v>
      </c>
      <c r="D476" s="68" t="s">
        <v>1582</v>
      </c>
      <c r="E476" s="71" t="s">
        <v>2936</v>
      </c>
      <c r="F476" s="69" t="s">
        <v>1542</v>
      </c>
      <c r="G476" s="69" t="s">
        <v>2894</v>
      </c>
      <c r="H476" s="145">
        <v>3.0</v>
      </c>
      <c r="I476" s="145">
        <v>3.0</v>
      </c>
      <c r="J476" s="69">
        <v>5.0</v>
      </c>
      <c r="K476" s="69" t="str">
        <f>iferror(vlookup(E476,MasterClass!$C$2:$G988,5,false),"")</f>
        <v/>
      </c>
      <c r="L476" s="181">
        <v>0.0</v>
      </c>
      <c r="M476" s="69">
        <f t="shared" si="67"/>
        <v>8</v>
      </c>
      <c r="N476" s="69">
        <f t="shared" si="68"/>
        <v>3</v>
      </c>
      <c r="O476" s="146">
        <f t="shared" si="69"/>
        <v>0.375</v>
      </c>
      <c r="P476" s="146"/>
      <c r="Q476" s="70"/>
      <c r="R476" s="63"/>
      <c r="S476" s="63"/>
      <c r="T476" s="63"/>
      <c r="U476" s="63"/>
      <c r="V476" s="63"/>
      <c r="W476" s="63"/>
      <c r="X476" s="63"/>
      <c r="Y476" s="63"/>
      <c r="Z476" s="63"/>
      <c r="AA476" s="63"/>
      <c r="AB476" s="63"/>
      <c r="AC476" s="63"/>
      <c r="AD476" s="63"/>
      <c r="AE476" s="63"/>
      <c r="AF476" s="63"/>
      <c r="AG476" s="63"/>
      <c r="AH476" s="63"/>
      <c r="AI476" s="63"/>
      <c r="AJ476" s="63"/>
    </row>
    <row r="477">
      <c r="A477" s="135">
        <v>482.0</v>
      </c>
      <c r="B477" s="67">
        <v>42.0</v>
      </c>
      <c r="C477" s="31" t="s">
        <v>861</v>
      </c>
      <c r="D477" s="68" t="s">
        <v>1583</v>
      </c>
      <c r="E477" s="71" t="s">
        <v>2937</v>
      </c>
      <c r="F477" s="69" t="s">
        <v>1542</v>
      </c>
      <c r="G477" s="69" t="s">
        <v>2918</v>
      </c>
      <c r="H477" s="145">
        <v>2.0</v>
      </c>
      <c r="I477" s="145">
        <v>1.0</v>
      </c>
      <c r="J477" s="69">
        <v>5.0</v>
      </c>
      <c r="K477" s="69" t="str">
        <f>iferror(vlookup(E477,MasterClass!$C$2:$G988,5,false),"")</f>
        <v/>
      </c>
      <c r="L477" s="181">
        <v>5.0</v>
      </c>
      <c r="M477" s="69">
        <f t="shared" si="67"/>
        <v>7</v>
      </c>
      <c r="N477" s="69">
        <f t="shared" si="68"/>
        <v>6</v>
      </c>
      <c r="O477" s="146">
        <f t="shared" si="69"/>
        <v>0.8571428571</v>
      </c>
      <c r="P477" s="146"/>
      <c r="Q477" s="70"/>
      <c r="R477" s="63"/>
      <c r="S477" s="63"/>
      <c r="T477" s="63"/>
      <c r="U477" s="63"/>
      <c r="V477" s="63"/>
      <c r="W477" s="63"/>
      <c r="X477" s="63"/>
      <c r="Y477" s="63"/>
      <c r="Z477" s="63"/>
      <c r="AA477" s="63"/>
      <c r="AB477" s="63"/>
      <c r="AC477" s="63"/>
      <c r="AD477" s="63"/>
      <c r="AE477" s="63"/>
      <c r="AF477" s="63"/>
      <c r="AG477" s="63"/>
      <c r="AH477" s="63"/>
      <c r="AI477" s="63"/>
      <c r="AJ477" s="63"/>
    </row>
    <row r="478">
      <c r="A478" s="135">
        <v>483.0</v>
      </c>
      <c r="B478" s="67">
        <v>43.0</v>
      </c>
      <c r="C478" s="31" t="s">
        <v>863</v>
      </c>
      <c r="D478" s="68" t="s">
        <v>1584</v>
      </c>
      <c r="E478" s="71" t="s">
        <v>2938</v>
      </c>
      <c r="F478" s="69" t="s">
        <v>1542</v>
      </c>
      <c r="G478" s="69" t="s">
        <v>2918</v>
      </c>
      <c r="H478" s="145">
        <v>2.0</v>
      </c>
      <c r="I478" s="145">
        <v>1.0</v>
      </c>
      <c r="J478" s="69">
        <v>5.0</v>
      </c>
      <c r="K478" s="69" t="str">
        <f>iferror(vlookup(E478,MasterClass!$C$2:$G988,5,false),"")</f>
        <v/>
      </c>
      <c r="L478" s="69">
        <v>1.0</v>
      </c>
      <c r="M478" s="69">
        <f t="shared" si="67"/>
        <v>7</v>
      </c>
      <c r="N478" s="69">
        <f t="shared" si="68"/>
        <v>2</v>
      </c>
      <c r="O478" s="146">
        <f t="shared" si="69"/>
        <v>0.2857142857</v>
      </c>
      <c r="P478" s="146"/>
      <c r="Q478" s="70"/>
      <c r="R478" s="63"/>
      <c r="S478" s="63"/>
      <c r="T478" s="63"/>
      <c r="U478" s="63"/>
      <c r="V478" s="63"/>
      <c r="W478" s="63"/>
      <c r="X478" s="63"/>
      <c r="Y478" s="63"/>
      <c r="Z478" s="63"/>
      <c r="AA478" s="63"/>
      <c r="AB478" s="63"/>
      <c r="AC478" s="63"/>
      <c r="AD478" s="63"/>
      <c r="AE478" s="63"/>
      <c r="AF478" s="63"/>
      <c r="AG478" s="63"/>
      <c r="AH478" s="63"/>
      <c r="AI478" s="63"/>
      <c r="AJ478" s="63"/>
    </row>
    <row r="479">
      <c r="A479" s="135">
        <v>484.0</v>
      </c>
      <c r="B479" s="67">
        <v>44.0</v>
      </c>
      <c r="C479" s="31" t="s">
        <v>865</v>
      </c>
      <c r="D479" s="71" t="s">
        <v>1585</v>
      </c>
      <c r="E479" s="71" t="s">
        <v>2939</v>
      </c>
      <c r="F479" s="69" t="s">
        <v>1542</v>
      </c>
      <c r="G479" s="69" t="s">
        <v>2918</v>
      </c>
      <c r="H479" s="145">
        <v>2.0</v>
      </c>
      <c r="I479" s="145">
        <v>2.0</v>
      </c>
      <c r="J479" s="69">
        <v>5.0</v>
      </c>
      <c r="K479" s="69" t="str">
        <f>iferror(vlookup(E479,MasterClass!$C$2:$G988,5,false),"")</f>
        <v/>
      </c>
      <c r="L479" s="181">
        <v>5.0</v>
      </c>
      <c r="M479" s="69">
        <f t="shared" si="67"/>
        <v>7</v>
      </c>
      <c r="N479" s="69">
        <f t="shared" si="68"/>
        <v>7</v>
      </c>
      <c r="O479" s="146">
        <f t="shared" si="69"/>
        <v>1</v>
      </c>
      <c r="P479" s="146"/>
      <c r="Q479" s="70"/>
      <c r="R479" s="63"/>
      <c r="S479" s="63"/>
      <c r="T479" s="63"/>
      <c r="U479" s="63"/>
      <c r="V479" s="63"/>
      <c r="W479" s="63"/>
      <c r="X479" s="63"/>
      <c r="Y479" s="63"/>
      <c r="Z479" s="63"/>
      <c r="AA479" s="63"/>
      <c r="AB479" s="63"/>
      <c r="AC479" s="63"/>
      <c r="AD479" s="63"/>
      <c r="AE479" s="63"/>
      <c r="AF479" s="63"/>
      <c r="AG479" s="63"/>
      <c r="AH479" s="63"/>
      <c r="AI479" s="63"/>
      <c r="AJ479" s="63"/>
    </row>
    <row r="480">
      <c r="A480" s="135">
        <v>485.0</v>
      </c>
      <c r="B480" s="67">
        <v>45.0</v>
      </c>
      <c r="C480" s="31" t="s">
        <v>867</v>
      </c>
      <c r="D480" s="68" t="s">
        <v>1586</v>
      </c>
      <c r="E480" s="71" t="s">
        <v>2940</v>
      </c>
      <c r="F480" s="69" t="s">
        <v>1542</v>
      </c>
      <c r="G480" s="69" t="s">
        <v>2941</v>
      </c>
      <c r="H480" s="145">
        <v>2.0</v>
      </c>
      <c r="I480" s="145">
        <v>1.0</v>
      </c>
      <c r="J480" s="69">
        <v>5.0</v>
      </c>
      <c r="K480" s="69" t="str">
        <f>iferror(vlookup(E480,MasterClass!$C$2:$G988,5,false),"")</f>
        <v/>
      </c>
      <c r="L480" s="181">
        <v>2.0</v>
      </c>
      <c r="M480" s="69">
        <f t="shared" si="67"/>
        <v>7</v>
      </c>
      <c r="N480" s="69">
        <f t="shared" si="68"/>
        <v>3</v>
      </c>
      <c r="O480" s="146">
        <f t="shared" si="69"/>
        <v>0.4285714286</v>
      </c>
      <c r="P480" s="146"/>
      <c r="Q480" s="70"/>
      <c r="R480" s="63"/>
      <c r="S480" s="63"/>
      <c r="T480" s="63"/>
      <c r="U480" s="63"/>
      <c r="V480" s="63"/>
      <c r="W480" s="63"/>
      <c r="X480" s="63"/>
      <c r="Y480" s="63"/>
      <c r="Z480" s="63"/>
      <c r="AA480" s="63"/>
      <c r="AB480" s="63"/>
      <c r="AC480" s="63"/>
      <c r="AD480" s="63"/>
      <c r="AE480" s="63"/>
      <c r="AF480" s="63"/>
      <c r="AG480" s="63"/>
      <c r="AH480" s="63"/>
      <c r="AI480" s="63"/>
      <c r="AJ480" s="63"/>
    </row>
    <row r="481">
      <c r="A481" s="135">
        <v>486.0</v>
      </c>
      <c r="B481" s="63"/>
      <c r="C481" s="63"/>
      <c r="D481" s="63"/>
      <c r="E481" s="149"/>
      <c r="F481" s="63"/>
      <c r="G481" s="63"/>
      <c r="H481" s="63"/>
      <c r="I481" s="63"/>
      <c r="J481" s="63"/>
      <c r="K481" s="150" t="str">
        <f>iferror(vlookup(E481,MasterClass!$C$2:$G988,5,false),"")</f>
        <v/>
      </c>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row>
    <row r="482">
      <c r="A482" s="135">
        <v>487.0</v>
      </c>
      <c r="B482" s="62" t="s">
        <v>3</v>
      </c>
      <c r="C482" s="63"/>
      <c r="D482" s="62" t="s">
        <v>4</v>
      </c>
      <c r="E482" s="149" t="s">
        <v>4</v>
      </c>
      <c r="F482" s="63"/>
      <c r="G482" s="63"/>
      <c r="H482" s="63"/>
      <c r="I482" s="63"/>
      <c r="J482" s="63"/>
      <c r="K482" s="150" t="str">
        <f>iferror(vlookup(E482,MasterClass!$C$2:$G988,5,false),"")</f>
        <v/>
      </c>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row>
    <row r="483">
      <c r="A483" s="135">
        <v>488.0</v>
      </c>
      <c r="B483" s="62" t="s">
        <v>5</v>
      </c>
      <c r="C483" s="63"/>
      <c r="D483" s="62" t="s">
        <v>870</v>
      </c>
      <c r="E483" s="149" t="s">
        <v>870</v>
      </c>
      <c r="F483" s="63"/>
      <c r="G483" s="63"/>
      <c r="H483" s="63"/>
      <c r="I483" s="63"/>
      <c r="J483" s="63"/>
      <c r="K483" s="150" t="str">
        <f>iferror(vlookup(E483,MasterClass!$C$2:$G988,5,false),"")</f>
        <v/>
      </c>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row>
    <row r="484">
      <c r="A484" s="135">
        <v>489.0</v>
      </c>
      <c r="B484" s="62" t="s">
        <v>7</v>
      </c>
      <c r="C484" s="63"/>
      <c r="D484" s="62" t="s">
        <v>8</v>
      </c>
      <c r="E484" s="149" t="s">
        <v>8</v>
      </c>
      <c r="F484" s="63"/>
      <c r="G484" s="63"/>
      <c r="H484" s="63"/>
      <c r="I484" s="63"/>
      <c r="J484" s="63"/>
      <c r="K484" s="150" t="str">
        <f>iferror(vlookup(E484,MasterClass!$C$2:$G988,5,false),"")</f>
        <v/>
      </c>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row>
    <row r="485">
      <c r="A485" s="135">
        <v>490.0</v>
      </c>
      <c r="B485" s="63"/>
      <c r="C485" s="63"/>
      <c r="D485" s="63"/>
      <c r="E485" s="149"/>
      <c r="F485" s="63"/>
      <c r="G485" s="63"/>
      <c r="H485" s="63"/>
      <c r="I485" s="63"/>
      <c r="J485" s="63"/>
      <c r="K485" s="150" t="str">
        <f>iferror(vlookup(E485,MasterClass!$C$2:$G988,5,false),"")</f>
        <v/>
      </c>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row>
    <row r="486">
      <c r="A486" s="135">
        <v>492.0</v>
      </c>
      <c r="B486" s="80" t="s">
        <v>9</v>
      </c>
      <c r="C486" s="81" t="s">
        <v>10</v>
      </c>
      <c r="D486" s="80" t="s">
        <v>11</v>
      </c>
      <c r="E486" s="174"/>
      <c r="F486" s="85" t="s">
        <v>5</v>
      </c>
      <c r="G486" s="175"/>
      <c r="H486" s="153" t="s">
        <v>2492</v>
      </c>
      <c r="I486" s="175"/>
      <c r="J486" s="154" t="s">
        <v>2493</v>
      </c>
      <c r="K486" s="175"/>
      <c r="L486" s="175"/>
      <c r="M486" s="176" t="s">
        <v>2489</v>
      </c>
      <c r="N486" s="85" t="s">
        <v>2490</v>
      </c>
      <c r="O486" s="162" t="s">
        <v>18</v>
      </c>
      <c r="P486" s="82" t="s">
        <v>2491</v>
      </c>
      <c r="Q486" s="83" t="s">
        <v>19</v>
      </c>
      <c r="R486" s="63"/>
      <c r="S486" s="63"/>
      <c r="T486" s="63"/>
      <c r="U486" s="63"/>
      <c r="V486" s="63"/>
      <c r="W486" s="63"/>
      <c r="X486" s="63"/>
      <c r="Y486" s="63"/>
      <c r="Z486" s="63"/>
      <c r="AA486" s="63"/>
      <c r="AB486" s="63"/>
      <c r="AC486" s="63"/>
      <c r="AD486" s="63"/>
      <c r="AE486" s="63"/>
      <c r="AF486" s="63"/>
      <c r="AG486" s="63"/>
      <c r="AH486" s="63"/>
      <c r="AI486" s="63"/>
      <c r="AJ486" s="63"/>
    </row>
    <row r="487">
      <c r="A487" s="135">
        <v>493.0</v>
      </c>
      <c r="B487" s="20"/>
      <c r="C487" s="20"/>
      <c r="D487" s="20"/>
      <c r="E487" s="174"/>
      <c r="F487" s="20"/>
      <c r="G487" s="164" t="s">
        <v>2483</v>
      </c>
      <c r="H487" s="158" t="s">
        <v>2484</v>
      </c>
      <c r="I487" s="164" t="s">
        <v>2485</v>
      </c>
      <c r="J487" s="165" t="s">
        <v>2486</v>
      </c>
      <c r="K487" s="166" t="s">
        <v>2487</v>
      </c>
      <c r="L487" s="164" t="s">
        <v>2488</v>
      </c>
      <c r="M487" s="20"/>
      <c r="N487" s="20"/>
      <c r="O487" s="20"/>
      <c r="P487" s="20"/>
      <c r="Q487" s="20"/>
      <c r="R487" s="63"/>
      <c r="S487" s="63"/>
      <c r="T487" s="63"/>
      <c r="U487" s="63"/>
      <c r="V487" s="63"/>
      <c r="W487" s="63"/>
      <c r="X487" s="63"/>
      <c r="Y487" s="63"/>
      <c r="Z487" s="63"/>
      <c r="AA487" s="63"/>
      <c r="AB487" s="63"/>
      <c r="AC487" s="63"/>
      <c r="AD487" s="63"/>
      <c r="AE487" s="63"/>
      <c r="AF487" s="63"/>
      <c r="AG487" s="63"/>
      <c r="AH487" s="63"/>
      <c r="AI487" s="63"/>
      <c r="AJ487" s="63"/>
    </row>
    <row r="488">
      <c r="A488" s="135">
        <v>494.0</v>
      </c>
      <c r="B488" s="67">
        <v>1.0</v>
      </c>
      <c r="C488" s="31" t="s">
        <v>871</v>
      </c>
      <c r="D488" s="68" t="s">
        <v>1587</v>
      </c>
      <c r="E488" s="71" t="s">
        <v>2942</v>
      </c>
      <c r="F488" s="69" t="s">
        <v>1588</v>
      </c>
      <c r="G488" s="69" t="s">
        <v>2583</v>
      </c>
      <c r="H488" s="145">
        <v>4.0</v>
      </c>
      <c r="I488" s="145">
        <v>3.0</v>
      </c>
      <c r="J488" s="69">
        <v>5.0</v>
      </c>
      <c r="K488" s="69" t="str">
        <f>iferror(vlookup(E488,MasterClass!$C$2:$G988,5,false),"")</f>
        <v/>
      </c>
      <c r="L488" s="69">
        <v>4.0</v>
      </c>
      <c r="M488" s="69">
        <f t="shared" ref="M488:M501" si="70">J488+H488</f>
        <v>9</v>
      </c>
      <c r="N488" s="69">
        <f t="shared" ref="N488:N501" si="71">I488+L488+K488</f>
        <v>7</v>
      </c>
      <c r="O488" s="146">
        <f t="shared" ref="O488:O501" si="72">N488/M488</f>
        <v>0.7777777778</v>
      </c>
      <c r="P488" s="69" t="s">
        <v>2508</v>
      </c>
      <c r="Q488" s="69"/>
      <c r="R488" s="63"/>
      <c r="S488" s="63"/>
      <c r="T488" s="63"/>
      <c r="U488" s="63"/>
      <c r="V488" s="63"/>
      <c r="W488" s="63"/>
      <c r="X488" s="63"/>
      <c r="Y488" s="63"/>
      <c r="Z488" s="63"/>
      <c r="AA488" s="63"/>
      <c r="AB488" s="63"/>
      <c r="AC488" s="63"/>
      <c r="AD488" s="63"/>
      <c r="AE488" s="63"/>
      <c r="AF488" s="63"/>
      <c r="AG488" s="63"/>
      <c r="AH488" s="63"/>
      <c r="AI488" s="63"/>
      <c r="AJ488" s="63"/>
    </row>
    <row r="489">
      <c r="A489" s="135">
        <v>495.0</v>
      </c>
      <c r="B489" s="67">
        <v>2.0</v>
      </c>
      <c r="C489" s="31" t="s">
        <v>873</v>
      </c>
      <c r="D489" s="68" t="s">
        <v>1589</v>
      </c>
      <c r="E489" s="71" t="s">
        <v>2943</v>
      </c>
      <c r="F489" s="69" t="s">
        <v>1588</v>
      </c>
      <c r="G489" s="69" t="s">
        <v>2944</v>
      </c>
      <c r="H489" s="145">
        <v>3.0</v>
      </c>
      <c r="I489" s="145">
        <v>0.0</v>
      </c>
      <c r="J489" s="69">
        <v>5.0</v>
      </c>
      <c r="K489" s="69" t="str">
        <f>iferror(vlookup(E489,MasterClass!$C$2:$G988,5,false),"")</f>
        <v/>
      </c>
      <c r="L489" s="181">
        <v>1.0</v>
      </c>
      <c r="M489" s="69">
        <f t="shared" si="70"/>
        <v>8</v>
      </c>
      <c r="N489" s="69">
        <f t="shared" si="71"/>
        <v>1</v>
      </c>
      <c r="O489" s="146">
        <f t="shared" si="72"/>
        <v>0.125</v>
      </c>
      <c r="P489" s="146"/>
      <c r="Q489" s="70"/>
      <c r="R489" s="63"/>
      <c r="S489" s="63"/>
      <c r="T489" s="63"/>
      <c r="U489" s="63"/>
      <c r="V489" s="63"/>
      <c r="W489" s="63"/>
      <c r="X489" s="63"/>
      <c r="Y489" s="63"/>
      <c r="Z489" s="63"/>
      <c r="AA489" s="63"/>
      <c r="AB489" s="63"/>
      <c r="AC489" s="63"/>
      <c r="AD489" s="63"/>
      <c r="AE489" s="63"/>
      <c r="AF489" s="63"/>
      <c r="AG489" s="63"/>
      <c r="AH489" s="63"/>
      <c r="AI489" s="63"/>
      <c r="AJ489" s="63"/>
    </row>
    <row r="490">
      <c r="A490" s="135">
        <v>496.0</v>
      </c>
      <c r="B490" s="67">
        <v>3.0</v>
      </c>
      <c r="C490" s="31" t="s">
        <v>875</v>
      </c>
      <c r="D490" s="71" t="s">
        <v>1590</v>
      </c>
      <c r="E490" s="71" t="s">
        <v>2945</v>
      </c>
      <c r="F490" s="69" t="s">
        <v>1588</v>
      </c>
      <c r="G490" s="69" t="s">
        <v>2944</v>
      </c>
      <c r="H490" s="145">
        <v>3.0</v>
      </c>
      <c r="I490" s="145">
        <v>3.0</v>
      </c>
      <c r="J490" s="69">
        <v>5.0</v>
      </c>
      <c r="K490" s="69" t="str">
        <f>iferror(vlookup(E490,MasterClass!$C$2:$G988,5,false),"")</f>
        <v/>
      </c>
      <c r="L490" s="181">
        <v>1.0</v>
      </c>
      <c r="M490" s="69">
        <f t="shared" si="70"/>
        <v>8</v>
      </c>
      <c r="N490" s="69">
        <f t="shared" si="71"/>
        <v>4</v>
      </c>
      <c r="O490" s="146">
        <f t="shared" si="72"/>
        <v>0.5</v>
      </c>
      <c r="P490" s="146"/>
      <c r="Q490" s="70"/>
      <c r="R490" s="63"/>
      <c r="S490" s="63"/>
      <c r="T490" s="63"/>
      <c r="U490" s="63"/>
      <c r="V490" s="63"/>
      <c r="W490" s="63"/>
      <c r="X490" s="63"/>
      <c r="Y490" s="63"/>
      <c r="Z490" s="63"/>
      <c r="AA490" s="63"/>
      <c r="AB490" s="63"/>
      <c r="AC490" s="63"/>
      <c r="AD490" s="63"/>
      <c r="AE490" s="63"/>
      <c r="AF490" s="63"/>
      <c r="AG490" s="63"/>
      <c r="AH490" s="63"/>
      <c r="AI490" s="63"/>
      <c r="AJ490" s="63"/>
    </row>
    <row r="491">
      <c r="A491" s="135">
        <v>497.0</v>
      </c>
      <c r="B491" s="67">
        <v>4.0</v>
      </c>
      <c r="C491" s="31" t="s">
        <v>877</v>
      </c>
      <c r="D491" s="68" t="s">
        <v>1591</v>
      </c>
      <c r="E491" s="71" t="s">
        <v>2946</v>
      </c>
      <c r="F491" s="69" t="s">
        <v>1588</v>
      </c>
      <c r="G491" s="69" t="s">
        <v>2944</v>
      </c>
      <c r="H491" s="145">
        <v>3.0</v>
      </c>
      <c r="I491" s="145">
        <v>0.0</v>
      </c>
      <c r="J491" s="69">
        <v>5.0</v>
      </c>
      <c r="K491" s="69" t="str">
        <f>iferror(vlookup(E491,MasterClass!$C$2:$G988,5,false),"")</f>
        <v/>
      </c>
      <c r="L491" s="69">
        <v>1.0</v>
      </c>
      <c r="M491" s="69">
        <f t="shared" si="70"/>
        <v>8</v>
      </c>
      <c r="N491" s="69">
        <f t="shared" si="71"/>
        <v>1</v>
      </c>
      <c r="O491" s="146">
        <f t="shared" si="72"/>
        <v>0.125</v>
      </c>
      <c r="P491" s="146"/>
      <c r="Q491" s="70"/>
      <c r="R491" s="63"/>
      <c r="S491" s="63"/>
      <c r="T491" s="63"/>
      <c r="U491" s="63"/>
      <c r="V491" s="63"/>
      <c r="W491" s="63"/>
      <c r="X491" s="63"/>
      <c r="Y491" s="63"/>
      <c r="Z491" s="63"/>
      <c r="AA491" s="63"/>
      <c r="AB491" s="63"/>
      <c r="AC491" s="63"/>
      <c r="AD491" s="63"/>
      <c r="AE491" s="63"/>
      <c r="AF491" s="63"/>
      <c r="AG491" s="63"/>
      <c r="AH491" s="63"/>
      <c r="AI491" s="63"/>
      <c r="AJ491" s="63"/>
    </row>
    <row r="492">
      <c r="A492" s="135">
        <v>498.0</v>
      </c>
      <c r="B492" s="67">
        <v>5.0</v>
      </c>
      <c r="C492" s="31" t="s">
        <v>879</v>
      </c>
      <c r="D492" s="68" t="s">
        <v>1592</v>
      </c>
      <c r="E492" s="71" t="s">
        <v>2947</v>
      </c>
      <c r="F492" s="69" t="s">
        <v>1588</v>
      </c>
      <c r="G492" s="69" t="s">
        <v>2944</v>
      </c>
      <c r="H492" s="145">
        <v>3.0</v>
      </c>
      <c r="I492" s="145">
        <v>0.0</v>
      </c>
      <c r="J492" s="69">
        <v>5.0</v>
      </c>
      <c r="K492" s="69" t="str">
        <f>iferror(vlookup(E492,MasterClass!$C$2:$G988,5,false),"")</f>
        <v/>
      </c>
      <c r="L492" s="181">
        <v>0.0</v>
      </c>
      <c r="M492" s="69">
        <f t="shared" si="70"/>
        <v>8</v>
      </c>
      <c r="N492" s="69">
        <f t="shared" si="71"/>
        <v>0</v>
      </c>
      <c r="O492" s="146">
        <f t="shared" si="72"/>
        <v>0</v>
      </c>
      <c r="P492" s="146"/>
      <c r="Q492" s="70"/>
      <c r="R492" s="63"/>
      <c r="S492" s="63"/>
      <c r="T492" s="63"/>
      <c r="U492" s="63"/>
      <c r="V492" s="63"/>
      <c r="W492" s="63"/>
      <c r="X492" s="63"/>
      <c r="Y492" s="63"/>
      <c r="Z492" s="63"/>
      <c r="AA492" s="63"/>
      <c r="AB492" s="63"/>
      <c r="AC492" s="63"/>
      <c r="AD492" s="63"/>
      <c r="AE492" s="63"/>
      <c r="AF492" s="63"/>
      <c r="AG492" s="63"/>
      <c r="AH492" s="63"/>
      <c r="AI492" s="63"/>
      <c r="AJ492" s="63"/>
    </row>
    <row r="493">
      <c r="A493" s="135">
        <v>499.0</v>
      </c>
      <c r="B493" s="67">
        <v>6.0</v>
      </c>
      <c r="C493" s="31" t="s">
        <v>881</v>
      </c>
      <c r="D493" s="68" t="s">
        <v>1593</v>
      </c>
      <c r="E493" s="71" t="s">
        <v>2948</v>
      </c>
      <c r="F493" s="69" t="s">
        <v>1588</v>
      </c>
      <c r="G493" s="69" t="s">
        <v>2949</v>
      </c>
      <c r="H493" s="145">
        <v>3.0</v>
      </c>
      <c r="I493" s="145">
        <v>3.0</v>
      </c>
      <c r="J493" s="69">
        <v>5.0</v>
      </c>
      <c r="K493" s="69" t="str">
        <f>iferror(vlookup(E493,MasterClass!$C$2:$G988,5,false),"")</f>
        <v/>
      </c>
      <c r="L493" s="69">
        <v>5.0</v>
      </c>
      <c r="M493" s="69">
        <f t="shared" si="70"/>
        <v>8</v>
      </c>
      <c r="N493" s="69">
        <f t="shared" si="71"/>
        <v>8</v>
      </c>
      <c r="O493" s="146">
        <f t="shared" si="72"/>
        <v>1</v>
      </c>
      <c r="P493" s="146"/>
      <c r="Q493" s="70"/>
      <c r="R493" s="63"/>
      <c r="S493" s="63"/>
      <c r="T493" s="63"/>
      <c r="U493" s="63"/>
      <c r="V493" s="63"/>
      <c r="W493" s="63"/>
      <c r="X493" s="63"/>
      <c r="Y493" s="63"/>
      <c r="Z493" s="63"/>
      <c r="AA493" s="63"/>
      <c r="AB493" s="63"/>
      <c r="AC493" s="63"/>
      <c r="AD493" s="63"/>
      <c r="AE493" s="63"/>
      <c r="AF493" s="63"/>
      <c r="AG493" s="63"/>
      <c r="AH493" s="63"/>
      <c r="AI493" s="63"/>
      <c r="AJ493" s="63"/>
    </row>
    <row r="494">
      <c r="A494" s="135">
        <v>500.0</v>
      </c>
      <c r="B494" s="67">
        <v>7.0</v>
      </c>
      <c r="C494" s="31" t="s">
        <v>883</v>
      </c>
      <c r="D494" s="68" t="s">
        <v>1594</v>
      </c>
      <c r="E494" s="71" t="s">
        <v>2950</v>
      </c>
      <c r="F494" s="69" t="s">
        <v>1588</v>
      </c>
      <c r="G494" s="69" t="s">
        <v>2949</v>
      </c>
      <c r="H494" s="145">
        <v>3.0</v>
      </c>
      <c r="I494" s="145">
        <v>1.0</v>
      </c>
      <c r="J494" s="69">
        <v>5.0</v>
      </c>
      <c r="K494" s="69" t="str">
        <f>iferror(vlookup(E494,MasterClass!$C$2:$G988,5,false),"")</f>
        <v/>
      </c>
      <c r="L494" s="69">
        <v>4.0</v>
      </c>
      <c r="M494" s="69">
        <f t="shared" si="70"/>
        <v>8</v>
      </c>
      <c r="N494" s="69">
        <f t="shared" si="71"/>
        <v>5</v>
      </c>
      <c r="O494" s="146">
        <f t="shared" si="72"/>
        <v>0.625</v>
      </c>
      <c r="P494" s="146"/>
      <c r="Q494" s="70"/>
      <c r="R494" s="63"/>
      <c r="S494" s="63"/>
      <c r="T494" s="63"/>
      <c r="U494" s="63"/>
      <c r="V494" s="63"/>
      <c r="W494" s="63"/>
      <c r="X494" s="63"/>
      <c r="Y494" s="63"/>
      <c r="Z494" s="63"/>
      <c r="AA494" s="63"/>
      <c r="AB494" s="63"/>
      <c r="AC494" s="63"/>
      <c r="AD494" s="63"/>
      <c r="AE494" s="63"/>
      <c r="AF494" s="63"/>
      <c r="AG494" s="63"/>
      <c r="AH494" s="63"/>
      <c r="AI494" s="63"/>
      <c r="AJ494" s="63"/>
    </row>
    <row r="495">
      <c r="A495" s="135">
        <v>501.0</v>
      </c>
      <c r="B495" s="67">
        <v>8.0</v>
      </c>
      <c r="C495" s="31" t="s">
        <v>885</v>
      </c>
      <c r="D495" s="68" t="s">
        <v>1595</v>
      </c>
      <c r="E495" s="71" t="s">
        <v>2951</v>
      </c>
      <c r="F495" s="69" t="s">
        <v>1588</v>
      </c>
      <c r="G495" s="69" t="s">
        <v>2944</v>
      </c>
      <c r="H495" s="145">
        <v>3.0</v>
      </c>
      <c r="I495" s="145">
        <v>0.0</v>
      </c>
      <c r="J495" s="69">
        <v>5.0</v>
      </c>
      <c r="K495" s="69" t="str">
        <f>iferror(vlookup(E495,MasterClass!$C$2:$G988,5,false),"")</f>
        <v/>
      </c>
      <c r="L495" s="181">
        <v>0.0</v>
      </c>
      <c r="M495" s="69">
        <f t="shared" si="70"/>
        <v>8</v>
      </c>
      <c r="N495" s="69">
        <f t="shared" si="71"/>
        <v>0</v>
      </c>
      <c r="O495" s="146">
        <f t="shared" si="72"/>
        <v>0</v>
      </c>
      <c r="P495" s="146"/>
      <c r="Q495" s="70"/>
      <c r="R495" s="63"/>
      <c r="S495" s="63"/>
      <c r="T495" s="63"/>
      <c r="U495" s="63"/>
      <c r="V495" s="63"/>
      <c r="W495" s="63"/>
      <c r="X495" s="63"/>
      <c r="Y495" s="63"/>
      <c r="Z495" s="63"/>
      <c r="AA495" s="63"/>
      <c r="AB495" s="63"/>
      <c r="AC495" s="63"/>
      <c r="AD495" s="63"/>
      <c r="AE495" s="63"/>
      <c r="AF495" s="63"/>
      <c r="AG495" s="63"/>
      <c r="AH495" s="63"/>
      <c r="AI495" s="63"/>
      <c r="AJ495" s="63"/>
    </row>
    <row r="496">
      <c r="A496" s="135">
        <v>502.0</v>
      </c>
      <c r="B496" s="67">
        <v>9.0</v>
      </c>
      <c r="C496" s="31" t="s">
        <v>887</v>
      </c>
      <c r="D496" s="71" t="s">
        <v>1596</v>
      </c>
      <c r="E496" s="71" t="s">
        <v>2952</v>
      </c>
      <c r="F496" s="69" t="s">
        <v>1588</v>
      </c>
      <c r="G496" s="69" t="s">
        <v>2944</v>
      </c>
      <c r="H496" s="145">
        <v>3.0</v>
      </c>
      <c r="I496" s="145">
        <v>3.0</v>
      </c>
      <c r="J496" s="69">
        <v>5.0</v>
      </c>
      <c r="K496" s="69" t="str">
        <f>iferror(vlookup(E496,MasterClass!$C$2:$G988,5,false),"")</f>
        <v/>
      </c>
      <c r="L496" s="69">
        <v>5.0</v>
      </c>
      <c r="M496" s="69">
        <f t="shared" si="70"/>
        <v>8</v>
      </c>
      <c r="N496" s="69">
        <f t="shared" si="71"/>
        <v>8</v>
      </c>
      <c r="O496" s="146">
        <f t="shared" si="72"/>
        <v>1</v>
      </c>
      <c r="P496" s="146"/>
      <c r="Q496" s="70"/>
      <c r="R496" s="63"/>
      <c r="S496" s="63"/>
      <c r="T496" s="63"/>
      <c r="U496" s="63"/>
      <c r="V496" s="63"/>
      <c r="W496" s="63"/>
      <c r="X496" s="63"/>
      <c r="Y496" s="63"/>
      <c r="Z496" s="63"/>
      <c r="AA496" s="63"/>
      <c r="AB496" s="63"/>
      <c r="AC496" s="63"/>
      <c r="AD496" s="63"/>
      <c r="AE496" s="63"/>
      <c r="AF496" s="63"/>
      <c r="AG496" s="63"/>
      <c r="AH496" s="63"/>
      <c r="AI496" s="63"/>
      <c r="AJ496" s="63"/>
    </row>
    <row r="497">
      <c r="A497" s="135">
        <v>503.0</v>
      </c>
      <c r="B497" s="67">
        <v>10.0</v>
      </c>
      <c r="C497" s="31" t="s">
        <v>889</v>
      </c>
      <c r="D497" s="71" t="s">
        <v>1597</v>
      </c>
      <c r="E497" s="71" t="s">
        <v>2953</v>
      </c>
      <c r="F497" s="69" t="s">
        <v>1588</v>
      </c>
      <c r="G497" s="69" t="s">
        <v>2944</v>
      </c>
      <c r="H497" s="145">
        <v>3.0</v>
      </c>
      <c r="I497" s="145">
        <v>3.0</v>
      </c>
      <c r="J497" s="69">
        <v>5.0</v>
      </c>
      <c r="K497" s="69" t="str">
        <f>iferror(vlookup(E497,MasterClass!$C$2:$G988,5,false),"")</f>
        <v/>
      </c>
      <c r="L497" s="69">
        <v>5.0</v>
      </c>
      <c r="M497" s="69">
        <f t="shared" si="70"/>
        <v>8</v>
      </c>
      <c r="N497" s="69">
        <f t="shared" si="71"/>
        <v>8</v>
      </c>
      <c r="O497" s="146">
        <f t="shared" si="72"/>
        <v>1</v>
      </c>
      <c r="P497" s="146"/>
      <c r="Q497" s="70"/>
      <c r="R497" s="63"/>
      <c r="S497" s="63"/>
      <c r="T497" s="63"/>
      <c r="U497" s="63"/>
      <c r="V497" s="63"/>
      <c r="W497" s="63"/>
      <c r="X497" s="63"/>
      <c r="Y497" s="63"/>
      <c r="Z497" s="63"/>
      <c r="AA497" s="63"/>
      <c r="AB497" s="63"/>
      <c r="AC497" s="63"/>
      <c r="AD497" s="63"/>
      <c r="AE497" s="63"/>
      <c r="AF497" s="63"/>
      <c r="AG497" s="63"/>
      <c r="AH497" s="63"/>
      <c r="AI497" s="63"/>
      <c r="AJ497" s="63"/>
    </row>
    <row r="498">
      <c r="A498" s="135">
        <v>504.0</v>
      </c>
      <c r="B498" s="67">
        <v>11.0</v>
      </c>
      <c r="C498" s="31" t="s">
        <v>891</v>
      </c>
      <c r="D498" s="68" t="s">
        <v>1598</v>
      </c>
      <c r="E498" s="71" t="s">
        <v>2954</v>
      </c>
      <c r="F498" s="69" t="s">
        <v>1588</v>
      </c>
      <c r="G498" s="69" t="s">
        <v>2949</v>
      </c>
      <c r="H498" s="145">
        <v>3.0</v>
      </c>
      <c r="I498" s="145">
        <v>2.0</v>
      </c>
      <c r="J498" s="69">
        <v>5.0</v>
      </c>
      <c r="K498" s="69" t="str">
        <f>iferror(vlookup(E498,MasterClass!$C$2:$G988,5,false),"")</f>
        <v/>
      </c>
      <c r="L498" s="69">
        <v>4.0</v>
      </c>
      <c r="M498" s="69">
        <f t="shared" si="70"/>
        <v>8</v>
      </c>
      <c r="N498" s="69">
        <f t="shared" si="71"/>
        <v>6</v>
      </c>
      <c r="O498" s="146">
        <f t="shared" si="72"/>
        <v>0.75</v>
      </c>
      <c r="P498" s="146"/>
      <c r="Q498" s="70"/>
      <c r="R498" s="63"/>
      <c r="S498" s="63"/>
      <c r="T498" s="63"/>
      <c r="U498" s="63"/>
      <c r="V498" s="63"/>
      <c r="W498" s="63"/>
      <c r="X498" s="63"/>
      <c r="Y498" s="63"/>
      <c r="Z498" s="63"/>
      <c r="AA498" s="63"/>
      <c r="AB498" s="63"/>
      <c r="AC498" s="63"/>
      <c r="AD498" s="63"/>
      <c r="AE498" s="63"/>
      <c r="AF498" s="63"/>
      <c r="AG498" s="63"/>
      <c r="AH498" s="63"/>
      <c r="AI498" s="63"/>
      <c r="AJ498" s="63"/>
    </row>
    <row r="499">
      <c r="A499" s="135">
        <v>505.0</v>
      </c>
      <c r="B499" s="67">
        <v>12.0</v>
      </c>
      <c r="C499" s="31" t="s">
        <v>893</v>
      </c>
      <c r="D499" s="68" t="s">
        <v>1599</v>
      </c>
      <c r="E499" s="71" t="s">
        <v>2955</v>
      </c>
      <c r="F499" s="69" t="s">
        <v>1588</v>
      </c>
      <c r="G499" s="69" t="s">
        <v>2949</v>
      </c>
      <c r="H499" s="145">
        <v>3.0</v>
      </c>
      <c r="I499" s="145">
        <v>2.0</v>
      </c>
      <c r="J499" s="69">
        <v>5.0</v>
      </c>
      <c r="K499" s="69" t="str">
        <f>iferror(vlookup(E499,MasterClass!$C$2:$G988,5,false),"")</f>
        <v/>
      </c>
      <c r="L499" s="69">
        <v>5.0</v>
      </c>
      <c r="M499" s="69">
        <f t="shared" si="70"/>
        <v>8</v>
      </c>
      <c r="N499" s="69">
        <f t="shared" si="71"/>
        <v>7</v>
      </c>
      <c r="O499" s="146">
        <f t="shared" si="72"/>
        <v>0.875</v>
      </c>
      <c r="P499" s="146"/>
      <c r="Q499" s="70"/>
      <c r="R499" s="63"/>
      <c r="S499" s="63"/>
      <c r="T499" s="63"/>
      <c r="U499" s="63"/>
      <c r="V499" s="63"/>
      <c r="W499" s="63"/>
      <c r="X499" s="63"/>
      <c r="Y499" s="63"/>
      <c r="Z499" s="63"/>
      <c r="AA499" s="63"/>
      <c r="AB499" s="63"/>
      <c r="AC499" s="63"/>
      <c r="AD499" s="63"/>
      <c r="AE499" s="63"/>
      <c r="AF499" s="63"/>
      <c r="AG499" s="63"/>
      <c r="AH499" s="63"/>
      <c r="AI499" s="63"/>
      <c r="AJ499" s="63"/>
    </row>
    <row r="500">
      <c r="A500" s="135">
        <v>506.0</v>
      </c>
      <c r="B500" s="67">
        <v>13.0</v>
      </c>
      <c r="C500" s="31" t="s">
        <v>895</v>
      </c>
      <c r="D500" s="68" t="s">
        <v>1600</v>
      </c>
      <c r="E500" s="71" t="s">
        <v>2956</v>
      </c>
      <c r="F500" s="69" t="s">
        <v>1588</v>
      </c>
      <c r="G500" s="69" t="s">
        <v>2949</v>
      </c>
      <c r="H500" s="145">
        <v>3.0</v>
      </c>
      <c r="I500" s="145">
        <v>3.0</v>
      </c>
      <c r="J500" s="69">
        <v>5.0</v>
      </c>
      <c r="K500" s="69" t="str">
        <f>iferror(vlookup(E500,MasterClass!$C$2:$G988,5,false),"")</f>
        <v/>
      </c>
      <c r="L500" s="69">
        <v>4.0</v>
      </c>
      <c r="M500" s="69">
        <f t="shared" si="70"/>
        <v>8</v>
      </c>
      <c r="N500" s="69">
        <f t="shared" si="71"/>
        <v>7</v>
      </c>
      <c r="O500" s="146">
        <f t="shared" si="72"/>
        <v>0.875</v>
      </c>
      <c r="P500" s="146"/>
      <c r="Q500" s="70"/>
      <c r="R500" s="63"/>
      <c r="S500" s="63"/>
      <c r="T500" s="63"/>
      <c r="U500" s="63"/>
      <c r="V500" s="63"/>
      <c r="W500" s="63"/>
      <c r="X500" s="63"/>
      <c r="Y500" s="63"/>
      <c r="Z500" s="63"/>
      <c r="AA500" s="63"/>
      <c r="AB500" s="63"/>
      <c r="AC500" s="63"/>
      <c r="AD500" s="63"/>
      <c r="AE500" s="63"/>
      <c r="AF500" s="63"/>
      <c r="AG500" s="63"/>
      <c r="AH500" s="63"/>
      <c r="AI500" s="63"/>
      <c r="AJ500" s="63"/>
    </row>
    <row r="501">
      <c r="A501" s="135">
        <v>507.0</v>
      </c>
      <c r="B501" s="67">
        <v>14.0</v>
      </c>
      <c r="C501" s="31" t="s">
        <v>897</v>
      </c>
      <c r="D501" s="68" t="s">
        <v>1601</v>
      </c>
      <c r="E501" s="71" t="s">
        <v>2957</v>
      </c>
      <c r="F501" s="69" t="s">
        <v>1588</v>
      </c>
      <c r="G501" s="69" t="s">
        <v>2944</v>
      </c>
      <c r="H501" s="145">
        <v>3.0</v>
      </c>
      <c r="I501" s="145">
        <v>2.0</v>
      </c>
      <c r="J501" s="69">
        <v>5.0</v>
      </c>
      <c r="K501" s="69" t="str">
        <f>iferror(vlookup(E501,MasterClass!$C$2:$G988,5,false),"")</f>
        <v/>
      </c>
      <c r="L501" s="69">
        <v>3.0</v>
      </c>
      <c r="M501" s="69">
        <f t="shared" si="70"/>
        <v>8</v>
      </c>
      <c r="N501" s="69">
        <f t="shared" si="71"/>
        <v>5</v>
      </c>
      <c r="O501" s="146">
        <f t="shared" si="72"/>
        <v>0.625</v>
      </c>
      <c r="P501" s="146"/>
      <c r="Q501" s="70"/>
      <c r="R501" s="63"/>
      <c r="S501" s="63"/>
      <c r="T501" s="63"/>
      <c r="U501" s="63"/>
      <c r="V501" s="63"/>
      <c r="W501" s="63"/>
      <c r="X501" s="63"/>
      <c r="Y501" s="63"/>
      <c r="Z501" s="63"/>
      <c r="AA501" s="63"/>
      <c r="AB501" s="63"/>
      <c r="AC501" s="63"/>
      <c r="AD501" s="63"/>
      <c r="AE501" s="63"/>
      <c r="AF501" s="63"/>
      <c r="AG501" s="63"/>
      <c r="AH501" s="63"/>
      <c r="AI501" s="63"/>
      <c r="AJ501" s="63"/>
    </row>
    <row r="502">
      <c r="A502" s="135">
        <v>508.0</v>
      </c>
      <c r="B502" s="67">
        <v>15.0</v>
      </c>
      <c r="C502" s="31" t="s">
        <v>899</v>
      </c>
      <c r="D502" s="68" t="s">
        <v>1602</v>
      </c>
      <c r="E502" s="71" t="s">
        <v>2958</v>
      </c>
      <c r="F502" s="69" t="s">
        <v>1588</v>
      </c>
      <c r="G502" s="69" t="s">
        <v>1187</v>
      </c>
      <c r="H502" s="145" t="s">
        <v>1187</v>
      </c>
      <c r="I502" s="145" t="s">
        <v>1187</v>
      </c>
      <c r="J502" s="69" t="s">
        <v>1187</v>
      </c>
      <c r="K502" s="69" t="s">
        <v>1187</v>
      </c>
      <c r="L502" s="69" t="s">
        <v>1187</v>
      </c>
      <c r="M502" s="69" t="s">
        <v>1187</v>
      </c>
      <c r="N502" s="69" t="s">
        <v>1187</v>
      </c>
      <c r="O502" s="69" t="s">
        <v>1187</v>
      </c>
      <c r="P502" s="69" t="s">
        <v>2522</v>
      </c>
      <c r="Q502" s="70"/>
      <c r="R502" s="63"/>
      <c r="S502" s="63"/>
      <c r="T502" s="63"/>
      <c r="U502" s="63"/>
      <c r="V502" s="63"/>
      <c r="W502" s="63"/>
      <c r="X502" s="63"/>
      <c r="Y502" s="63"/>
      <c r="Z502" s="63"/>
      <c r="AA502" s="63"/>
      <c r="AB502" s="63"/>
      <c r="AC502" s="63"/>
      <c r="AD502" s="63"/>
      <c r="AE502" s="63"/>
      <c r="AF502" s="63"/>
      <c r="AG502" s="63"/>
      <c r="AH502" s="63"/>
      <c r="AI502" s="63"/>
      <c r="AJ502" s="63"/>
    </row>
    <row r="503">
      <c r="A503" s="135">
        <v>509.0</v>
      </c>
      <c r="B503" s="67">
        <v>16.0</v>
      </c>
      <c r="C503" s="31" t="s">
        <v>901</v>
      </c>
      <c r="D503" s="68" t="s">
        <v>1603</v>
      </c>
      <c r="E503" s="71" t="s">
        <v>2959</v>
      </c>
      <c r="F503" s="69" t="s">
        <v>1588</v>
      </c>
      <c r="G503" s="69" t="s">
        <v>2949</v>
      </c>
      <c r="H503" s="145">
        <v>3.0</v>
      </c>
      <c r="I503" s="145">
        <v>0.0</v>
      </c>
      <c r="J503" s="69">
        <v>5.0</v>
      </c>
      <c r="K503" s="69" t="str">
        <f>iferror(vlookup(E503,MasterClass!$C$2:$G988,5,false),"")</f>
        <v/>
      </c>
      <c r="L503" s="69">
        <v>1.0</v>
      </c>
      <c r="M503" s="69">
        <f t="shared" ref="M503:M509" si="73">J503+H503</f>
        <v>8</v>
      </c>
      <c r="N503" s="69">
        <f t="shared" ref="N503:N509" si="74">I503+L503+K503</f>
        <v>1</v>
      </c>
      <c r="O503" s="146">
        <f t="shared" ref="O503:O509" si="75">N503/M503</f>
        <v>0.125</v>
      </c>
      <c r="P503" s="146"/>
      <c r="Q503" s="70"/>
      <c r="R503" s="63"/>
      <c r="S503" s="63"/>
      <c r="T503" s="63"/>
      <c r="U503" s="63"/>
      <c r="V503" s="63"/>
      <c r="W503" s="63"/>
      <c r="X503" s="63"/>
      <c r="Y503" s="63"/>
      <c r="Z503" s="63"/>
      <c r="AA503" s="63"/>
      <c r="AB503" s="63"/>
      <c r="AC503" s="63"/>
      <c r="AD503" s="63"/>
      <c r="AE503" s="63"/>
      <c r="AF503" s="63"/>
      <c r="AG503" s="63"/>
      <c r="AH503" s="63"/>
      <c r="AI503" s="63"/>
      <c r="AJ503" s="63"/>
    </row>
    <row r="504">
      <c r="A504" s="135">
        <v>510.0</v>
      </c>
      <c r="B504" s="67">
        <v>17.0</v>
      </c>
      <c r="C504" s="31" t="s">
        <v>903</v>
      </c>
      <c r="D504" s="68" t="s">
        <v>1604</v>
      </c>
      <c r="E504" s="71" t="s">
        <v>2960</v>
      </c>
      <c r="F504" s="69" t="s">
        <v>1588</v>
      </c>
      <c r="G504" s="69" t="s">
        <v>2949</v>
      </c>
      <c r="H504" s="145">
        <v>3.0</v>
      </c>
      <c r="I504" s="145">
        <v>3.0</v>
      </c>
      <c r="J504" s="69">
        <v>5.0</v>
      </c>
      <c r="K504" s="69" t="str">
        <f>iferror(vlookup(E504,MasterClass!$C$2:$G988,5,false),"")</f>
        <v/>
      </c>
      <c r="L504" s="69">
        <v>5.0</v>
      </c>
      <c r="M504" s="69">
        <f t="shared" si="73"/>
        <v>8</v>
      </c>
      <c r="N504" s="69">
        <f t="shared" si="74"/>
        <v>8</v>
      </c>
      <c r="O504" s="146">
        <f t="shared" si="75"/>
        <v>1</v>
      </c>
      <c r="P504" s="146"/>
      <c r="Q504" s="70"/>
      <c r="R504" s="63"/>
      <c r="S504" s="63"/>
      <c r="T504" s="63"/>
      <c r="U504" s="63"/>
      <c r="V504" s="63"/>
      <c r="W504" s="63"/>
      <c r="X504" s="63"/>
      <c r="Y504" s="63"/>
      <c r="Z504" s="63"/>
      <c r="AA504" s="63"/>
      <c r="AB504" s="63"/>
      <c r="AC504" s="63"/>
      <c r="AD504" s="63"/>
      <c r="AE504" s="63"/>
      <c r="AF504" s="63"/>
      <c r="AG504" s="63"/>
      <c r="AH504" s="63"/>
      <c r="AI504" s="63"/>
      <c r="AJ504" s="63"/>
    </row>
    <row r="505">
      <c r="A505" s="135">
        <v>511.0</v>
      </c>
      <c r="B505" s="67">
        <v>18.0</v>
      </c>
      <c r="C505" s="31" t="s">
        <v>905</v>
      </c>
      <c r="D505" s="71" t="s">
        <v>1605</v>
      </c>
      <c r="E505" s="71" t="s">
        <v>2961</v>
      </c>
      <c r="F505" s="69" t="s">
        <v>1588</v>
      </c>
      <c r="G505" s="69" t="s">
        <v>2949</v>
      </c>
      <c r="H505" s="145">
        <v>3.0</v>
      </c>
      <c r="I505" s="145">
        <v>0.0</v>
      </c>
      <c r="J505" s="69">
        <v>5.0</v>
      </c>
      <c r="K505" s="69" t="str">
        <f>iferror(vlookup(E505,MasterClass!$C$2:$G988,5,false),"")</f>
        <v/>
      </c>
      <c r="L505" s="69">
        <v>3.0</v>
      </c>
      <c r="M505" s="69">
        <f t="shared" si="73"/>
        <v>8</v>
      </c>
      <c r="N505" s="69">
        <f t="shared" si="74"/>
        <v>3</v>
      </c>
      <c r="O505" s="146">
        <f t="shared" si="75"/>
        <v>0.375</v>
      </c>
      <c r="P505" s="146"/>
      <c r="Q505" s="70"/>
      <c r="R505" s="63"/>
      <c r="S505" s="63"/>
      <c r="T505" s="63"/>
      <c r="U505" s="63"/>
      <c r="V505" s="63"/>
      <c r="W505" s="63"/>
      <c r="X505" s="63"/>
      <c r="Y505" s="63"/>
      <c r="Z505" s="63"/>
      <c r="AA505" s="63"/>
      <c r="AB505" s="63"/>
      <c r="AC505" s="63"/>
      <c r="AD505" s="63"/>
      <c r="AE505" s="63"/>
      <c r="AF505" s="63"/>
      <c r="AG505" s="63"/>
      <c r="AH505" s="63"/>
      <c r="AI505" s="63"/>
      <c r="AJ505" s="63"/>
    </row>
    <row r="506">
      <c r="A506" s="135">
        <v>512.0</v>
      </c>
      <c r="B506" s="67">
        <v>19.0</v>
      </c>
      <c r="C506" s="31" t="s">
        <v>907</v>
      </c>
      <c r="D506" s="68" t="s">
        <v>1606</v>
      </c>
      <c r="E506" s="71" t="s">
        <v>2962</v>
      </c>
      <c r="F506" s="69" t="s">
        <v>1588</v>
      </c>
      <c r="G506" s="69" t="s">
        <v>2949</v>
      </c>
      <c r="H506" s="145">
        <v>3.0</v>
      </c>
      <c r="I506" s="145">
        <v>3.0</v>
      </c>
      <c r="J506" s="69">
        <v>5.0</v>
      </c>
      <c r="K506" s="69" t="str">
        <f>iferror(vlookup(E506,MasterClass!$C$2:$G988,5,false),"")</f>
        <v/>
      </c>
      <c r="L506" s="69">
        <v>3.0</v>
      </c>
      <c r="M506" s="69">
        <f t="shared" si="73"/>
        <v>8</v>
      </c>
      <c r="N506" s="69">
        <f t="shared" si="74"/>
        <v>6</v>
      </c>
      <c r="O506" s="146">
        <f t="shared" si="75"/>
        <v>0.75</v>
      </c>
      <c r="P506" s="146"/>
      <c r="Q506" s="70"/>
      <c r="R506" s="63"/>
      <c r="S506" s="63"/>
      <c r="T506" s="63"/>
      <c r="U506" s="63"/>
      <c r="V506" s="63"/>
      <c r="W506" s="63"/>
      <c r="X506" s="63"/>
      <c r="Y506" s="63"/>
      <c r="Z506" s="63"/>
      <c r="AA506" s="63"/>
      <c r="AB506" s="63"/>
      <c r="AC506" s="63"/>
      <c r="AD506" s="63"/>
      <c r="AE506" s="63"/>
      <c r="AF506" s="63"/>
      <c r="AG506" s="63"/>
      <c r="AH506" s="63"/>
      <c r="AI506" s="63"/>
      <c r="AJ506" s="63"/>
    </row>
    <row r="507">
      <c r="A507" s="135">
        <v>513.0</v>
      </c>
      <c r="B507" s="67">
        <v>20.0</v>
      </c>
      <c r="C507" s="31" t="s">
        <v>909</v>
      </c>
      <c r="D507" s="68" t="s">
        <v>1607</v>
      </c>
      <c r="E507" s="71" t="s">
        <v>2963</v>
      </c>
      <c r="F507" s="69" t="s">
        <v>1588</v>
      </c>
      <c r="G507" s="69" t="s">
        <v>2949</v>
      </c>
      <c r="H507" s="145">
        <v>3.0</v>
      </c>
      <c r="I507" s="145">
        <v>0.0</v>
      </c>
      <c r="J507" s="69">
        <v>5.0</v>
      </c>
      <c r="K507" s="69" t="str">
        <f>iferror(vlookup(E507,MasterClass!$C$2:$G988,5,false),"")</f>
        <v/>
      </c>
      <c r="L507" s="181">
        <v>0.0</v>
      </c>
      <c r="M507" s="69">
        <f t="shared" si="73"/>
        <v>8</v>
      </c>
      <c r="N507" s="69">
        <f t="shared" si="74"/>
        <v>0</v>
      </c>
      <c r="O507" s="146">
        <f t="shared" si="75"/>
        <v>0</v>
      </c>
      <c r="P507" s="146"/>
      <c r="Q507" s="70"/>
      <c r="R507" s="63"/>
      <c r="S507" s="63"/>
      <c r="T507" s="63"/>
      <c r="U507" s="63"/>
      <c r="V507" s="63"/>
      <c r="W507" s="63"/>
      <c r="X507" s="63"/>
      <c r="Y507" s="63"/>
      <c r="Z507" s="63"/>
      <c r="AA507" s="63"/>
      <c r="AB507" s="63"/>
      <c r="AC507" s="63"/>
      <c r="AD507" s="63"/>
      <c r="AE507" s="63"/>
      <c r="AF507" s="63"/>
      <c r="AG507" s="63"/>
      <c r="AH507" s="63"/>
      <c r="AI507" s="63"/>
      <c r="AJ507" s="63"/>
    </row>
    <row r="508">
      <c r="A508" s="135">
        <v>514.0</v>
      </c>
      <c r="B508" s="67">
        <v>21.0</v>
      </c>
      <c r="C508" s="31" t="s">
        <v>911</v>
      </c>
      <c r="D508" s="68" t="s">
        <v>1608</v>
      </c>
      <c r="E508" s="71" t="s">
        <v>2964</v>
      </c>
      <c r="F508" s="69" t="s">
        <v>1588</v>
      </c>
      <c r="G508" s="69" t="s">
        <v>2949</v>
      </c>
      <c r="H508" s="145">
        <v>3.0</v>
      </c>
      <c r="I508" s="145">
        <v>3.0</v>
      </c>
      <c r="J508" s="69">
        <v>5.0</v>
      </c>
      <c r="K508" s="69" t="str">
        <f>iferror(vlookup(E508,MasterClass!$C$2:$G988,5,false),"")</f>
        <v/>
      </c>
      <c r="L508" s="69">
        <v>3.0</v>
      </c>
      <c r="M508" s="69">
        <f t="shared" si="73"/>
        <v>8</v>
      </c>
      <c r="N508" s="69">
        <f t="shared" si="74"/>
        <v>6</v>
      </c>
      <c r="O508" s="146">
        <f t="shared" si="75"/>
        <v>0.75</v>
      </c>
      <c r="P508" s="146"/>
      <c r="Q508" s="70"/>
      <c r="R508" s="63"/>
      <c r="S508" s="63"/>
      <c r="T508" s="63"/>
      <c r="U508" s="63"/>
      <c r="V508" s="63"/>
      <c r="W508" s="63"/>
      <c r="X508" s="63"/>
      <c r="Y508" s="63"/>
      <c r="Z508" s="63"/>
      <c r="AA508" s="63"/>
      <c r="AB508" s="63"/>
      <c r="AC508" s="63"/>
      <c r="AD508" s="63"/>
      <c r="AE508" s="63"/>
      <c r="AF508" s="63"/>
      <c r="AG508" s="63"/>
      <c r="AH508" s="63"/>
      <c r="AI508" s="63"/>
      <c r="AJ508" s="63"/>
    </row>
    <row r="509">
      <c r="A509" s="135">
        <v>515.0</v>
      </c>
      <c r="B509" s="67">
        <v>22.0</v>
      </c>
      <c r="C509" s="31" t="s">
        <v>913</v>
      </c>
      <c r="D509" s="68" t="s">
        <v>1609</v>
      </c>
      <c r="E509" s="71" t="s">
        <v>2965</v>
      </c>
      <c r="F509" s="69" t="s">
        <v>1588</v>
      </c>
      <c r="G509" s="69" t="s">
        <v>2507</v>
      </c>
      <c r="H509" s="145">
        <v>3.0</v>
      </c>
      <c r="I509" s="145">
        <v>2.0</v>
      </c>
      <c r="J509" s="69">
        <v>5.0</v>
      </c>
      <c r="K509" s="69" t="str">
        <f>iferror(vlookup(E509,MasterClass!$C$2:$G988,5,false),"")</f>
        <v/>
      </c>
      <c r="L509" s="69">
        <v>4.0</v>
      </c>
      <c r="M509" s="69">
        <f t="shared" si="73"/>
        <v>8</v>
      </c>
      <c r="N509" s="69">
        <f t="shared" si="74"/>
        <v>6</v>
      </c>
      <c r="O509" s="146">
        <f t="shared" si="75"/>
        <v>0.75</v>
      </c>
      <c r="P509" s="69" t="s">
        <v>2508</v>
      </c>
      <c r="Q509" s="69"/>
      <c r="R509" s="63"/>
      <c r="S509" s="63"/>
      <c r="T509" s="63"/>
      <c r="U509" s="63"/>
      <c r="V509" s="63"/>
      <c r="W509" s="63"/>
      <c r="X509" s="63"/>
      <c r="Y509" s="63"/>
      <c r="Z509" s="63"/>
      <c r="AA509" s="63"/>
      <c r="AB509" s="63"/>
      <c r="AC509" s="63"/>
      <c r="AD509" s="63"/>
      <c r="AE509" s="63"/>
      <c r="AF509" s="63"/>
      <c r="AG509" s="63"/>
      <c r="AH509" s="63"/>
      <c r="AI509" s="63"/>
      <c r="AJ509" s="63"/>
    </row>
    <row r="510">
      <c r="A510" s="135">
        <v>516.0</v>
      </c>
      <c r="B510" s="67">
        <v>23.0</v>
      </c>
      <c r="C510" s="31" t="s">
        <v>915</v>
      </c>
      <c r="D510" s="68" t="s">
        <v>1610</v>
      </c>
      <c r="E510" s="71" t="s">
        <v>2966</v>
      </c>
      <c r="F510" s="69" t="s">
        <v>1588</v>
      </c>
      <c r="G510" s="69" t="s">
        <v>1187</v>
      </c>
      <c r="H510" s="145" t="s">
        <v>1187</v>
      </c>
      <c r="I510" s="145" t="s">
        <v>1187</v>
      </c>
      <c r="J510" s="69" t="s">
        <v>1187</v>
      </c>
      <c r="K510" s="69" t="s">
        <v>1187</v>
      </c>
      <c r="L510" s="69" t="s">
        <v>1187</v>
      </c>
      <c r="M510" s="69" t="s">
        <v>1187</v>
      </c>
      <c r="N510" s="69" t="s">
        <v>1187</v>
      </c>
      <c r="O510" s="69" t="s">
        <v>1187</v>
      </c>
      <c r="P510" s="69" t="s">
        <v>2522</v>
      </c>
      <c r="Q510" s="70"/>
      <c r="R510" s="63"/>
      <c r="S510" s="63"/>
      <c r="T510" s="63"/>
      <c r="U510" s="63"/>
      <c r="V510" s="63"/>
      <c r="W510" s="63"/>
      <c r="X510" s="63"/>
      <c r="Y510" s="63"/>
      <c r="Z510" s="63"/>
      <c r="AA510" s="63"/>
      <c r="AB510" s="63"/>
      <c r="AC510" s="63"/>
      <c r="AD510" s="63"/>
      <c r="AE510" s="63"/>
      <c r="AF510" s="63"/>
      <c r="AG510" s="63"/>
      <c r="AH510" s="63"/>
      <c r="AI510" s="63"/>
      <c r="AJ510" s="63"/>
    </row>
    <row r="511">
      <c r="A511" s="135">
        <v>517.0</v>
      </c>
      <c r="B511" s="67">
        <v>24.0</v>
      </c>
      <c r="C511" s="31" t="s">
        <v>917</v>
      </c>
      <c r="D511" s="68" t="s">
        <v>1611</v>
      </c>
      <c r="E511" s="71" t="s">
        <v>2967</v>
      </c>
      <c r="F511" s="69" t="s">
        <v>1588</v>
      </c>
      <c r="G511" s="69" t="s">
        <v>2944</v>
      </c>
      <c r="H511" s="145">
        <v>3.0</v>
      </c>
      <c r="I511" s="145">
        <v>2.0</v>
      </c>
      <c r="J511" s="69">
        <v>5.0</v>
      </c>
      <c r="K511" s="69" t="str">
        <f>iferror(vlookup(E511,MasterClass!$C$2:$G988,5,false),"")</f>
        <v/>
      </c>
      <c r="L511" s="69">
        <v>5.0</v>
      </c>
      <c r="M511" s="69">
        <f t="shared" ref="M511:M532" si="76">J511+H511</f>
        <v>8</v>
      </c>
      <c r="N511" s="69">
        <f t="shared" ref="N511:N532" si="77">I511+L511+K511</f>
        <v>7</v>
      </c>
      <c r="O511" s="146">
        <f t="shared" ref="O511:O532" si="78">N511/M511</f>
        <v>0.875</v>
      </c>
      <c r="P511" s="146"/>
      <c r="Q511" s="70"/>
      <c r="R511" s="63"/>
      <c r="S511" s="63"/>
      <c r="T511" s="63"/>
      <c r="U511" s="63"/>
      <c r="V511" s="63"/>
      <c r="W511" s="63"/>
      <c r="X511" s="63"/>
      <c r="Y511" s="63"/>
      <c r="Z511" s="63"/>
      <c r="AA511" s="63"/>
      <c r="AB511" s="63"/>
      <c r="AC511" s="63"/>
      <c r="AD511" s="63"/>
      <c r="AE511" s="63"/>
      <c r="AF511" s="63"/>
      <c r="AG511" s="63"/>
      <c r="AH511" s="63"/>
      <c r="AI511" s="63"/>
      <c r="AJ511" s="63"/>
    </row>
    <row r="512">
      <c r="A512" s="135">
        <v>518.0</v>
      </c>
      <c r="B512" s="67">
        <v>25.0</v>
      </c>
      <c r="C512" s="31" t="s">
        <v>919</v>
      </c>
      <c r="D512" s="68" t="s">
        <v>1612</v>
      </c>
      <c r="E512" s="71" t="s">
        <v>2968</v>
      </c>
      <c r="F512" s="69" t="s">
        <v>1588</v>
      </c>
      <c r="G512" s="69" t="s">
        <v>2944</v>
      </c>
      <c r="H512" s="145">
        <v>3.0</v>
      </c>
      <c r="I512" s="145">
        <v>2.0</v>
      </c>
      <c r="J512" s="69">
        <v>5.0</v>
      </c>
      <c r="K512" s="69" t="str">
        <f>iferror(vlookup(E512,MasterClass!$C$2:$G988,5,false),"")</f>
        <v/>
      </c>
      <c r="L512" s="69">
        <v>4.0</v>
      </c>
      <c r="M512" s="69">
        <f t="shared" si="76"/>
        <v>8</v>
      </c>
      <c r="N512" s="69">
        <f t="shared" si="77"/>
        <v>6</v>
      </c>
      <c r="O512" s="146">
        <f t="shared" si="78"/>
        <v>0.75</v>
      </c>
      <c r="P512" s="146"/>
      <c r="Q512" s="70"/>
      <c r="R512" s="63"/>
      <c r="S512" s="63"/>
      <c r="T512" s="63"/>
      <c r="U512" s="63"/>
      <c r="V512" s="63"/>
      <c r="W512" s="63"/>
      <c r="X512" s="63"/>
      <c r="Y512" s="63"/>
      <c r="Z512" s="63"/>
      <c r="AA512" s="63"/>
      <c r="AB512" s="63"/>
      <c r="AC512" s="63"/>
      <c r="AD512" s="63"/>
      <c r="AE512" s="63"/>
      <c r="AF512" s="63"/>
      <c r="AG512" s="63"/>
      <c r="AH512" s="63"/>
      <c r="AI512" s="63"/>
      <c r="AJ512" s="63"/>
    </row>
    <row r="513">
      <c r="A513" s="135">
        <v>519.0</v>
      </c>
      <c r="B513" s="67">
        <v>26.0</v>
      </c>
      <c r="C513" s="31" t="s">
        <v>921</v>
      </c>
      <c r="D513" s="68" t="s">
        <v>1613</v>
      </c>
      <c r="E513" s="71" t="s">
        <v>2969</v>
      </c>
      <c r="F513" s="69" t="s">
        <v>1588</v>
      </c>
      <c r="G513" s="69" t="s">
        <v>2949</v>
      </c>
      <c r="H513" s="145">
        <v>3.0</v>
      </c>
      <c r="I513" s="145">
        <v>1.0</v>
      </c>
      <c r="J513" s="69">
        <v>5.0</v>
      </c>
      <c r="K513" s="69" t="str">
        <f>iferror(vlookup(E513,MasterClass!$C$2:$G988,5,false),"")</f>
        <v/>
      </c>
      <c r="L513" s="69">
        <v>5.0</v>
      </c>
      <c r="M513" s="69">
        <f t="shared" si="76"/>
        <v>8</v>
      </c>
      <c r="N513" s="69">
        <f t="shared" si="77"/>
        <v>6</v>
      </c>
      <c r="O513" s="146">
        <f t="shared" si="78"/>
        <v>0.75</v>
      </c>
      <c r="P513" s="146"/>
      <c r="Q513" s="70"/>
      <c r="R513" s="63"/>
      <c r="S513" s="63"/>
      <c r="T513" s="63"/>
      <c r="U513" s="63"/>
      <c r="V513" s="63"/>
      <c r="W513" s="63"/>
      <c r="X513" s="63"/>
      <c r="Y513" s="63"/>
      <c r="Z513" s="63"/>
      <c r="AA513" s="63"/>
      <c r="AB513" s="63"/>
      <c r="AC513" s="63"/>
      <c r="AD513" s="63"/>
      <c r="AE513" s="63"/>
      <c r="AF513" s="63"/>
      <c r="AG513" s="63"/>
      <c r="AH513" s="63"/>
      <c r="AI513" s="63"/>
      <c r="AJ513" s="63"/>
    </row>
    <row r="514">
      <c r="A514" s="135">
        <v>520.0</v>
      </c>
      <c r="B514" s="67">
        <v>27.0</v>
      </c>
      <c r="C514" s="31" t="s">
        <v>923</v>
      </c>
      <c r="D514" s="68" t="s">
        <v>1614</v>
      </c>
      <c r="E514" s="71" t="s">
        <v>2970</v>
      </c>
      <c r="F514" s="69" t="s">
        <v>1588</v>
      </c>
      <c r="G514" s="69" t="s">
        <v>2971</v>
      </c>
      <c r="H514" s="145">
        <v>3.0</v>
      </c>
      <c r="I514" s="145">
        <v>3.0</v>
      </c>
      <c r="J514" s="69">
        <v>5.0</v>
      </c>
      <c r="K514" s="69" t="str">
        <f>iferror(vlookup(E514,MasterClass!$C$2:$G988,5,false),"")</f>
        <v/>
      </c>
      <c r="L514" s="69">
        <v>5.0</v>
      </c>
      <c r="M514" s="69">
        <f t="shared" si="76"/>
        <v>8</v>
      </c>
      <c r="N514" s="69">
        <f t="shared" si="77"/>
        <v>8</v>
      </c>
      <c r="O514" s="146">
        <f t="shared" si="78"/>
        <v>1</v>
      </c>
      <c r="P514" s="146"/>
      <c r="Q514" s="70"/>
      <c r="R514" s="63"/>
      <c r="S514" s="63"/>
      <c r="T514" s="63"/>
      <c r="U514" s="63"/>
      <c r="V514" s="63"/>
      <c r="W514" s="63"/>
      <c r="X514" s="63"/>
      <c r="Y514" s="63"/>
      <c r="Z514" s="63"/>
      <c r="AA514" s="63"/>
      <c r="AB514" s="63"/>
      <c r="AC514" s="63"/>
      <c r="AD514" s="63"/>
      <c r="AE514" s="63"/>
      <c r="AF514" s="63"/>
      <c r="AG514" s="63"/>
      <c r="AH514" s="63"/>
      <c r="AI514" s="63"/>
      <c r="AJ514" s="63"/>
    </row>
    <row r="515">
      <c r="A515" s="135">
        <v>521.0</v>
      </c>
      <c r="B515" s="67">
        <v>28.0</v>
      </c>
      <c r="C515" s="31" t="s">
        <v>925</v>
      </c>
      <c r="D515" s="68" t="s">
        <v>1615</v>
      </c>
      <c r="E515" s="71" t="s">
        <v>2972</v>
      </c>
      <c r="F515" s="69" t="s">
        <v>1588</v>
      </c>
      <c r="G515" s="69" t="s">
        <v>2971</v>
      </c>
      <c r="H515" s="145">
        <v>3.0</v>
      </c>
      <c r="I515" s="145">
        <v>2.0</v>
      </c>
      <c r="J515" s="69">
        <v>5.0</v>
      </c>
      <c r="K515" s="69" t="str">
        <f>iferror(vlookup(E515,MasterClass!$C$2:$G988,5,false),"")</f>
        <v/>
      </c>
      <c r="L515" s="69">
        <v>4.0</v>
      </c>
      <c r="M515" s="69">
        <f t="shared" si="76"/>
        <v>8</v>
      </c>
      <c r="N515" s="69">
        <f t="shared" si="77"/>
        <v>6</v>
      </c>
      <c r="O515" s="146">
        <f t="shared" si="78"/>
        <v>0.75</v>
      </c>
      <c r="P515" s="146"/>
      <c r="Q515" s="70"/>
      <c r="R515" s="63"/>
      <c r="S515" s="63"/>
      <c r="T515" s="63"/>
      <c r="U515" s="63"/>
      <c r="V515" s="63"/>
      <c r="W515" s="63"/>
      <c r="X515" s="63"/>
      <c r="Y515" s="63"/>
      <c r="Z515" s="63"/>
      <c r="AA515" s="63"/>
      <c r="AB515" s="63"/>
      <c r="AC515" s="63"/>
      <c r="AD515" s="63"/>
      <c r="AE515" s="63"/>
      <c r="AF515" s="63"/>
      <c r="AG515" s="63"/>
      <c r="AH515" s="63"/>
      <c r="AI515" s="63"/>
      <c r="AJ515" s="63"/>
    </row>
    <row r="516">
      <c r="A516" s="135">
        <v>522.0</v>
      </c>
      <c r="B516" s="67">
        <v>29.0</v>
      </c>
      <c r="C516" s="31" t="s">
        <v>927</v>
      </c>
      <c r="D516" s="68" t="s">
        <v>1616</v>
      </c>
      <c r="E516" s="71" t="s">
        <v>2973</v>
      </c>
      <c r="F516" s="69" t="s">
        <v>1588</v>
      </c>
      <c r="G516" s="69" t="s">
        <v>2944</v>
      </c>
      <c r="H516" s="145">
        <v>3.0</v>
      </c>
      <c r="I516" s="145">
        <v>2.0</v>
      </c>
      <c r="J516" s="69">
        <v>5.0</v>
      </c>
      <c r="K516" s="69" t="str">
        <f>iferror(vlookup(E516,MasterClass!$C$2:$G988,5,false),"")</f>
        <v/>
      </c>
      <c r="L516" s="69">
        <v>3.0</v>
      </c>
      <c r="M516" s="69">
        <f t="shared" si="76"/>
        <v>8</v>
      </c>
      <c r="N516" s="69">
        <f t="shared" si="77"/>
        <v>5</v>
      </c>
      <c r="O516" s="146">
        <f t="shared" si="78"/>
        <v>0.625</v>
      </c>
      <c r="P516" s="146"/>
      <c r="Q516" s="70"/>
      <c r="R516" s="63"/>
      <c r="S516" s="63"/>
      <c r="T516" s="63"/>
      <c r="U516" s="63"/>
      <c r="V516" s="63"/>
      <c r="W516" s="63"/>
      <c r="X516" s="63"/>
      <c r="Y516" s="63"/>
      <c r="Z516" s="63"/>
      <c r="AA516" s="63"/>
      <c r="AB516" s="63"/>
      <c r="AC516" s="63"/>
      <c r="AD516" s="63"/>
      <c r="AE516" s="63"/>
      <c r="AF516" s="63"/>
      <c r="AG516" s="63"/>
      <c r="AH516" s="63"/>
      <c r="AI516" s="63"/>
      <c r="AJ516" s="63"/>
    </row>
    <row r="517">
      <c r="A517" s="135">
        <v>523.0</v>
      </c>
      <c r="B517" s="67">
        <v>30.0</v>
      </c>
      <c r="C517" s="31" t="s">
        <v>929</v>
      </c>
      <c r="D517" s="68" t="s">
        <v>1617</v>
      </c>
      <c r="E517" s="71" t="s">
        <v>2974</v>
      </c>
      <c r="F517" s="69" t="s">
        <v>1588</v>
      </c>
      <c r="G517" s="69" t="s">
        <v>2944</v>
      </c>
      <c r="H517" s="145">
        <v>3.0</v>
      </c>
      <c r="I517" s="145">
        <v>0.0</v>
      </c>
      <c r="J517" s="69">
        <v>5.0</v>
      </c>
      <c r="K517" s="69" t="str">
        <f>iferror(vlookup(E517,MasterClass!$C$2:$G988,5,false),"")</f>
        <v/>
      </c>
      <c r="L517" s="69">
        <v>5.0</v>
      </c>
      <c r="M517" s="69">
        <f t="shared" si="76"/>
        <v>8</v>
      </c>
      <c r="N517" s="69">
        <f t="shared" si="77"/>
        <v>5</v>
      </c>
      <c r="O517" s="146">
        <f t="shared" si="78"/>
        <v>0.625</v>
      </c>
      <c r="P517" s="146"/>
      <c r="Q517" s="70"/>
      <c r="R517" s="63"/>
      <c r="S517" s="63"/>
      <c r="T517" s="63"/>
      <c r="U517" s="63"/>
      <c r="V517" s="63"/>
      <c r="W517" s="63"/>
      <c r="X517" s="63"/>
      <c r="Y517" s="63"/>
      <c r="Z517" s="63"/>
      <c r="AA517" s="63"/>
      <c r="AB517" s="63"/>
      <c r="AC517" s="63"/>
      <c r="AD517" s="63"/>
      <c r="AE517" s="63"/>
      <c r="AF517" s="63"/>
      <c r="AG517" s="63"/>
      <c r="AH517" s="63"/>
      <c r="AI517" s="63"/>
      <c r="AJ517" s="63"/>
    </row>
    <row r="518">
      <c r="A518" s="135">
        <v>524.0</v>
      </c>
      <c r="B518" s="67">
        <v>31.0</v>
      </c>
      <c r="C518" s="31" t="s">
        <v>931</v>
      </c>
      <c r="D518" s="68" t="s">
        <v>1618</v>
      </c>
      <c r="E518" s="71" t="s">
        <v>2975</v>
      </c>
      <c r="F518" s="69" t="s">
        <v>1588</v>
      </c>
      <c r="G518" s="69" t="s">
        <v>2944</v>
      </c>
      <c r="H518" s="145">
        <v>3.0</v>
      </c>
      <c r="I518" s="145">
        <v>3.0</v>
      </c>
      <c r="J518" s="69">
        <v>5.0</v>
      </c>
      <c r="K518" s="69" t="str">
        <f>iferror(vlookup(E518,MasterClass!$C$2:$G988,5,false),"")</f>
        <v/>
      </c>
      <c r="L518" s="69">
        <v>5.0</v>
      </c>
      <c r="M518" s="69">
        <f t="shared" si="76"/>
        <v>8</v>
      </c>
      <c r="N518" s="69">
        <f t="shared" si="77"/>
        <v>8</v>
      </c>
      <c r="O518" s="146">
        <f t="shared" si="78"/>
        <v>1</v>
      </c>
      <c r="P518" s="146"/>
      <c r="Q518" s="70"/>
      <c r="R518" s="63"/>
      <c r="S518" s="63"/>
      <c r="T518" s="63"/>
      <c r="U518" s="63"/>
      <c r="V518" s="63"/>
      <c r="W518" s="63"/>
      <c r="X518" s="63"/>
      <c r="Y518" s="63"/>
      <c r="Z518" s="63"/>
      <c r="AA518" s="63"/>
      <c r="AB518" s="63"/>
      <c r="AC518" s="63"/>
      <c r="AD518" s="63"/>
      <c r="AE518" s="63"/>
      <c r="AF518" s="63"/>
      <c r="AG518" s="63"/>
      <c r="AH518" s="63"/>
      <c r="AI518" s="63"/>
      <c r="AJ518" s="63"/>
    </row>
    <row r="519">
      <c r="A519" s="135">
        <v>525.0</v>
      </c>
      <c r="B519" s="67">
        <v>32.0</v>
      </c>
      <c r="C519" s="31" t="s">
        <v>933</v>
      </c>
      <c r="D519" s="68" t="s">
        <v>1619</v>
      </c>
      <c r="E519" s="71" t="s">
        <v>2976</v>
      </c>
      <c r="F519" s="69" t="s">
        <v>1588</v>
      </c>
      <c r="G519" s="69" t="s">
        <v>2583</v>
      </c>
      <c r="H519" s="145">
        <v>4.0</v>
      </c>
      <c r="I519" s="145">
        <v>4.0</v>
      </c>
      <c r="J519" s="69">
        <v>5.0</v>
      </c>
      <c r="K519" s="69" t="str">
        <f>iferror(vlookup(E519,MasterClass!$C$2:$G988,5,false),"")</f>
        <v/>
      </c>
      <c r="L519" s="69">
        <v>4.0</v>
      </c>
      <c r="M519" s="69">
        <f t="shared" si="76"/>
        <v>9</v>
      </c>
      <c r="N519" s="69">
        <f t="shared" si="77"/>
        <v>8</v>
      </c>
      <c r="O519" s="146">
        <f t="shared" si="78"/>
        <v>0.8888888889</v>
      </c>
      <c r="P519" s="69" t="s">
        <v>2508</v>
      </c>
      <c r="Q519" s="69"/>
      <c r="R519" s="63"/>
      <c r="S519" s="63"/>
      <c r="T519" s="63"/>
      <c r="U519" s="63"/>
      <c r="V519" s="63"/>
      <c r="W519" s="63"/>
      <c r="X519" s="63"/>
      <c r="Y519" s="63"/>
      <c r="Z519" s="63"/>
      <c r="AA519" s="63"/>
      <c r="AB519" s="63"/>
      <c r="AC519" s="63"/>
      <c r="AD519" s="63"/>
      <c r="AE519" s="63"/>
      <c r="AF519" s="63"/>
      <c r="AG519" s="63"/>
      <c r="AH519" s="63"/>
      <c r="AI519" s="63"/>
      <c r="AJ519" s="63"/>
    </row>
    <row r="520">
      <c r="A520" s="135">
        <v>526.0</v>
      </c>
      <c r="B520" s="67">
        <v>33.0</v>
      </c>
      <c r="C520" s="31" t="s">
        <v>935</v>
      </c>
      <c r="D520" s="68" t="s">
        <v>1620</v>
      </c>
      <c r="E520" s="71" t="s">
        <v>2977</v>
      </c>
      <c r="F520" s="69" t="s">
        <v>1588</v>
      </c>
      <c r="G520" s="69" t="s">
        <v>2971</v>
      </c>
      <c r="H520" s="145">
        <v>3.0</v>
      </c>
      <c r="I520" s="145">
        <v>2.0</v>
      </c>
      <c r="J520" s="69">
        <v>5.0</v>
      </c>
      <c r="K520" s="69" t="str">
        <f>iferror(vlookup(E520,MasterClass!$C$2:$G988,5,false),"")</f>
        <v/>
      </c>
      <c r="L520" s="69">
        <v>2.0</v>
      </c>
      <c r="M520" s="69">
        <f t="shared" si="76"/>
        <v>8</v>
      </c>
      <c r="N520" s="69">
        <f t="shared" si="77"/>
        <v>4</v>
      </c>
      <c r="O520" s="146">
        <f t="shared" si="78"/>
        <v>0.5</v>
      </c>
      <c r="P520" s="146"/>
      <c r="Q520" s="70"/>
      <c r="R520" s="63"/>
      <c r="S520" s="63"/>
      <c r="T520" s="63"/>
      <c r="U520" s="63"/>
      <c r="V520" s="63"/>
      <c r="W520" s="63"/>
      <c r="X520" s="63"/>
      <c r="Y520" s="63"/>
      <c r="Z520" s="63"/>
      <c r="AA520" s="63"/>
      <c r="AB520" s="63"/>
      <c r="AC520" s="63"/>
      <c r="AD520" s="63"/>
      <c r="AE520" s="63"/>
      <c r="AF520" s="63"/>
      <c r="AG520" s="63"/>
      <c r="AH520" s="63"/>
      <c r="AI520" s="63"/>
      <c r="AJ520" s="63"/>
    </row>
    <row r="521">
      <c r="A521" s="135">
        <v>527.0</v>
      </c>
      <c r="B521" s="67">
        <v>34.0</v>
      </c>
      <c r="C521" s="31" t="s">
        <v>937</v>
      </c>
      <c r="D521" s="68" t="s">
        <v>1621</v>
      </c>
      <c r="E521" s="71" t="s">
        <v>2978</v>
      </c>
      <c r="F521" s="69" t="s">
        <v>1588</v>
      </c>
      <c r="G521" s="69" t="s">
        <v>2944</v>
      </c>
      <c r="H521" s="145">
        <v>3.0</v>
      </c>
      <c r="I521" s="145">
        <v>3.0</v>
      </c>
      <c r="J521" s="69">
        <v>5.0</v>
      </c>
      <c r="K521" s="69" t="str">
        <f>iferror(vlookup(E521,MasterClass!$C$2:$G988,5,false),"")</f>
        <v/>
      </c>
      <c r="L521" s="69">
        <v>3.0</v>
      </c>
      <c r="M521" s="69">
        <f t="shared" si="76"/>
        <v>8</v>
      </c>
      <c r="N521" s="69">
        <f t="shared" si="77"/>
        <v>6</v>
      </c>
      <c r="O521" s="146">
        <f t="shared" si="78"/>
        <v>0.75</v>
      </c>
      <c r="P521" s="146"/>
      <c r="Q521" s="70"/>
      <c r="R521" s="63"/>
      <c r="S521" s="63"/>
      <c r="T521" s="63"/>
      <c r="U521" s="63"/>
      <c r="V521" s="63"/>
      <c r="W521" s="63"/>
      <c r="X521" s="63"/>
      <c r="Y521" s="63"/>
      <c r="Z521" s="63"/>
      <c r="AA521" s="63"/>
      <c r="AB521" s="63"/>
      <c r="AC521" s="63"/>
      <c r="AD521" s="63"/>
      <c r="AE521" s="63"/>
      <c r="AF521" s="63"/>
      <c r="AG521" s="63"/>
      <c r="AH521" s="63"/>
      <c r="AI521" s="63"/>
      <c r="AJ521" s="63"/>
    </row>
    <row r="522">
      <c r="A522" s="135">
        <v>528.0</v>
      </c>
      <c r="B522" s="67">
        <v>35.0</v>
      </c>
      <c r="C522" s="31" t="s">
        <v>939</v>
      </c>
      <c r="D522" s="68" t="s">
        <v>1622</v>
      </c>
      <c r="E522" s="71" t="s">
        <v>2979</v>
      </c>
      <c r="F522" s="69" t="s">
        <v>1588</v>
      </c>
      <c r="G522" s="69" t="s">
        <v>2971</v>
      </c>
      <c r="H522" s="145">
        <v>3.0</v>
      </c>
      <c r="I522" s="145">
        <v>2.0</v>
      </c>
      <c r="J522" s="69">
        <v>5.0</v>
      </c>
      <c r="K522" s="69" t="str">
        <f>iferror(vlookup(E522,MasterClass!$C$2:$G988,5,false),"")</f>
        <v/>
      </c>
      <c r="L522" s="69">
        <v>1.0</v>
      </c>
      <c r="M522" s="69">
        <f t="shared" si="76"/>
        <v>8</v>
      </c>
      <c r="N522" s="69">
        <f t="shared" si="77"/>
        <v>3</v>
      </c>
      <c r="O522" s="146">
        <f t="shared" si="78"/>
        <v>0.375</v>
      </c>
      <c r="P522" s="146"/>
      <c r="Q522" s="70"/>
      <c r="R522" s="63"/>
      <c r="S522" s="63"/>
      <c r="T522" s="63"/>
      <c r="U522" s="63"/>
      <c r="V522" s="63"/>
      <c r="W522" s="63"/>
      <c r="X522" s="63"/>
      <c r="Y522" s="63"/>
      <c r="Z522" s="63"/>
      <c r="AA522" s="63"/>
      <c r="AB522" s="63"/>
      <c r="AC522" s="63"/>
      <c r="AD522" s="63"/>
      <c r="AE522" s="63"/>
      <c r="AF522" s="63"/>
      <c r="AG522" s="63"/>
      <c r="AH522" s="63"/>
      <c r="AI522" s="63"/>
      <c r="AJ522" s="63"/>
    </row>
    <row r="523">
      <c r="A523" s="135">
        <v>529.0</v>
      </c>
      <c r="B523" s="67">
        <v>36.0</v>
      </c>
      <c r="C523" s="31" t="s">
        <v>941</v>
      </c>
      <c r="D523" s="68" t="s">
        <v>1623</v>
      </c>
      <c r="E523" s="71" t="s">
        <v>2980</v>
      </c>
      <c r="F523" s="69" t="s">
        <v>1588</v>
      </c>
      <c r="G523" s="69" t="s">
        <v>2971</v>
      </c>
      <c r="H523" s="145">
        <v>3.0</v>
      </c>
      <c r="I523" s="145">
        <v>0.0</v>
      </c>
      <c r="J523" s="69">
        <v>5.0</v>
      </c>
      <c r="K523" s="69" t="str">
        <f>iferror(vlookup(E523,MasterClass!$C$2:$G988,5,false),"")</f>
        <v/>
      </c>
      <c r="L523" s="181">
        <v>0.0</v>
      </c>
      <c r="M523" s="69">
        <f t="shared" si="76"/>
        <v>8</v>
      </c>
      <c r="N523" s="69">
        <f t="shared" si="77"/>
        <v>0</v>
      </c>
      <c r="O523" s="146">
        <f t="shared" si="78"/>
        <v>0</v>
      </c>
      <c r="P523" s="146"/>
      <c r="Q523" s="70"/>
      <c r="R523" s="63"/>
      <c r="S523" s="63"/>
      <c r="T523" s="63"/>
      <c r="U523" s="63"/>
      <c r="V523" s="63"/>
      <c r="W523" s="63"/>
      <c r="X523" s="63"/>
      <c r="Y523" s="63"/>
      <c r="Z523" s="63"/>
      <c r="AA523" s="63"/>
      <c r="AB523" s="63"/>
      <c r="AC523" s="63"/>
      <c r="AD523" s="63"/>
      <c r="AE523" s="63"/>
      <c r="AF523" s="63"/>
      <c r="AG523" s="63"/>
      <c r="AH523" s="63"/>
      <c r="AI523" s="63"/>
      <c r="AJ523" s="63"/>
    </row>
    <row r="524">
      <c r="A524" s="135">
        <v>530.0</v>
      </c>
      <c r="B524" s="67">
        <v>37.0</v>
      </c>
      <c r="C524" s="31" t="s">
        <v>943</v>
      </c>
      <c r="D524" s="68" t="s">
        <v>1624</v>
      </c>
      <c r="E524" s="71" t="s">
        <v>2981</v>
      </c>
      <c r="F524" s="69" t="s">
        <v>1588</v>
      </c>
      <c r="G524" s="69" t="s">
        <v>2971</v>
      </c>
      <c r="H524" s="145">
        <v>3.0</v>
      </c>
      <c r="I524" s="145">
        <v>2.0</v>
      </c>
      <c r="J524" s="69">
        <v>5.0</v>
      </c>
      <c r="K524" s="69" t="str">
        <f>iferror(vlookup(E524,MasterClass!$C$2:$G988,5,false),"")</f>
        <v/>
      </c>
      <c r="L524" s="69">
        <v>5.0</v>
      </c>
      <c r="M524" s="69">
        <f t="shared" si="76"/>
        <v>8</v>
      </c>
      <c r="N524" s="69">
        <f t="shared" si="77"/>
        <v>7</v>
      </c>
      <c r="O524" s="146">
        <f t="shared" si="78"/>
        <v>0.875</v>
      </c>
      <c r="P524" s="146"/>
      <c r="Q524" s="70"/>
      <c r="R524" s="63"/>
      <c r="S524" s="63"/>
      <c r="T524" s="63"/>
      <c r="U524" s="63"/>
      <c r="V524" s="63"/>
      <c r="W524" s="63"/>
      <c r="X524" s="63"/>
      <c r="Y524" s="63"/>
      <c r="Z524" s="63"/>
      <c r="AA524" s="63"/>
      <c r="AB524" s="63"/>
      <c r="AC524" s="63"/>
      <c r="AD524" s="63"/>
      <c r="AE524" s="63"/>
      <c r="AF524" s="63"/>
      <c r="AG524" s="63"/>
      <c r="AH524" s="63"/>
      <c r="AI524" s="63"/>
      <c r="AJ524" s="63"/>
    </row>
    <row r="525">
      <c r="A525" s="135">
        <v>531.0</v>
      </c>
      <c r="B525" s="67">
        <v>38.0</v>
      </c>
      <c r="C525" s="31" t="s">
        <v>945</v>
      </c>
      <c r="D525" s="68" t="s">
        <v>1625</v>
      </c>
      <c r="E525" s="71" t="s">
        <v>2982</v>
      </c>
      <c r="F525" s="69" t="s">
        <v>1588</v>
      </c>
      <c r="G525" s="69" t="s">
        <v>2944</v>
      </c>
      <c r="H525" s="145">
        <v>3.0</v>
      </c>
      <c r="I525" s="145">
        <v>0.0</v>
      </c>
      <c r="J525" s="69">
        <v>5.0</v>
      </c>
      <c r="K525" s="69" t="str">
        <f>iferror(vlookup(E525,MasterClass!$C$2:$G988,5,false),"")</f>
        <v/>
      </c>
      <c r="L525" s="69">
        <v>1.0</v>
      </c>
      <c r="M525" s="69">
        <f t="shared" si="76"/>
        <v>8</v>
      </c>
      <c r="N525" s="69">
        <f t="shared" si="77"/>
        <v>1</v>
      </c>
      <c r="O525" s="146">
        <f t="shared" si="78"/>
        <v>0.125</v>
      </c>
      <c r="P525" s="146"/>
      <c r="Q525" s="70"/>
      <c r="R525" s="63"/>
      <c r="S525" s="63"/>
      <c r="T525" s="63"/>
      <c r="U525" s="63"/>
      <c r="V525" s="63"/>
      <c r="W525" s="63"/>
      <c r="X525" s="63"/>
      <c r="Y525" s="63"/>
      <c r="Z525" s="63"/>
      <c r="AA525" s="63"/>
      <c r="AB525" s="63"/>
      <c r="AC525" s="63"/>
      <c r="AD525" s="63"/>
      <c r="AE525" s="63"/>
      <c r="AF525" s="63"/>
      <c r="AG525" s="63"/>
      <c r="AH525" s="63"/>
      <c r="AI525" s="63"/>
      <c r="AJ525" s="63"/>
    </row>
    <row r="526">
      <c r="A526" s="135">
        <v>532.0</v>
      </c>
      <c r="B526" s="67">
        <v>39.0</v>
      </c>
      <c r="C526" s="31" t="s">
        <v>947</v>
      </c>
      <c r="D526" s="68" t="s">
        <v>1626</v>
      </c>
      <c r="E526" s="71" t="s">
        <v>2983</v>
      </c>
      <c r="F526" s="69" t="s">
        <v>1588</v>
      </c>
      <c r="G526" s="69" t="s">
        <v>2971</v>
      </c>
      <c r="H526" s="145">
        <v>3.0</v>
      </c>
      <c r="I526" s="145">
        <v>3.0</v>
      </c>
      <c r="J526" s="69">
        <v>5.0</v>
      </c>
      <c r="K526" s="69" t="str">
        <f>iferror(vlookup(E526,MasterClass!$C$2:$G988,5,false),"")</f>
        <v/>
      </c>
      <c r="L526" s="69">
        <v>3.0</v>
      </c>
      <c r="M526" s="69">
        <f t="shared" si="76"/>
        <v>8</v>
      </c>
      <c r="N526" s="69">
        <f t="shared" si="77"/>
        <v>6</v>
      </c>
      <c r="O526" s="146">
        <f t="shared" si="78"/>
        <v>0.75</v>
      </c>
      <c r="P526" s="146"/>
      <c r="Q526" s="70"/>
      <c r="R526" s="63"/>
      <c r="S526" s="63"/>
      <c r="T526" s="63"/>
      <c r="U526" s="63"/>
      <c r="V526" s="63"/>
      <c r="W526" s="63"/>
      <c r="X526" s="63"/>
      <c r="Y526" s="63"/>
      <c r="Z526" s="63"/>
      <c r="AA526" s="63"/>
      <c r="AB526" s="63"/>
      <c r="AC526" s="63"/>
      <c r="AD526" s="63"/>
      <c r="AE526" s="63"/>
      <c r="AF526" s="63"/>
      <c r="AG526" s="63"/>
      <c r="AH526" s="63"/>
      <c r="AI526" s="63"/>
      <c r="AJ526" s="63"/>
    </row>
    <row r="527">
      <c r="A527" s="135">
        <v>533.0</v>
      </c>
      <c r="B527" s="67">
        <v>40.0</v>
      </c>
      <c r="C527" s="31" t="s">
        <v>949</v>
      </c>
      <c r="D527" s="68" t="s">
        <v>1627</v>
      </c>
      <c r="E527" s="71" t="s">
        <v>2984</v>
      </c>
      <c r="F527" s="69" t="s">
        <v>1588</v>
      </c>
      <c r="G527" s="69" t="s">
        <v>2944</v>
      </c>
      <c r="H527" s="145">
        <v>3.0</v>
      </c>
      <c r="I527" s="145">
        <v>3.0</v>
      </c>
      <c r="J527" s="69">
        <v>5.0</v>
      </c>
      <c r="K527" s="69" t="str">
        <f>iferror(vlookup(E527,MasterClass!$C$2:$G988,5,false),"")</f>
        <v/>
      </c>
      <c r="L527" s="69">
        <v>5.0</v>
      </c>
      <c r="M527" s="69">
        <f t="shared" si="76"/>
        <v>8</v>
      </c>
      <c r="N527" s="69">
        <f t="shared" si="77"/>
        <v>8</v>
      </c>
      <c r="O527" s="146">
        <f t="shared" si="78"/>
        <v>1</v>
      </c>
      <c r="P527" s="146"/>
      <c r="Q527" s="70"/>
      <c r="R527" s="63"/>
      <c r="S527" s="63"/>
      <c r="T527" s="63"/>
      <c r="U527" s="63"/>
      <c r="V527" s="63"/>
      <c r="W527" s="63"/>
      <c r="X527" s="63"/>
      <c r="Y527" s="63"/>
      <c r="Z527" s="63"/>
      <c r="AA527" s="63"/>
      <c r="AB527" s="63"/>
      <c r="AC527" s="63"/>
      <c r="AD527" s="63"/>
      <c r="AE527" s="63"/>
      <c r="AF527" s="63"/>
      <c r="AG527" s="63"/>
      <c r="AH527" s="63"/>
      <c r="AI527" s="63"/>
      <c r="AJ527" s="63"/>
    </row>
    <row r="528">
      <c r="A528" s="135">
        <v>534.0</v>
      </c>
      <c r="B528" s="67">
        <v>41.0</v>
      </c>
      <c r="C528" s="31" t="s">
        <v>951</v>
      </c>
      <c r="D528" s="68" t="s">
        <v>1628</v>
      </c>
      <c r="E528" s="71" t="s">
        <v>2985</v>
      </c>
      <c r="F528" s="69" t="s">
        <v>1588</v>
      </c>
      <c r="G528" s="69" t="s">
        <v>2971</v>
      </c>
      <c r="H528" s="145"/>
      <c r="I528" s="145"/>
      <c r="J528" s="69">
        <v>5.0</v>
      </c>
      <c r="K528" s="69" t="str">
        <f>iferror(vlookup(E528,MasterClass!$C$2:$G988,5,false),"")</f>
        <v/>
      </c>
      <c r="L528" s="69">
        <v>1.0</v>
      </c>
      <c r="M528" s="69">
        <f t="shared" si="76"/>
        <v>5</v>
      </c>
      <c r="N528" s="69">
        <f t="shared" si="77"/>
        <v>1</v>
      </c>
      <c r="O528" s="146">
        <f t="shared" si="78"/>
        <v>0.2</v>
      </c>
      <c r="P528" s="146"/>
      <c r="Q528" s="70"/>
      <c r="R528" s="63"/>
      <c r="S528" s="63"/>
      <c r="T528" s="63"/>
      <c r="U528" s="63"/>
      <c r="V528" s="63"/>
      <c r="W528" s="63"/>
      <c r="X528" s="63"/>
      <c r="Y528" s="63"/>
      <c r="Z528" s="63"/>
      <c r="AA528" s="63"/>
      <c r="AB528" s="63"/>
      <c r="AC528" s="63"/>
      <c r="AD528" s="63"/>
      <c r="AE528" s="63"/>
      <c r="AF528" s="63"/>
      <c r="AG528" s="63"/>
      <c r="AH528" s="63"/>
      <c r="AI528" s="63"/>
      <c r="AJ528" s="63"/>
    </row>
    <row r="529">
      <c r="A529" s="135">
        <v>535.0</v>
      </c>
      <c r="B529" s="67">
        <v>42.0</v>
      </c>
      <c r="C529" s="31" t="s">
        <v>953</v>
      </c>
      <c r="D529" s="68" t="s">
        <v>1629</v>
      </c>
      <c r="E529" s="71" t="s">
        <v>2986</v>
      </c>
      <c r="F529" s="69" t="s">
        <v>1588</v>
      </c>
      <c r="G529" s="69" t="s">
        <v>2971</v>
      </c>
      <c r="H529" s="145">
        <v>3.0</v>
      </c>
      <c r="I529" s="145">
        <v>2.0</v>
      </c>
      <c r="J529" s="69">
        <v>5.0</v>
      </c>
      <c r="K529" s="69" t="str">
        <f>iferror(vlookup(E529,MasterClass!$C$2:$G988,5,false),"")</f>
        <v/>
      </c>
      <c r="L529" s="69">
        <v>5.0</v>
      </c>
      <c r="M529" s="69">
        <f t="shared" si="76"/>
        <v>8</v>
      </c>
      <c r="N529" s="69">
        <f t="shared" si="77"/>
        <v>7</v>
      </c>
      <c r="O529" s="146">
        <f t="shared" si="78"/>
        <v>0.875</v>
      </c>
      <c r="P529" s="146"/>
      <c r="Q529" s="70"/>
      <c r="R529" s="63"/>
      <c r="S529" s="63"/>
      <c r="T529" s="63"/>
      <c r="U529" s="63"/>
      <c r="V529" s="63"/>
      <c r="W529" s="63"/>
      <c r="X529" s="63"/>
      <c r="Y529" s="63"/>
      <c r="Z529" s="63"/>
      <c r="AA529" s="63"/>
      <c r="AB529" s="63"/>
      <c r="AC529" s="63"/>
      <c r="AD529" s="63"/>
      <c r="AE529" s="63"/>
      <c r="AF529" s="63"/>
      <c r="AG529" s="63"/>
      <c r="AH529" s="63"/>
      <c r="AI529" s="63"/>
      <c r="AJ529" s="63"/>
    </row>
    <row r="530">
      <c r="A530" s="135">
        <v>536.0</v>
      </c>
      <c r="B530" s="67">
        <v>43.0</v>
      </c>
      <c r="C530" s="31" t="s">
        <v>955</v>
      </c>
      <c r="D530" s="68" t="s">
        <v>1630</v>
      </c>
      <c r="E530" s="71" t="s">
        <v>2987</v>
      </c>
      <c r="F530" s="69" t="s">
        <v>1588</v>
      </c>
      <c r="G530" s="69" t="s">
        <v>2971</v>
      </c>
      <c r="H530" s="145">
        <v>3.0</v>
      </c>
      <c r="I530" s="145">
        <v>1.0</v>
      </c>
      <c r="J530" s="69">
        <v>5.0</v>
      </c>
      <c r="K530" s="69" t="str">
        <f>iferror(vlookup(E530,MasterClass!$C$2:$G988,5,false),"")</f>
        <v/>
      </c>
      <c r="L530" s="69">
        <v>3.0</v>
      </c>
      <c r="M530" s="69">
        <f t="shared" si="76"/>
        <v>8</v>
      </c>
      <c r="N530" s="69">
        <f t="shared" si="77"/>
        <v>4</v>
      </c>
      <c r="O530" s="146">
        <f t="shared" si="78"/>
        <v>0.5</v>
      </c>
      <c r="P530" s="146"/>
      <c r="Q530" s="70"/>
      <c r="R530" s="63"/>
      <c r="S530" s="63"/>
      <c r="T530" s="63"/>
      <c r="U530" s="63"/>
      <c r="V530" s="63"/>
      <c r="W530" s="63"/>
      <c r="X530" s="63"/>
      <c r="Y530" s="63"/>
      <c r="Z530" s="63"/>
      <c r="AA530" s="63"/>
      <c r="AB530" s="63"/>
      <c r="AC530" s="63"/>
      <c r="AD530" s="63"/>
      <c r="AE530" s="63"/>
      <c r="AF530" s="63"/>
      <c r="AG530" s="63"/>
      <c r="AH530" s="63"/>
      <c r="AI530" s="63"/>
      <c r="AJ530" s="63"/>
    </row>
    <row r="531">
      <c r="A531" s="135">
        <v>537.0</v>
      </c>
      <c r="B531" s="67">
        <v>44.0</v>
      </c>
      <c r="C531" s="31" t="s">
        <v>957</v>
      </c>
      <c r="D531" s="68" t="s">
        <v>1631</v>
      </c>
      <c r="E531" s="71" t="s">
        <v>2988</v>
      </c>
      <c r="F531" s="69" t="s">
        <v>1588</v>
      </c>
      <c r="G531" s="69" t="s">
        <v>2971</v>
      </c>
      <c r="H531" s="145">
        <v>3.0</v>
      </c>
      <c r="I531" s="145">
        <v>1.0</v>
      </c>
      <c r="J531" s="69">
        <v>5.0</v>
      </c>
      <c r="K531" s="69" t="str">
        <f>iferror(vlookup(E531,MasterClass!$C$2:$G988,5,false),"")</f>
        <v/>
      </c>
      <c r="L531" s="69">
        <v>4.0</v>
      </c>
      <c r="M531" s="69">
        <f t="shared" si="76"/>
        <v>8</v>
      </c>
      <c r="N531" s="69">
        <f t="shared" si="77"/>
        <v>5</v>
      </c>
      <c r="O531" s="146">
        <f t="shared" si="78"/>
        <v>0.625</v>
      </c>
      <c r="P531" s="146"/>
      <c r="Q531" s="70"/>
      <c r="R531" s="63"/>
      <c r="S531" s="63"/>
      <c r="T531" s="63"/>
      <c r="U531" s="63"/>
      <c r="V531" s="63"/>
      <c r="W531" s="63"/>
      <c r="X531" s="63"/>
      <c r="Y531" s="63"/>
      <c r="Z531" s="63"/>
      <c r="AA531" s="63"/>
      <c r="AB531" s="63"/>
      <c r="AC531" s="63"/>
      <c r="AD531" s="63"/>
      <c r="AE531" s="63"/>
      <c r="AF531" s="63"/>
      <c r="AG531" s="63"/>
      <c r="AH531" s="63"/>
      <c r="AI531" s="63"/>
      <c r="AJ531" s="63"/>
    </row>
    <row r="532">
      <c r="A532" s="135">
        <v>538.0</v>
      </c>
      <c r="B532" s="67">
        <v>45.0</v>
      </c>
      <c r="C532" s="31" t="s">
        <v>959</v>
      </c>
      <c r="D532" s="68" t="s">
        <v>1632</v>
      </c>
      <c r="E532" s="71" t="s">
        <v>2989</v>
      </c>
      <c r="F532" s="69" t="s">
        <v>1588</v>
      </c>
      <c r="G532" s="69" t="s">
        <v>2971</v>
      </c>
      <c r="H532" s="145">
        <v>3.0</v>
      </c>
      <c r="I532" s="145">
        <v>2.0</v>
      </c>
      <c r="J532" s="69">
        <v>5.0</v>
      </c>
      <c r="K532" s="69" t="str">
        <f>iferror(vlookup(E532,MasterClass!$C$2:$G988,5,false),"")</f>
        <v/>
      </c>
      <c r="L532" s="69">
        <v>4.0</v>
      </c>
      <c r="M532" s="69">
        <f t="shared" si="76"/>
        <v>8</v>
      </c>
      <c r="N532" s="69">
        <f t="shared" si="77"/>
        <v>6</v>
      </c>
      <c r="O532" s="146">
        <f t="shared" si="78"/>
        <v>0.75</v>
      </c>
      <c r="P532" s="146"/>
      <c r="Q532" s="70"/>
      <c r="R532" s="63"/>
      <c r="S532" s="63"/>
      <c r="T532" s="63"/>
      <c r="U532" s="63"/>
      <c r="V532" s="63"/>
      <c r="W532" s="63"/>
      <c r="X532" s="63"/>
      <c r="Y532" s="63"/>
      <c r="Z532" s="63"/>
      <c r="AA532" s="63"/>
      <c r="AB532" s="63"/>
      <c r="AC532" s="63"/>
      <c r="AD532" s="63"/>
      <c r="AE532" s="63"/>
      <c r="AF532" s="63"/>
      <c r="AG532" s="63"/>
      <c r="AH532" s="63"/>
      <c r="AI532" s="63"/>
      <c r="AJ532" s="63"/>
    </row>
    <row r="533">
      <c r="A533" s="135">
        <v>539.0</v>
      </c>
      <c r="B533" s="67">
        <v>46.0</v>
      </c>
      <c r="C533" s="31" t="s">
        <v>961</v>
      </c>
      <c r="D533" s="68" t="s">
        <v>1633</v>
      </c>
      <c r="E533" s="71" t="s">
        <v>2990</v>
      </c>
      <c r="F533" s="69" t="s">
        <v>1588</v>
      </c>
      <c r="G533" s="69" t="s">
        <v>1187</v>
      </c>
      <c r="H533" s="145" t="s">
        <v>1187</v>
      </c>
      <c r="I533" s="145" t="s">
        <v>1187</v>
      </c>
      <c r="J533" s="69" t="s">
        <v>1187</v>
      </c>
      <c r="K533" s="69" t="s">
        <v>1187</v>
      </c>
      <c r="L533" s="69" t="s">
        <v>1187</v>
      </c>
      <c r="M533" s="69" t="s">
        <v>1187</v>
      </c>
      <c r="N533" s="69" t="s">
        <v>1187</v>
      </c>
      <c r="O533" s="69" t="s">
        <v>1187</v>
      </c>
      <c r="P533" s="69" t="s">
        <v>2522</v>
      </c>
      <c r="Q533" s="70"/>
      <c r="R533" s="63"/>
      <c r="S533" s="63"/>
      <c r="T533" s="63"/>
      <c r="U533" s="63"/>
      <c r="V533" s="63"/>
      <c r="W533" s="63"/>
      <c r="X533" s="63"/>
      <c r="Y533" s="63"/>
      <c r="Z533" s="63"/>
      <c r="AA533" s="63"/>
      <c r="AB533" s="63"/>
      <c r="AC533" s="63"/>
      <c r="AD533" s="63"/>
      <c r="AE533" s="63"/>
      <c r="AF533" s="63"/>
      <c r="AG533" s="63"/>
      <c r="AH533" s="63"/>
      <c r="AI533" s="63"/>
      <c r="AJ533" s="63"/>
    </row>
    <row r="534">
      <c r="A534" s="135">
        <v>540.0</v>
      </c>
      <c r="B534" s="63"/>
      <c r="C534" s="63"/>
      <c r="D534" s="63"/>
      <c r="E534" s="149"/>
      <c r="F534" s="63"/>
      <c r="G534" s="63"/>
      <c r="H534" s="63"/>
      <c r="I534" s="63"/>
      <c r="J534" s="63"/>
      <c r="K534" s="150" t="str">
        <f>iferror(vlookup(E534,MasterClass!$C$2:$G988,5,false),"")</f>
        <v/>
      </c>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row>
    <row r="535">
      <c r="A535" s="135">
        <v>541.0</v>
      </c>
      <c r="B535" s="62" t="s">
        <v>3</v>
      </c>
      <c r="C535" s="63"/>
      <c r="D535" s="62" t="s">
        <v>4</v>
      </c>
      <c r="E535" s="149" t="s">
        <v>4</v>
      </c>
      <c r="F535" s="63"/>
      <c r="G535" s="63"/>
      <c r="H535" s="63"/>
      <c r="I535" s="63"/>
      <c r="J535" s="63"/>
      <c r="K535" s="150" t="str">
        <f>iferror(vlookup(E535,MasterClass!$C$2:$G988,5,false),"")</f>
        <v/>
      </c>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row>
    <row r="536">
      <c r="A536" s="135">
        <v>542.0</v>
      </c>
      <c r="B536" s="62" t="s">
        <v>5</v>
      </c>
      <c r="C536" s="63"/>
      <c r="D536" s="62" t="s">
        <v>964</v>
      </c>
      <c r="E536" s="149" t="s">
        <v>964</v>
      </c>
      <c r="F536" s="63"/>
      <c r="G536" s="63"/>
      <c r="H536" s="63"/>
      <c r="I536" s="63"/>
      <c r="J536" s="63"/>
      <c r="K536" s="150" t="str">
        <f>iferror(vlookup(E536,MasterClass!$C$2:$G988,5,false),"")</f>
        <v/>
      </c>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row>
    <row r="537">
      <c r="A537" s="135">
        <v>543.0</v>
      </c>
      <c r="B537" s="62" t="s">
        <v>7</v>
      </c>
      <c r="C537" s="63"/>
      <c r="D537" s="62" t="s">
        <v>8</v>
      </c>
      <c r="E537" s="149" t="s">
        <v>8</v>
      </c>
      <c r="F537" s="63"/>
      <c r="G537" s="63"/>
      <c r="H537" s="63"/>
      <c r="I537" s="63"/>
      <c r="J537" s="63"/>
      <c r="K537" s="150" t="str">
        <f>iferror(vlookup(E537,MasterClass!$C$2:$G988,5,false),"")</f>
        <v/>
      </c>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row>
    <row r="538">
      <c r="A538" s="135">
        <v>544.0</v>
      </c>
      <c r="B538" s="63"/>
      <c r="C538" s="63"/>
      <c r="D538" s="63"/>
      <c r="E538" s="149"/>
      <c r="F538" s="63"/>
      <c r="G538" s="63"/>
      <c r="H538" s="63"/>
      <c r="I538" s="63"/>
      <c r="J538" s="63"/>
      <c r="K538" s="150" t="str">
        <f>iferror(vlookup(E538,MasterClass!$C$2:$G988,5,false),"")</f>
        <v/>
      </c>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row>
    <row r="539">
      <c r="A539" s="135">
        <v>546.0</v>
      </c>
      <c r="B539" s="80" t="s">
        <v>9</v>
      </c>
      <c r="C539" s="81" t="s">
        <v>10</v>
      </c>
      <c r="D539" s="80" t="s">
        <v>11</v>
      </c>
      <c r="E539" s="174"/>
      <c r="F539" s="85" t="s">
        <v>5</v>
      </c>
      <c r="G539" s="175"/>
      <c r="H539" s="153" t="s">
        <v>2492</v>
      </c>
      <c r="I539" s="175"/>
      <c r="J539" s="154" t="s">
        <v>2493</v>
      </c>
      <c r="K539" s="175"/>
      <c r="L539" s="175"/>
      <c r="M539" s="176" t="s">
        <v>2489</v>
      </c>
      <c r="N539" s="85" t="s">
        <v>2490</v>
      </c>
      <c r="O539" s="162" t="s">
        <v>18</v>
      </c>
      <c r="P539" s="82" t="s">
        <v>2491</v>
      </c>
      <c r="Q539" s="83" t="s">
        <v>19</v>
      </c>
      <c r="R539" s="63"/>
      <c r="S539" s="63"/>
      <c r="T539" s="63"/>
      <c r="U539" s="63"/>
      <c r="V539" s="63"/>
      <c r="W539" s="63"/>
      <c r="X539" s="63"/>
      <c r="Y539" s="63"/>
      <c r="Z539" s="63"/>
      <c r="AA539" s="63"/>
      <c r="AB539" s="63"/>
      <c r="AC539" s="63"/>
      <c r="AD539" s="63"/>
      <c r="AE539" s="63"/>
      <c r="AF539" s="63"/>
      <c r="AG539" s="63"/>
      <c r="AH539" s="63"/>
      <c r="AI539" s="63"/>
      <c r="AJ539" s="63"/>
    </row>
    <row r="540">
      <c r="A540" s="135">
        <v>547.0</v>
      </c>
      <c r="B540" s="20"/>
      <c r="C540" s="20"/>
      <c r="D540" s="20"/>
      <c r="E540" s="174"/>
      <c r="F540" s="20"/>
      <c r="G540" s="164" t="s">
        <v>2483</v>
      </c>
      <c r="H540" s="158" t="s">
        <v>2484</v>
      </c>
      <c r="I540" s="164" t="s">
        <v>2485</v>
      </c>
      <c r="J540" s="165" t="s">
        <v>2486</v>
      </c>
      <c r="K540" s="166" t="s">
        <v>2487</v>
      </c>
      <c r="L540" s="164" t="s">
        <v>2488</v>
      </c>
      <c r="M540" s="20"/>
      <c r="N540" s="20"/>
      <c r="O540" s="20"/>
      <c r="P540" s="20"/>
      <c r="Q540" s="20"/>
      <c r="R540" s="63"/>
      <c r="S540" s="63"/>
      <c r="T540" s="63"/>
      <c r="U540" s="63"/>
      <c r="V540" s="63"/>
      <c r="W540" s="63"/>
      <c r="X540" s="63"/>
      <c r="Y540" s="63"/>
      <c r="Z540" s="63"/>
      <c r="AA540" s="63"/>
      <c r="AB540" s="63"/>
      <c r="AC540" s="63"/>
      <c r="AD540" s="63"/>
      <c r="AE540" s="63"/>
      <c r="AF540" s="63"/>
      <c r="AG540" s="63"/>
      <c r="AH540" s="63"/>
      <c r="AI540" s="63"/>
      <c r="AJ540" s="63"/>
    </row>
    <row r="541">
      <c r="A541" s="135">
        <v>548.0</v>
      </c>
      <c r="B541" s="67">
        <v>1.0</v>
      </c>
      <c r="C541" s="31" t="s">
        <v>965</v>
      </c>
      <c r="D541" s="68" t="s">
        <v>1634</v>
      </c>
      <c r="E541" s="71" t="s">
        <v>2991</v>
      </c>
      <c r="F541" s="69" t="s">
        <v>1635</v>
      </c>
      <c r="G541" s="69" t="s">
        <v>2992</v>
      </c>
      <c r="H541" s="145">
        <v>3.0</v>
      </c>
      <c r="I541" s="145">
        <v>0.0</v>
      </c>
      <c r="J541" s="69">
        <v>5.0</v>
      </c>
      <c r="K541" s="69" t="str">
        <f>iferror(vlookup(E541,MasterClass!$C$2:$G988,5,false),"")</f>
        <v/>
      </c>
      <c r="L541" s="69">
        <v>3.0</v>
      </c>
      <c r="M541" s="69">
        <f t="shared" ref="M541:M554" si="79">J541+H541</f>
        <v>8</v>
      </c>
      <c r="N541" s="69">
        <f t="shared" ref="N541:N554" si="80">I541+L541+K541</f>
        <v>3</v>
      </c>
      <c r="O541" s="146">
        <f t="shared" ref="O541:O554" si="81">N541/M541</f>
        <v>0.375</v>
      </c>
      <c r="P541" s="146"/>
      <c r="Q541" s="70"/>
      <c r="R541" s="63"/>
      <c r="S541" s="63"/>
      <c r="T541" s="63"/>
      <c r="U541" s="63"/>
      <c r="V541" s="63"/>
      <c r="W541" s="63"/>
      <c r="X541" s="63"/>
      <c r="Y541" s="63"/>
      <c r="Z541" s="63"/>
      <c r="AA541" s="63"/>
      <c r="AB541" s="63"/>
      <c r="AC541" s="63"/>
      <c r="AD541" s="63"/>
      <c r="AE541" s="63"/>
      <c r="AF541" s="63"/>
      <c r="AG541" s="63"/>
      <c r="AH541" s="63"/>
      <c r="AI541" s="63"/>
      <c r="AJ541" s="63"/>
    </row>
    <row r="542">
      <c r="A542" s="135">
        <v>549.0</v>
      </c>
      <c r="B542" s="67">
        <v>2.0</v>
      </c>
      <c r="C542" s="31" t="s">
        <v>967</v>
      </c>
      <c r="D542" s="68" t="s">
        <v>1636</v>
      </c>
      <c r="E542" s="71" t="s">
        <v>2993</v>
      </c>
      <c r="F542" s="69" t="s">
        <v>1635</v>
      </c>
      <c r="G542" s="69" t="s">
        <v>2992</v>
      </c>
      <c r="H542" s="145">
        <v>3.0</v>
      </c>
      <c r="I542" s="145">
        <v>0.0</v>
      </c>
      <c r="J542" s="69">
        <v>5.0</v>
      </c>
      <c r="K542" s="69" t="str">
        <f>iferror(vlookup(E542,MasterClass!$C$2:$G988,5,false),"")</f>
        <v/>
      </c>
      <c r="L542" s="181">
        <v>0.0</v>
      </c>
      <c r="M542" s="69">
        <f t="shared" si="79"/>
        <v>8</v>
      </c>
      <c r="N542" s="69">
        <f t="shared" si="80"/>
        <v>0</v>
      </c>
      <c r="O542" s="146">
        <f t="shared" si="81"/>
        <v>0</v>
      </c>
      <c r="P542" s="146"/>
      <c r="Q542" s="70"/>
      <c r="R542" s="63"/>
      <c r="S542" s="63"/>
      <c r="T542" s="63"/>
      <c r="U542" s="63"/>
      <c r="V542" s="63"/>
      <c r="W542" s="63"/>
      <c r="X542" s="63"/>
      <c r="Y542" s="63"/>
      <c r="Z542" s="63"/>
      <c r="AA542" s="63"/>
      <c r="AB542" s="63"/>
      <c r="AC542" s="63"/>
      <c r="AD542" s="63"/>
      <c r="AE542" s="63"/>
      <c r="AF542" s="63"/>
      <c r="AG542" s="63"/>
      <c r="AH542" s="63"/>
      <c r="AI542" s="63"/>
      <c r="AJ542" s="63"/>
    </row>
    <row r="543">
      <c r="A543" s="135">
        <v>550.0</v>
      </c>
      <c r="B543" s="67">
        <v>3.0</v>
      </c>
      <c r="C543" s="31" t="s">
        <v>969</v>
      </c>
      <c r="D543" s="68" t="s">
        <v>1637</v>
      </c>
      <c r="E543" s="71" t="s">
        <v>2994</v>
      </c>
      <c r="F543" s="69" t="s">
        <v>1635</v>
      </c>
      <c r="G543" s="69" t="s">
        <v>2995</v>
      </c>
      <c r="H543" s="145">
        <v>3.0</v>
      </c>
      <c r="I543" s="145">
        <v>3.0</v>
      </c>
      <c r="J543" s="69">
        <v>5.0</v>
      </c>
      <c r="K543" s="69" t="str">
        <f>iferror(vlookup(E543,MasterClass!$C$2:$G988,5,false),"")</f>
        <v/>
      </c>
      <c r="L543" s="181">
        <v>4.0</v>
      </c>
      <c r="M543" s="69">
        <f t="shared" si="79"/>
        <v>8</v>
      </c>
      <c r="N543" s="69">
        <f t="shared" si="80"/>
        <v>7</v>
      </c>
      <c r="O543" s="146">
        <f t="shared" si="81"/>
        <v>0.875</v>
      </c>
      <c r="P543" s="146"/>
      <c r="Q543" s="70"/>
      <c r="R543" s="63"/>
      <c r="S543" s="63"/>
      <c r="T543" s="63"/>
      <c r="U543" s="63"/>
      <c r="V543" s="63"/>
      <c r="W543" s="63"/>
      <c r="X543" s="63"/>
      <c r="Y543" s="63"/>
      <c r="Z543" s="63"/>
      <c r="AA543" s="63"/>
      <c r="AB543" s="63"/>
      <c r="AC543" s="63"/>
      <c r="AD543" s="63"/>
      <c r="AE543" s="63"/>
      <c r="AF543" s="63"/>
      <c r="AG543" s="63"/>
      <c r="AH543" s="63"/>
      <c r="AI543" s="63"/>
      <c r="AJ543" s="63"/>
    </row>
    <row r="544">
      <c r="A544" s="135">
        <v>551.0</v>
      </c>
      <c r="B544" s="67">
        <v>4.0</v>
      </c>
      <c r="C544" s="31" t="s">
        <v>971</v>
      </c>
      <c r="D544" s="68" t="s">
        <v>1638</v>
      </c>
      <c r="E544" s="71" t="s">
        <v>2996</v>
      </c>
      <c r="F544" s="69" t="s">
        <v>1635</v>
      </c>
      <c r="G544" s="69" t="s">
        <v>2997</v>
      </c>
      <c r="H544" s="145">
        <v>3.0</v>
      </c>
      <c r="I544" s="145">
        <v>0.0</v>
      </c>
      <c r="J544" s="69">
        <v>5.0</v>
      </c>
      <c r="K544" s="69" t="str">
        <f>iferror(vlookup(E544,MasterClass!$C$2:$G988,5,false),"")</f>
        <v/>
      </c>
      <c r="L544" s="69">
        <v>4.0</v>
      </c>
      <c r="M544" s="69">
        <f t="shared" si="79"/>
        <v>8</v>
      </c>
      <c r="N544" s="69">
        <f t="shared" si="80"/>
        <v>4</v>
      </c>
      <c r="O544" s="146">
        <f t="shared" si="81"/>
        <v>0.5</v>
      </c>
      <c r="P544" s="146"/>
      <c r="Q544" s="70"/>
      <c r="R544" s="63"/>
      <c r="S544" s="63"/>
      <c r="T544" s="63"/>
      <c r="U544" s="63"/>
      <c r="V544" s="63"/>
      <c r="W544" s="63"/>
      <c r="X544" s="63"/>
      <c r="Y544" s="63"/>
      <c r="Z544" s="63"/>
      <c r="AA544" s="63"/>
      <c r="AB544" s="63"/>
      <c r="AC544" s="63"/>
      <c r="AD544" s="63"/>
      <c r="AE544" s="63"/>
      <c r="AF544" s="63"/>
      <c r="AG544" s="63"/>
      <c r="AH544" s="63"/>
      <c r="AI544" s="63"/>
      <c r="AJ544" s="63"/>
    </row>
    <row r="545">
      <c r="A545" s="135">
        <v>552.0</v>
      </c>
      <c r="B545" s="67">
        <v>5.0</v>
      </c>
      <c r="C545" s="31" t="s">
        <v>973</v>
      </c>
      <c r="D545" s="68" t="s">
        <v>1639</v>
      </c>
      <c r="E545" s="71" t="s">
        <v>2998</v>
      </c>
      <c r="F545" s="69" t="s">
        <v>1635</v>
      </c>
      <c r="G545" s="69" t="s">
        <v>2997</v>
      </c>
      <c r="H545" s="145">
        <v>3.0</v>
      </c>
      <c r="I545" s="145">
        <v>0.0</v>
      </c>
      <c r="J545" s="69">
        <v>5.0</v>
      </c>
      <c r="K545" s="69" t="str">
        <f>iferror(vlookup(E545,MasterClass!$C$2:$G988,5,false),"")</f>
        <v/>
      </c>
      <c r="L545" s="69">
        <v>4.0</v>
      </c>
      <c r="M545" s="69">
        <f t="shared" si="79"/>
        <v>8</v>
      </c>
      <c r="N545" s="69">
        <f t="shared" si="80"/>
        <v>4</v>
      </c>
      <c r="O545" s="146">
        <f t="shared" si="81"/>
        <v>0.5</v>
      </c>
      <c r="P545" s="146"/>
      <c r="Q545" s="70"/>
      <c r="R545" s="63"/>
      <c r="S545" s="63"/>
      <c r="T545" s="63"/>
      <c r="U545" s="63"/>
      <c r="V545" s="63"/>
      <c r="W545" s="63"/>
      <c r="X545" s="63"/>
      <c r="Y545" s="63"/>
      <c r="Z545" s="63"/>
      <c r="AA545" s="63"/>
      <c r="AB545" s="63"/>
      <c r="AC545" s="63"/>
      <c r="AD545" s="63"/>
      <c r="AE545" s="63"/>
      <c r="AF545" s="63"/>
      <c r="AG545" s="63"/>
      <c r="AH545" s="63"/>
      <c r="AI545" s="63"/>
      <c r="AJ545" s="63"/>
    </row>
    <row r="546">
      <c r="A546" s="135">
        <v>553.0</v>
      </c>
      <c r="B546" s="67">
        <v>6.0</v>
      </c>
      <c r="C546" s="31" t="s">
        <v>975</v>
      </c>
      <c r="D546" s="68" t="s">
        <v>1640</v>
      </c>
      <c r="E546" s="71" t="s">
        <v>2999</v>
      </c>
      <c r="F546" s="69" t="s">
        <v>1635</v>
      </c>
      <c r="G546" s="69" t="s">
        <v>2997</v>
      </c>
      <c r="H546" s="145">
        <v>3.0</v>
      </c>
      <c r="I546" s="145">
        <v>1.0</v>
      </c>
      <c r="J546" s="69">
        <v>5.0</v>
      </c>
      <c r="K546" s="69" t="str">
        <f>iferror(vlookup(E546,MasterClass!$C$2:$G988,5,false),"")</f>
        <v/>
      </c>
      <c r="L546" s="69">
        <v>3.0</v>
      </c>
      <c r="M546" s="69">
        <f t="shared" si="79"/>
        <v>8</v>
      </c>
      <c r="N546" s="69">
        <f t="shared" si="80"/>
        <v>4</v>
      </c>
      <c r="O546" s="146">
        <f t="shared" si="81"/>
        <v>0.5</v>
      </c>
      <c r="P546" s="146"/>
      <c r="Q546" s="70"/>
      <c r="R546" s="63"/>
      <c r="S546" s="63"/>
      <c r="T546" s="63"/>
      <c r="U546" s="63"/>
      <c r="V546" s="63"/>
      <c r="W546" s="63"/>
      <c r="X546" s="63"/>
      <c r="Y546" s="63"/>
      <c r="Z546" s="63"/>
      <c r="AA546" s="63"/>
      <c r="AB546" s="63"/>
      <c r="AC546" s="63"/>
      <c r="AD546" s="63"/>
      <c r="AE546" s="63"/>
      <c r="AF546" s="63"/>
      <c r="AG546" s="63"/>
      <c r="AH546" s="63"/>
      <c r="AI546" s="63"/>
      <c r="AJ546" s="63"/>
    </row>
    <row r="547">
      <c r="A547" s="135">
        <v>554.0</v>
      </c>
      <c r="B547" s="67">
        <v>7.0</v>
      </c>
      <c r="C547" s="31" t="s">
        <v>977</v>
      </c>
      <c r="D547" s="68" t="s">
        <v>1641</v>
      </c>
      <c r="E547" s="71" t="s">
        <v>3000</v>
      </c>
      <c r="F547" s="69" t="s">
        <v>1635</v>
      </c>
      <c r="G547" s="69" t="s">
        <v>2507</v>
      </c>
      <c r="H547" s="145">
        <v>3.0</v>
      </c>
      <c r="I547" s="145">
        <v>3.0</v>
      </c>
      <c r="J547" s="69">
        <v>5.0</v>
      </c>
      <c r="K547" s="69" t="str">
        <f>iferror(vlookup(E547,MasterClass!$C$2:$G988,5,false),"")</f>
        <v/>
      </c>
      <c r="L547" s="69">
        <v>5.0</v>
      </c>
      <c r="M547" s="69">
        <f t="shared" si="79"/>
        <v>8</v>
      </c>
      <c r="N547" s="69">
        <f t="shared" si="80"/>
        <v>8</v>
      </c>
      <c r="O547" s="146">
        <f t="shared" si="81"/>
        <v>1</v>
      </c>
      <c r="P547" s="69" t="s">
        <v>2508</v>
      </c>
      <c r="Q547" s="69"/>
      <c r="R547" s="63"/>
      <c r="S547" s="63"/>
      <c r="T547" s="63"/>
      <c r="U547" s="63"/>
      <c r="V547" s="63"/>
      <c r="W547" s="63"/>
      <c r="X547" s="63"/>
      <c r="Y547" s="63"/>
      <c r="Z547" s="63"/>
      <c r="AA547" s="63"/>
      <c r="AB547" s="63"/>
      <c r="AC547" s="63"/>
      <c r="AD547" s="63"/>
      <c r="AE547" s="63"/>
      <c r="AF547" s="63"/>
      <c r="AG547" s="63"/>
      <c r="AH547" s="63"/>
      <c r="AI547" s="63"/>
      <c r="AJ547" s="63"/>
    </row>
    <row r="548">
      <c r="A548" s="135">
        <v>555.0</v>
      </c>
      <c r="B548" s="67">
        <v>8.0</v>
      </c>
      <c r="C548" s="31" t="s">
        <v>979</v>
      </c>
      <c r="D548" s="68" t="s">
        <v>1642</v>
      </c>
      <c r="E548" s="71" t="s">
        <v>3001</v>
      </c>
      <c r="F548" s="69" t="s">
        <v>1635</v>
      </c>
      <c r="G548" s="69" t="s">
        <v>2995</v>
      </c>
      <c r="H548" s="145">
        <v>3.0</v>
      </c>
      <c r="I548" s="145">
        <v>3.0</v>
      </c>
      <c r="J548" s="69">
        <v>5.0</v>
      </c>
      <c r="K548" s="69" t="str">
        <f>iferror(vlookup(E548,MasterClass!$C$2:$G988,5,false),"")</f>
        <v/>
      </c>
      <c r="L548" s="181">
        <v>4.0</v>
      </c>
      <c r="M548" s="69">
        <f t="shared" si="79"/>
        <v>8</v>
      </c>
      <c r="N548" s="69">
        <f t="shared" si="80"/>
        <v>7</v>
      </c>
      <c r="O548" s="146">
        <f t="shared" si="81"/>
        <v>0.875</v>
      </c>
      <c r="P548" s="146"/>
      <c r="Q548" s="70"/>
      <c r="R548" s="63"/>
      <c r="S548" s="63"/>
      <c r="T548" s="63"/>
      <c r="U548" s="63"/>
      <c r="V548" s="63"/>
      <c r="W548" s="63"/>
      <c r="X548" s="63"/>
      <c r="Y548" s="63"/>
      <c r="Z548" s="63"/>
      <c r="AA548" s="63"/>
      <c r="AB548" s="63"/>
      <c r="AC548" s="63"/>
      <c r="AD548" s="63"/>
      <c r="AE548" s="63"/>
      <c r="AF548" s="63"/>
      <c r="AG548" s="63"/>
      <c r="AH548" s="63"/>
      <c r="AI548" s="63"/>
      <c r="AJ548" s="63"/>
    </row>
    <row r="549">
      <c r="A549" s="135">
        <v>556.0</v>
      </c>
      <c r="B549" s="67">
        <v>9.0</v>
      </c>
      <c r="C549" s="31" t="s">
        <v>981</v>
      </c>
      <c r="D549" s="68" t="s">
        <v>1643</v>
      </c>
      <c r="E549" s="71" t="s">
        <v>3002</v>
      </c>
      <c r="F549" s="69" t="s">
        <v>1635</v>
      </c>
      <c r="G549" s="69" t="s">
        <v>2995</v>
      </c>
      <c r="H549" s="145">
        <v>3.0</v>
      </c>
      <c r="I549" s="145">
        <v>3.0</v>
      </c>
      <c r="J549" s="69">
        <v>5.0</v>
      </c>
      <c r="K549" s="69" t="str">
        <f>iferror(vlookup(E549,MasterClass!$C$2:$G988,5,false),"")</f>
        <v/>
      </c>
      <c r="L549" s="181">
        <v>4.0</v>
      </c>
      <c r="M549" s="69">
        <f t="shared" si="79"/>
        <v>8</v>
      </c>
      <c r="N549" s="69">
        <f t="shared" si="80"/>
        <v>7</v>
      </c>
      <c r="O549" s="146">
        <f t="shared" si="81"/>
        <v>0.875</v>
      </c>
      <c r="P549" s="146"/>
      <c r="Q549" s="70"/>
      <c r="R549" s="63"/>
      <c r="S549" s="63"/>
      <c r="T549" s="63"/>
      <c r="U549" s="63"/>
      <c r="V549" s="63"/>
      <c r="W549" s="63"/>
      <c r="X549" s="63"/>
      <c r="Y549" s="63"/>
      <c r="Z549" s="63"/>
      <c r="AA549" s="63"/>
      <c r="AB549" s="63"/>
      <c r="AC549" s="63"/>
      <c r="AD549" s="63"/>
      <c r="AE549" s="63"/>
      <c r="AF549" s="63"/>
      <c r="AG549" s="63"/>
      <c r="AH549" s="63"/>
      <c r="AI549" s="63"/>
      <c r="AJ549" s="63"/>
    </row>
    <row r="550">
      <c r="A550" s="135">
        <v>557.0</v>
      </c>
      <c r="B550" s="67">
        <v>10.0</v>
      </c>
      <c r="C550" s="31" t="s">
        <v>983</v>
      </c>
      <c r="D550" s="71" t="s">
        <v>1644</v>
      </c>
      <c r="E550" s="71" t="s">
        <v>3003</v>
      </c>
      <c r="F550" s="69" t="s">
        <v>1635</v>
      </c>
      <c r="G550" s="69" t="s">
        <v>2997</v>
      </c>
      <c r="H550" s="145">
        <v>3.0</v>
      </c>
      <c r="I550" s="145">
        <v>0.0</v>
      </c>
      <c r="J550" s="69">
        <v>5.0</v>
      </c>
      <c r="K550" s="69" t="str">
        <f>iferror(vlookup(E550,MasterClass!$C$2:$G988,5,false),"")</f>
        <v/>
      </c>
      <c r="L550" s="69">
        <v>3.0</v>
      </c>
      <c r="M550" s="69">
        <f t="shared" si="79"/>
        <v>8</v>
      </c>
      <c r="N550" s="69">
        <f t="shared" si="80"/>
        <v>3</v>
      </c>
      <c r="O550" s="146">
        <f t="shared" si="81"/>
        <v>0.375</v>
      </c>
      <c r="P550" s="146"/>
      <c r="Q550" s="70"/>
      <c r="R550" s="63"/>
      <c r="S550" s="63"/>
      <c r="T550" s="63"/>
      <c r="U550" s="63"/>
      <c r="V550" s="63"/>
      <c r="W550" s="63"/>
      <c r="X550" s="63"/>
      <c r="Y550" s="63"/>
      <c r="Z550" s="63"/>
      <c r="AA550" s="63"/>
      <c r="AB550" s="63"/>
      <c r="AC550" s="63"/>
      <c r="AD550" s="63"/>
      <c r="AE550" s="63"/>
      <c r="AF550" s="63"/>
      <c r="AG550" s="63"/>
      <c r="AH550" s="63"/>
      <c r="AI550" s="63"/>
      <c r="AJ550" s="63"/>
    </row>
    <row r="551">
      <c r="A551" s="135">
        <v>558.0</v>
      </c>
      <c r="B551" s="67">
        <v>11.0</v>
      </c>
      <c r="C551" s="31" t="s">
        <v>985</v>
      </c>
      <c r="D551" s="68" t="s">
        <v>1645</v>
      </c>
      <c r="E551" s="71" t="s">
        <v>3004</v>
      </c>
      <c r="F551" s="69" t="s">
        <v>1635</v>
      </c>
      <c r="G551" s="69" t="s">
        <v>2997</v>
      </c>
      <c r="H551" s="145">
        <v>3.0</v>
      </c>
      <c r="I551" s="145">
        <v>1.0</v>
      </c>
      <c r="J551" s="69">
        <v>5.0</v>
      </c>
      <c r="K551" s="69" t="str">
        <f>iferror(vlookup(E551,MasterClass!$C$2:$G988,5,false),"")</f>
        <v/>
      </c>
      <c r="L551" s="69">
        <v>4.0</v>
      </c>
      <c r="M551" s="69">
        <f t="shared" si="79"/>
        <v>8</v>
      </c>
      <c r="N551" s="69">
        <f t="shared" si="80"/>
        <v>5</v>
      </c>
      <c r="O551" s="146">
        <f t="shared" si="81"/>
        <v>0.625</v>
      </c>
      <c r="P551" s="146"/>
      <c r="Q551" s="70"/>
      <c r="R551" s="63"/>
      <c r="S551" s="63"/>
      <c r="T551" s="63"/>
      <c r="U551" s="63"/>
      <c r="V551" s="63"/>
      <c r="W551" s="63"/>
      <c r="X551" s="63"/>
      <c r="Y551" s="63"/>
      <c r="Z551" s="63"/>
      <c r="AA551" s="63"/>
      <c r="AB551" s="63"/>
      <c r="AC551" s="63"/>
      <c r="AD551" s="63"/>
      <c r="AE551" s="63"/>
      <c r="AF551" s="63"/>
      <c r="AG551" s="63"/>
      <c r="AH551" s="63"/>
      <c r="AI551" s="63"/>
      <c r="AJ551" s="63"/>
    </row>
    <row r="552">
      <c r="A552" s="135">
        <v>559.0</v>
      </c>
      <c r="B552" s="67">
        <v>12.0</v>
      </c>
      <c r="C552" s="31" t="s">
        <v>987</v>
      </c>
      <c r="D552" s="68" t="s">
        <v>1646</v>
      </c>
      <c r="E552" s="71" t="s">
        <v>3005</v>
      </c>
      <c r="F552" s="69" t="s">
        <v>1635</v>
      </c>
      <c r="G552" s="69" t="s">
        <v>2997</v>
      </c>
      <c r="H552" s="145">
        <v>3.0</v>
      </c>
      <c r="I552" s="145">
        <v>3.0</v>
      </c>
      <c r="J552" s="69">
        <v>5.0</v>
      </c>
      <c r="K552" s="69">
        <f>iferror(vlookup(E552,MasterClass!$C$2:$G988,5,false),"")</f>
        <v>1</v>
      </c>
      <c r="L552" s="69">
        <v>5.0</v>
      </c>
      <c r="M552" s="69">
        <f t="shared" si="79"/>
        <v>8</v>
      </c>
      <c r="N552" s="69">
        <f t="shared" si="80"/>
        <v>9</v>
      </c>
      <c r="O552" s="146">
        <f t="shared" si="81"/>
        <v>1.125</v>
      </c>
      <c r="P552" s="146"/>
      <c r="Q552" s="70"/>
      <c r="R552" s="63"/>
      <c r="S552" s="63"/>
      <c r="T552" s="63"/>
      <c r="U552" s="63"/>
      <c r="V552" s="63"/>
      <c r="W552" s="63"/>
      <c r="X552" s="63"/>
      <c r="Y552" s="63"/>
      <c r="Z552" s="63"/>
      <c r="AA552" s="63"/>
      <c r="AB552" s="63"/>
      <c r="AC552" s="63"/>
      <c r="AD552" s="63"/>
      <c r="AE552" s="63"/>
      <c r="AF552" s="63"/>
      <c r="AG552" s="63"/>
      <c r="AH552" s="63"/>
      <c r="AI552" s="63"/>
      <c r="AJ552" s="63"/>
    </row>
    <row r="553">
      <c r="A553" s="135">
        <v>560.0</v>
      </c>
      <c r="B553" s="67">
        <v>13.0</v>
      </c>
      <c r="C553" s="31" t="s">
        <v>989</v>
      </c>
      <c r="D553" s="68" t="s">
        <v>1647</v>
      </c>
      <c r="E553" s="71" t="s">
        <v>3006</v>
      </c>
      <c r="F553" s="69" t="s">
        <v>1635</v>
      </c>
      <c r="G553" s="69" t="s">
        <v>2997</v>
      </c>
      <c r="H553" s="145">
        <v>3.0</v>
      </c>
      <c r="I553" s="145">
        <v>1.0</v>
      </c>
      <c r="J553" s="69">
        <v>5.0</v>
      </c>
      <c r="K553" s="69" t="str">
        <f>iferror(vlookup(E553,MasterClass!$C$2:$G988,5,false),"")</f>
        <v/>
      </c>
      <c r="L553" s="69">
        <v>5.0</v>
      </c>
      <c r="M553" s="69">
        <f t="shared" si="79"/>
        <v>8</v>
      </c>
      <c r="N553" s="69">
        <f t="shared" si="80"/>
        <v>6</v>
      </c>
      <c r="O553" s="146">
        <f t="shared" si="81"/>
        <v>0.75</v>
      </c>
      <c r="P553" s="146"/>
      <c r="Q553" s="70"/>
      <c r="R553" s="63"/>
      <c r="S553" s="63"/>
      <c r="T553" s="63"/>
      <c r="U553" s="63"/>
      <c r="V553" s="63"/>
      <c r="W553" s="63"/>
      <c r="X553" s="63"/>
      <c r="Y553" s="63"/>
      <c r="Z553" s="63"/>
      <c r="AA553" s="63"/>
      <c r="AB553" s="63"/>
      <c r="AC553" s="63"/>
      <c r="AD553" s="63"/>
      <c r="AE553" s="63"/>
      <c r="AF553" s="63"/>
      <c r="AG553" s="63"/>
      <c r="AH553" s="63"/>
      <c r="AI553" s="63"/>
      <c r="AJ553" s="63"/>
    </row>
    <row r="554">
      <c r="A554" s="135">
        <v>561.0</v>
      </c>
      <c r="B554" s="67">
        <v>14.0</v>
      </c>
      <c r="C554" s="31" t="s">
        <v>991</v>
      </c>
      <c r="D554" s="68" t="s">
        <v>1648</v>
      </c>
      <c r="E554" s="71" t="s">
        <v>3007</v>
      </c>
      <c r="F554" s="69" t="s">
        <v>1635</v>
      </c>
      <c r="G554" s="69" t="s">
        <v>2997</v>
      </c>
      <c r="H554" s="145">
        <v>3.0</v>
      </c>
      <c r="I554" s="145">
        <v>1.0</v>
      </c>
      <c r="J554" s="69">
        <v>5.0</v>
      </c>
      <c r="K554" s="69" t="str">
        <f>iferror(vlookup(E554,MasterClass!$C$2:$G988,5,false),"")</f>
        <v/>
      </c>
      <c r="L554" s="69">
        <v>5.0</v>
      </c>
      <c r="M554" s="69">
        <f t="shared" si="79"/>
        <v>8</v>
      </c>
      <c r="N554" s="69">
        <f t="shared" si="80"/>
        <v>6</v>
      </c>
      <c r="O554" s="146">
        <f t="shared" si="81"/>
        <v>0.75</v>
      </c>
      <c r="P554" s="146"/>
      <c r="Q554" s="70"/>
      <c r="R554" s="63"/>
      <c r="S554" s="63"/>
      <c r="T554" s="63"/>
      <c r="U554" s="63"/>
      <c r="V554" s="63"/>
      <c r="W554" s="63"/>
      <c r="X554" s="63"/>
      <c r="Y554" s="63"/>
      <c r="Z554" s="63"/>
      <c r="AA554" s="63"/>
      <c r="AB554" s="63"/>
      <c r="AC554" s="63"/>
      <c r="AD554" s="63"/>
      <c r="AE554" s="63"/>
      <c r="AF554" s="63"/>
      <c r="AG554" s="63"/>
      <c r="AH554" s="63"/>
      <c r="AI554" s="63"/>
      <c r="AJ554" s="63"/>
    </row>
    <row r="555">
      <c r="A555" s="135">
        <v>562.0</v>
      </c>
      <c r="B555" s="67">
        <v>15.0</v>
      </c>
      <c r="C555" s="31" t="s">
        <v>993</v>
      </c>
      <c r="D555" s="68" t="s">
        <v>1649</v>
      </c>
      <c r="E555" s="71" t="s">
        <v>3008</v>
      </c>
      <c r="F555" s="69" t="s">
        <v>1635</v>
      </c>
      <c r="G555" s="69" t="s">
        <v>1187</v>
      </c>
      <c r="H555" s="145" t="s">
        <v>1187</v>
      </c>
      <c r="I555" s="145" t="s">
        <v>1187</v>
      </c>
      <c r="J555" s="69" t="s">
        <v>1187</v>
      </c>
      <c r="K555" s="69" t="s">
        <v>1187</v>
      </c>
      <c r="L555" s="69" t="s">
        <v>1187</v>
      </c>
      <c r="M555" s="69" t="s">
        <v>1187</v>
      </c>
      <c r="N555" s="69" t="s">
        <v>1187</v>
      </c>
      <c r="O555" s="69" t="s">
        <v>1187</v>
      </c>
      <c r="P555" s="69" t="s">
        <v>2522</v>
      </c>
      <c r="Q555" s="70"/>
      <c r="R555" s="63"/>
      <c r="S555" s="63"/>
      <c r="T555" s="63"/>
      <c r="U555" s="63"/>
      <c r="V555" s="63"/>
      <c r="W555" s="63"/>
      <c r="X555" s="63"/>
      <c r="Y555" s="63"/>
      <c r="Z555" s="63"/>
      <c r="AA555" s="63"/>
      <c r="AB555" s="63"/>
      <c r="AC555" s="63"/>
      <c r="AD555" s="63"/>
      <c r="AE555" s="63"/>
      <c r="AF555" s="63"/>
      <c r="AG555" s="63"/>
      <c r="AH555" s="63"/>
      <c r="AI555" s="63"/>
      <c r="AJ555" s="63"/>
    </row>
    <row r="556">
      <c r="A556" s="135">
        <v>563.0</v>
      </c>
      <c r="B556" s="67">
        <v>16.0</v>
      </c>
      <c r="C556" s="31" t="s">
        <v>995</v>
      </c>
      <c r="D556" s="68" t="s">
        <v>1650</v>
      </c>
      <c r="E556" s="71" t="s">
        <v>3009</v>
      </c>
      <c r="F556" s="69" t="s">
        <v>1635</v>
      </c>
      <c r="G556" s="69" t="s">
        <v>2995</v>
      </c>
      <c r="H556" s="145">
        <v>3.0</v>
      </c>
      <c r="I556" s="145">
        <v>3.0</v>
      </c>
      <c r="J556" s="69">
        <v>5.0</v>
      </c>
      <c r="K556" s="69" t="str">
        <f>iferror(vlookup(E556,MasterClass!$C$2:$G988,5,false),"")</f>
        <v/>
      </c>
      <c r="L556" s="181">
        <v>3.0</v>
      </c>
      <c r="M556" s="69">
        <f>J556+H556</f>
        <v>8</v>
      </c>
      <c r="N556" s="69">
        <f>I556+L556+K556</f>
        <v>6</v>
      </c>
      <c r="O556" s="146">
        <f>N556/M556</f>
        <v>0.75</v>
      </c>
      <c r="P556" s="146"/>
      <c r="Q556" s="70"/>
      <c r="R556" s="63"/>
      <c r="S556" s="63"/>
      <c r="T556" s="63"/>
      <c r="U556" s="63"/>
      <c r="V556" s="63"/>
      <c r="W556" s="63"/>
      <c r="X556" s="63"/>
      <c r="Y556" s="63"/>
      <c r="Z556" s="63"/>
      <c r="AA556" s="63"/>
      <c r="AB556" s="63"/>
      <c r="AC556" s="63"/>
      <c r="AD556" s="63"/>
      <c r="AE556" s="63"/>
      <c r="AF556" s="63"/>
      <c r="AG556" s="63"/>
      <c r="AH556" s="63"/>
      <c r="AI556" s="63"/>
      <c r="AJ556" s="63"/>
    </row>
    <row r="557">
      <c r="A557" s="135">
        <v>564.0</v>
      </c>
      <c r="B557" s="67">
        <v>17.0</v>
      </c>
      <c r="C557" s="31" t="s">
        <v>997</v>
      </c>
      <c r="D557" s="68" t="s">
        <v>1651</v>
      </c>
      <c r="E557" s="71" t="s">
        <v>3010</v>
      </c>
      <c r="F557" s="69" t="s">
        <v>1635</v>
      </c>
      <c r="G557" s="69" t="s">
        <v>1187</v>
      </c>
      <c r="H557" s="145" t="s">
        <v>1187</v>
      </c>
      <c r="I557" s="145" t="s">
        <v>1187</v>
      </c>
      <c r="J557" s="69" t="s">
        <v>1187</v>
      </c>
      <c r="K557" s="69" t="s">
        <v>1187</v>
      </c>
      <c r="L557" s="69" t="s">
        <v>1187</v>
      </c>
      <c r="M557" s="69" t="s">
        <v>1187</v>
      </c>
      <c r="N557" s="69" t="s">
        <v>1187</v>
      </c>
      <c r="O557" s="69" t="s">
        <v>1187</v>
      </c>
      <c r="P557" s="69" t="s">
        <v>2522</v>
      </c>
      <c r="Q557" s="70"/>
      <c r="R557" s="63"/>
      <c r="S557" s="63"/>
      <c r="T557" s="63"/>
      <c r="U557" s="63"/>
      <c r="V557" s="63"/>
      <c r="W557" s="63"/>
      <c r="X557" s="63"/>
      <c r="Y557" s="63"/>
      <c r="Z557" s="63"/>
      <c r="AA557" s="63"/>
      <c r="AB557" s="63"/>
      <c r="AC557" s="63"/>
      <c r="AD557" s="63"/>
      <c r="AE557" s="63"/>
      <c r="AF557" s="63"/>
      <c r="AG557" s="63"/>
      <c r="AH557" s="63"/>
      <c r="AI557" s="63"/>
      <c r="AJ557" s="63"/>
    </row>
    <row r="558">
      <c r="A558" s="135">
        <v>565.0</v>
      </c>
      <c r="B558" s="67">
        <v>18.0</v>
      </c>
      <c r="C558" s="31" t="s">
        <v>999</v>
      </c>
      <c r="D558" s="71" t="s">
        <v>1652</v>
      </c>
      <c r="E558" s="71" t="s">
        <v>3011</v>
      </c>
      <c r="F558" s="69" t="s">
        <v>1635</v>
      </c>
      <c r="G558" s="69" t="s">
        <v>2995</v>
      </c>
      <c r="H558" s="145">
        <v>3.0</v>
      </c>
      <c r="I558" s="145">
        <v>2.0</v>
      </c>
      <c r="J558" s="69">
        <v>5.0</v>
      </c>
      <c r="K558" s="69" t="str">
        <f>iferror(vlookup(E558,MasterClass!$C$2:$G988,5,false),"")</f>
        <v/>
      </c>
      <c r="L558" s="181">
        <v>1.0</v>
      </c>
      <c r="M558" s="69">
        <f>J558+H558</f>
        <v>8</v>
      </c>
      <c r="N558" s="69">
        <f>I558+L558+K558</f>
        <v>3</v>
      </c>
      <c r="O558" s="146">
        <f>N558/M558</f>
        <v>0.375</v>
      </c>
      <c r="P558" s="146"/>
      <c r="Q558" s="70"/>
      <c r="R558" s="63"/>
      <c r="S558" s="63"/>
      <c r="T558" s="63"/>
      <c r="U558" s="63"/>
      <c r="V558" s="63"/>
      <c r="W558" s="63"/>
      <c r="X558" s="63"/>
      <c r="Y558" s="63"/>
      <c r="Z558" s="63"/>
      <c r="AA558" s="63"/>
      <c r="AB558" s="63"/>
      <c r="AC558" s="63"/>
      <c r="AD558" s="63"/>
      <c r="AE558" s="63"/>
      <c r="AF558" s="63"/>
      <c r="AG558" s="63"/>
      <c r="AH558" s="63"/>
      <c r="AI558" s="63"/>
      <c r="AJ558" s="63"/>
    </row>
    <row r="559">
      <c r="A559" s="135">
        <v>566.0</v>
      </c>
      <c r="B559" s="67">
        <v>19.0</v>
      </c>
      <c r="C559" s="31" t="s">
        <v>1001</v>
      </c>
      <c r="D559" s="68" t="s">
        <v>1653</v>
      </c>
      <c r="E559" s="71" t="s">
        <v>3012</v>
      </c>
      <c r="F559" s="69" t="s">
        <v>1635</v>
      </c>
      <c r="G559" s="69" t="s">
        <v>1187</v>
      </c>
      <c r="H559" s="145" t="s">
        <v>1187</v>
      </c>
      <c r="I559" s="145" t="s">
        <v>1187</v>
      </c>
      <c r="J559" s="69" t="s">
        <v>1187</v>
      </c>
      <c r="K559" s="69" t="s">
        <v>1187</v>
      </c>
      <c r="L559" s="69" t="s">
        <v>1187</v>
      </c>
      <c r="M559" s="69" t="s">
        <v>1187</v>
      </c>
      <c r="N559" s="69" t="s">
        <v>1187</v>
      </c>
      <c r="O559" s="69" t="s">
        <v>1187</v>
      </c>
      <c r="P559" s="69" t="s">
        <v>2522</v>
      </c>
      <c r="Q559" s="70"/>
      <c r="R559" s="63"/>
      <c r="S559" s="63"/>
      <c r="T559" s="63"/>
      <c r="U559" s="63"/>
      <c r="V559" s="63"/>
      <c r="W559" s="63"/>
      <c r="X559" s="63"/>
      <c r="Y559" s="63"/>
      <c r="Z559" s="63"/>
      <c r="AA559" s="63"/>
      <c r="AB559" s="63"/>
      <c r="AC559" s="63"/>
      <c r="AD559" s="63"/>
      <c r="AE559" s="63"/>
      <c r="AF559" s="63"/>
      <c r="AG559" s="63"/>
      <c r="AH559" s="63"/>
      <c r="AI559" s="63"/>
      <c r="AJ559" s="63"/>
    </row>
    <row r="560">
      <c r="A560" s="135">
        <v>567.0</v>
      </c>
      <c r="B560" s="67">
        <v>20.0</v>
      </c>
      <c r="C560" s="31" t="s">
        <v>1003</v>
      </c>
      <c r="D560" s="68" t="s">
        <v>1654</v>
      </c>
      <c r="E560" s="71" t="s">
        <v>3013</v>
      </c>
      <c r="F560" s="69" t="s">
        <v>1635</v>
      </c>
      <c r="G560" s="69" t="s">
        <v>2997</v>
      </c>
      <c r="H560" s="145">
        <v>3.0</v>
      </c>
      <c r="I560" s="145">
        <v>1.0</v>
      </c>
      <c r="J560" s="69">
        <v>5.0</v>
      </c>
      <c r="K560" s="69">
        <f>iferror(vlookup(E560,MasterClass!$C$2:$G988,5,false),"")</f>
        <v>1</v>
      </c>
      <c r="L560" s="69">
        <v>4.0</v>
      </c>
      <c r="M560" s="69">
        <f t="shared" ref="M560:M584" si="82">J560+H560</f>
        <v>8</v>
      </c>
      <c r="N560" s="69">
        <f t="shared" ref="N560:N584" si="83">I560+L560+K560</f>
        <v>6</v>
      </c>
      <c r="O560" s="146">
        <f t="shared" ref="O560:O584" si="84">N560/M560</f>
        <v>0.75</v>
      </c>
      <c r="P560" s="146"/>
      <c r="Q560" s="70"/>
      <c r="R560" s="63"/>
      <c r="S560" s="63"/>
      <c r="T560" s="63"/>
      <c r="U560" s="63"/>
      <c r="V560" s="63"/>
      <c r="W560" s="63"/>
      <c r="X560" s="63"/>
      <c r="Y560" s="63"/>
      <c r="Z560" s="63"/>
      <c r="AA560" s="63"/>
      <c r="AB560" s="63"/>
      <c r="AC560" s="63"/>
      <c r="AD560" s="63"/>
      <c r="AE560" s="63"/>
      <c r="AF560" s="63"/>
      <c r="AG560" s="63"/>
      <c r="AH560" s="63"/>
      <c r="AI560" s="63"/>
      <c r="AJ560" s="63"/>
    </row>
    <row r="561">
      <c r="A561" s="135">
        <v>568.0</v>
      </c>
      <c r="B561" s="67">
        <v>21.0</v>
      </c>
      <c r="C561" s="31" t="s">
        <v>1005</v>
      </c>
      <c r="D561" s="68" t="s">
        <v>1655</v>
      </c>
      <c r="E561" s="71" t="s">
        <v>3014</v>
      </c>
      <c r="F561" s="69" t="s">
        <v>1635</v>
      </c>
      <c r="G561" s="69" t="s">
        <v>3015</v>
      </c>
      <c r="H561" s="145">
        <v>3.0</v>
      </c>
      <c r="I561" s="145">
        <v>3.0</v>
      </c>
      <c r="J561" s="69">
        <v>5.0</v>
      </c>
      <c r="K561" s="69" t="str">
        <f>iferror(vlookup(E561,MasterClass!$C$2:$G988,5,false),"")</f>
        <v/>
      </c>
      <c r="L561" s="69">
        <v>3.0</v>
      </c>
      <c r="M561" s="69">
        <f t="shared" si="82"/>
        <v>8</v>
      </c>
      <c r="N561" s="69">
        <f t="shared" si="83"/>
        <v>6</v>
      </c>
      <c r="O561" s="146">
        <f t="shared" si="84"/>
        <v>0.75</v>
      </c>
      <c r="P561" s="146"/>
      <c r="Q561" s="70"/>
      <c r="R561" s="63"/>
      <c r="S561" s="63"/>
      <c r="T561" s="63"/>
      <c r="U561" s="63"/>
      <c r="V561" s="63"/>
      <c r="W561" s="63"/>
      <c r="X561" s="63"/>
      <c r="Y561" s="63"/>
      <c r="Z561" s="63"/>
      <c r="AA561" s="63"/>
      <c r="AB561" s="63"/>
      <c r="AC561" s="63"/>
      <c r="AD561" s="63"/>
      <c r="AE561" s="63"/>
      <c r="AF561" s="63"/>
      <c r="AG561" s="63"/>
      <c r="AH561" s="63"/>
      <c r="AI561" s="63"/>
      <c r="AJ561" s="63"/>
    </row>
    <row r="562">
      <c r="A562" s="135">
        <v>569.0</v>
      </c>
      <c r="B562" s="67">
        <v>22.0</v>
      </c>
      <c r="C562" s="31" t="s">
        <v>1007</v>
      </c>
      <c r="D562" s="68" t="s">
        <v>1656</v>
      </c>
      <c r="E562" s="71" t="s">
        <v>3016</v>
      </c>
      <c r="F562" s="69" t="s">
        <v>1635</v>
      </c>
      <c r="G562" s="69" t="s">
        <v>2995</v>
      </c>
      <c r="H562" s="145">
        <v>3.0</v>
      </c>
      <c r="I562" s="145">
        <v>3.0</v>
      </c>
      <c r="J562" s="69">
        <v>5.0</v>
      </c>
      <c r="K562" s="69" t="str">
        <f>iferror(vlookup(E562,MasterClass!$C$2:$G988,5,false),"")</f>
        <v/>
      </c>
      <c r="L562" s="181">
        <v>4.0</v>
      </c>
      <c r="M562" s="69">
        <f t="shared" si="82"/>
        <v>8</v>
      </c>
      <c r="N562" s="69">
        <f t="shared" si="83"/>
        <v>7</v>
      </c>
      <c r="O562" s="146">
        <f t="shared" si="84"/>
        <v>0.875</v>
      </c>
      <c r="P562" s="146"/>
      <c r="Q562" s="70"/>
      <c r="R562" s="63"/>
      <c r="S562" s="63"/>
      <c r="T562" s="63"/>
      <c r="U562" s="63"/>
      <c r="V562" s="63"/>
      <c r="W562" s="63"/>
      <c r="X562" s="63"/>
      <c r="Y562" s="63"/>
      <c r="Z562" s="63"/>
      <c r="AA562" s="63"/>
      <c r="AB562" s="63"/>
      <c r="AC562" s="63"/>
      <c r="AD562" s="63"/>
      <c r="AE562" s="63"/>
      <c r="AF562" s="63"/>
      <c r="AG562" s="63"/>
      <c r="AH562" s="63"/>
      <c r="AI562" s="63"/>
      <c r="AJ562" s="63"/>
    </row>
    <row r="563">
      <c r="A563" s="135">
        <v>570.0</v>
      </c>
      <c r="B563" s="67">
        <v>23.0</v>
      </c>
      <c r="C563" s="31" t="s">
        <v>1009</v>
      </c>
      <c r="D563" s="68" t="s">
        <v>1657</v>
      </c>
      <c r="E563" s="71" t="s">
        <v>3017</v>
      </c>
      <c r="F563" s="69" t="s">
        <v>1635</v>
      </c>
      <c r="G563" s="69" t="s">
        <v>3015</v>
      </c>
      <c r="H563" s="145">
        <v>3.0</v>
      </c>
      <c r="I563" s="145">
        <v>3.0</v>
      </c>
      <c r="J563" s="69">
        <v>5.0</v>
      </c>
      <c r="K563" s="69" t="str">
        <f>iferror(vlookup(E563,MasterClass!$C$2:$G988,5,false),"")</f>
        <v/>
      </c>
      <c r="L563" s="69">
        <v>5.0</v>
      </c>
      <c r="M563" s="69">
        <f t="shared" si="82"/>
        <v>8</v>
      </c>
      <c r="N563" s="69">
        <f t="shared" si="83"/>
        <v>8</v>
      </c>
      <c r="O563" s="146">
        <f t="shared" si="84"/>
        <v>1</v>
      </c>
      <c r="P563" s="146"/>
      <c r="Q563" s="70"/>
      <c r="R563" s="63"/>
      <c r="S563" s="63"/>
      <c r="T563" s="63"/>
      <c r="U563" s="63"/>
      <c r="V563" s="63"/>
      <c r="W563" s="63"/>
      <c r="X563" s="63"/>
      <c r="Y563" s="63"/>
      <c r="Z563" s="63"/>
      <c r="AA563" s="63"/>
      <c r="AB563" s="63"/>
      <c r="AC563" s="63"/>
      <c r="AD563" s="63"/>
      <c r="AE563" s="63"/>
      <c r="AF563" s="63"/>
      <c r="AG563" s="63"/>
      <c r="AH563" s="63"/>
      <c r="AI563" s="63"/>
      <c r="AJ563" s="63"/>
    </row>
    <row r="564">
      <c r="A564" s="135">
        <v>571.0</v>
      </c>
      <c r="B564" s="67">
        <v>24.0</v>
      </c>
      <c r="C564" s="31" t="s">
        <v>1011</v>
      </c>
      <c r="D564" s="68" t="s">
        <v>1658</v>
      </c>
      <c r="E564" s="71" t="s">
        <v>3018</v>
      </c>
      <c r="F564" s="69" t="s">
        <v>1635</v>
      </c>
      <c r="G564" s="69" t="s">
        <v>3015</v>
      </c>
      <c r="H564" s="145">
        <v>3.0</v>
      </c>
      <c r="I564" s="145">
        <v>2.0</v>
      </c>
      <c r="J564" s="69">
        <v>5.0</v>
      </c>
      <c r="K564" s="69" t="str">
        <f>iferror(vlookup(E564,MasterClass!$C$2:$G988,5,false),"")</f>
        <v/>
      </c>
      <c r="L564" s="69">
        <v>2.0</v>
      </c>
      <c r="M564" s="69">
        <f t="shared" si="82"/>
        <v>8</v>
      </c>
      <c r="N564" s="69">
        <f t="shared" si="83"/>
        <v>4</v>
      </c>
      <c r="O564" s="146">
        <f t="shared" si="84"/>
        <v>0.5</v>
      </c>
      <c r="P564" s="146"/>
      <c r="Q564" s="70"/>
      <c r="R564" s="63"/>
      <c r="S564" s="63"/>
      <c r="T564" s="63"/>
      <c r="U564" s="63"/>
      <c r="V564" s="63"/>
      <c r="W564" s="63"/>
      <c r="X564" s="63"/>
      <c r="Y564" s="63"/>
      <c r="Z564" s="63"/>
      <c r="AA564" s="63"/>
      <c r="AB564" s="63"/>
      <c r="AC564" s="63"/>
      <c r="AD564" s="63"/>
      <c r="AE564" s="63"/>
      <c r="AF564" s="63"/>
      <c r="AG564" s="63"/>
      <c r="AH564" s="63"/>
      <c r="AI564" s="63"/>
      <c r="AJ564" s="63"/>
    </row>
    <row r="565">
      <c r="A565" s="135">
        <v>572.0</v>
      </c>
      <c r="B565" s="67">
        <v>25.0</v>
      </c>
      <c r="C565" s="31" t="s">
        <v>1013</v>
      </c>
      <c r="D565" s="71" t="s">
        <v>1659</v>
      </c>
      <c r="E565" s="71" t="s">
        <v>3019</v>
      </c>
      <c r="F565" s="69" t="s">
        <v>1635</v>
      </c>
      <c r="G565" s="69" t="s">
        <v>3015</v>
      </c>
      <c r="H565" s="145">
        <v>3.0</v>
      </c>
      <c r="I565" s="145">
        <v>3.0</v>
      </c>
      <c r="J565" s="69">
        <v>5.0</v>
      </c>
      <c r="K565" s="69" t="str">
        <f>iferror(vlookup(E565,MasterClass!$C$2:$G988,5,false),"")</f>
        <v/>
      </c>
      <c r="L565" s="181">
        <v>2.0</v>
      </c>
      <c r="M565" s="69">
        <f t="shared" si="82"/>
        <v>8</v>
      </c>
      <c r="N565" s="69">
        <f t="shared" si="83"/>
        <v>5</v>
      </c>
      <c r="O565" s="146">
        <f t="shared" si="84"/>
        <v>0.625</v>
      </c>
      <c r="P565" s="146"/>
      <c r="Q565" s="70"/>
      <c r="R565" s="63"/>
      <c r="S565" s="63"/>
      <c r="T565" s="63"/>
      <c r="U565" s="63"/>
      <c r="V565" s="63"/>
      <c r="W565" s="63"/>
      <c r="X565" s="63"/>
      <c r="Y565" s="63"/>
      <c r="Z565" s="63"/>
      <c r="AA565" s="63"/>
      <c r="AB565" s="63"/>
      <c r="AC565" s="63"/>
      <c r="AD565" s="63"/>
      <c r="AE565" s="63"/>
      <c r="AF565" s="63"/>
      <c r="AG565" s="63"/>
      <c r="AH565" s="63"/>
      <c r="AI565" s="63"/>
      <c r="AJ565" s="63"/>
    </row>
    <row r="566">
      <c r="A566" s="135">
        <v>573.0</v>
      </c>
      <c r="B566" s="67">
        <v>26.0</v>
      </c>
      <c r="C566" s="31" t="s">
        <v>1015</v>
      </c>
      <c r="D566" s="71" t="s">
        <v>1660</v>
      </c>
      <c r="E566" s="71" t="s">
        <v>3020</v>
      </c>
      <c r="F566" s="69" t="s">
        <v>1635</v>
      </c>
      <c r="G566" s="69" t="s">
        <v>3015</v>
      </c>
      <c r="H566" s="145">
        <v>3.0</v>
      </c>
      <c r="I566" s="145">
        <v>3.0</v>
      </c>
      <c r="J566" s="69">
        <v>5.0</v>
      </c>
      <c r="K566" s="69" t="str">
        <f>iferror(vlookup(E566,MasterClass!$C$2:$G988,5,false),"")</f>
        <v/>
      </c>
      <c r="L566" s="181">
        <v>1.0</v>
      </c>
      <c r="M566" s="69">
        <f t="shared" si="82"/>
        <v>8</v>
      </c>
      <c r="N566" s="69">
        <f t="shared" si="83"/>
        <v>4</v>
      </c>
      <c r="O566" s="146">
        <f t="shared" si="84"/>
        <v>0.5</v>
      </c>
      <c r="P566" s="146"/>
      <c r="Q566" s="70"/>
      <c r="R566" s="63"/>
      <c r="S566" s="63"/>
      <c r="T566" s="63"/>
      <c r="U566" s="63"/>
      <c r="V566" s="63"/>
      <c r="W566" s="63"/>
      <c r="X566" s="63"/>
      <c r="Y566" s="63"/>
      <c r="Z566" s="63"/>
      <c r="AA566" s="63"/>
      <c r="AB566" s="63"/>
      <c r="AC566" s="63"/>
      <c r="AD566" s="63"/>
      <c r="AE566" s="63"/>
      <c r="AF566" s="63"/>
      <c r="AG566" s="63"/>
      <c r="AH566" s="63"/>
      <c r="AI566" s="63"/>
      <c r="AJ566" s="63"/>
    </row>
    <row r="567">
      <c r="A567" s="135">
        <v>574.0</v>
      </c>
      <c r="B567" s="67">
        <v>27.0</v>
      </c>
      <c r="C567" s="31" t="s">
        <v>1017</v>
      </c>
      <c r="D567" s="68" t="s">
        <v>1661</v>
      </c>
      <c r="E567" s="71" t="s">
        <v>3021</v>
      </c>
      <c r="F567" s="69" t="s">
        <v>1635</v>
      </c>
      <c r="G567" s="69" t="s">
        <v>2995</v>
      </c>
      <c r="H567" s="145">
        <v>3.0</v>
      </c>
      <c r="I567" s="145">
        <v>3.0</v>
      </c>
      <c r="J567" s="69">
        <v>5.0</v>
      </c>
      <c r="K567" s="69" t="str">
        <f>iferror(vlookup(E567,MasterClass!$C$2:$G988,5,false),"")</f>
        <v/>
      </c>
      <c r="L567" s="181">
        <v>4.0</v>
      </c>
      <c r="M567" s="69">
        <f t="shared" si="82"/>
        <v>8</v>
      </c>
      <c r="N567" s="69">
        <f t="shared" si="83"/>
        <v>7</v>
      </c>
      <c r="O567" s="146">
        <f t="shared" si="84"/>
        <v>0.875</v>
      </c>
      <c r="P567" s="146"/>
      <c r="Q567" s="70"/>
      <c r="R567" s="63"/>
      <c r="S567" s="63"/>
      <c r="T567" s="63"/>
      <c r="U567" s="63"/>
      <c r="V567" s="63"/>
      <c r="W567" s="63"/>
      <c r="X567" s="63"/>
      <c r="Y567" s="63"/>
      <c r="Z567" s="63"/>
      <c r="AA567" s="63"/>
      <c r="AB567" s="63"/>
      <c r="AC567" s="63"/>
      <c r="AD567" s="63"/>
      <c r="AE567" s="63"/>
      <c r="AF567" s="63"/>
      <c r="AG567" s="63"/>
      <c r="AH567" s="63"/>
      <c r="AI567" s="63"/>
      <c r="AJ567" s="63"/>
    </row>
    <row r="568">
      <c r="A568" s="135">
        <v>575.0</v>
      </c>
      <c r="B568" s="67">
        <v>28.0</v>
      </c>
      <c r="C568" s="31" t="s">
        <v>1019</v>
      </c>
      <c r="D568" s="68" t="s">
        <v>1662</v>
      </c>
      <c r="E568" s="71" t="s">
        <v>3022</v>
      </c>
      <c r="F568" s="69" t="s">
        <v>1635</v>
      </c>
      <c r="G568" s="69" t="s">
        <v>2995</v>
      </c>
      <c r="H568" s="145">
        <v>3.0</v>
      </c>
      <c r="I568" s="145">
        <v>3.0</v>
      </c>
      <c r="J568" s="69">
        <v>5.0</v>
      </c>
      <c r="K568" s="69" t="str">
        <f>iferror(vlookup(E568,MasterClass!$C$2:$G988,5,false),"")</f>
        <v/>
      </c>
      <c r="L568" s="181">
        <v>2.0</v>
      </c>
      <c r="M568" s="69">
        <f t="shared" si="82"/>
        <v>8</v>
      </c>
      <c r="N568" s="69">
        <f t="shared" si="83"/>
        <v>5</v>
      </c>
      <c r="O568" s="146">
        <f t="shared" si="84"/>
        <v>0.625</v>
      </c>
      <c r="P568" s="146"/>
      <c r="Q568" s="70"/>
      <c r="R568" s="63"/>
      <c r="S568" s="63"/>
      <c r="T568" s="63"/>
      <c r="U568" s="63"/>
      <c r="V568" s="63"/>
      <c r="W568" s="63"/>
      <c r="X568" s="63"/>
      <c r="Y568" s="63"/>
      <c r="Z568" s="63"/>
      <c r="AA568" s="63"/>
      <c r="AB568" s="63"/>
      <c r="AC568" s="63"/>
      <c r="AD568" s="63"/>
      <c r="AE568" s="63"/>
      <c r="AF568" s="63"/>
      <c r="AG568" s="63"/>
      <c r="AH568" s="63"/>
      <c r="AI568" s="63"/>
      <c r="AJ568" s="63"/>
    </row>
    <row r="569">
      <c r="A569" s="135">
        <v>576.0</v>
      </c>
      <c r="B569" s="67">
        <v>29.0</v>
      </c>
      <c r="C569" s="31" t="s">
        <v>1021</v>
      </c>
      <c r="D569" s="68" t="s">
        <v>1663</v>
      </c>
      <c r="E569" s="71" t="s">
        <v>3023</v>
      </c>
      <c r="F569" s="69" t="s">
        <v>1635</v>
      </c>
      <c r="G569" s="69" t="s">
        <v>2995</v>
      </c>
      <c r="H569" s="145">
        <v>3.0</v>
      </c>
      <c r="I569" s="145">
        <v>3.0</v>
      </c>
      <c r="J569" s="69">
        <v>5.0</v>
      </c>
      <c r="K569" s="69" t="str">
        <f>iferror(vlookup(E569,MasterClass!$C$2:$G988,5,false),"")</f>
        <v/>
      </c>
      <c r="L569" s="181">
        <v>2.0</v>
      </c>
      <c r="M569" s="69">
        <f t="shared" si="82"/>
        <v>8</v>
      </c>
      <c r="N569" s="69">
        <f t="shared" si="83"/>
        <v>5</v>
      </c>
      <c r="O569" s="146">
        <f t="shared" si="84"/>
        <v>0.625</v>
      </c>
      <c r="P569" s="146"/>
      <c r="Q569" s="70"/>
      <c r="R569" s="63"/>
      <c r="S569" s="63"/>
      <c r="T569" s="63"/>
      <c r="U569" s="63"/>
      <c r="V569" s="63"/>
      <c r="W569" s="63"/>
      <c r="X569" s="63"/>
      <c r="Y569" s="63"/>
      <c r="Z569" s="63"/>
      <c r="AA569" s="63"/>
      <c r="AB569" s="63"/>
      <c r="AC569" s="63"/>
      <c r="AD569" s="63"/>
      <c r="AE569" s="63"/>
      <c r="AF569" s="63"/>
      <c r="AG569" s="63"/>
      <c r="AH569" s="63"/>
      <c r="AI569" s="63"/>
      <c r="AJ569" s="63"/>
    </row>
    <row r="570">
      <c r="A570" s="135">
        <v>577.0</v>
      </c>
      <c r="B570" s="67">
        <v>30.0</v>
      </c>
      <c r="C570" s="31" t="s">
        <v>1023</v>
      </c>
      <c r="D570" s="68" t="s">
        <v>1664</v>
      </c>
      <c r="E570" s="71" t="s">
        <v>3024</v>
      </c>
      <c r="F570" s="69" t="s">
        <v>1635</v>
      </c>
      <c r="G570" s="69" t="s">
        <v>2583</v>
      </c>
      <c r="H570" s="145">
        <v>4.0</v>
      </c>
      <c r="I570" s="145">
        <v>4.0</v>
      </c>
      <c r="J570" s="69">
        <v>5.0</v>
      </c>
      <c r="K570" s="69" t="str">
        <f>iferror(vlookup(E570,MasterClass!$C$2:$G988,5,false),"")</f>
        <v/>
      </c>
      <c r="L570" s="181">
        <v>0.0</v>
      </c>
      <c r="M570" s="69">
        <f t="shared" si="82"/>
        <v>9</v>
      </c>
      <c r="N570" s="69">
        <f t="shared" si="83"/>
        <v>4</v>
      </c>
      <c r="O570" s="146">
        <f t="shared" si="84"/>
        <v>0.4444444444</v>
      </c>
      <c r="P570" s="69" t="s">
        <v>2508</v>
      </c>
      <c r="Q570" s="69"/>
      <c r="R570" s="63"/>
      <c r="S570" s="63"/>
      <c r="T570" s="63"/>
      <c r="U570" s="63"/>
      <c r="V570" s="63"/>
      <c r="W570" s="63"/>
      <c r="X570" s="63"/>
      <c r="Y570" s="63"/>
      <c r="Z570" s="63"/>
      <c r="AA570" s="63"/>
      <c r="AB570" s="63"/>
      <c r="AC570" s="63"/>
      <c r="AD570" s="63"/>
      <c r="AE570" s="63"/>
      <c r="AF570" s="63"/>
      <c r="AG570" s="63"/>
      <c r="AH570" s="63"/>
      <c r="AI570" s="63"/>
      <c r="AJ570" s="63"/>
    </row>
    <row r="571">
      <c r="A571" s="135">
        <v>578.0</v>
      </c>
      <c r="B571" s="67">
        <v>31.0</v>
      </c>
      <c r="C571" s="31" t="s">
        <v>1025</v>
      </c>
      <c r="D571" s="68" t="s">
        <v>1665</v>
      </c>
      <c r="E571" s="71" t="s">
        <v>3025</v>
      </c>
      <c r="F571" s="69" t="s">
        <v>1635</v>
      </c>
      <c r="G571" s="69" t="s">
        <v>2995</v>
      </c>
      <c r="H571" s="145">
        <v>3.0</v>
      </c>
      <c r="I571" s="145">
        <v>3.0</v>
      </c>
      <c r="J571" s="69">
        <v>5.0</v>
      </c>
      <c r="K571" s="69" t="str">
        <f>iferror(vlookup(E571,MasterClass!$C$2:$G988,5,false),"")</f>
        <v/>
      </c>
      <c r="L571" s="181">
        <v>4.0</v>
      </c>
      <c r="M571" s="69">
        <f t="shared" si="82"/>
        <v>8</v>
      </c>
      <c r="N571" s="69">
        <f t="shared" si="83"/>
        <v>7</v>
      </c>
      <c r="O571" s="146">
        <f t="shared" si="84"/>
        <v>0.875</v>
      </c>
      <c r="P571" s="146"/>
      <c r="Q571" s="70"/>
      <c r="R571" s="63"/>
      <c r="S571" s="63"/>
      <c r="T571" s="63"/>
      <c r="U571" s="63"/>
      <c r="V571" s="63"/>
      <c r="W571" s="63"/>
      <c r="X571" s="63"/>
      <c r="Y571" s="63"/>
      <c r="Z571" s="63"/>
      <c r="AA571" s="63"/>
      <c r="AB571" s="63"/>
      <c r="AC571" s="63"/>
      <c r="AD571" s="63"/>
      <c r="AE571" s="63"/>
      <c r="AF571" s="63"/>
      <c r="AG571" s="63"/>
      <c r="AH571" s="63"/>
      <c r="AI571" s="63"/>
      <c r="AJ571" s="63"/>
    </row>
    <row r="572">
      <c r="A572" s="135">
        <v>579.0</v>
      </c>
      <c r="B572" s="67">
        <v>32.0</v>
      </c>
      <c r="C572" s="31" t="s">
        <v>1027</v>
      </c>
      <c r="D572" s="68" t="s">
        <v>1666</v>
      </c>
      <c r="E572" s="71" t="s">
        <v>3026</v>
      </c>
      <c r="F572" s="69" t="s">
        <v>1635</v>
      </c>
      <c r="G572" s="69" t="s">
        <v>2995</v>
      </c>
      <c r="H572" s="145">
        <v>3.0</v>
      </c>
      <c r="I572" s="145">
        <v>0.0</v>
      </c>
      <c r="J572" s="69">
        <v>5.0</v>
      </c>
      <c r="K572" s="69" t="str">
        <f>iferror(vlookup(E572,MasterClass!$C$2:$G988,5,false),"")</f>
        <v/>
      </c>
      <c r="L572" s="181">
        <v>0.0</v>
      </c>
      <c r="M572" s="69">
        <f t="shared" si="82"/>
        <v>8</v>
      </c>
      <c r="N572" s="69">
        <f t="shared" si="83"/>
        <v>0</v>
      </c>
      <c r="O572" s="146">
        <f t="shared" si="84"/>
        <v>0</v>
      </c>
      <c r="P572" s="146"/>
      <c r="Q572" s="70"/>
      <c r="R572" s="63"/>
      <c r="S572" s="63"/>
      <c r="T572" s="63"/>
      <c r="U572" s="63"/>
      <c r="V572" s="63"/>
      <c r="W572" s="63"/>
      <c r="X572" s="63"/>
      <c r="Y572" s="63"/>
      <c r="Z572" s="63"/>
      <c r="AA572" s="63"/>
      <c r="AB572" s="63"/>
      <c r="AC572" s="63"/>
      <c r="AD572" s="63"/>
      <c r="AE572" s="63"/>
      <c r="AF572" s="63"/>
      <c r="AG572" s="63"/>
      <c r="AH572" s="63"/>
      <c r="AI572" s="63"/>
      <c r="AJ572" s="63"/>
    </row>
    <row r="573">
      <c r="A573" s="135">
        <v>580.0</v>
      </c>
      <c r="B573" s="67">
        <v>33.0</v>
      </c>
      <c r="C573" s="31" t="s">
        <v>1029</v>
      </c>
      <c r="D573" s="68" t="s">
        <v>1667</v>
      </c>
      <c r="E573" s="71" t="s">
        <v>3027</v>
      </c>
      <c r="F573" s="69" t="s">
        <v>1635</v>
      </c>
      <c r="G573" s="69" t="s">
        <v>3015</v>
      </c>
      <c r="H573" s="145">
        <v>3.0</v>
      </c>
      <c r="I573" s="145">
        <v>2.0</v>
      </c>
      <c r="J573" s="69">
        <v>5.0</v>
      </c>
      <c r="K573" s="69" t="str">
        <f>iferror(vlookup(E573,MasterClass!$C$2:$G988,5,false),"")</f>
        <v/>
      </c>
      <c r="L573" s="69">
        <v>5.0</v>
      </c>
      <c r="M573" s="69">
        <f t="shared" si="82"/>
        <v>8</v>
      </c>
      <c r="N573" s="69">
        <f t="shared" si="83"/>
        <v>7</v>
      </c>
      <c r="O573" s="146">
        <f t="shared" si="84"/>
        <v>0.875</v>
      </c>
      <c r="P573" s="146"/>
      <c r="Q573" s="70"/>
      <c r="R573" s="63"/>
      <c r="S573" s="63"/>
      <c r="T573" s="63"/>
      <c r="U573" s="63"/>
      <c r="V573" s="63"/>
      <c r="W573" s="63"/>
      <c r="X573" s="63"/>
      <c r="Y573" s="63"/>
      <c r="Z573" s="63"/>
      <c r="AA573" s="63"/>
      <c r="AB573" s="63"/>
      <c r="AC573" s="63"/>
      <c r="AD573" s="63"/>
      <c r="AE573" s="63"/>
      <c r="AF573" s="63"/>
      <c r="AG573" s="63"/>
      <c r="AH573" s="63"/>
      <c r="AI573" s="63"/>
      <c r="AJ573" s="63"/>
    </row>
    <row r="574">
      <c r="A574" s="135">
        <v>581.0</v>
      </c>
      <c r="B574" s="67">
        <v>34.0</v>
      </c>
      <c r="C574" s="31" t="s">
        <v>1031</v>
      </c>
      <c r="D574" s="68" t="s">
        <v>1668</v>
      </c>
      <c r="E574" s="71" t="s">
        <v>3028</v>
      </c>
      <c r="F574" s="69" t="s">
        <v>1635</v>
      </c>
      <c r="G574" s="69" t="s">
        <v>3015</v>
      </c>
      <c r="H574" s="145">
        <v>3.0</v>
      </c>
      <c r="I574" s="145">
        <v>3.0</v>
      </c>
      <c r="J574" s="69">
        <v>5.0</v>
      </c>
      <c r="K574" s="69" t="str">
        <f>iferror(vlookup(E574,MasterClass!$C$2:$G988,5,false),"")</f>
        <v/>
      </c>
      <c r="L574" s="69">
        <v>5.0</v>
      </c>
      <c r="M574" s="69">
        <f t="shared" si="82"/>
        <v>8</v>
      </c>
      <c r="N574" s="69">
        <f t="shared" si="83"/>
        <v>8</v>
      </c>
      <c r="O574" s="146">
        <f t="shared" si="84"/>
        <v>1</v>
      </c>
      <c r="P574" s="146"/>
      <c r="Q574" s="70"/>
      <c r="R574" s="63"/>
      <c r="S574" s="63"/>
      <c r="T574" s="63"/>
      <c r="U574" s="63"/>
      <c r="V574" s="63"/>
      <c r="W574" s="63"/>
      <c r="X574" s="63"/>
      <c r="Y574" s="63"/>
      <c r="Z574" s="63"/>
      <c r="AA574" s="63"/>
      <c r="AB574" s="63"/>
      <c r="AC574" s="63"/>
      <c r="AD574" s="63"/>
      <c r="AE574" s="63"/>
      <c r="AF574" s="63"/>
      <c r="AG574" s="63"/>
      <c r="AH574" s="63"/>
      <c r="AI574" s="63"/>
      <c r="AJ574" s="63"/>
    </row>
    <row r="575">
      <c r="A575" s="135">
        <v>582.0</v>
      </c>
      <c r="B575" s="67">
        <v>35.0</v>
      </c>
      <c r="C575" s="31" t="s">
        <v>1033</v>
      </c>
      <c r="D575" s="68" t="s">
        <v>1669</v>
      </c>
      <c r="E575" s="71" t="s">
        <v>3029</v>
      </c>
      <c r="F575" s="69" t="s">
        <v>1635</v>
      </c>
      <c r="G575" s="69" t="s">
        <v>2551</v>
      </c>
      <c r="H575" s="145">
        <v>3.0</v>
      </c>
      <c r="I575" s="145">
        <v>2.0</v>
      </c>
      <c r="J575" s="69">
        <v>5.0</v>
      </c>
      <c r="K575" s="69">
        <f>iferror(vlookup(E575,MasterClass!$C$2:$G988,5,false),"")</f>
        <v>1</v>
      </c>
      <c r="L575" s="181">
        <v>3.0</v>
      </c>
      <c r="M575" s="69">
        <f t="shared" si="82"/>
        <v>8</v>
      </c>
      <c r="N575" s="69">
        <f t="shared" si="83"/>
        <v>6</v>
      </c>
      <c r="O575" s="146">
        <f t="shared" si="84"/>
        <v>0.75</v>
      </c>
      <c r="P575" s="69" t="s">
        <v>2508</v>
      </c>
      <c r="Q575" s="69"/>
      <c r="R575" s="63"/>
      <c r="S575" s="63"/>
      <c r="T575" s="63"/>
      <c r="U575" s="63"/>
      <c r="V575" s="63"/>
      <c r="W575" s="63"/>
      <c r="X575" s="63"/>
      <c r="Y575" s="63"/>
      <c r="Z575" s="63"/>
      <c r="AA575" s="63"/>
      <c r="AB575" s="63"/>
      <c r="AC575" s="63"/>
      <c r="AD575" s="63"/>
      <c r="AE575" s="63"/>
      <c r="AF575" s="63"/>
      <c r="AG575" s="63"/>
      <c r="AH575" s="63"/>
      <c r="AI575" s="63"/>
      <c r="AJ575" s="63"/>
    </row>
    <row r="576">
      <c r="A576" s="135">
        <v>583.0</v>
      </c>
      <c r="B576" s="67">
        <v>36.0</v>
      </c>
      <c r="C576" s="31" t="s">
        <v>1035</v>
      </c>
      <c r="D576" s="68" t="s">
        <v>1670</v>
      </c>
      <c r="E576" s="71" t="s">
        <v>3030</v>
      </c>
      <c r="F576" s="69" t="s">
        <v>1635</v>
      </c>
      <c r="G576" s="69" t="s">
        <v>2995</v>
      </c>
      <c r="H576" s="145"/>
      <c r="I576" s="145"/>
      <c r="J576" s="69">
        <v>5.0</v>
      </c>
      <c r="K576" s="69" t="str">
        <f>iferror(vlookup(E576,MasterClass!$C$2:$G988,5,false),"")</f>
        <v/>
      </c>
      <c r="L576" s="181">
        <v>3.0</v>
      </c>
      <c r="M576" s="69">
        <f t="shared" si="82"/>
        <v>5</v>
      </c>
      <c r="N576" s="69">
        <f t="shared" si="83"/>
        <v>3</v>
      </c>
      <c r="O576" s="146">
        <f t="shared" si="84"/>
        <v>0.6</v>
      </c>
      <c r="P576" s="146"/>
      <c r="Q576" s="70"/>
      <c r="R576" s="63"/>
      <c r="S576" s="63"/>
      <c r="T576" s="63"/>
      <c r="U576" s="63"/>
      <c r="V576" s="63"/>
      <c r="W576" s="63"/>
      <c r="X576" s="63"/>
      <c r="Y576" s="63"/>
      <c r="Z576" s="63"/>
      <c r="AA576" s="63"/>
      <c r="AB576" s="63"/>
      <c r="AC576" s="63"/>
      <c r="AD576" s="63"/>
      <c r="AE576" s="63"/>
      <c r="AF576" s="63"/>
      <c r="AG576" s="63"/>
      <c r="AH576" s="63"/>
      <c r="AI576" s="63"/>
      <c r="AJ576" s="63"/>
    </row>
    <row r="577">
      <c r="A577" s="135">
        <v>584.0</v>
      </c>
      <c r="B577" s="67">
        <v>37.0</v>
      </c>
      <c r="C577" s="31" t="s">
        <v>1037</v>
      </c>
      <c r="D577" s="68" t="s">
        <v>1671</v>
      </c>
      <c r="E577" s="71" t="s">
        <v>3031</v>
      </c>
      <c r="F577" s="69" t="s">
        <v>1635</v>
      </c>
      <c r="G577" s="69" t="s">
        <v>2995</v>
      </c>
      <c r="H577" s="145">
        <v>3.0</v>
      </c>
      <c r="I577" s="145">
        <v>3.0</v>
      </c>
      <c r="J577" s="69">
        <v>5.0</v>
      </c>
      <c r="K577" s="69" t="str">
        <f>iferror(vlookup(E577,MasterClass!$C$2:$G988,5,false),"")</f>
        <v/>
      </c>
      <c r="L577" s="181">
        <v>4.0</v>
      </c>
      <c r="M577" s="69">
        <f t="shared" si="82"/>
        <v>8</v>
      </c>
      <c r="N577" s="69">
        <f t="shared" si="83"/>
        <v>7</v>
      </c>
      <c r="O577" s="146">
        <f t="shared" si="84"/>
        <v>0.875</v>
      </c>
      <c r="P577" s="146"/>
      <c r="Q577" s="70"/>
      <c r="R577" s="63"/>
      <c r="S577" s="63"/>
      <c r="T577" s="63"/>
      <c r="U577" s="63"/>
      <c r="V577" s="63"/>
      <c r="W577" s="63"/>
      <c r="X577" s="63"/>
      <c r="Y577" s="63"/>
      <c r="Z577" s="63"/>
      <c r="AA577" s="63"/>
      <c r="AB577" s="63"/>
      <c r="AC577" s="63"/>
      <c r="AD577" s="63"/>
      <c r="AE577" s="63"/>
      <c r="AF577" s="63"/>
      <c r="AG577" s="63"/>
      <c r="AH577" s="63"/>
      <c r="AI577" s="63"/>
      <c r="AJ577" s="63"/>
    </row>
    <row r="578">
      <c r="A578" s="135">
        <v>585.0</v>
      </c>
      <c r="B578" s="67">
        <v>38.0</v>
      </c>
      <c r="C578" s="31" t="s">
        <v>1039</v>
      </c>
      <c r="D578" s="68" t="s">
        <v>1672</v>
      </c>
      <c r="E578" s="71" t="s">
        <v>3032</v>
      </c>
      <c r="F578" s="69" t="s">
        <v>1635</v>
      </c>
      <c r="G578" s="69" t="s">
        <v>3015</v>
      </c>
      <c r="H578" s="145">
        <v>3.0</v>
      </c>
      <c r="I578" s="145">
        <v>3.0</v>
      </c>
      <c r="J578" s="69">
        <v>5.0</v>
      </c>
      <c r="K578" s="69" t="str">
        <f>iferror(vlookup(E578,MasterClass!$C$2:$G988,5,false),"")</f>
        <v/>
      </c>
      <c r="L578" s="69">
        <v>4.0</v>
      </c>
      <c r="M578" s="69">
        <f t="shared" si="82"/>
        <v>8</v>
      </c>
      <c r="N578" s="69">
        <f t="shared" si="83"/>
        <v>7</v>
      </c>
      <c r="O578" s="146">
        <f t="shared" si="84"/>
        <v>0.875</v>
      </c>
      <c r="P578" s="146"/>
      <c r="Q578" s="70"/>
      <c r="R578" s="63"/>
      <c r="S578" s="63"/>
      <c r="T578" s="63"/>
      <c r="U578" s="63"/>
      <c r="V578" s="63"/>
      <c r="W578" s="63"/>
      <c r="X578" s="63"/>
      <c r="Y578" s="63"/>
      <c r="Z578" s="63"/>
      <c r="AA578" s="63"/>
      <c r="AB578" s="63"/>
      <c r="AC578" s="63"/>
      <c r="AD578" s="63"/>
      <c r="AE578" s="63"/>
      <c r="AF578" s="63"/>
      <c r="AG578" s="63"/>
      <c r="AH578" s="63"/>
      <c r="AI578" s="63"/>
      <c r="AJ578" s="63"/>
    </row>
    <row r="579">
      <c r="A579" s="135">
        <v>586.0</v>
      </c>
      <c r="B579" s="67">
        <v>39.0</v>
      </c>
      <c r="C579" s="31" t="s">
        <v>1041</v>
      </c>
      <c r="D579" s="68" t="s">
        <v>1673</v>
      </c>
      <c r="E579" s="71" t="s">
        <v>3033</v>
      </c>
      <c r="F579" s="69" t="s">
        <v>1635</v>
      </c>
      <c r="G579" s="69" t="s">
        <v>3015</v>
      </c>
      <c r="H579" s="145">
        <v>3.0</v>
      </c>
      <c r="I579" s="145">
        <v>2.0</v>
      </c>
      <c r="J579" s="69">
        <v>5.0</v>
      </c>
      <c r="K579" s="69" t="str">
        <f>iferror(vlookup(E579,MasterClass!$C$2:$G988,5,false),"")</f>
        <v/>
      </c>
      <c r="L579" s="69">
        <v>4.0</v>
      </c>
      <c r="M579" s="69">
        <f t="shared" si="82"/>
        <v>8</v>
      </c>
      <c r="N579" s="69">
        <f t="shared" si="83"/>
        <v>6</v>
      </c>
      <c r="O579" s="146">
        <f t="shared" si="84"/>
        <v>0.75</v>
      </c>
      <c r="P579" s="146"/>
      <c r="Q579" s="70"/>
      <c r="R579" s="63"/>
      <c r="S579" s="63"/>
      <c r="T579" s="63"/>
      <c r="U579" s="63"/>
      <c r="V579" s="63"/>
      <c r="W579" s="63"/>
      <c r="X579" s="63"/>
      <c r="Y579" s="63"/>
      <c r="Z579" s="63"/>
      <c r="AA579" s="63"/>
      <c r="AB579" s="63"/>
      <c r="AC579" s="63"/>
      <c r="AD579" s="63"/>
      <c r="AE579" s="63"/>
      <c r="AF579" s="63"/>
      <c r="AG579" s="63"/>
      <c r="AH579" s="63"/>
      <c r="AI579" s="63"/>
      <c r="AJ579" s="63"/>
    </row>
    <row r="580">
      <c r="A580" s="135">
        <v>587.0</v>
      </c>
      <c r="B580" s="67">
        <v>40.0</v>
      </c>
      <c r="C580" s="31" t="s">
        <v>1043</v>
      </c>
      <c r="D580" s="68" t="s">
        <v>1674</v>
      </c>
      <c r="E580" s="71" t="s">
        <v>3034</v>
      </c>
      <c r="F580" s="69" t="s">
        <v>1635</v>
      </c>
      <c r="G580" s="69" t="s">
        <v>3015</v>
      </c>
      <c r="H580" s="183"/>
      <c r="I580" s="183"/>
      <c r="J580" s="69">
        <v>5.0</v>
      </c>
      <c r="K580" s="69" t="str">
        <f>iferror(vlookup(E580,MasterClass!$C$2:$G988,5,false),"")</f>
        <v/>
      </c>
      <c r="L580" s="181">
        <v>2.0</v>
      </c>
      <c r="M580" s="69">
        <f t="shared" si="82"/>
        <v>5</v>
      </c>
      <c r="N580" s="69">
        <f t="shared" si="83"/>
        <v>2</v>
      </c>
      <c r="O580" s="146">
        <f t="shared" si="84"/>
        <v>0.4</v>
      </c>
      <c r="P580" s="146"/>
      <c r="Q580" s="70"/>
      <c r="R580" s="63"/>
      <c r="S580" s="63"/>
      <c r="T580" s="63"/>
      <c r="U580" s="63"/>
      <c r="V580" s="63"/>
      <c r="W580" s="63"/>
      <c r="X580" s="63"/>
      <c r="Y580" s="63"/>
      <c r="Z580" s="63"/>
      <c r="AA580" s="63"/>
      <c r="AB580" s="63"/>
      <c r="AC580" s="63"/>
      <c r="AD580" s="63"/>
      <c r="AE580" s="63"/>
      <c r="AF580" s="63"/>
      <c r="AG580" s="63"/>
      <c r="AH580" s="63"/>
      <c r="AI580" s="63"/>
      <c r="AJ580" s="63"/>
    </row>
    <row r="581">
      <c r="A581" s="135">
        <v>588.0</v>
      </c>
      <c r="B581" s="67">
        <v>41.0</v>
      </c>
      <c r="C581" s="31" t="s">
        <v>1045</v>
      </c>
      <c r="D581" s="68" t="s">
        <v>1675</v>
      </c>
      <c r="E581" s="71" t="s">
        <v>3035</v>
      </c>
      <c r="F581" s="69" t="s">
        <v>1635</v>
      </c>
      <c r="G581" s="69" t="s">
        <v>3015</v>
      </c>
      <c r="H581" s="183"/>
      <c r="I581" s="183"/>
      <c r="J581" s="69">
        <v>5.0</v>
      </c>
      <c r="K581" s="69" t="str">
        <f>iferror(vlookup(E581,MasterClass!$C$2:$G988,5,false),"")</f>
        <v/>
      </c>
      <c r="L581" s="181">
        <v>3.0</v>
      </c>
      <c r="M581" s="69">
        <f t="shared" si="82"/>
        <v>5</v>
      </c>
      <c r="N581" s="69">
        <f t="shared" si="83"/>
        <v>3</v>
      </c>
      <c r="O581" s="146">
        <f t="shared" si="84"/>
        <v>0.6</v>
      </c>
      <c r="P581" s="146"/>
      <c r="Q581" s="70"/>
      <c r="R581" s="63"/>
      <c r="S581" s="63"/>
      <c r="T581" s="63"/>
      <c r="U581" s="63"/>
      <c r="V581" s="63"/>
      <c r="W581" s="63"/>
      <c r="X581" s="63"/>
      <c r="Y581" s="63"/>
      <c r="Z581" s="63"/>
      <c r="AA581" s="63"/>
      <c r="AB581" s="63"/>
      <c r="AC581" s="63"/>
      <c r="AD581" s="63"/>
      <c r="AE581" s="63"/>
      <c r="AF581" s="63"/>
      <c r="AG581" s="63"/>
      <c r="AH581" s="63"/>
      <c r="AI581" s="63"/>
      <c r="AJ581" s="63"/>
    </row>
    <row r="582">
      <c r="A582" s="135">
        <v>589.0</v>
      </c>
      <c r="B582" s="67">
        <v>42.0</v>
      </c>
      <c r="C582" s="31" t="s">
        <v>1047</v>
      </c>
      <c r="D582" s="68" t="s">
        <v>1676</v>
      </c>
      <c r="E582" s="71" t="s">
        <v>3036</v>
      </c>
      <c r="F582" s="69" t="s">
        <v>1635</v>
      </c>
      <c r="G582" s="69" t="s">
        <v>3015</v>
      </c>
      <c r="H582" s="145">
        <v>3.0</v>
      </c>
      <c r="I582" s="145">
        <v>3.0</v>
      </c>
      <c r="J582" s="69">
        <v>5.0</v>
      </c>
      <c r="K582" s="69" t="str">
        <f>iferror(vlookup(E582,MasterClass!$C$2:$G988,5,false),"")</f>
        <v/>
      </c>
      <c r="L582" s="69">
        <v>1.0</v>
      </c>
      <c r="M582" s="69">
        <f t="shared" si="82"/>
        <v>8</v>
      </c>
      <c r="N582" s="69">
        <f t="shared" si="83"/>
        <v>4</v>
      </c>
      <c r="O582" s="146">
        <f t="shared" si="84"/>
        <v>0.5</v>
      </c>
      <c r="P582" s="146"/>
      <c r="Q582" s="70"/>
      <c r="R582" s="63"/>
      <c r="S582" s="63"/>
      <c r="T582" s="63"/>
      <c r="U582" s="63"/>
      <c r="V582" s="63"/>
      <c r="W582" s="63"/>
      <c r="X582" s="63"/>
      <c r="Y582" s="63"/>
      <c r="Z582" s="63"/>
      <c r="AA582" s="63"/>
      <c r="AB582" s="63"/>
      <c r="AC582" s="63"/>
      <c r="AD582" s="63"/>
      <c r="AE582" s="63"/>
      <c r="AF582" s="63"/>
      <c r="AG582" s="63"/>
      <c r="AH582" s="63"/>
      <c r="AI582" s="63"/>
      <c r="AJ582" s="63"/>
    </row>
    <row r="583">
      <c r="A583" s="135">
        <v>590.0</v>
      </c>
      <c r="B583" s="67">
        <v>43.0</v>
      </c>
      <c r="C583" s="31" t="s">
        <v>1049</v>
      </c>
      <c r="D583" s="68" t="s">
        <v>1677</v>
      </c>
      <c r="E583" s="71" t="s">
        <v>3037</v>
      </c>
      <c r="F583" s="69" t="s">
        <v>1635</v>
      </c>
      <c r="G583" s="69" t="s">
        <v>2551</v>
      </c>
      <c r="H583" s="145">
        <v>3.0</v>
      </c>
      <c r="I583" s="145">
        <v>0.0</v>
      </c>
      <c r="J583" s="69">
        <v>5.0</v>
      </c>
      <c r="K583" s="69" t="str">
        <f>iferror(vlookup(E583,MasterClass!$C$2:$G988,5,false),"")</f>
        <v/>
      </c>
      <c r="L583" s="181">
        <v>2.0</v>
      </c>
      <c r="M583" s="69">
        <f t="shared" si="82"/>
        <v>8</v>
      </c>
      <c r="N583" s="69">
        <f t="shared" si="83"/>
        <v>2</v>
      </c>
      <c r="O583" s="146">
        <f t="shared" si="84"/>
        <v>0.25</v>
      </c>
      <c r="P583" s="69" t="s">
        <v>2508</v>
      </c>
      <c r="Q583" s="69"/>
      <c r="R583" s="63"/>
      <c r="S583" s="63"/>
      <c r="T583" s="63"/>
      <c r="U583" s="63"/>
      <c r="V583" s="63"/>
      <c r="W583" s="63"/>
      <c r="X583" s="63"/>
      <c r="Y583" s="63"/>
      <c r="Z583" s="63"/>
      <c r="AA583" s="63"/>
      <c r="AB583" s="63"/>
      <c r="AC583" s="63"/>
      <c r="AD583" s="63"/>
      <c r="AE583" s="63"/>
      <c r="AF583" s="63"/>
      <c r="AG583" s="63"/>
      <c r="AH583" s="63"/>
      <c r="AI583" s="63"/>
      <c r="AJ583" s="63"/>
    </row>
    <row r="584">
      <c r="A584" s="135">
        <v>591.0</v>
      </c>
      <c r="B584" s="67">
        <v>44.0</v>
      </c>
      <c r="C584" s="31" t="s">
        <v>1051</v>
      </c>
      <c r="D584" s="68" t="s">
        <v>1678</v>
      </c>
      <c r="E584" s="71" t="s">
        <v>3038</v>
      </c>
      <c r="F584" s="69" t="s">
        <v>1635</v>
      </c>
      <c r="G584" s="69" t="s">
        <v>3015</v>
      </c>
      <c r="H584" s="145">
        <v>3.0</v>
      </c>
      <c r="I584" s="145">
        <v>2.0</v>
      </c>
      <c r="J584" s="69">
        <v>5.0</v>
      </c>
      <c r="K584" s="69" t="str">
        <f>iferror(vlookup(E584,MasterClass!$C$2:$G988,5,false),"")</f>
        <v/>
      </c>
      <c r="L584" s="69">
        <v>3.0</v>
      </c>
      <c r="M584" s="69">
        <f t="shared" si="82"/>
        <v>8</v>
      </c>
      <c r="N584" s="69">
        <f t="shared" si="83"/>
        <v>5</v>
      </c>
      <c r="O584" s="146">
        <f t="shared" si="84"/>
        <v>0.625</v>
      </c>
      <c r="P584" s="146"/>
      <c r="Q584" s="70"/>
      <c r="R584" s="63"/>
      <c r="S584" s="63"/>
      <c r="T584" s="63"/>
      <c r="U584" s="63"/>
      <c r="V584" s="63"/>
      <c r="W584" s="63"/>
      <c r="X584" s="63"/>
      <c r="Y584" s="63"/>
      <c r="Z584" s="63"/>
      <c r="AA584" s="63"/>
      <c r="AB584" s="63"/>
      <c r="AC584" s="63"/>
      <c r="AD584" s="63"/>
      <c r="AE584" s="63"/>
      <c r="AF584" s="63"/>
      <c r="AG584" s="63"/>
      <c r="AH584" s="63"/>
      <c r="AI584" s="63"/>
      <c r="AJ584" s="63"/>
    </row>
    <row r="585">
      <c r="A585" s="135">
        <v>592.0</v>
      </c>
      <c r="B585" s="67">
        <v>45.0</v>
      </c>
      <c r="C585" s="31" t="s">
        <v>1053</v>
      </c>
      <c r="D585" s="68" t="s">
        <v>1679</v>
      </c>
      <c r="E585" s="71" t="s">
        <v>3039</v>
      </c>
      <c r="F585" s="69" t="s">
        <v>1635</v>
      </c>
      <c r="G585" s="69" t="s">
        <v>1187</v>
      </c>
      <c r="H585" s="145" t="s">
        <v>1187</v>
      </c>
      <c r="I585" s="145" t="s">
        <v>1187</v>
      </c>
      <c r="J585" s="69" t="s">
        <v>1187</v>
      </c>
      <c r="K585" s="69" t="s">
        <v>1187</v>
      </c>
      <c r="L585" s="69" t="s">
        <v>1187</v>
      </c>
      <c r="M585" s="69" t="s">
        <v>1187</v>
      </c>
      <c r="N585" s="69" t="s">
        <v>1187</v>
      </c>
      <c r="O585" s="69" t="s">
        <v>1187</v>
      </c>
      <c r="P585" s="69" t="s">
        <v>2522</v>
      </c>
      <c r="Q585" s="70"/>
      <c r="R585" s="63"/>
      <c r="S585" s="63"/>
      <c r="T585" s="63"/>
      <c r="U585" s="63"/>
      <c r="V585" s="63"/>
      <c r="W585" s="63"/>
      <c r="X585" s="63"/>
      <c r="Y585" s="63"/>
      <c r="Z585" s="63"/>
      <c r="AA585" s="63"/>
      <c r="AB585" s="63"/>
      <c r="AC585" s="63"/>
      <c r="AD585" s="63"/>
      <c r="AE585" s="63"/>
      <c r="AF585" s="63"/>
      <c r="AG585" s="63"/>
      <c r="AH585" s="63"/>
      <c r="AI585" s="63"/>
      <c r="AJ585" s="63"/>
    </row>
    <row r="586">
      <c r="A586" s="135">
        <v>593.0</v>
      </c>
      <c r="B586" s="67">
        <v>46.0</v>
      </c>
      <c r="C586" s="31" t="s">
        <v>1055</v>
      </c>
      <c r="D586" s="68" t="s">
        <v>1680</v>
      </c>
      <c r="E586" s="71" t="s">
        <v>3040</v>
      </c>
      <c r="F586" s="69" t="s">
        <v>1635</v>
      </c>
      <c r="G586" s="69" t="s">
        <v>1187</v>
      </c>
      <c r="H586" s="145" t="s">
        <v>1187</v>
      </c>
      <c r="I586" s="145" t="s">
        <v>1187</v>
      </c>
      <c r="J586" s="69" t="s">
        <v>1187</v>
      </c>
      <c r="K586" s="69" t="s">
        <v>1187</v>
      </c>
      <c r="L586" s="69" t="s">
        <v>1187</v>
      </c>
      <c r="M586" s="69" t="s">
        <v>1187</v>
      </c>
      <c r="N586" s="69" t="s">
        <v>1187</v>
      </c>
      <c r="O586" s="69" t="s">
        <v>1187</v>
      </c>
      <c r="P586" s="69" t="s">
        <v>2522</v>
      </c>
      <c r="Q586" s="70"/>
      <c r="R586" s="63"/>
      <c r="S586" s="63"/>
      <c r="T586" s="63"/>
      <c r="U586" s="63"/>
      <c r="V586" s="63"/>
      <c r="W586" s="63"/>
      <c r="X586" s="63"/>
      <c r="Y586" s="63"/>
      <c r="Z586" s="63"/>
      <c r="AA586" s="63"/>
      <c r="AB586" s="63"/>
      <c r="AC586" s="63"/>
      <c r="AD586" s="63"/>
      <c r="AE586" s="63"/>
      <c r="AF586" s="63"/>
      <c r="AG586" s="63"/>
      <c r="AH586" s="63"/>
      <c r="AI586" s="63"/>
      <c r="AJ586" s="63"/>
    </row>
    <row r="587">
      <c r="A587" s="135">
        <v>594.0</v>
      </c>
      <c r="B587" s="67">
        <v>47.0</v>
      </c>
      <c r="C587" s="31" t="s">
        <v>1057</v>
      </c>
      <c r="D587" s="68" t="s">
        <v>1681</v>
      </c>
      <c r="E587" s="71" t="s">
        <v>3041</v>
      </c>
      <c r="F587" s="69" t="s">
        <v>1635</v>
      </c>
      <c r="G587" s="69" t="s">
        <v>2995</v>
      </c>
      <c r="H587" s="145">
        <v>3.0</v>
      </c>
      <c r="I587" s="145">
        <v>3.0</v>
      </c>
      <c r="J587" s="69">
        <v>5.0</v>
      </c>
      <c r="K587" s="69" t="str">
        <f>iferror(vlookup(E587,MasterClass!$C$2:$G988,5,false),"")</f>
        <v/>
      </c>
      <c r="L587" s="181">
        <v>4.0</v>
      </c>
      <c r="M587" s="69">
        <f t="shared" ref="M587:M588" si="85">J587+H587</f>
        <v>8</v>
      </c>
      <c r="N587" s="69">
        <f t="shared" ref="N587:N588" si="86">I587+L587+K587</f>
        <v>7</v>
      </c>
      <c r="O587" s="146">
        <f t="shared" ref="O587:O588" si="87">N587/M587</f>
        <v>0.875</v>
      </c>
      <c r="P587" s="146"/>
      <c r="Q587" s="70"/>
      <c r="R587" s="63"/>
      <c r="S587" s="63"/>
      <c r="T587" s="63"/>
      <c r="U587" s="63"/>
      <c r="V587" s="63"/>
      <c r="W587" s="63"/>
      <c r="X587" s="63"/>
      <c r="Y587" s="63"/>
      <c r="Z587" s="63"/>
      <c r="AA587" s="63"/>
      <c r="AB587" s="63"/>
      <c r="AC587" s="63"/>
      <c r="AD587" s="63"/>
      <c r="AE587" s="63"/>
      <c r="AF587" s="63"/>
      <c r="AG587" s="63"/>
      <c r="AH587" s="63"/>
      <c r="AI587" s="63"/>
      <c r="AJ587" s="63"/>
    </row>
    <row r="588">
      <c r="A588" s="135">
        <v>595.0</v>
      </c>
      <c r="B588" s="67">
        <v>48.0</v>
      </c>
      <c r="C588" s="31" t="s">
        <v>1059</v>
      </c>
      <c r="D588" s="68" t="s">
        <v>1682</v>
      </c>
      <c r="E588" s="71" t="s">
        <v>3042</v>
      </c>
      <c r="F588" s="69" t="s">
        <v>1635</v>
      </c>
      <c r="G588" s="69" t="s">
        <v>3015</v>
      </c>
      <c r="H588" s="145">
        <v>3.0</v>
      </c>
      <c r="I588" s="145">
        <v>2.0</v>
      </c>
      <c r="J588" s="69">
        <v>5.0</v>
      </c>
      <c r="K588" s="69" t="str">
        <f>iferror(vlookup(E588,MasterClass!$C$2:$G988,5,false),"")</f>
        <v/>
      </c>
      <c r="L588" s="69">
        <v>4.0</v>
      </c>
      <c r="M588" s="69">
        <f t="shared" si="85"/>
        <v>8</v>
      </c>
      <c r="N588" s="69">
        <f t="shared" si="86"/>
        <v>6</v>
      </c>
      <c r="O588" s="146">
        <f t="shared" si="87"/>
        <v>0.75</v>
      </c>
      <c r="P588" s="146"/>
      <c r="Q588" s="70"/>
      <c r="R588" s="63"/>
      <c r="S588" s="63"/>
      <c r="T588" s="63"/>
      <c r="U588" s="63"/>
      <c r="V588" s="63"/>
      <c r="W588" s="63"/>
      <c r="X588" s="63"/>
      <c r="Y588" s="63"/>
      <c r="Z588" s="63"/>
      <c r="AA588" s="63"/>
      <c r="AB588" s="63"/>
      <c r="AC588" s="63"/>
      <c r="AD588" s="63"/>
      <c r="AE588" s="63"/>
      <c r="AF588" s="63"/>
      <c r="AG588" s="63"/>
      <c r="AH588" s="63"/>
      <c r="AI588" s="63"/>
      <c r="AJ588" s="63"/>
    </row>
    <row r="589">
      <c r="A589" s="135">
        <v>596.0</v>
      </c>
      <c r="B589" s="63"/>
      <c r="C589" s="63"/>
      <c r="D589" s="63"/>
      <c r="E589" s="149"/>
      <c r="F589" s="63"/>
      <c r="G589" s="63"/>
      <c r="H589" s="63"/>
      <c r="I589" s="63"/>
      <c r="J589" s="63"/>
      <c r="K589" s="150" t="str">
        <f>iferror(vlookup(E589,MasterClass!$C$2:$G988,5,false),"")</f>
        <v/>
      </c>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row>
    <row r="590">
      <c r="A590" s="135">
        <v>597.0</v>
      </c>
      <c r="B590" s="62" t="s">
        <v>3</v>
      </c>
      <c r="C590" s="63"/>
      <c r="D590" s="62" t="s">
        <v>4</v>
      </c>
      <c r="E590" s="149" t="s">
        <v>4</v>
      </c>
      <c r="F590" s="63"/>
      <c r="G590" s="63"/>
      <c r="H590" s="63"/>
      <c r="I590" s="63"/>
      <c r="J590" s="63"/>
      <c r="K590" s="150" t="str">
        <f>iferror(vlookup(E590,MasterClass!$C$2:$G988,5,false),"")</f>
        <v/>
      </c>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row>
    <row r="591">
      <c r="A591" s="135">
        <v>598.0</v>
      </c>
      <c r="B591" s="62" t="s">
        <v>5</v>
      </c>
      <c r="C591" s="63"/>
      <c r="D591" s="62" t="s">
        <v>1062</v>
      </c>
      <c r="E591" s="149" t="s">
        <v>1062</v>
      </c>
      <c r="F591" s="63"/>
      <c r="G591" s="63"/>
      <c r="H591" s="63"/>
      <c r="I591" s="63"/>
      <c r="J591" s="63"/>
      <c r="K591" s="150" t="str">
        <f>iferror(vlookup(E591,MasterClass!$C$2:$G988,5,false),"")</f>
        <v/>
      </c>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row>
    <row r="592">
      <c r="A592" s="135">
        <v>599.0</v>
      </c>
      <c r="B592" s="62" t="s">
        <v>7</v>
      </c>
      <c r="C592" s="63"/>
      <c r="D592" s="62" t="s">
        <v>8</v>
      </c>
      <c r="E592" s="149" t="s">
        <v>8</v>
      </c>
      <c r="F592" s="63"/>
      <c r="G592" s="63"/>
      <c r="H592" s="63"/>
      <c r="I592" s="63"/>
      <c r="J592" s="63"/>
      <c r="K592" s="150" t="str">
        <f>iferror(vlookup(E592,MasterClass!$C$2:$G988,5,false),"")</f>
        <v/>
      </c>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row>
    <row r="593" ht="15.75" customHeight="1">
      <c r="A593" s="135">
        <v>600.0</v>
      </c>
      <c r="B593" s="63"/>
      <c r="C593" s="63"/>
      <c r="D593" s="63"/>
      <c r="E593" s="149"/>
      <c r="F593" s="63"/>
      <c r="G593" s="63"/>
      <c r="H593" s="63"/>
      <c r="I593" s="63"/>
      <c r="J593" s="63"/>
      <c r="K593" s="150" t="str">
        <f>iferror(vlookup(E593,MasterClass!$C$2:$G988,5,false),"")</f>
        <v/>
      </c>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row>
    <row r="594">
      <c r="A594" s="135">
        <v>602.0</v>
      </c>
      <c r="B594" s="80" t="s">
        <v>9</v>
      </c>
      <c r="C594" s="81" t="s">
        <v>10</v>
      </c>
      <c r="D594" s="80" t="s">
        <v>11</v>
      </c>
      <c r="E594" s="174"/>
      <c r="F594" s="85" t="s">
        <v>5</v>
      </c>
      <c r="G594" s="175"/>
      <c r="H594" s="153" t="s">
        <v>2492</v>
      </c>
      <c r="I594" s="175"/>
      <c r="J594" s="154" t="s">
        <v>2493</v>
      </c>
      <c r="K594" s="175"/>
      <c r="L594" s="175"/>
      <c r="M594" s="176" t="s">
        <v>2489</v>
      </c>
      <c r="N594" s="85" t="s">
        <v>2490</v>
      </c>
      <c r="O594" s="162" t="s">
        <v>18</v>
      </c>
      <c r="P594" s="82" t="s">
        <v>2491</v>
      </c>
      <c r="Q594" s="83" t="s">
        <v>19</v>
      </c>
      <c r="R594" s="63"/>
      <c r="S594" s="63"/>
      <c r="T594" s="63"/>
      <c r="U594" s="63"/>
      <c r="V594" s="63"/>
      <c r="W594" s="63"/>
      <c r="X594" s="63"/>
      <c r="Y594" s="63"/>
      <c r="Z594" s="63"/>
      <c r="AA594" s="63"/>
      <c r="AB594" s="63"/>
      <c r="AC594" s="63"/>
      <c r="AD594" s="63"/>
      <c r="AE594" s="63"/>
      <c r="AF594" s="63"/>
      <c r="AG594" s="63"/>
      <c r="AH594" s="63"/>
      <c r="AI594" s="63"/>
      <c r="AJ594" s="63"/>
    </row>
    <row r="595">
      <c r="A595" s="135">
        <v>603.0</v>
      </c>
      <c r="B595" s="20"/>
      <c r="C595" s="20"/>
      <c r="D595" s="20"/>
      <c r="E595" s="174"/>
      <c r="F595" s="20"/>
      <c r="G595" s="164" t="s">
        <v>2483</v>
      </c>
      <c r="H595" s="158" t="s">
        <v>2484</v>
      </c>
      <c r="I595" s="164" t="s">
        <v>2485</v>
      </c>
      <c r="J595" s="165" t="s">
        <v>2486</v>
      </c>
      <c r="K595" s="166" t="s">
        <v>2487</v>
      </c>
      <c r="L595" s="164" t="s">
        <v>2488</v>
      </c>
      <c r="M595" s="20"/>
      <c r="N595" s="20"/>
      <c r="O595" s="20"/>
      <c r="P595" s="20"/>
      <c r="Q595" s="20"/>
      <c r="R595" s="63"/>
      <c r="S595" s="63"/>
      <c r="T595" s="63"/>
      <c r="U595" s="63"/>
      <c r="V595" s="63"/>
      <c r="W595" s="63"/>
      <c r="X595" s="63"/>
      <c r="Y595" s="63"/>
      <c r="Z595" s="63"/>
      <c r="AA595" s="63"/>
      <c r="AB595" s="63"/>
      <c r="AC595" s="63"/>
      <c r="AD595" s="63"/>
      <c r="AE595" s="63"/>
      <c r="AF595" s="63"/>
      <c r="AG595" s="63"/>
      <c r="AH595" s="63"/>
      <c r="AI595" s="63"/>
      <c r="AJ595" s="63"/>
    </row>
    <row r="596">
      <c r="A596" s="135">
        <v>604.0</v>
      </c>
      <c r="B596" s="67">
        <v>1.0</v>
      </c>
      <c r="C596" s="31" t="s">
        <v>1064</v>
      </c>
      <c r="D596" s="68" t="s">
        <v>1683</v>
      </c>
      <c r="E596" s="71" t="s">
        <v>3043</v>
      </c>
      <c r="F596" s="69" t="s">
        <v>1684</v>
      </c>
      <c r="G596" s="69" t="s">
        <v>3044</v>
      </c>
      <c r="H596" s="145">
        <v>2.0</v>
      </c>
      <c r="I596" s="145">
        <v>2.0</v>
      </c>
      <c r="J596" s="69">
        <v>5.0</v>
      </c>
      <c r="K596" s="69" t="str">
        <f>iferror(vlookup(E596,MasterClass!$C$2:$G988,5,false),"")</f>
        <v/>
      </c>
      <c r="L596" s="69">
        <v>1.0</v>
      </c>
      <c r="M596" s="69">
        <f t="shared" ref="M596:M603" si="88">J596+H596</f>
        <v>7</v>
      </c>
      <c r="N596" s="69">
        <f t="shared" ref="N596:N603" si="89">I596+L596+K596</f>
        <v>3</v>
      </c>
      <c r="O596" s="146">
        <f t="shared" ref="O596:O603" si="90">N596/M596</f>
        <v>0.4285714286</v>
      </c>
      <c r="P596" s="146"/>
      <c r="Q596" s="70"/>
      <c r="R596" s="63"/>
      <c r="S596" s="63"/>
      <c r="T596" s="63"/>
      <c r="U596" s="63"/>
      <c r="V596" s="63"/>
      <c r="W596" s="63"/>
      <c r="X596" s="63"/>
      <c r="Y596" s="63"/>
      <c r="Z596" s="63"/>
      <c r="AA596" s="63"/>
      <c r="AB596" s="63"/>
      <c r="AC596" s="63"/>
      <c r="AD596" s="63"/>
      <c r="AE596" s="63"/>
      <c r="AF596" s="63"/>
      <c r="AG596" s="63"/>
      <c r="AH596" s="63"/>
      <c r="AI596" s="63"/>
      <c r="AJ596" s="63"/>
    </row>
    <row r="597">
      <c r="A597" s="135">
        <v>605.0</v>
      </c>
      <c r="B597" s="67">
        <v>2.0</v>
      </c>
      <c r="C597" s="31" t="s">
        <v>1066</v>
      </c>
      <c r="D597" s="68" t="s">
        <v>1685</v>
      </c>
      <c r="E597" s="71" t="s">
        <v>3045</v>
      </c>
      <c r="F597" s="69" t="s">
        <v>1684</v>
      </c>
      <c r="G597" s="69" t="s">
        <v>3046</v>
      </c>
      <c r="H597" s="145">
        <v>2.0</v>
      </c>
      <c r="I597" s="145">
        <v>2.0</v>
      </c>
      <c r="J597" s="69">
        <v>5.0</v>
      </c>
      <c r="K597" s="69" t="str">
        <f>iferror(vlookup(E597,MasterClass!$C$2:$G988,5,false),"")</f>
        <v/>
      </c>
      <c r="L597" s="181">
        <v>0.0</v>
      </c>
      <c r="M597" s="69">
        <f t="shared" si="88"/>
        <v>7</v>
      </c>
      <c r="N597" s="69">
        <f t="shared" si="89"/>
        <v>2</v>
      </c>
      <c r="O597" s="146">
        <f t="shared" si="90"/>
        <v>0.2857142857</v>
      </c>
      <c r="P597" s="146"/>
      <c r="Q597" s="70"/>
      <c r="R597" s="63"/>
      <c r="S597" s="63"/>
      <c r="T597" s="63"/>
      <c r="U597" s="63"/>
      <c r="V597" s="63"/>
      <c r="W597" s="63"/>
      <c r="X597" s="63"/>
      <c r="Y597" s="63"/>
      <c r="Z597" s="63"/>
      <c r="AA597" s="63"/>
      <c r="AB597" s="63"/>
      <c r="AC597" s="63"/>
      <c r="AD597" s="63"/>
      <c r="AE597" s="63"/>
      <c r="AF597" s="63"/>
      <c r="AG597" s="63"/>
      <c r="AH597" s="63"/>
      <c r="AI597" s="63"/>
      <c r="AJ597" s="63"/>
    </row>
    <row r="598">
      <c r="A598" s="135">
        <v>606.0</v>
      </c>
      <c r="B598" s="67">
        <v>3.0</v>
      </c>
      <c r="C598" s="31" t="s">
        <v>1068</v>
      </c>
      <c r="D598" s="68" t="s">
        <v>1686</v>
      </c>
      <c r="E598" s="71" t="s">
        <v>3047</v>
      </c>
      <c r="F598" s="69" t="s">
        <v>1684</v>
      </c>
      <c r="G598" s="69" t="s">
        <v>3046</v>
      </c>
      <c r="H598" s="145">
        <v>2.0</v>
      </c>
      <c r="I598" s="145">
        <v>2.0</v>
      </c>
      <c r="J598" s="69">
        <v>5.0</v>
      </c>
      <c r="K598" s="69" t="str">
        <f>iferror(vlookup(E598,MasterClass!$C$2:$G988,5,false),"")</f>
        <v/>
      </c>
      <c r="L598" s="181">
        <v>0.0</v>
      </c>
      <c r="M598" s="69">
        <f t="shared" si="88"/>
        <v>7</v>
      </c>
      <c r="N598" s="69">
        <f t="shared" si="89"/>
        <v>2</v>
      </c>
      <c r="O598" s="146">
        <f t="shared" si="90"/>
        <v>0.2857142857</v>
      </c>
      <c r="P598" s="146"/>
      <c r="Q598" s="70"/>
      <c r="R598" s="63"/>
      <c r="S598" s="63"/>
      <c r="T598" s="63"/>
      <c r="U598" s="63"/>
      <c r="V598" s="63"/>
      <c r="W598" s="63"/>
      <c r="X598" s="63"/>
      <c r="Y598" s="63"/>
      <c r="Z598" s="63"/>
      <c r="AA598" s="63"/>
      <c r="AB598" s="63"/>
      <c r="AC598" s="63"/>
      <c r="AD598" s="63"/>
      <c r="AE598" s="63"/>
      <c r="AF598" s="63"/>
      <c r="AG598" s="63"/>
      <c r="AH598" s="63"/>
      <c r="AI598" s="63"/>
      <c r="AJ598" s="63"/>
    </row>
    <row r="599">
      <c r="A599" s="135">
        <v>607.0</v>
      </c>
      <c r="B599" s="67">
        <v>4.0</v>
      </c>
      <c r="C599" s="31" t="s">
        <v>1070</v>
      </c>
      <c r="D599" s="68" t="s">
        <v>1687</v>
      </c>
      <c r="E599" s="71" t="s">
        <v>3048</v>
      </c>
      <c r="F599" s="69" t="s">
        <v>1684</v>
      </c>
      <c r="G599" s="69" t="s">
        <v>3046</v>
      </c>
      <c r="H599" s="145">
        <v>2.0</v>
      </c>
      <c r="I599" s="145">
        <v>2.0</v>
      </c>
      <c r="J599" s="69">
        <v>5.0</v>
      </c>
      <c r="K599" s="69" t="str">
        <f>iferror(vlookup(E599,MasterClass!$C$2:$G988,5,false),"")</f>
        <v/>
      </c>
      <c r="L599" s="181">
        <v>1.0</v>
      </c>
      <c r="M599" s="69">
        <f t="shared" si="88"/>
        <v>7</v>
      </c>
      <c r="N599" s="69">
        <f t="shared" si="89"/>
        <v>3</v>
      </c>
      <c r="O599" s="146">
        <f t="shared" si="90"/>
        <v>0.4285714286</v>
      </c>
      <c r="P599" s="146"/>
      <c r="Q599" s="70"/>
      <c r="R599" s="63"/>
      <c r="S599" s="63"/>
      <c r="T599" s="63"/>
      <c r="U599" s="63"/>
      <c r="V599" s="63"/>
      <c r="W599" s="63"/>
      <c r="X599" s="63"/>
      <c r="Y599" s="63"/>
      <c r="Z599" s="63"/>
      <c r="AA599" s="63"/>
      <c r="AB599" s="63"/>
      <c r="AC599" s="63"/>
      <c r="AD599" s="63"/>
      <c r="AE599" s="63"/>
      <c r="AF599" s="63"/>
      <c r="AG599" s="63"/>
      <c r="AH599" s="63"/>
      <c r="AI599" s="63"/>
      <c r="AJ599" s="63"/>
    </row>
    <row r="600">
      <c r="A600" s="135">
        <v>608.0</v>
      </c>
      <c r="B600" s="67">
        <v>5.0</v>
      </c>
      <c r="C600" s="31" t="s">
        <v>1072</v>
      </c>
      <c r="D600" s="68" t="s">
        <v>1688</v>
      </c>
      <c r="E600" s="71" t="s">
        <v>3049</v>
      </c>
      <c r="F600" s="69" t="s">
        <v>1684</v>
      </c>
      <c r="G600" s="69" t="s">
        <v>3046</v>
      </c>
      <c r="H600" s="145">
        <v>2.0</v>
      </c>
      <c r="I600" s="145">
        <v>2.0</v>
      </c>
      <c r="J600" s="69">
        <v>5.0</v>
      </c>
      <c r="K600" s="69" t="str">
        <f>iferror(vlookup(E600,MasterClass!$C$2:$G988,5,false),"")</f>
        <v/>
      </c>
      <c r="L600" s="181">
        <v>0.0</v>
      </c>
      <c r="M600" s="69">
        <f t="shared" si="88"/>
        <v>7</v>
      </c>
      <c r="N600" s="69">
        <f t="shared" si="89"/>
        <v>2</v>
      </c>
      <c r="O600" s="146">
        <f t="shared" si="90"/>
        <v>0.2857142857</v>
      </c>
      <c r="P600" s="146"/>
      <c r="Q600" s="70"/>
      <c r="R600" s="63"/>
      <c r="S600" s="63"/>
      <c r="T600" s="63"/>
      <c r="U600" s="63"/>
      <c r="V600" s="63"/>
      <c r="W600" s="63"/>
      <c r="X600" s="63"/>
      <c r="Y600" s="63"/>
      <c r="Z600" s="63"/>
      <c r="AA600" s="63"/>
      <c r="AB600" s="63"/>
      <c r="AC600" s="63"/>
      <c r="AD600" s="63"/>
      <c r="AE600" s="63"/>
      <c r="AF600" s="63"/>
      <c r="AG600" s="63"/>
      <c r="AH600" s="63"/>
      <c r="AI600" s="63"/>
      <c r="AJ600" s="63"/>
    </row>
    <row r="601">
      <c r="A601" s="135">
        <v>609.0</v>
      </c>
      <c r="B601" s="67">
        <v>6.0</v>
      </c>
      <c r="C601" s="31" t="s">
        <v>1074</v>
      </c>
      <c r="D601" s="68" t="s">
        <v>1689</v>
      </c>
      <c r="E601" s="71" t="s">
        <v>3050</v>
      </c>
      <c r="F601" s="69" t="s">
        <v>1684</v>
      </c>
      <c r="G601" s="69" t="s">
        <v>3046</v>
      </c>
      <c r="H601" s="145">
        <v>2.0</v>
      </c>
      <c r="I601" s="145">
        <v>2.0</v>
      </c>
      <c r="J601" s="69">
        <v>5.0</v>
      </c>
      <c r="K601" s="69" t="str">
        <f>iferror(vlookup(E601,MasterClass!$C$2:$G988,5,false),"")</f>
        <v/>
      </c>
      <c r="L601" s="181">
        <v>1.0</v>
      </c>
      <c r="M601" s="69">
        <f t="shared" si="88"/>
        <v>7</v>
      </c>
      <c r="N601" s="69">
        <f t="shared" si="89"/>
        <v>3</v>
      </c>
      <c r="O601" s="146">
        <f t="shared" si="90"/>
        <v>0.4285714286</v>
      </c>
      <c r="P601" s="146"/>
      <c r="Q601" s="70"/>
      <c r="R601" s="63"/>
      <c r="S601" s="63"/>
      <c r="T601" s="63"/>
      <c r="U601" s="63"/>
      <c r="V601" s="63"/>
      <c r="W601" s="63"/>
      <c r="X601" s="63"/>
      <c r="Y601" s="63"/>
      <c r="Z601" s="63"/>
      <c r="AA601" s="63"/>
      <c r="AB601" s="63"/>
      <c r="AC601" s="63"/>
      <c r="AD601" s="63"/>
      <c r="AE601" s="63"/>
      <c r="AF601" s="63"/>
      <c r="AG601" s="63"/>
      <c r="AH601" s="63"/>
      <c r="AI601" s="63"/>
      <c r="AJ601" s="63"/>
    </row>
    <row r="602">
      <c r="A602" s="135">
        <v>610.0</v>
      </c>
      <c r="B602" s="67">
        <v>7.0</v>
      </c>
      <c r="C602" s="31" t="s">
        <v>1076</v>
      </c>
      <c r="D602" s="68" t="s">
        <v>1690</v>
      </c>
      <c r="E602" s="71" t="s">
        <v>3051</v>
      </c>
      <c r="F602" s="69" t="s">
        <v>1684</v>
      </c>
      <c r="G602" s="69" t="s">
        <v>3044</v>
      </c>
      <c r="H602" s="145">
        <v>2.0</v>
      </c>
      <c r="I602" s="145">
        <v>2.0</v>
      </c>
      <c r="J602" s="69">
        <v>5.0</v>
      </c>
      <c r="K602" s="69" t="str">
        <f>iferror(vlookup(E602,MasterClass!$C$2:$G988,5,false),"")</f>
        <v/>
      </c>
      <c r="L602" s="181">
        <v>1.0</v>
      </c>
      <c r="M602" s="69">
        <f t="shared" si="88"/>
        <v>7</v>
      </c>
      <c r="N602" s="69">
        <f t="shared" si="89"/>
        <v>3</v>
      </c>
      <c r="O602" s="146">
        <f t="shared" si="90"/>
        <v>0.4285714286</v>
      </c>
      <c r="P602" s="146"/>
      <c r="Q602" s="70"/>
      <c r="R602" s="63"/>
      <c r="S602" s="63"/>
      <c r="T602" s="63"/>
      <c r="U602" s="63"/>
      <c r="V602" s="63"/>
      <c r="W602" s="63"/>
      <c r="X602" s="63"/>
      <c r="Y602" s="63"/>
      <c r="Z602" s="63"/>
      <c r="AA602" s="63"/>
      <c r="AB602" s="63"/>
      <c r="AC602" s="63"/>
      <c r="AD602" s="63"/>
      <c r="AE602" s="63"/>
      <c r="AF602" s="63"/>
      <c r="AG602" s="63"/>
      <c r="AH602" s="63"/>
      <c r="AI602" s="63"/>
      <c r="AJ602" s="63"/>
    </row>
    <row r="603">
      <c r="A603" s="135">
        <v>611.0</v>
      </c>
      <c r="B603" s="67">
        <v>8.0</v>
      </c>
      <c r="C603" s="31" t="s">
        <v>1078</v>
      </c>
      <c r="D603" s="68" t="s">
        <v>1691</v>
      </c>
      <c r="E603" s="71" t="s">
        <v>3052</v>
      </c>
      <c r="F603" s="69" t="s">
        <v>1684</v>
      </c>
      <c r="G603" s="69" t="s">
        <v>3046</v>
      </c>
      <c r="H603" s="145">
        <v>2.0</v>
      </c>
      <c r="I603" s="145">
        <v>2.0</v>
      </c>
      <c r="J603" s="69">
        <v>5.0</v>
      </c>
      <c r="K603" s="69" t="str">
        <f>iferror(vlookup(E603,MasterClass!$C$2:$G988,5,false),"")</f>
        <v/>
      </c>
      <c r="L603" s="181">
        <v>1.0</v>
      </c>
      <c r="M603" s="69">
        <f t="shared" si="88"/>
        <v>7</v>
      </c>
      <c r="N603" s="69">
        <f t="shared" si="89"/>
        <v>3</v>
      </c>
      <c r="O603" s="146">
        <f t="shared" si="90"/>
        <v>0.4285714286</v>
      </c>
      <c r="P603" s="146"/>
      <c r="Q603" s="70"/>
      <c r="R603" s="63"/>
      <c r="S603" s="63"/>
      <c r="T603" s="63"/>
      <c r="U603" s="63"/>
      <c r="V603" s="63"/>
      <c r="W603" s="63"/>
      <c r="X603" s="63"/>
      <c r="Y603" s="63"/>
      <c r="Z603" s="63"/>
      <c r="AA603" s="63"/>
      <c r="AB603" s="63"/>
      <c r="AC603" s="63"/>
      <c r="AD603" s="63"/>
      <c r="AE603" s="63"/>
      <c r="AF603" s="63"/>
      <c r="AG603" s="63"/>
      <c r="AH603" s="63"/>
      <c r="AI603" s="63"/>
      <c r="AJ603" s="63"/>
    </row>
    <row r="604">
      <c r="A604" s="135">
        <v>612.0</v>
      </c>
      <c r="B604" s="67">
        <v>9.0</v>
      </c>
      <c r="C604" s="31" t="s">
        <v>1080</v>
      </c>
      <c r="D604" s="68" t="s">
        <v>1692</v>
      </c>
      <c r="E604" s="71" t="s">
        <v>3053</v>
      </c>
      <c r="F604" s="69" t="s">
        <v>1684</v>
      </c>
      <c r="G604" s="69" t="s">
        <v>1187</v>
      </c>
      <c r="H604" s="145" t="s">
        <v>1187</v>
      </c>
      <c r="I604" s="145" t="s">
        <v>1187</v>
      </c>
      <c r="J604" s="69" t="s">
        <v>1187</v>
      </c>
      <c r="K604" s="69" t="s">
        <v>1187</v>
      </c>
      <c r="L604" s="69" t="s">
        <v>1187</v>
      </c>
      <c r="M604" s="69" t="s">
        <v>1187</v>
      </c>
      <c r="N604" s="69" t="s">
        <v>1187</v>
      </c>
      <c r="O604" s="69" t="s">
        <v>1187</v>
      </c>
      <c r="P604" s="69" t="s">
        <v>2522</v>
      </c>
      <c r="Q604" s="70"/>
      <c r="R604" s="63"/>
      <c r="S604" s="63"/>
      <c r="T604" s="63"/>
      <c r="U604" s="63"/>
      <c r="V604" s="63"/>
      <c r="W604" s="63"/>
      <c r="X604" s="63"/>
      <c r="Y604" s="63"/>
      <c r="Z604" s="63"/>
      <c r="AA604" s="63"/>
      <c r="AB604" s="63"/>
      <c r="AC604" s="63"/>
      <c r="AD604" s="63"/>
      <c r="AE604" s="63"/>
      <c r="AF604" s="63"/>
      <c r="AG604" s="63"/>
      <c r="AH604" s="63"/>
      <c r="AI604" s="63"/>
      <c r="AJ604" s="63"/>
    </row>
    <row r="605">
      <c r="A605" s="135">
        <v>613.0</v>
      </c>
      <c r="B605" s="67">
        <v>10.0</v>
      </c>
      <c r="C605" s="31" t="s">
        <v>1082</v>
      </c>
      <c r="D605" s="68" t="s">
        <v>1693</v>
      </c>
      <c r="E605" s="71" t="s">
        <v>3054</v>
      </c>
      <c r="F605" s="69" t="s">
        <v>1684</v>
      </c>
      <c r="G605" s="69" t="s">
        <v>3046</v>
      </c>
      <c r="H605" s="145"/>
      <c r="I605" s="145"/>
      <c r="J605" s="69">
        <v>5.0</v>
      </c>
      <c r="K605" s="69" t="str">
        <f>iferror(vlookup(E605,MasterClass!$C$2:$G988,5,false),"")</f>
        <v/>
      </c>
      <c r="L605" s="181">
        <v>1.0</v>
      </c>
      <c r="M605" s="69">
        <f t="shared" ref="M605:M612" si="91">J605+H605</f>
        <v>5</v>
      </c>
      <c r="N605" s="69">
        <f t="shared" ref="N605:N612" si="92">I605+L605+K605</f>
        <v>1</v>
      </c>
      <c r="O605" s="146">
        <f t="shared" ref="O605:O612" si="93">N605/M605</f>
        <v>0.2</v>
      </c>
      <c r="P605" s="146"/>
      <c r="Q605" s="70"/>
      <c r="R605" s="63"/>
      <c r="S605" s="63"/>
      <c r="T605" s="63"/>
      <c r="U605" s="63"/>
      <c r="V605" s="63"/>
      <c r="W605" s="63"/>
      <c r="X605" s="63"/>
      <c r="Y605" s="63"/>
      <c r="Z605" s="63"/>
      <c r="AA605" s="63"/>
      <c r="AB605" s="63"/>
      <c r="AC605" s="63"/>
      <c r="AD605" s="63"/>
      <c r="AE605" s="63"/>
      <c r="AF605" s="63"/>
      <c r="AG605" s="63"/>
      <c r="AH605" s="63"/>
      <c r="AI605" s="63"/>
      <c r="AJ605" s="63"/>
    </row>
    <row r="606">
      <c r="A606" s="135">
        <v>614.0</v>
      </c>
      <c r="B606" s="67">
        <v>11.0</v>
      </c>
      <c r="C606" s="31" t="s">
        <v>1084</v>
      </c>
      <c r="D606" s="68" t="s">
        <v>1694</v>
      </c>
      <c r="E606" s="71" t="s">
        <v>3055</v>
      </c>
      <c r="F606" s="69" t="s">
        <v>1684</v>
      </c>
      <c r="G606" s="69" t="s">
        <v>3046</v>
      </c>
      <c r="H606" s="145">
        <v>2.0</v>
      </c>
      <c r="I606" s="145">
        <v>2.0</v>
      </c>
      <c r="J606" s="69">
        <v>5.0</v>
      </c>
      <c r="K606" s="69" t="str">
        <f>iferror(vlookup(E606,MasterClass!$C$2:$G988,5,false),"")</f>
        <v/>
      </c>
      <c r="L606" s="181">
        <v>1.0</v>
      </c>
      <c r="M606" s="69">
        <f t="shared" si="91"/>
        <v>7</v>
      </c>
      <c r="N606" s="69">
        <f t="shared" si="92"/>
        <v>3</v>
      </c>
      <c r="O606" s="146">
        <f t="shared" si="93"/>
        <v>0.4285714286</v>
      </c>
      <c r="P606" s="146"/>
      <c r="Q606" s="70"/>
      <c r="R606" s="63"/>
      <c r="S606" s="63"/>
      <c r="T606" s="63"/>
      <c r="U606" s="63"/>
      <c r="V606" s="63"/>
      <c r="W606" s="63"/>
      <c r="X606" s="63"/>
      <c r="Y606" s="63"/>
      <c r="Z606" s="63"/>
      <c r="AA606" s="63"/>
      <c r="AB606" s="63"/>
      <c r="AC606" s="63"/>
      <c r="AD606" s="63"/>
      <c r="AE606" s="63"/>
      <c r="AF606" s="63"/>
      <c r="AG606" s="63"/>
      <c r="AH606" s="63"/>
      <c r="AI606" s="63"/>
      <c r="AJ606" s="63"/>
    </row>
    <row r="607">
      <c r="A607" s="135">
        <v>615.0</v>
      </c>
      <c r="B607" s="67">
        <v>12.0</v>
      </c>
      <c r="C607" s="31" t="s">
        <v>1086</v>
      </c>
      <c r="D607" s="68" t="s">
        <v>1695</v>
      </c>
      <c r="E607" s="71" t="s">
        <v>3056</v>
      </c>
      <c r="F607" s="69" t="s">
        <v>1684</v>
      </c>
      <c r="G607" s="69" t="s">
        <v>3044</v>
      </c>
      <c r="H607" s="145">
        <v>2.0</v>
      </c>
      <c r="I607" s="145">
        <v>2.0</v>
      </c>
      <c r="J607" s="69">
        <v>5.0</v>
      </c>
      <c r="K607" s="69" t="str">
        <f>iferror(vlookup(E607,MasterClass!$C$2:$G988,5,false),"")</f>
        <v/>
      </c>
      <c r="L607" s="181">
        <v>3.0</v>
      </c>
      <c r="M607" s="69">
        <f t="shared" si="91"/>
        <v>7</v>
      </c>
      <c r="N607" s="69">
        <f t="shared" si="92"/>
        <v>5</v>
      </c>
      <c r="O607" s="146">
        <f t="shared" si="93"/>
        <v>0.7142857143</v>
      </c>
      <c r="P607" s="146"/>
      <c r="Q607" s="70"/>
      <c r="R607" s="63"/>
      <c r="S607" s="63"/>
      <c r="T607" s="63"/>
      <c r="U607" s="63"/>
      <c r="V607" s="63"/>
      <c r="W607" s="63"/>
      <c r="X607" s="63"/>
      <c r="Y607" s="63"/>
      <c r="Z607" s="63"/>
      <c r="AA607" s="63"/>
      <c r="AB607" s="63"/>
      <c r="AC607" s="63"/>
      <c r="AD607" s="63"/>
      <c r="AE607" s="63"/>
      <c r="AF607" s="63"/>
      <c r="AG607" s="63"/>
      <c r="AH607" s="63"/>
      <c r="AI607" s="63"/>
      <c r="AJ607" s="63"/>
    </row>
    <row r="608">
      <c r="A608" s="135">
        <v>616.0</v>
      </c>
      <c r="B608" s="67">
        <v>13.0</v>
      </c>
      <c r="C608" s="31" t="s">
        <v>1088</v>
      </c>
      <c r="D608" s="68" t="s">
        <v>1696</v>
      </c>
      <c r="E608" s="71" t="s">
        <v>3057</v>
      </c>
      <c r="F608" s="69" t="s">
        <v>1684</v>
      </c>
      <c r="G608" s="69" t="s">
        <v>3044</v>
      </c>
      <c r="H608" s="145">
        <v>2.0</v>
      </c>
      <c r="I608" s="145">
        <v>2.0</v>
      </c>
      <c r="J608" s="69">
        <v>5.0</v>
      </c>
      <c r="K608" s="69" t="str">
        <f>iferror(vlookup(E608,MasterClass!$C$2:$G988,5,false),"")</f>
        <v/>
      </c>
      <c r="L608" s="181">
        <v>2.0</v>
      </c>
      <c r="M608" s="69">
        <f t="shared" si="91"/>
        <v>7</v>
      </c>
      <c r="N608" s="69">
        <f t="shared" si="92"/>
        <v>4</v>
      </c>
      <c r="O608" s="146">
        <f t="shared" si="93"/>
        <v>0.5714285714</v>
      </c>
      <c r="P608" s="146"/>
      <c r="Q608" s="70"/>
      <c r="R608" s="63"/>
      <c r="S608" s="63"/>
      <c r="T608" s="63"/>
      <c r="U608" s="63"/>
      <c r="V608" s="63"/>
      <c r="W608" s="63"/>
      <c r="X608" s="63"/>
      <c r="Y608" s="63"/>
      <c r="Z608" s="63"/>
      <c r="AA608" s="63"/>
      <c r="AB608" s="63"/>
      <c r="AC608" s="63"/>
      <c r="AD608" s="63"/>
      <c r="AE608" s="63"/>
      <c r="AF608" s="63"/>
      <c r="AG608" s="63"/>
      <c r="AH608" s="63"/>
      <c r="AI608" s="63"/>
      <c r="AJ608" s="63"/>
    </row>
    <row r="609">
      <c r="A609" s="135">
        <v>617.0</v>
      </c>
      <c r="B609" s="67">
        <v>14.0</v>
      </c>
      <c r="C609" s="31" t="s">
        <v>1090</v>
      </c>
      <c r="D609" s="68" t="s">
        <v>1697</v>
      </c>
      <c r="E609" s="71" t="s">
        <v>3058</v>
      </c>
      <c r="F609" s="69" t="s">
        <v>1684</v>
      </c>
      <c r="G609" s="69" t="s">
        <v>3044</v>
      </c>
      <c r="H609" s="145">
        <v>2.0</v>
      </c>
      <c r="I609" s="145">
        <v>2.0</v>
      </c>
      <c r="J609" s="69">
        <v>5.0</v>
      </c>
      <c r="K609" s="69" t="str">
        <f>iferror(vlookup(E609,MasterClass!$C$2:$G988,5,false),"")</f>
        <v/>
      </c>
      <c r="L609" s="181">
        <v>1.0</v>
      </c>
      <c r="M609" s="69">
        <f t="shared" si="91"/>
        <v>7</v>
      </c>
      <c r="N609" s="69">
        <f t="shared" si="92"/>
        <v>3</v>
      </c>
      <c r="O609" s="146">
        <f t="shared" si="93"/>
        <v>0.4285714286</v>
      </c>
      <c r="P609" s="146"/>
      <c r="Q609" s="70"/>
      <c r="R609" s="63"/>
      <c r="S609" s="63"/>
      <c r="T609" s="63"/>
      <c r="U609" s="63"/>
      <c r="V609" s="63"/>
      <c r="W609" s="63"/>
      <c r="X609" s="63"/>
      <c r="Y609" s="63"/>
      <c r="Z609" s="63"/>
      <c r="AA609" s="63"/>
      <c r="AB609" s="63"/>
      <c r="AC609" s="63"/>
      <c r="AD609" s="63"/>
      <c r="AE609" s="63"/>
      <c r="AF609" s="63"/>
      <c r="AG609" s="63"/>
      <c r="AH609" s="63"/>
      <c r="AI609" s="63"/>
      <c r="AJ609" s="63"/>
    </row>
    <row r="610">
      <c r="A610" s="135">
        <v>618.0</v>
      </c>
      <c r="B610" s="67">
        <v>15.0</v>
      </c>
      <c r="C610" s="31" t="s">
        <v>1092</v>
      </c>
      <c r="D610" s="68" t="s">
        <v>1698</v>
      </c>
      <c r="E610" s="71" t="s">
        <v>3059</v>
      </c>
      <c r="F610" s="69" t="s">
        <v>1684</v>
      </c>
      <c r="G610" s="69" t="s">
        <v>3046</v>
      </c>
      <c r="H610" s="145">
        <v>2.0</v>
      </c>
      <c r="I610" s="145">
        <v>2.0</v>
      </c>
      <c r="J610" s="69">
        <v>5.0</v>
      </c>
      <c r="K610" s="69" t="str">
        <f>iferror(vlookup(E610,MasterClass!$C$2:$G988,5,false),"")</f>
        <v/>
      </c>
      <c r="L610" s="181">
        <v>1.0</v>
      </c>
      <c r="M610" s="69">
        <f t="shared" si="91"/>
        <v>7</v>
      </c>
      <c r="N610" s="69">
        <f t="shared" si="92"/>
        <v>3</v>
      </c>
      <c r="O610" s="146">
        <f t="shared" si="93"/>
        <v>0.4285714286</v>
      </c>
      <c r="P610" s="146"/>
      <c r="Q610" s="70"/>
      <c r="R610" s="63"/>
      <c r="S610" s="63"/>
      <c r="T610" s="63"/>
      <c r="U610" s="63"/>
      <c r="V610" s="63"/>
      <c r="W610" s="63"/>
      <c r="X610" s="63"/>
      <c r="Y610" s="63"/>
      <c r="Z610" s="63"/>
      <c r="AA610" s="63"/>
      <c r="AB610" s="63"/>
      <c r="AC610" s="63"/>
      <c r="AD610" s="63"/>
      <c r="AE610" s="63"/>
      <c r="AF610" s="63"/>
      <c r="AG610" s="63"/>
      <c r="AH610" s="63"/>
      <c r="AI610" s="63"/>
      <c r="AJ610" s="63"/>
    </row>
    <row r="611">
      <c r="A611" s="135">
        <v>619.0</v>
      </c>
      <c r="B611" s="67">
        <v>16.0</v>
      </c>
      <c r="C611" s="31" t="s">
        <v>1094</v>
      </c>
      <c r="D611" s="68" t="s">
        <v>1699</v>
      </c>
      <c r="E611" s="71" t="s">
        <v>3060</v>
      </c>
      <c r="F611" s="69" t="s">
        <v>1684</v>
      </c>
      <c r="G611" s="69" t="s">
        <v>3046</v>
      </c>
      <c r="H611" s="145">
        <v>2.0</v>
      </c>
      <c r="I611" s="145">
        <v>2.0</v>
      </c>
      <c r="J611" s="69">
        <v>5.0</v>
      </c>
      <c r="K611" s="69" t="str">
        <f>iferror(vlookup(E611,MasterClass!$C$2:$G988,5,false),"")</f>
        <v/>
      </c>
      <c r="L611" s="181">
        <v>0.0</v>
      </c>
      <c r="M611" s="69">
        <f t="shared" si="91"/>
        <v>7</v>
      </c>
      <c r="N611" s="69">
        <f t="shared" si="92"/>
        <v>2</v>
      </c>
      <c r="O611" s="146">
        <f t="shared" si="93"/>
        <v>0.2857142857</v>
      </c>
      <c r="P611" s="146"/>
      <c r="Q611" s="70"/>
      <c r="R611" s="63"/>
      <c r="S611" s="63"/>
      <c r="T611" s="63"/>
      <c r="U611" s="63"/>
      <c r="V611" s="63"/>
      <c r="W611" s="63"/>
      <c r="X611" s="63"/>
      <c r="Y611" s="63"/>
      <c r="Z611" s="63"/>
      <c r="AA611" s="63"/>
      <c r="AB611" s="63"/>
      <c r="AC611" s="63"/>
      <c r="AD611" s="63"/>
      <c r="AE611" s="63"/>
      <c r="AF611" s="63"/>
      <c r="AG611" s="63"/>
      <c r="AH611" s="63"/>
      <c r="AI611" s="63"/>
      <c r="AJ611" s="63"/>
    </row>
    <row r="612">
      <c r="A612" s="135">
        <v>620.0</v>
      </c>
      <c r="B612" s="67">
        <v>17.0</v>
      </c>
      <c r="C612" s="31" t="s">
        <v>1096</v>
      </c>
      <c r="D612" s="68" t="s">
        <v>1700</v>
      </c>
      <c r="E612" s="71" t="s">
        <v>3061</v>
      </c>
      <c r="F612" s="69" t="s">
        <v>1684</v>
      </c>
      <c r="G612" s="69" t="s">
        <v>3046</v>
      </c>
      <c r="H612" s="145">
        <v>2.0</v>
      </c>
      <c r="I612" s="145">
        <v>2.0</v>
      </c>
      <c r="J612" s="69">
        <v>5.0</v>
      </c>
      <c r="K612" s="69" t="str">
        <f>iferror(vlookup(E612,MasterClass!$C$2:$G988,5,false),"")</f>
        <v/>
      </c>
      <c r="L612" s="181">
        <v>1.0</v>
      </c>
      <c r="M612" s="69">
        <f t="shared" si="91"/>
        <v>7</v>
      </c>
      <c r="N612" s="69">
        <f t="shared" si="92"/>
        <v>3</v>
      </c>
      <c r="O612" s="146">
        <f t="shared" si="93"/>
        <v>0.4285714286</v>
      </c>
      <c r="P612" s="146"/>
      <c r="Q612" s="70"/>
      <c r="R612" s="63"/>
      <c r="S612" s="63"/>
      <c r="T612" s="63"/>
      <c r="U612" s="63"/>
      <c r="V612" s="63"/>
      <c r="W612" s="63"/>
      <c r="X612" s="63"/>
      <c r="Y612" s="63"/>
      <c r="Z612" s="63"/>
      <c r="AA612" s="63"/>
      <c r="AB612" s="63"/>
      <c r="AC612" s="63"/>
      <c r="AD612" s="63"/>
      <c r="AE612" s="63"/>
      <c r="AF612" s="63"/>
      <c r="AG612" s="63"/>
      <c r="AH612" s="63"/>
      <c r="AI612" s="63"/>
      <c r="AJ612" s="63"/>
    </row>
    <row r="613">
      <c r="A613" s="135">
        <v>621.0</v>
      </c>
      <c r="B613" s="67">
        <v>18.0</v>
      </c>
      <c r="C613" s="31" t="s">
        <v>1098</v>
      </c>
      <c r="D613" s="71" t="s">
        <v>1701</v>
      </c>
      <c r="E613" s="71" t="s">
        <v>3062</v>
      </c>
      <c r="F613" s="69" t="s">
        <v>1684</v>
      </c>
      <c r="G613" s="69" t="s">
        <v>1187</v>
      </c>
      <c r="H613" s="145" t="s">
        <v>1187</v>
      </c>
      <c r="I613" s="145" t="s">
        <v>1187</v>
      </c>
      <c r="J613" s="69" t="s">
        <v>1187</v>
      </c>
      <c r="K613" s="69" t="s">
        <v>1187</v>
      </c>
      <c r="L613" s="69" t="s">
        <v>1187</v>
      </c>
      <c r="M613" s="69" t="s">
        <v>1187</v>
      </c>
      <c r="N613" s="69" t="s">
        <v>1187</v>
      </c>
      <c r="O613" s="69" t="s">
        <v>1187</v>
      </c>
      <c r="P613" s="69" t="s">
        <v>2522</v>
      </c>
      <c r="Q613" s="70"/>
      <c r="R613" s="63"/>
      <c r="S613" s="63"/>
      <c r="T613" s="63"/>
      <c r="U613" s="63"/>
      <c r="V613" s="63"/>
      <c r="W613" s="63"/>
      <c r="X613" s="63"/>
      <c r="Y613" s="63"/>
      <c r="Z613" s="63"/>
      <c r="AA613" s="63"/>
      <c r="AB613" s="63"/>
      <c r="AC613" s="63"/>
      <c r="AD613" s="63"/>
      <c r="AE613" s="63"/>
      <c r="AF613" s="63"/>
      <c r="AG613" s="63"/>
      <c r="AH613" s="63"/>
      <c r="AI613" s="63"/>
      <c r="AJ613" s="63"/>
    </row>
    <row r="614">
      <c r="A614" s="135">
        <v>622.0</v>
      </c>
      <c r="B614" s="67">
        <v>19.0</v>
      </c>
      <c r="C614" s="31" t="s">
        <v>1100</v>
      </c>
      <c r="D614" s="68" t="s">
        <v>1702</v>
      </c>
      <c r="E614" s="71" t="s">
        <v>3063</v>
      </c>
      <c r="F614" s="69" t="s">
        <v>1684</v>
      </c>
      <c r="G614" s="69" t="s">
        <v>3046</v>
      </c>
      <c r="H614" s="145">
        <v>2.0</v>
      </c>
      <c r="I614" s="145">
        <v>2.0</v>
      </c>
      <c r="J614" s="69">
        <v>5.0</v>
      </c>
      <c r="K614" s="69" t="str">
        <f>iferror(vlookup(E614,MasterClass!$C$2:$G988,5,false),"")</f>
        <v/>
      </c>
      <c r="L614" s="181">
        <v>1.0</v>
      </c>
      <c r="M614" s="69">
        <f t="shared" ref="M614:M619" si="94">J614+H614</f>
        <v>7</v>
      </c>
      <c r="N614" s="69">
        <f t="shared" ref="N614:N619" si="95">I614+L614+K614</f>
        <v>3</v>
      </c>
      <c r="O614" s="146">
        <f t="shared" ref="O614:O619" si="96">N614/M614</f>
        <v>0.4285714286</v>
      </c>
      <c r="P614" s="146"/>
      <c r="Q614" s="70"/>
      <c r="R614" s="63"/>
      <c r="S614" s="63"/>
      <c r="T614" s="63"/>
      <c r="U614" s="63"/>
      <c r="V614" s="63"/>
      <c r="W614" s="63"/>
      <c r="X614" s="63"/>
      <c r="Y614" s="63"/>
      <c r="Z614" s="63"/>
      <c r="AA614" s="63"/>
      <c r="AB614" s="63"/>
      <c r="AC614" s="63"/>
      <c r="AD614" s="63"/>
      <c r="AE614" s="63"/>
      <c r="AF614" s="63"/>
      <c r="AG614" s="63"/>
      <c r="AH614" s="63"/>
      <c r="AI614" s="63"/>
      <c r="AJ614" s="63"/>
    </row>
    <row r="615">
      <c r="A615" s="135">
        <v>623.0</v>
      </c>
      <c r="B615" s="67">
        <v>20.0</v>
      </c>
      <c r="C615" s="31" t="s">
        <v>1102</v>
      </c>
      <c r="D615" s="68" t="s">
        <v>1703</v>
      </c>
      <c r="E615" s="71" t="s">
        <v>3064</v>
      </c>
      <c r="F615" s="69" t="s">
        <v>1684</v>
      </c>
      <c r="G615" s="69" t="s">
        <v>3044</v>
      </c>
      <c r="H615" s="145">
        <v>2.0</v>
      </c>
      <c r="I615" s="145">
        <v>2.0</v>
      </c>
      <c r="J615" s="69">
        <v>5.0</v>
      </c>
      <c r="K615" s="69" t="str">
        <f>iferror(vlookup(E615,MasterClass!$C$2:$G988,5,false),"")</f>
        <v/>
      </c>
      <c r="L615" s="181">
        <v>1.0</v>
      </c>
      <c r="M615" s="69">
        <f t="shared" si="94"/>
        <v>7</v>
      </c>
      <c r="N615" s="69">
        <f t="shared" si="95"/>
        <v>3</v>
      </c>
      <c r="O615" s="146">
        <f t="shared" si="96"/>
        <v>0.4285714286</v>
      </c>
      <c r="P615" s="146"/>
      <c r="Q615" s="70"/>
      <c r="R615" s="63"/>
      <c r="S615" s="63"/>
      <c r="T615" s="63"/>
      <c r="U615" s="63"/>
      <c r="V615" s="63"/>
      <c r="W615" s="63"/>
      <c r="X615" s="63"/>
      <c r="Y615" s="63"/>
      <c r="Z615" s="63"/>
      <c r="AA615" s="63"/>
      <c r="AB615" s="63"/>
      <c r="AC615" s="63"/>
      <c r="AD615" s="63"/>
      <c r="AE615" s="63"/>
      <c r="AF615" s="63"/>
      <c r="AG615" s="63"/>
      <c r="AH615" s="63"/>
      <c r="AI615" s="63"/>
      <c r="AJ615" s="63"/>
    </row>
    <row r="616">
      <c r="A616" s="135">
        <v>624.0</v>
      </c>
      <c r="B616" s="67">
        <v>21.0</v>
      </c>
      <c r="C616" s="31" t="s">
        <v>1104</v>
      </c>
      <c r="D616" s="68" t="s">
        <v>1704</v>
      </c>
      <c r="E616" s="71" t="s">
        <v>3065</v>
      </c>
      <c r="F616" s="69" t="s">
        <v>1684</v>
      </c>
      <c r="G616" s="69" t="s">
        <v>3046</v>
      </c>
      <c r="H616" s="145">
        <v>2.0</v>
      </c>
      <c r="I616" s="145">
        <v>2.0</v>
      </c>
      <c r="J616" s="69">
        <v>5.0</v>
      </c>
      <c r="K616" s="69" t="str">
        <f>iferror(vlookup(E616,MasterClass!$C$2:$G988,5,false),"")</f>
        <v/>
      </c>
      <c r="L616" s="181">
        <v>1.0</v>
      </c>
      <c r="M616" s="69">
        <f t="shared" si="94"/>
        <v>7</v>
      </c>
      <c r="N616" s="69">
        <f t="shared" si="95"/>
        <v>3</v>
      </c>
      <c r="O616" s="146">
        <f t="shared" si="96"/>
        <v>0.4285714286</v>
      </c>
      <c r="P616" s="146"/>
      <c r="Q616" s="70"/>
      <c r="R616" s="63"/>
      <c r="S616" s="63"/>
      <c r="T616" s="63"/>
      <c r="U616" s="63"/>
      <c r="V616" s="63"/>
      <c r="W616" s="63"/>
      <c r="X616" s="63"/>
      <c r="Y616" s="63"/>
      <c r="Z616" s="63"/>
      <c r="AA616" s="63"/>
      <c r="AB616" s="63"/>
      <c r="AC616" s="63"/>
      <c r="AD616" s="63"/>
      <c r="AE616" s="63"/>
      <c r="AF616" s="63"/>
      <c r="AG616" s="63"/>
      <c r="AH616" s="63"/>
      <c r="AI616" s="63"/>
      <c r="AJ616" s="63"/>
    </row>
    <row r="617">
      <c r="A617" s="135">
        <v>625.0</v>
      </c>
      <c r="B617" s="67">
        <v>22.0</v>
      </c>
      <c r="C617" s="31" t="s">
        <v>1106</v>
      </c>
      <c r="D617" s="68" t="s">
        <v>1705</v>
      </c>
      <c r="E617" s="71" t="s">
        <v>3066</v>
      </c>
      <c r="F617" s="69" t="s">
        <v>1684</v>
      </c>
      <c r="G617" s="69" t="s">
        <v>3044</v>
      </c>
      <c r="H617" s="145">
        <v>2.0</v>
      </c>
      <c r="I617" s="145">
        <v>2.0</v>
      </c>
      <c r="J617" s="69">
        <v>5.0</v>
      </c>
      <c r="K617" s="69" t="str">
        <f>iferror(vlookup(E617,MasterClass!$C$2:$G988,5,false),"")</f>
        <v/>
      </c>
      <c r="L617" s="181">
        <v>1.0</v>
      </c>
      <c r="M617" s="69">
        <f t="shared" si="94"/>
        <v>7</v>
      </c>
      <c r="N617" s="69">
        <f t="shared" si="95"/>
        <v>3</v>
      </c>
      <c r="O617" s="146">
        <f t="shared" si="96"/>
        <v>0.4285714286</v>
      </c>
      <c r="P617" s="146"/>
      <c r="Q617" s="70"/>
      <c r="R617" s="63"/>
      <c r="S617" s="63"/>
      <c r="T617" s="63"/>
      <c r="U617" s="63"/>
      <c r="V617" s="63"/>
      <c r="W617" s="63"/>
      <c r="X617" s="63"/>
      <c r="Y617" s="63"/>
      <c r="Z617" s="63"/>
      <c r="AA617" s="63"/>
      <c r="AB617" s="63"/>
      <c r="AC617" s="63"/>
      <c r="AD617" s="63"/>
      <c r="AE617" s="63"/>
      <c r="AF617" s="63"/>
      <c r="AG617" s="63"/>
      <c r="AH617" s="63"/>
      <c r="AI617" s="63"/>
      <c r="AJ617" s="63"/>
    </row>
    <row r="618">
      <c r="A618" s="135">
        <v>626.0</v>
      </c>
      <c r="B618" s="67">
        <v>23.0</v>
      </c>
      <c r="C618" s="31" t="s">
        <v>1108</v>
      </c>
      <c r="D618" s="68" t="s">
        <v>1706</v>
      </c>
      <c r="E618" s="71" t="s">
        <v>3067</v>
      </c>
      <c r="F618" s="69" t="s">
        <v>1684</v>
      </c>
      <c r="G618" s="69" t="s">
        <v>3068</v>
      </c>
      <c r="H618" s="145"/>
      <c r="I618" s="145"/>
      <c r="J618" s="69">
        <v>5.0</v>
      </c>
      <c r="K618" s="69" t="str">
        <f>iferror(vlookup(E618,MasterClass!$C$2:$G988,5,false),"")</f>
        <v/>
      </c>
      <c r="L618" s="181">
        <v>0.0</v>
      </c>
      <c r="M618" s="69">
        <f t="shared" si="94"/>
        <v>5</v>
      </c>
      <c r="N618" s="69">
        <f t="shared" si="95"/>
        <v>0</v>
      </c>
      <c r="O618" s="146">
        <f t="shared" si="96"/>
        <v>0</v>
      </c>
      <c r="P618" s="146"/>
      <c r="Q618" s="70"/>
      <c r="R618" s="63"/>
      <c r="S618" s="63"/>
      <c r="T618" s="63"/>
      <c r="U618" s="63"/>
      <c r="V618" s="63"/>
      <c r="W618" s="63"/>
      <c r="X618" s="63"/>
      <c r="Y618" s="63"/>
      <c r="Z618" s="63"/>
      <c r="AA618" s="63"/>
      <c r="AB618" s="63"/>
      <c r="AC618" s="63"/>
      <c r="AD618" s="63"/>
      <c r="AE618" s="63"/>
      <c r="AF618" s="63"/>
      <c r="AG618" s="63"/>
      <c r="AH618" s="63"/>
      <c r="AI618" s="63"/>
      <c r="AJ618" s="63"/>
    </row>
    <row r="619">
      <c r="A619" s="135">
        <v>627.0</v>
      </c>
      <c r="B619" s="67">
        <v>24.0</v>
      </c>
      <c r="C619" s="31" t="s">
        <v>1110</v>
      </c>
      <c r="D619" s="68" t="s">
        <v>1707</v>
      </c>
      <c r="E619" s="71" t="s">
        <v>3069</v>
      </c>
      <c r="F619" s="69" t="s">
        <v>1684</v>
      </c>
      <c r="G619" s="69" t="s">
        <v>3044</v>
      </c>
      <c r="H619" s="145">
        <v>2.0</v>
      </c>
      <c r="I619" s="145">
        <v>2.0</v>
      </c>
      <c r="J619" s="69">
        <v>5.0</v>
      </c>
      <c r="K619" s="69" t="str">
        <f>iferror(vlookup(E619,MasterClass!$C$2:$G988,5,false),"")</f>
        <v/>
      </c>
      <c r="L619" s="181">
        <v>3.0</v>
      </c>
      <c r="M619" s="69">
        <f t="shared" si="94"/>
        <v>7</v>
      </c>
      <c r="N619" s="69">
        <f t="shared" si="95"/>
        <v>5</v>
      </c>
      <c r="O619" s="146">
        <f t="shared" si="96"/>
        <v>0.7142857143</v>
      </c>
      <c r="P619" s="146"/>
      <c r="Q619" s="70"/>
      <c r="R619" s="63"/>
      <c r="S619" s="63"/>
      <c r="T619" s="63"/>
      <c r="U619" s="63"/>
      <c r="V619" s="63"/>
      <c r="W619" s="63"/>
      <c r="X619" s="63"/>
      <c r="Y619" s="63"/>
      <c r="Z619" s="63"/>
      <c r="AA619" s="63"/>
      <c r="AB619" s="63"/>
      <c r="AC619" s="63"/>
      <c r="AD619" s="63"/>
      <c r="AE619" s="63"/>
      <c r="AF619" s="63"/>
      <c r="AG619" s="63"/>
      <c r="AH619" s="63"/>
      <c r="AI619" s="63"/>
      <c r="AJ619" s="63"/>
    </row>
    <row r="620">
      <c r="A620" s="135">
        <v>628.0</v>
      </c>
      <c r="B620" s="67">
        <v>25.0</v>
      </c>
      <c r="C620" s="31" t="s">
        <v>1112</v>
      </c>
      <c r="D620" s="68" t="s">
        <v>1708</v>
      </c>
      <c r="E620" s="71" t="s">
        <v>3070</v>
      </c>
      <c r="F620" s="69" t="s">
        <v>1684</v>
      </c>
      <c r="G620" s="69" t="s">
        <v>1187</v>
      </c>
      <c r="H620" s="145" t="s">
        <v>1187</v>
      </c>
      <c r="I620" s="145" t="s">
        <v>1187</v>
      </c>
      <c r="J620" s="69" t="s">
        <v>1187</v>
      </c>
      <c r="K620" s="69" t="s">
        <v>1187</v>
      </c>
      <c r="L620" s="69" t="s">
        <v>1187</v>
      </c>
      <c r="M620" s="69" t="s">
        <v>1187</v>
      </c>
      <c r="N620" s="69" t="s">
        <v>1187</v>
      </c>
      <c r="O620" s="69" t="s">
        <v>1187</v>
      </c>
      <c r="P620" s="69" t="s">
        <v>2522</v>
      </c>
      <c r="Q620" s="70"/>
      <c r="R620" s="63"/>
      <c r="S620" s="63"/>
      <c r="T620" s="63"/>
      <c r="U620" s="63"/>
      <c r="V620" s="63"/>
      <c r="W620" s="63"/>
      <c r="X620" s="63"/>
      <c r="Y620" s="63"/>
      <c r="Z620" s="63"/>
      <c r="AA620" s="63"/>
      <c r="AB620" s="63"/>
      <c r="AC620" s="63"/>
      <c r="AD620" s="63"/>
      <c r="AE620" s="63"/>
      <c r="AF620" s="63"/>
      <c r="AG620" s="63"/>
      <c r="AH620" s="63"/>
      <c r="AI620" s="63"/>
      <c r="AJ620" s="63"/>
    </row>
    <row r="621">
      <c r="A621" s="135">
        <v>629.0</v>
      </c>
      <c r="B621" s="67">
        <v>26.0</v>
      </c>
      <c r="C621" s="31" t="s">
        <v>1114</v>
      </c>
      <c r="D621" s="68" t="s">
        <v>1709</v>
      </c>
      <c r="E621" s="71" t="s">
        <v>3071</v>
      </c>
      <c r="F621" s="69" t="s">
        <v>1684</v>
      </c>
      <c r="G621" s="69" t="s">
        <v>3068</v>
      </c>
      <c r="H621" s="145"/>
      <c r="I621" s="145"/>
      <c r="J621" s="69">
        <v>5.0</v>
      </c>
      <c r="K621" s="69" t="str">
        <f>iferror(vlookup(E621,MasterClass!$C$2:$G988,5,false),"")</f>
        <v/>
      </c>
      <c r="L621" s="181">
        <v>1.0</v>
      </c>
      <c r="M621" s="69">
        <f t="shared" ref="M621:M631" si="97">J621+H621</f>
        <v>5</v>
      </c>
      <c r="N621" s="69">
        <f t="shared" ref="N621:N631" si="98">I621+L621+K621</f>
        <v>1</v>
      </c>
      <c r="O621" s="146">
        <f t="shared" ref="O621:O631" si="99">N621/M621</f>
        <v>0.2</v>
      </c>
      <c r="P621" s="146"/>
      <c r="Q621" s="70"/>
      <c r="R621" s="63"/>
      <c r="S621" s="63"/>
      <c r="T621" s="63"/>
      <c r="U621" s="63"/>
      <c r="V621" s="63"/>
      <c r="W621" s="63"/>
      <c r="X621" s="63"/>
      <c r="Y621" s="63"/>
      <c r="Z621" s="63"/>
      <c r="AA621" s="63"/>
      <c r="AB621" s="63"/>
      <c r="AC621" s="63"/>
      <c r="AD621" s="63"/>
      <c r="AE621" s="63"/>
      <c r="AF621" s="63"/>
      <c r="AG621" s="63"/>
      <c r="AH621" s="63"/>
      <c r="AI621" s="63"/>
      <c r="AJ621" s="63"/>
    </row>
    <row r="622">
      <c r="A622" s="135">
        <v>630.0</v>
      </c>
      <c r="B622" s="67">
        <v>27.0</v>
      </c>
      <c r="C622" s="31" t="s">
        <v>1116</v>
      </c>
      <c r="D622" s="68" t="s">
        <v>1710</v>
      </c>
      <c r="E622" s="71" t="s">
        <v>3072</v>
      </c>
      <c r="F622" s="69" t="s">
        <v>1684</v>
      </c>
      <c r="G622" s="69" t="s">
        <v>3044</v>
      </c>
      <c r="H622" s="145">
        <v>2.0</v>
      </c>
      <c r="I622" s="145">
        <v>2.0</v>
      </c>
      <c r="J622" s="69">
        <v>5.0</v>
      </c>
      <c r="K622" s="69" t="str">
        <f>iferror(vlookup(E622,MasterClass!$C$2:$G988,5,false),"")</f>
        <v/>
      </c>
      <c r="L622" s="181">
        <v>2.0</v>
      </c>
      <c r="M622" s="69">
        <f t="shared" si="97"/>
        <v>7</v>
      </c>
      <c r="N622" s="69">
        <f t="shared" si="98"/>
        <v>4</v>
      </c>
      <c r="O622" s="146">
        <f t="shared" si="99"/>
        <v>0.5714285714</v>
      </c>
      <c r="P622" s="146"/>
      <c r="Q622" s="70"/>
      <c r="R622" s="63"/>
      <c r="S622" s="63"/>
      <c r="T622" s="63"/>
      <c r="U622" s="63"/>
      <c r="V622" s="63"/>
      <c r="W622" s="63"/>
      <c r="X622" s="63"/>
      <c r="Y622" s="63"/>
      <c r="Z622" s="63"/>
      <c r="AA622" s="63"/>
      <c r="AB622" s="63"/>
      <c r="AC622" s="63"/>
      <c r="AD622" s="63"/>
      <c r="AE622" s="63"/>
      <c r="AF622" s="63"/>
      <c r="AG622" s="63"/>
      <c r="AH622" s="63"/>
      <c r="AI622" s="63"/>
      <c r="AJ622" s="63"/>
    </row>
    <row r="623">
      <c r="A623" s="135">
        <v>631.0</v>
      </c>
      <c r="B623" s="67">
        <v>28.0</v>
      </c>
      <c r="C623" s="31" t="s">
        <v>1118</v>
      </c>
      <c r="D623" s="68" t="s">
        <v>1711</v>
      </c>
      <c r="E623" s="71" t="s">
        <v>3073</v>
      </c>
      <c r="F623" s="69" t="s">
        <v>1684</v>
      </c>
      <c r="G623" s="69" t="s">
        <v>3044</v>
      </c>
      <c r="H623" s="145">
        <v>2.0</v>
      </c>
      <c r="I623" s="145">
        <v>2.0</v>
      </c>
      <c r="J623" s="69">
        <v>5.0</v>
      </c>
      <c r="K623" s="69" t="str">
        <f>iferror(vlookup(E623,MasterClass!$C$2:$G988,5,false),"")</f>
        <v/>
      </c>
      <c r="L623" s="181">
        <v>2.0</v>
      </c>
      <c r="M623" s="69">
        <f t="shared" si="97"/>
        <v>7</v>
      </c>
      <c r="N623" s="69">
        <f t="shared" si="98"/>
        <v>4</v>
      </c>
      <c r="O623" s="146">
        <f t="shared" si="99"/>
        <v>0.5714285714</v>
      </c>
      <c r="P623" s="146"/>
      <c r="Q623" s="70"/>
      <c r="R623" s="63"/>
      <c r="S623" s="63"/>
      <c r="T623" s="63"/>
      <c r="U623" s="63"/>
      <c r="V623" s="63"/>
      <c r="W623" s="63"/>
      <c r="X623" s="63"/>
      <c r="Y623" s="63"/>
      <c r="Z623" s="63"/>
      <c r="AA623" s="63"/>
      <c r="AB623" s="63"/>
      <c r="AC623" s="63"/>
      <c r="AD623" s="63"/>
      <c r="AE623" s="63"/>
      <c r="AF623" s="63"/>
      <c r="AG623" s="63"/>
      <c r="AH623" s="63"/>
      <c r="AI623" s="63"/>
      <c r="AJ623" s="63"/>
    </row>
    <row r="624">
      <c r="A624" s="135">
        <v>632.0</v>
      </c>
      <c r="B624" s="67">
        <v>29.0</v>
      </c>
      <c r="C624" s="31" t="s">
        <v>1120</v>
      </c>
      <c r="D624" s="68" t="s">
        <v>1712</v>
      </c>
      <c r="E624" s="71" t="s">
        <v>3074</v>
      </c>
      <c r="F624" s="69" t="s">
        <v>1684</v>
      </c>
      <c r="G624" s="69" t="s">
        <v>3044</v>
      </c>
      <c r="H624" s="145">
        <v>0.0</v>
      </c>
      <c r="I624" s="145">
        <v>0.0</v>
      </c>
      <c r="J624" s="69">
        <v>5.0</v>
      </c>
      <c r="K624" s="69" t="str">
        <f>iferror(vlookup(E624,MasterClass!$C$2:$G988,5,false),"")</f>
        <v/>
      </c>
      <c r="L624" s="181">
        <v>0.0</v>
      </c>
      <c r="M624" s="69">
        <f t="shared" si="97"/>
        <v>5</v>
      </c>
      <c r="N624" s="69">
        <f t="shared" si="98"/>
        <v>0</v>
      </c>
      <c r="O624" s="146">
        <f t="shared" si="99"/>
        <v>0</v>
      </c>
      <c r="P624" s="146"/>
      <c r="Q624" s="70"/>
      <c r="R624" s="63"/>
      <c r="S624" s="63"/>
      <c r="T624" s="63"/>
      <c r="U624" s="63"/>
      <c r="V624" s="63"/>
      <c r="W624" s="63"/>
      <c r="X624" s="63"/>
      <c r="Y624" s="63"/>
      <c r="Z624" s="63"/>
      <c r="AA624" s="63"/>
      <c r="AB624" s="63"/>
      <c r="AC624" s="63"/>
      <c r="AD624" s="63"/>
      <c r="AE624" s="63"/>
      <c r="AF624" s="63"/>
      <c r="AG624" s="63"/>
      <c r="AH624" s="63"/>
      <c r="AI624" s="63"/>
      <c r="AJ624" s="63"/>
    </row>
    <row r="625">
      <c r="A625" s="135">
        <v>633.0</v>
      </c>
      <c r="B625" s="67">
        <v>30.0</v>
      </c>
      <c r="C625" s="31" t="s">
        <v>1122</v>
      </c>
      <c r="D625" s="68" t="s">
        <v>1713</v>
      </c>
      <c r="E625" s="71" t="s">
        <v>3075</v>
      </c>
      <c r="F625" s="69" t="s">
        <v>1684</v>
      </c>
      <c r="G625" s="69" t="s">
        <v>3044</v>
      </c>
      <c r="H625" s="145">
        <v>2.0</v>
      </c>
      <c r="I625" s="145">
        <v>2.0</v>
      </c>
      <c r="J625" s="69">
        <v>5.0</v>
      </c>
      <c r="K625" s="69" t="str">
        <f>iferror(vlookup(E625,MasterClass!$C$2:$G988,5,false),"")</f>
        <v/>
      </c>
      <c r="L625" s="181">
        <v>0.0</v>
      </c>
      <c r="M625" s="69">
        <f t="shared" si="97"/>
        <v>7</v>
      </c>
      <c r="N625" s="69">
        <f t="shared" si="98"/>
        <v>2</v>
      </c>
      <c r="O625" s="146">
        <f t="shared" si="99"/>
        <v>0.2857142857</v>
      </c>
      <c r="P625" s="146"/>
      <c r="Q625" s="70"/>
      <c r="R625" s="63"/>
      <c r="S625" s="63"/>
      <c r="T625" s="63"/>
      <c r="U625" s="63"/>
      <c r="V625" s="63"/>
      <c r="W625" s="63"/>
      <c r="X625" s="63"/>
      <c r="Y625" s="63"/>
      <c r="Z625" s="63"/>
      <c r="AA625" s="63"/>
      <c r="AB625" s="63"/>
      <c r="AC625" s="63"/>
      <c r="AD625" s="63"/>
      <c r="AE625" s="63"/>
      <c r="AF625" s="63"/>
      <c r="AG625" s="63"/>
      <c r="AH625" s="63"/>
      <c r="AI625" s="63"/>
      <c r="AJ625" s="63"/>
    </row>
    <row r="626">
      <c r="A626" s="135">
        <v>634.0</v>
      </c>
      <c r="B626" s="67">
        <v>31.0</v>
      </c>
      <c r="C626" s="31" t="s">
        <v>1124</v>
      </c>
      <c r="D626" s="68" t="s">
        <v>1714</v>
      </c>
      <c r="E626" s="71" t="s">
        <v>3076</v>
      </c>
      <c r="F626" s="69" t="s">
        <v>1684</v>
      </c>
      <c r="G626" s="69" t="s">
        <v>3068</v>
      </c>
      <c r="H626" s="145"/>
      <c r="I626" s="145"/>
      <c r="J626" s="69">
        <v>5.0</v>
      </c>
      <c r="K626" s="69" t="str">
        <f>iferror(vlookup(E626,MasterClass!$C$2:$G988,5,false),"")</f>
        <v/>
      </c>
      <c r="L626" s="181">
        <v>1.0</v>
      </c>
      <c r="M626" s="69">
        <f t="shared" si="97"/>
        <v>5</v>
      </c>
      <c r="N626" s="69">
        <f t="shared" si="98"/>
        <v>1</v>
      </c>
      <c r="O626" s="146">
        <f t="shared" si="99"/>
        <v>0.2</v>
      </c>
      <c r="P626" s="146"/>
      <c r="Q626" s="70"/>
      <c r="R626" s="63"/>
      <c r="S626" s="63"/>
      <c r="T626" s="63"/>
      <c r="U626" s="63"/>
      <c r="V626" s="63"/>
      <c r="W626" s="63"/>
      <c r="X626" s="63"/>
      <c r="Y626" s="63"/>
      <c r="Z626" s="63"/>
      <c r="AA626" s="63"/>
      <c r="AB626" s="63"/>
      <c r="AC626" s="63"/>
      <c r="AD626" s="63"/>
      <c r="AE626" s="63"/>
      <c r="AF626" s="63"/>
      <c r="AG626" s="63"/>
      <c r="AH626" s="63"/>
      <c r="AI626" s="63"/>
      <c r="AJ626" s="63"/>
    </row>
    <row r="627">
      <c r="A627" s="135">
        <v>635.0</v>
      </c>
      <c r="B627" s="67">
        <v>32.0</v>
      </c>
      <c r="C627" s="31" t="s">
        <v>1126</v>
      </c>
      <c r="D627" s="68" t="s">
        <v>1715</v>
      </c>
      <c r="E627" s="71" t="s">
        <v>3077</v>
      </c>
      <c r="F627" s="69" t="s">
        <v>1684</v>
      </c>
      <c r="G627" s="69" t="s">
        <v>2507</v>
      </c>
      <c r="H627" s="145">
        <v>3.0</v>
      </c>
      <c r="I627" s="145">
        <v>3.0</v>
      </c>
      <c r="J627" s="69">
        <v>5.0</v>
      </c>
      <c r="K627" s="69" t="str">
        <f>iferror(vlookup(E627,MasterClass!$C$2:$G988,5,false),"")</f>
        <v/>
      </c>
      <c r="L627" s="69">
        <v>5.0</v>
      </c>
      <c r="M627" s="69">
        <f t="shared" si="97"/>
        <v>8</v>
      </c>
      <c r="N627" s="69">
        <f t="shared" si="98"/>
        <v>8</v>
      </c>
      <c r="O627" s="146">
        <f t="shared" si="99"/>
        <v>1</v>
      </c>
      <c r="P627" s="69" t="s">
        <v>2508</v>
      </c>
      <c r="Q627" s="69"/>
      <c r="R627" s="63"/>
      <c r="S627" s="63"/>
      <c r="T627" s="63"/>
      <c r="U627" s="63"/>
      <c r="V627" s="63"/>
      <c r="W627" s="63"/>
      <c r="X627" s="63"/>
      <c r="Y627" s="63"/>
      <c r="Z627" s="63"/>
      <c r="AA627" s="63"/>
      <c r="AB627" s="63"/>
      <c r="AC627" s="63"/>
      <c r="AD627" s="63"/>
      <c r="AE627" s="63"/>
      <c r="AF627" s="63"/>
      <c r="AG627" s="63"/>
      <c r="AH627" s="63"/>
      <c r="AI627" s="63"/>
      <c r="AJ627" s="63"/>
    </row>
    <row r="628">
      <c r="A628" s="135">
        <v>636.0</v>
      </c>
      <c r="B628" s="67">
        <v>33.0</v>
      </c>
      <c r="C628" s="31" t="s">
        <v>1128</v>
      </c>
      <c r="D628" s="68" t="s">
        <v>1716</v>
      </c>
      <c r="E628" s="71" t="s">
        <v>3078</v>
      </c>
      <c r="F628" s="69" t="s">
        <v>1684</v>
      </c>
      <c r="G628" s="69" t="s">
        <v>2583</v>
      </c>
      <c r="H628" s="145">
        <v>4.0</v>
      </c>
      <c r="I628" s="145">
        <v>3.0</v>
      </c>
      <c r="J628" s="69">
        <v>5.0</v>
      </c>
      <c r="K628" s="69" t="str">
        <f>iferror(vlookup(E628,MasterClass!$C$2:$G988,5,false),"")</f>
        <v/>
      </c>
      <c r="L628" s="69">
        <v>2.0</v>
      </c>
      <c r="M628" s="69">
        <f t="shared" si="97"/>
        <v>9</v>
      </c>
      <c r="N628" s="69">
        <f t="shared" si="98"/>
        <v>5</v>
      </c>
      <c r="O628" s="146">
        <f t="shared" si="99"/>
        <v>0.5555555556</v>
      </c>
      <c r="P628" s="69" t="s">
        <v>2508</v>
      </c>
      <c r="Q628" s="69"/>
      <c r="R628" s="63"/>
      <c r="S628" s="63"/>
      <c r="T628" s="63"/>
      <c r="U628" s="63"/>
      <c r="V628" s="63"/>
      <c r="W628" s="63"/>
      <c r="X628" s="63"/>
      <c r="Y628" s="63"/>
      <c r="Z628" s="63"/>
      <c r="AA628" s="63"/>
      <c r="AB628" s="63"/>
      <c r="AC628" s="63"/>
      <c r="AD628" s="63"/>
      <c r="AE628" s="63"/>
      <c r="AF628" s="63"/>
      <c r="AG628" s="63"/>
      <c r="AH628" s="63"/>
      <c r="AI628" s="63"/>
      <c r="AJ628" s="63"/>
    </row>
    <row r="629">
      <c r="A629" s="135">
        <v>637.0</v>
      </c>
      <c r="B629" s="67">
        <v>34.0</v>
      </c>
      <c r="C629" s="31" t="s">
        <v>1130</v>
      </c>
      <c r="D629" s="68" t="s">
        <v>1717</v>
      </c>
      <c r="E629" s="71" t="s">
        <v>3079</v>
      </c>
      <c r="F629" s="69" t="s">
        <v>1684</v>
      </c>
      <c r="G629" s="69" t="s">
        <v>3068</v>
      </c>
      <c r="H629" s="145"/>
      <c r="I629" s="145"/>
      <c r="J629" s="69">
        <v>5.0</v>
      </c>
      <c r="K629" s="69" t="str">
        <f>iferror(vlookup(E629,MasterClass!$C$2:$G988,5,false),"")</f>
        <v/>
      </c>
      <c r="L629" s="181">
        <v>1.0</v>
      </c>
      <c r="M629" s="69">
        <f t="shared" si="97"/>
        <v>5</v>
      </c>
      <c r="N629" s="69">
        <f t="shared" si="98"/>
        <v>1</v>
      </c>
      <c r="O629" s="146">
        <f t="shared" si="99"/>
        <v>0.2</v>
      </c>
      <c r="P629" s="146"/>
      <c r="Q629" s="70"/>
      <c r="R629" s="63"/>
      <c r="S629" s="63"/>
      <c r="T629" s="63"/>
      <c r="U629" s="63"/>
      <c r="V629" s="63"/>
      <c r="W629" s="63"/>
      <c r="X629" s="63"/>
      <c r="Y629" s="63"/>
      <c r="Z629" s="63"/>
      <c r="AA629" s="63"/>
      <c r="AB629" s="63"/>
      <c r="AC629" s="63"/>
      <c r="AD629" s="63"/>
      <c r="AE629" s="63"/>
      <c r="AF629" s="63"/>
      <c r="AG629" s="63"/>
      <c r="AH629" s="63"/>
      <c r="AI629" s="63"/>
      <c r="AJ629" s="63"/>
    </row>
    <row r="630">
      <c r="A630" s="135">
        <v>638.0</v>
      </c>
      <c r="B630" s="67">
        <v>35.0</v>
      </c>
      <c r="C630" s="31" t="s">
        <v>1132</v>
      </c>
      <c r="D630" s="68" t="s">
        <v>1718</v>
      </c>
      <c r="E630" s="71" t="s">
        <v>3080</v>
      </c>
      <c r="F630" s="69" t="s">
        <v>1684</v>
      </c>
      <c r="G630" s="69" t="s">
        <v>3068</v>
      </c>
      <c r="H630" s="145"/>
      <c r="I630" s="145"/>
      <c r="J630" s="69">
        <v>5.0</v>
      </c>
      <c r="K630" s="69" t="str">
        <f>iferror(vlookup(E630,MasterClass!$C$2:$G988,5,false),"")</f>
        <v/>
      </c>
      <c r="L630" s="181">
        <v>1.0</v>
      </c>
      <c r="M630" s="69">
        <f t="shared" si="97"/>
        <v>5</v>
      </c>
      <c r="N630" s="69">
        <f t="shared" si="98"/>
        <v>1</v>
      </c>
      <c r="O630" s="146">
        <f t="shared" si="99"/>
        <v>0.2</v>
      </c>
      <c r="P630" s="146"/>
      <c r="Q630" s="70"/>
      <c r="R630" s="63"/>
      <c r="S630" s="63"/>
      <c r="T630" s="63"/>
      <c r="U630" s="63"/>
      <c r="V630" s="63"/>
      <c r="W630" s="63"/>
      <c r="X630" s="63"/>
      <c r="Y630" s="63"/>
      <c r="Z630" s="63"/>
      <c r="AA630" s="63"/>
      <c r="AB630" s="63"/>
      <c r="AC630" s="63"/>
      <c r="AD630" s="63"/>
      <c r="AE630" s="63"/>
      <c r="AF630" s="63"/>
      <c r="AG630" s="63"/>
      <c r="AH630" s="63"/>
      <c r="AI630" s="63"/>
      <c r="AJ630" s="63"/>
    </row>
    <row r="631">
      <c r="A631" s="135">
        <v>639.0</v>
      </c>
      <c r="B631" s="67">
        <v>36.0</v>
      </c>
      <c r="C631" s="31" t="s">
        <v>1134</v>
      </c>
      <c r="D631" s="68" t="s">
        <v>1719</v>
      </c>
      <c r="E631" s="71" t="s">
        <v>3081</v>
      </c>
      <c r="F631" s="69" t="s">
        <v>1684</v>
      </c>
      <c r="G631" s="69" t="s">
        <v>3068</v>
      </c>
      <c r="H631" s="145"/>
      <c r="I631" s="145"/>
      <c r="J631" s="69">
        <v>5.0</v>
      </c>
      <c r="K631" s="69" t="str">
        <f>iferror(vlookup(E631,MasterClass!$C$2:$G988,5,false),"")</f>
        <v/>
      </c>
      <c r="L631" s="181">
        <v>1.0</v>
      </c>
      <c r="M631" s="69">
        <f t="shared" si="97"/>
        <v>5</v>
      </c>
      <c r="N631" s="69">
        <f t="shared" si="98"/>
        <v>1</v>
      </c>
      <c r="O631" s="146">
        <f t="shared" si="99"/>
        <v>0.2</v>
      </c>
      <c r="P631" s="146"/>
      <c r="Q631" s="70"/>
      <c r="R631" s="63"/>
      <c r="S631" s="63"/>
      <c r="T631" s="63"/>
      <c r="U631" s="63"/>
      <c r="V631" s="63"/>
      <c r="W631" s="63"/>
      <c r="X631" s="63"/>
      <c r="Y631" s="63"/>
      <c r="Z631" s="63"/>
      <c r="AA631" s="63"/>
      <c r="AB631" s="63"/>
      <c r="AC631" s="63"/>
      <c r="AD631" s="63"/>
      <c r="AE631" s="63"/>
      <c r="AF631" s="63"/>
      <c r="AG631" s="63"/>
      <c r="AH631" s="63"/>
      <c r="AI631" s="63"/>
      <c r="AJ631" s="63"/>
    </row>
    <row r="632">
      <c r="A632" s="135">
        <v>640.0</v>
      </c>
      <c r="B632" s="67">
        <v>37.0</v>
      </c>
      <c r="C632" s="31" t="s">
        <v>1136</v>
      </c>
      <c r="D632" s="68" t="s">
        <v>1720</v>
      </c>
      <c r="E632" s="71" t="s">
        <v>3082</v>
      </c>
      <c r="F632" s="69" t="s">
        <v>1684</v>
      </c>
      <c r="G632" s="69" t="s">
        <v>1187</v>
      </c>
      <c r="H632" s="145" t="s">
        <v>1187</v>
      </c>
      <c r="I632" s="145" t="s">
        <v>1187</v>
      </c>
      <c r="J632" s="69" t="s">
        <v>1187</v>
      </c>
      <c r="K632" s="69" t="s">
        <v>1187</v>
      </c>
      <c r="L632" s="69" t="s">
        <v>1187</v>
      </c>
      <c r="M632" s="69" t="s">
        <v>1187</v>
      </c>
      <c r="N632" s="69" t="s">
        <v>1187</v>
      </c>
      <c r="O632" s="69" t="s">
        <v>1187</v>
      </c>
      <c r="P632" s="69" t="s">
        <v>2522</v>
      </c>
      <c r="Q632" s="70"/>
      <c r="R632" s="63"/>
      <c r="S632" s="63"/>
      <c r="T632" s="63"/>
      <c r="U632" s="63"/>
      <c r="V632" s="63"/>
      <c r="W632" s="63"/>
      <c r="X632" s="63"/>
      <c r="Y632" s="63"/>
      <c r="Z632" s="63"/>
      <c r="AA632" s="63"/>
      <c r="AB632" s="63"/>
      <c r="AC632" s="63"/>
      <c r="AD632" s="63"/>
      <c r="AE632" s="63"/>
      <c r="AF632" s="63"/>
      <c r="AG632" s="63"/>
      <c r="AH632" s="63"/>
      <c r="AI632" s="63"/>
      <c r="AJ632" s="63"/>
    </row>
    <row r="633">
      <c r="A633" s="135">
        <v>641.0</v>
      </c>
      <c r="B633" s="67">
        <v>38.0</v>
      </c>
      <c r="C633" s="31" t="s">
        <v>1138</v>
      </c>
      <c r="D633" s="68" t="s">
        <v>1721</v>
      </c>
      <c r="E633" s="71" t="s">
        <v>3083</v>
      </c>
      <c r="F633" s="69" t="s">
        <v>1684</v>
      </c>
      <c r="G633" s="69" t="s">
        <v>1187</v>
      </c>
      <c r="H633" s="145" t="s">
        <v>1187</v>
      </c>
      <c r="I633" s="145" t="s">
        <v>1187</v>
      </c>
      <c r="J633" s="69" t="s">
        <v>1187</v>
      </c>
      <c r="K633" s="69" t="s">
        <v>1187</v>
      </c>
      <c r="L633" s="69" t="s">
        <v>1187</v>
      </c>
      <c r="M633" s="69" t="s">
        <v>1187</v>
      </c>
      <c r="N633" s="69" t="s">
        <v>1187</v>
      </c>
      <c r="O633" s="69" t="s">
        <v>1187</v>
      </c>
      <c r="P633" s="69" t="s">
        <v>2522</v>
      </c>
      <c r="Q633" s="70"/>
      <c r="R633" s="63"/>
      <c r="S633" s="63"/>
      <c r="T633" s="63"/>
      <c r="U633" s="63"/>
      <c r="V633" s="63"/>
      <c r="W633" s="63"/>
      <c r="X633" s="63"/>
      <c r="Y633" s="63"/>
      <c r="Z633" s="63"/>
      <c r="AA633" s="63"/>
      <c r="AB633" s="63"/>
      <c r="AC633" s="63"/>
      <c r="AD633" s="63"/>
      <c r="AE633" s="63"/>
      <c r="AF633" s="63"/>
      <c r="AG633" s="63"/>
      <c r="AH633" s="63"/>
      <c r="AI633" s="63"/>
      <c r="AJ633" s="63"/>
    </row>
    <row r="634">
      <c r="A634" s="135">
        <v>642.0</v>
      </c>
      <c r="B634" s="67">
        <v>39.0</v>
      </c>
      <c r="C634" s="31" t="s">
        <v>1140</v>
      </c>
      <c r="D634" s="68" t="s">
        <v>1722</v>
      </c>
      <c r="E634" s="71" t="s">
        <v>3084</v>
      </c>
      <c r="F634" s="69" t="s">
        <v>1684</v>
      </c>
      <c r="G634" s="69" t="s">
        <v>3044</v>
      </c>
      <c r="H634" s="145">
        <v>2.0</v>
      </c>
      <c r="I634" s="145">
        <v>2.0</v>
      </c>
      <c r="J634" s="69">
        <v>5.0</v>
      </c>
      <c r="K634" s="69" t="str">
        <f>iferror(vlookup(E634,MasterClass!$C$2:$G988,5,false),"")</f>
        <v/>
      </c>
      <c r="L634" s="181">
        <v>2.0</v>
      </c>
      <c r="M634" s="69">
        <f t="shared" ref="M634:M643" si="100">J634+H634</f>
        <v>7</v>
      </c>
      <c r="N634" s="69">
        <f t="shared" ref="N634:N643" si="101">I634+L634+K634</f>
        <v>4</v>
      </c>
      <c r="O634" s="146">
        <f t="shared" ref="O634:O643" si="102">N634/M634</f>
        <v>0.5714285714</v>
      </c>
      <c r="P634" s="146"/>
      <c r="Q634" s="70"/>
      <c r="R634" s="63"/>
      <c r="S634" s="63"/>
      <c r="T634" s="63"/>
      <c r="U634" s="63"/>
      <c r="V634" s="63"/>
      <c r="W634" s="63"/>
      <c r="X634" s="63"/>
      <c r="Y634" s="63"/>
      <c r="Z634" s="63"/>
      <c r="AA634" s="63"/>
      <c r="AB634" s="63"/>
      <c r="AC634" s="63"/>
      <c r="AD634" s="63"/>
      <c r="AE634" s="63"/>
      <c r="AF634" s="63"/>
      <c r="AG634" s="63"/>
      <c r="AH634" s="63"/>
      <c r="AI634" s="63"/>
      <c r="AJ634" s="63"/>
    </row>
    <row r="635">
      <c r="A635" s="135">
        <v>643.0</v>
      </c>
      <c r="B635" s="67">
        <v>40.0</v>
      </c>
      <c r="C635" s="31" t="s">
        <v>1142</v>
      </c>
      <c r="D635" s="68" t="s">
        <v>1723</v>
      </c>
      <c r="E635" s="71" t="s">
        <v>3085</v>
      </c>
      <c r="F635" s="69" t="s">
        <v>1684</v>
      </c>
      <c r="G635" s="69" t="s">
        <v>3044</v>
      </c>
      <c r="H635" s="145">
        <v>2.0</v>
      </c>
      <c r="I635" s="145">
        <v>2.0</v>
      </c>
      <c r="J635" s="69">
        <v>5.0</v>
      </c>
      <c r="K635" s="69" t="str">
        <f>iferror(vlookup(E635,MasterClass!$C$2:$G988,5,false),"")</f>
        <v/>
      </c>
      <c r="L635" s="181">
        <v>2.0</v>
      </c>
      <c r="M635" s="69">
        <f t="shared" si="100"/>
        <v>7</v>
      </c>
      <c r="N635" s="69">
        <f t="shared" si="101"/>
        <v>4</v>
      </c>
      <c r="O635" s="146">
        <f t="shared" si="102"/>
        <v>0.5714285714</v>
      </c>
      <c r="P635" s="146"/>
      <c r="Q635" s="70"/>
      <c r="R635" s="63"/>
      <c r="S635" s="63"/>
      <c r="T635" s="63"/>
      <c r="U635" s="63"/>
      <c r="V635" s="63"/>
      <c r="W635" s="63"/>
      <c r="X635" s="63"/>
      <c r="Y635" s="63"/>
      <c r="Z635" s="63"/>
      <c r="AA635" s="63"/>
      <c r="AB635" s="63"/>
      <c r="AC635" s="63"/>
      <c r="AD635" s="63"/>
      <c r="AE635" s="63"/>
      <c r="AF635" s="63"/>
      <c r="AG635" s="63"/>
      <c r="AH635" s="63"/>
      <c r="AI635" s="63"/>
      <c r="AJ635" s="63"/>
    </row>
    <row r="636">
      <c r="A636" s="135">
        <v>644.0</v>
      </c>
      <c r="B636" s="67">
        <v>41.0</v>
      </c>
      <c r="C636" s="31" t="s">
        <v>1144</v>
      </c>
      <c r="D636" s="68" t="s">
        <v>1724</v>
      </c>
      <c r="E636" s="71" t="s">
        <v>3086</v>
      </c>
      <c r="F636" s="69" t="s">
        <v>1684</v>
      </c>
      <c r="G636" s="69" t="s">
        <v>2507</v>
      </c>
      <c r="H636" s="145">
        <v>3.0</v>
      </c>
      <c r="I636" s="145">
        <v>3.0</v>
      </c>
      <c r="J636" s="69">
        <v>5.0</v>
      </c>
      <c r="K636" s="69" t="str">
        <f>iferror(vlookup(E636,MasterClass!$C$2:$G988,5,false),"")</f>
        <v/>
      </c>
      <c r="L636" s="69">
        <v>5.0</v>
      </c>
      <c r="M636" s="69">
        <f t="shared" si="100"/>
        <v>8</v>
      </c>
      <c r="N636" s="69">
        <f t="shared" si="101"/>
        <v>8</v>
      </c>
      <c r="O636" s="146">
        <f t="shared" si="102"/>
        <v>1</v>
      </c>
      <c r="P636" s="69" t="s">
        <v>2508</v>
      </c>
      <c r="Q636" s="69"/>
      <c r="R636" s="63"/>
      <c r="S636" s="63"/>
      <c r="T636" s="63"/>
      <c r="U636" s="63"/>
      <c r="V636" s="63"/>
      <c r="W636" s="63"/>
      <c r="X636" s="63"/>
      <c r="Y636" s="63"/>
      <c r="Z636" s="63"/>
      <c r="AA636" s="63"/>
      <c r="AB636" s="63"/>
      <c r="AC636" s="63"/>
      <c r="AD636" s="63"/>
      <c r="AE636" s="63"/>
      <c r="AF636" s="63"/>
      <c r="AG636" s="63"/>
      <c r="AH636" s="63"/>
      <c r="AI636" s="63"/>
      <c r="AJ636" s="63"/>
    </row>
    <row r="637">
      <c r="A637" s="135">
        <v>645.0</v>
      </c>
      <c r="B637" s="67">
        <v>42.0</v>
      </c>
      <c r="C637" s="31" t="s">
        <v>1146</v>
      </c>
      <c r="D637" s="68" t="s">
        <v>1725</v>
      </c>
      <c r="E637" s="71" t="s">
        <v>3087</v>
      </c>
      <c r="F637" s="69" t="s">
        <v>1684</v>
      </c>
      <c r="G637" s="69" t="s">
        <v>3044</v>
      </c>
      <c r="H637" s="145">
        <v>2.0</v>
      </c>
      <c r="I637" s="145">
        <v>2.0</v>
      </c>
      <c r="J637" s="69">
        <v>5.0</v>
      </c>
      <c r="K637" s="69" t="str">
        <f>iferror(vlookup(E637,MasterClass!$C$2:$G988,5,false),"")</f>
        <v/>
      </c>
      <c r="L637" s="181">
        <v>2.0</v>
      </c>
      <c r="M637" s="69">
        <f t="shared" si="100"/>
        <v>7</v>
      </c>
      <c r="N637" s="69">
        <f t="shared" si="101"/>
        <v>4</v>
      </c>
      <c r="O637" s="146">
        <f t="shared" si="102"/>
        <v>0.5714285714</v>
      </c>
      <c r="P637" s="146"/>
      <c r="Q637" s="70"/>
      <c r="R637" s="63"/>
      <c r="S637" s="63"/>
      <c r="T637" s="63"/>
      <c r="U637" s="63"/>
      <c r="V637" s="63"/>
      <c r="W637" s="63"/>
      <c r="X637" s="63"/>
      <c r="Y637" s="63"/>
      <c r="Z637" s="63"/>
      <c r="AA637" s="63"/>
      <c r="AB637" s="63"/>
      <c r="AC637" s="63"/>
      <c r="AD637" s="63"/>
      <c r="AE637" s="63"/>
      <c r="AF637" s="63"/>
      <c r="AG637" s="63"/>
      <c r="AH637" s="63"/>
      <c r="AI637" s="63"/>
      <c r="AJ637" s="63"/>
    </row>
    <row r="638">
      <c r="A638" s="135">
        <v>646.0</v>
      </c>
      <c r="B638" s="67">
        <v>43.0</v>
      </c>
      <c r="C638" s="31" t="s">
        <v>1148</v>
      </c>
      <c r="D638" s="68" t="s">
        <v>1726</v>
      </c>
      <c r="E638" s="71" t="s">
        <v>3088</v>
      </c>
      <c r="F638" s="69" t="s">
        <v>1684</v>
      </c>
      <c r="G638" s="69" t="s">
        <v>3068</v>
      </c>
      <c r="H638" s="183"/>
      <c r="I638" s="183"/>
      <c r="J638" s="69">
        <v>5.0</v>
      </c>
      <c r="K638" s="69" t="str">
        <f>iferror(vlookup(E638,MasterClass!$C$2:$G988,5,false),"")</f>
        <v/>
      </c>
      <c r="L638" s="181">
        <v>1.0</v>
      </c>
      <c r="M638" s="69">
        <f t="shared" si="100"/>
        <v>5</v>
      </c>
      <c r="N638" s="69">
        <f t="shared" si="101"/>
        <v>1</v>
      </c>
      <c r="O638" s="146">
        <f t="shared" si="102"/>
        <v>0.2</v>
      </c>
      <c r="P638" s="146"/>
      <c r="Q638" s="70"/>
      <c r="R638" s="63"/>
      <c r="S638" s="63"/>
      <c r="T638" s="63"/>
      <c r="U638" s="63"/>
      <c r="V638" s="63"/>
      <c r="W638" s="63"/>
      <c r="X638" s="63"/>
      <c r="Y638" s="63"/>
      <c r="Z638" s="63"/>
      <c r="AA638" s="63"/>
      <c r="AB638" s="63"/>
      <c r="AC638" s="63"/>
      <c r="AD638" s="63"/>
      <c r="AE638" s="63"/>
      <c r="AF638" s="63"/>
      <c r="AG638" s="63"/>
      <c r="AH638" s="63"/>
      <c r="AI638" s="63"/>
      <c r="AJ638" s="63"/>
    </row>
    <row r="639">
      <c r="A639" s="135">
        <v>647.0</v>
      </c>
      <c r="B639" s="67">
        <v>44.0</v>
      </c>
      <c r="C639" s="31" t="s">
        <v>1150</v>
      </c>
      <c r="D639" s="68" t="s">
        <v>1727</v>
      </c>
      <c r="E639" s="71" t="s">
        <v>3089</v>
      </c>
      <c r="F639" s="69" t="s">
        <v>1684</v>
      </c>
      <c r="G639" s="69" t="s">
        <v>3068</v>
      </c>
      <c r="H639" s="183"/>
      <c r="I639" s="183"/>
      <c r="J639" s="69">
        <v>5.0</v>
      </c>
      <c r="K639" s="69" t="str">
        <f>iferror(vlookup(E639,MasterClass!$C$2:$G988,5,false),"")</f>
        <v/>
      </c>
      <c r="L639" s="181">
        <v>1.0</v>
      </c>
      <c r="M639" s="69">
        <f t="shared" si="100"/>
        <v>5</v>
      </c>
      <c r="N639" s="69">
        <f t="shared" si="101"/>
        <v>1</v>
      </c>
      <c r="O639" s="146">
        <f t="shared" si="102"/>
        <v>0.2</v>
      </c>
      <c r="P639" s="146"/>
      <c r="Q639" s="70"/>
      <c r="R639" s="63"/>
      <c r="S639" s="63"/>
      <c r="T639" s="63"/>
      <c r="U639" s="63"/>
      <c r="V639" s="63"/>
      <c r="W639" s="63"/>
      <c r="X639" s="63"/>
      <c r="Y639" s="63"/>
      <c r="Z639" s="63"/>
      <c r="AA639" s="63"/>
      <c r="AB639" s="63"/>
      <c r="AC639" s="63"/>
      <c r="AD639" s="63"/>
      <c r="AE639" s="63"/>
      <c r="AF639" s="63"/>
      <c r="AG639" s="63"/>
      <c r="AH639" s="63"/>
      <c r="AI639" s="63"/>
      <c r="AJ639" s="63"/>
    </row>
    <row r="640">
      <c r="A640" s="135">
        <v>648.0</v>
      </c>
      <c r="B640" s="67">
        <v>45.0</v>
      </c>
      <c r="C640" s="31" t="s">
        <v>1152</v>
      </c>
      <c r="D640" s="68" t="s">
        <v>1728</v>
      </c>
      <c r="E640" s="71" t="s">
        <v>3090</v>
      </c>
      <c r="F640" s="69" t="s">
        <v>1684</v>
      </c>
      <c r="G640" s="69" t="s">
        <v>3068</v>
      </c>
      <c r="H640" s="183"/>
      <c r="I640" s="183"/>
      <c r="J640" s="69">
        <v>5.0</v>
      </c>
      <c r="K640" s="69" t="str">
        <f>iferror(vlookup(E640,MasterClass!$C$2:$G988,5,false),"")</f>
        <v/>
      </c>
      <c r="L640" s="181">
        <v>1.0</v>
      </c>
      <c r="M640" s="69">
        <f t="shared" si="100"/>
        <v>5</v>
      </c>
      <c r="N640" s="69">
        <f t="shared" si="101"/>
        <v>1</v>
      </c>
      <c r="O640" s="146">
        <f t="shared" si="102"/>
        <v>0.2</v>
      </c>
      <c r="P640" s="146"/>
      <c r="Q640" s="70"/>
      <c r="R640" s="63"/>
      <c r="S640" s="63"/>
      <c r="T640" s="63"/>
      <c r="U640" s="63"/>
      <c r="V640" s="63"/>
      <c r="W640" s="63"/>
      <c r="X640" s="63"/>
      <c r="Y640" s="63"/>
      <c r="Z640" s="63"/>
      <c r="AA640" s="63"/>
      <c r="AB640" s="63"/>
      <c r="AC640" s="63"/>
      <c r="AD640" s="63"/>
      <c r="AE640" s="63"/>
      <c r="AF640" s="63"/>
      <c r="AG640" s="63"/>
      <c r="AH640" s="63"/>
      <c r="AI640" s="63"/>
      <c r="AJ640" s="63"/>
    </row>
    <row r="641">
      <c r="A641" s="135">
        <v>649.0</v>
      </c>
      <c r="B641" s="67">
        <v>46.0</v>
      </c>
      <c r="C641" s="31" t="s">
        <v>1154</v>
      </c>
      <c r="D641" s="68" t="s">
        <v>1729</v>
      </c>
      <c r="E641" s="71" t="s">
        <v>3091</v>
      </c>
      <c r="F641" s="69" t="s">
        <v>1684</v>
      </c>
      <c r="G641" s="69" t="s">
        <v>3068</v>
      </c>
      <c r="H641" s="183"/>
      <c r="I641" s="183"/>
      <c r="J641" s="69">
        <v>5.0</v>
      </c>
      <c r="K641" s="69" t="str">
        <f>iferror(vlookup(E641,MasterClass!$C$2:$G988,5,false),"")</f>
        <v/>
      </c>
      <c r="L641" s="181">
        <v>1.0</v>
      </c>
      <c r="M641" s="69">
        <f t="shared" si="100"/>
        <v>5</v>
      </c>
      <c r="N641" s="69">
        <f t="shared" si="101"/>
        <v>1</v>
      </c>
      <c r="O641" s="146">
        <f t="shared" si="102"/>
        <v>0.2</v>
      </c>
      <c r="P641" s="146"/>
      <c r="Q641" s="70"/>
      <c r="R641" s="63"/>
      <c r="S641" s="63"/>
      <c r="T641" s="63"/>
      <c r="U641" s="63"/>
      <c r="V641" s="63"/>
      <c r="W641" s="63"/>
      <c r="X641" s="63"/>
      <c r="Y641" s="63"/>
      <c r="Z641" s="63"/>
      <c r="AA641" s="63"/>
      <c r="AB641" s="63"/>
      <c r="AC641" s="63"/>
      <c r="AD641" s="63"/>
      <c r="AE641" s="63"/>
      <c r="AF641" s="63"/>
      <c r="AG641" s="63"/>
      <c r="AH641" s="63"/>
      <c r="AI641" s="63"/>
      <c r="AJ641" s="63"/>
    </row>
    <row r="642">
      <c r="A642" s="135">
        <v>650.0</v>
      </c>
      <c r="B642" s="67">
        <v>47.0</v>
      </c>
      <c r="C642" s="31" t="s">
        <v>1156</v>
      </c>
      <c r="D642" s="68" t="s">
        <v>1730</v>
      </c>
      <c r="E642" s="71" t="s">
        <v>3092</v>
      </c>
      <c r="F642" s="69" t="s">
        <v>1684</v>
      </c>
      <c r="G642" s="69" t="s">
        <v>3068</v>
      </c>
      <c r="H642" s="183"/>
      <c r="I642" s="183"/>
      <c r="J642" s="69">
        <v>5.0</v>
      </c>
      <c r="K642" s="69" t="str">
        <f>iferror(vlookup(E642,MasterClass!$C$2:$G988,5,false),"")</f>
        <v/>
      </c>
      <c r="L642" s="181">
        <v>0.0</v>
      </c>
      <c r="M642" s="69">
        <f t="shared" si="100"/>
        <v>5</v>
      </c>
      <c r="N642" s="69">
        <f t="shared" si="101"/>
        <v>0</v>
      </c>
      <c r="O642" s="146">
        <f t="shared" si="102"/>
        <v>0</v>
      </c>
      <c r="P642" s="146"/>
      <c r="Q642" s="70"/>
      <c r="R642" s="63"/>
      <c r="S642" s="63"/>
      <c r="T642" s="63"/>
      <c r="U642" s="63"/>
      <c r="V642" s="63"/>
      <c r="W642" s="63"/>
      <c r="X642" s="63"/>
      <c r="Y642" s="63"/>
      <c r="Z642" s="63"/>
      <c r="AA642" s="63"/>
      <c r="AB642" s="63"/>
      <c r="AC642" s="63"/>
      <c r="AD642" s="63"/>
      <c r="AE642" s="63"/>
      <c r="AF642" s="63"/>
      <c r="AG642" s="63"/>
      <c r="AH642" s="63"/>
      <c r="AI642" s="63"/>
      <c r="AJ642" s="63"/>
    </row>
    <row r="643">
      <c r="A643" s="135">
        <v>651.0</v>
      </c>
      <c r="B643" s="67">
        <v>48.0</v>
      </c>
      <c r="C643" s="31" t="s">
        <v>1158</v>
      </c>
      <c r="D643" s="68" t="s">
        <v>1731</v>
      </c>
      <c r="E643" s="71" t="s">
        <v>3093</v>
      </c>
      <c r="F643" s="69" t="s">
        <v>1684</v>
      </c>
      <c r="G643" s="69" t="s">
        <v>3068</v>
      </c>
      <c r="H643" s="183"/>
      <c r="I643" s="183"/>
      <c r="J643" s="69">
        <v>5.0</v>
      </c>
      <c r="K643" s="69" t="str">
        <f>iferror(vlookup(E643,MasterClass!$C$2:$G988,5,false),"")</f>
        <v/>
      </c>
      <c r="L643" s="181">
        <v>1.0</v>
      </c>
      <c r="M643" s="69">
        <f t="shared" si="100"/>
        <v>5</v>
      </c>
      <c r="N643" s="69">
        <f t="shared" si="101"/>
        <v>1</v>
      </c>
      <c r="O643" s="146">
        <f t="shared" si="102"/>
        <v>0.2</v>
      </c>
      <c r="P643" s="146"/>
      <c r="Q643" s="70"/>
      <c r="R643" s="63"/>
      <c r="S643" s="63"/>
      <c r="T643" s="63"/>
      <c r="U643" s="63"/>
      <c r="V643" s="63"/>
      <c r="W643" s="63"/>
      <c r="X643" s="63"/>
      <c r="Y643" s="63"/>
      <c r="Z643" s="63"/>
      <c r="AA643" s="63"/>
      <c r="AB643" s="63"/>
      <c r="AC643" s="63"/>
      <c r="AD643" s="63"/>
      <c r="AE643" s="63"/>
      <c r="AF643" s="63"/>
      <c r="AG643" s="63"/>
      <c r="AH643" s="63"/>
      <c r="AI643" s="63"/>
      <c r="AJ643" s="63"/>
    </row>
    <row r="644">
      <c r="A644" s="135"/>
      <c r="B644" s="63"/>
      <c r="C644" s="63"/>
      <c r="D644" s="63"/>
      <c r="E644" s="63"/>
      <c r="F644" s="184"/>
      <c r="G644" s="184"/>
      <c r="H644" s="184"/>
      <c r="I644" s="184"/>
      <c r="J644" s="184"/>
      <c r="K644" s="185" t="str">
        <f>iferror(vlookup(E644,MasterClass!$C$2:$G988,5,false),"")</f>
        <v/>
      </c>
      <c r="L644" s="184"/>
      <c r="M644" s="184"/>
      <c r="N644" s="184"/>
      <c r="O644" s="63"/>
      <c r="P644" s="63"/>
      <c r="Q644" s="63"/>
      <c r="R644" s="63"/>
      <c r="S644" s="63"/>
      <c r="T644" s="63"/>
      <c r="U644" s="63"/>
      <c r="V644" s="63"/>
      <c r="W644" s="63"/>
      <c r="X644" s="63"/>
      <c r="Y644" s="63"/>
      <c r="Z644" s="63"/>
      <c r="AA644" s="63"/>
      <c r="AB644" s="63"/>
      <c r="AC644" s="63"/>
      <c r="AD644" s="63"/>
      <c r="AE644" s="63"/>
      <c r="AF644" s="63"/>
      <c r="AG644" s="63"/>
      <c r="AH644" s="63"/>
      <c r="AI644" s="63"/>
      <c r="AJ644" s="63"/>
    </row>
    <row r="645">
      <c r="A645" s="135"/>
      <c r="B645" s="63"/>
      <c r="C645" s="63"/>
      <c r="D645" s="63"/>
      <c r="E645" s="63"/>
      <c r="F645" s="184"/>
      <c r="G645" s="184"/>
      <c r="H645" s="184"/>
      <c r="I645" s="184"/>
      <c r="J645" s="184"/>
      <c r="K645" s="69" t="str">
        <f>iferror(vlookup(E645,MasterClass!$C$2:$G988,5,false),"")</f>
        <v/>
      </c>
      <c r="L645" s="184"/>
      <c r="M645" s="184"/>
      <c r="N645" s="184"/>
      <c r="O645" s="63"/>
      <c r="P645" s="63"/>
      <c r="Q645" s="63"/>
      <c r="R645" s="63"/>
      <c r="S645" s="63"/>
      <c r="T645" s="63"/>
      <c r="U645" s="63"/>
      <c r="V645" s="63"/>
      <c r="W645" s="63"/>
      <c r="X645" s="63"/>
      <c r="Y645" s="63"/>
      <c r="Z645" s="63"/>
      <c r="AA645" s="63"/>
      <c r="AB645" s="63"/>
      <c r="AC645" s="63"/>
      <c r="AD645" s="63"/>
      <c r="AE645" s="63"/>
      <c r="AF645" s="63"/>
      <c r="AG645" s="63"/>
      <c r="AH645" s="63"/>
      <c r="AI645" s="63"/>
      <c r="AJ645" s="63"/>
    </row>
    <row r="646">
      <c r="A646" s="135"/>
      <c r="B646" s="63"/>
      <c r="C646" s="63"/>
      <c r="D646" s="63"/>
      <c r="E646" s="63"/>
      <c r="F646" s="184"/>
      <c r="G646" s="184"/>
      <c r="H646" s="184"/>
      <c r="I646" s="184"/>
      <c r="J646" s="184"/>
      <c r="K646" s="69" t="str">
        <f>iferror(vlookup(E646,MasterClass!$C$2:$G988,5,false),"")</f>
        <v/>
      </c>
      <c r="L646" s="184"/>
      <c r="M646" s="184"/>
      <c r="N646" s="184"/>
      <c r="O646" s="63"/>
      <c r="P646" s="63"/>
      <c r="Q646" s="63"/>
      <c r="R646" s="63"/>
      <c r="S646" s="63"/>
      <c r="T646" s="63"/>
      <c r="U646" s="63"/>
      <c r="V646" s="63"/>
      <c r="W646" s="63"/>
      <c r="X646" s="63"/>
      <c r="Y646" s="63"/>
      <c r="Z646" s="63"/>
      <c r="AA646" s="63"/>
      <c r="AB646" s="63"/>
      <c r="AC646" s="63"/>
      <c r="AD646" s="63"/>
      <c r="AE646" s="63"/>
      <c r="AF646" s="63"/>
      <c r="AG646" s="63"/>
      <c r="AH646" s="63"/>
      <c r="AI646" s="63"/>
      <c r="AJ646" s="63"/>
    </row>
    <row r="647">
      <c r="A647" s="135"/>
      <c r="B647" s="63"/>
      <c r="C647" s="63"/>
      <c r="D647" s="63"/>
      <c r="E647" s="63"/>
      <c r="F647" s="184"/>
      <c r="G647" s="184"/>
      <c r="H647" s="184"/>
      <c r="I647" s="184"/>
      <c r="J647" s="184"/>
      <c r="K647" s="69" t="str">
        <f>iferror(vlookup(E647,MasterClass!$C$2:$G988,5,false),"")</f>
        <v/>
      </c>
      <c r="L647" s="184"/>
      <c r="M647" s="184"/>
      <c r="N647" s="184"/>
      <c r="O647" s="63"/>
      <c r="P647" s="63"/>
      <c r="Q647" s="63"/>
      <c r="R647" s="63"/>
      <c r="S647" s="63"/>
      <c r="T647" s="63"/>
      <c r="U647" s="63"/>
      <c r="V647" s="63"/>
      <c r="W647" s="63"/>
      <c r="X647" s="63"/>
      <c r="Y647" s="63"/>
      <c r="Z647" s="63"/>
      <c r="AA647" s="63"/>
      <c r="AB647" s="63"/>
      <c r="AC647" s="63"/>
      <c r="AD647" s="63"/>
      <c r="AE647" s="63"/>
      <c r="AF647" s="63"/>
      <c r="AG647" s="63"/>
      <c r="AH647" s="63"/>
      <c r="AI647" s="63"/>
      <c r="AJ647" s="63"/>
    </row>
    <row r="648">
      <c r="A648" s="135"/>
      <c r="B648" s="63"/>
      <c r="C648" s="63"/>
      <c r="D648" s="63"/>
      <c r="E648" s="63"/>
      <c r="F648" s="184"/>
      <c r="G648" s="184"/>
      <c r="H648" s="184"/>
      <c r="I648" s="184"/>
      <c r="J648" s="184"/>
      <c r="K648" s="69" t="str">
        <f>iferror(vlookup(E648,MasterClass!$C$2:$G988,5,false),"")</f>
        <v/>
      </c>
      <c r="L648" s="184"/>
      <c r="M648" s="184"/>
      <c r="N648" s="184"/>
      <c r="O648" s="63"/>
      <c r="P648" s="63"/>
      <c r="Q648" s="63"/>
      <c r="R648" s="63"/>
      <c r="S648" s="63"/>
      <c r="T648" s="63"/>
      <c r="U648" s="63"/>
      <c r="V648" s="63"/>
      <c r="W648" s="63"/>
      <c r="X648" s="63"/>
      <c r="Y648" s="63"/>
      <c r="Z648" s="63"/>
      <c r="AA648" s="63"/>
      <c r="AB648" s="63"/>
      <c r="AC648" s="63"/>
      <c r="AD648" s="63"/>
      <c r="AE648" s="63"/>
      <c r="AF648" s="63"/>
      <c r="AG648" s="63"/>
      <c r="AH648" s="63"/>
      <c r="AI648" s="63"/>
      <c r="AJ648" s="63"/>
    </row>
    <row r="649">
      <c r="A649" s="135"/>
      <c r="B649" s="63"/>
      <c r="C649" s="63"/>
      <c r="D649" s="63"/>
      <c r="E649" s="63"/>
      <c r="F649" s="184"/>
      <c r="G649" s="184"/>
      <c r="H649" s="184"/>
      <c r="I649" s="184"/>
      <c r="J649" s="184"/>
      <c r="K649" s="69" t="str">
        <f>iferror(vlookup(E649,MasterClass!$C$2:$G988,5,false),"")</f>
        <v/>
      </c>
      <c r="L649" s="184"/>
      <c r="M649" s="184"/>
      <c r="N649" s="184"/>
      <c r="O649" s="63"/>
      <c r="P649" s="63"/>
      <c r="Q649" s="63"/>
      <c r="R649" s="63"/>
      <c r="S649" s="63"/>
      <c r="T649" s="63"/>
      <c r="U649" s="63"/>
      <c r="V649" s="63"/>
      <c r="W649" s="63"/>
      <c r="X649" s="63"/>
      <c r="Y649" s="63"/>
      <c r="Z649" s="63"/>
      <c r="AA649" s="63"/>
      <c r="AB649" s="63"/>
      <c r="AC649" s="63"/>
      <c r="AD649" s="63"/>
      <c r="AE649" s="63"/>
      <c r="AF649" s="63"/>
      <c r="AG649" s="63"/>
      <c r="AH649" s="63"/>
      <c r="AI649" s="63"/>
      <c r="AJ649" s="63"/>
    </row>
    <row r="650">
      <c r="A650" s="135"/>
      <c r="B650" s="63"/>
      <c r="C650" s="63"/>
      <c r="D650" s="63"/>
      <c r="E650" s="63"/>
      <c r="F650" s="184"/>
      <c r="G650" s="184"/>
      <c r="H650" s="184"/>
      <c r="I650" s="184"/>
      <c r="J650" s="184"/>
      <c r="K650" s="69" t="str">
        <f>iferror(vlookup(E650,MasterClass!$C$2:$G988,5,false),"")</f>
        <v/>
      </c>
      <c r="L650" s="184"/>
      <c r="M650" s="184"/>
      <c r="N650" s="184"/>
      <c r="O650" s="63"/>
      <c r="P650" s="63"/>
      <c r="Q650" s="63"/>
      <c r="R650" s="63"/>
      <c r="S650" s="63"/>
      <c r="T650" s="63"/>
      <c r="U650" s="63"/>
      <c r="V650" s="63"/>
      <c r="W650" s="63"/>
      <c r="X650" s="63"/>
      <c r="Y650" s="63"/>
      <c r="Z650" s="63"/>
      <c r="AA650" s="63"/>
      <c r="AB650" s="63"/>
      <c r="AC650" s="63"/>
      <c r="AD650" s="63"/>
      <c r="AE650" s="63"/>
      <c r="AF650" s="63"/>
      <c r="AG650" s="63"/>
      <c r="AH650" s="63"/>
      <c r="AI650" s="63"/>
      <c r="AJ650" s="63"/>
    </row>
    <row r="651">
      <c r="A651" s="135"/>
      <c r="B651" s="63"/>
      <c r="C651" s="63"/>
      <c r="D651" s="63"/>
      <c r="E651" s="63"/>
      <c r="F651" s="184"/>
      <c r="G651" s="184"/>
      <c r="H651" s="184"/>
      <c r="I651" s="184"/>
      <c r="J651" s="184"/>
      <c r="K651" s="69" t="str">
        <f>iferror(vlookup(E651,MasterClass!$C$2:$G988,5,false),"")</f>
        <v/>
      </c>
      <c r="L651" s="184"/>
      <c r="M651" s="184"/>
      <c r="N651" s="184"/>
      <c r="O651" s="63"/>
      <c r="P651" s="63"/>
      <c r="Q651" s="63"/>
      <c r="R651" s="63"/>
      <c r="S651" s="63"/>
      <c r="T651" s="63"/>
      <c r="U651" s="63"/>
      <c r="V651" s="63"/>
      <c r="W651" s="63"/>
      <c r="X651" s="63"/>
      <c r="Y651" s="63"/>
      <c r="Z651" s="63"/>
      <c r="AA651" s="63"/>
      <c r="AB651" s="63"/>
      <c r="AC651" s="63"/>
      <c r="AD651" s="63"/>
      <c r="AE651" s="63"/>
      <c r="AF651" s="63"/>
      <c r="AG651" s="63"/>
      <c r="AH651" s="63"/>
      <c r="AI651" s="63"/>
      <c r="AJ651" s="63"/>
    </row>
    <row r="652">
      <c r="A652" s="135"/>
      <c r="B652" s="63"/>
      <c r="C652" s="63"/>
      <c r="D652" s="63"/>
      <c r="E652" s="63"/>
      <c r="F652" s="184"/>
      <c r="G652" s="184"/>
      <c r="H652" s="184"/>
      <c r="I652" s="184"/>
      <c r="J652" s="184"/>
      <c r="K652" s="69" t="str">
        <f>iferror(vlookup(E652,MasterClass!$C$2:$G988,5,false),"")</f>
        <v/>
      </c>
      <c r="L652" s="184"/>
      <c r="M652" s="184"/>
      <c r="N652" s="184"/>
      <c r="O652" s="63"/>
      <c r="P652" s="63"/>
      <c r="Q652" s="63"/>
      <c r="R652" s="63"/>
      <c r="S652" s="63"/>
      <c r="T652" s="63"/>
      <c r="U652" s="63"/>
      <c r="V652" s="63"/>
      <c r="W652" s="63"/>
      <c r="X652" s="63"/>
      <c r="Y652" s="63"/>
      <c r="Z652" s="63"/>
      <c r="AA652" s="63"/>
      <c r="AB652" s="63"/>
      <c r="AC652" s="63"/>
      <c r="AD652" s="63"/>
      <c r="AE652" s="63"/>
      <c r="AF652" s="63"/>
      <c r="AG652" s="63"/>
      <c r="AH652" s="63"/>
      <c r="AI652" s="63"/>
      <c r="AJ652" s="63"/>
    </row>
    <row r="653">
      <c r="A653" s="135"/>
      <c r="B653" s="63"/>
      <c r="C653" s="63"/>
      <c r="D653" s="63"/>
      <c r="E653" s="63"/>
      <c r="F653" s="184"/>
      <c r="G653" s="184"/>
      <c r="H653" s="184"/>
      <c r="I653" s="184"/>
      <c r="J653" s="184"/>
      <c r="K653" s="69" t="str">
        <f>iferror(vlookup(E653,MasterClass!$C$2:$G988,5,false),"")</f>
        <v/>
      </c>
      <c r="L653" s="184"/>
      <c r="M653" s="184"/>
      <c r="N653" s="184"/>
      <c r="O653" s="63"/>
      <c r="P653" s="63"/>
      <c r="Q653" s="63"/>
      <c r="R653" s="63"/>
      <c r="S653" s="63"/>
      <c r="T653" s="63"/>
      <c r="U653" s="63"/>
      <c r="V653" s="63"/>
      <c r="W653" s="63"/>
      <c r="X653" s="63"/>
      <c r="Y653" s="63"/>
      <c r="Z653" s="63"/>
      <c r="AA653" s="63"/>
      <c r="AB653" s="63"/>
      <c r="AC653" s="63"/>
      <c r="AD653" s="63"/>
      <c r="AE653" s="63"/>
      <c r="AF653" s="63"/>
      <c r="AG653" s="63"/>
      <c r="AH653" s="63"/>
      <c r="AI653" s="63"/>
      <c r="AJ653" s="63"/>
    </row>
    <row r="654">
      <c r="A654" s="135"/>
      <c r="B654" s="63"/>
      <c r="C654" s="63"/>
      <c r="D654" s="63"/>
      <c r="E654" s="63"/>
      <c r="F654" s="184"/>
      <c r="G654" s="184"/>
      <c r="H654" s="184"/>
      <c r="I654" s="184"/>
      <c r="J654" s="184"/>
      <c r="K654" s="69" t="str">
        <f>iferror(vlookup(E654,MasterClass!$C$2:$G988,5,false),"")</f>
        <v/>
      </c>
      <c r="L654" s="184"/>
      <c r="M654" s="184"/>
      <c r="N654" s="184"/>
      <c r="O654" s="63"/>
      <c r="P654" s="63"/>
      <c r="Q654" s="63"/>
      <c r="R654" s="63"/>
      <c r="S654" s="63"/>
      <c r="T654" s="63"/>
      <c r="U654" s="63"/>
      <c r="V654" s="63"/>
      <c r="W654" s="63"/>
      <c r="X654" s="63"/>
      <c r="Y654" s="63"/>
      <c r="Z654" s="63"/>
      <c r="AA654" s="63"/>
      <c r="AB654" s="63"/>
      <c r="AC654" s="63"/>
      <c r="AD654" s="63"/>
      <c r="AE654" s="63"/>
      <c r="AF654" s="63"/>
      <c r="AG654" s="63"/>
      <c r="AH654" s="63"/>
      <c r="AI654" s="63"/>
      <c r="AJ654" s="63"/>
    </row>
    <row r="655">
      <c r="A655" s="135"/>
      <c r="B655" s="63"/>
      <c r="C655" s="63"/>
      <c r="D655" s="63"/>
      <c r="E655" s="63"/>
      <c r="F655" s="184"/>
      <c r="G655" s="184"/>
      <c r="H655" s="184"/>
      <c r="I655" s="184"/>
      <c r="J655" s="184"/>
      <c r="K655" s="69" t="str">
        <f>iferror(vlookup(E655,MasterClass!$C$2:$G988,5,false),"")</f>
        <v/>
      </c>
      <c r="L655" s="184"/>
      <c r="M655" s="184"/>
      <c r="N655" s="184"/>
      <c r="O655" s="63"/>
      <c r="P655" s="63"/>
      <c r="Q655" s="63"/>
      <c r="R655" s="63"/>
      <c r="S655" s="63"/>
      <c r="T655" s="63"/>
      <c r="U655" s="63"/>
      <c r="V655" s="63"/>
      <c r="W655" s="63"/>
      <c r="X655" s="63"/>
      <c r="Y655" s="63"/>
      <c r="Z655" s="63"/>
      <c r="AA655" s="63"/>
      <c r="AB655" s="63"/>
      <c r="AC655" s="63"/>
      <c r="AD655" s="63"/>
      <c r="AE655" s="63"/>
      <c r="AF655" s="63"/>
      <c r="AG655" s="63"/>
      <c r="AH655" s="63"/>
      <c r="AI655" s="63"/>
      <c r="AJ655" s="63"/>
    </row>
    <row r="656">
      <c r="A656" s="135"/>
      <c r="B656" s="63"/>
      <c r="C656" s="63"/>
      <c r="D656" s="63"/>
      <c r="E656" s="63"/>
      <c r="F656" s="184"/>
      <c r="G656" s="184"/>
      <c r="H656" s="184"/>
      <c r="I656" s="184"/>
      <c r="J656" s="184"/>
      <c r="K656" s="69" t="str">
        <f>iferror(vlookup(E656,MasterClass!$C$2:$G988,5,false),"")</f>
        <v/>
      </c>
      <c r="L656" s="184"/>
      <c r="M656" s="184"/>
      <c r="N656" s="184"/>
      <c r="O656" s="63"/>
      <c r="P656" s="63"/>
      <c r="Q656" s="63"/>
      <c r="R656" s="63"/>
      <c r="S656" s="63"/>
      <c r="T656" s="63"/>
      <c r="U656" s="63"/>
      <c r="V656" s="63"/>
      <c r="W656" s="63"/>
      <c r="X656" s="63"/>
      <c r="Y656" s="63"/>
      <c r="Z656" s="63"/>
      <c r="AA656" s="63"/>
      <c r="AB656" s="63"/>
      <c r="AC656" s="63"/>
      <c r="AD656" s="63"/>
      <c r="AE656" s="63"/>
      <c r="AF656" s="63"/>
      <c r="AG656" s="63"/>
      <c r="AH656" s="63"/>
      <c r="AI656" s="63"/>
      <c r="AJ656" s="63"/>
    </row>
    <row r="657">
      <c r="A657" s="135"/>
      <c r="B657" s="63"/>
      <c r="C657" s="63"/>
      <c r="D657" s="63"/>
      <c r="E657" s="63"/>
      <c r="F657" s="184"/>
      <c r="G657" s="184"/>
      <c r="H657" s="184"/>
      <c r="I657" s="184"/>
      <c r="J657" s="184"/>
      <c r="K657" s="69" t="str">
        <f>iferror(vlookup(E657,MasterClass!$C$2:$G988,5,false),"")</f>
        <v/>
      </c>
      <c r="L657" s="184"/>
      <c r="M657" s="184"/>
      <c r="N657" s="184"/>
      <c r="O657" s="63"/>
      <c r="P657" s="63"/>
      <c r="Q657" s="63"/>
      <c r="R657" s="63"/>
      <c r="S657" s="63"/>
      <c r="T657" s="63"/>
      <c r="U657" s="63"/>
      <c r="V657" s="63"/>
      <c r="W657" s="63"/>
      <c r="X657" s="63"/>
      <c r="Y657" s="63"/>
      <c r="Z657" s="63"/>
      <c r="AA657" s="63"/>
      <c r="AB657" s="63"/>
      <c r="AC657" s="63"/>
      <c r="AD657" s="63"/>
      <c r="AE657" s="63"/>
      <c r="AF657" s="63"/>
      <c r="AG657" s="63"/>
      <c r="AH657" s="63"/>
      <c r="AI657" s="63"/>
      <c r="AJ657" s="63"/>
    </row>
    <row r="658">
      <c r="A658" s="135"/>
      <c r="B658" s="63"/>
      <c r="C658" s="63"/>
      <c r="D658" s="63"/>
      <c r="E658" s="63"/>
      <c r="F658" s="184"/>
      <c r="G658" s="184"/>
      <c r="H658" s="184"/>
      <c r="I658" s="184"/>
      <c r="J658" s="184"/>
      <c r="K658" s="69" t="str">
        <f>iferror(vlookup(E658,MasterClass!$C$2:$G988,5,false),"")</f>
        <v/>
      </c>
      <c r="L658" s="184"/>
      <c r="M658" s="184"/>
      <c r="N658" s="184"/>
      <c r="O658" s="63"/>
      <c r="P658" s="63"/>
      <c r="Q658" s="63"/>
      <c r="R658" s="63"/>
      <c r="S658" s="63"/>
      <c r="T658" s="63"/>
      <c r="U658" s="63"/>
      <c r="V658" s="63"/>
      <c r="W658" s="63"/>
      <c r="X658" s="63"/>
      <c r="Y658" s="63"/>
      <c r="Z658" s="63"/>
      <c r="AA658" s="63"/>
      <c r="AB658" s="63"/>
      <c r="AC658" s="63"/>
      <c r="AD658" s="63"/>
      <c r="AE658" s="63"/>
      <c r="AF658" s="63"/>
      <c r="AG658" s="63"/>
      <c r="AH658" s="63"/>
      <c r="AI658" s="63"/>
      <c r="AJ658" s="63"/>
    </row>
    <row r="659">
      <c r="A659" s="135"/>
      <c r="B659" s="63"/>
      <c r="C659" s="63"/>
      <c r="D659" s="63"/>
      <c r="E659" s="63"/>
      <c r="F659" s="184"/>
      <c r="G659" s="184"/>
      <c r="H659" s="184"/>
      <c r="I659" s="184"/>
      <c r="J659" s="184"/>
      <c r="K659" s="69" t="str">
        <f>iferror(vlookup(E659,MasterClass!$C$2:$G988,5,false),"")</f>
        <v/>
      </c>
      <c r="L659" s="184"/>
      <c r="M659" s="184"/>
      <c r="N659" s="184"/>
      <c r="O659" s="63"/>
      <c r="P659" s="63"/>
      <c r="Q659" s="63"/>
      <c r="R659" s="63"/>
      <c r="S659" s="63"/>
      <c r="T659" s="63"/>
      <c r="U659" s="63"/>
      <c r="V659" s="63"/>
      <c r="W659" s="63"/>
      <c r="X659" s="63"/>
      <c r="Y659" s="63"/>
      <c r="Z659" s="63"/>
      <c r="AA659" s="63"/>
      <c r="AB659" s="63"/>
      <c r="AC659" s="63"/>
      <c r="AD659" s="63"/>
      <c r="AE659" s="63"/>
      <c r="AF659" s="63"/>
      <c r="AG659" s="63"/>
      <c r="AH659" s="63"/>
      <c r="AI659" s="63"/>
      <c r="AJ659" s="63"/>
    </row>
    <row r="660">
      <c r="A660" s="135"/>
      <c r="B660" s="63"/>
      <c r="C660" s="63"/>
      <c r="D660" s="63"/>
      <c r="E660" s="63"/>
      <c r="F660" s="184"/>
      <c r="G660" s="184"/>
      <c r="H660" s="184"/>
      <c r="I660" s="184"/>
      <c r="J660" s="184"/>
      <c r="K660" s="69" t="str">
        <f>iferror(vlookup(E660,MasterClass!$C$2:$G988,5,false),"")</f>
        <v/>
      </c>
      <c r="L660" s="184"/>
      <c r="M660" s="184"/>
      <c r="N660" s="184"/>
      <c r="O660" s="63"/>
      <c r="P660" s="63"/>
      <c r="Q660" s="63"/>
      <c r="R660" s="63"/>
      <c r="S660" s="63"/>
      <c r="T660" s="63"/>
      <c r="U660" s="63"/>
      <c r="V660" s="63"/>
      <c r="W660" s="63"/>
      <c r="X660" s="63"/>
      <c r="Y660" s="63"/>
      <c r="Z660" s="63"/>
      <c r="AA660" s="63"/>
      <c r="AB660" s="63"/>
      <c r="AC660" s="63"/>
      <c r="AD660" s="63"/>
      <c r="AE660" s="63"/>
      <c r="AF660" s="63"/>
      <c r="AG660" s="63"/>
      <c r="AH660" s="63"/>
      <c r="AI660" s="63"/>
      <c r="AJ660" s="63"/>
    </row>
    <row r="661">
      <c r="A661" s="135"/>
      <c r="B661" s="63"/>
      <c r="C661" s="63"/>
      <c r="D661" s="63"/>
      <c r="E661" s="63"/>
      <c r="F661" s="184"/>
      <c r="G661" s="184"/>
      <c r="H661" s="184"/>
      <c r="I661" s="184"/>
      <c r="J661" s="184"/>
      <c r="K661" s="69" t="str">
        <f>iferror(vlookup(E661,MasterClass!$C$2:$G988,5,false),"")</f>
        <v/>
      </c>
      <c r="L661" s="184"/>
      <c r="M661" s="184"/>
      <c r="N661" s="184"/>
      <c r="O661" s="63"/>
      <c r="P661" s="63"/>
      <c r="Q661" s="63"/>
      <c r="R661" s="63"/>
      <c r="S661" s="63"/>
      <c r="T661" s="63"/>
      <c r="U661" s="63"/>
      <c r="V661" s="63"/>
      <c r="W661" s="63"/>
      <c r="X661" s="63"/>
      <c r="Y661" s="63"/>
      <c r="Z661" s="63"/>
      <c r="AA661" s="63"/>
      <c r="AB661" s="63"/>
      <c r="AC661" s="63"/>
      <c r="AD661" s="63"/>
      <c r="AE661" s="63"/>
      <c r="AF661" s="63"/>
      <c r="AG661" s="63"/>
      <c r="AH661" s="63"/>
      <c r="AI661" s="63"/>
      <c r="AJ661" s="63"/>
    </row>
    <row r="662">
      <c r="A662" s="135"/>
      <c r="B662" s="63"/>
      <c r="C662" s="63"/>
      <c r="D662" s="63"/>
      <c r="E662" s="63"/>
      <c r="F662" s="184"/>
      <c r="G662" s="184"/>
      <c r="H662" s="184"/>
      <c r="I662" s="184"/>
      <c r="J662" s="184"/>
      <c r="K662" s="69" t="str">
        <f>iferror(vlookup(E662,MasterClass!$C$2:$G988,5,false),"")</f>
        <v/>
      </c>
      <c r="L662" s="184"/>
      <c r="M662" s="184"/>
      <c r="N662" s="184"/>
      <c r="O662" s="63"/>
      <c r="P662" s="63"/>
      <c r="Q662" s="63"/>
      <c r="R662" s="63"/>
      <c r="S662" s="63"/>
      <c r="T662" s="63"/>
      <c r="U662" s="63"/>
      <c r="V662" s="63"/>
      <c r="W662" s="63"/>
      <c r="X662" s="63"/>
      <c r="Y662" s="63"/>
      <c r="Z662" s="63"/>
      <c r="AA662" s="63"/>
      <c r="AB662" s="63"/>
      <c r="AC662" s="63"/>
      <c r="AD662" s="63"/>
      <c r="AE662" s="63"/>
      <c r="AF662" s="63"/>
      <c r="AG662" s="63"/>
      <c r="AH662" s="63"/>
      <c r="AI662" s="63"/>
      <c r="AJ662" s="63"/>
    </row>
    <row r="663">
      <c r="A663" s="135"/>
      <c r="B663" s="63"/>
      <c r="C663" s="63"/>
      <c r="D663" s="63"/>
      <c r="E663" s="63"/>
      <c r="F663" s="184"/>
      <c r="G663" s="184"/>
      <c r="H663" s="184"/>
      <c r="I663" s="184"/>
      <c r="J663" s="184"/>
      <c r="K663" s="69" t="str">
        <f>iferror(vlookup(E663,MasterClass!$C$2:$G988,5,false),"")</f>
        <v/>
      </c>
      <c r="L663" s="184"/>
      <c r="M663" s="184"/>
      <c r="N663" s="184"/>
      <c r="O663" s="63"/>
      <c r="P663" s="63"/>
      <c r="Q663" s="63"/>
      <c r="R663" s="63"/>
      <c r="S663" s="63"/>
      <c r="T663" s="63"/>
      <c r="U663" s="63"/>
      <c r="V663" s="63"/>
      <c r="W663" s="63"/>
      <c r="X663" s="63"/>
      <c r="Y663" s="63"/>
      <c r="Z663" s="63"/>
      <c r="AA663" s="63"/>
      <c r="AB663" s="63"/>
      <c r="AC663" s="63"/>
      <c r="AD663" s="63"/>
      <c r="AE663" s="63"/>
      <c r="AF663" s="63"/>
      <c r="AG663" s="63"/>
      <c r="AH663" s="63"/>
      <c r="AI663" s="63"/>
      <c r="AJ663" s="63"/>
    </row>
    <row r="664">
      <c r="A664" s="135"/>
      <c r="B664" s="63"/>
      <c r="C664" s="63"/>
      <c r="D664" s="63"/>
      <c r="E664" s="63"/>
      <c r="F664" s="184"/>
      <c r="G664" s="184"/>
      <c r="H664" s="184"/>
      <c r="I664" s="184"/>
      <c r="J664" s="184"/>
      <c r="K664" s="69" t="str">
        <f>iferror(vlookup(E664,MasterClass!$C$2:$G988,5,false),"")</f>
        <v/>
      </c>
      <c r="L664" s="184"/>
      <c r="M664" s="184"/>
      <c r="N664" s="184"/>
      <c r="O664" s="63"/>
      <c r="P664" s="63"/>
      <c r="Q664" s="63"/>
      <c r="R664" s="63"/>
      <c r="S664" s="63"/>
      <c r="T664" s="63"/>
      <c r="U664" s="63"/>
      <c r="V664" s="63"/>
      <c r="W664" s="63"/>
      <c r="X664" s="63"/>
      <c r="Y664" s="63"/>
      <c r="Z664" s="63"/>
      <c r="AA664" s="63"/>
      <c r="AB664" s="63"/>
      <c r="AC664" s="63"/>
      <c r="AD664" s="63"/>
      <c r="AE664" s="63"/>
      <c r="AF664" s="63"/>
      <c r="AG664" s="63"/>
      <c r="AH664" s="63"/>
      <c r="AI664" s="63"/>
      <c r="AJ664" s="63"/>
    </row>
    <row r="665">
      <c r="A665" s="135"/>
      <c r="B665" s="63"/>
      <c r="C665" s="63"/>
      <c r="D665" s="63"/>
      <c r="E665" s="63"/>
      <c r="F665" s="184"/>
      <c r="G665" s="184"/>
      <c r="H665" s="184"/>
      <c r="I665" s="184"/>
      <c r="J665" s="184"/>
      <c r="K665" s="69" t="str">
        <f>iferror(vlookup(E665,MasterClass!$C$2:$G988,5,false),"")</f>
        <v/>
      </c>
      <c r="L665" s="184"/>
      <c r="M665" s="184"/>
      <c r="N665" s="184"/>
      <c r="O665" s="63"/>
      <c r="P665" s="63"/>
      <c r="Q665" s="63"/>
      <c r="R665" s="63"/>
      <c r="S665" s="63"/>
      <c r="T665" s="63"/>
      <c r="U665" s="63"/>
      <c r="V665" s="63"/>
      <c r="W665" s="63"/>
      <c r="X665" s="63"/>
      <c r="Y665" s="63"/>
      <c r="Z665" s="63"/>
      <c r="AA665" s="63"/>
      <c r="AB665" s="63"/>
      <c r="AC665" s="63"/>
      <c r="AD665" s="63"/>
      <c r="AE665" s="63"/>
      <c r="AF665" s="63"/>
      <c r="AG665" s="63"/>
      <c r="AH665" s="63"/>
      <c r="AI665" s="63"/>
      <c r="AJ665" s="63"/>
    </row>
    <row r="666">
      <c r="A666" s="135"/>
      <c r="B666" s="63"/>
      <c r="C666" s="63"/>
      <c r="D666" s="63"/>
      <c r="E666" s="63"/>
      <c r="F666" s="184"/>
      <c r="G666" s="184"/>
      <c r="H666" s="184"/>
      <c r="I666" s="184"/>
      <c r="J666" s="184"/>
      <c r="K666" s="69" t="str">
        <f>iferror(vlookup(E666,MasterClass!$C$2:$G988,5,false),"")</f>
        <v/>
      </c>
      <c r="L666" s="184"/>
      <c r="M666" s="184"/>
      <c r="N666" s="184"/>
      <c r="O666" s="63"/>
      <c r="P666" s="63"/>
      <c r="Q666" s="63"/>
      <c r="R666" s="63"/>
      <c r="S666" s="63"/>
      <c r="T666" s="63"/>
      <c r="U666" s="63"/>
      <c r="V666" s="63"/>
      <c r="W666" s="63"/>
      <c r="X666" s="63"/>
      <c r="Y666" s="63"/>
      <c r="Z666" s="63"/>
      <c r="AA666" s="63"/>
      <c r="AB666" s="63"/>
      <c r="AC666" s="63"/>
      <c r="AD666" s="63"/>
      <c r="AE666" s="63"/>
      <c r="AF666" s="63"/>
      <c r="AG666" s="63"/>
      <c r="AH666" s="63"/>
      <c r="AI666" s="63"/>
      <c r="AJ666" s="63"/>
    </row>
    <row r="667">
      <c r="A667" s="135"/>
      <c r="B667" s="63"/>
      <c r="C667" s="63"/>
      <c r="D667" s="63"/>
      <c r="E667" s="63"/>
      <c r="F667" s="184"/>
      <c r="G667" s="184"/>
      <c r="H667" s="184"/>
      <c r="I667" s="184"/>
      <c r="J667" s="184"/>
      <c r="K667" s="69" t="str">
        <f>iferror(vlookup(E667,MasterClass!$C$2:$G988,5,false),"")</f>
        <v/>
      </c>
      <c r="L667" s="184"/>
      <c r="M667" s="184"/>
      <c r="N667" s="184"/>
      <c r="O667" s="63"/>
      <c r="P667" s="63"/>
      <c r="Q667" s="63"/>
      <c r="R667" s="63"/>
      <c r="S667" s="63"/>
      <c r="T667" s="63"/>
      <c r="U667" s="63"/>
      <c r="V667" s="63"/>
      <c r="W667" s="63"/>
      <c r="X667" s="63"/>
      <c r="Y667" s="63"/>
      <c r="Z667" s="63"/>
      <c r="AA667" s="63"/>
      <c r="AB667" s="63"/>
      <c r="AC667" s="63"/>
      <c r="AD667" s="63"/>
      <c r="AE667" s="63"/>
      <c r="AF667" s="63"/>
      <c r="AG667" s="63"/>
      <c r="AH667" s="63"/>
      <c r="AI667" s="63"/>
      <c r="AJ667" s="63"/>
    </row>
    <row r="668">
      <c r="A668" s="135"/>
      <c r="B668" s="63"/>
      <c r="C668" s="63"/>
      <c r="D668" s="63"/>
      <c r="E668" s="63"/>
      <c r="F668" s="184"/>
      <c r="G668" s="184"/>
      <c r="H668" s="184"/>
      <c r="I668" s="184"/>
      <c r="J668" s="184"/>
      <c r="K668" s="69" t="str">
        <f>iferror(vlookup(E668,MasterClass!$C$2:$G988,5,false),"")</f>
        <v/>
      </c>
      <c r="L668" s="184"/>
      <c r="M668" s="184"/>
      <c r="N668" s="184"/>
      <c r="O668" s="63"/>
      <c r="P668" s="63"/>
      <c r="Q668" s="63"/>
      <c r="R668" s="63"/>
      <c r="S668" s="63"/>
      <c r="T668" s="63"/>
      <c r="U668" s="63"/>
      <c r="V668" s="63"/>
      <c r="W668" s="63"/>
      <c r="X668" s="63"/>
      <c r="Y668" s="63"/>
      <c r="Z668" s="63"/>
      <c r="AA668" s="63"/>
      <c r="AB668" s="63"/>
      <c r="AC668" s="63"/>
      <c r="AD668" s="63"/>
      <c r="AE668" s="63"/>
      <c r="AF668" s="63"/>
      <c r="AG668" s="63"/>
      <c r="AH668" s="63"/>
      <c r="AI668" s="63"/>
      <c r="AJ668" s="63"/>
    </row>
    <row r="669">
      <c r="A669" s="135"/>
      <c r="B669" s="63"/>
      <c r="C669" s="63"/>
      <c r="D669" s="63"/>
      <c r="E669" s="63"/>
      <c r="F669" s="184"/>
      <c r="G669" s="184"/>
      <c r="H669" s="184"/>
      <c r="I669" s="184"/>
      <c r="J669" s="184"/>
      <c r="K669" s="69" t="str">
        <f>iferror(vlookup(E669,MasterClass!$C$2:$G988,5,false),"")</f>
        <v/>
      </c>
      <c r="L669" s="184"/>
      <c r="M669" s="184"/>
      <c r="N669" s="184"/>
      <c r="O669" s="63"/>
      <c r="P669" s="63"/>
      <c r="Q669" s="63"/>
      <c r="R669" s="63"/>
      <c r="S669" s="63"/>
      <c r="T669" s="63"/>
      <c r="U669" s="63"/>
      <c r="V669" s="63"/>
      <c r="W669" s="63"/>
      <c r="X669" s="63"/>
      <c r="Y669" s="63"/>
      <c r="Z669" s="63"/>
      <c r="AA669" s="63"/>
      <c r="AB669" s="63"/>
      <c r="AC669" s="63"/>
      <c r="AD669" s="63"/>
      <c r="AE669" s="63"/>
      <c r="AF669" s="63"/>
      <c r="AG669" s="63"/>
      <c r="AH669" s="63"/>
      <c r="AI669" s="63"/>
      <c r="AJ669" s="63"/>
    </row>
    <row r="670">
      <c r="A670" s="135"/>
      <c r="B670" s="63"/>
      <c r="C670" s="63"/>
      <c r="D670" s="63"/>
      <c r="E670" s="63"/>
      <c r="F670" s="184"/>
      <c r="G670" s="184"/>
      <c r="H670" s="184"/>
      <c r="I670" s="184"/>
      <c r="J670" s="184"/>
      <c r="K670" s="69" t="str">
        <f>iferror(vlookup(E670,MasterClass!$C$2:$G988,5,false),"")</f>
        <v/>
      </c>
      <c r="L670" s="184"/>
      <c r="M670" s="184"/>
      <c r="N670" s="184"/>
      <c r="O670" s="63"/>
      <c r="P670" s="63"/>
      <c r="Q670" s="63"/>
      <c r="R670" s="63"/>
      <c r="S670" s="63"/>
      <c r="T670" s="63"/>
      <c r="U670" s="63"/>
      <c r="V670" s="63"/>
      <c r="W670" s="63"/>
      <c r="X670" s="63"/>
      <c r="Y670" s="63"/>
      <c r="Z670" s="63"/>
      <c r="AA670" s="63"/>
      <c r="AB670" s="63"/>
      <c r="AC670" s="63"/>
      <c r="AD670" s="63"/>
      <c r="AE670" s="63"/>
      <c r="AF670" s="63"/>
      <c r="AG670" s="63"/>
      <c r="AH670" s="63"/>
      <c r="AI670" s="63"/>
      <c r="AJ670" s="63"/>
    </row>
    <row r="671">
      <c r="A671" s="135"/>
      <c r="B671" s="63"/>
      <c r="C671" s="63"/>
      <c r="D671" s="63"/>
      <c r="E671" s="63"/>
      <c r="F671" s="184"/>
      <c r="G671" s="184"/>
      <c r="H671" s="184"/>
      <c r="I671" s="184"/>
      <c r="J671" s="184"/>
      <c r="K671" s="69" t="str">
        <f>iferror(vlookup(E671,MasterClass!$C$2:$G988,5,false),"")</f>
        <v/>
      </c>
      <c r="L671" s="184"/>
      <c r="M671" s="184"/>
      <c r="N671" s="184"/>
      <c r="O671" s="63"/>
      <c r="P671" s="63"/>
      <c r="Q671" s="63"/>
      <c r="R671" s="63"/>
      <c r="S671" s="63"/>
      <c r="T671" s="63"/>
      <c r="U671" s="63"/>
      <c r="V671" s="63"/>
      <c r="W671" s="63"/>
      <c r="X671" s="63"/>
      <c r="Y671" s="63"/>
      <c r="Z671" s="63"/>
      <c r="AA671" s="63"/>
      <c r="AB671" s="63"/>
      <c r="AC671" s="63"/>
      <c r="AD671" s="63"/>
      <c r="AE671" s="63"/>
      <c r="AF671" s="63"/>
      <c r="AG671" s="63"/>
      <c r="AH671" s="63"/>
      <c r="AI671" s="63"/>
      <c r="AJ671" s="63"/>
    </row>
    <row r="672">
      <c r="A672" s="135"/>
      <c r="B672" s="63"/>
      <c r="C672" s="63"/>
      <c r="D672" s="63"/>
      <c r="E672" s="63"/>
      <c r="F672" s="184"/>
      <c r="G672" s="184"/>
      <c r="H672" s="184"/>
      <c r="I672" s="184"/>
      <c r="J672" s="184"/>
      <c r="K672" s="69" t="str">
        <f>iferror(vlookup(E672,MasterClass!$C$2:$G988,5,false),"")</f>
        <v/>
      </c>
      <c r="L672" s="184"/>
      <c r="M672" s="184"/>
      <c r="N672" s="184"/>
      <c r="O672" s="63"/>
      <c r="P672" s="63"/>
      <c r="Q672" s="63"/>
      <c r="R672" s="63"/>
      <c r="S672" s="63"/>
      <c r="T672" s="63"/>
      <c r="U672" s="63"/>
      <c r="V672" s="63"/>
      <c r="W672" s="63"/>
      <c r="X672" s="63"/>
      <c r="Y672" s="63"/>
      <c r="Z672" s="63"/>
      <c r="AA672" s="63"/>
      <c r="AB672" s="63"/>
      <c r="AC672" s="63"/>
      <c r="AD672" s="63"/>
      <c r="AE672" s="63"/>
      <c r="AF672" s="63"/>
      <c r="AG672" s="63"/>
      <c r="AH672" s="63"/>
      <c r="AI672" s="63"/>
      <c r="AJ672" s="63"/>
    </row>
    <row r="673">
      <c r="A673" s="186"/>
      <c r="B673" s="63"/>
      <c r="C673" s="63"/>
      <c r="D673" s="63"/>
      <c r="E673" s="63"/>
      <c r="F673" s="184"/>
      <c r="G673" s="184"/>
      <c r="H673" s="184"/>
      <c r="I673" s="184"/>
      <c r="J673" s="184"/>
      <c r="K673" s="69" t="str">
        <f>iferror(vlookup(E673,MasterClass!$C$2:$G988,5,false),"")</f>
        <v/>
      </c>
      <c r="L673" s="184"/>
      <c r="M673" s="184"/>
      <c r="N673" s="184"/>
      <c r="O673" s="63"/>
      <c r="P673" s="63"/>
      <c r="Q673" s="63"/>
      <c r="R673" s="63"/>
      <c r="S673" s="63"/>
      <c r="T673" s="63"/>
      <c r="U673" s="63"/>
      <c r="V673" s="63"/>
      <c r="W673" s="63"/>
      <c r="X673" s="63"/>
      <c r="Y673" s="63"/>
      <c r="Z673" s="63"/>
      <c r="AA673" s="63"/>
      <c r="AB673" s="63"/>
      <c r="AC673" s="63"/>
      <c r="AD673" s="63"/>
      <c r="AE673" s="63"/>
      <c r="AF673" s="63"/>
      <c r="AG673" s="63"/>
      <c r="AH673" s="63"/>
      <c r="AI673" s="63"/>
      <c r="AJ673" s="63"/>
    </row>
    <row r="674">
      <c r="A674" s="186"/>
      <c r="B674" s="63"/>
      <c r="C674" s="63"/>
      <c r="D674" s="63"/>
      <c r="E674" s="63"/>
      <c r="F674" s="184"/>
      <c r="G674" s="184"/>
      <c r="H674" s="184"/>
      <c r="I674" s="184"/>
      <c r="J674" s="184"/>
      <c r="K674" s="69" t="str">
        <f>iferror(vlookup(E674,MasterClass!$C$2:$G988,5,false),"")</f>
        <v/>
      </c>
      <c r="L674" s="184"/>
      <c r="M674" s="184"/>
      <c r="N674" s="184"/>
      <c r="O674" s="63"/>
      <c r="P674" s="63"/>
      <c r="Q674" s="63"/>
      <c r="R674" s="63"/>
      <c r="S674" s="63"/>
      <c r="T674" s="63"/>
      <c r="U674" s="63"/>
      <c r="V674" s="63"/>
      <c r="W674" s="63"/>
      <c r="X674" s="63"/>
      <c r="Y674" s="63"/>
      <c r="Z674" s="63"/>
      <c r="AA674" s="63"/>
      <c r="AB674" s="63"/>
      <c r="AC674" s="63"/>
      <c r="AD674" s="63"/>
      <c r="AE674" s="63"/>
      <c r="AF674" s="63"/>
      <c r="AG674" s="63"/>
      <c r="AH674" s="63"/>
      <c r="AI674" s="63"/>
      <c r="AJ674" s="63"/>
    </row>
    <row r="675">
      <c r="A675" s="186"/>
      <c r="B675" s="63"/>
      <c r="C675" s="63"/>
      <c r="D675" s="63"/>
      <c r="E675" s="63"/>
      <c r="F675" s="184"/>
      <c r="G675" s="184"/>
      <c r="H675" s="184"/>
      <c r="I675" s="184"/>
      <c r="J675" s="184"/>
      <c r="K675" s="69" t="str">
        <f>iferror(vlookup(E675,MasterClass!$C$2:$G988,5,false),"")</f>
        <v/>
      </c>
      <c r="L675" s="184"/>
      <c r="M675" s="184"/>
      <c r="N675" s="184"/>
      <c r="O675" s="63"/>
      <c r="P675" s="63"/>
      <c r="Q675" s="63"/>
      <c r="R675" s="63"/>
      <c r="S675" s="63"/>
      <c r="T675" s="63"/>
      <c r="U675" s="63"/>
      <c r="V675" s="63"/>
      <c r="W675" s="63"/>
      <c r="X675" s="63"/>
      <c r="Y675" s="63"/>
      <c r="Z675" s="63"/>
      <c r="AA675" s="63"/>
      <c r="AB675" s="63"/>
      <c r="AC675" s="63"/>
      <c r="AD675" s="63"/>
      <c r="AE675" s="63"/>
      <c r="AF675" s="63"/>
      <c r="AG675" s="63"/>
      <c r="AH675" s="63"/>
      <c r="AI675" s="63"/>
      <c r="AJ675" s="63"/>
    </row>
    <row r="676">
      <c r="A676" s="186"/>
      <c r="B676" s="63"/>
      <c r="C676" s="63"/>
      <c r="D676" s="63"/>
      <c r="E676" s="63"/>
      <c r="F676" s="184"/>
      <c r="G676" s="184"/>
      <c r="H676" s="184"/>
      <c r="I676" s="184"/>
      <c r="J676" s="184"/>
      <c r="K676" s="69" t="str">
        <f>iferror(vlookup(E676,MasterClass!$C$2:$G988,5,false),"")</f>
        <v/>
      </c>
      <c r="L676" s="184"/>
      <c r="M676" s="184"/>
      <c r="N676" s="184"/>
      <c r="O676" s="63"/>
      <c r="P676" s="63"/>
      <c r="Q676" s="63"/>
      <c r="R676" s="63"/>
      <c r="S676" s="63"/>
      <c r="T676" s="63"/>
      <c r="U676" s="63"/>
      <c r="V676" s="63"/>
      <c r="W676" s="63"/>
      <c r="X676" s="63"/>
      <c r="Y676" s="63"/>
      <c r="Z676" s="63"/>
      <c r="AA676" s="63"/>
      <c r="AB676" s="63"/>
      <c r="AC676" s="63"/>
      <c r="AD676" s="63"/>
      <c r="AE676" s="63"/>
      <c r="AF676" s="63"/>
      <c r="AG676" s="63"/>
      <c r="AH676" s="63"/>
      <c r="AI676" s="63"/>
      <c r="AJ676" s="63"/>
    </row>
    <row r="677">
      <c r="A677" s="186"/>
      <c r="B677" s="63"/>
      <c r="C677" s="63"/>
      <c r="D677" s="63"/>
      <c r="E677" s="63"/>
      <c r="F677" s="184"/>
      <c r="G677" s="184"/>
      <c r="H677" s="184"/>
      <c r="I677" s="184"/>
      <c r="J677" s="184"/>
      <c r="K677" s="69" t="str">
        <f>iferror(vlookup(E677,MasterClass!$C$2:$G988,5,false),"")</f>
        <v/>
      </c>
      <c r="L677" s="184"/>
      <c r="M677" s="184"/>
      <c r="N677" s="184"/>
      <c r="O677" s="63"/>
      <c r="P677" s="63"/>
      <c r="Q677" s="63"/>
      <c r="R677" s="63"/>
      <c r="S677" s="63"/>
      <c r="T677" s="63"/>
      <c r="U677" s="63"/>
      <c r="V677" s="63"/>
      <c r="W677" s="63"/>
      <c r="X677" s="63"/>
      <c r="Y677" s="63"/>
      <c r="Z677" s="63"/>
      <c r="AA677" s="63"/>
      <c r="AB677" s="63"/>
      <c r="AC677" s="63"/>
      <c r="AD677" s="63"/>
      <c r="AE677" s="63"/>
      <c r="AF677" s="63"/>
      <c r="AG677" s="63"/>
      <c r="AH677" s="63"/>
      <c r="AI677" s="63"/>
      <c r="AJ677" s="63"/>
    </row>
    <row r="678">
      <c r="A678" s="186"/>
      <c r="B678" s="63"/>
      <c r="C678" s="63"/>
      <c r="D678" s="63"/>
      <c r="E678" s="63"/>
      <c r="F678" s="184"/>
      <c r="G678" s="184"/>
      <c r="H678" s="184"/>
      <c r="I678" s="184"/>
      <c r="J678" s="184"/>
      <c r="K678" s="69" t="str">
        <f>iferror(vlookup(E678,MasterClass!$C$2:$G988,5,false),"")</f>
        <v/>
      </c>
      <c r="L678" s="184"/>
      <c r="M678" s="184"/>
      <c r="N678" s="184"/>
      <c r="O678" s="63"/>
      <c r="P678" s="63"/>
      <c r="Q678" s="63"/>
      <c r="R678" s="63"/>
      <c r="S678" s="63"/>
      <c r="T678" s="63"/>
      <c r="U678" s="63"/>
      <c r="V678" s="63"/>
      <c r="W678" s="63"/>
      <c r="X678" s="63"/>
      <c r="Y678" s="63"/>
      <c r="Z678" s="63"/>
      <c r="AA678" s="63"/>
      <c r="AB678" s="63"/>
      <c r="AC678" s="63"/>
      <c r="AD678" s="63"/>
      <c r="AE678" s="63"/>
      <c r="AF678" s="63"/>
      <c r="AG678" s="63"/>
      <c r="AH678" s="63"/>
      <c r="AI678" s="63"/>
      <c r="AJ678" s="63"/>
    </row>
    <row r="679">
      <c r="A679" s="186"/>
      <c r="B679" s="63"/>
      <c r="C679" s="63"/>
      <c r="D679" s="63"/>
      <c r="E679" s="63"/>
      <c r="F679" s="184"/>
      <c r="G679" s="184"/>
      <c r="H679" s="184"/>
      <c r="I679" s="184"/>
      <c r="J679" s="184"/>
      <c r="K679" s="69" t="str">
        <f>iferror(vlookup(E679,MasterClass!$C$2:$G988,5,false),"")</f>
        <v/>
      </c>
      <c r="L679" s="184"/>
      <c r="M679" s="184"/>
      <c r="N679" s="184"/>
      <c r="O679" s="63"/>
      <c r="P679" s="63"/>
      <c r="Q679" s="63"/>
      <c r="R679" s="63"/>
      <c r="S679" s="63"/>
      <c r="T679" s="63"/>
      <c r="U679" s="63"/>
      <c r="V679" s="63"/>
      <c r="W679" s="63"/>
      <c r="X679" s="63"/>
      <c r="Y679" s="63"/>
      <c r="Z679" s="63"/>
      <c r="AA679" s="63"/>
      <c r="AB679" s="63"/>
      <c r="AC679" s="63"/>
      <c r="AD679" s="63"/>
      <c r="AE679" s="63"/>
      <c r="AF679" s="63"/>
      <c r="AG679" s="63"/>
      <c r="AH679" s="63"/>
      <c r="AI679" s="63"/>
      <c r="AJ679" s="63"/>
    </row>
    <row r="680">
      <c r="A680" s="186"/>
      <c r="B680" s="63"/>
      <c r="C680" s="63"/>
      <c r="D680" s="63"/>
      <c r="E680" s="63"/>
      <c r="F680" s="184"/>
      <c r="G680" s="184"/>
      <c r="H680" s="184"/>
      <c r="I680" s="184"/>
      <c r="J680" s="184"/>
      <c r="K680" s="69" t="str">
        <f>iferror(vlookup(E680,MasterClass!$C$2:$G988,5,false),"")</f>
        <v/>
      </c>
      <c r="L680" s="184"/>
      <c r="M680" s="184"/>
      <c r="N680" s="184"/>
      <c r="O680" s="63"/>
      <c r="P680" s="63"/>
      <c r="Q680" s="63"/>
      <c r="R680" s="63"/>
      <c r="S680" s="63"/>
      <c r="T680" s="63"/>
      <c r="U680" s="63"/>
      <c r="V680" s="63"/>
      <c r="W680" s="63"/>
      <c r="X680" s="63"/>
      <c r="Y680" s="63"/>
      <c r="Z680" s="63"/>
      <c r="AA680" s="63"/>
      <c r="AB680" s="63"/>
      <c r="AC680" s="63"/>
      <c r="AD680" s="63"/>
      <c r="AE680" s="63"/>
      <c r="AF680" s="63"/>
      <c r="AG680" s="63"/>
      <c r="AH680" s="63"/>
      <c r="AI680" s="63"/>
      <c r="AJ680" s="63"/>
    </row>
    <row r="681">
      <c r="A681" s="186"/>
      <c r="B681" s="63"/>
      <c r="C681" s="63"/>
      <c r="D681" s="63"/>
      <c r="E681" s="63"/>
      <c r="F681" s="184"/>
      <c r="G681" s="184"/>
      <c r="H681" s="184"/>
      <c r="I681" s="184"/>
      <c r="J681" s="184"/>
      <c r="K681" s="69" t="str">
        <f>iferror(vlookup(E681,MasterClass!$C$2:$G988,5,false),"")</f>
        <v/>
      </c>
      <c r="L681" s="184"/>
      <c r="M681" s="184"/>
      <c r="N681" s="184"/>
      <c r="O681" s="63"/>
      <c r="P681" s="63"/>
      <c r="Q681" s="63"/>
      <c r="R681" s="63"/>
      <c r="S681" s="63"/>
      <c r="T681" s="63"/>
      <c r="U681" s="63"/>
      <c r="V681" s="63"/>
      <c r="W681" s="63"/>
      <c r="X681" s="63"/>
      <c r="Y681" s="63"/>
      <c r="Z681" s="63"/>
      <c r="AA681" s="63"/>
      <c r="AB681" s="63"/>
      <c r="AC681" s="63"/>
      <c r="AD681" s="63"/>
      <c r="AE681" s="63"/>
      <c r="AF681" s="63"/>
      <c r="AG681" s="63"/>
      <c r="AH681" s="63"/>
      <c r="AI681" s="63"/>
      <c r="AJ681" s="63"/>
    </row>
    <row r="682">
      <c r="A682" s="186"/>
      <c r="B682" s="63"/>
      <c r="C682" s="63"/>
      <c r="D682" s="63"/>
      <c r="E682" s="63"/>
      <c r="F682" s="184"/>
      <c r="G682" s="184"/>
      <c r="H682" s="184"/>
      <c r="I682" s="184"/>
      <c r="J682" s="184"/>
      <c r="K682" s="69" t="str">
        <f>iferror(vlookup(E682,MasterClass!$C$2:$G988,5,false),"")</f>
        <v/>
      </c>
      <c r="L682" s="184"/>
      <c r="M682" s="184"/>
      <c r="N682" s="184"/>
      <c r="O682" s="63"/>
      <c r="P682" s="63"/>
      <c r="Q682" s="63"/>
      <c r="R682" s="63"/>
      <c r="S682" s="63"/>
      <c r="T682" s="63"/>
      <c r="U682" s="63"/>
      <c r="V682" s="63"/>
      <c r="W682" s="63"/>
      <c r="X682" s="63"/>
      <c r="Y682" s="63"/>
      <c r="Z682" s="63"/>
      <c r="AA682" s="63"/>
      <c r="AB682" s="63"/>
      <c r="AC682" s="63"/>
      <c r="AD682" s="63"/>
      <c r="AE682" s="63"/>
      <c r="AF682" s="63"/>
      <c r="AG682" s="63"/>
      <c r="AH682" s="63"/>
      <c r="AI682" s="63"/>
      <c r="AJ682" s="63"/>
    </row>
    <row r="683">
      <c r="A683" s="186"/>
      <c r="B683" s="63"/>
      <c r="C683" s="63"/>
      <c r="D683" s="63"/>
      <c r="E683" s="63"/>
      <c r="F683" s="184"/>
      <c r="G683" s="184"/>
      <c r="H683" s="184"/>
      <c r="I683" s="184"/>
      <c r="J683" s="184"/>
      <c r="K683" s="69" t="str">
        <f>iferror(vlookup(E683,MasterClass!$C$2:$G988,5,false),"")</f>
        <v/>
      </c>
      <c r="L683" s="184"/>
      <c r="M683" s="184"/>
      <c r="N683" s="184"/>
      <c r="O683" s="63"/>
      <c r="P683" s="63"/>
      <c r="Q683" s="63"/>
      <c r="R683" s="63"/>
      <c r="S683" s="63"/>
      <c r="T683" s="63"/>
      <c r="U683" s="63"/>
      <c r="V683" s="63"/>
      <c r="W683" s="63"/>
      <c r="X683" s="63"/>
      <c r="Y683" s="63"/>
      <c r="Z683" s="63"/>
      <c r="AA683" s="63"/>
      <c r="AB683" s="63"/>
      <c r="AC683" s="63"/>
      <c r="AD683" s="63"/>
      <c r="AE683" s="63"/>
      <c r="AF683" s="63"/>
      <c r="AG683" s="63"/>
      <c r="AH683" s="63"/>
      <c r="AI683" s="63"/>
      <c r="AJ683" s="63"/>
    </row>
    <row r="684">
      <c r="A684" s="186"/>
      <c r="B684" s="63"/>
      <c r="C684" s="63"/>
      <c r="D684" s="63"/>
      <c r="E684" s="63"/>
      <c r="F684" s="184"/>
      <c r="G684" s="184"/>
      <c r="H684" s="184"/>
      <c r="I684" s="184"/>
      <c r="J684" s="184"/>
      <c r="K684" s="69" t="str">
        <f>iferror(vlookup(E684,MasterClass!$C$2:$G988,5,false),"")</f>
        <v/>
      </c>
      <c r="L684" s="184"/>
      <c r="M684" s="184"/>
      <c r="N684" s="184"/>
      <c r="O684" s="63"/>
      <c r="P684" s="63"/>
      <c r="Q684" s="63"/>
      <c r="R684" s="63"/>
      <c r="S684" s="63"/>
      <c r="T684" s="63"/>
      <c r="U684" s="63"/>
      <c r="V684" s="63"/>
      <c r="W684" s="63"/>
      <c r="X684" s="63"/>
      <c r="Y684" s="63"/>
      <c r="Z684" s="63"/>
      <c r="AA684" s="63"/>
      <c r="AB684" s="63"/>
      <c r="AC684" s="63"/>
      <c r="AD684" s="63"/>
      <c r="AE684" s="63"/>
      <c r="AF684" s="63"/>
      <c r="AG684" s="63"/>
      <c r="AH684" s="63"/>
      <c r="AI684" s="63"/>
      <c r="AJ684" s="63"/>
    </row>
    <row r="685">
      <c r="A685" s="186"/>
      <c r="B685" s="63"/>
      <c r="C685" s="63"/>
      <c r="D685" s="63"/>
      <c r="E685" s="63"/>
      <c r="F685" s="184"/>
      <c r="G685" s="184"/>
      <c r="H685" s="184"/>
      <c r="I685" s="184"/>
      <c r="J685" s="184"/>
      <c r="K685" s="69" t="str">
        <f>iferror(vlookup(E685,MasterClass!$C$2:$G988,5,false),"")</f>
        <v/>
      </c>
      <c r="L685" s="184"/>
      <c r="M685" s="184"/>
      <c r="N685" s="184"/>
      <c r="O685" s="63"/>
      <c r="P685" s="63"/>
      <c r="Q685" s="63"/>
      <c r="R685" s="63"/>
      <c r="S685" s="63"/>
      <c r="T685" s="63"/>
      <c r="U685" s="63"/>
      <c r="V685" s="63"/>
      <c r="W685" s="63"/>
      <c r="X685" s="63"/>
      <c r="Y685" s="63"/>
      <c r="Z685" s="63"/>
      <c r="AA685" s="63"/>
      <c r="AB685" s="63"/>
      <c r="AC685" s="63"/>
      <c r="AD685" s="63"/>
      <c r="AE685" s="63"/>
      <c r="AF685" s="63"/>
      <c r="AG685" s="63"/>
      <c r="AH685" s="63"/>
      <c r="AI685" s="63"/>
      <c r="AJ685" s="63"/>
    </row>
    <row r="686">
      <c r="A686" s="186"/>
      <c r="B686" s="63"/>
      <c r="C686" s="63"/>
      <c r="D686" s="63"/>
      <c r="E686" s="63"/>
      <c r="F686" s="184"/>
      <c r="G686" s="184"/>
      <c r="H686" s="184"/>
      <c r="I686" s="184"/>
      <c r="J686" s="184"/>
      <c r="K686" s="69" t="str">
        <f>iferror(vlookup(E686,MasterClass!$C$2:$G988,5,false),"")</f>
        <v/>
      </c>
      <c r="L686" s="184"/>
      <c r="M686" s="184"/>
      <c r="N686" s="184"/>
      <c r="O686" s="63"/>
      <c r="P686" s="63"/>
      <c r="Q686" s="63"/>
      <c r="R686" s="63"/>
      <c r="S686" s="63"/>
      <c r="T686" s="63"/>
      <c r="U686" s="63"/>
      <c r="V686" s="63"/>
      <c r="W686" s="63"/>
      <c r="X686" s="63"/>
      <c r="Y686" s="63"/>
      <c r="Z686" s="63"/>
      <c r="AA686" s="63"/>
      <c r="AB686" s="63"/>
      <c r="AC686" s="63"/>
      <c r="AD686" s="63"/>
      <c r="AE686" s="63"/>
      <c r="AF686" s="63"/>
      <c r="AG686" s="63"/>
      <c r="AH686" s="63"/>
      <c r="AI686" s="63"/>
      <c r="AJ686" s="63"/>
    </row>
    <row r="687">
      <c r="A687" s="186"/>
      <c r="B687" s="63"/>
      <c r="C687" s="63"/>
      <c r="D687" s="63"/>
      <c r="E687" s="63"/>
      <c r="F687" s="184"/>
      <c r="G687" s="184"/>
      <c r="H687" s="184"/>
      <c r="I687" s="184"/>
      <c r="J687" s="184"/>
      <c r="K687" s="69" t="str">
        <f>iferror(vlookup(E687,MasterClass!$C$2:$G988,5,false),"")</f>
        <v/>
      </c>
      <c r="L687" s="184"/>
      <c r="M687" s="184"/>
      <c r="N687" s="184"/>
      <c r="O687" s="63"/>
      <c r="P687" s="63"/>
      <c r="Q687" s="63"/>
      <c r="R687" s="63"/>
      <c r="S687" s="63"/>
      <c r="T687" s="63"/>
      <c r="U687" s="63"/>
      <c r="V687" s="63"/>
      <c r="W687" s="63"/>
      <c r="X687" s="63"/>
      <c r="Y687" s="63"/>
      <c r="Z687" s="63"/>
      <c r="AA687" s="63"/>
      <c r="AB687" s="63"/>
      <c r="AC687" s="63"/>
      <c r="AD687" s="63"/>
      <c r="AE687" s="63"/>
      <c r="AF687" s="63"/>
      <c r="AG687" s="63"/>
      <c r="AH687" s="63"/>
      <c r="AI687" s="63"/>
      <c r="AJ687" s="63"/>
    </row>
    <row r="688">
      <c r="A688" s="186"/>
      <c r="B688" s="63"/>
      <c r="C688" s="63"/>
      <c r="D688" s="63"/>
      <c r="E688" s="63"/>
      <c r="F688" s="184"/>
      <c r="G688" s="184"/>
      <c r="H688" s="184"/>
      <c r="I688" s="184"/>
      <c r="J688" s="184"/>
      <c r="K688" s="69" t="str">
        <f>iferror(vlookup(E688,MasterClass!$C$2:$G988,5,false),"")</f>
        <v/>
      </c>
      <c r="L688" s="184"/>
      <c r="M688" s="184"/>
      <c r="N688" s="184"/>
      <c r="O688" s="63"/>
      <c r="P688" s="63"/>
      <c r="Q688" s="63"/>
      <c r="R688" s="63"/>
      <c r="S688" s="63"/>
      <c r="T688" s="63"/>
      <c r="U688" s="63"/>
      <c r="V688" s="63"/>
      <c r="W688" s="63"/>
      <c r="X688" s="63"/>
      <c r="Y688" s="63"/>
      <c r="Z688" s="63"/>
      <c r="AA688" s="63"/>
      <c r="AB688" s="63"/>
      <c r="AC688" s="63"/>
      <c r="AD688" s="63"/>
      <c r="AE688" s="63"/>
      <c r="AF688" s="63"/>
      <c r="AG688" s="63"/>
      <c r="AH688" s="63"/>
      <c r="AI688" s="63"/>
      <c r="AJ688" s="63"/>
    </row>
    <row r="689">
      <c r="A689" s="186"/>
      <c r="B689" s="63"/>
      <c r="C689" s="63"/>
      <c r="D689" s="63"/>
      <c r="E689" s="63"/>
      <c r="F689" s="184"/>
      <c r="G689" s="184"/>
      <c r="H689" s="184"/>
      <c r="I689" s="184"/>
      <c r="J689" s="184"/>
      <c r="K689" s="69" t="str">
        <f>iferror(vlookup(E689,MasterClass!$C$2:$G988,5,false),"")</f>
        <v/>
      </c>
      <c r="L689" s="184"/>
      <c r="M689" s="184"/>
      <c r="N689" s="184"/>
      <c r="O689" s="63"/>
      <c r="P689" s="63"/>
      <c r="Q689" s="63"/>
      <c r="R689" s="63"/>
      <c r="S689" s="63"/>
      <c r="T689" s="63"/>
      <c r="U689" s="63"/>
      <c r="V689" s="63"/>
      <c r="W689" s="63"/>
      <c r="X689" s="63"/>
      <c r="Y689" s="63"/>
      <c r="Z689" s="63"/>
      <c r="AA689" s="63"/>
      <c r="AB689" s="63"/>
      <c r="AC689" s="63"/>
      <c r="AD689" s="63"/>
      <c r="AE689" s="63"/>
      <c r="AF689" s="63"/>
      <c r="AG689" s="63"/>
      <c r="AH689" s="63"/>
      <c r="AI689" s="63"/>
      <c r="AJ689" s="63"/>
    </row>
    <row r="690">
      <c r="A690" s="186"/>
      <c r="B690" s="63"/>
      <c r="C690" s="63"/>
      <c r="D690" s="63"/>
      <c r="E690" s="63"/>
      <c r="F690" s="184"/>
      <c r="G690" s="184"/>
      <c r="H690" s="184"/>
      <c r="I690" s="184"/>
      <c r="J690" s="184"/>
      <c r="K690" s="69" t="str">
        <f>iferror(vlookup(E690,MasterClass!$C$2:$G988,5,false),"")</f>
        <v/>
      </c>
      <c r="L690" s="184"/>
      <c r="M690" s="184"/>
      <c r="N690" s="184"/>
      <c r="O690" s="63"/>
      <c r="P690" s="63"/>
      <c r="Q690" s="63"/>
      <c r="R690" s="63"/>
      <c r="S690" s="63"/>
      <c r="T690" s="63"/>
      <c r="U690" s="63"/>
      <c r="V690" s="63"/>
      <c r="W690" s="63"/>
      <c r="X690" s="63"/>
      <c r="Y690" s="63"/>
      <c r="Z690" s="63"/>
      <c r="AA690" s="63"/>
      <c r="AB690" s="63"/>
      <c r="AC690" s="63"/>
      <c r="AD690" s="63"/>
      <c r="AE690" s="63"/>
      <c r="AF690" s="63"/>
      <c r="AG690" s="63"/>
      <c r="AH690" s="63"/>
      <c r="AI690" s="63"/>
      <c r="AJ690" s="63"/>
    </row>
    <row r="691">
      <c r="A691" s="186"/>
      <c r="B691" s="63"/>
      <c r="C691" s="63"/>
      <c r="D691" s="63"/>
      <c r="E691" s="63"/>
      <c r="F691" s="184"/>
      <c r="G691" s="184"/>
      <c r="H691" s="184"/>
      <c r="I691" s="184"/>
      <c r="J691" s="184"/>
      <c r="K691" s="69" t="str">
        <f>iferror(vlookup(E691,MasterClass!$C$2:$G988,5,false),"")</f>
        <v/>
      </c>
      <c r="L691" s="184"/>
      <c r="M691" s="184"/>
      <c r="N691" s="184"/>
      <c r="O691" s="63"/>
      <c r="P691" s="63"/>
      <c r="Q691" s="63"/>
      <c r="R691" s="63"/>
      <c r="S691" s="63"/>
      <c r="T691" s="63"/>
      <c r="U691" s="63"/>
      <c r="V691" s="63"/>
      <c r="W691" s="63"/>
      <c r="X691" s="63"/>
      <c r="Y691" s="63"/>
      <c r="Z691" s="63"/>
      <c r="AA691" s="63"/>
      <c r="AB691" s="63"/>
      <c r="AC691" s="63"/>
      <c r="AD691" s="63"/>
      <c r="AE691" s="63"/>
      <c r="AF691" s="63"/>
      <c r="AG691" s="63"/>
      <c r="AH691" s="63"/>
      <c r="AI691" s="63"/>
      <c r="AJ691" s="63"/>
    </row>
    <row r="692">
      <c r="A692" s="186"/>
      <c r="B692" s="63"/>
      <c r="C692" s="63"/>
      <c r="D692" s="63"/>
      <c r="E692" s="63"/>
      <c r="F692" s="184"/>
      <c r="G692" s="184"/>
      <c r="H692" s="184"/>
      <c r="I692" s="184"/>
      <c r="J692" s="184"/>
      <c r="K692" s="69" t="str">
        <f>iferror(vlookup(E692,MasterClass!$C$2:$G988,5,false),"")</f>
        <v/>
      </c>
      <c r="L692" s="184"/>
      <c r="M692" s="184"/>
      <c r="N692" s="184"/>
      <c r="O692" s="63"/>
      <c r="P692" s="63"/>
      <c r="Q692" s="63"/>
      <c r="R692" s="63"/>
      <c r="S692" s="63"/>
      <c r="T692" s="63"/>
      <c r="U692" s="63"/>
      <c r="V692" s="63"/>
      <c r="W692" s="63"/>
      <c r="X692" s="63"/>
      <c r="Y692" s="63"/>
      <c r="Z692" s="63"/>
      <c r="AA692" s="63"/>
      <c r="AB692" s="63"/>
      <c r="AC692" s="63"/>
      <c r="AD692" s="63"/>
      <c r="AE692" s="63"/>
      <c r="AF692" s="63"/>
      <c r="AG692" s="63"/>
      <c r="AH692" s="63"/>
      <c r="AI692" s="63"/>
      <c r="AJ692" s="63"/>
    </row>
    <row r="693">
      <c r="A693" s="186"/>
      <c r="B693" s="63"/>
      <c r="C693" s="63"/>
      <c r="D693" s="63"/>
      <c r="E693" s="63"/>
      <c r="F693" s="184"/>
      <c r="G693" s="184"/>
      <c r="H693" s="184"/>
      <c r="I693" s="184"/>
      <c r="J693" s="184"/>
      <c r="K693" s="69" t="str">
        <f>iferror(vlookup(E693,MasterClass!$C$2:$G988,5,false),"")</f>
        <v/>
      </c>
      <c r="L693" s="184"/>
      <c r="M693" s="184"/>
      <c r="N693" s="184"/>
      <c r="O693" s="63"/>
      <c r="P693" s="63"/>
      <c r="Q693" s="63"/>
      <c r="R693" s="63"/>
      <c r="S693" s="63"/>
      <c r="T693" s="63"/>
      <c r="U693" s="63"/>
      <c r="V693" s="63"/>
      <c r="W693" s="63"/>
      <c r="X693" s="63"/>
      <c r="Y693" s="63"/>
      <c r="Z693" s="63"/>
      <c r="AA693" s="63"/>
      <c r="AB693" s="63"/>
      <c r="AC693" s="63"/>
      <c r="AD693" s="63"/>
      <c r="AE693" s="63"/>
      <c r="AF693" s="63"/>
      <c r="AG693" s="63"/>
      <c r="AH693" s="63"/>
      <c r="AI693" s="63"/>
      <c r="AJ693" s="63"/>
    </row>
    <row r="694">
      <c r="A694" s="186"/>
      <c r="B694" s="63"/>
      <c r="C694" s="63"/>
      <c r="D694" s="63"/>
      <c r="E694" s="63"/>
      <c r="F694" s="184"/>
      <c r="G694" s="184"/>
      <c r="H694" s="184"/>
      <c r="I694" s="184"/>
      <c r="J694" s="184"/>
      <c r="K694" s="69" t="str">
        <f>iferror(vlookup(E694,MasterClass!$C$2:$G988,5,false),"")</f>
        <v/>
      </c>
      <c r="L694" s="184"/>
      <c r="M694" s="184"/>
      <c r="N694" s="184"/>
      <c r="O694" s="63"/>
      <c r="P694" s="63"/>
      <c r="Q694" s="63"/>
      <c r="R694" s="63"/>
      <c r="S694" s="63"/>
      <c r="T694" s="63"/>
      <c r="U694" s="63"/>
      <c r="V694" s="63"/>
      <c r="W694" s="63"/>
      <c r="X694" s="63"/>
      <c r="Y694" s="63"/>
      <c r="Z694" s="63"/>
      <c r="AA694" s="63"/>
      <c r="AB694" s="63"/>
      <c r="AC694" s="63"/>
      <c r="AD694" s="63"/>
      <c r="AE694" s="63"/>
      <c r="AF694" s="63"/>
      <c r="AG694" s="63"/>
      <c r="AH694" s="63"/>
      <c r="AI694" s="63"/>
      <c r="AJ694" s="63"/>
    </row>
    <row r="695">
      <c r="A695" s="186"/>
      <c r="B695" s="63"/>
      <c r="C695" s="63"/>
      <c r="D695" s="63"/>
      <c r="E695" s="63"/>
      <c r="F695" s="184"/>
      <c r="G695" s="184"/>
      <c r="H695" s="184"/>
      <c r="I695" s="184"/>
      <c r="J695" s="184"/>
      <c r="K695" s="69" t="str">
        <f>iferror(vlookup(E695,MasterClass!$C$2:$G988,5,false),"")</f>
        <v/>
      </c>
      <c r="L695" s="184"/>
      <c r="M695" s="184"/>
      <c r="N695" s="184"/>
      <c r="O695" s="63"/>
      <c r="P695" s="63"/>
      <c r="Q695" s="63"/>
      <c r="R695" s="63"/>
      <c r="S695" s="63"/>
      <c r="T695" s="63"/>
      <c r="U695" s="63"/>
      <c r="V695" s="63"/>
      <c r="W695" s="63"/>
      <c r="X695" s="63"/>
      <c r="Y695" s="63"/>
      <c r="Z695" s="63"/>
      <c r="AA695" s="63"/>
      <c r="AB695" s="63"/>
      <c r="AC695" s="63"/>
      <c r="AD695" s="63"/>
      <c r="AE695" s="63"/>
      <c r="AF695" s="63"/>
      <c r="AG695" s="63"/>
      <c r="AH695" s="63"/>
      <c r="AI695" s="63"/>
      <c r="AJ695" s="63"/>
    </row>
    <row r="696">
      <c r="A696" s="186"/>
      <c r="B696" s="63"/>
      <c r="C696" s="63"/>
      <c r="D696" s="63"/>
      <c r="E696" s="63"/>
      <c r="F696" s="184"/>
      <c r="G696" s="184"/>
      <c r="H696" s="184"/>
      <c r="I696" s="184"/>
      <c r="J696" s="184"/>
      <c r="K696" s="69" t="str">
        <f>iferror(vlookup(E696,MasterClass!$C$2:$G988,5,false),"")</f>
        <v/>
      </c>
      <c r="L696" s="184"/>
      <c r="M696" s="184"/>
      <c r="N696" s="184"/>
      <c r="O696" s="63"/>
      <c r="P696" s="63"/>
      <c r="Q696" s="63"/>
      <c r="R696" s="63"/>
      <c r="S696" s="63"/>
      <c r="T696" s="63"/>
      <c r="U696" s="63"/>
      <c r="V696" s="63"/>
      <c r="W696" s="63"/>
      <c r="X696" s="63"/>
      <c r="Y696" s="63"/>
      <c r="Z696" s="63"/>
      <c r="AA696" s="63"/>
      <c r="AB696" s="63"/>
      <c r="AC696" s="63"/>
      <c r="AD696" s="63"/>
      <c r="AE696" s="63"/>
      <c r="AF696" s="63"/>
      <c r="AG696" s="63"/>
      <c r="AH696" s="63"/>
      <c r="AI696" s="63"/>
      <c r="AJ696" s="63"/>
    </row>
    <row r="697">
      <c r="A697" s="186"/>
      <c r="B697" s="63"/>
      <c r="C697" s="63"/>
      <c r="D697" s="63"/>
      <c r="E697" s="63"/>
      <c r="F697" s="184"/>
      <c r="G697" s="184"/>
      <c r="H697" s="184"/>
      <c r="I697" s="184"/>
      <c r="J697" s="184"/>
      <c r="K697" s="69" t="str">
        <f>iferror(vlookup(E697,MasterClass!$C$2:$G988,5,false),"")</f>
        <v/>
      </c>
      <c r="L697" s="184"/>
      <c r="M697" s="184"/>
      <c r="N697" s="184"/>
      <c r="O697" s="63"/>
      <c r="P697" s="63"/>
      <c r="Q697" s="63"/>
      <c r="R697" s="63"/>
      <c r="S697" s="63"/>
      <c r="T697" s="63"/>
      <c r="U697" s="63"/>
      <c r="V697" s="63"/>
      <c r="W697" s="63"/>
      <c r="X697" s="63"/>
      <c r="Y697" s="63"/>
      <c r="Z697" s="63"/>
      <c r="AA697" s="63"/>
      <c r="AB697" s="63"/>
      <c r="AC697" s="63"/>
      <c r="AD697" s="63"/>
      <c r="AE697" s="63"/>
      <c r="AF697" s="63"/>
      <c r="AG697" s="63"/>
      <c r="AH697" s="63"/>
      <c r="AI697" s="63"/>
      <c r="AJ697" s="63"/>
    </row>
    <row r="698">
      <c r="A698" s="186"/>
      <c r="B698" s="63"/>
      <c r="C698" s="63"/>
      <c r="D698" s="63"/>
      <c r="E698" s="63"/>
      <c r="F698" s="184"/>
      <c r="G698" s="184"/>
      <c r="H698" s="184"/>
      <c r="I698" s="184"/>
      <c r="J698" s="184"/>
      <c r="K698" s="69" t="str">
        <f>iferror(vlookup(E698,MasterClass!$C$2:$G988,5,false),"")</f>
        <v/>
      </c>
      <c r="L698" s="184"/>
      <c r="M698" s="184"/>
      <c r="N698" s="184"/>
      <c r="O698" s="63"/>
      <c r="P698" s="63"/>
      <c r="Q698" s="63"/>
      <c r="R698" s="63"/>
      <c r="S698" s="63"/>
      <c r="T698" s="63"/>
      <c r="U698" s="63"/>
      <c r="V698" s="63"/>
      <c r="W698" s="63"/>
      <c r="X698" s="63"/>
      <c r="Y698" s="63"/>
      <c r="Z698" s="63"/>
      <c r="AA698" s="63"/>
      <c r="AB698" s="63"/>
      <c r="AC698" s="63"/>
      <c r="AD698" s="63"/>
      <c r="AE698" s="63"/>
      <c r="AF698" s="63"/>
      <c r="AG698" s="63"/>
      <c r="AH698" s="63"/>
      <c r="AI698" s="63"/>
      <c r="AJ698" s="63"/>
    </row>
    <row r="699">
      <c r="A699" s="186"/>
      <c r="B699" s="63"/>
      <c r="C699" s="63"/>
      <c r="D699" s="63"/>
      <c r="E699" s="63"/>
      <c r="F699" s="184"/>
      <c r="G699" s="184"/>
      <c r="H699" s="184"/>
      <c r="I699" s="184"/>
      <c r="J699" s="184"/>
      <c r="K699" s="69" t="str">
        <f>iferror(vlookup(E699,MasterClass!$C$2:$G988,5,false),"")</f>
        <v/>
      </c>
      <c r="L699" s="184"/>
      <c r="M699" s="184"/>
      <c r="N699" s="184"/>
      <c r="O699" s="63"/>
      <c r="P699" s="63"/>
      <c r="Q699" s="63"/>
      <c r="R699" s="63"/>
      <c r="S699" s="63"/>
      <c r="T699" s="63"/>
      <c r="U699" s="63"/>
      <c r="V699" s="63"/>
      <c r="W699" s="63"/>
      <c r="X699" s="63"/>
      <c r="Y699" s="63"/>
      <c r="Z699" s="63"/>
      <c r="AA699" s="63"/>
      <c r="AB699" s="63"/>
      <c r="AC699" s="63"/>
      <c r="AD699" s="63"/>
      <c r="AE699" s="63"/>
      <c r="AF699" s="63"/>
      <c r="AG699" s="63"/>
      <c r="AH699" s="63"/>
      <c r="AI699" s="63"/>
      <c r="AJ699" s="63"/>
    </row>
    <row r="700">
      <c r="A700" s="186"/>
      <c r="B700" s="63"/>
      <c r="C700" s="63"/>
      <c r="D700" s="63"/>
      <c r="E700" s="63"/>
      <c r="F700" s="184"/>
      <c r="G700" s="184"/>
      <c r="H700" s="184"/>
      <c r="I700" s="184"/>
      <c r="J700" s="184"/>
      <c r="K700" s="69" t="str">
        <f>iferror(vlookup(E700,MasterClass!$C$2:$G988,5,false),"")</f>
        <v/>
      </c>
      <c r="L700" s="184"/>
      <c r="M700" s="184"/>
      <c r="N700" s="184"/>
      <c r="O700" s="63"/>
      <c r="P700" s="63"/>
      <c r="Q700" s="63"/>
      <c r="R700" s="63"/>
      <c r="S700" s="63"/>
      <c r="T700" s="63"/>
      <c r="U700" s="63"/>
      <c r="V700" s="63"/>
      <c r="W700" s="63"/>
      <c r="X700" s="63"/>
      <c r="Y700" s="63"/>
      <c r="Z700" s="63"/>
      <c r="AA700" s="63"/>
      <c r="AB700" s="63"/>
      <c r="AC700" s="63"/>
      <c r="AD700" s="63"/>
      <c r="AE700" s="63"/>
      <c r="AF700" s="63"/>
      <c r="AG700" s="63"/>
      <c r="AH700" s="63"/>
      <c r="AI700" s="63"/>
      <c r="AJ700" s="63"/>
    </row>
    <row r="701">
      <c r="A701" s="186"/>
      <c r="B701" s="63"/>
      <c r="C701" s="63"/>
      <c r="D701" s="63"/>
      <c r="E701" s="63"/>
      <c r="F701" s="184"/>
      <c r="G701" s="184"/>
      <c r="H701" s="184"/>
      <c r="I701" s="184"/>
      <c r="J701" s="184"/>
      <c r="K701" s="69" t="str">
        <f>iferror(vlookup(E701,MasterClass!$C$2:$G988,5,false),"")</f>
        <v/>
      </c>
      <c r="L701" s="184"/>
      <c r="M701" s="184"/>
      <c r="N701" s="184"/>
      <c r="O701" s="63"/>
      <c r="P701" s="63"/>
      <c r="Q701" s="63"/>
      <c r="R701" s="63"/>
      <c r="S701" s="63"/>
      <c r="T701" s="63"/>
      <c r="U701" s="63"/>
      <c r="V701" s="63"/>
      <c r="W701" s="63"/>
      <c r="X701" s="63"/>
      <c r="Y701" s="63"/>
      <c r="Z701" s="63"/>
      <c r="AA701" s="63"/>
      <c r="AB701" s="63"/>
      <c r="AC701" s="63"/>
      <c r="AD701" s="63"/>
      <c r="AE701" s="63"/>
      <c r="AF701" s="63"/>
      <c r="AG701" s="63"/>
      <c r="AH701" s="63"/>
      <c r="AI701" s="63"/>
      <c r="AJ701" s="63"/>
    </row>
    <row r="702">
      <c r="A702" s="186"/>
      <c r="B702" s="63"/>
      <c r="C702" s="63"/>
      <c r="D702" s="63"/>
      <c r="E702" s="63"/>
      <c r="F702" s="184"/>
      <c r="G702" s="184"/>
      <c r="H702" s="184"/>
      <c r="I702" s="184"/>
      <c r="J702" s="184"/>
      <c r="K702" s="69" t="str">
        <f>iferror(vlookup(E702,MasterClass!$C$2:$G988,5,false),"")</f>
        <v/>
      </c>
      <c r="L702" s="184"/>
      <c r="M702" s="184"/>
      <c r="N702" s="184"/>
      <c r="O702" s="63"/>
      <c r="P702" s="63"/>
      <c r="Q702" s="63"/>
      <c r="R702" s="63"/>
      <c r="S702" s="63"/>
      <c r="T702" s="63"/>
      <c r="U702" s="63"/>
      <c r="V702" s="63"/>
      <c r="W702" s="63"/>
      <c r="X702" s="63"/>
      <c r="Y702" s="63"/>
      <c r="Z702" s="63"/>
      <c r="AA702" s="63"/>
      <c r="AB702" s="63"/>
      <c r="AC702" s="63"/>
      <c r="AD702" s="63"/>
      <c r="AE702" s="63"/>
      <c r="AF702" s="63"/>
      <c r="AG702" s="63"/>
      <c r="AH702" s="63"/>
      <c r="AI702" s="63"/>
      <c r="AJ702" s="63"/>
    </row>
    <row r="703">
      <c r="A703" s="186"/>
      <c r="B703" s="63"/>
      <c r="C703" s="63"/>
      <c r="D703" s="63"/>
      <c r="E703" s="63"/>
      <c r="F703" s="184"/>
      <c r="G703" s="184"/>
      <c r="H703" s="184"/>
      <c r="I703" s="184"/>
      <c r="J703" s="184"/>
      <c r="K703" s="69" t="str">
        <f>iferror(vlookup(E703,MasterClass!$C$2:$G988,5,false),"")</f>
        <v/>
      </c>
      <c r="L703" s="184"/>
      <c r="M703" s="184"/>
      <c r="N703" s="184"/>
      <c r="O703" s="63"/>
      <c r="P703" s="63"/>
      <c r="Q703" s="63"/>
      <c r="R703" s="63"/>
      <c r="S703" s="63"/>
      <c r="T703" s="63"/>
      <c r="U703" s="63"/>
      <c r="V703" s="63"/>
      <c r="W703" s="63"/>
      <c r="X703" s="63"/>
      <c r="Y703" s="63"/>
      <c r="Z703" s="63"/>
      <c r="AA703" s="63"/>
      <c r="AB703" s="63"/>
      <c r="AC703" s="63"/>
      <c r="AD703" s="63"/>
      <c r="AE703" s="63"/>
      <c r="AF703" s="63"/>
      <c r="AG703" s="63"/>
      <c r="AH703" s="63"/>
      <c r="AI703" s="63"/>
      <c r="AJ703" s="63"/>
    </row>
    <row r="704">
      <c r="A704" s="186"/>
      <c r="B704" s="63"/>
      <c r="C704" s="63"/>
      <c r="D704" s="63"/>
      <c r="E704" s="63"/>
      <c r="F704" s="184"/>
      <c r="G704" s="184"/>
      <c r="H704" s="184"/>
      <c r="I704" s="184"/>
      <c r="J704" s="184"/>
      <c r="K704" s="69" t="str">
        <f>iferror(vlookup(E704,MasterClass!$C$2:$G988,5,false),"")</f>
        <v/>
      </c>
      <c r="L704" s="184"/>
      <c r="M704" s="184"/>
      <c r="N704" s="184"/>
      <c r="O704" s="63"/>
      <c r="P704" s="63"/>
      <c r="Q704" s="63"/>
      <c r="R704" s="63"/>
      <c r="S704" s="63"/>
      <c r="T704" s="63"/>
      <c r="U704" s="63"/>
      <c r="V704" s="63"/>
      <c r="W704" s="63"/>
      <c r="X704" s="63"/>
      <c r="Y704" s="63"/>
      <c r="Z704" s="63"/>
      <c r="AA704" s="63"/>
      <c r="AB704" s="63"/>
      <c r="AC704" s="63"/>
      <c r="AD704" s="63"/>
      <c r="AE704" s="63"/>
      <c r="AF704" s="63"/>
      <c r="AG704" s="63"/>
      <c r="AH704" s="63"/>
      <c r="AI704" s="63"/>
      <c r="AJ704" s="63"/>
    </row>
    <row r="705">
      <c r="A705" s="186"/>
      <c r="B705" s="63"/>
      <c r="C705" s="63"/>
      <c r="D705" s="63"/>
      <c r="E705" s="63"/>
      <c r="F705" s="184"/>
      <c r="G705" s="184"/>
      <c r="H705" s="184"/>
      <c r="I705" s="184"/>
      <c r="J705" s="184"/>
      <c r="K705" s="69" t="str">
        <f>iferror(vlookup(E705,MasterClass!$C$2:$G988,5,false),"")</f>
        <v/>
      </c>
      <c r="L705" s="184"/>
      <c r="M705" s="184"/>
      <c r="N705" s="184"/>
      <c r="O705" s="63"/>
      <c r="P705" s="63"/>
      <c r="Q705" s="63"/>
      <c r="R705" s="63"/>
      <c r="S705" s="63"/>
      <c r="T705" s="63"/>
      <c r="U705" s="63"/>
      <c r="V705" s="63"/>
      <c r="W705" s="63"/>
      <c r="X705" s="63"/>
      <c r="Y705" s="63"/>
      <c r="Z705" s="63"/>
      <c r="AA705" s="63"/>
      <c r="AB705" s="63"/>
      <c r="AC705" s="63"/>
      <c r="AD705" s="63"/>
      <c r="AE705" s="63"/>
      <c r="AF705" s="63"/>
      <c r="AG705" s="63"/>
      <c r="AH705" s="63"/>
      <c r="AI705" s="63"/>
      <c r="AJ705" s="63"/>
    </row>
    <row r="706">
      <c r="A706" s="186"/>
      <c r="B706" s="63"/>
      <c r="C706" s="63"/>
      <c r="D706" s="63"/>
      <c r="E706" s="63"/>
      <c r="F706" s="184"/>
      <c r="G706" s="184"/>
      <c r="H706" s="184"/>
      <c r="I706" s="184"/>
      <c r="J706" s="184"/>
      <c r="K706" s="69" t="str">
        <f>iferror(vlookup(E706,MasterClass!$C$2:$G988,5,false),"")</f>
        <v/>
      </c>
      <c r="L706" s="184"/>
      <c r="M706" s="184"/>
      <c r="N706" s="184"/>
      <c r="O706" s="63"/>
      <c r="P706" s="63"/>
      <c r="Q706" s="63"/>
      <c r="R706" s="63"/>
      <c r="S706" s="63"/>
      <c r="T706" s="63"/>
      <c r="U706" s="63"/>
      <c r="V706" s="63"/>
      <c r="W706" s="63"/>
      <c r="X706" s="63"/>
      <c r="Y706" s="63"/>
      <c r="Z706" s="63"/>
      <c r="AA706" s="63"/>
      <c r="AB706" s="63"/>
      <c r="AC706" s="63"/>
      <c r="AD706" s="63"/>
      <c r="AE706" s="63"/>
      <c r="AF706" s="63"/>
      <c r="AG706" s="63"/>
      <c r="AH706" s="63"/>
      <c r="AI706" s="63"/>
      <c r="AJ706" s="63"/>
    </row>
    <row r="707">
      <c r="A707" s="186"/>
      <c r="B707" s="63"/>
      <c r="C707" s="63"/>
      <c r="D707" s="63"/>
      <c r="E707" s="63"/>
      <c r="F707" s="184"/>
      <c r="G707" s="184"/>
      <c r="H707" s="184"/>
      <c r="I707" s="184"/>
      <c r="J707" s="184"/>
      <c r="K707" s="69" t="str">
        <f>iferror(vlookup(E707,MasterClass!$C$2:$G988,5,false),"")</f>
        <v/>
      </c>
      <c r="L707" s="184"/>
      <c r="M707" s="184"/>
      <c r="N707" s="184"/>
      <c r="O707" s="63"/>
      <c r="P707" s="63"/>
      <c r="Q707" s="63"/>
      <c r="R707" s="63"/>
      <c r="S707" s="63"/>
      <c r="T707" s="63"/>
      <c r="U707" s="63"/>
      <c r="V707" s="63"/>
      <c r="W707" s="63"/>
      <c r="X707" s="63"/>
      <c r="Y707" s="63"/>
      <c r="Z707" s="63"/>
      <c r="AA707" s="63"/>
      <c r="AB707" s="63"/>
      <c r="AC707" s="63"/>
      <c r="AD707" s="63"/>
      <c r="AE707" s="63"/>
      <c r="AF707" s="63"/>
      <c r="AG707" s="63"/>
      <c r="AH707" s="63"/>
      <c r="AI707" s="63"/>
      <c r="AJ707" s="63"/>
    </row>
    <row r="708">
      <c r="A708" s="186"/>
      <c r="B708" s="63"/>
      <c r="C708" s="63"/>
      <c r="D708" s="63"/>
      <c r="E708" s="63"/>
      <c r="F708" s="184"/>
      <c r="G708" s="184"/>
      <c r="H708" s="184"/>
      <c r="I708" s="184"/>
      <c r="J708" s="184"/>
      <c r="K708" s="69" t="str">
        <f>iferror(vlookup(E708,MasterClass!$C$2:$G988,5,false),"")</f>
        <v/>
      </c>
      <c r="L708" s="184"/>
      <c r="M708" s="184"/>
      <c r="N708" s="184"/>
      <c r="O708" s="63"/>
      <c r="P708" s="63"/>
      <c r="Q708" s="63"/>
      <c r="R708" s="63"/>
      <c r="S708" s="63"/>
      <c r="T708" s="63"/>
      <c r="U708" s="63"/>
      <c r="V708" s="63"/>
      <c r="W708" s="63"/>
      <c r="X708" s="63"/>
      <c r="Y708" s="63"/>
      <c r="Z708" s="63"/>
      <c r="AA708" s="63"/>
      <c r="AB708" s="63"/>
      <c r="AC708" s="63"/>
      <c r="AD708" s="63"/>
      <c r="AE708" s="63"/>
      <c r="AF708" s="63"/>
      <c r="AG708" s="63"/>
      <c r="AH708" s="63"/>
      <c r="AI708" s="63"/>
      <c r="AJ708" s="63"/>
    </row>
    <row r="709">
      <c r="A709" s="186"/>
      <c r="B709" s="63"/>
      <c r="C709" s="63"/>
      <c r="D709" s="63"/>
      <c r="E709" s="63"/>
      <c r="F709" s="184"/>
      <c r="G709" s="184"/>
      <c r="H709" s="184"/>
      <c r="I709" s="184"/>
      <c r="J709" s="184"/>
      <c r="K709" s="69" t="str">
        <f>iferror(vlookup(E709,MasterClass!$C$2:$G988,5,false),"")</f>
        <v/>
      </c>
      <c r="L709" s="184"/>
      <c r="M709" s="184"/>
      <c r="N709" s="184"/>
      <c r="O709" s="63"/>
      <c r="P709" s="63"/>
      <c r="Q709" s="63"/>
      <c r="R709" s="63"/>
      <c r="S709" s="63"/>
      <c r="T709" s="63"/>
      <c r="U709" s="63"/>
      <c r="V709" s="63"/>
      <c r="W709" s="63"/>
      <c r="X709" s="63"/>
      <c r="Y709" s="63"/>
      <c r="Z709" s="63"/>
      <c r="AA709" s="63"/>
      <c r="AB709" s="63"/>
      <c r="AC709" s="63"/>
      <c r="AD709" s="63"/>
      <c r="AE709" s="63"/>
      <c r="AF709" s="63"/>
      <c r="AG709" s="63"/>
      <c r="AH709" s="63"/>
      <c r="AI709" s="63"/>
      <c r="AJ709" s="63"/>
    </row>
    <row r="710">
      <c r="A710" s="186"/>
      <c r="B710" s="63"/>
      <c r="C710" s="63"/>
      <c r="D710" s="63"/>
      <c r="E710" s="63"/>
      <c r="F710" s="184"/>
      <c r="G710" s="184"/>
      <c r="H710" s="184"/>
      <c r="I710" s="184"/>
      <c r="J710" s="184"/>
      <c r="K710" s="69" t="str">
        <f>iferror(vlookup(E710,MasterClass!$C$2:$G988,5,false),"")</f>
        <v/>
      </c>
      <c r="L710" s="184"/>
      <c r="M710" s="184"/>
      <c r="N710" s="184"/>
      <c r="O710" s="63"/>
      <c r="P710" s="63"/>
      <c r="Q710" s="63"/>
      <c r="R710" s="63"/>
      <c r="S710" s="63"/>
      <c r="T710" s="63"/>
      <c r="U710" s="63"/>
      <c r="V710" s="63"/>
      <c r="W710" s="63"/>
      <c r="X710" s="63"/>
      <c r="Y710" s="63"/>
      <c r="Z710" s="63"/>
      <c r="AA710" s="63"/>
      <c r="AB710" s="63"/>
      <c r="AC710" s="63"/>
      <c r="AD710" s="63"/>
      <c r="AE710" s="63"/>
      <c r="AF710" s="63"/>
      <c r="AG710" s="63"/>
      <c r="AH710" s="63"/>
      <c r="AI710" s="63"/>
      <c r="AJ710" s="63"/>
    </row>
    <row r="711">
      <c r="A711" s="186"/>
      <c r="B711" s="63"/>
      <c r="C711" s="63"/>
      <c r="D711" s="63"/>
      <c r="E711" s="63"/>
      <c r="F711" s="184"/>
      <c r="G711" s="184"/>
      <c r="H711" s="184"/>
      <c r="I711" s="184"/>
      <c r="J711" s="184"/>
      <c r="K711" s="69" t="str">
        <f>iferror(vlookup(E711,MasterClass!$C$2:$G988,5,false),"")</f>
        <v/>
      </c>
      <c r="L711" s="184"/>
      <c r="M711" s="184"/>
      <c r="N711" s="184"/>
      <c r="O711" s="63"/>
      <c r="P711" s="63"/>
      <c r="Q711" s="63"/>
      <c r="R711" s="63"/>
      <c r="S711" s="63"/>
      <c r="T711" s="63"/>
      <c r="U711" s="63"/>
      <c r="V711" s="63"/>
      <c r="W711" s="63"/>
      <c r="X711" s="63"/>
      <c r="Y711" s="63"/>
      <c r="Z711" s="63"/>
      <c r="AA711" s="63"/>
      <c r="AB711" s="63"/>
      <c r="AC711" s="63"/>
      <c r="AD711" s="63"/>
      <c r="AE711" s="63"/>
      <c r="AF711" s="63"/>
      <c r="AG711" s="63"/>
      <c r="AH711" s="63"/>
      <c r="AI711" s="63"/>
      <c r="AJ711" s="63"/>
    </row>
    <row r="712">
      <c r="A712" s="186"/>
      <c r="B712" s="63"/>
      <c r="C712" s="63"/>
      <c r="D712" s="63"/>
      <c r="E712" s="63"/>
      <c r="F712" s="184"/>
      <c r="G712" s="184"/>
      <c r="H712" s="184"/>
      <c r="I712" s="184"/>
      <c r="J712" s="184"/>
      <c r="K712" s="69" t="str">
        <f>iferror(vlookup(E712,MasterClass!$C$2:$G988,5,false),"")</f>
        <v/>
      </c>
      <c r="L712" s="184"/>
      <c r="M712" s="184"/>
      <c r="N712" s="184"/>
      <c r="O712" s="63"/>
      <c r="P712" s="63"/>
      <c r="Q712" s="63"/>
      <c r="R712" s="63"/>
      <c r="S712" s="63"/>
      <c r="T712" s="63"/>
      <c r="U712" s="63"/>
      <c r="V712" s="63"/>
      <c r="W712" s="63"/>
      <c r="X712" s="63"/>
      <c r="Y712" s="63"/>
      <c r="Z712" s="63"/>
      <c r="AA712" s="63"/>
      <c r="AB712" s="63"/>
      <c r="AC712" s="63"/>
      <c r="AD712" s="63"/>
      <c r="AE712" s="63"/>
      <c r="AF712" s="63"/>
      <c r="AG712" s="63"/>
      <c r="AH712" s="63"/>
      <c r="AI712" s="63"/>
      <c r="AJ712" s="63"/>
    </row>
    <row r="713">
      <c r="A713" s="186"/>
      <c r="B713" s="63"/>
      <c r="C713" s="63"/>
      <c r="D713" s="63"/>
      <c r="E713" s="63"/>
      <c r="F713" s="184"/>
      <c r="G713" s="184"/>
      <c r="H713" s="184"/>
      <c r="I713" s="184"/>
      <c r="J713" s="184"/>
      <c r="K713" s="69" t="str">
        <f>iferror(vlookup(E713,MasterClass!$C$2:$G988,5,false),"")</f>
        <v/>
      </c>
      <c r="L713" s="184"/>
      <c r="M713" s="184"/>
      <c r="N713" s="184"/>
      <c r="O713" s="63"/>
      <c r="P713" s="63"/>
      <c r="Q713" s="63"/>
      <c r="R713" s="63"/>
      <c r="S713" s="63"/>
      <c r="T713" s="63"/>
      <c r="U713" s="63"/>
      <c r="V713" s="63"/>
      <c r="W713" s="63"/>
      <c r="X713" s="63"/>
      <c r="Y713" s="63"/>
      <c r="Z713" s="63"/>
      <c r="AA713" s="63"/>
      <c r="AB713" s="63"/>
      <c r="AC713" s="63"/>
      <c r="AD713" s="63"/>
      <c r="AE713" s="63"/>
      <c r="AF713" s="63"/>
      <c r="AG713" s="63"/>
      <c r="AH713" s="63"/>
      <c r="AI713" s="63"/>
      <c r="AJ713" s="63"/>
    </row>
    <row r="714">
      <c r="A714" s="186"/>
      <c r="B714" s="63"/>
      <c r="C714" s="63"/>
      <c r="D714" s="63"/>
      <c r="E714" s="63"/>
      <c r="F714" s="184"/>
      <c r="G714" s="184"/>
      <c r="H714" s="184"/>
      <c r="I714" s="184"/>
      <c r="J714" s="184"/>
      <c r="K714" s="69" t="str">
        <f>iferror(vlookup(E714,MasterClass!$C$2:$G988,5,false),"")</f>
        <v/>
      </c>
      <c r="L714" s="184"/>
      <c r="M714" s="184"/>
      <c r="N714" s="184"/>
      <c r="O714" s="63"/>
      <c r="P714" s="63"/>
      <c r="Q714" s="63"/>
      <c r="R714" s="63"/>
      <c r="S714" s="63"/>
      <c r="T714" s="63"/>
      <c r="U714" s="63"/>
      <c r="V714" s="63"/>
      <c r="W714" s="63"/>
      <c r="X714" s="63"/>
      <c r="Y714" s="63"/>
      <c r="Z714" s="63"/>
      <c r="AA714" s="63"/>
      <c r="AB714" s="63"/>
      <c r="AC714" s="63"/>
      <c r="AD714" s="63"/>
      <c r="AE714" s="63"/>
      <c r="AF714" s="63"/>
      <c r="AG714" s="63"/>
      <c r="AH714" s="63"/>
      <c r="AI714" s="63"/>
      <c r="AJ714" s="63"/>
    </row>
    <row r="715">
      <c r="A715" s="186"/>
      <c r="B715" s="63"/>
      <c r="C715" s="63"/>
      <c r="D715" s="63"/>
      <c r="E715" s="63"/>
      <c r="F715" s="184"/>
      <c r="G715" s="184"/>
      <c r="H715" s="184"/>
      <c r="I715" s="184"/>
      <c r="J715" s="184"/>
      <c r="K715" s="69" t="str">
        <f>iferror(vlookup(E715,MasterClass!$C$2:$G988,5,false),"")</f>
        <v/>
      </c>
      <c r="L715" s="184"/>
      <c r="M715" s="184"/>
      <c r="N715" s="184"/>
      <c r="O715" s="63"/>
      <c r="P715" s="63"/>
      <c r="Q715" s="63"/>
      <c r="R715" s="63"/>
      <c r="S715" s="63"/>
      <c r="T715" s="63"/>
      <c r="U715" s="63"/>
      <c r="V715" s="63"/>
      <c r="W715" s="63"/>
      <c r="X715" s="63"/>
      <c r="Y715" s="63"/>
      <c r="Z715" s="63"/>
      <c r="AA715" s="63"/>
      <c r="AB715" s="63"/>
      <c r="AC715" s="63"/>
      <c r="AD715" s="63"/>
      <c r="AE715" s="63"/>
      <c r="AF715" s="63"/>
      <c r="AG715" s="63"/>
      <c r="AH715" s="63"/>
      <c r="AI715" s="63"/>
      <c r="AJ715" s="63"/>
    </row>
    <row r="716">
      <c r="A716" s="186"/>
      <c r="B716" s="63"/>
      <c r="C716" s="63"/>
      <c r="D716" s="63"/>
      <c r="E716" s="63"/>
      <c r="F716" s="184"/>
      <c r="G716" s="184"/>
      <c r="H716" s="184"/>
      <c r="I716" s="184"/>
      <c r="J716" s="184"/>
      <c r="K716" s="69" t="str">
        <f>iferror(vlookup(E716,MasterClass!$C$2:$G988,5,false),"")</f>
        <v/>
      </c>
      <c r="L716" s="184"/>
      <c r="M716" s="184"/>
      <c r="N716" s="184"/>
      <c r="O716" s="63"/>
      <c r="P716" s="63"/>
      <c r="Q716" s="63"/>
      <c r="R716" s="63"/>
      <c r="S716" s="63"/>
      <c r="T716" s="63"/>
      <c r="U716" s="63"/>
      <c r="V716" s="63"/>
      <c r="W716" s="63"/>
      <c r="X716" s="63"/>
      <c r="Y716" s="63"/>
      <c r="Z716" s="63"/>
      <c r="AA716" s="63"/>
      <c r="AB716" s="63"/>
      <c r="AC716" s="63"/>
      <c r="AD716" s="63"/>
      <c r="AE716" s="63"/>
      <c r="AF716" s="63"/>
      <c r="AG716" s="63"/>
      <c r="AH716" s="63"/>
      <c r="AI716" s="63"/>
      <c r="AJ716" s="63"/>
    </row>
    <row r="717">
      <c r="A717" s="186"/>
      <c r="B717" s="63"/>
      <c r="C717" s="63"/>
      <c r="D717" s="63"/>
      <c r="E717" s="63"/>
      <c r="F717" s="184"/>
      <c r="G717" s="184"/>
      <c r="H717" s="184"/>
      <c r="I717" s="184"/>
      <c r="J717" s="184"/>
      <c r="K717" s="69" t="str">
        <f>iferror(vlookup(E717,MasterClass!$C$2:$G988,5,false),"")</f>
        <v/>
      </c>
      <c r="L717" s="184"/>
      <c r="M717" s="184"/>
      <c r="N717" s="184"/>
      <c r="O717" s="63"/>
      <c r="P717" s="63"/>
      <c r="Q717" s="63"/>
      <c r="R717" s="63"/>
      <c r="S717" s="63"/>
      <c r="T717" s="63"/>
      <c r="U717" s="63"/>
      <c r="V717" s="63"/>
      <c r="W717" s="63"/>
      <c r="X717" s="63"/>
      <c r="Y717" s="63"/>
      <c r="Z717" s="63"/>
      <c r="AA717" s="63"/>
      <c r="AB717" s="63"/>
      <c r="AC717" s="63"/>
      <c r="AD717" s="63"/>
      <c r="AE717" s="63"/>
      <c r="AF717" s="63"/>
      <c r="AG717" s="63"/>
      <c r="AH717" s="63"/>
      <c r="AI717" s="63"/>
      <c r="AJ717" s="63"/>
    </row>
    <row r="718">
      <c r="A718" s="186"/>
      <c r="B718" s="63"/>
      <c r="C718" s="63"/>
      <c r="D718" s="63"/>
      <c r="E718" s="63"/>
      <c r="F718" s="184"/>
      <c r="G718" s="184"/>
      <c r="H718" s="184"/>
      <c r="I718" s="184"/>
      <c r="J718" s="184"/>
      <c r="K718" s="69" t="str">
        <f>iferror(vlookup(E718,MasterClass!$C$2:$G988,5,false),"")</f>
        <v/>
      </c>
      <c r="L718" s="184"/>
      <c r="M718" s="184"/>
      <c r="N718" s="184"/>
      <c r="O718" s="63"/>
      <c r="P718" s="63"/>
      <c r="Q718" s="63"/>
      <c r="R718" s="63"/>
      <c r="S718" s="63"/>
      <c r="T718" s="63"/>
      <c r="U718" s="63"/>
      <c r="V718" s="63"/>
      <c r="W718" s="63"/>
      <c r="X718" s="63"/>
      <c r="Y718" s="63"/>
      <c r="Z718" s="63"/>
      <c r="AA718" s="63"/>
      <c r="AB718" s="63"/>
      <c r="AC718" s="63"/>
      <c r="AD718" s="63"/>
      <c r="AE718" s="63"/>
      <c r="AF718" s="63"/>
      <c r="AG718" s="63"/>
      <c r="AH718" s="63"/>
      <c r="AI718" s="63"/>
      <c r="AJ718" s="63"/>
    </row>
    <row r="719">
      <c r="A719" s="186"/>
      <c r="B719" s="63"/>
      <c r="C719" s="63"/>
      <c r="D719" s="63"/>
      <c r="E719" s="63"/>
      <c r="F719" s="184"/>
      <c r="G719" s="184"/>
      <c r="H719" s="184"/>
      <c r="I719" s="184"/>
      <c r="J719" s="184"/>
      <c r="K719" s="69" t="str">
        <f>iferror(vlookup(E719,MasterClass!$C$2:$G988,5,false),"")</f>
        <v/>
      </c>
      <c r="L719" s="184"/>
      <c r="M719" s="184"/>
      <c r="N719" s="184"/>
      <c r="O719" s="63"/>
      <c r="P719" s="63"/>
      <c r="Q719" s="63"/>
      <c r="R719" s="63"/>
      <c r="S719" s="63"/>
      <c r="T719" s="63"/>
      <c r="U719" s="63"/>
      <c r="V719" s="63"/>
      <c r="W719" s="63"/>
      <c r="X719" s="63"/>
      <c r="Y719" s="63"/>
      <c r="Z719" s="63"/>
      <c r="AA719" s="63"/>
      <c r="AB719" s="63"/>
      <c r="AC719" s="63"/>
      <c r="AD719" s="63"/>
      <c r="AE719" s="63"/>
      <c r="AF719" s="63"/>
      <c r="AG719" s="63"/>
      <c r="AH719" s="63"/>
      <c r="AI719" s="63"/>
      <c r="AJ719" s="63"/>
    </row>
    <row r="720">
      <c r="A720" s="186"/>
      <c r="B720" s="63"/>
      <c r="C720" s="63"/>
      <c r="D720" s="63"/>
      <c r="E720" s="63"/>
      <c r="F720" s="184"/>
      <c r="G720" s="184"/>
      <c r="H720" s="184"/>
      <c r="I720" s="184"/>
      <c r="J720" s="184"/>
      <c r="K720" s="69" t="str">
        <f>iferror(vlookup(E720,MasterClass!$C$2:$G988,5,false),"")</f>
        <v/>
      </c>
      <c r="L720" s="184"/>
      <c r="M720" s="184"/>
      <c r="N720" s="184"/>
      <c r="O720" s="63"/>
      <c r="P720" s="63"/>
      <c r="Q720" s="63"/>
      <c r="R720" s="63"/>
      <c r="S720" s="63"/>
      <c r="T720" s="63"/>
      <c r="U720" s="63"/>
      <c r="V720" s="63"/>
      <c r="W720" s="63"/>
      <c r="X720" s="63"/>
      <c r="Y720" s="63"/>
      <c r="Z720" s="63"/>
      <c r="AA720" s="63"/>
      <c r="AB720" s="63"/>
      <c r="AC720" s="63"/>
      <c r="AD720" s="63"/>
      <c r="AE720" s="63"/>
      <c r="AF720" s="63"/>
      <c r="AG720" s="63"/>
      <c r="AH720" s="63"/>
      <c r="AI720" s="63"/>
      <c r="AJ720" s="63"/>
    </row>
    <row r="721">
      <c r="A721" s="186"/>
      <c r="B721" s="63"/>
      <c r="C721" s="63"/>
      <c r="D721" s="63"/>
      <c r="E721" s="63"/>
      <c r="F721" s="184"/>
      <c r="G721" s="184"/>
      <c r="H721" s="184"/>
      <c r="I721" s="184"/>
      <c r="J721" s="184"/>
      <c r="K721" s="69" t="str">
        <f>iferror(vlookup(E721,MasterClass!$C$2:$G988,5,false),"")</f>
        <v/>
      </c>
      <c r="L721" s="184"/>
      <c r="M721" s="184"/>
      <c r="N721" s="184"/>
      <c r="O721" s="63"/>
      <c r="P721" s="63"/>
      <c r="Q721" s="63"/>
      <c r="R721" s="63"/>
      <c r="S721" s="63"/>
      <c r="T721" s="63"/>
      <c r="U721" s="63"/>
      <c r="V721" s="63"/>
      <c r="W721" s="63"/>
      <c r="X721" s="63"/>
      <c r="Y721" s="63"/>
      <c r="Z721" s="63"/>
      <c r="AA721" s="63"/>
      <c r="AB721" s="63"/>
      <c r="AC721" s="63"/>
      <c r="AD721" s="63"/>
      <c r="AE721" s="63"/>
      <c r="AF721" s="63"/>
      <c r="AG721" s="63"/>
      <c r="AH721" s="63"/>
      <c r="AI721" s="63"/>
      <c r="AJ721" s="63"/>
    </row>
    <row r="722">
      <c r="A722" s="186"/>
      <c r="B722" s="63"/>
      <c r="C722" s="63"/>
      <c r="D722" s="63"/>
      <c r="E722" s="63"/>
      <c r="F722" s="184"/>
      <c r="G722" s="184"/>
      <c r="H722" s="184"/>
      <c r="I722" s="184"/>
      <c r="J722" s="184"/>
      <c r="K722" s="69" t="str">
        <f>iferror(vlookup(E722,MasterClass!$C$2:$G988,5,false),"")</f>
        <v/>
      </c>
      <c r="L722" s="184"/>
      <c r="M722" s="184"/>
      <c r="N722" s="184"/>
      <c r="O722" s="63"/>
      <c r="P722" s="63"/>
      <c r="Q722" s="63"/>
      <c r="R722" s="63"/>
      <c r="S722" s="63"/>
      <c r="T722" s="63"/>
      <c r="U722" s="63"/>
      <c r="V722" s="63"/>
      <c r="W722" s="63"/>
      <c r="X722" s="63"/>
      <c r="Y722" s="63"/>
      <c r="Z722" s="63"/>
      <c r="AA722" s="63"/>
      <c r="AB722" s="63"/>
      <c r="AC722" s="63"/>
      <c r="AD722" s="63"/>
      <c r="AE722" s="63"/>
      <c r="AF722" s="63"/>
      <c r="AG722" s="63"/>
      <c r="AH722" s="63"/>
      <c r="AI722" s="63"/>
      <c r="AJ722" s="63"/>
    </row>
    <row r="723">
      <c r="A723" s="186"/>
      <c r="B723" s="63"/>
      <c r="C723" s="63"/>
      <c r="D723" s="63"/>
      <c r="E723" s="63"/>
      <c r="F723" s="184"/>
      <c r="G723" s="184"/>
      <c r="H723" s="184"/>
      <c r="I723" s="184"/>
      <c r="J723" s="184"/>
      <c r="K723" s="69" t="str">
        <f>iferror(vlookup(E723,MasterClass!$C$2:$G988,5,false),"")</f>
        <v/>
      </c>
      <c r="L723" s="184"/>
      <c r="M723" s="184"/>
      <c r="N723" s="184"/>
      <c r="O723" s="63"/>
      <c r="P723" s="63"/>
      <c r="Q723" s="63"/>
      <c r="R723" s="63"/>
      <c r="S723" s="63"/>
      <c r="T723" s="63"/>
      <c r="U723" s="63"/>
      <c r="V723" s="63"/>
      <c r="W723" s="63"/>
      <c r="X723" s="63"/>
      <c r="Y723" s="63"/>
      <c r="Z723" s="63"/>
      <c r="AA723" s="63"/>
      <c r="AB723" s="63"/>
      <c r="AC723" s="63"/>
      <c r="AD723" s="63"/>
      <c r="AE723" s="63"/>
      <c r="AF723" s="63"/>
      <c r="AG723" s="63"/>
      <c r="AH723" s="63"/>
      <c r="AI723" s="63"/>
      <c r="AJ723" s="63"/>
    </row>
    <row r="724">
      <c r="A724" s="186"/>
      <c r="B724" s="63"/>
      <c r="C724" s="63"/>
      <c r="D724" s="63"/>
      <c r="E724" s="63"/>
      <c r="F724" s="184"/>
      <c r="G724" s="184"/>
      <c r="H724" s="184"/>
      <c r="I724" s="184"/>
      <c r="J724" s="184"/>
      <c r="K724" s="69" t="str">
        <f>iferror(vlookup(E724,MasterClass!$C$2:$G988,5,false),"")</f>
        <v/>
      </c>
      <c r="L724" s="184"/>
      <c r="M724" s="184"/>
      <c r="N724" s="184"/>
      <c r="O724" s="63"/>
      <c r="P724" s="63"/>
      <c r="Q724" s="63"/>
      <c r="R724" s="63"/>
      <c r="S724" s="63"/>
      <c r="T724" s="63"/>
      <c r="U724" s="63"/>
      <c r="V724" s="63"/>
      <c r="W724" s="63"/>
      <c r="X724" s="63"/>
      <c r="Y724" s="63"/>
      <c r="Z724" s="63"/>
      <c r="AA724" s="63"/>
      <c r="AB724" s="63"/>
      <c r="AC724" s="63"/>
      <c r="AD724" s="63"/>
      <c r="AE724" s="63"/>
      <c r="AF724" s="63"/>
      <c r="AG724" s="63"/>
      <c r="AH724" s="63"/>
      <c r="AI724" s="63"/>
      <c r="AJ724" s="63"/>
    </row>
    <row r="725">
      <c r="A725" s="186"/>
      <c r="B725" s="63"/>
      <c r="C725" s="63"/>
      <c r="D725" s="63"/>
      <c r="E725" s="63"/>
      <c r="F725" s="184"/>
      <c r="G725" s="184"/>
      <c r="H725" s="184"/>
      <c r="I725" s="184"/>
      <c r="J725" s="184"/>
      <c r="K725" s="69" t="str">
        <f>iferror(vlookup(E725,MasterClass!$C$2:$G988,5,false),"")</f>
        <v/>
      </c>
      <c r="L725" s="184"/>
      <c r="M725" s="184"/>
      <c r="N725" s="184"/>
      <c r="O725" s="63"/>
      <c r="P725" s="63"/>
      <c r="Q725" s="63"/>
      <c r="R725" s="63"/>
      <c r="S725" s="63"/>
      <c r="T725" s="63"/>
      <c r="U725" s="63"/>
      <c r="V725" s="63"/>
      <c r="W725" s="63"/>
      <c r="X725" s="63"/>
      <c r="Y725" s="63"/>
      <c r="Z725" s="63"/>
      <c r="AA725" s="63"/>
      <c r="AB725" s="63"/>
      <c r="AC725" s="63"/>
      <c r="AD725" s="63"/>
      <c r="AE725" s="63"/>
      <c r="AF725" s="63"/>
      <c r="AG725" s="63"/>
      <c r="AH725" s="63"/>
      <c r="AI725" s="63"/>
      <c r="AJ725" s="63"/>
    </row>
    <row r="726">
      <c r="A726" s="186"/>
      <c r="B726" s="63"/>
      <c r="C726" s="63"/>
      <c r="D726" s="63"/>
      <c r="E726" s="63"/>
      <c r="F726" s="184"/>
      <c r="G726" s="184"/>
      <c r="H726" s="184"/>
      <c r="I726" s="184"/>
      <c r="J726" s="184"/>
      <c r="K726" s="69" t="str">
        <f>iferror(vlookup(E726,MasterClass!$C$2:$G988,5,false),"")</f>
        <v/>
      </c>
      <c r="L726" s="184"/>
      <c r="M726" s="184"/>
      <c r="N726" s="184"/>
      <c r="O726" s="63"/>
      <c r="P726" s="63"/>
      <c r="Q726" s="63"/>
      <c r="R726" s="63"/>
      <c r="S726" s="63"/>
      <c r="T726" s="63"/>
      <c r="U726" s="63"/>
      <c r="V726" s="63"/>
      <c r="W726" s="63"/>
      <c r="X726" s="63"/>
      <c r="Y726" s="63"/>
      <c r="Z726" s="63"/>
      <c r="AA726" s="63"/>
      <c r="AB726" s="63"/>
      <c r="AC726" s="63"/>
      <c r="AD726" s="63"/>
      <c r="AE726" s="63"/>
      <c r="AF726" s="63"/>
      <c r="AG726" s="63"/>
      <c r="AH726" s="63"/>
      <c r="AI726" s="63"/>
      <c r="AJ726" s="63"/>
    </row>
    <row r="727">
      <c r="A727" s="186"/>
      <c r="B727" s="63"/>
      <c r="C727" s="63"/>
      <c r="D727" s="63"/>
      <c r="E727" s="63"/>
      <c r="F727" s="184"/>
      <c r="G727" s="184"/>
      <c r="H727" s="184"/>
      <c r="I727" s="184"/>
      <c r="J727" s="184"/>
      <c r="K727" s="69" t="str">
        <f>iferror(vlookup(E727,MasterClass!$C$2:$G988,5,false),"")</f>
        <v/>
      </c>
      <c r="L727" s="184"/>
      <c r="M727" s="184"/>
      <c r="N727" s="184"/>
      <c r="O727" s="63"/>
      <c r="P727" s="63"/>
      <c r="Q727" s="63"/>
      <c r="R727" s="63"/>
      <c r="S727" s="63"/>
      <c r="T727" s="63"/>
      <c r="U727" s="63"/>
      <c r="V727" s="63"/>
      <c r="W727" s="63"/>
      <c r="X727" s="63"/>
      <c r="Y727" s="63"/>
      <c r="Z727" s="63"/>
      <c r="AA727" s="63"/>
      <c r="AB727" s="63"/>
      <c r="AC727" s="63"/>
      <c r="AD727" s="63"/>
      <c r="AE727" s="63"/>
      <c r="AF727" s="63"/>
      <c r="AG727" s="63"/>
      <c r="AH727" s="63"/>
      <c r="AI727" s="63"/>
      <c r="AJ727" s="63"/>
    </row>
    <row r="728">
      <c r="A728" s="186"/>
      <c r="B728" s="63"/>
      <c r="C728" s="63"/>
      <c r="D728" s="63"/>
      <c r="E728" s="63"/>
      <c r="F728" s="184"/>
      <c r="G728" s="184"/>
      <c r="H728" s="184"/>
      <c r="I728" s="184"/>
      <c r="J728" s="184"/>
      <c r="K728" s="69" t="str">
        <f>iferror(vlookup(E728,MasterClass!$C$2:$G988,5,false),"")</f>
        <v/>
      </c>
      <c r="L728" s="184"/>
      <c r="M728" s="184"/>
      <c r="N728" s="184"/>
      <c r="O728" s="63"/>
      <c r="P728" s="63"/>
      <c r="Q728" s="63"/>
      <c r="R728" s="63"/>
      <c r="S728" s="63"/>
      <c r="T728" s="63"/>
      <c r="U728" s="63"/>
      <c r="V728" s="63"/>
      <c r="W728" s="63"/>
      <c r="X728" s="63"/>
      <c r="Y728" s="63"/>
      <c r="Z728" s="63"/>
      <c r="AA728" s="63"/>
      <c r="AB728" s="63"/>
      <c r="AC728" s="63"/>
      <c r="AD728" s="63"/>
      <c r="AE728" s="63"/>
      <c r="AF728" s="63"/>
      <c r="AG728" s="63"/>
      <c r="AH728" s="63"/>
      <c r="AI728" s="63"/>
      <c r="AJ728" s="63"/>
    </row>
    <row r="729">
      <c r="A729" s="186"/>
      <c r="B729" s="63"/>
      <c r="C729" s="63"/>
      <c r="D729" s="63"/>
      <c r="E729" s="63"/>
      <c r="F729" s="184"/>
      <c r="G729" s="184"/>
      <c r="H729" s="184"/>
      <c r="I729" s="184"/>
      <c r="J729" s="184"/>
      <c r="K729" s="69" t="str">
        <f>iferror(vlookup(E729,MasterClass!$C$2:$G988,5,false),"")</f>
        <v/>
      </c>
      <c r="L729" s="184"/>
      <c r="M729" s="184"/>
      <c r="N729" s="184"/>
      <c r="O729" s="63"/>
      <c r="P729" s="63"/>
      <c r="Q729" s="63"/>
      <c r="R729" s="63"/>
      <c r="S729" s="63"/>
      <c r="T729" s="63"/>
      <c r="U729" s="63"/>
      <c r="V729" s="63"/>
      <c r="W729" s="63"/>
      <c r="X729" s="63"/>
      <c r="Y729" s="63"/>
      <c r="Z729" s="63"/>
      <c r="AA729" s="63"/>
      <c r="AB729" s="63"/>
      <c r="AC729" s="63"/>
      <c r="AD729" s="63"/>
      <c r="AE729" s="63"/>
      <c r="AF729" s="63"/>
      <c r="AG729" s="63"/>
      <c r="AH729" s="63"/>
      <c r="AI729" s="63"/>
      <c r="AJ729" s="63"/>
    </row>
    <row r="730">
      <c r="A730" s="186"/>
      <c r="B730" s="63"/>
      <c r="C730" s="63"/>
      <c r="D730" s="63"/>
      <c r="E730" s="63"/>
      <c r="F730" s="184"/>
      <c r="G730" s="184"/>
      <c r="H730" s="184"/>
      <c r="I730" s="184"/>
      <c r="J730" s="184"/>
      <c r="K730" s="69" t="str">
        <f>iferror(vlookup(E730,MasterClass!$C$2:$G988,5,false),"")</f>
        <v/>
      </c>
      <c r="L730" s="184"/>
      <c r="M730" s="184"/>
      <c r="N730" s="184"/>
      <c r="O730" s="63"/>
      <c r="P730" s="63"/>
      <c r="Q730" s="63"/>
      <c r="R730" s="63"/>
      <c r="S730" s="63"/>
      <c r="T730" s="63"/>
      <c r="U730" s="63"/>
      <c r="V730" s="63"/>
      <c r="W730" s="63"/>
      <c r="X730" s="63"/>
      <c r="Y730" s="63"/>
      <c r="Z730" s="63"/>
      <c r="AA730" s="63"/>
      <c r="AB730" s="63"/>
      <c r="AC730" s="63"/>
      <c r="AD730" s="63"/>
      <c r="AE730" s="63"/>
      <c r="AF730" s="63"/>
      <c r="AG730" s="63"/>
      <c r="AH730" s="63"/>
      <c r="AI730" s="63"/>
      <c r="AJ730" s="63"/>
    </row>
    <row r="731">
      <c r="A731" s="186"/>
      <c r="B731" s="63"/>
      <c r="C731" s="63"/>
      <c r="D731" s="63"/>
      <c r="E731" s="63"/>
      <c r="F731" s="184"/>
      <c r="G731" s="184"/>
      <c r="H731" s="184"/>
      <c r="I731" s="184"/>
      <c r="J731" s="184"/>
      <c r="K731" s="69" t="str">
        <f>iferror(vlookup(E731,MasterClass!$C$2:$G988,5,false),"")</f>
        <v/>
      </c>
      <c r="L731" s="184"/>
      <c r="M731" s="184"/>
      <c r="N731" s="184"/>
      <c r="O731" s="63"/>
      <c r="P731" s="63"/>
      <c r="Q731" s="63"/>
      <c r="R731" s="63"/>
      <c r="S731" s="63"/>
      <c r="T731" s="63"/>
      <c r="U731" s="63"/>
      <c r="V731" s="63"/>
      <c r="W731" s="63"/>
      <c r="X731" s="63"/>
      <c r="Y731" s="63"/>
      <c r="Z731" s="63"/>
      <c r="AA731" s="63"/>
      <c r="AB731" s="63"/>
      <c r="AC731" s="63"/>
      <c r="AD731" s="63"/>
      <c r="AE731" s="63"/>
      <c r="AF731" s="63"/>
      <c r="AG731" s="63"/>
      <c r="AH731" s="63"/>
      <c r="AI731" s="63"/>
      <c r="AJ731" s="63"/>
    </row>
    <row r="732">
      <c r="A732" s="186"/>
      <c r="B732" s="63"/>
      <c r="C732" s="63"/>
      <c r="D732" s="63"/>
      <c r="E732" s="63"/>
      <c r="F732" s="184"/>
      <c r="G732" s="184"/>
      <c r="H732" s="184"/>
      <c r="I732" s="184"/>
      <c r="J732" s="184"/>
      <c r="K732" s="69" t="str">
        <f>iferror(vlookup(E732,MasterClass!$C$2:$G988,5,false),"")</f>
        <v/>
      </c>
      <c r="L732" s="184"/>
      <c r="M732" s="184"/>
      <c r="N732" s="184"/>
      <c r="O732" s="63"/>
      <c r="P732" s="63"/>
      <c r="Q732" s="63"/>
      <c r="R732" s="63"/>
      <c r="S732" s="63"/>
      <c r="T732" s="63"/>
      <c r="U732" s="63"/>
      <c r="V732" s="63"/>
      <c r="W732" s="63"/>
      <c r="X732" s="63"/>
      <c r="Y732" s="63"/>
      <c r="Z732" s="63"/>
      <c r="AA732" s="63"/>
      <c r="AB732" s="63"/>
      <c r="AC732" s="63"/>
      <c r="AD732" s="63"/>
      <c r="AE732" s="63"/>
      <c r="AF732" s="63"/>
      <c r="AG732" s="63"/>
      <c r="AH732" s="63"/>
      <c r="AI732" s="63"/>
      <c r="AJ732" s="63"/>
    </row>
    <row r="733">
      <c r="A733" s="186"/>
      <c r="B733" s="63"/>
      <c r="C733" s="63"/>
      <c r="D733" s="63"/>
      <c r="E733" s="63"/>
      <c r="F733" s="184"/>
      <c r="G733" s="184"/>
      <c r="H733" s="184"/>
      <c r="I733" s="184"/>
      <c r="J733" s="184"/>
      <c r="K733" s="69" t="str">
        <f>iferror(vlookup(E733,MasterClass!$C$2:$G988,5,false),"")</f>
        <v/>
      </c>
      <c r="L733" s="184"/>
      <c r="M733" s="184"/>
      <c r="N733" s="184"/>
      <c r="O733" s="63"/>
      <c r="P733" s="63"/>
      <c r="Q733" s="63"/>
      <c r="R733" s="63"/>
      <c r="S733" s="63"/>
      <c r="T733" s="63"/>
      <c r="U733" s="63"/>
      <c r="V733" s="63"/>
      <c r="W733" s="63"/>
      <c r="X733" s="63"/>
      <c r="Y733" s="63"/>
      <c r="Z733" s="63"/>
      <c r="AA733" s="63"/>
      <c r="AB733" s="63"/>
      <c r="AC733" s="63"/>
      <c r="AD733" s="63"/>
      <c r="AE733" s="63"/>
      <c r="AF733" s="63"/>
      <c r="AG733" s="63"/>
      <c r="AH733" s="63"/>
      <c r="AI733" s="63"/>
      <c r="AJ733" s="63"/>
    </row>
    <row r="734">
      <c r="A734" s="186"/>
      <c r="B734" s="63"/>
      <c r="C734" s="63"/>
      <c r="D734" s="63"/>
      <c r="E734" s="63"/>
      <c r="F734" s="184"/>
      <c r="G734" s="184"/>
      <c r="H734" s="184"/>
      <c r="I734" s="184"/>
      <c r="J734" s="184"/>
      <c r="K734" s="69" t="str">
        <f>iferror(vlookup(E734,MasterClass!$C$2:$G988,5,false),"")</f>
        <v/>
      </c>
      <c r="L734" s="184"/>
      <c r="M734" s="184"/>
      <c r="N734" s="184"/>
      <c r="O734" s="63"/>
      <c r="P734" s="63"/>
      <c r="Q734" s="63"/>
      <c r="R734" s="63"/>
      <c r="S734" s="63"/>
      <c r="T734" s="63"/>
      <c r="U734" s="63"/>
      <c r="V734" s="63"/>
      <c r="W734" s="63"/>
      <c r="X734" s="63"/>
      <c r="Y734" s="63"/>
      <c r="Z734" s="63"/>
      <c r="AA734" s="63"/>
      <c r="AB734" s="63"/>
      <c r="AC734" s="63"/>
      <c r="AD734" s="63"/>
      <c r="AE734" s="63"/>
      <c r="AF734" s="63"/>
      <c r="AG734" s="63"/>
      <c r="AH734" s="63"/>
      <c r="AI734" s="63"/>
      <c r="AJ734" s="63"/>
    </row>
    <row r="735">
      <c r="A735" s="186"/>
      <c r="B735" s="63"/>
      <c r="C735" s="63"/>
      <c r="D735" s="63"/>
      <c r="E735" s="63"/>
      <c r="F735" s="184"/>
      <c r="G735" s="184"/>
      <c r="H735" s="184"/>
      <c r="I735" s="184"/>
      <c r="J735" s="184"/>
      <c r="K735" s="69" t="str">
        <f>iferror(vlookup(E735,MasterClass!$C$2:$G988,5,false),"")</f>
        <v/>
      </c>
      <c r="L735" s="184"/>
      <c r="M735" s="184"/>
      <c r="N735" s="184"/>
      <c r="O735" s="63"/>
      <c r="P735" s="63"/>
      <c r="Q735" s="63"/>
      <c r="R735" s="63"/>
      <c r="S735" s="63"/>
      <c r="T735" s="63"/>
      <c r="U735" s="63"/>
      <c r="V735" s="63"/>
      <c r="W735" s="63"/>
      <c r="X735" s="63"/>
      <c r="Y735" s="63"/>
      <c r="Z735" s="63"/>
      <c r="AA735" s="63"/>
      <c r="AB735" s="63"/>
      <c r="AC735" s="63"/>
      <c r="AD735" s="63"/>
      <c r="AE735" s="63"/>
      <c r="AF735" s="63"/>
      <c r="AG735" s="63"/>
      <c r="AH735" s="63"/>
      <c r="AI735" s="63"/>
      <c r="AJ735" s="63"/>
    </row>
    <row r="736">
      <c r="A736" s="186"/>
      <c r="B736" s="63"/>
      <c r="C736" s="63"/>
      <c r="D736" s="63"/>
      <c r="E736" s="63"/>
      <c r="F736" s="184"/>
      <c r="G736" s="184"/>
      <c r="H736" s="184"/>
      <c r="I736" s="184"/>
      <c r="J736" s="184"/>
      <c r="K736" s="69" t="str">
        <f>iferror(vlookup(E736,MasterClass!$C$2:$G988,5,false),"")</f>
        <v/>
      </c>
      <c r="L736" s="184"/>
      <c r="M736" s="184"/>
      <c r="N736" s="184"/>
      <c r="O736" s="63"/>
      <c r="P736" s="63"/>
      <c r="Q736" s="63"/>
      <c r="R736" s="63"/>
      <c r="S736" s="63"/>
      <c r="T736" s="63"/>
      <c r="U736" s="63"/>
      <c r="V736" s="63"/>
      <c r="W736" s="63"/>
      <c r="X736" s="63"/>
      <c r="Y736" s="63"/>
      <c r="Z736" s="63"/>
      <c r="AA736" s="63"/>
      <c r="AB736" s="63"/>
      <c r="AC736" s="63"/>
      <c r="AD736" s="63"/>
      <c r="AE736" s="63"/>
      <c r="AF736" s="63"/>
      <c r="AG736" s="63"/>
      <c r="AH736" s="63"/>
      <c r="AI736" s="63"/>
      <c r="AJ736" s="63"/>
    </row>
    <row r="737">
      <c r="A737" s="186"/>
      <c r="B737" s="63"/>
      <c r="C737" s="63"/>
      <c r="D737" s="63"/>
      <c r="E737" s="63"/>
      <c r="F737" s="184"/>
      <c r="G737" s="184"/>
      <c r="H737" s="184"/>
      <c r="I737" s="184"/>
      <c r="J737" s="184"/>
      <c r="K737" s="69" t="str">
        <f>iferror(vlookup(E737,MasterClass!$C$2:$G988,5,false),"")</f>
        <v/>
      </c>
      <c r="L737" s="184"/>
      <c r="M737" s="184"/>
      <c r="N737" s="184"/>
      <c r="O737" s="63"/>
      <c r="P737" s="63"/>
      <c r="Q737" s="63"/>
      <c r="R737" s="63"/>
      <c r="S737" s="63"/>
      <c r="T737" s="63"/>
      <c r="U737" s="63"/>
      <c r="V737" s="63"/>
      <c r="W737" s="63"/>
      <c r="X737" s="63"/>
      <c r="Y737" s="63"/>
      <c r="Z737" s="63"/>
      <c r="AA737" s="63"/>
      <c r="AB737" s="63"/>
      <c r="AC737" s="63"/>
      <c r="AD737" s="63"/>
      <c r="AE737" s="63"/>
      <c r="AF737" s="63"/>
      <c r="AG737" s="63"/>
      <c r="AH737" s="63"/>
      <c r="AI737" s="63"/>
      <c r="AJ737" s="63"/>
    </row>
    <row r="738">
      <c r="A738" s="186"/>
      <c r="B738" s="63"/>
      <c r="C738" s="63"/>
      <c r="D738" s="63"/>
      <c r="E738" s="63"/>
      <c r="F738" s="184"/>
      <c r="G738" s="184"/>
      <c r="H738" s="184"/>
      <c r="I738" s="184"/>
      <c r="J738" s="184"/>
      <c r="K738" s="69" t="str">
        <f>iferror(vlookup(E738,MasterClass!$C$2:$G988,5,false),"")</f>
        <v/>
      </c>
      <c r="L738" s="184"/>
      <c r="M738" s="184"/>
      <c r="N738" s="184"/>
      <c r="O738" s="63"/>
      <c r="P738" s="63"/>
      <c r="Q738" s="63"/>
      <c r="R738" s="63"/>
      <c r="S738" s="63"/>
      <c r="T738" s="63"/>
      <c r="U738" s="63"/>
      <c r="V738" s="63"/>
      <c r="W738" s="63"/>
      <c r="X738" s="63"/>
      <c r="Y738" s="63"/>
      <c r="Z738" s="63"/>
      <c r="AA738" s="63"/>
      <c r="AB738" s="63"/>
      <c r="AC738" s="63"/>
      <c r="AD738" s="63"/>
      <c r="AE738" s="63"/>
      <c r="AF738" s="63"/>
      <c r="AG738" s="63"/>
      <c r="AH738" s="63"/>
      <c r="AI738" s="63"/>
      <c r="AJ738" s="63"/>
    </row>
    <row r="739">
      <c r="A739" s="186"/>
      <c r="B739" s="63"/>
      <c r="C739" s="63"/>
      <c r="D739" s="63"/>
      <c r="E739" s="63"/>
      <c r="F739" s="184"/>
      <c r="G739" s="184"/>
      <c r="H739" s="184"/>
      <c r="I739" s="184"/>
      <c r="J739" s="184"/>
      <c r="K739" s="69" t="str">
        <f>iferror(vlookup(E739,MasterClass!$C$2:$G988,5,false),"")</f>
        <v/>
      </c>
      <c r="L739" s="184"/>
      <c r="M739" s="184"/>
      <c r="N739" s="184"/>
      <c r="O739" s="63"/>
      <c r="P739" s="63"/>
      <c r="Q739" s="63"/>
      <c r="R739" s="63"/>
      <c r="S739" s="63"/>
      <c r="T739" s="63"/>
      <c r="U739" s="63"/>
      <c r="V739" s="63"/>
      <c r="W739" s="63"/>
      <c r="X739" s="63"/>
      <c r="Y739" s="63"/>
      <c r="Z739" s="63"/>
      <c r="AA739" s="63"/>
      <c r="AB739" s="63"/>
      <c r="AC739" s="63"/>
      <c r="AD739" s="63"/>
      <c r="AE739" s="63"/>
      <c r="AF739" s="63"/>
      <c r="AG739" s="63"/>
      <c r="AH739" s="63"/>
      <c r="AI739" s="63"/>
      <c r="AJ739" s="63"/>
    </row>
    <row r="740">
      <c r="A740" s="186"/>
      <c r="B740" s="63"/>
      <c r="C740" s="63"/>
      <c r="D740" s="63"/>
      <c r="E740" s="63"/>
      <c r="F740" s="184"/>
      <c r="G740" s="184"/>
      <c r="H740" s="184"/>
      <c r="I740" s="184"/>
      <c r="J740" s="184"/>
      <c r="K740" s="69" t="str">
        <f>iferror(vlookup(E740,MasterClass!$C$2:$G988,5,false),"")</f>
        <v/>
      </c>
      <c r="L740" s="184"/>
      <c r="M740" s="184"/>
      <c r="N740" s="184"/>
      <c r="O740" s="63"/>
      <c r="P740" s="63"/>
      <c r="Q740" s="63"/>
      <c r="R740" s="63"/>
      <c r="S740" s="63"/>
      <c r="T740" s="63"/>
      <c r="U740" s="63"/>
      <c r="V740" s="63"/>
      <c r="W740" s="63"/>
      <c r="X740" s="63"/>
      <c r="Y740" s="63"/>
      <c r="Z740" s="63"/>
      <c r="AA740" s="63"/>
      <c r="AB740" s="63"/>
      <c r="AC740" s="63"/>
      <c r="AD740" s="63"/>
      <c r="AE740" s="63"/>
      <c r="AF740" s="63"/>
      <c r="AG740" s="63"/>
      <c r="AH740" s="63"/>
      <c r="AI740" s="63"/>
      <c r="AJ740" s="63"/>
    </row>
    <row r="741">
      <c r="A741" s="186"/>
      <c r="B741" s="63"/>
      <c r="C741" s="63"/>
      <c r="D741" s="63"/>
      <c r="E741" s="63"/>
      <c r="F741" s="184"/>
      <c r="G741" s="184"/>
      <c r="H741" s="184"/>
      <c r="I741" s="184"/>
      <c r="J741" s="184"/>
      <c r="K741" s="69" t="str">
        <f>iferror(vlookup(E741,MasterClass!$C$2:$G988,5,false),"")</f>
        <v/>
      </c>
      <c r="L741" s="184"/>
      <c r="M741" s="184"/>
      <c r="N741" s="184"/>
      <c r="O741" s="63"/>
      <c r="P741" s="63"/>
      <c r="Q741" s="63"/>
      <c r="R741" s="63"/>
      <c r="S741" s="63"/>
      <c r="T741" s="63"/>
      <c r="U741" s="63"/>
      <c r="V741" s="63"/>
      <c r="W741" s="63"/>
      <c r="X741" s="63"/>
      <c r="Y741" s="63"/>
      <c r="Z741" s="63"/>
      <c r="AA741" s="63"/>
      <c r="AB741" s="63"/>
      <c r="AC741" s="63"/>
      <c r="AD741" s="63"/>
      <c r="AE741" s="63"/>
      <c r="AF741" s="63"/>
      <c r="AG741" s="63"/>
      <c r="AH741" s="63"/>
      <c r="AI741" s="63"/>
      <c r="AJ741" s="63"/>
    </row>
    <row r="742">
      <c r="A742" s="186"/>
      <c r="B742" s="63"/>
      <c r="C742" s="63"/>
      <c r="D742" s="63"/>
      <c r="E742" s="63"/>
      <c r="F742" s="184"/>
      <c r="G742" s="184"/>
      <c r="H742" s="184"/>
      <c r="I742" s="184"/>
      <c r="J742" s="184"/>
      <c r="K742" s="69" t="str">
        <f>iferror(vlookup(E742,MasterClass!$C$2:$G988,5,false),"")</f>
        <v/>
      </c>
      <c r="L742" s="184"/>
      <c r="M742" s="184"/>
      <c r="N742" s="184"/>
      <c r="O742" s="63"/>
      <c r="P742" s="63"/>
      <c r="Q742" s="63"/>
      <c r="R742" s="63"/>
      <c r="S742" s="63"/>
      <c r="T742" s="63"/>
      <c r="U742" s="63"/>
      <c r="V742" s="63"/>
      <c r="W742" s="63"/>
      <c r="X742" s="63"/>
      <c r="Y742" s="63"/>
      <c r="Z742" s="63"/>
      <c r="AA742" s="63"/>
      <c r="AB742" s="63"/>
      <c r="AC742" s="63"/>
      <c r="AD742" s="63"/>
      <c r="AE742" s="63"/>
      <c r="AF742" s="63"/>
      <c r="AG742" s="63"/>
      <c r="AH742" s="63"/>
      <c r="AI742" s="63"/>
      <c r="AJ742" s="63"/>
    </row>
    <row r="743">
      <c r="A743" s="186"/>
      <c r="B743" s="63"/>
      <c r="C743" s="63"/>
      <c r="D743" s="63"/>
      <c r="E743" s="63"/>
      <c r="F743" s="184"/>
      <c r="G743" s="184"/>
      <c r="H743" s="184"/>
      <c r="I743" s="184"/>
      <c r="J743" s="184"/>
      <c r="K743" s="69" t="str">
        <f>iferror(vlookup(E743,MasterClass!$C$2:$G988,5,false),"")</f>
        <v/>
      </c>
      <c r="L743" s="184"/>
      <c r="M743" s="184"/>
      <c r="N743" s="184"/>
      <c r="O743" s="63"/>
      <c r="P743" s="63"/>
      <c r="Q743" s="63"/>
      <c r="R743" s="63"/>
      <c r="S743" s="63"/>
      <c r="T743" s="63"/>
      <c r="U743" s="63"/>
      <c r="V743" s="63"/>
      <c r="W743" s="63"/>
      <c r="X743" s="63"/>
      <c r="Y743" s="63"/>
      <c r="Z743" s="63"/>
      <c r="AA743" s="63"/>
      <c r="AB743" s="63"/>
      <c r="AC743" s="63"/>
      <c r="AD743" s="63"/>
      <c r="AE743" s="63"/>
      <c r="AF743" s="63"/>
      <c r="AG743" s="63"/>
      <c r="AH743" s="63"/>
      <c r="AI743" s="63"/>
      <c r="AJ743" s="63"/>
    </row>
    <row r="744">
      <c r="A744" s="186"/>
      <c r="B744" s="63"/>
      <c r="C744" s="63"/>
      <c r="D744" s="63"/>
      <c r="E744" s="63"/>
      <c r="F744" s="184"/>
      <c r="G744" s="184"/>
      <c r="H744" s="184"/>
      <c r="I744" s="184"/>
      <c r="J744" s="184"/>
      <c r="K744" s="69" t="str">
        <f>iferror(vlookup(E744,MasterClass!$C$2:$G988,5,false),"")</f>
        <v/>
      </c>
      <c r="L744" s="184"/>
      <c r="M744" s="184"/>
      <c r="N744" s="184"/>
      <c r="O744" s="63"/>
      <c r="P744" s="63"/>
      <c r="Q744" s="63"/>
      <c r="R744" s="63"/>
      <c r="S744" s="63"/>
      <c r="T744" s="63"/>
      <c r="U744" s="63"/>
      <c r="V744" s="63"/>
      <c r="W744" s="63"/>
      <c r="X744" s="63"/>
      <c r="Y744" s="63"/>
      <c r="Z744" s="63"/>
      <c r="AA744" s="63"/>
      <c r="AB744" s="63"/>
      <c r="AC744" s="63"/>
      <c r="AD744" s="63"/>
      <c r="AE744" s="63"/>
      <c r="AF744" s="63"/>
      <c r="AG744" s="63"/>
      <c r="AH744" s="63"/>
      <c r="AI744" s="63"/>
      <c r="AJ744" s="63"/>
    </row>
    <row r="745">
      <c r="A745" s="186"/>
      <c r="B745" s="63"/>
      <c r="C745" s="63"/>
      <c r="D745" s="63"/>
      <c r="E745" s="63"/>
      <c r="F745" s="184"/>
      <c r="G745" s="184"/>
      <c r="H745" s="184"/>
      <c r="I745" s="184"/>
      <c r="J745" s="184"/>
      <c r="K745" s="69" t="str">
        <f>iferror(vlookup(E745,MasterClass!$C$2:$G988,5,false),"")</f>
        <v/>
      </c>
      <c r="L745" s="184"/>
      <c r="M745" s="184"/>
      <c r="N745" s="184"/>
      <c r="O745" s="63"/>
      <c r="P745" s="63"/>
      <c r="Q745" s="63"/>
      <c r="R745" s="63"/>
      <c r="S745" s="63"/>
      <c r="T745" s="63"/>
      <c r="U745" s="63"/>
      <c r="V745" s="63"/>
      <c r="W745" s="63"/>
      <c r="X745" s="63"/>
      <c r="Y745" s="63"/>
      <c r="Z745" s="63"/>
      <c r="AA745" s="63"/>
      <c r="AB745" s="63"/>
      <c r="AC745" s="63"/>
      <c r="AD745" s="63"/>
      <c r="AE745" s="63"/>
      <c r="AF745" s="63"/>
      <c r="AG745" s="63"/>
      <c r="AH745" s="63"/>
      <c r="AI745" s="63"/>
      <c r="AJ745" s="63"/>
    </row>
    <row r="746">
      <c r="A746" s="186"/>
      <c r="B746" s="63"/>
      <c r="C746" s="63"/>
      <c r="D746" s="63"/>
      <c r="E746" s="63"/>
      <c r="F746" s="184"/>
      <c r="G746" s="184"/>
      <c r="H746" s="184"/>
      <c r="I746" s="184"/>
      <c r="J746" s="184"/>
      <c r="K746" s="69" t="str">
        <f>iferror(vlookup(E746,MasterClass!$C$2:$G988,5,false),"")</f>
        <v/>
      </c>
      <c r="L746" s="184"/>
      <c r="M746" s="184"/>
      <c r="N746" s="184"/>
      <c r="O746" s="63"/>
      <c r="P746" s="63"/>
      <c r="Q746" s="63"/>
      <c r="R746" s="63"/>
      <c r="S746" s="63"/>
      <c r="T746" s="63"/>
      <c r="U746" s="63"/>
      <c r="V746" s="63"/>
      <c r="W746" s="63"/>
      <c r="X746" s="63"/>
      <c r="Y746" s="63"/>
      <c r="Z746" s="63"/>
      <c r="AA746" s="63"/>
      <c r="AB746" s="63"/>
      <c r="AC746" s="63"/>
      <c r="AD746" s="63"/>
      <c r="AE746" s="63"/>
      <c r="AF746" s="63"/>
      <c r="AG746" s="63"/>
      <c r="AH746" s="63"/>
      <c r="AI746" s="63"/>
      <c r="AJ746" s="63"/>
    </row>
    <row r="747">
      <c r="A747" s="186"/>
      <c r="B747" s="63"/>
      <c r="C747" s="63"/>
      <c r="D747" s="63"/>
      <c r="E747" s="63"/>
      <c r="F747" s="184"/>
      <c r="G747" s="184"/>
      <c r="H747" s="184"/>
      <c r="I747" s="184"/>
      <c r="J747" s="184"/>
      <c r="K747" s="69" t="str">
        <f>iferror(vlookup(E747,MasterClass!$C$2:$G988,5,false),"")</f>
        <v/>
      </c>
      <c r="L747" s="184"/>
      <c r="M747" s="184"/>
      <c r="N747" s="184"/>
      <c r="O747" s="63"/>
      <c r="P747" s="63"/>
      <c r="Q747" s="63"/>
      <c r="R747" s="63"/>
      <c r="S747" s="63"/>
      <c r="T747" s="63"/>
      <c r="U747" s="63"/>
      <c r="V747" s="63"/>
      <c r="W747" s="63"/>
      <c r="X747" s="63"/>
      <c r="Y747" s="63"/>
      <c r="Z747" s="63"/>
      <c r="AA747" s="63"/>
      <c r="AB747" s="63"/>
      <c r="AC747" s="63"/>
      <c r="AD747" s="63"/>
      <c r="AE747" s="63"/>
      <c r="AF747" s="63"/>
      <c r="AG747" s="63"/>
      <c r="AH747" s="63"/>
      <c r="AI747" s="63"/>
      <c r="AJ747" s="63"/>
    </row>
    <row r="748">
      <c r="A748" s="186"/>
      <c r="B748" s="63"/>
      <c r="C748" s="63"/>
      <c r="D748" s="63"/>
      <c r="E748" s="63"/>
      <c r="F748" s="184"/>
      <c r="G748" s="184"/>
      <c r="H748" s="184"/>
      <c r="I748" s="184"/>
      <c r="J748" s="184"/>
      <c r="K748" s="69" t="str">
        <f>iferror(vlookup(E748,MasterClass!$C$2:$G988,5,false),"")</f>
        <v/>
      </c>
      <c r="L748" s="184"/>
      <c r="M748" s="184"/>
      <c r="N748" s="184"/>
      <c r="O748" s="63"/>
      <c r="P748" s="63"/>
      <c r="Q748" s="63"/>
      <c r="R748" s="63"/>
      <c r="S748" s="63"/>
      <c r="T748" s="63"/>
      <c r="U748" s="63"/>
      <c r="V748" s="63"/>
      <c r="W748" s="63"/>
      <c r="X748" s="63"/>
      <c r="Y748" s="63"/>
      <c r="Z748" s="63"/>
      <c r="AA748" s="63"/>
      <c r="AB748" s="63"/>
      <c r="AC748" s="63"/>
      <c r="AD748" s="63"/>
      <c r="AE748" s="63"/>
      <c r="AF748" s="63"/>
      <c r="AG748" s="63"/>
      <c r="AH748" s="63"/>
      <c r="AI748" s="63"/>
      <c r="AJ748" s="63"/>
    </row>
    <row r="749">
      <c r="A749" s="186"/>
      <c r="B749" s="63"/>
      <c r="C749" s="63"/>
      <c r="D749" s="63"/>
      <c r="E749" s="63"/>
      <c r="F749" s="184"/>
      <c r="G749" s="184"/>
      <c r="H749" s="184"/>
      <c r="I749" s="184"/>
      <c r="J749" s="184"/>
      <c r="K749" s="69" t="str">
        <f>iferror(vlookup(E749,MasterClass!$C$2:$G988,5,false),"")</f>
        <v/>
      </c>
      <c r="L749" s="184"/>
      <c r="M749" s="184"/>
      <c r="N749" s="184"/>
      <c r="O749" s="63"/>
      <c r="P749" s="63"/>
      <c r="Q749" s="63"/>
      <c r="R749" s="63"/>
      <c r="S749" s="63"/>
      <c r="T749" s="63"/>
      <c r="U749" s="63"/>
      <c r="V749" s="63"/>
      <c r="W749" s="63"/>
      <c r="X749" s="63"/>
      <c r="Y749" s="63"/>
      <c r="Z749" s="63"/>
      <c r="AA749" s="63"/>
      <c r="AB749" s="63"/>
      <c r="AC749" s="63"/>
      <c r="AD749" s="63"/>
      <c r="AE749" s="63"/>
      <c r="AF749" s="63"/>
      <c r="AG749" s="63"/>
      <c r="AH749" s="63"/>
      <c r="AI749" s="63"/>
      <c r="AJ749" s="63"/>
    </row>
    <row r="750">
      <c r="A750" s="186"/>
      <c r="B750" s="63"/>
      <c r="C750" s="63"/>
      <c r="D750" s="63"/>
      <c r="E750" s="63"/>
      <c r="F750" s="184"/>
      <c r="G750" s="184"/>
      <c r="H750" s="184"/>
      <c r="I750" s="184"/>
      <c r="J750" s="184"/>
      <c r="K750" s="69" t="str">
        <f>iferror(vlookup(E750,MasterClass!$C$2:$G988,5,false),"")</f>
        <v/>
      </c>
      <c r="L750" s="184"/>
      <c r="M750" s="184"/>
      <c r="N750" s="184"/>
      <c r="O750" s="63"/>
      <c r="P750" s="63"/>
      <c r="Q750" s="63"/>
      <c r="R750" s="63"/>
      <c r="S750" s="63"/>
      <c r="T750" s="63"/>
      <c r="U750" s="63"/>
      <c r="V750" s="63"/>
      <c r="W750" s="63"/>
      <c r="X750" s="63"/>
      <c r="Y750" s="63"/>
      <c r="Z750" s="63"/>
      <c r="AA750" s="63"/>
      <c r="AB750" s="63"/>
      <c r="AC750" s="63"/>
      <c r="AD750" s="63"/>
      <c r="AE750" s="63"/>
      <c r="AF750" s="63"/>
      <c r="AG750" s="63"/>
      <c r="AH750" s="63"/>
      <c r="AI750" s="63"/>
      <c r="AJ750" s="63"/>
    </row>
    <row r="751">
      <c r="A751" s="186"/>
      <c r="B751" s="63"/>
      <c r="C751" s="63"/>
      <c r="D751" s="63"/>
      <c r="E751" s="63"/>
      <c r="F751" s="184"/>
      <c r="G751" s="184"/>
      <c r="H751" s="184"/>
      <c r="I751" s="184"/>
      <c r="J751" s="184"/>
      <c r="K751" s="69" t="str">
        <f>iferror(vlookup(E751,MasterClass!$C$2:$G988,5,false),"")</f>
        <v/>
      </c>
      <c r="L751" s="184"/>
      <c r="M751" s="184"/>
      <c r="N751" s="184"/>
      <c r="O751" s="63"/>
      <c r="P751" s="63"/>
      <c r="Q751" s="63"/>
      <c r="R751" s="63"/>
      <c r="S751" s="63"/>
      <c r="T751" s="63"/>
      <c r="U751" s="63"/>
      <c r="V751" s="63"/>
      <c r="W751" s="63"/>
      <c r="X751" s="63"/>
      <c r="Y751" s="63"/>
      <c r="Z751" s="63"/>
      <c r="AA751" s="63"/>
      <c r="AB751" s="63"/>
      <c r="AC751" s="63"/>
      <c r="AD751" s="63"/>
      <c r="AE751" s="63"/>
      <c r="AF751" s="63"/>
      <c r="AG751" s="63"/>
      <c r="AH751" s="63"/>
      <c r="AI751" s="63"/>
      <c r="AJ751" s="63"/>
    </row>
    <row r="752">
      <c r="A752" s="186"/>
      <c r="B752" s="63"/>
      <c r="C752" s="63"/>
      <c r="D752" s="63"/>
      <c r="E752" s="63"/>
      <c r="F752" s="184"/>
      <c r="G752" s="184"/>
      <c r="H752" s="184"/>
      <c r="I752" s="184"/>
      <c r="J752" s="184"/>
      <c r="K752" s="69" t="str">
        <f>iferror(vlookup(E752,MasterClass!$C$2:$G988,5,false),"")</f>
        <v/>
      </c>
      <c r="L752" s="184"/>
      <c r="M752" s="184"/>
      <c r="N752" s="184"/>
      <c r="O752" s="63"/>
      <c r="P752" s="63"/>
      <c r="Q752" s="63"/>
      <c r="R752" s="63"/>
      <c r="S752" s="63"/>
      <c r="T752" s="63"/>
      <c r="U752" s="63"/>
      <c r="V752" s="63"/>
      <c r="W752" s="63"/>
      <c r="X752" s="63"/>
      <c r="Y752" s="63"/>
      <c r="Z752" s="63"/>
      <c r="AA752" s="63"/>
      <c r="AB752" s="63"/>
      <c r="AC752" s="63"/>
      <c r="AD752" s="63"/>
      <c r="AE752" s="63"/>
      <c r="AF752" s="63"/>
      <c r="AG752" s="63"/>
      <c r="AH752" s="63"/>
      <c r="AI752" s="63"/>
      <c r="AJ752" s="63"/>
    </row>
    <row r="753">
      <c r="A753" s="186"/>
      <c r="B753" s="63"/>
      <c r="C753" s="63"/>
      <c r="D753" s="63"/>
      <c r="E753" s="63"/>
      <c r="F753" s="184"/>
      <c r="G753" s="184"/>
      <c r="H753" s="184"/>
      <c r="I753" s="184"/>
      <c r="J753" s="184"/>
      <c r="K753" s="69" t="str">
        <f>iferror(vlookup(E753,MasterClass!$C$2:$G988,5,false),"")</f>
        <v/>
      </c>
      <c r="L753" s="184"/>
      <c r="M753" s="184"/>
      <c r="N753" s="184"/>
      <c r="O753" s="63"/>
      <c r="P753" s="63"/>
      <c r="Q753" s="63"/>
      <c r="R753" s="63"/>
      <c r="S753" s="63"/>
      <c r="T753" s="63"/>
      <c r="U753" s="63"/>
      <c r="V753" s="63"/>
      <c r="W753" s="63"/>
      <c r="X753" s="63"/>
      <c r="Y753" s="63"/>
      <c r="Z753" s="63"/>
      <c r="AA753" s="63"/>
      <c r="AB753" s="63"/>
      <c r="AC753" s="63"/>
      <c r="AD753" s="63"/>
      <c r="AE753" s="63"/>
      <c r="AF753" s="63"/>
      <c r="AG753" s="63"/>
      <c r="AH753" s="63"/>
      <c r="AI753" s="63"/>
      <c r="AJ753" s="63"/>
    </row>
    <row r="754">
      <c r="A754" s="186"/>
      <c r="B754" s="63"/>
      <c r="C754" s="63"/>
      <c r="D754" s="63"/>
      <c r="E754" s="63"/>
      <c r="F754" s="184"/>
      <c r="G754" s="184"/>
      <c r="H754" s="184"/>
      <c r="I754" s="184"/>
      <c r="J754" s="184"/>
      <c r="K754" s="69" t="str">
        <f>iferror(vlookup(E754,MasterClass!$C$2:$G988,5,false),"")</f>
        <v/>
      </c>
      <c r="L754" s="184"/>
      <c r="M754" s="184"/>
      <c r="N754" s="184"/>
      <c r="O754" s="63"/>
      <c r="P754" s="63"/>
      <c r="Q754" s="63"/>
      <c r="R754" s="63"/>
      <c r="S754" s="63"/>
      <c r="T754" s="63"/>
      <c r="U754" s="63"/>
      <c r="V754" s="63"/>
      <c r="W754" s="63"/>
      <c r="X754" s="63"/>
      <c r="Y754" s="63"/>
      <c r="Z754" s="63"/>
      <c r="AA754" s="63"/>
      <c r="AB754" s="63"/>
      <c r="AC754" s="63"/>
      <c r="AD754" s="63"/>
      <c r="AE754" s="63"/>
      <c r="AF754" s="63"/>
      <c r="AG754" s="63"/>
      <c r="AH754" s="63"/>
      <c r="AI754" s="63"/>
      <c r="AJ754" s="63"/>
    </row>
    <row r="755">
      <c r="A755" s="186"/>
      <c r="B755" s="63"/>
      <c r="C755" s="63"/>
      <c r="D755" s="63"/>
      <c r="E755" s="63"/>
      <c r="F755" s="184"/>
      <c r="G755" s="184"/>
      <c r="H755" s="184"/>
      <c r="I755" s="184"/>
      <c r="J755" s="184"/>
      <c r="K755" s="69" t="str">
        <f>iferror(vlookup(E755,MasterClass!$C$2:$G988,5,false),"")</f>
        <v/>
      </c>
      <c r="L755" s="184"/>
      <c r="M755" s="184"/>
      <c r="N755" s="184"/>
      <c r="O755" s="63"/>
      <c r="P755" s="63"/>
      <c r="Q755" s="63"/>
      <c r="R755" s="63"/>
      <c r="S755" s="63"/>
      <c r="T755" s="63"/>
      <c r="U755" s="63"/>
      <c r="V755" s="63"/>
      <c r="W755" s="63"/>
      <c r="X755" s="63"/>
      <c r="Y755" s="63"/>
      <c r="Z755" s="63"/>
      <c r="AA755" s="63"/>
      <c r="AB755" s="63"/>
      <c r="AC755" s="63"/>
      <c r="AD755" s="63"/>
      <c r="AE755" s="63"/>
      <c r="AF755" s="63"/>
      <c r="AG755" s="63"/>
      <c r="AH755" s="63"/>
      <c r="AI755" s="63"/>
      <c r="AJ755" s="63"/>
    </row>
    <row r="756">
      <c r="A756" s="186"/>
      <c r="B756" s="63"/>
      <c r="C756" s="63"/>
      <c r="D756" s="63"/>
      <c r="E756" s="63"/>
      <c r="F756" s="184"/>
      <c r="G756" s="184"/>
      <c r="H756" s="184"/>
      <c r="I756" s="184"/>
      <c r="J756" s="184"/>
      <c r="K756" s="69" t="str">
        <f>iferror(vlookup(E756,MasterClass!$C$2:$G988,5,false),"")</f>
        <v/>
      </c>
      <c r="L756" s="184"/>
      <c r="M756" s="184"/>
      <c r="N756" s="184"/>
      <c r="O756" s="63"/>
      <c r="P756" s="63"/>
      <c r="Q756" s="63"/>
      <c r="R756" s="63"/>
      <c r="S756" s="63"/>
      <c r="T756" s="63"/>
      <c r="U756" s="63"/>
      <c r="V756" s="63"/>
      <c r="W756" s="63"/>
      <c r="X756" s="63"/>
      <c r="Y756" s="63"/>
      <c r="Z756" s="63"/>
      <c r="AA756" s="63"/>
      <c r="AB756" s="63"/>
      <c r="AC756" s="63"/>
      <c r="AD756" s="63"/>
      <c r="AE756" s="63"/>
      <c r="AF756" s="63"/>
      <c r="AG756" s="63"/>
      <c r="AH756" s="63"/>
      <c r="AI756" s="63"/>
      <c r="AJ756" s="63"/>
    </row>
    <row r="757">
      <c r="A757" s="186"/>
      <c r="B757" s="63"/>
      <c r="C757" s="63"/>
      <c r="D757" s="63"/>
      <c r="E757" s="63"/>
      <c r="F757" s="184"/>
      <c r="G757" s="184"/>
      <c r="H757" s="184"/>
      <c r="I757" s="184"/>
      <c r="J757" s="184"/>
      <c r="K757" s="69" t="str">
        <f>iferror(vlookup(E757,MasterClass!$C$2:$G988,5,false),"")</f>
        <v/>
      </c>
      <c r="L757" s="184"/>
      <c r="M757" s="184"/>
      <c r="N757" s="184"/>
      <c r="O757" s="63"/>
      <c r="P757" s="63"/>
      <c r="Q757" s="63"/>
      <c r="R757" s="63"/>
      <c r="S757" s="63"/>
      <c r="T757" s="63"/>
      <c r="U757" s="63"/>
      <c r="V757" s="63"/>
      <c r="W757" s="63"/>
      <c r="X757" s="63"/>
      <c r="Y757" s="63"/>
      <c r="Z757" s="63"/>
      <c r="AA757" s="63"/>
      <c r="AB757" s="63"/>
      <c r="AC757" s="63"/>
      <c r="AD757" s="63"/>
      <c r="AE757" s="63"/>
      <c r="AF757" s="63"/>
      <c r="AG757" s="63"/>
      <c r="AH757" s="63"/>
      <c r="AI757" s="63"/>
      <c r="AJ757" s="63"/>
    </row>
    <row r="758">
      <c r="A758" s="186"/>
      <c r="B758" s="63"/>
      <c r="C758" s="63"/>
      <c r="D758" s="63"/>
      <c r="E758" s="63"/>
      <c r="F758" s="184"/>
      <c r="G758" s="184"/>
      <c r="H758" s="184"/>
      <c r="I758" s="184"/>
      <c r="J758" s="184"/>
      <c r="K758" s="69" t="str">
        <f>iferror(vlookup(E758,MasterClass!$C$2:$G988,5,false),"")</f>
        <v/>
      </c>
      <c r="L758" s="184"/>
      <c r="M758" s="184"/>
      <c r="N758" s="184"/>
      <c r="O758" s="63"/>
      <c r="P758" s="63"/>
      <c r="Q758" s="63"/>
      <c r="R758" s="63"/>
      <c r="S758" s="63"/>
      <c r="T758" s="63"/>
      <c r="U758" s="63"/>
      <c r="V758" s="63"/>
      <c r="W758" s="63"/>
      <c r="X758" s="63"/>
      <c r="Y758" s="63"/>
      <c r="Z758" s="63"/>
      <c r="AA758" s="63"/>
      <c r="AB758" s="63"/>
      <c r="AC758" s="63"/>
      <c r="AD758" s="63"/>
      <c r="AE758" s="63"/>
      <c r="AF758" s="63"/>
      <c r="AG758" s="63"/>
      <c r="AH758" s="63"/>
      <c r="AI758" s="63"/>
      <c r="AJ758" s="63"/>
    </row>
    <row r="759">
      <c r="A759" s="186"/>
      <c r="B759" s="63"/>
      <c r="C759" s="63"/>
      <c r="D759" s="63"/>
      <c r="E759" s="63"/>
      <c r="F759" s="184"/>
      <c r="G759" s="184"/>
      <c r="H759" s="184"/>
      <c r="I759" s="184"/>
      <c r="J759" s="184"/>
      <c r="K759" s="69" t="str">
        <f>iferror(vlookup(E759,MasterClass!$C$2:$G988,5,false),"")</f>
        <v/>
      </c>
      <c r="L759" s="184"/>
      <c r="M759" s="184"/>
      <c r="N759" s="184"/>
      <c r="O759" s="63"/>
      <c r="P759" s="63"/>
      <c r="Q759" s="63"/>
      <c r="R759" s="63"/>
      <c r="S759" s="63"/>
      <c r="T759" s="63"/>
      <c r="U759" s="63"/>
      <c r="V759" s="63"/>
      <c r="W759" s="63"/>
      <c r="X759" s="63"/>
      <c r="Y759" s="63"/>
      <c r="Z759" s="63"/>
      <c r="AA759" s="63"/>
      <c r="AB759" s="63"/>
      <c r="AC759" s="63"/>
      <c r="AD759" s="63"/>
      <c r="AE759" s="63"/>
      <c r="AF759" s="63"/>
      <c r="AG759" s="63"/>
      <c r="AH759" s="63"/>
      <c r="AI759" s="63"/>
      <c r="AJ759" s="63"/>
    </row>
    <row r="760">
      <c r="A760" s="186"/>
      <c r="B760" s="63"/>
      <c r="C760" s="63"/>
      <c r="D760" s="63"/>
      <c r="E760" s="63"/>
      <c r="F760" s="184"/>
      <c r="G760" s="184"/>
      <c r="H760" s="184"/>
      <c r="I760" s="184"/>
      <c r="J760" s="184"/>
      <c r="K760" s="69" t="str">
        <f>iferror(vlookup(E760,MasterClass!$C$2:$G988,5,false),"")</f>
        <v/>
      </c>
      <c r="L760" s="184"/>
      <c r="M760" s="184"/>
      <c r="N760" s="184"/>
      <c r="O760" s="63"/>
      <c r="P760" s="63"/>
      <c r="Q760" s="63"/>
      <c r="R760" s="63"/>
      <c r="S760" s="63"/>
      <c r="T760" s="63"/>
      <c r="U760" s="63"/>
      <c r="V760" s="63"/>
      <c r="W760" s="63"/>
      <c r="X760" s="63"/>
      <c r="Y760" s="63"/>
      <c r="Z760" s="63"/>
      <c r="AA760" s="63"/>
      <c r="AB760" s="63"/>
      <c r="AC760" s="63"/>
      <c r="AD760" s="63"/>
      <c r="AE760" s="63"/>
      <c r="AF760" s="63"/>
      <c r="AG760" s="63"/>
      <c r="AH760" s="63"/>
      <c r="AI760" s="63"/>
      <c r="AJ760" s="63"/>
    </row>
    <row r="761">
      <c r="A761" s="186"/>
      <c r="B761" s="63"/>
      <c r="C761" s="63"/>
      <c r="D761" s="63"/>
      <c r="E761" s="63"/>
      <c r="F761" s="184"/>
      <c r="G761" s="184"/>
      <c r="H761" s="184"/>
      <c r="I761" s="184"/>
      <c r="J761" s="184"/>
      <c r="K761" s="69" t="str">
        <f>iferror(vlookup(E761,MasterClass!$C$2:$G988,5,false),"")</f>
        <v/>
      </c>
      <c r="L761" s="184"/>
      <c r="M761" s="184"/>
      <c r="N761" s="184"/>
      <c r="O761" s="63"/>
      <c r="P761" s="63"/>
      <c r="Q761" s="63"/>
      <c r="R761" s="63"/>
      <c r="S761" s="63"/>
      <c r="T761" s="63"/>
      <c r="U761" s="63"/>
      <c r="V761" s="63"/>
      <c r="W761" s="63"/>
      <c r="X761" s="63"/>
      <c r="Y761" s="63"/>
      <c r="Z761" s="63"/>
      <c r="AA761" s="63"/>
      <c r="AB761" s="63"/>
      <c r="AC761" s="63"/>
      <c r="AD761" s="63"/>
      <c r="AE761" s="63"/>
      <c r="AF761" s="63"/>
      <c r="AG761" s="63"/>
      <c r="AH761" s="63"/>
      <c r="AI761" s="63"/>
      <c r="AJ761" s="63"/>
    </row>
    <row r="762">
      <c r="A762" s="186"/>
      <c r="B762" s="63"/>
      <c r="C762" s="63"/>
      <c r="D762" s="63"/>
      <c r="E762" s="63"/>
      <c r="F762" s="184"/>
      <c r="G762" s="184"/>
      <c r="H762" s="184"/>
      <c r="I762" s="184"/>
      <c r="J762" s="184"/>
      <c r="K762" s="69" t="str">
        <f>iferror(vlookup(E762,MasterClass!$C$2:$G988,5,false),"")</f>
        <v/>
      </c>
      <c r="L762" s="184"/>
      <c r="M762" s="184"/>
      <c r="N762" s="184"/>
      <c r="O762" s="63"/>
      <c r="P762" s="63"/>
      <c r="Q762" s="63"/>
      <c r="R762" s="63"/>
      <c r="S762" s="63"/>
      <c r="T762" s="63"/>
      <c r="U762" s="63"/>
      <c r="V762" s="63"/>
      <c r="W762" s="63"/>
      <c r="X762" s="63"/>
      <c r="Y762" s="63"/>
      <c r="Z762" s="63"/>
      <c r="AA762" s="63"/>
      <c r="AB762" s="63"/>
      <c r="AC762" s="63"/>
      <c r="AD762" s="63"/>
      <c r="AE762" s="63"/>
      <c r="AF762" s="63"/>
      <c r="AG762" s="63"/>
      <c r="AH762" s="63"/>
      <c r="AI762" s="63"/>
      <c r="AJ762" s="63"/>
    </row>
    <row r="763">
      <c r="A763" s="186"/>
      <c r="B763" s="63"/>
      <c r="C763" s="63"/>
      <c r="D763" s="63"/>
      <c r="E763" s="63"/>
      <c r="F763" s="184"/>
      <c r="G763" s="184"/>
      <c r="H763" s="184"/>
      <c r="I763" s="184"/>
      <c r="J763" s="184"/>
      <c r="K763" s="69" t="str">
        <f>iferror(vlookup(E763,MasterClass!$C$2:$G988,5,false),"")</f>
        <v/>
      </c>
      <c r="L763" s="184"/>
      <c r="M763" s="184"/>
      <c r="N763" s="184"/>
      <c r="O763" s="63"/>
      <c r="P763" s="63"/>
      <c r="Q763" s="63"/>
      <c r="R763" s="63"/>
      <c r="S763" s="63"/>
      <c r="T763" s="63"/>
      <c r="U763" s="63"/>
      <c r="V763" s="63"/>
      <c r="W763" s="63"/>
      <c r="X763" s="63"/>
      <c r="Y763" s="63"/>
      <c r="Z763" s="63"/>
      <c r="AA763" s="63"/>
      <c r="AB763" s="63"/>
      <c r="AC763" s="63"/>
      <c r="AD763" s="63"/>
      <c r="AE763" s="63"/>
      <c r="AF763" s="63"/>
      <c r="AG763" s="63"/>
      <c r="AH763" s="63"/>
      <c r="AI763" s="63"/>
      <c r="AJ763" s="63"/>
    </row>
    <row r="764">
      <c r="A764" s="186"/>
      <c r="B764" s="63"/>
      <c r="C764" s="63"/>
      <c r="D764" s="63"/>
      <c r="E764" s="63"/>
      <c r="F764" s="184"/>
      <c r="G764" s="184"/>
      <c r="H764" s="184"/>
      <c r="I764" s="184"/>
      <c r="J764" s="184"/>
      <c r="K764" s="69" t="str">
        <f>iferror(vlookup(E764,MasterClass!$C$2:$G988,5,false),"")</f>
        <v/>
      </c>
      <c r="L764" s="184"/>
      <c r="M764" s="184"/>
      <c r="N764" s="184"/>
      <c r="O764" s="63"/>
      <c r="P764" s="63"/>
      <c r="Q764" s="63"/>
      <c r="R764" s="63"/>
      <c r="S764" s="63"/>
      <c r="T764" s="63"/>
      <c r="U764" s="63"/>
      <c r="V764" s="63"/>
      <c r="W764" s="63"/>
      <c r="X764" s="63"/>
      <c r="Y764" s="63"/>
      <c r="Z764" s="63"/>
      <c r="AA764" s="63"/>
      <c r="AB764" s="63"/>
      <c r="AC764" s="63"/>
      <c r="AD764" s="63"/>
      <c r="AE764" s="63"/>
      <c r="AF764" s="63"/>
      <c r="AG764" s="63"/>
      <c r="AH764" s="63"/>
      <c r="AI764" s="63"/>
      <c r="AJ764" s="63"/>
    </row>
    <row r="765">
      <c r="A765" s="186"/>
      <c r="B765" s="63"/>
      <c r="C765" s="63"/>
      <c r="D765" s="63"/>
      <c r="E765" s="63"/>
      <c r="F765" s="184"/>
      <c r="G765" s="184"/>
      <c r="H765" s="184"/>
      <c r="I765" s="184"/>
      <c r="J765" s="184"/>
      <c r="K765" s="69" t="str">
        <f>iferror(vlookup(E765,MasterClass!$C$2:$G988,5,false),"")</f>
        <v/>
      </c>
      <c r="L765" s="184"/>
      <c r="M765" s="184"/>
      <c r="N765" s="184"/>
      <c r="O765" s="63"/>
      <c r="P765" s="63"/>
      <c r="Q765" s="63"/>
      <c r="R765" s="63"/>
      <c r="S765" s="63"/>
      <c r="T765" s="63"/>
      <c r="U765" s="63"/>
      <c r="V765" s="63"/>
      <c r="W765" s="63"/>
      <c r="X765" s="63"/>
      <c r="Y765" s="63"/>
      <c r="Z765" s="63"/>
      <c r="AA765" s="63"/>
      <c r="AB765" s="63"/>
      <c r="AC765" s="63"/>
      <c r="AD765" s="63"/>
      <c r="AE765" s="63"/>
      <c r="AF765" s="63"/>
      <c r="AG765" s="63"/>
      <c r="AH765" s="63"/>
      <c r="AI765" s="63"/>
      <c r="AJ765" s="63"/>
    </row>
    <row r="766">
      <c r="A766" s="186"/>
      <c r="B766" s="63"/>
      <c r="C766" s="63"/>
      <c r="D766" s="63"/>
      <c r="E766" s="63"/>
      <c r="F766" s="184"/>
      <c r="G766" s="184"/>
      <c r="H766" s="184"/>
      <c r="I766" s="184"/>
      <c r="J766" s="184"/>
      <c r="K766" s="69" t="str">
        <f>iferror(vlookup(E766,MasterClass!$C$2:$G988,5,false),"")</f>
        <v/>
      </c>
      <c r="L766" s="184"/>
      <c r="M766" s="184"/>
      <c r="N766" s="184"/>
      <c r="O766" s="63"/>
      <c r="P766" s="63"/>
      <c r="Q766" s="63"/>
      <c r="R766" s="63"/>
      <c r="S766" s="63"/>
      <c r="T766" s="63"/>
      <c r="U766" s="63"/>
      <c r="V766" s="63"/>
      <c r="W766" s="63"/>
      <c r="X766" s="63"/>
      <c r="Y766" s="63"/>
      <c r="Z766" s="63"/>
      <c r="AA766" s="63"/>
      <c r="AB766" s="63"/>
      <c r="AC766" s="63"/>
      <c r="AD766" s="63"/>
      <c r="AE766" s="63"/>
      <c r="AF766" s="63"/>
      <c r="AG766" s="63"/>
      <c r="AH766" s="63"/>
      <c r="AI766" s="63"/>
      <c r="AJ766" s="63"/>
    </row>
    <row r="767">
      <c r="A767" s="186"/>
      <c r="B767" s="63"/>
      <c r="C767" s="63"/>
      <c r="D767" s="63"/>
      <c r="E767" s="63"/>
      <c r="F767" s="184"/>
      <c r="G767" s="184"/>
      <c r="H767" s="184"/>
      <c r="I767" s="184"/>
      <c r="J767" s="184"/>
      <c r="K767" s="69" t="str">
        <f>iferror(vlookup(E767,MasterClass!$C$2:$G988,5,false),"")</f>
        <v/>
      </c>
      <c r="L767" s="184"/>
      <c r="M767" s="184"/>
      <c r="N767" s="184"/>
      <c r="O767" s="63"/>
      <c r="P767" s="63"/>
      <c r="Q767" s="63"/>
      <c r="R767" s="63"/>
      <c r="S767" s="63"/>
      <c r="T767" s="63"/>
      <c r="U767" s="63"/>
      <c r="V767" s="63"/>
      <c r="W767" s="63"/>
      <c r="X767" s="63"/>
      <c r="Y767" s="63"/>
      <c r="Z767" s="63"/>
      <c r="AA767" s="63"/>
      <c r="AB767" s="63"/>
      <c r="AC767" s="63"/>
      <c r="AD767" s="63"/>
      <c r="AE767" s="63"/>
      <c r="AF767" s="63"/>
      <c r="AG767" s="63"/>
      <c r="AH767" s="63"/>
      <c r="AI767" s="63"/>
      <c r="AJ767" s="63"/>
    </row>
    <row r="768">
      <c r="A768" s="186"/>
      <c r="B768" s="63"/>
      <c r="C768" s="63"/>
      <c r="D768" s="63"/>
      <c r="E768" s="63"/>
      <c r="F768" s="184"/>
      <c r="G768" s="184"/>
      <c r="H768" s="184"/>
      <c r="I768" s="184"/>
      <c r="J768" s="184"/>
      <c r="K768" s="69" t="str">
        <f>iferror(vlookup(E768,MasterClass!$C$2:$G988,5,false),"")</f>
        <v/>
      </c>
      <c r="L768" s="184"/>
      <c r="M768" s="184"/>
      <c r="N768" s="184"/>
      <c r="O768" s="63"/>
      <c r="P768" s="63"/>
      <c r="Q768" s="63"/>
      <c r="R768" s="63"/>
      <c r="S768" s="63"/>
      <c r="T768" s="63"/>
      <c r="U768" s="63"/>
      <c r="V768" s="63"/>
      <c r="W768" s="63"/>
      <c r="X768" s="63"/>
      <c r="Y768" s="63"/>
      <c r="Z768" s="63"/>
      <c r="AA768" s="63"/>
      <c r="AB768" s="63"/>
      <c r="AC768" s="63"/>
      <c r="AD768" s="63"/>
      <c r="AE768" s="63"/>
      <c r="AF768" s="63"/>
      <c r="AG768" s="63"/>
      <c r="AH768" s="63"/>
      <c r="AI768" s="63"/>
      <c r="AJ768" s="63"/>
    </row>
    <row r="769">
      <c r="A769" s="186"/>
      <c r="B769" s="63"/>
      <c r="C769" s="63"/>
      <c r="D769" s="63"/>
      <c r="E769" s="63"/>
      <c r="F769" s="184"/>
      <c r="G769" s="184"/>
      <c r="H769" s="184"/>
      <c r="I769" s="184"/>
      <c r="J769" s="184"/>
      <c r="K769" s="69" t="str">
        <f>iferror(vlookup(E769,MasterClass!$C$2:$G988,5,false),"")</f>
        <v/>
      </c>
      <c r="L769" s="184"/>
      <c r="M769" s="184"/>
      <c r="N769" s="184"/>
      <c r="O769" s="63"/>
      <c r="P769" s="63"/>
      <c r="Q769" s="63"/>
      <c r="R769" s="63"/>
      <c r="S769" s="63"/>
      <c r="T769" s="63"/>
      <c r="U769" s="63"/>
      <c r="V769" s="63"/>
      <c r="W769" s="63"/>
      <c r="X769" s="63"/>
      <c r="Y769" s="63"/>
      <c r="Z769" s="63"/>
      <c r="AA769" s="63"/>
      <c r="AB769" s="63"/>
      <c r="AC769" s="63"/>
      <c r="AD769" s="63"/>
      <c r="AE769" s="63"/>
      <c r="AF769" s="63"/>
      <c r="AG769" s="63"/>
      <c r="AH769" s="63"/>
      <c r="AI769" s="63"/>
      <c r="AJ769" s="63"/>
    </row>
    <row r="770">
      <c r="A770" s="186"/>
      <c r="B770" s="63"/>
      <c r="C770" s="63"/>
      <c r="D770" s="63"/>
      <c r="E770" s="63"/>
      <c r="F770" s="184"/>
      <c r="G770" s="184"/>
      <c r="H770" s="184"/>
      <c r="I770" s="184"/>
      <c r="J770" s="184"/>
      <c r="K770" s="69" t="str">
        <f>iferror(vlookup(E770,MasterClass!$C$2:$G988,5,false),"")</f>
        <v/>
      </c>
      <c r="L770" s="184"/>
      <c r="M770" s="184"/>
      <c r="N770" s="184"/>
      <c r="O770" s="63"/>
      <c r="P770" s="63"/>
      <c r="Q770" s="63"/>
      <c r="R770" s="63"/>
      <c r="S770" s="63"/>
      <c r="T770" s="63"/>
      <c r="U770" s="63"/>
      <c r="V770" s="63"/>
      <c r="W770" s="63"/>
      <c r="X770" s="63"/>
      <c r="Y770" s="63"/>
      <c r="Z770" s="63"/>
      <c r="AA770" s="63"/>
      <c r="AB770" s="63"/>
      <c r="AC770" s="63"/>
      <c r="AD770" s="63"/>
      <c r="AE770" s="63"/>
      <c r="AF770" s="63"/>
      <c r="AG770" s="63"/>
      <c r="AH770" s="63"/>
      <c r="AI770" s="63"/>
      <c r="AJ770" s="63"/>
    </row>
    <row r="771">
      <c r="A771" s="186"/>
      <c r="B771" s="63"/>
      <c r="C771" s="63"/>
      <c r="D771" s="63"/>
      <c r="E771" s="63"/>
      <c r="F771" s="184"/>
      <c r="G771" s="184"/>
      <c r="H771" s="184"/>
      <c r="I771" s="184"/>
      <c r="J771" s="184"/>
      <c r="K771" s="69" t="str">
        <f>iferror(vlookup(E771,MasterClass!$C$2:$G988,5,false),"")</f>
        <v/>
      </c>
      <c r="L771" s="184"/>
      <c r="M771" s="184"/>
      <c r="N771" s="184"/>
      <c r="O771" s="63"/>
      <c r="P771" s="63"/>
      <c r="Q771" s="63"/>
      <c r="R771" s="63"/>
      <c r="S771" s="63"/>
      <c r="T771" s="63"/>
      <c r="U771" s="63"/>
      <c r="V771" s="63"/>
      <c r="W771" s="63"/>
      <c r="X771" s="63"/>
      <c r="Y771" s="63"/>
      <c r="Z771" s="63"/>
      <c r="AA771" s="63"/>
      <c r="AB771" s="63"/>
      <c r="AC771" s="63"/>
      <c r="AD771" s="63"/>
      <c r="AE771" s="63"/>
      <c r="AF771" s="63"/>
      <c r="AG771" s="63"/>
      <c r="AH771" s="63"/>
      <c r="AI771" s="63"/>
      <c r="AJ771" s="63"/>
    </row>
    <row r="772">
      <c r="A772" s="186"/>
      <c r="B772" s="63"/>
      <c r="C772" s="63"/>
      <c r="D772" s="63"/>
      <c r="E772" s="63"/>
      <c r="F772" s="184"/>
      <c r="G772" s="184"/>
      <c r="H772" s="184"/>
      <c r="I772" s="184"/>
      <c r="J772" s="184"/>
      <c r="K772" s="69" t="str">
        <f>iferror(vlookup(E772,MasterClass!$C$2:$G988,5,false),"")</f>
        <v/>
      </c>
      <c r="L772" s="184"/>
      <c r="M772" s="184"/>
      <c r="N772" s="184"/>
      <c r="O772" s="63"/>
      <c r="P772" s="63"/>
      <c r="Q772" s="63"/>
      <c r="R772" s="63"/>
      <c r="S772" s="63"/>
      <c r="T772" s="63"/>
      <c r="U772" s="63"/>
      <c r="V772" s="63"/>
      <c r="W772" s="63"/>
      <c r="X772" s="63"/>
      <c r="Y772" s="63"/>
      <c r="Z772" s="63"/>
      <c r="AA772" s="63"/>
      <c r="AB772" s="63"/>
      <c r="AC772" s="63"/>
      <c r="AD772" s="63"/>
      <c r="AE772" s="63"/>
      <c r="AF772" s="63"/>
      <c r="AG772" s="63"/>
      <c r="AH772" s="63"/>
      <c r="AI772" s="63"/>
      <c r="AJ772" s="63"/>
    </row>
    <row r="773">
      <c r="A773" s="186"/>
      <c r="B773" s="63"/>
      <c r="C773" s="63"/>
      <c r="D773" s="63"/>
      <c r="E773" s="63"/>
      <c r="F773" s="184"/>
      <c r="G773" s="184"/>
      <c r="H773" s="184"/>
      <c r="I773" s="184"/>
      <c r="J773" s="184"/>
      <c r="K773" s="69" t="str">
        <f>iferror(vlookup(E773,MasterClass!$C$2:$G988,5,false),"")</f>
        <v/>
      </c>
      <c r="L773" s="184"/>
      <c r="M773" s="184"/>
      <c r="N773" s="184"/>
      <c r="O773" s="63"/>
      <c r="P773" s="63"/>
      <c r="Q773" s="63"/>
      <c r="R773" s="63"/>
      <c r="S773" s="63"/>
      <c r="T773" s="63"/>
      <c r="U773" s="63"/>
      <c r="V773" s="63"/>
      <c r="W773" s="63"/>
      <c r="X773" s="63"/>
      <c r="Y773" s="63"/>
      <c r="Z773" s="63"/>
      <c r="AA773" s="63"/>
      <c r="AB773" s="63"/>
      <c r="AC773" s="63"/>
      <c r="AD773" s="63"/>
      <c r="AE773" s="63"/>
      <c r="AF773" s="63"/>
      <c r="AG773" s="63"/>
      <c r="AH773" s="63"/>
      <c r="AI773" s="63"/>
      <c r="AJ773" s="63"/>
    </row>
    <row r="774">
      <c r="A774" s="186"/>
      <c r="B774" s="63"/>
      <c r="C774" s="63"/>
      <c r="D774" s="63"/>
      <c r="E774" s="63"/>
      <c r="F774" s="184"/>
      <c r="G774" s="184"/>
      <c r="H774" s="184"/>
      <c r="I774" s="184"/>
      <c r="J774" s="184"/>
      <c r="K774" s="69" t="str">
        <f>iferror(vlookup(E774,MasterClass!$C$2:$G988,5,false),"")</f>
        <v/>
      </c>
      <c r="L774" s="184"/>
      <c r="M774" s="184"/>
      <c r="N774" s="184"/>
      <c r="O774" s="63"/>
      <c r="P774" s="63"/>
      <c r="Q774" s="63"/>
      <c r="R774" s="63"/>
      <c r="S774" s="63"/>
      <c r="T774" s="63"/>
      <c r="U774" s="63"/>
      <c r="V774" s="63"/>
      <c r="W774" s="63"/>
      <c r="X774" s="63"/>
      <c r="Y774" s="63"/>
      <c r="Z774" s="63"/>
      <c r="AA774" s="63"/>
      <c r="AB774" s="63"/>
      <c r="AC774" s="63"/>
      <c r="AD774" s="63"/>
      <c r="AE774" s="63"/>
      <c r="AF774" s="63"/>
      <c r="AG774" s="63"/>
      <c r="AH774" s="63"/>
      <c r="AI774" s="63"/>
      <c r="AJ774" s="63"/>
    </row>
    <row r="775">
      <c r="A775" s="186"/>
      <c r="B775" s="63"/>
      <c r="C775" s="63"/>
      <c r="D775" s="63"/>
      <c r="E775" s="63"/>
      <c r="F775" s="184"/>
      <c r="G775" s="184"/>
      <c r="H775" s="184"/>
      <c r="I775" s="184"/>
      <c r="J775" s="184"/>
      <c r="K775" s="69" t="str">
        <f>iferror(vlookup(E775,MasterClass!$C$2:$G988,5,false),"")</f>
        <v/>
      </c>
      <c r="L775" s="184"/>
      <c r="M775" s="184"/>
      <c r="N775" s="184"/>
      <c r="O775" s="63"/>
      <c r="P775" s="63"/>
      <c r="Q775" s="63"/>
      <c r="R775" s="63"/>
      <c r="S775" s="63"/>
      <c r="T775" s="63"/>
      <c r="U775" s="63"/>
      <c r="V775" s="63"/>
      <c r="W775" s="63"/>
      <c r="X775" s="63"/>
      <c r="Y775" s="63"/>
      <c r="Z775" s="63"/>
      <c r="AA775" s="63"/>
      <c r="AB775" s="63"/>
      <c r="AC775" s="63"/>
      <c r="AD775" s="63"/>
      <c r="AE775" s="63"/>
      <c r="AF775" s="63"/>
      <c r="AG775" s="63"/>
      <c r="AH775" s="63"/>
      <c r="AI775" s="63"/>
      <c r="AJ775" s="63"/>
    </row>
    <row r="776">
      <c r="A776" s="186"/>
      <c r="B776" s="63"/>
      <c r="C776" s="63"/>
      <c r="D776" s="63"/>
      <c r="E776" s="63"/>
      <c r="F776" s="184"/>
      <c r="G776" s="184"/>
      <c r="H776" s="184"/>
      <c r="I776" s="184"/>
      <c r="J776" s="184"/>
      <c r="K776" s="69" t="str">
        <f>iferror(vlookup(E776,MasterClass!$C$2:$G988,5,false),"")</f>
        <v/>
      </c>
      <c r="L776" s="184"/>
      <c r="M776" s="184"/>
      <c r="N776" s="184"/>
      <c r="O776" s="63"/>
      <c r="P776" s="63"/>
      <c r="Q776" s="63"/>
      <c r="R776" s="63"/>
      <c r="S776" s="63"/>
      <c r="T776" s="63"/>
      <c r="U776" s="63"/>
      <c r="V776" s="63"/>
      <c r="W776" s="63"/>
      <c r="X776" s="63"/>
      <c r="Y776" s="63"/>
      <c r="Z776" s="63"/>
      <c r="AA776" s="63"/>
      <c r="AB776" s="63"/>
      <c r="AC776" s="63"/>
      <c r="AD776" s="63"/>
      <c r="AE776" s="63"/>
      <c r="AF776" s="63"/>
      <c r="AG776" s="63"/>
      <c r="AH776" s="63"/>
      <c r="AI776" s="63"/>
      <c r="AJ776" s="63"/>
    </row>
    <row r="777">
      <c r="A777" s="186"/>
      <c r="B777" s="63"/>
      <c r="C777" s="63"/>
      <c r="D777" s="63"/>
      <c r="E777" s="63"/>
      <c r="F777" s="184"/>
      <c r="G777" s="184"/>
      <c r="H777" s="184"/>
      <c r="I777" s="184"/>
      <c r="J777" s="184"/>
      <c r="K777" s="69" t="str">
        <f>iferror(vlookup(E777,MasterClass!$C$2:$G988,5,false),"")</f>
        <v/>
      </c>
      <c r="L777" s="184"/>
      <c r="M777" s="184"/>
      <c r="N777" s="184"/>
      <c r="O777" s="63"/>
      <c r="P777" s="63"/>
      <c r="Q777" s="63"/>
      <c r="R777" s="63"/>
      <c r="S777" s="63"/>
      <c r="T777" s="63"/>
      <c r="U777" s="63"/>
      <c r="V777" s="63"/>
      <c r="W777" s="63"/>
      <c r="X777" s="63"/>
      <c r="Y777" s="63"/>
      <c r="Z777" s="63"/>
      <c r="AA777" s="63"/>
      <c r="AB777" s="63"/>
      <c r="AC777" s="63"/>
      <c r="AD777" s="63"/>
      <c r="AE777" s="63"/>
      <c r="AF777" s="63"/>
      <c r="AG777" s="63"/>
      <c r="AH777" s="63"/>
      <c r="AI777" s="63"/>
      <c r="AJ777" s="63"/>
    </row>
    <row r="778">
      <c r="A778" s="186"/>
      <c r="B778" s="63"/>
      <c r="C778" s="63"/>
      <c r="D778" s="63"/>
      <c r="E778" s="63"/>
      <c r="F778" s="184"/>
      <c r="G778" s="184"/>
      <c r="H778" s="184"/>
      <c r="I778" s="184"/>
      <c r="J778" s="184"/>
      <c r="K778" s="69" t="str">
        <f>iferror(vlookup(E778,MasterClass!$C$2:$G988,5,false),"")</f>
        <v/>
      </c>
      <c r="L778" s="184"/>
      <c r="M778" s="184"/>
      <c r="N778" s="184"/>
      <c r="O778" s="63"/>
      <c r="P778" s="63"/>
      <c r="Q778" s="63"/>
      <c r="R778" s="63"/>
      <c r="S778" s="63"/>
      <c r="T778" s="63"/>
      <c r="U778" s="63"/>
      <c r="V778" s="63"/>
      <c r="W778" s="63"/>
      <c r="X778" s="63"/>
      <c r="Y778" s="63"/>
      <c r="Z778" s="63"/>
      <c r="AA778" s="63"/>
      <c r="AB778" s="63"/>
      <c r="AC778" s="63"/>
      <c r="AD778" s="63"/>
      <c r="AE778" s="63"/>
      <c r="AF778" s="63"/>
      <c r="AG778" s="63"/>
      <c r="AH778" s="63"/>
      <c r="AI778" s="63"/>
      <c r="AJ778" s="63"/>
    </row>
    <row r="779">
      <c r="A779" s="186"/>
      <c r="B779" s="63"/>
      <c r="C779" s="63"/>
      <c r="D779" s="63"/>
      <c r="E779" s="63"/>
      <c r="F779" s="184"/>
      <c r="G779" s="184"/>
      <c r="H779" s="184"/>
      <c r="I779" s="184"/>
      <c r="J779" s="184"/>
      <c r="K779" s="69" t="str">
        <f>iferror(vlookup(E779,MasterClass!$C$2:$G988,5,false),"")</f>
        <v/>
      </c>
      <c r="L779" s="184"/>
      <c r="M779" s="184"/>
      <c r="N779" s="184"/>
      <c r="O779" s="63"/>
      <c r="P779" s="63"/>
      <c r="Q779" s="63"/>
      <c r="R779" s="63"/>
      <c r="S779" s="63"/>
      <c r="T779" s="63"/>
      <c r="U779" s="63"/>
      <c r="V779" s="63"/>
      <c r="W779" s="63"/>
      <c r="X779" s="63"/>
      <c r="Y779" s="63"/>
      <c r="Z779" s="63"/>
      <c r="AA779" s="63"/>
      <c r="AB779" s="63"/>
      <c r="AC779" s="63"/>
      <c r="AD779" s="63"/>
      <c r="AE779" s="63"/>
      <c r="AF779" s="63"/>
      <c r="AG779" s="63"/>
      <c r="AH779" s="63"/>
      <c r="AI779" s="63"/>
      <c r="AJ779" s="63"/>
    </row>
    <row r="780">
      <c r="A780" s="186"/>
      <c r="B780" s="63"/>
      <c r="C780" s="63"/>
      <c r="D780" s="63"/>
      <c r="E780" s="63"/>
      <c r="F780" s="184"/>
      <c r="G780" s="184"/>
      <c r="H780" s="184"/>
      <c r="I780" s="184"/>
      <c r="J780" s="184"/>
      <c r="K780" s="69" t="str">
        <f>iferror(vlookup(E780,MasterClass!$C$2:$G988,5,false),"")</f>
        <v/>
      </c>
      <c r="L780" s="184"/>
      <c r="M780" s="184"/>
      <c r="N780" s="184"/>
      <c r="O780" s="63"/>
      <c r="P780" s="63"/>
      <c r="Q780" s="63"/>
      <c r="R780" s="63"/>
      <c r="S780" s="63"/>
      <c r="T780" s="63"/>
      <c r="U780" s="63"/>
      <c r="V780" s="63"/>
      <c r="W780" s="63"/>
      <c r="X780" s="63"/>
      <c r="Y780" s="63"/>
      <c r="Z780" s="63"/>
      <c r="AA780" s="63"/>
      <c r="AB780" s="63"/>
      <c r="AC780" s="63"/>
      <c r="AD780" s="63"/>
      <c r="AE780" s="63"/>
      <c r="AF780" s="63"/>
      <c r="AG780" s="63"/>
      <c r="AH780" s="63"/>
      <c r="AI780" s="63"/>
      <c r="AJ780" s="63"/>
    </row>
    <row r="781">
      <c r="A781" s="186"/>
      <c r="B781" s="63"/>
      <c r="C781" s="63"/>
      <c r="D781" s="63"/>
      <c r="E781" s="63"/>
      <c r="F781" s="184"/>
      <c r="G781" s="184"/>
      <c r="H781" s="184"/>
      <c r="I781" s="184"/>
      <c r="J781" s="184"/>
      <c r="K781" s="69" t="str">
        <f>iferror(vlookup(E781,MasterClass!$C$2:$G988,5,false),"")</f>
        <v/>
      </c>
      <c r="L781" s="184"/>
      <c r="M781" s="184"/>
      <c r="N781" s="184"/>
      <c r="O781" s="63"/>
      <c r="P781" s="63"/>
      <c r="Q781" s="63"/>
      <c r="R781" s="63"/>
      <c r="S781" s="63"/>
      <c r="T781" s="63"/>
      <c r="U781" s="63"/>
      <c r="V781" s="63"/>
      <c r="W781" s="63"/>
      <c r="X781" s="63"/>
      <c r="Y781" s="63"/>
      <c r="Z781" s="63"/>
      <c r="AA781" s="63"/>
      <c r="AB781" s="63"/>
      <c r="AC781" s="63"/>
      <c r="AD781" s="63"/>
      <c r="AE781" s="63"/>
      <c r="AF781" s="63"/>
      <c r="AG781" s="63"/>
      <c r="AH781" s="63"/>
      <c r="AI781" s="63"/>
      <c r="AJ781" s="63"/>
    </row>
    <row r="782">
      <c r="A782" s="186"/>
      <c r="B782" s="63"/>
      <c r="C782" s="63"/>
      <c r="D782" s="63"/>
      <c r="E782" s="63"/>
      <c r="F782" s="184"/>
      <c r="G782" s="184"/>
      <c r="H782" s="184"/>
      <c r="I782" s="184"/>
      <c r="J782" s="184"/>
      <c r="K782" s="69" t="str">
        <f>iferror(vlookup(E782,MasterClass!$C$2:$G988,5,false),"")</f>
        <v/>
      </c>
      <c r="L782" s="184"/>
      <c r="M782" s="184"/>
      <c r="N782" s="184"/>
      <c r="O782" s="63"/>
      <c r="P782" s="63"/>
      <c r="Q782" s="63"/>
      <c r="R782" s="63"/>
      <c r="S782" s="63"/>
      <c r="T782" s="63"/>
      <c r="U782" s="63"/>
      <c r="V782" s="63"/>
      <c r="W782" s="63"/>
      <c r="X782" s="63"/>
      <c r="Y782" s="63"/>
      <c r="Z782" s="63"/>
      <c r="AA782" s="63"/>
      <c r="AB782" s="63"/>
      <c r="AC782" s="63"/>
      <c r="AD782" s="63"/>
      <c r="AE782" s="63"/>
      <c r="AF782" s="63"/>
      <c r="AG782" s="63"/>
      <c r="AH782" s="63"/>
      <c r="AI782" s="63"/>
      <c r="AJ782" s="63"/>
    </row>
    <row r="783">
      <c r="A783" s="186"/>
      <c r="B783" s="63"/>
      <c r="C783" s="63"/>
      <c r="D783" s="63"/>
      <c r="E783" s="63"/>
      <c r="F783" s="184"/>
      <c r="G783" s="184"/>
      <c r="H783" s="184"/>
      <c r="I783" s="184"/>
      <c r="J783" s="184"/>
      <c r="K783" s="69" t="str">
        <f>iferror(vlookup(E783,MasterClass!$C$2:$G988,5,false),"")</f>
        <v/>
      </c>
      <c r="L783" s="184"/>
      <c r="M783" s="184"/>
      <c r="N783" s="184"/>
      <c r="O783" s="63"/>
      <c r="P783" s="63"/>
      <c r="Q783" s="63"/>
      <c r="R783" s="63"/>
      <c r="S783" s="63"/>
      <c r="T783" s="63"/>
      <c r="U783" s="63"/>
      <c r="V783" s="63"/>
      <c r="W783" s="63"/>
      <c r="X783" s="63"/>
      <c r="Y783" s="63"/>
      <c r="Z783" s="63"/>
      <c r="AA783" s="63"/>
      <c r="AB783" s="63"/>
      <c r="AC783" s="63"/>
      <c r="AD783" s="63"/>
      <c r="AE783" s="63"/>
      <c r="AF783" s="63"/>
      <c r="AG783" s="63"/>
      <c r="AH783" s="63"/>
      <c r="AI783" s="63"/>
      <c r="AJ783" s="63"/>
    </row>
    <row r="784">
      <c r="A784" s="186"/>
      <c r="B784" s="63"/>
      <c r="C784" s="63"/>
      <c r="D784" s="63"/>
      <c r="E784" s="63"/>
      <c r="F784" s="184"/>
      <c r="G784" s="184"/>
      <c r="H784" s="184"/>
      <c r="I784" s="184"/>
      <c r="J784" s="184"/>
      <c r="K784" s="69" t="str">
        <f>iferror(vlookup(E784,MasterClass!$C$2:$G988,5,false),"")</f>
        <v/>
      </c>
      <c r="L784" s="184"/>
      <c r="M784" s="184"/>
      <c r="N784" s="184"/>
      <c r="O784" s="63"/>
      <c r="P784" s="63"/>
      <c r="Q784" s="63"/>
      <c r="R784" s="63"/>
      <c r="S784" s="63"/>
      <c r="T784" s="63"/>
      <c r="U784" s="63"/>
      <c r="V784" s="63"/>
      <c r="W784" s="63"/>
      <c r="X784" s="63"/>
      <c r="Y784" s="63"/>
      <c r="Z784" s="63"/>
      <c r="AA784" s="63"/>
      <c r="AB784" s="63"/>
      <c r="AC784" s="63"/>
      <c r="AD784" s="63"/>
      <c r="AE784" s="63"/>
      <c r="AF784" s="63"/>
      <c r="AG784" s="63"/>
      <c r="AH784" s="63"/>
      <c r="AI784" s="63"/>
      <c r="AJ784" s="63"/>
    </row>
    <row r="785">
      <c r="A785" s="186"/>
      <c r="B785" s="63"/>
      <c r="C785" s="63"/>
      <c r="D785" s="63"/>
      <c r="E785" s="63"/>
      <c r="F785" s="184"/>
      <c r="G785" s="184"/>
      <c r="H785" s="184"/>
      <c r="I785" s="184"/>
      <c r="J785" s="184"/>
      <c r="K785" s="69" t="str">
        <f>iferror(vlookup(E785,MasterClass!$C$2:$G988,5,false),"")</f>
        <v/>
      </c>
      <c r="L785" s="184"/>
      <c r="M785" s="184"/>
      <c r="N785" s="184"/>
      <c r="O785" s="63"/>
      <c r="P785" s="63"/>
      <c r="Q785" s="63"/>
      <c r="R785" s="63"/>
      <c r="S785" s="63"/>
      <c r="T785" s="63"/>
      <c r="U785" s="63"/>
      <c r="V785" s="63"/>
      <c r="W785" s="63"/>
      <c r="X785" s="63"/>
      <c r="Y785" s="63"/>
      <c r="Z785" s="63"/>
      <c r="AA785" s="63"/>
      <c r="AB785" s="63"/>
      <c r="AC785" s="63"/>
      <c r="AD785" s="63"/>
      <c r="AE785" s="63"/>
      <c r="AF785" s="63"/>
      <c r="AG785" s="63"/>
      <c r="AH785" s="63"/>
      <c r="AI785" s="63"/>
      <c r="AJ785" s="63"/>
    </row>
    <row r="786">
      <c r="A786" s="186"/>
      <c r="B786" s="63"/>
      <c r="C786" s="63"/>
      <c r="D786" s="63"/>
      <c r="E786" s="63"/>
      <c r="F786" s="184"/>
      <c r="G786" s="184"/>
      <c r="H786" s="184"/>
      <c r="I786" s="184"/>
      <c r="J786" s="184"/>
      <c r="K786" s="69" t="str">
        <f>iferror(vlookup(E786,MasterClass!$C$2:$G988,5,false),"")</f>
        <v/>
      </c>
      <c r="L786" s="184"/>
      <c r="M786" s="184"/>
      <c r="N786" s="184"/>
      <c r="O786" s="63"/>
      <c r="P786" s="63"/>
      <c r="Q786" s="63"/>
      <c r="R786" s="63"/>
      <c r="S786" s="63"/>
      <c r="T786" s="63"/>
      <c r="U786" s="63"/>
      <c r="V786" s="63"/>
      <c r="W786" s="63"/>
      <c r="X786" s="63"/>
      <c r="Y786" s="63"/>
      <c r="Z786" s="63"/>
      <c r="AA786" s="63"/>
      <c r="AB786" s="63"/>
      <c r="AC786" s="63"/>
      <c r="AD786" s="63"/>
      <c r="AE786" s="63"/>
      <c r="AF786" s="63"/>
      <c r="AG786" s="63"/>
      <c r="AH786" s="63"/>
      <c r="AI786" s="63"/>
      <c r="AJ786" s="63"/>
    </row>
    <row r="787">
      <c r="A787" s="186"/>
      <c r="B787" s="63"/>
      <c r="C787" s="63"/>
      <c r="D787" s="63"/>
      <c r="E787" s="63"/>
      <c r="F787" s="184"/>
      <c r="G787" s="184"/>
      <c r="H787" s="184"/>
      <c r="I787" s="184"/>
      <c r="J787" s="184"/>
      <c r="K787" s="69" t="str">
        <f>iferror(vlookup(E787,MasterClass!$C$2:$G988,5,false),"")</f>
        <v/>
      </c>
      <c r="L787" s="184"/>
      <c r="M787" s="184"/>
      <c r="N787" s="184"/>
      <c r="O787" s="63"/>
      <c r="P787" s="63"/>
      <c r="Q787" s="63"/>
      <c r="R787" s="63"/>
      <c r="S787" s="63"/>
      <c r="T787" s="63"/>
      <c r="U787" s="63"/>
      <c r="V787" s="63"/>
      <c r="W787" s="63"/>
      <c r="X787" s="63"/>
      <c r="Y787" s="63"/>
      <c r="Z787" s="63"/>
      <c r="AA787" s="63"/>
      <c r="AB787" s="63"/>
      <c r="AC787" s="63"/>
      <c r="AD787" s="63"/>
      <c r="AE787" s="63"/>
      <c r="AF787" s="63"/>
      <c r="AG787" s="63"/>
      <c r="AH787" s="63"/>
      <c r="AI787" s="63"/>
      <c r="AJ787" s="63"/>
    </row>
    <row r="788">
      <c r="A788" s="186"/>
      <c r="B788" s="63"/>
      <c r="C788" s="63"/>
      <c r="D788" s="63"/>
      <c r="E788" s="63"/>
      <c r="F788" s="184"/>
      <c r="G788" s="184"/>
      <c r="H788" s="184"/>
      <c r="I788" s="184"/>
      <c r="J788" s="184"/>
      <c r="K788" s="69" t="str">
        <f>iferror(vlookup(E788,MasterClass!$C$2:$G988,5,false),"")</f>
        <v/>
      </c>
      <c r="L788" s="184"/>
      <c r="M788" s="184"/>
      <c r="N788" s="184"/>
      <c r="O788" s="63"/>
      <c r="P788" s="63"/>
      <c r="Q788" s="63"/>
      <c r="R788" s="63"/>
      <c r="S788" s="63"/>
      <c r="T788" s="63"/>
      <c r="U788" s="63"/>
      <c r="V788" s="63"/>
      <c r="W788" s="63"/>
      <c r="X788" s="63"/>
      <c r="Y788" s="63"/>
      <c r="Z788" s="63"/>
      <c r="AA788" s="63"/>
      <c r="AB788" s="63"/>
      <c r="AC788" s="63"/>
      <c r="AD788" s="63"/>
      <c r="AE788" s="63"/>
      <c r="AF788" s="63"/>
      <c r="AG788" s="63"/>
      <c r="AH788" s="63"/>
      <c r="AI788" s="63"/>
      <c r="AJ788" s="63"/>
    </row>
    <row r="789">
      <c r="A789" s="186"/>
      <c r="B789" s="63"/>
      <c r="C789" s="63"/>
      <c r="D789" s="63"/>
      <c r="E789" s="63"/>
      <c r="F789" s="184"/>
      <c r="G789" s="184"/>
      <c r="H789" s="184"/>
      <c r="I789" s="184"/>
      <c r="J789" s="184"/>
      <c r="K789" s="69" t="str">
        <f>iferror(vlookup(E789,MasterClass!$C$2:$G988,5,false),"")</f>
        <v/>
      </c>
      <c r="L789" s="184"/>
      <c r="M789" s="184"/>
      <c r="N789" s="184"/>
      <c r="O789" s="63"/>
      <c r="P789" s="63"/>
      <c r="Q789" s="63"/>
      <c r="R789" s="63"/>
      <c r="S789" s="63"/>
      <c r="T789" s="63"/>
      <c r="U789" s="63"/>
      <c r="V789" s="63"/>
      <c r="W789" s="63"/>
      <c r="X789" s="63"/>
      <c r="Y789" s="63"/>
      <c r="Z789" s="63"/>
      <c r="AA789" s="63"/>
      <c r="AB789" s="63"/>
      <c r="AC789" s="63"/>
      <c r="AD789" s="63"/>
      <c r="AE789" s="63"/>
      <c r="AF789" s="63"/>
      <c r="AG789" s="63"/>
      <c r="AH789" s="63"/>
      <c r="AI789" s="63"/>
      <c r="AJ789" s="63"/>
    </row>
    <row r="790">
      <c r="A790" s="186"/>
      <c r="B790" s="63"/>
      <c r="C790" s="63"/>
      <c r="D790" s="63"/>
      <c r="E790" s="63"/>
      <c r="F790" s="184"/>
      <c r="G790" s="184"/>
      <c r="H790" s="184"/>
      <c r="I790" s="184"/>
      <c r="J790" s="184"/>
      <c r="K790" s="69" t="str">
        <f>iferror(vlookup(E790,MasterClass!$C$2:$G988,5,false),"")</f>
        <v/>
      </c>
      <c r="L790" s="184"/>
      <c r="M790" s="184"/>
      <c r="N790" s="184"/>
      <c r="O790" s="63"/>
      <c r="P790" s="63"/>
      <c r="Q790" s="63"/>
      <c r="R790" s="63"/>
      <c r="S790" s="63"/>
      <c r="T790" s="63"/>
      <c r="U790" s="63"/>
      <c r="V790" s="63"/>
      <c r="W790" s="63"/>
      <c r="X790" s="63"/>
      <c r="Y790" s="63"/>
      <c r="Z790" s="63"/>
      <c r="AA790" s="63"/>
      <c r="AB790" s="63"/>
      <c r="AC790" s="63"/>
      <c r="AD790" s="63"/>
      <c r="AE790" s="63"/>
      <c r="AF790" s="63"/>
      <c r="AG790" s="63"/>
      <c r="AH790" s="63"/>
      <c r="AI790" s="63"/>
      <c r="AJ790" s="63"/>
    </row>
    <row r="791">
      <c r="A791" s="186"/>
      <c r="B791" s="63"/>
      <c r="C791" s="63"/>
      <c r="D791" s="63"/>
      <c r="E791" s="63"/>
      <c r="F791" s="184"/>
      <c r="G791" s="184"/>
      <c r="H791" s="184"/>
      <c r="I791" s="184"/>
      <c r="J791" s="184"/>
      <c r="K791" s="69" t="str">
        <f>iferror(vlookup(E791,MasterClass!$C$2:$G988,5,false),"")</f>
        <v/>
      </c>
      <c r="L791" s="184"/>
      <c r="M791" s="184"/>
      <c r="N791" s="184"/>
      <c r="O791" s="63"/>
      <c r="P791" s="63"/>
      <c r="Q791" s="63"/>
      <c r="R791" s="63"/>
      <c r="S791" s="63"/>
      <c r="T791" s="63"/>
      <c r="U791" s="63"/>
      <c r="V791" s="63"/>
      <c r="W791" s="63"/>
      <c r="X791" s="63"/>
      <c r="Y791" s="63"/>
      <c r="Z791" s="63"/>
      <c r="AA791" s="63"/>
      <c r="AB791" s="63"/>
      <c r="AC791" s="63"/>
      <c r="AD791" s="63"/>
      <c r="AE791" s="63"/>
      <c r="AF791" s="63"/>
      <c r="AG791" s="63"/>
      <c r="AH791" s="63"/>
      <c r="AI791" s="63"/>
      <c r="AJ791" s="63"/>
    </row>
    <row r="792">
      <c r="A792" s="186"/>
      <c r="B792" s="63"/>
      <c r="C792" s="63"/>
      <c r="D792" s="63"/>
      <c r="E792" s="63"/>
      <c r="F792" s="184"/>
      <c r="G792" s="184"/>
      <c r="H792" s="184"/>
      <c r="I792" s="184"/>
      <c r="J792" s="184"/>
      <c r="K792" s="69" t="str">
        <f>iferror(vlookup(E792,MasterClass!$C$2:$G988,5,false),"")</f>
        <v/>
      </c>
      <c r="L792" s="184"/>
      <c r="M792" s="184"/>
      <c r="N792" s="184"/>
      <c r="O792" s="63"/>
      <c r="P792" s="63"/>
      <c r="Q792" s="63"/>
      <c r="R792" s="63"/>
      <c r="S792" s="63"/>
      <c r="T792" s="63"/>
      <c r="U792" s="63"/>
      <c r="V792" s="63"/>
      <c r="W792" s="63"/>
      <c r="X792" s="63"/>
      <c r="Y792" s="63"/>
      <c r="Z792" s="63"/>
      <c r="AA792" s="63"/>
      <c r="AB792" s="63"/>
      <c r="AC792" s="63"/>
      <c r="AD792" s="63"/>
      <c r="AE792" s="63"/>
      <c r="AF792" s="63"/>
      <c r="AG792" s="63"/>
      <c r="AH792" s="63"/>
      <c r="AI792" s="63"/>
      <c r="AJ792" s="63"/>
    </row>
    <row r="793">
      <c r="A793" s="186"/>
      <c r="B793" s="63"/>
      <c r="C793" s="63"/>
      <c r="D793" s="63"/>
      <c r="E793" s="63"/>
      <c r="F793" s="184"/>
      <c r="G793" s="184"/>
      <c r="H793" s="184"/>
      <c r="I793" s="184"/>
      <c r="J793" s="184"/>
      <c r="K793" s="69" t="str">
        <f>iferror(vlookup(E793,MasterClass!$C$2:$G988,5,false),"")</f>
        <v/>
      </c>
      <c r="L793" s="184"/>
      <c r="M793" s="184"/>
      <c r="N793" s="184"/>
      <c r="O793" s="63"/>
      <c r="P793" s="63"/>
      <c r="Q793" s="63"/>
      <c r="R793" s="63"/>
      <c r="S793" s="63"/>
      <c r="T793" s="63"/>
      <c r="U793" s="63"/>
      <c r="V793" s="63"/>
      <c r="W793" s="63"/>
      <c r="X793" s="63"/>
      <c r="Y793" s="63"/>
      <c r="Z793" s="63"/>
      <c r="AA793" s="63"/>
      <c r="AB793" s="63"/>
      <c r="AC793" s="63"/>
      <c r="AD793" s="63"/>
      <c r="AE793" s="63"/>
      <c r="AF793" s="63"/>
      <c r="AG793" s="63"/>
      <c r="AH793" s="63"/>
      <c r="AI793" s="63"/>
      <c r="AJ793" s="63"/>
    </row>
    <row r="794">
      <c r="A794" s="186"/>
      <c r="B794" s="63"/>
      <c r="C794" s="63"/>
      <c r="D794" s="63"/>
      <c r="E794" s="63"/>
      <c r="F794" s="184"/>
      <c r="G794" s="184"/>
      <c r="H794" s="184"/>
      <c r="I794" s="184"/>
      <c r="J794" s="184"/>
      <c r="K794" s="69" t="str">
        <f>iferror(vlookup(E794,MasterClass!$C$2:$G988,5,false),"")</f>
        <v/>
      </c>
      <c r="L794" s="184"/>
      <c r="M794" s="184"/>
      <c r="N794" s="184"/>
      <c r="O794" s="63"/>
      <c r="P794" s="63"/>
      <c r="Q794" s="63"/>
      <c r="R794" s="63"/>
      <c r="S794" s="63"/>
      <c r="T794" s="63"/>
      <c r="U794" s="63"/>
      <c r="V794" s="63"/>
      <c r="W794" s="63"/>
      <c r="X794" s="63"/>
      <c r="Y794" s="63"/>
      <c r="Z794" s="63"/>
      <c r="AA794" s="63"/>
      <c r="AB794" s="63"/>
      <c r="AC794" s="63"/>
      <c r="AD794" s="63"/>
      <c r="AE794" s="63"/>
      <c r="AF794" s="63"/>
      <c r="AG794" s="63"/>
      <c r="AH794" s="63"/>
      <c r="AI794" s="63"/>
      <c r="AJ794" s="63"/>
    </row>
    <row r="795">
      <c r="A795" s="186"/>
      <c r="B795" s="63"/>
      <c r="C795" s="63"/>
      <c r="D795" s="63"/>
      <c r="E795" s="63"/>
      <c r="F795" s="184"/>
      <c r="G795" s="184"/>
      <c r="H795" s="184"/>
      <c r="I795" s="184"/>
      <c r="J795" s="184"/>
      <c r="K795" s="69" t="str">
        <f>iferror(vlookup(E795,MasterClass!$C$2:$G988,5,false),"")</f>
        <v/>
      </c>
      <c r="L795" s="184"/>
      <c r="M795" s="184"/>
      <c r="N795" s="184"/>
      <c r="O795" s="63"/>
      <c r="P795" s="63"/>
      <c r="Q795" s="63"/>
      <c r="R795" s="63"/>
      <c r="S795" s="63"/>
      <c r="T795" s="63"/>
      <c r="U795" s="63"/>
      <c r="V795" s="63"/>
      <c r="W795" s="63"/>
      <c r="X795" s="63"/>
      <c r="Y795" s="63"/>
      <c r="Z795" s="63"/>
      <c r="AA795" s="63"/>
      <c r="AB795" s="63"/>
      <c r="AC795" s="63"/>
      <c r="AD795" s="63"/>
      <c r="AE795" s="63"/>
      <c r="AF795" s="63"/>
      <c r="AG795" s="63"/>
      <c r="AH795" s="63"/>
      <c r="AI795" s="63"/>
      <c r="AJ795" s="63"/>
    </row>
    <row r="796">
      <c r="A796" s="186"/>
      <c r="B796" s="63"/>
      <c r="C796" s="63"/>
      <c r="D796" s="63"/>
      <c r="E796" s="63"/>
      <c r="F796" s="184"/>
      <c r="G796" s="184"/>
      <c r="H796" s="184"/>
      <c r="I796" s="184"/>
      <c r="J796" s="184"/>
      <c r="K796" s="69" t="str">
        <f>iferror(vlookup(E796,MasterClass!$C$2:$G988,5,false),"")</f>
        <v/>
      </c>
      <c r="L796" s="184"/>
      <c r="M796" s="184"/>
      <c r="N796" s="184"/>
      <c r="O796" s="63"/>
      <c r="P796" s="63"/>
      <c r="Q796" s="63"/>
      <c r="R796" s="63"/>
      <c r="S796" s="63"/>
      <c r="T796" s="63"/>
      <c r="U796" s="63"/>
      <c r="V796" s="63"/>
      <c r="W796" s="63"/>
      <c r="X796" s="63"/>
      <c r="Y796" s="63"/>
      <c r="Z796" s="63"/>
      <c r="AA796" s="63"/>
      <c r="AB796" s="63"/>
      <c r="AC796" s="63"/>
      <c r="AD796" s="63"/>
      <c r="AE796" s="63"/>
      <c r="AF796" s="63"/>
      <c r="AG796" s="63"/>
      <c r="AH796" s="63"/>
      <c r="AI796" s="63"/>
      <c r="AJ796" s="63"/>
    </row>
    <row r="797">
      <c r="A797" s="186"/>
      <c r="B797" s="63"/>
      <c r="C797" s="63"/>
      <c r="D797" s="63"/>
      <c r="E797" s="63"/>
      <c r="F797" s="184"/>
      <c r="G797" s="184"/>
      <c r="H797" s="184"/>
      <c r="I797" s="184"/>
      <c r="J797" s="184"/>
      <c r="K797" s="69" t="str">
        <f>iferror(vlookup(E797,MasterClass!$C$2:$G988,5,false),"")</f>
        <v/>
      </c>
      <c r="L797" s="184"/>
      <c r="M797" s="184"/>
      <c r="N797" s="184"/>
      <c r="O797" s="63"/>
      <c r="P797" s="63"/>
      <c r="Q797" s="63"/>
      <c r="R797" s="63"/>
      <c r="S797" s="63"/>
      <c r="T797" s="63"/>
      <c r="U797" s="63"/>
      <c r="V797" s="63"/>
      <c r="W797" s="63"/>
      <c r="X797" s="63"/>
      <c r="Y797" s="63"/>
      <c r="Z797" s="63"/>
      <c r="AA797" s="63"/>
      <c r="AB797" s="63"/>
      <c r="AC797" s="63"/>
      <c r="AD797" s="63"/>
      <c r="AE797" s="63"/>
      <c r="AF797" s="63"/>
      <c r="AG797" s="63"/>
      <c r="AH797" s="63"/>
      <c r="AI797" s="63"/>
      <c r="AJ797" s="63"/>
    </row>
    <row r="798">
      <c r="A798" s="186"/>
      <c r="B798" s="63"/>
      <c r="C798" s="63"/>
      <c r="D798" s="63"/>
      <c r="E798" s="63"/>
      <c r="F798" s="184"/>
      <c r="G798" s="184"/>
      <c r="H798" s="184"/>
      <c r="I798" s="184"/>
      <c r="J798" s="184"/>
      <c r="K798" s="69" t="str">
        <f>iferror(vlookup(E798,MasterClass!$C$2:$G988,5,false),"")</f>
        <v/>
      </c>
      <c r="L798" s="184"/>
      <c r="M798" s="184"/>
      <c r="N798" s="184"/>
      <c r="O798" s="63"/>
      <c r="P798" s="63"/>
      <c r="Q798" s="63"/>
      <c r="R798" s="63"/>
      <c r="S798" s="63"/>
      <c r="T798" s="63"/>
      <c r="U798" s="63"/>
      <c r="V798" s="63"/>
      <c r="W798" s="63"/>
      <c r="X798" s="63"/>
      <c r="Y798" s="63"/>
      <c r="Z798" s="63"/>
      <c r="AA798" s="63"/>
      <c r="AB798" s="63"/>
      <c r="AC798" s="63"/>
      <c r="AD798" s="63"/>
      <c r="AE798" s="63"/>
      <c r="AF798" s="63"/>
      <c r="AG798" s="63"/>
      <c r="AH798" s="63"/>
      <c r="AI798" s="63"/>
      <c r="AJ798" s="63"/>
    </row>
    <row r="799">
      <c r="A799" s="186"/>
      <c r="B799" s="63"/>
      <c r="C799" s="63"/>
      <c r="D799" s="63"/>
      <c r="E799" s="63"/>
      <c r="F799" s="184"/>
      <c r="G799" s="184"/>
      <c r="H799" s="184"/>
      <c r="I799" s="184"/>
      <c r="J799" s="184"/>
      <c r="K799" s="69" t="str">
        <f>iferror(vlookup(E799,MasterClass!$C$2:$G988,5,false),"")</f>
        <v/>
      </c>
      <c r="L799" s="184"/>
      <c r="M799" s="184"/>
      <c r="N799" s="184"/>
      <c r="O799" s="63"/>
      <c r="P799" s="63"/>
      <c r="Q799" s="63"/>
      <c r="R799" s="63"/>
      <c r="S799" s="63"/>
      <c r="T799" s="63"/>
      <c r="U799" s="63"/>
      <c r="V799" s="63"/>
      <c r="W799" s="63"/>
      <c r="X799" s="63"/>
      <c r="Y799" s="63"/>
      <c r="Z799" s="63"/>
      <c r="AA799" s="63"/>
      <c r="AB799" s="63"/>
      <c r="AC799" s="63"/>
      <c r="AD799" s="63"/>
      <c r="AE799" s="63"/>
      <c r="AF799" s="63"/>
      <c r="AG799" s="63"/>
      <c r="AH799" s="63"/>
      <c r="AI799" s="63"/>
      <c r="AJ799" s="63"/>
    </row>
    <row r="800">
      <c r="A800" s="186"/>
      <c r="B800" s="63"/>
      <c r="C800" s="63"/>
      <c r="D800" s="63"/>
      <c r="E800" s="63"/>
      <c r="F800" s="184"/>
      <c r="G800" s="184"/>
      <c r="H800" s="184"/>
      <c r="I800" s="184"/>
      <c r="J800" s="184"/>
      <c r="K800" s="69" t="str">
        <f>iferror(vlookup(E800,MasterClass!$C$2:$G988,5,false),"")</f>
        <v/>
      </c>
      <c r="L800" s="184"/>
      <c r="M800" s="184"/>
      <c r="N800" s="184"/>
      <c r="O800" s="63"/>
      <c r="P800" s="63"/>
      <c r="Q800" s="63"/>
      <c r="R800" s="63"/>
      <c r="S800" s="63"/>
      <c r="T800" s="63"/>
      <c r="U800" s="63"/>
      <c r="V800" s="63"/>
      <c r="W800" s="63"/>
      <c r="X800" s="63"/>
      <c r="Y800" s="63"/>
      <c r="Z800" s="63"/>
      <c r="AA800" s="63"/>
      <c r="AB800" s="63"/>
      <c r="AC800" s="63"/>
      <c r="AD800" s="63"/>
      <c r="AE800" s="63"/>
      <c r="AF800" s="63"/>
      <c r="AG800" s="63"/>
      <c r="AH800" s="63"/>
      <c r="AI800" s="63"/>
      <c r="AJ800" s="63"/>
    </row>
    <row r="801">
      <c r="A801" s="186"/>
      <c r="B801" s="63"/>
      <c r="C801" s="63"/>
      <c r="D801" s="63"/>
      <c r="E801" s="63"/>
      <c r="F801" s="184"/>
      <c r="G801" s="184"/>
      <c r="H801" s="184"/>
      <c r="I801" s="184"/>
      <c r="J801" s="184"/>
      <c r="K801" s="69" t="str">
        <f>iferror(vlookup(E801,MasterClass!$C$2:$G988,5,false),"")</f>
        <v/>
      </c>
      <c r="L801" s="184"/>
      <c r="M801" s="184"/>
      <c r="N801" s="184"/>
      <c r="O801" s="63"/>
      <c r="P801" s="63"/>
      <c r="Q801" s="63"/>
      <c r="R801" s="63"/>
      <c r="S801" s="63"/>
      <c r="T801" s="63"/>
      <c r="U801" s="63"/>
      <c r="V801" s="63"/>
      <c r="W801" s="63"/>
      <c r="X801" s="63"/>
      <c r="Y801" s="63"/>
      <c r="Z801" s="63"/>
      <c r="AA801" s="63"/>
      <c r="AB801" s="63"/>
      <c r="AC801" s="63"/>
      <c r="AD801" s="63"/>
      <c r="AE801" s="63"/>
      <c r="AF801" s="63"/>
      <c r="AG801" s="63"/>
      <c r="AH801" s="63"/>
      <c r="AI801" s="63"/>
      <c r="AJ801" s="63"/>
    </row>
    <row r="802">
      <c r="A802" s="186"/>
      <c r="B802" s="63"/>
      <c r="C802" s="63"/>
      <c r="D802" s="63"/>
      <c r="E802" s="63"/>
      <c r="F802" s="184"/>
      <c r="G802" s="184"/>
      <c r="H802" s="184"/>
      <c r="I802" s="184"/>
      <c r="J802" s="184"/>
      <c r="K802" s="69" t="str">
        <f>iferror(vlookup(E802,MasterClass!$C$2:$G988,5,false),"")</f>
        <v/>
      </c>
      <c r="L802" s="184"/>
      <c r="M802" s="184"/>
      <c r="N802" s="184"/>
      <c r="O802" s="63"/>
      <c r="P802" s="63"/>
      <c r="Q802" s="63"/>
      <c r="R802" s="63"/>
      <c r="S802" s="63"/>
      <c r="T802" s="63"/>
      <c r="U802" s="63"/>
      <c r="V802" s="63"/>
      <c r="W802" s="63"/>
      <c r="X802" s="63"/>
      <c r="Y802" s="63"/>
      <c r="Z802" s="63"/>
      <c r="AA802" s="63"/>
      <c r="AB802" s="63"/>
      <c r="AC802" s="63"/>
      <c r="AD802" s="63"/>
      <c r="AE802" s="63"/>
      <c r="AF802" s="63"/>
      <c r="AG802" s="63"/>
      <c r="AH802" s="63"/>
      <c r="AI802" s="63"/>
      <c r="AJ802" s="63"/>
    </row>
    <row r="803">
      <c r="A803" s="186"/>
      <c r="B803" s="63"/>
      <c r="C803" s="63"/>
      <c r="D803" s="63"/>
      <c r="E803" s="63"/>
      <c r="F803" s="184"/>
      <c r="G803" s="184"/>
      <c r="H803" s="184"/>
      <c r="I803" s="184"/>
      <c r="J803" s="184"/>
      <c r="K803" s="69" t="str">
        <f>iferror(vlookup(E803,MasterClass!$C$2:$G988,5,false),"")</f>
        <v/>
      </c>
      <c r="L803" s="184"/>
      <c r="M803" s="184"/>
      <c r="N803" s="184"/>
      <c r="O803" s="63"/>
      <c r="P803" s="63"/>
      <c r="Q803" s="63"/>
      <c r="R803" s="63"/>
      <c r="S803" s="63"/>
      <c r="T803" s="63"/>
      <c r="U803" s="63"/>
      <c r="V803" s="63"/>
      <c r="W803" s="63"/>
      <c r="X803" s="63"/>
      <c r="Y803" s="63"/>
      <c r="Z803" s="63"/>
      <c r="AA803" s="63"/>
      <c r="AB803" s="63"/>
      <c r="AC803" s="63"/>
      <c r="AD803" s="63"/>
      <c r="AE803" s="63"/>
      <c r="AF803" s="63"/>
      <c r="AG803" s="63"/>
      <c r="AH803" s="63"/>
      <c r="AI803" s="63"/>
      <c r="AJ803" s="63"/>
    </row>
    <row r="804">
      <c r="A804" s="186"/>
      <c r="B804" s="63"/>
      <c r="C804" s="63"/>
      <c r="D804" s="63"/>
      <c r="E804" s="63"/>
      <c r="F804" s="184"/>
      <c r="G804" s="184"/>
      <c r="H804" s="184"/>
      <c r="I804" s="184"/>
      <c r="J804" s="184"/>
      <c r="K804" s="69" t="str">
        <f>iferror(vlookup(E804,MasterClass!$C$2:$G988,5,false),"")</f>
        <v/>
      </c>
      <c r="L804" s="184"/>
      <c r="M804" s="184"/>
      <c r="N804" s="184"/>
      <c r="O804" s="63"/>
      <c r="P804" s="63"/>
      <c r="Q804" s="63"/>
      <c r="R804" s="63"/>
      <c r="S804" s="63"/>
      <c r="T804" s="63"/>
      <c r="U804" s="63"/>
      <c r="V804" s="63"/>
      <c r="W804" s="63"/>
      <c r="X804" s="63"/>
      <c r="Y804" s="63"/>
      <c r="Z804" s="63"/>
      <c r="AA804" s="63"/>
      <c r="AB804" s="63"/>
      <c r="AC804" s="63"/>
      <c r="AD804" s="63"/>
      <c r="AE804" s="63"/>
      <c r="AF804" s="63"/>
      <c r="AG804" s="63"/>
      <c r="AH804" s="63"/>
      <c r="AI804" s="63"/>
      <c r="AJ804" s="63"/>
    </row>
    <row r="805">
      <c r="A805" s="186"/>
      <c r="B805" s="63"/>
      <c r="C805" s="63"/>
      <c r="D805" s="63"/>
      <c r="E805" s="63"/>
      <c r="F805" s="184"/>
      <c r="G805" s="184"/>
      <c r="H805" s="184"/>
      <c r="I805" s="184"/>
      <c r="J805" s="184"/>
      <c r="K805" s="69" t="str">
        <f>iferror(vlookup(E805,MasterClass!$C$2:$G988,5,false),"")</f>
        <v/>
      </c>
      <c r="L805" s="184"/>
      <c r="M805" s="184"/>
      <c r="N805" s="184"/>
      <c r="O805" s="63"/>
      <c r="P805" s="63"/>
      <c r="Q805" s="63"/>
      <c r="R805" s="63"/>
      <c r="S805" s="63"/>
      <c r="T805" s="63"/>
      <c r="U805" s="63"/>
      <c r="V805" s="63"/>
      <c r="W805" s="63"/>
      <c r="X805" s="63"/>
      <c r="Y805" s="63"/>
      <c r="Z805" s="63"/>
      <c r="AA805" s="63"/>
      <c r="AB805" s="63"/>
      <c r="AC805" s="63"/>
      <c r="AD805" s="63"/>
      <c r="AE805" s="63"/>
      <c r="AF805" s="63"/>
      <c r="AG805" s="63"/>
      <c r="AH805" s="63"/>
      <c r="AI805" s="63"/>
      <c r="AJ805" s="63"/>
    </row>
    <row r="806">
      <c r="A806" s="186"/>
      <c r="B806" s="63"/>
      <c r="C806" s="63"/>
      <c r="D806" s="63"/>
      <c r="E806" s="63"/>
      <c r="F806" s="184"/>
      <c r="G806" s="184"/>
      <c r="H806" s="184"/>
      <c r="I806" s="184"/>
      <c r="J806" s="184"/>
      <c r="K806" s="69" t="str">
        <f>iferror(vlookup(E806,MasterClass!$C$2:$G988,5,false),"")</f>
        <v/>
      </c>
      <c r="L806" s="184"/>
      <c r="M806" s="184"/>
      <c r="N806" s="184"/>
      <c r="O806" s="63"/>
      <c r="P806" s="63"/>
      <c r="Q806" s="63"/>
      <c r="R806" s="63"/>
      <c r="S806" s="63"/>
      <c r="T806" s="63"/>
      <c r="U806" s="63"/>
      <c r="V806" s="63"/>
      <c r="W806" s="63"/>
      <c r="X806" s="63"/>
      <c r="Y806" s="63"/>
      <c r="Z806" s="63"/>
      <c r="AA806" s="63"/>
      <c r="AB806" s="63"/>
      <c r="AC806" s="63"/>
      <c r="AD806" s="63"/>
      <c r="AE806" s="63"/>
      <c r="AF806" s="63"/>
      <c r="AG806" s="63"/>
      <c r="AH806" s="63"/>
      <c r="AI806" s="63"/>
      <c r="AJ806" s="63"/>
    </row>
    <row r="807">
      <c r="A807" s="186"/>
      <c r="B807" s="63"/>
      <c r="C807" s="63"/>
      <c r="D807" s="63"/>
      <c r="E807" s="63"/>
      <c r="F807" s="184"/>
      <c r="G807" s="184"/>
      <c r="H807" s="184"/>
      <c r="I807" s="184"/>
      <c r="J807" s="184"/>
      <c r="K807" s="69" t="str">
        <f>iferror(vlookup(E807,MasterClass!$C$2:$G988,5,false),"")</f>
        <v/>
      </c>
      <c r="L807" s="184"/>
      <c r="M807" s="184"/>
      <c r="N807" s="184"/>
      <c r="O807" s="63"/>
      <c r="P807" s="63"/>
      <c r="Q807" s="63"/>
      <c r="R807" s="63"/>
      <c r="S807" s="63"/>
      <c r="T807" s="63"/>
      <c r="U807" s="63"/>
      <c r="V807" s="63"/>
      <c r="W807" s="63"/>
      <c r="X807" s="63"/>
      <c r="Y807" s="63"/>
      <c r="Z807" s="63"/>
      <c r="AA807" s="63"/>
      <c r="AB807" s="63"/>
      <c r="AC807" s="63"/>
      <c r="AD807" s="63"/>
      <c r="AE807" s="63"/>
      <c r="AF807" s="63"/>
      <c r="AG807" s="63"/>
      <c r="AH807" s="63"/>
      <c r="AI807" s="63"/>
      <c r="AJ807" s="63"/>
    </row>
    <row r="808">
      <c r="A808" s="186"/>
      <c r="B808" s="63"/>
      <c r="C808" s="63"/>
      <c r="D808" s="63"/>
      <c r="E808" s="63"/>
      <c r="F808" s="184"/>
      <c r="G808" s="184"/>
      <c r="H808" s="184"/>
      <c r="I808" s="184"/>
      <c r="J808" s="184"/>
      <c r="K808" s="69" t="str">
        <f>iferror(vlookup(E808,MasterClass!$C$2:$G988,5,false),"")</f>
        <v/>
      </c>
      <c r="L808" s="184"/>
      <c r="M808" s="184"/>
      <c r="N808" s="184"/>
      <c r="O808" s="63"/>
      <c r="P808" s="63"/>
      <c r="Q808" s="63"/>
      <c r="R808" s="63"/>
      <c r="S808" s="63"/>
      <c r="T808" s="63"/>
      <c r="U808" s="63"/>
      <c r="V808" s="63"/>
      <c r="W808" s="63"/>
      <c r="X808" s="63"/>
      <c r="Y808" s="63"/>
      <c r="Z808" s="63"/>
      <c r="AA808" s="63"/>
      <c r="AB808" s="63"/>
      <c r="AC808" s="63"/>
      <c r="AD808" s="63"/>
      <c r="AE808" s="63"/>
      <c r="AF808" s="63"/>
      <c r="AG808" s="63"/>
      <c r="AH808" s="63"/>
      <c r="AI808" s="63"/>
      <c r="AJ808" s="63"/>
    </row>
    <row r="809">
      <c r="A809" s="186"/>
      <c r="B809" s="63"/>
      <c r="C809" s="63"/>
      <c r="D809" s="63"/>
      <c r="E809" s="63"/>
      <c r="F809" s="184"/>
      <c r="G809" s="184"/>
      <c r="H809" s="184"/>
      <c r="I809" s="184"/>
      <c r="J809" s="184"/>
      <c r="K809" s="69" t="str">
        <f>iferror(vlookup(E809,MasterClass!$C$2:$G988,5,false),"")</f>
        <v/>
      </c>
      <c r="L809" s="184"/>
      <c r="M809" s="184"/>
      <c r="N809" s="184"/>
      <c r="O809" s="63"/>
      <c r="P809" s="63"/>
      <c r="Q809" s="63"/>
      <c r="R809" s="63"/>
      <c r="S809" s="63"/>
      <c r="T809" s="63"/>
      <c r="U809" s="63"/>
      <c r="V809" s="63"/>
      <c r="W809" s="63"/>
      <c r="X809" s="63"/>
      <c r="Y809" s="63"/>
      <c r="Z809" s="63"/>
      <c r="AA809" s="63"/>
      <c r="AB809" s="63"/>
      <c r="AC809" s="63"/>
      <c r="AD809" s="63"/>
      <c r="AE809" s="63"/>
      <c r="AF809" s="63"/>
      <c r="AG809" s="63"/>
      <c r="AH809" s="63"/>
      <c r="AI809" s="63"/>
      <c r="AJ809" s="63"/>
    </row>
    <row r="810">
      <c r="A810" s="186"/>
      <c r="B810" s="63"/>
      <c r="C810" s="63"/>
      <c r="D810" s="63"/>
      <c r="E810" s="63"/>
      <c r="F810" s="184"/>
      <c r="G810" s="184"/>
      <c r="H810" s="184"/>
      <c r="I810" s="184"/>
      <c r="J810" s="184"/>
      <c r="K810" s="69" t="str">
        <f>iferror(vlookup(E810,MasterClass!$C$2:$G988,5,false),"")</f>
        <v/>
      </c>
      <c r="L810" s="184"/>
      <c r="M810" s="184"/>
      <c r="N810" s="184"/>
      <c r="O810" s="63"/>
      <c r="P810" s="63"/>
      <c r="Q810" s="63"/>
      <c r="R810" s="63"/>
      <c r="S810" s="63"/>
      <c r="T810" s="63"/>
      <c r="U810" s="63"/>
      <c r="V810" s="63"/>
      <c r="W810" s="63"/>
      <c r="X810" s="63"/>
      <c r="Y810" s="63"/>
      <c r="Z810" s="63"/>
      <c r="AA810" s="63"/>
      <c r="AB810" s="63"/>
      <c r="AC810" s="63"/>
      <c r="AD810" s="63"/>
      <c r="AE810" s="63"/>
      <c r="AF810" s="63"/>
      <c r="AG810" s="63"/>
      <c r="AH810" s="63"/>
      <c r="AI810" s="63"/>
      <c r="AJ810" s="63"/>
    </row>
    <row r="811">
      <c r="A811" s="186"/>
      <c r="B811" s="63"/>
      <c r="C811" s="63"/>
      <c r="D811" s="63"/>
      <c r="E811" s="63"/>
      <c r="F811" s="184"/>
      <c r="G811" s="184"/>
      <c r="H811" s="184"/>
      <c r="I811" s="184"/>
      <c r="J811" s="184"/>
      <c r="K811" s="69" t="str">
        <f>iferror(vlookup(E811,MasterClass!$C$2:$G988,5,false),"")</f>
        <v/>
      </c>
      <c r="L811" s="184"/>
      <c r="M811" s="184"/>
      <c r="N811" s="184"/>
      <c r="O811" s="63"/>
      <c r="P811" s="63"/>
      <c r="Q811" s="63"/>
      <c r="R811" s="63"/>
      <c r="S811" s="63"/>
      <c r="T811" s="63"/>
      <c r="U811" s="63"/>
      <c r="V811" s="63"/>
      <c r="W811" s="63"/>
      <c r="X811" s="63"/>
      <c r="Y811" s="63"/>
      <c r="Z811" s="63"/>
      <c r="AA811" s="63"/>
      <c r="AB811" s="63"/>
      <c r="AC811" s="63"/>
      <c r="AD811" s="63"/>
      <c r="AE811" s="63"/>
      <c r="AF811" s="63"/>
      <c r="AG811" s="63"/>
      <c r="AH811" s="63"/>
      <c r="AI811" s="63"/>
      <c r="AJ811" s="63"/>
    </row>
    <row r="812">
      <c r="A812" s="186"/>
      <c r="B812" s="63"/>
      <c r="C812" s="63"/>
      <c r="D812" s="63"/>
      <c r="E812" s="63"/>
      <c r="F812" s="184"/>
      <c r="G812" s="184"/>
      <c r="H812" s="184"/>
      <c r="I812" s="184"/>
      <c r="J812" s="184"/>
      <c r="K812" s="69" t="str">
        <f>iferror(vlookup(E812,MasterClass!$C$2:$G988,5,false),"")</f>
        <v/>
      </c>
      <c r="L812" s="184"/>
      <c r="M812" s="184"/>
      <c r="N812" s="184"/>
      <c r="O812" s="63"/>
      <c r="P812" s="63"/>
      <c r="Q812" s="63"/>
      <c r="R812" s="63"/>
      <c r="S812" s="63"/>
      <c r="T812" s="63"/>
      <c r="U812" s="63"/>
      <c r="V812" s="63"/>
      <c r="W812" s="63"/>
      <c r="X812" s="63"/>
      <c r="Y812" s="63"/>
      <c r="Z812" s="63"/>
      <c r="AA812" s="63"/>
      <c r="AB812" s="63"/>
      <c r="AC812" s="63"/>
      <c r="AD812" s="63"/>
      <c r="AE812" s="63"/>
      <c r="AF812" s="63"/>
      <c r="AG812" s="63"/>
      <c r="AH812" s="63"/>
      <c r="AI812" s="63"/>
      <c r="AJ812" s="63"/>
    </row>
    <row r="813">
      <c r="A813" s="186"/>
      <c r="B813" s="63"/>
      <c r="C813" s="63"/>
      <c r="D813" s="63"/>
      <c r="E813" s="63"/>
      <c r="F813" s="184"/>
      <c r="G813" s="184"/>
      <c r="H813" s="184"/>
      <c r="I813" s="184"/>
      <c r="J813" s="184"/>
      <c r="K813" s="69" t="str">
        <f>iferror(vlookup(E813,MasterClass!$C$2:$G988,5,false),"")</f>
        <v/>
      </c>
      <c r="L813" s="184"/>
      <c r="M813" s="184"/>
      <c r="N813" s="184"/>
      <c r="O813" s="63"/>
      <c r="P813" s="63"/>
      <c r="Q813" s="63"/>
      <c r="R813" s="63"/>
      <c r="S813" s="63"/>
      <c r="T813" s="63"/>
      <c r="U813" s="63"/>
      <c r="V813" s="63"/>
      <c r="W813" s="63"/>
      <c r="X813" s="63"/>
      <c r="Y813" s="63"/>
      <c r="Z813" s="63"/>
      <c r="AA813" s="63"/>
      <c r="AB813" s="63"/>
      <c r="AC813" s="63"/>
      <c r="AD813" s="63"/>
      <c r="AE813" s="63"/>
      <c r="AF813" s="63"/>
      <c r="AG813" s="63"/>
      <c r="AH813" s="63"/>
      <c r="AI813" s="63"/>
      <c r="AJ813" s="63"/>
    </row>
    <row r="814">
      <c r="A814" s="186"/>
      <c r="B814" s="63"/>
      <c r="C814" s="63"/>
      <c r="D814" s="63"/>
      <c r="E814" s="63"/>
      <c r="F814" s="184"/>
      <c r="G814" s="184"/>
      <c r="H814" s="184"/>
      <c r="I814" s="184"/>
      <c r="J814" s="184"/>
      <c r="K814" s="69" t="str">
        <f>iferror(vlookup(E814,MasterClass!$C$2:$G988,5,false),"")</f>
        <v/>
      </c>
      <c r="L814" s="184"/>
      <c r="M814" s="184"/>
      <c r="N814" s="184"/>
      <c r="O814" s="63"/>
      <c r="P814" s="63"/>
      <c r="Q814" s="63"/>
      <c r="R814" s="63"/>
      <c r="S814" s="63"/>
      <c r="T814" s="63"/>
      <c r="U814" s="63"/>
      <c r="V814" s="63"/>
      <c r="W814" s="63"/>
      <c r="X814" s="63"/>
      <c r="Y814" s="63"/>
      <c r="Z814" s="63"/>
      <c r="AA814" s="63"/>
      <c r="AB814" s="63"/>
      <c r="AC814" s="63"/>
      <c r="AD814" s="63"/>
      <c r="AE814" s="63"/>
      <c r="AF814" s="63"/>
      <c r="AG814" s="63"/>
      <c r="AH814" s="63"/>
      <c r="AI814" s="63"/>
      <c r="AJ814" s="63"/>
    </row>
    <row r="815">
      <c r="A815" s="186"/>
      <c r="B815" s="63"/>
      <c r="C815" s="63"/>
      <c r="D815" s="63"/>
      <c r="E815" s="63"/>
      <c r="F815" s="184"/>
      <c r="G815" s="184"/>
      <c r="H815" s="184"/>
      <c r="I815" s="184"/>
      <c r="J815" s="184"/>
      <c r="K815" s="69" t="str">
        <f>iferror(vlookup(E815,MasterClass!$C$2:$G988,5,false),"")</f>
        <v/>
      </c>
      <c r="L815" s="184"/>
      <c r="M815" s="184"/>
      <c r="N815" s="184"/>
      <c r="O815" s="63"/>
      <c r="P815" s="63"/>
      <c r="Q815" s="63"/>
      <c r="R815" s="63"/>
      <c r="S815" s="63"/>
      <c r="T815" s="63"/>
      <c r="U815" s="63"/>
      <c r="V815" s="63"/>
      <c r="W815" s="63"/>
      <c r="X815" s="63"/>
      <c r="Y815" s="63"/>
      <c r="Z815" s="63"/>
      <c r="AA815" s="63"/>
      <c r="AB815" s="63"/>
      <c r="AC815" s="63"/>
      <c r="AD815" s="63"/>
      <c r="AE815" s="63"/>
      <c r="AF815" s="63"/>
      <c r="AG815" s="63"/>
      <c r="AH815" s="63"/>
      <c r="AI815" s="63"/>
      <c r="AJ815" s="63"/>
    </row>
    <row r="816">
      <c r="A816" s="186"/>
      <c r="B816" s="63"/>
      <c r="C816" s="63"/>
      <c r="D816" s="63"/>
      <c r="E816" s="63"/>
      <c r="F816" s="184"/>
      <c r="G816" s="184"/>
      <c r="H816" s="184"/>
      <c r="I816" s="184"/>
      <c r="J816" s="184"/>
      <c r="K816" s="69" t="str">
        <f>iferror(vlookup(E816,MasterClass!$C$2:$G988,5,false),"")</f>
        <v/>
      </c>
      <c r="L816" s="184"/>
      <c r="M816" s="184"/>
      <c r="N816" s="184"/>
      <c r="O816" s="63"/>
      <c r="P816" s="63"/>
      <c r="Q816" s="63"/>
      <c r="R816" s="63"/>
      <c r="S816" s="63"/>
      <c r="T816" s="63"/>
      <c r="U816" s="63"/>
      <c r="V816" s="63"/>
      <c r="W816" s="63"/>
      <c r="X816" s="63"/>
      <c r="Y816" s="63"/>
      <c r="Z816" s="63"/>
      <c r="AA816" s="63"/>
      <c r="AB816" s="63"/>
      <c r="AC816" s="63"/>
      <c r="AD816" s="63"/>
      <c r="AE816" s="63"/>
      <c r="AF816" s="63"/>
      <c r="AG816" s="63"/>
      <c r="AH816" s="63"/>
      <c r="AI816" s="63"/>
      <c r="AJ816" s="63"/>
    </row>
    <row r="817">
      <c r="A817" s="186"/>
      <c r="B817" s="63"/>
      <c r="C817" s="63"/>
      <c r="D817" s="63"/>
      <c r="E817" s="63"/>
      <c r="F817" s="184"/>
      <c r="G817" s="184"/>
      <c r="H817" s="184"/>
      <c r="I817" s="184"/>
      <c r="J817" s="184"/>
      <c r="K817" s="69" t="str">
        <f>iferror(vlookup(E817,MasterClass!$C$2:$G988,5,false),"")</f>
        <v/>
      </c>
      <c r="L817" s="184"/>
      <c r="M817" s="184"/>
      <c r="N817" s="184"/>
      <c r="O817" s="63"/>
      <c r="P817" s="63"/>
      <c r="Q817" s="63"/>
      <c r="R817" s="63"/>
      <c r="S817" s="63"/>
      <c r="T817" s="63"/>
      <c r="U817" s="63"/>
      <c r="V817" s="63"/>
      <c r="W817" s="63"/>
      <c r="X817" s="63"/>
      <c r="Y817" s="63"/>
      <c r="Z817" s="63"/>
      <c r="AA817" s="63"/>
      <c r="AB817" s="63"/>
      <c r="AC817" s="63"/>
      <c r="AD817" s="63"/>
      <c r="AE817" s="63"/>
      <c r="AF817" s="63"/>
      <c r="AG817" s="63"/>
      <c r="AH817" s="63"/>
      <c r="AI817" s="63"/>
      <c r="AJ817" s="63"/>
    </row>
    <row r="818">
      <c r="A818" s="186"/>
      <c r="B818" s="63"/>
      <c r="C818" s="63"/>
      <c r="D818" s="63"/>
      <c r="E818" s="63"/>
      <c r="F818" s="184"/>
      <c r="G818" s="184"/>
      <c r="H818" s="184"/>
      <c r="I818" s="184"/>
      <c r="J818" s="184"/>
      <c r="K818" s="69" t="str">
        <f>iferror(vlookup(E818,MasterClass!$C$2:$G988,5,false),"")</f>
        <v/>
      </c>
      <c r="L818" s="184"/>
      <c r="M818" s="184"/>
      <c r="N818" s="184"/>
      <c r="O818" s="63"/>
      <c r="P818" s="63"/>
      <c r="Q818" s="63"/>
      <c r="R818" s="63"/>
      <c r="S818" s="63"/>
      <c r="T818" s="63"/>
      <c r="U818" s="63"/>
      <c r="V818" s="63"/>
      <c r="W818" s="63"/>
      <c r="X818" s="63"/>
      <c r="Y818" s="63"/>
      <c r="Z818" s="63"/>
      <c r="AA818" s="63"/>
      <c r="AB818" s="63"/>
      <c r="AC818" s="63"/>
      <c r="AD818" s="63"/>
      <c r="AE818" s="63"/>
      <c r="AF818" s="63"/>
      <c r="AG818" s="63"/>
      <c r="AH818" s="63"/>
      <c r="AI818" s="63"/>
      <c r="AJ818" s="63"/>
    </row>
    <row r="819">
      <c r="A819" s="186"/>
      <c r="B819" s="63"/>
      <c r="C819" s="63"/>
      <c r="D819" s="63"/>
      <c r="E819" s="63"/>
      <c r="F819" s="184"/>
      <c r="G819" s="184"/>
      <c r="H819" s="184"/>
      <c r="I819" s="184"/>
      <c r="J819" s="184"/>
      <c r="K819" s="69" t="str">
        <f>iferror(vlookup(E819,MasterClass!$C$2:$G988,5,false),"")</f>
        <v/>
      </c>
      <c r="L819" s="184"/>
      <c r="M819" s="184"/>
      <c r="N819" s="184"/>
      <c r="O819" s="63"/>
      <c r="P819" s="63"/>
      <c r="Q819" s="63"/>
      <c r="R819" s="63"/>
      <c r="S819" s="63"/>
      <c r="T819" s="63"/>
      <c r="U819" s="63"/>
      <c r="V819" s="63"/>
      <c r="W819" s="63"/>
      <c r="X819" s="63"/>
      <c r="Y819" s="63"/>
      <c r="Z819" s="63"/>
      <c r="AA819" s="63"/>
      <c r="AB819" s="63"/>
      <c r="AC819" s="63"/>
      <c r="AD819" s="63"/>
      <c r="AE819" s="63"/>
      <c r="AF819" s="63"/>
      <c r="AG819" s="63"/>
      <c r="AH819" s="63"/>
      <c r="AI819" s="63"/>
      <c r="AJ819" s="63"/>
    </row>
    <row r="820">
      <c r="A820" s="186"/>
      <c r="B820" s="63"/>
      <c r="C820" s="63"/>
      <c r="D820" s="63"/>
      <c r="E820" s="63"/>
      <c r="F820" s="184"/>
      <c r="G820" s="184"/>
      <c r="H820" s="184"/>
      <c r="I820" s="184"/>
      <c r="J820" s="184"/>
      <c r="K820" s="69" t="str">
        <f>iferror(vlookup(E820,MasterClass!$C$2:$G988,5,false),"")</f>
        <v/>
      </c>
      <c r="L820" s="184"/>
      <c r="M820" s="184"/>
      <c r="N820" s="184"/>
      <c r="O820" s="63"/>
      <c r="P820" s="63"/>
      <c r="Q820" s="63"/>
      <c r="R820" s="63"/>
      <c r="S820" s="63"/>
      <c r="T820" s="63"/>
      <c r="U820" s="63"/>
      <c r="V820" s="63"/>
      <c r="W820" s="63"/>
      <c r="X820" s="63"/>
      <c r="Y820" s="63"/>
      <c r="Z820" s="63"/>
      <c r="AA820" s="63"/>
      <c r="AB820" s="63"/>
      <c r="AC820" s="63"/>
      <c r="AD820" s="63"/>
      <c r="AE820" s="63"/>
      <c r="AF820" s="63"/>
      <c r="AG820" s="63"/>
      <c r="AH820" s="63"/>
      <c r="AI820" s="63"/>
      <c r="AJ820" s="63"/>
    </row>
    <row r="821">
      <c r="A821" s="186"/>
      <c r="B821" s="63"/>
      <c r="C821" s="63"/>
      <c r="D821" s="63"/>
      <c r="E821" s="63"/>
      <c r="F821" s="184"/>
      <c r="G821" s="184"/>
      <c r="H821" s="184"/>
      <c r="I821" s="184"/>
      <c r="J821" s="184"/>
      <c r="K821" s="69" t="str">
        <f>iferror(vlookup(E821,MasterClass!$C$2:$G988,5,false),"")</f>
        <v/>
      </c>
      <c r="L821" s="184"/>
      <c r="M821" s="184"/>
      <c r="N821" s="184"/>
      <c r="O821" s="63"/>
      <c r="P821" s="63"/>
      <c r="Q821" s="63"/>
      <c r="R821" s="63"/>
      <c r="S821" s="63"/>
      <c r="T821" s="63"/>
      <c r="U821" s="63"/>
      <c r="V821" s="63"/>
      <c r="W821" s="63"/>
      <c r="X821" s="63"/>
      <c r="Y821" s="63"/>
      <c r="Z821" s="63"/>
      <c r="AA821" s="63"/>
      <c r="AB821" s="63"/>
      <c r="AC821" s="63"/>
      <c r="AD821" s="63"/>
      <c r="AE821" s="63"/>
      <c r="AF821" s="63"/>
      <c r="AG821" s="63"/>
      <c r="AH821" s="63"/>
      <c r="AI821" s="63"/>
      <c r="AJ821" s="63"/>
    </row>
    <row r="822">
      <c r="A822" s="186"/>
      <c r="B822" s="63"/>
      <c r="C822" s="63"/>
      <c r="D822" s="63"/>
      <c r="E822" s="63"/>
      <c r="F822" s="184"/>
      <c r="G822" s="184"/>
      <c r="H822" s="184"/>
      <c r="I822" s="184"/>
      <c r="J822" s="184"/>
      <c r="K822" s="69" t="str">
        <f>iferror(vlookup(E822,MasterClass!$C$2:$G988,5,false),"")</f>
        <v/>
      </c>
      <c r="L822" s="184"/>
      <c r="M822" s="184"/>
      <c r="N822" s="184"/>
      <c r="O822" s="63"/>
      <c r="P822" s="63"/>
      <c r="Q822" s="63"/>
      <c r="R822" s="63"/>
      <c r="S822" s="63"/>
      <c r="T822" s="63"/>
      <c r="U822" s="63"/>
      <c r="V822" s="63"/>
      <c r="W822" s="63"/>
      <c r="X822" s="63"/>
      <c r="Y822" s="63"/>
      <c r="Z822" s="63"/>
      <c r="AA822" s="63"/>
      <c r="AB822" s="63"/>
      <c r="AC822" s="63"/>
      <c r="AD822" s="63"/>
      <c r="AE822" s="63"/>
      <c r="AF822" s="63"/>
      <c r="AG822" s="63"/>
      <c r="AH822" s="63"/>
      <c r="AI822" s="63"/>
      <c r="AJ822" s="63"/>
    </row>
    <row r="823">
      <c r="A823" s="186"/>
      <c r="B823" s="63"/>
      <c r="C823" s="63"/>
      <c r="D823" s="63"/>
      <c r="E823" s="63"/>
      <c r="F823" s="184"/>
      <c r="G823" s="184"/>
      <c r="H823" s="184"/>
      <c r="I823" s="184"/>
      <c r="J823" s="184"/>
      <c r="K823" s="69" t="str">
        <f>iferror(vlookup(E823,MasterClass!$C$2:$G988,5,false),"")</f>
        <v/>
      </c>
      <c r="L823" s="184"/>
      <c r="M823" s="184"/>
      <c r="N823" s="184"/>
      <c r="O823" s="63"/>
      <c r="P823" s="63"/>
      <c r="Q823" s="63"/>
      <c r="R823" s="63"/>
      <c r="S823" s="63"/>
      <c r="T823" s="63"/>
      <c r="U823" s="63"/>
      <c r="V823" s="63"/>
      <c r="W823" s="63"/>
      <c r="X823" s="63"/>
      <c r="Y823" s="63"/>
      <c r="Z823" s="63"/>
      <c r="AA823" s="63"/>
      <c r="AB823" s="63"/>
      <c r="AC823" s="63"/>
      <c r="AD823" s="63"/>
      <c r="AE823" s="63"/>
      <c r="AF823" s="63"/>
      <c r="AG823" s="63"/>
      <c r="AH823" s="63"/>
      <c r="AI823" s="63"/>
      <c r="AJ823" s="63"/>
    </row>
    <row r="824">
      <c r="A824" s="186"/>
      <c r="B824" s="63"/>
      <c r="C824" s="63"/>
      <c r="D824" s="63"/>
      <c r="E824" s="63"/>
      <c r="F824" s="184"/>
      <c r="G824" s="184"/>
      <c r="H824" s="184"/>
      <c r="I824" s="184"/>
      <c r="J824" s="184"/>
      <c r="K824" s="69" t="str">
        <f>iferror(vlookup(E824,MasterClass!$C$2:$G988,5,false),"")</f>
        <v/>
      </c>
      <c r="L824" s="184"/>
      <c r="M824" s="184"/>
      <c r="N824" s="184"/>
      <c r="O824" s="63"/>
      <c r="P824" s="63"/>
      <c r="Q824" s="63"/>
      <c r="R824" s="63"/>
      <c r="S824" s="63"/>
      <c r="T824" s="63"/>
      <c r="U824" s="63"/>
      <c r="V824" s="63"/>
      <c r="W824" s="63"/>
      <c r="X824" s="63"/>
      <c r="Y824" s="63"/>
      <c r="Z824" s="63"/>
      <c r="AA824" s="63"/>
      <c r="AB824" s="63"/>
      <c r="AC824" s="63"/>
      <c r="AD824" s="63"/>
      <c r="AE824" s="63"/>
      <c r="AF824" s="63"/>
      <c r="AG824" s="63"/>
      <c r="AH824" s="63"/>
      <c r="AI824" s="63"/>
      <c r="AJ824" s="63"/>
    </row>
    <row r="825">
      <c r="A825" s="186"/>
      <c r="B825" s="63"/>
      <c r="C825" s="63"/>
      <c r="D825" s="63"/>
      <c r="E825" s="63"/>
      <c r="F825" s="184"/>
      <c r="G825" s="184"/>
      <c r="H825" s="184"/>
      <c r="I825" s="184"/>
      <c r="J825" s="184"/>
      <c r="K825" s="69" t="str">
        <f>iferror(vlookup(E825,MasterClass!$C$2:$G988,5,false),"")</f>
        <v/>
      </c>
      <c r="L825" s="184"/>
      <c r="M825" s="184"/>
      <c r="N825" s="184"/>
      <c r="O825" s="63"/>
      <c r="P825" s="63"/>
      <c r="Q825" s="63"/>
      <c r="R825" s="63"/>
      <c r="S825" s="63"/>
      <c r="T825" s="63"/>
      <c r="U825" s="63"/>
      <c r="V825" s="63"/>
      <c r="W825" s="63"/>
      <c r="X825" s="63"/>
      <c r="Y825" s="63"/>
      <c r="Z825" s="63"/>
      <c r="AA825" s="63"/>
      <c r="AB825" s="63"/>
      <c r="AC825" s="63"/>
      <c r="AD825" s="63"/>
      <c r="AE825" s="63"/>
      <c r="AF825" s="63"/>
      <c r="AG825" s="63"/>
      <c r="AH825" s="63"/>
      <c r="AI825" s="63"/>
      <c r="AJ825" s="63"/>
    </row>
    <row r="826">
      <c r="A826" s="186"/>
      <c r="B826" s="63"/>
      <c r="C826" s="63"/>
      <c r="D826" s="63"/>
      <c r="E826" s="63"/>
      <c r="F826" s="184"/>
      <c r="G826" s="184"/>
      <c r="H826" s="184"/>
      <c r="I826" s="184"/>
      <c r="J826" s="184"/>
      <c r="K826" s="69" t="str">
        <f>iferror(vlookup(E826,MasterClass!$C$2:$G988,5,false),"")</f>
        <v/>
      </c>
      <c r="L826" s="184"/>
      <c r="M826" s="184"/>
      <c r="N826" s="184"/>
      <c r="O826" s="63"/>
      <c r="P826" s="63"/>
      <c r="Q826" s="63"/>
      <c r="R826" s="63"/>
      <c r="S826" s="63"/>
      <c r="T826" s="63"/>
      <c r="U826" s="63"/>
      <c r="V826" s="63"/>
      <c r="W826" s="63"/>
      <c r="X826" s="63"/>
      <c r="Y826" s="63"/>
      <c r="Z826" s="63"/>
      <c r="AA826" s="63"/>
      <c r="AB826" s="63"/>
      <c r="AC826" s="63"/>
      <c r="AD826" s="63"/>
      <c r="AE826" s="63"/>
      <c r="AF826" s="63"/>
      <c r="AG826" s="63"/>
      <c r="AH826" s="63"/>
      <c r="AI826" s="63"/>
      <c r="AJ826" s="63"/>
    </row>
    <row r="827">
      <c r="A827" s="186"/>
      <c r="B827" s="63"/>
      <c r="C827" s="63"/>
      <c r="D827" s="63"/>
      <c r="E827" s="63"/>
      <c r="F827" s="184"/>
      <c r="G827" s="184"/>
      <c r="H827" s="184"/>
      <c r="I827" s="184"/>
      <c r="J827" s="184"/>
      <c r="K827" s="69" t="str">
        <f>iferror(vlookup(E827,MasterClass!$C$2:$G988,5,false),"")</f>
        <v/>
      </c>
      <c r="L827" s="184"/>
      <c r="M827" s="184"/>
      <c r="N827" s="184"/>
      <c r="O827" s="63"/>
      <c r="P827" s="63"/>
      <c r="Q827" s="63"/>
      <c r="R827" s="63"/>
      <c r="S827" s="63"/>
      <c r="T827" s="63"/>
      <c r="U827" s="63"/>
      <c r="V827" s="63"/>
      <c r="W827" s="63"/>
      <c r="X827" s="63"/>
      <c r="Y827" s="63"/>
      <c r="Z827" s="63"/>
      <c r="AA827" s="63"/>
      <c r="AB827" s="63"/>
      <c r="AC827" s="63"/>
      <c r="AD827" s="63"/>
      <c r="AE827" s="63"/>
      <c r="AF827" s="63"/>
      <c r="AG827" s="63"/>
      <c r="AH827" s="63"/>
      <c r="AI827" s="63"/>
      <c r="AJ827" s="63"/>
    </row>
    <row r="828">
      <c r="A828" s="186"/>
      <c r="B828" s="63"/>
      <c r="C828" s="63"/>
      <c r="D828" s="63"/>
      <c r="E828" s="63"/>
      <c r="F828" s="184"/>
      <c r="G828" s="184"/>
      <c r="H828" s="184"/>
      <c r="I828" s="184"/>
      <c r="J828" s="184"/>
      <c r="K828" s="69" t="str">
        <f>iferror(vlookup(E828,MasterClass!$C$2:$G988,5,false),"")</f>
        <v/>
      </c>
      <c r="L828" s="184"/>
      <c r="M828" s="184"/>
      <c r="N828" s="184"/>
      <c r="O828" s="63"/>
      <c r="P828" s="63"/>
      <c r="Q828" s="63"/>
      <c r="R828" s="63"/>
      <c r="S828" s="63"/>
      <c r="T828" s="63"/>
      <c r="U828" s="63"/>
      <c r="V828" s="63"/>
      <c r="W828" s="63"/>
      <c r="X828" s="63"/>
      <c r="Y828" s="63"/>
      <c r="Z828" s="63"/>
      <c r="AA828" s="63"/>
      <c r="AB828" s="63"/>
      <c r="AC828" s="63"/>
      <c r="AD828" s="63"/>
      <c r="AE828" s="63"/>
      <c r="AF828" s="63"/>
      <c r="AG828" s="63"/>
      <c r="AH828" s="63"/>
      <c r="AI828" s="63"/>
      <c r="AJ828" s="63"/>
    </row>
    <row r="829">
      <c r="A829" s="186"/>
      <c r="B829" s="63"/>
      <c r="C829" s="63"/>
      <c r="D829" s="63"/>
      <c r="E829" s="63"/>
      <c r="F829" s="184"/>
      <c r="G829" s="184"/>
      <c r="H829" s="184"/>
      <c r="I829" s="184"/>
      <c r="J829" s="184"/>
      <c r="K829" s="69" t="str">
        <f>iferror(vlookup(E829,MasterClass!$C$2:$G988,5,false),"")</f>
        <v/>
      </c>
      <c r="L829" s="184"/>
      <c r="M829" s="184"/>
      <c r="N829" s="184"/>
      <c r="O829" s="63"/>
      <c r="P829" s="63"/>
      <c r="Q829" s="63"/>
      <c r="R829" s="63"/>
      <c r="S829" s="63"/>
      <c r="T829" s="63"/>
      <c r="U829" s="63"/>
      <c r="V829" s="63"/>
      <c r="W829" s="63"/>
      <c r="X829" s="63"/>
      <c r="Y829" s="63"/>
      <c r="Z829" s="63"/>
      <c r="AA829" s="63"/>
      <c r="AB829" s="63"/>
      <c r="AC829" s="63"/>
      <c r="AD829" s="63"/>
      <c r="AE829" s="63"/>
      <c r="AF829" s="63"/>
      <c r="AG829" s="63"/>
      <c r="AH829" s="63"/>
      <c r="AI829" s="63"/>
      <c r="AJ829" s="63"/>
    </row>
    <row r="830">
      <c r="A830" s="186"/>
      <c r="B830" s="63"/>
      <c r="C830" s="63"/>
      <c r="D830" s="63"/>
      <c r="E830" s="63"/>
      <c r="F830" s="184"/>
      <c r="G830" s="184"/>
      <c r="H830" s="184"/>
      <c r="I830" s="184"/>
      <c r="J830" s="184"/>
      <c r="K830" s="69" t="str">
        <f>iferror(vlookup(E830,MasterClass!$C$2:$G988,5,false),"")</f>
        <v/>
      </c>
      <c r="L830" s="184"/>
      <c r="M830" s="184"/>
      <c r="N830" s="184"/>
      <c r="O830" s="63"/>
      <c r="P830" s="63"/>
      <c r="Q830" s="63"/>
      <c r="R830" s="63"/>
      <c r="S830" s="63"/>
      <c r="T830" s="63"/>
      <c r="U830" s="63"/>
      <c r="V830" s="63"/>
      <c r="W830" s="63"/>
      <c r="X830" s="63"/>
      <c r="Y830" s="63"/>
      <c r="Z830" s="63"/>
      <c r="AA830" s="63"/>
      <c r="AB830" s="63"/>
      <c r="AC830" s="63"/>
      <c r="AD830" s="63"/>
      <c r="AE830" s="63"/>
      <c r="AF830" s="63"/>
      <c r="AG830" s="63"/>
      <c r="AH830" s="63"/>
      <c r="AI830" s="63"/>
      <c r="AJ830" s="63"/>
    </row>
    <row r="831">
      <c r="A831" s="186"/>
      <c r="B831" s="63"/>
      <c r="C831" s="63"/>
      <c r="D831" s="63"/>
      <c r="E831" s="63"/>
      <c r="F831" s="184"/>
      <c r="G831" s="184"/>
      <c r="H831" s="184"/>
      <c r="I831" s="184"/>
      <c r="J831" s="184"/>
      <c r="K831" s="69" t="str">
        <f>iferror(vlookup(E831,MasterClass!$C$2:$G988,5,false),"")</f>
        <v/>
      </c>
      <c r="L831" s="184"/>
      <c r="M831" s="184"/>
      <c r="N831" s="184"/>
      <c r="O831" s="63"/>
      <c r="P831" s="63"/>
      <c r="Q831" s="63"/>
      <c r="R831" s="63"/>
      <c r="S831" s="63"/>
      <c r="T831" s="63"/>
      <c r="U831" s="63"/>
      <c r="V831" s="63"/>
      <c r="W831" s="63"/>
      <c r="X831" s="63"/>
      <c r="Y831" s="63"/>
      <c r="Z831" s="63"/>
      <c r="AA831" s="63"/>
      <c r="AB831" s="63"/>
      <c r="AC831" s="63"/>
      <c r="AD831" s="63"/>
      <c r="AE831" s="63"/>
      <c r="AF831" s="63"/>
      <c r="AG831" s="63"/>
      <c r="AH831" s="63"/>
      <c r="AI831" s="63"/>
      <c r="AJ831" s="63"/>
    </row>
    <row r="832">
      <c r="A832" s="186"/>
      <c r="B832" s="63"/>
      <c r="C832" s="63"/>
      <c r="D832" s="63"/>
      <c r="E832" s="63"/>
      <c r="F832" s="184"/>
      <c r="G832" s="184"/>
      <c r="H832" s="184"/>
      <c r="I832" s="184"/>
      <c r="J832" s="184"/>
      <c r="K832" s="69" t="str">
        <f>iferror(vlookup(E832,MasterClass!$C$2:$G988,5,false),"")</f>
        <v/>
      </c>
      <c r="L832" s="184"/>
      <c r="M832" s="184"/>
      <c r="N832" s="184"/>
      <c r="O832" s="63"/>
      <c r="P832" s="63"/>
      <c r="Q832" s="63"/>
      <c r="R832" s="63"/>
      <c r="S832" s="63"/>
      <c r="T832" s="63"/>
      <c r="U832" s="63"/>
      <c r="V832" s="63"/>
      <c r="W832" s="63"/>
      <c r="X832" s="63"/>
      <c r="Y832" s="63"/>
      <c r="Z832" s="63"/>
      <c r="AA832" s="63"/>
      <c r="AB832" s="63"/>
      <c r="AC832" s="63"/>
      <c r="AD832" s="63"/>
      <c r="AE832" s="63"/>
      <c r="AF832" s="63"/>
      <c r="AG832" s="63"/>
      <c r="AH832" s="63"/>
      <c r="AI832" s="63"/>
      <c r="AJ832" s="63"/>
    </row>
    <row r="833">
      <c r="A833" s="186"/>
      <c r="B833" s="63"/>
      <c r="C833" s="63"/>
      <c r="D833" s="63"/>
      <c r="E833" s="63"/>
      <c r="F833" s="184"/>
      <c r="G833" s="184"/>
      <c r="H833" s="184"/>
      <c r="I833" s="184"/>
      <c r="J833" s="184"/>
      <c r="K833" s="69" t="str">
        <f>iferror(vlookup(E833,MasterClass!$C$2:$G988,5,false),"")</f>
        <v/>
      </c>
      <c r="L833" s="184"/>
      <c r="M833" s="184"/>
      <c r="N833" s="184"/>
      <c r="O833" s="63"/>
      <c r="P833" s="63"/>
      <c r="Q833" s="63"/>
      <c r="R833" s="63"/>
      <c r="S833" s="63"/>
      <c r="T833" s="63"/>
      <c r="U833" s="63"/>
      <c r="V833" s="63"/>
      <c r="W833" s="63"/>
      <c r="X833" s="63"/>
      <c r="Y833" s="63"/>
      <c r="Z833" s="63"/>
      <c r="AA833" s="63"/>
      <c r="AB833" s="63"/>
      <c r="AC833" s="63"/>
      <c r="AD833" s="63"/>
      <c r="AE833" s="63"/>
      <c r="AF833" s="63"/>
      <c r="AG833" s="63"/>
      <c r="AH833" s="63"/>
      <c r="AI833" s="63"/>
      <c r="AJ833" s="63"/>
    </row>
    <row r="834">
      <c r="A834" s="186"/>
      <c r="B834" s="63"/>
      <c r="C834" s="63"/>
      <c r="D834" s="63"/>
      <c r="E834" s="63"/>
      <c r="F834" s="184"/>
      <c r="G834" s="184"/>
      <c r="H834" s="184"/>
      <c r="I834" s="184"/>
      <c r="J834" s="184"/>
      <c r="K834" s="69" t="str">
        <f>iferror(vlookup(E834,MasterClass!$C$2:$G988,5,false),"")</f>
        <v/>
      </c>
      <c r="L834" s="184"/>
      <c r="M834" s="184"/>
      <c r="N834" s="184"/>
      <c r="O834" s="63"/>
      <c r="P834" s="63"/>
      <c r="Q834" s="63"/>
      <c r="R834" s="63"/>
      <c r="S834" s="63"/>
      <c r="T834" s="63"/>
      <c r="U834" s="63"/>
      <c r="V834" s="63"/>
      <c r="W834" s="63"/>
      <c r="X834" s="63"/>
      <c r="Y834" s="63"/>
      <c r="Z834" s="63"/>
      <c r="AA834" s="63"/>
      <c r="AB834" s="63"/>
      <c r="AC834" s="63"/>
      <c r="AD834" s="63"/>
      <c r="AE834" s="63"/>
      <c r="AF834" s="63"/>
      <c r="AG834" s="63"/>
      <c r="AH834" s="63"/>
      <c r="AI834" s="63"/>
      <c r="AJ834" s="63"/>
    </row>
    <row r="835">
      <c r="A835" s="186"/>
      <c r="B835" s="63"/>
      <c r="C835" s="63"/>
      <c r="D835" s="63"/>
      <c r="E835" s="63"/>
      <c r="F835" s="184"/>
      <c r="G835" s="184"/>
      <c r="H835" s="184"/>
      <c r="I835" s="184"/>
      <c r="J835" s="184"/>
      <c r="K835" s="69" t="str">
        <f>iferror(vlookup(E835,MasterClass!$C$2:$G988,5,false),"")</f>
        <v/>
      </c>
      <c r="L835" s="184"/>
      <c r="M835" s="184"/>
      <c r="N835" s="184"/>
      <c r="O835" s="63"/>
      <c r="P835" s="63"/>
      <c r="Q835" s="63"/>
      <c r="R835" s="63"/>
      <c r="S835" s="63"/>
      <c r="T835" s="63"/>
      <c r="U835" s="63"/>
      <c r="V835" s="63"/>
      <c r="W835" s="63"/>
      <c r="X835" s="63"/>
      <c r="Y835" s="63"/>
      <c r="Z835" s="63"/>
      <c r="AA835" s="63"/>
      <c r="AB835" s="63"/>
      <c r="AC835" s="63"/>
      <c r="AD835" s="63"/>
      <c r="AE835" s="63"/>
      <c r="AF835" s="63"/>
      <c r="AG835" s="63"/>
      <c r="AH835" s="63"/>
      <c r="AI835" s="63"/>
      <c r="AJ835" s="63"/>
    </row>
    <row r="836">
      <c r="A836" s="186"/>
      <c r="B836" s="63"/>
      <c r="C836" s="63"/>
      <c r="D836" s="63"/>
      <c r="E836" s="63"/>
      <c r="F836" s="184"/>
      <c r="G836" s="184"/>
      <c r="H836" s="184"/>
      <c r="I836" s="184"/>
      <c r="J836" s="184"/>
      <c r="K836" s="69" t="str">
        <f>iferror(vlookup(E836,MasterClass!$C$2:$G988,5,false),"")</f>
        <v/>
      </c>
      <c r="L836" s="184"/>
      <c r="M836" s="184"/>
      <c r="N836" s="184"/>
      <c r="O836" s="63"/>
      <c r="P836" s="63"/>
      <c r="Q836" s="63"/>
      <c r="R836" s="63"/>
      <c r="S836" s="63"/>
      <c r="T836" s="63"/>
      <c r="U836" s="63"/>
      <c r="V836" s="63"/>
      <c r="W836" s="63"/>
      <c r="X836" s="63"/>
      <c r="Y836" s="63"/>
      <c r="Z836" s="63"/>
      <c r="AA836" s="63"/>
      <c r="AB836" s="63"/>
      <c r="AC836" s="63"/>
      <c r="AD836" s="63"/>
      <c r="AE836" s="63"/>
      <c r="AF836" s="63"/>
      <c r="AG836" s="63"/>
      <c r="AH836" s="63"/>
      <c r="AI836" s="63"/>
      <c r="AJ836" s="63"/>
    </row>
    <row r="837">
      <c r="A837" s="186"/>
      <c r="B837" s="63"/>
      <c r="C837" s="63"/>
      <c r="D837" s="63"/>
      <c r="E837" s="63"/>
      <c r="F837" s="184"/>
      <c r="G837" s="184"/>
      <c r="H837" s="184"/>
      <c r="I837" s="184"/>
      <c r="J837" s="184"/>
      <c r="K837" s="69" t="str">
        <f>iferror(vlookup(E837,MasterClass!$C$2:$G988,5,false),"")</f>
        <v/>
      </c>
      <c r="L837" s="184"/>
      <c r="M837" s="184"/>
      <c r="N837" s="184"/>
      <c r="O837" s="63"/>
      <c r="P837" s="63"/>
      <c r="Q837" s="63"/>
      <c r="R837" s="63"/>
      <c r="S837" s="63"/>
      <c r="T837" s="63"/>
      <c r="U837" s="63"/>
      <c r="V837" s="63"/>
      <c r="W837" s="63"/>
      <c r="X837" s="63"/>
      <c r="Y837" s="63"/>
      <c r="Z837" s="63"/>
      <c r="AA837" s="63"/>
      <c r="AB837" s="63"/>
      <c r="AC837" s="63"/>
      <c r="AD837" s="63"/>
      <c r="AE837" s="63"/>
      <c r="AF837" s="63"/>
      <c r="AG837" s="63"/>
      <c r="AH837" s="63"/>
      <c r="AI837" s="63"/>
      <c r="AJ837" s="63"/>
    </row>
    <row r="838">
      <c r="A838" s="186"/>
      <c r="B838" s="63"/>
      <c r="C838" s="63"/>
      <c r="D838" s="63"/>
      <c r="E838" s="63"/>
      <c r="F838" s="184"/>
      <c r="G838" s="184"/>
      <c r="H838" s="184"/>
      <c r="I838" s="184"/>
      <c r="J838" s="184"/>
      <c r="K838" s="69" t="str">
        <f>iferror(vlookup(E838,MasterClass!$C$2:$G988,5,false),"")</f>
        <v/>
      </c>
      <c r="L838" s="184"/>
      <c r="M838" s="184"/>
      <c r="N838" s="184"/>
      <c r="O838" s="63"/>
      <c r="P838" s="63"/>
      <c r="Q838" s="63"/>
      <c r="R838" s="63"/>
      <c r="S838" s="63"/>
      <c r="T838" s="63"/>
      <c r="U838" s="63"/>
      <c r="V838" s="63"/>
      <c r="W838" s="63"/>
      <c r="X838" s="63"/>
      <c r="Y838" s="63"/>
      <c r="Z838" s="63"/>
      <c r="AA838" s="63"/>
      <c r="AB838" s="63"/>
      <c r="AC838" s="63"/>
      <c r="AD838" s="63"/>
      <c r="AE838" s="63"/>
      <c r="AF838" s="63"/>
      <c r="AG838" s="63"/>
      <c r="AH838" s="63"/>
      <c r="AI838" s="63"/>
      <c r="AJ838" s="63"/>
    </row>
    <row r="839">
      <c r="A839" s="186"/>
      <c r="B839" s="63"/>
      <c r="C839" s="63"/>
      <c r="D839" s="63"/>
      <c r="E839" s="63"/>
      <c r="F839" s="184"/>
      <c r="G839" s="184"/>
      <c r="H839" s="184"/>
      <c r="I839" s="184"/>
      <c r="J839" s="184"/>
      <c r="K839" s="69" t="str">
        <f>iferror(vlookup(E839,MasterClass!$C$2:$G988,5,false),"")</f>
        <v/>
      </c>
      <c r="L839" s="184"/>
      <c r="M839" s="184"/>
      <c r="N839" s="184"/>
      <c r="O839" s="63"/>
      <c r="P839" s="63"/>
      <c r="Q839" s="63"/>
      <c r="R839" s="63"/>
      <c r="S839" s="63"/>
      <c r="T839" s="63"/>
      <c r="U839" s="63"/>
      <c r="V839" s="63"/>
      <c r="W839" s="63"/>
      <c r="X839" s="63"/>
      <c r="Y839" s="63"/>
      <c r="Z839" s="63"/>
      <c r="AA839" s="63"/>
      <c r="AB839" s="63"/>
      <c r="AC839" s="63"/>
      <c r="AD839" s="63"/>
      <c r="AE839" s="63"/>
      <c r="AF839" s="63"/>
      <c r="AG839" s="63"/>
      <c r="AH839" s="63"/>
      <c r="AI839" s="63"/>
      <c r="AJ839" s="63"/>
    </row>
    <row r="840">
      <c r="A840" s="186"/>
      <c r="B840" s="63"/>
      <c r="C840" s="63"/>
      <c r="D840" s="63"/>
      <c r="E840" s="63"/>
      <c r="F840" s="184"/>
      <c r="G840" s="184"/>
      <c r="H840" s="184"/>
      <c r="I840" s="184"/>
      <c r="J840" s="184"/>
      <c r="K840" s="69" t="str">
        <f>iferror(vlookup(E840,MasterClass!$C$2:$G988,5,false),"")</f>
        <v/>
      </c>
      <c r="L840" s="184"/>
      <c r="M840" s="184"/>
      <c r="N840" s="184"/>
      <c r="O840" s="63"/>
      <c r="P840" s="63"/>
      <c r="Q840" s="63"/>
      <c r="R840" s="63"/>
      <c r="S840" s="63"/>
      <c r="T840" s="63"/>
      <c r="U840" s="63"/>
      <c r="V840" s="63"/>
      <c r="W840" s="63"/>
      <c r="X840" s="63"/>
      <c r="Y840" s="63"/>
      <c r="Z840" s="63"/>
      <c r="AA840" s="63"/>
      <c r="AB840" s="63"/>
      <c r="AC840" s="63"/>
      <c r="AD840" s="63"/>
      <c r="AE840" s="63"/>
      <c r="AF840" s="63"/>
      <c r="AG840" s="63"/>
      <c r="AH840" s="63"/>
      <c r="AI840" s="63"/>
      <c r="AJ840" s="63"/>
    </row>
    <row r="841">
      <c r="A841" s="186"/>
      <c r="B841" s="63"/>
      <c r="C841" s="63"/>
      <c r="D841" s="63"/>
      <c r="E841" s="63"/>
      <c r="F841" s="184"/>
      <c r="G841" s="184"/>
      <c r="H841" s="184"/>
      <c r="I841" s="184"/>
      <c r="J841" s="184"/>
      <c r="K841" s="69" t="str">
        <f>iferror(vlookup(E841,MasterClass!$C$2:$G988,5,false),"")</f>
        <v/>
      </c>
      <c r="L841" s="184"/>
      <c r="M841" s="184"/>
      <c r="N841" s="184"/>
      <c r="O841" s="63"/>
      <c r="P841" s="63"/>
      <c r="Q841" s="63"/>
      <c r="R841" s="63"/>
      <c r="S841" s="63"/>
      <c r="T841" s="63"/>
      <c r="U841" s="63"/>
      <c r="V841" s="63"/>
      <c r="W841" s="63"/>
      <c r="X841" s="63"/>
      <c r="Y841" s="63"/>
      <c r="Z841" s="63"/>
      <c r="AA841" s="63"/>
      <c r="AB841" s="63"/>
      <c r="AC841" s="63"/>
      <c r="AD841" s="63"/>
      <c r="AE841" s="63"/>
      <c r="AF841" s="63"/>
      <c r="AG841" s="63"/>
      <c r="AH841" s="63"/>
      <c r="AI841" s="63"/>
      <c r="AJ841" s="63"/>
    </row>
    <row r="842">
      <c r="A842" s="186"/>
      <c r="B842" s="63"/>
      <c r="C842" s="63"/>
      <c r="D842" s="63"/>
      <c r="E842" s="63"/>
      <c r="F842" s="184"/>
      <c r="G842" s="184"/>
      <c r="H842" s="184"/>
      <c r="I842" s="184"/>
      <c r="J842" s="184"/>
      <c r="K842" s="69" t="str">
        <f>iferror(vlookup(E842,MasterClass!$C$2:$G988,5,false),"")</f>
        <v/>
      </c>
      <c r="L842" s="184"/>
      <c r="M842" s="184"/>
      <c r="N842" s="184"/>
      <c r="O842" s="63"/>
      <c r="P842" s="63"/>
      <c r="Q842" s="63"/>
      <c r="R842" s="63"/>
      <c r="S842" s="63"/>
      <c r="T842" s="63"/>
      <c r="U842" s="63"/>
      <c r="V842" s="63"/>
      <c r="W842" s="63"/>
      <c r="X842" s="63"/>
      <c r="Y842" s="63"/>
      <c r="Z842" s="63"/>
      <c r="AA842" s="63"/>
      <c r="AB842" s="63"/>
      <c r="AC842" s="63"/>
      <c r="AD842" s="63"/>
      <c r="AE842" s="63"/>
      <c r="AF842" s="63"/>
      <c r="AG842" s="63"/>
      <c r="AH842" s="63"/>
      <c r="AI842" s="63"/>
      <c r="AJ842" s="63"/>
    </row>
    <row r="843">
      <c r="A843" s="186"/>
      <c r="B843" s="63"/>
      <c r="C843" s="63"/>
      <c r="D843" s="63"/>
      <c r="E843" s="63"/>
      <c r="F843" s="184"/>
      <c r="G843" s="184"/>
      <c r="H843" s="184"/>
      <c r="I843" s="184"/>
      <c r="J843" s="184"/>
      <c r="K843" s="69" t="str">
        <f>iferror(vlookup(E843,MasterClass!$C$2:$G988,5,false),"")</f>
        <v/>
      </c>
      <c r="L843" s="184"/>
      <c r="M843" s="184"/>
      <c r="N843" s="184"/>
      <c r="O843" s="63"/>
      <c r="P843" s="63"/>
      <c r="Q843" s="63"/>
      <c r="R843" s="63"/>
      <c r="S843" s="63"/>
      <c r="T843" s="63"/>
      <c r="U843" s="63"/>
      <c r="V843" s="63"/>
      <c r="W843" s="63"/>
      <c r="X843" s="63"/>
      <c r="Y843" s="63"/>
      <c r="Z843" s="63"/>
      <c r="AA843" s="63"/>
      <c r="AB843" s="63"/>
      <c r="AC843" s="63"/>
      <c r="AD843" s="63"/>
      <c r="AE843" s="63"/>
      <c r="AF843" s="63"/>
      <c r="AG843" s="63"/>
      <c r="AH843" s="63"/>
      <c r="AI843" s="63"/>
      <c r="AJ843" s="63"/>
    </row>
    <row r="844">
      <c r="A844" s="186"/>
      <c r="B844" s="63"/>
      <c r="C844" s="63"/>
      <c r="D844" s="63"/>
      <c r="E844" s="63"/>
      <c r="F844" s="184"/>
      <c r="G844" s="184"/>
      <c r="H844" s="184"/>
      <c r="I844" s="184"/>
      <c r="J844" s="184"/>
      <c r="K844" s="69" t="str">
        <f>iferror(vlookup(E844,MasterClass!$C$2:$G988,5,false),"")</f>
        <v/>
      </c>
      <c r="L844" s="184"/>
      <c r="M844" s="184"/>
      <c r="N844" s="184"/>
      <c r="O844" s="63"/>
      <c r="P844" s="63"/>
      <c r="Q844" s="63"/>
      <c r="R844" s="63"/>
      <c r="S844" s="63"/>
      <c r="T844" s="63"/>
      <c r="U844" s="63"/>
      <c r="V844" s="63"/>
      <c r="W844" s="63"/>
      <c r="X844" s="63"/>
      <c r="Y844" s="63"/>
      <c r="Z844" s="63"/>
      <c r="AA844" s="63"/>
      <c r="AB844" s="63"/>
      <c r="AC844" s="63"/>
      <c r="AD844" s="63"/>
      <c r="AE844" s="63"/>
      <c r="AF844" s="63"/>
      <c r="AG844" s="63"/>
      <c r="AH844" s="63"/>
      <c r="AI844" s="63"/>
      <c r="AJ844" s="63"/>
    </row>
    <row r="845">
      <c r="A845" s="186"/>
      <c r="B845" s="63"/>
      <c r="C845" s="63"/>
      <c r="D845" s="63"/>
      <c r="E845" s="63"/>
      <c r="F845" s="184"/>
      <c r="G845" s="184"/>
      <c r="H845" s="184"/>
      <c r="I845" s="184"/>
      <c r="J845" s="184"/>
      <c r="K845" s="69" t="str">
        <f>iferror(vlookup(E845,MasterClass!$C$2:$G988,5,false),"")</f>
        <v/>
      </c>
      <c r="L845" s="184"/>
      <c r="M845" s="184"/>
      <c r="N845" s="184"/>
      <c r="O845" s="63"/>
      <c r="P845" s="63"/>
      <c r="Q845" s="63"/>
      <c r="R845" s="63"/>
      <c r="S845" s="63"/>
      <c r="T845" s="63"/>
      <c r="U845" s="63"/>
      <c r="V845" s="63"/>
      <c r="W845" s="63"/>
      <c r="X845" s="63"/>
      <c r="Y845" s="63"/>
      <c r="Z845" s="63"/>
      <c r="AA845" s="63"/>
      <c r="AB845" s="63"/>
      <c r="AC845" s="63"/>
      <c r="AD845" s="63"/>
      <c r="AE845" s="63"/>
      <c r="AF845" s="63"/>
      <c r="AG845" s="63"/>
      <c r="AH845" s="63"/>
      <c r="AI845" s="63"/>
      <c r="AJ845" s="63"/>
    </row>
    <row r="846">
      <c r="A846" s="186"/>
      <c r="B846" s="63"/>
      <c r="C846" s="63"/>
      <c r="D846" s="63"/>
      <c r="E846" s="63"/>
      <c r="F846" s="184"/>
      <c r="G846" s="184"/>
      <c r="H846" s="184"/>
      <c r="I846" s="184"/>
      <c r="J846" s="184"/>
      <c r="K846" s="69" t="str">
        <f>iferror(vlookup(E846,MasterClass!$C$2:$G988,5,false),"")</f>
        <v/>
      </c>
      <c r="L846" s="184"/>
      <c r="M846" s="184"/>
      <c r="N846" s="184"/>
      <c r="O846" s="63"/>
      <c r="P846" s="63"/>
      <c r="Q846" s="63"/>
      <c r="R846" s="63"/>
      <c r="S846" s="63"/>
      <c r="T846" s="63"/>
      <c r="U846" s="63"/>
      <c r="V846" s="63"/>
      <c r="W846" s="63"/>
      <c r="X846" s="63"/>
      <c r="Y846" s="63"/>
      <c r="Z846" s="63"/>
      <c r="AA846" s="63"/>
      <c r="AB846" s="63"/>
      <c r="AC846" s="63"/>
      <c r="AD846" s="63"/>
      <c r="AE846" s="63"/>
      <c r="AF846" s="63"/>
      <c r="AG846" s="63"/>
      <c r="AH846" s="63"/>
      <c r="AI846" s="63"/>
      <c r="AJ846" s="63"/>
    </row>
    <row r="847">
      <c r="A847" s="186"/>
      <c r="B847" s="63"/>
      <c r="C847" s="63"/>
      <c r="D847" s="63"/>
      <c r="E847" s="63"/>
      <c r="F847" s="184"/>
      <c r="G847" s="184"/>
      <c r="H847" s="184"/>
      <c r="I847" s="184"/>
      <c r="J847" s="184"/>
      <c r="K847" s="69" t="str">
        <f>iferror(vlookup(E847,MasterClass!$C$2:$G988,5,false),"")</f>
        <v/>
      </c>
      <c r="L847" s="184"/>
      <c r="M847" s="184"/>
      <c r="N847" s="184"/>
      <c r="O847" s="63"/>
      <c r="P847" s="63"/>
      <c r="Q847" s="63"/>
      <c r="R847" s="63"/>
      <c r="S847" s="63"/>
      <c r="T847" s="63"/>
      <c r="U847" s="63"/>
      <c r="V847" s="63"/>
      <c r="W847" s="63"/>
      <c r="X847" s="63"/>
      <c r="Y847" s="63"/>
      <c r="Z847" s="63"/>
      <c r="AA847" s="63"/>
      <c r="AB847" s="63"/>
      <c r="AC847" s="63"/>
      <c r="AD847" s="63"/>
      <c r="AE847" s="63"/>
      <c r="AF847" s="63"/>
      <c r="AG847" s="63"/>
      <c r="AH847" s="63"/>
      <c r="AI847" s="63"/>
      <c r="AJ847" s="63"/>
    </row>
    <row r="848">
      <c r="A848" s="186"/>
      <c r="B848" s="63"/>
      <c r="C848" s="63"/>
      <c r="D848" s="63"/>
      <c r="E848" s="63"/>
      <c r="F848" s="184"/>
      <c r="G848" s="184"/>
      <c r="H848" s="184"/>
      <c r="I848" s="184"/>
      <c r="J848" s="184"/>
      <c r="K848" s="69" t="str">
        <f>iferror(vlookup(E848,MasterClass!$C$2:$G988,5,false),"")</f>
        <v/>
      </c>
      <c r="L848" s="184"/>
      <c r="M848" s="184"/>
      <c r="N848" s="184"/>
      <c r="O848" s="63"/>
      <c r="P848" s="63"/>
      <c r="Q848" s="63"/>
      <c r="R848" s="63"/>
      <c r="S848" s="63"/>
      <c r="T848" s="63"/>
      <c r="U848" s="63"/>
      <c r="V848" s="63"/>
      <c r="W848" s="63"/>
      <c r="X848" s="63"/>
      <c r="Y848" s="63"/>
      <c r="Z848" s="63"/>
      <c r="AA848" s="63"/>
      <c r="AB848" s="63"/>
      <c r="AC848" s="63"/>
      <c r="AD848" s="63"/>
      <c r="AE848" s="63"/>
      <c r="AF848" s="63"/>
      <c r="AG848" s="63"/>
      <c r="AH848" s="63"/>
      <c r="AI848" s="63"/>
      <c r="AJ848" s="63"/>
    </row>
    <row r="849">
      <c r="A849" s="186"/>
      <c r="B849" s="63"/>
      <c r="C849" s="63"/>
      <c r="D849" s="63"/>
      <c r="E849" s="63"/>
      <c r="F849" s="184"/>
      <c r="G849" s="184"/>
      <c r="H849" s="184"/>
      <c r="I849" s="184"/>
      <c r="J849" s="184"/>
      <c r="K849" s="69" t="str">
        <f>iferror(vlookup(E849,MasterClass!$C$2:$G988,5,false),"")</f>
        <v/>
      </c>
      <c r="L849" s="184"/>
      <c r="M849" s="184"/>
      <c r="N849" s="184"/>
      <c r="O849" s="63"/>
      <c r="P849" s="63"/>
      <c r="Q849" s="63"/>
      <c r="R849" s="63"/>
      <c r="S849" s="63"/>
      <c r="T849" s="63"/>
      <c r="U849" s="63"/>
      <c r="V849" s="63"/>
      <c r="W849" s="63"/>
      <c r="X849" s="63"/>
      <c r="Y849" s="63"/>
      <c r="Z849" s="63"/>
      <c r="AA849" s="63"/>
      <c r="AB849" s="63"/>
      <c r="AC849" s="63"/>
      <c r="AD849" s="63"/>
      <c r="AE849" s="63"/>
      <c r="AF849" s="63"/>
      <c r="AG849" s="63"/>
      <c r="AH849" s="63"/>
      <c r="AI849" s="63"/>
      <c r="AJ849" s="63"/>
    </row>
    <row r="850">
      <c r="A850" s="186"/>
      <c r="B850" s="63"/>
      <c r="C850" s="63"/>
      <c r="D850" s="63"/>
      <c r="E850" s="63"/>
      <c r="F850" s="184"/>
      <c r="G850" s="184"/>
      <c r="H850" s="184"/>
      <c r="I850" s="184"/>
      <c r="J850" s="184"/>
      <c r="K850" s="69" t="str">
        <f>iferror(vlookup(E850,MasterClass!$C$2:$G988,5,false),"")</f>
        <v/>
      </c>
      <c r="L850" s="184"/>
      <c r="M850" s="184"/>
      <c r="N850" s="184"/>
      <c r="O850" s="63"/>
      <c r="P850" s="63"/>
      <c r="Q850" s="63"/>
      <c r="R850" s="63"/>
      <c r="S850" s="63"/>
      <c r="T850" s="63"/>
      <c r="U850" s="63"/>
      <c r="V850" s="63"/>
      <c r="W850" s="63"/>
      <c r="X850" s="63"/>
      <c r="Y850" s="63"/>
      <c r="Z850" s="63"/>
      <c r="AA850" s="63"/>
      <c r="AB850" s="63"/>
      <c r="AC850" s="63"/>
      <c r="AD850" s="63"/>
      <c r="AE850" s="63"/>
      <c r="AF850" s="63"/>
      <c r="AG850" s="63"/>
      <c r="AH850" s="63"/>
      <c r="AI850" s="63"/>
      <c r="AJ850" s="63"/>
    </row>
    <row r="851">
      <c r="A851" s="186"/>
      <c r="B851" s="63"/>
      <c r="C851" s="63"/>
      <c r="D851" s="63"/>
      <c r="E851" s="63"/>
      <c r="F851" s="184"/>
      <c r="G851" s="184"/>
      <c r="H851" s="184"/>
      <c r="I851" s="184"/>
      <c r="J851" s="184"/>
      <c r="K851" s="69" t="str">
        <f>iferror(vlookup(E851,MasterClass!$C$2:$G988,5,false),"")</f>
        <v/>
      </c>
      <c r="L851" s="184"/>
      <c r="M851" s="184"/>
      <c r="N851" s="184"/>
      <c r="O851" s="63"/>
      <c r="P851" s="63"/>
      <c r="Q851" s="63"/>
      <c r="R851" s="63"/>
      <c r="S851" s="63"/>
      <c r="T851" s="63"/>
      <c r="U851" s="63"/>
      <c r="V851" s="63"/>
      <c r="W851" s="63"/>
      <c r="X851" s="63"/>
      <c r="Y851" s="63"/>
      <c r="Z851" s="63"/>
      <c r="AA851" s="63"/>
      <c r="AB851" s="63"/>
      <c r="AC851" s="63"/>
      <c r="AD851" s="63"/>
      <c r="AE851" s="63"/>
      <c r="AF851" s="63"/>
      <c r="AG851" s="63"/>
      <c r="AH851" s="63"/>
      <c r="AI851" s="63"/>
      <c r="AJ851" s="63"/>
    </row>
    <row r="852">
      <c r="A852" s="186"/>
      <c r="B852" s="63"/>
      <c r="C852" s="63"/>
      <c r="D852" s="63"/>
      <c r="E852" s="63"/>
      <c r="F852" s="184"/>
      <c r="G852" s="184"/>
      <c r="H852" s="184"/>
      <c r="I852" s="184"/>
      <c r="J852" s="184"/>
      <c r="K852" s="69" t="str">
        <f>iferror(vlookup(E852,MasterClass!$C$2:$G988,5,false),"")</f>
        <v/>
      </c>
      <c r="L852" s="184"/>
      <c r="M852" s="184"/>
      <c r="N852" s="184"/>
      <c r="O852" s="63"/>
      <c r="P852" s="63"/>
      <c r="Q852" s="63"/>
      <c r="R852" s="63"/>
      <c r="S852" s="63"/>
      <c r="T852" s="63"/>
      <c r="U852" s="63"/>
      <c r="V852" s="63"/>
      <c r="W852" s="63"/>
      <c r="X852" s="63"/>
      <c r="Y852" s="63"/>
      <c r="Z852" s="63"/>
      <c r="AA852" s="63"/>
      <c r="AB852" s="63"/>
      <c r="AC852" s="63"/>
      <c r="AD852" s="63"/>
      <c r="AE852" s="63"/>
      <c r="AF852" s="63"/>
      <c r="AG852" s="63"/>
      <c r="AH852" s="63"/>
      <c r="AI852" s="63"/>
      <c r="AJ852" s="63"/>
    </row>
    <row r="853">
      <c r="A853" s="186"/>
      <c r="B853" s="63"/>
      <c r="C853" s="63"/>
      <c r="D853" s="63"/>
      <c r="E853" s="63"/>
      <c r="F853" s="184"/>
      <c r="G853" s="184"/>
      <c r="H853" s="184"/>
      <c r="I853" s="184"/>
      <c r="J853" s="184"/>
      <c r="K853" s="69" t="str">
        <f>iferror(vlookup(E853,MasterClass!$C$2:$G988,5,false),"")</f>
        <v/>
      </c>
      <c r="L853" s="184"/>
      <c r="M853" s="184"/>
      <c r="N853" s="184"/>
      <c r="O853" s="63"/>
      <c r="P853" s="63"/>
      <c r="Q853" s="63"/>
      <c r="R853" s="63"/>
      <c r="S853" s="63"/>
      <c r="T853" s="63"/>
      <c r="U853" s="63"/>
      <c r="V853" s="63"/>
      <c r="W853" s="63"/>
      <c r="X853" s="63"/>
      <c r="Y853" s="63"/>
      <c r="Z853" s="63"/>
      <c r="AA853" s="63"/>
      <c r="AB853" s="63"/>
      <c r="AC853" s="63"/>
      <c r="AD853" s="63"/>
      <c r="AE853" s="63"/>
      <c r="AF853" s="63"/>
      <c r="AG853" s="63"/>
      <c r="AH853" s="63"/>
      <c r="AI853" s="63"/>
      <c r="AJ853" s="63"/>
    </row>
    <row r="854">
      <c r="A854" s="186"/>
      <c r="B854" s="63"/>
      <c r="C854" s="63"/>
      <c r="D854" s="63"/>
      <c r="E854" s="63"/>
      <c r="F854" s="184"/>
      <c r="G854" s="184"/>
      <c r="H854" s="184"/>
      <c r="I854" s="184"/>
      <c r="J854" s="184"/>
      <c r="K854" s="69" t="str">
        <f>iferror(vlookup(E854,MasterClass!$C$2:$G988,5,false),"")</f>
        <v/>
      </c>
      <c r="L854" s="184"/>
      <c r="M854" s="184"/>
      <c r="N854" s="184"/>
      <c r="O854" s="63"/>
      <c r="P854" s="63"/>
      <c r="Q854" s="63"/>
      <c r="R854" s="63"/>
      <c r="S854" s="63"/>
      <c r="T854" s="63"/>
      <c r="U854" s="63"/>
      <c r="V854" s="63"/>
      <c r="W854" s="63"/>
      <c r="X854" s="63"/>
      <c r="Y854" s="63"/>
      <c r="Z854" s="63"/>
      <c r="AA854" s="63"/>
      <c r="AB854" s="63"/>
      <c r="AC854" s="63"/>
      <c r="AD854" s="63"/>
      <c r="AE854" s="63"/>
      <c r="AF854" s="63"/>
      <c r="AG854" s="63"/>
      <c r="AH854" s="63"/>
      <c r="AI854" s="63"/>
      <c r="AJ854" s="63"/>
    </row>
    <row r="855">
      <c r="A855" s="186"/>
      <c r="B855" s="63"/>
      <c r="C855" s="63"/>
      <c r="D855" s="63"/>
      <c r="E855" s="63"/>
      <c r="F855" s="184"/>
      <c r="G855" s="184"/>
      <c r="H855" s="184"/>
      <c r="I855" s="184"/>
      <c r="J855" s="184"/>
      <c r="K855" s="69" t="str">
        <f>iferror(vlookup(E855,MasterClass!$C$2:$G988,5,false),"")</f>
        <v/>
      </c>
      <c r="L855" s="184"/>
      <c r="M855" s="184"/>
      <c r="N855" s="184"/>
      <c r="O855" s="63"/>
      <c r="P855" s="63"/>
      <c r="Q855" s="63"/>
      <c r="R855" s="63"/>
      <c r="S855" s="63"/>
      <c r="T855" s="63"/>
      <c r="U855" s="63"/>
      <c r="V855" s="63"/>
      <c r="W855" s="63"/>
      <c r="X855" s="63"/>
      <c r="Y855" s="63"/>
      <c r="Z855" s="63"/>
      <c r="AA855" s="63"/>
      <c r="AB855" s="63"/>
      <c r="AC855" s="63"/>
      <c r="AD855" s="63"/>
      <c r="AE855" s="63"/>
      <c r="AF855" s="63"/>
      <c r="AG855" s="63"/>
      <c r="AH855" s="63"/>
      <c r="AI855" s="63"/>
      <c r="AJ855" s="63"/>
    </row>
    <row r="856">
      <c r="A856" s="186"/>
      <c r="B856" s="63"/>
      <c r="C856" s="63"/>
      <c r="D856" s="63"/>
      <c r="E856" s="63"/>
      <c r="F856" s="184"/>
      <c r="G856" s="184"/>
      <c r="H856" s="184"/>
      <c r="I856" s="184"/>
      <c r="J856" s="184"/>
      <c r="K856" s="69" t="str">
        <f>iferror(vlookup(E856,MasterClass!$C$2:$G988,5,false),"")</f>
        <v/>
      </c>
      <c r="L856" s="184"/>
      <c r="M856" s="184"/>
      <c r="N856" s="184"/>
      <c r="O856" s="63"/>
      <c r="P856" s="63"/>
      <c r="Q856" s="63"/>
      <c r="R856" s="63"/>
      <c r="S856" s="63"/>
      <c r="T856" s="63"/>
      <c r="U856" s="63"/>
      <c r="V856" s="63"/>
      <c r="W856" s="63"/>
      <c r="X856" s="63"/>
      <c r="Y856" s="63"/>
      <c r="Z856" s="63"/>
      <c r="AA856" s="63"/>
      <c r="AB856" s="63"/>
      <c r="AC856" s="63"/>
      <c r="AD856" s="63"/>
      <c r="AE856" s="63"/>
      <c r="AF856" s="63"/>
      <c r="AG856" s="63"/>
      <c r="AH856" s="63"/>
      <c r="AI856" s="63"/>
      <c r="AJ856" s="63"/>
    </row>
    <row r="857">
      <c r="A857" s="186"/>
      <c r="B857" s="63"/>
      <c r="C857" s="63"/>
      <c r="D857" s="63"/>
      <c r="E857" s="63"/>
      <c r="F857" s="184"/>
      <c r="G857" s="184"/>
      <c r="H857" s="184"/>
      <c r="I857" s="184"/>
      <c r="J857" s="184"/>
      <c r="K857" s="69" t="str">
        <f>iferror(vlookup(E857,MasterClass!$C$2:$G988,5,false),"")</f>
        <v/>
      </c>
      <c r="L857" s="184"/>
      <c r="M857" s="184"/>
      <c r="N857" s="184"/>
      <c r="O857" s="63"/>
      <c r="P857" s="63"/>
      <c r="Q857" s="63"/>
      <c r="R857" s="63"/>
      <c r="S857" s="63"/>
      <c r="T857" s="63"/>
      <c r="U857" s="63"/>
      <c r="V857" s="63"/>
      <c r="W857" s="63"/>
      <c r="X857" s="63"/>
      <c r="Y857" s="63"/>
      <c r="Z857" s="63"/>
      <c r="AA857" s="63"/>
      <c r="AB857" s="63"/>
      <c r="AC857" s="63"/>
      <c r="AD857" s="63"/>
      <c r="AE857" s="63"/>
      <c r="AF857" s="63"/>
      <c r="AG857" s="63"/>
      <c r="AH857" s="63"/>
      <c r="AI857" s="63"/>
      <c r="AJ857" s="63"/>
    </row>
    <row r="858">
      <c r="A858" s="186"/>
      <c r="B858" s="63"/>
      <c r="C858" s="63"/>
      <c r="D858" s="63"/>
      <c r="E858" s="63"/>
      <c r="F858" s="184"/>
      <c r="G858" s="184"/>
      <c r="H858" s="184"/>
      <c r="I858" s="184"/>
      <c r="J858" s="184"/>
      <c r="K858" s="69" t="str">
        <f>iferror(vlookup(E858,MasterClass!$C$2:$G988,5,false),"")</f>
        <v/>
      </c>
      <c r="L858" s="184"/>
      <c r="M858" s="184"/>
      <c r="N858" s="184"/>
      <c r="O858" s="63"/>
      <c r="P858" s="63"/>
      <c r="Q858" s="63"/>
      <c r="R858" s="63"/>
      <c r="S858" s="63"/>
      <c r="T858" s="63"/>
      <c r="U858" s="63"/>
      <c r="V858" s="63"/>
      <c r="W858" s="63"/>
      <c r="X858" s="63"/>
      <c r="Y858" s="63"/>
      <c r="Z858" s="63"/>
      <c r="AA858" s="63"/>
      <c r="AB858" s="63"/>
      <c r="AC858" s="63"/>
      <c r="AD858" s="63"/>
      <c r="AE858" s="63"/>
      <c r="AF858" s="63"/>
      <c r="AG858" s="63"/>
      <c r="AH858" s="63"/>
      <c r="AI858" s="63"/>
      <c r="AJ858" s="63"/>
    </row>
    <row r="859">
      <c r="A859" s="186"/>
      <c r="B859" s="63"/>
      <c r="C859" s="63"/>
      <c r="D859" s="63"/>
      <c r="E859" s="63"/>
      <c r="F859" s="184"/>
      <c r="G859" s="184"/>
      <c r="H859" s="184"/>
      <c r="I859" s="184"/>
      <c r="J859" s="184"/>
      <c r="K859" s="69" t="str">
        <f>iferror(vlookup(E859,MasterClass!$C$2:$G988,5,false),"")</f>
        <v/>
      </c>
      <c r="L859" s="184"/>
      <c r="M859" s="184"/>
      <c r="N859" s="184"/>
      <c r="O859" s="63"/>
      <c r="P859" s="63"/>
      <c r="Q859" s="63"/>
      <c r="R859" s="63"/>
      <c r="S859" s="63"/>
      <c r="T859" s="63"/>
      <c r="U859" s="63"/>
      <c r="V859" s="63"/>
      <c r="W859" s="63"/>
      <c r="X859" s="63"/>
      <c r="Y859" s="63"/>
      <c r="Z859" s="63"/>
      <c r="AA859" s="63"/>
      <c r="AB859" s="63"/>
      <c r="AC859" s="63"/>
      <c r="AD859" s="63"/>
      <c r="AE859" s="63"/>
      <c r="AF859" s="63"/>
      <c r="AG859" s="63"/>
      <c r="AH859" s="63"/>
      <c r="AI859" s="63"/>
      <c r="AJ859" s="63"/>
    </row>
    <row r="860">
      <c r="A860" s="186"/>
      <c r="B860" s="63"/>
      <c r="C860" s="63"/>
      <c r="D860" s="63"/>
      <c r="E860" s="63"/>
      <c r="F860" s="184"/>
      <c r="G860" s="184"/>
      <c r="H860" s="184"/>
      <c r="I860" s="184"/>
      <c r="J860" s="184"/>
      <c r="K860" s="69" t="str">
        <f>iferror(vlookup(E860,MasterClass!$C$2:$G988,5,false),"")</f>
        <v/>
      </c>
      <c r="L860" s="184"/>
      <c r="M860" s="184"/>
      <c r="N860" s="184"/>
      <c r="O860" s="63"/>
      <c r="P860" s="63"/>
      <c r="Q860" s="63"/>
      <c r="R860" s="63"/>
      <c r="S860" s="63"/>
      <c r="T860" s="63"/>
      <c r="U860" s="63"/>
      <c r="V860" s="63"/>
      <c r="W860" s="63"/>
      <c r="X860" s="63"/>
      <c r="Y860" s="63"/>
      <c r="Z860" s="63"/>
      <c r="AA860" s="63"/>
      <c r="AB860" s="63"/>
      <c r="AC860" s="63"/>
      <c r="AD860" s="63"/>
      <c r="AE860" s="63"/>
      <c r="AF860" s="63"/>
      <c r="AG860" s="63"/>
      <c r="AH860" s="63"/>
      <c r="AI860" s="63"/>
      <c r="AJ860" s="63"/>
    </row>
    <row r="861">
      <c r="A861" s="186"/>
      <c r="B861" s="63"/>
      <c r="C861" s="63"/>
      <c r="D861" s="63"/>
      <c r="E861" s="63"/>
      <c r="F861" s="184"/>
      <c r="G861" s="184"/>
      <c r="H861" s="184"/>
      <c r="I861" s="184"/>
      <c r="J861" s="184"/>
      <c r="K861" s="69" t="str">
        <f>iferror(vlookup(E861,MasterClass!$C$2:$G988,5,false),"")</f>
        <v/>
      </c>
      <c r="L861" s="184"/>
      <c r="M861" s="184"/>
      <c r="N861" s="184"/>
      <c r="O861" s="63"/>
      <c r="P861" s="63"/>
      <c r="Q861" s="63"/>
      <c r="R861" s="63"/>
      <c r="S861" s="63"/>
      <c r="T861" s="63"/>
      <c r="U861" s="63"/>
      <c r="V861" s="63"/>
      <c r="W861" s="63"/>
      <c r="X861" s="63"/>
      <c r="Y861" s="63"/>
      <c r="Z861" s="63"/>
      <c r="AA861" s="63"/>
      <c r="AB861" s="63"/>
      <c r="AC861" s="63"/>
      <c r="AD861" s="63"/>
      <c r="AE861" s="63"/>
      <c r="AF861" s="63"/>
      <c r="AG861" s="63"/>
      <c r="AH861" s="63"/>
      <c r="AI861" s="63"/>
      <c r="AJ861" s="63"/>
    </row>
    <row r="862">
      <c r="A862" s="186"/>
      <c r="B862" s="63"/>
      <c r="C862" s="63"/>
      <c r="D862" s="63"/>
      <c r="E862" s="63"/>
      <c r="F862" s="184"/>
      <c r="G862" s="184"/>
      <c r="H862" s="184"/>
      <c r="I862" s="184"/>
      <c r="J862" s="184"/>
      <c r="K862" s="69" t="str">
        <f>iferror(vlookup(E862,MasterClass!$C$2:$G988,5,false),"")</f>
        <v/>
      </c>
      <c r="L862" s="184"/>
      <c r="M862" s="184"/>
      <c r="N862" s="184"/>
      <c r="O862" s="63"/>
      <c r="P862" s="63"/>
      <c r="Q862" s="63"/>
      <c r="R862" s="63"/>
      <c r="S862" s="63"/>
      <c r="T862" s="63"/>
      <c r="U862" s="63"/>
      <c r="V862" s="63"/>
      <c r="W862" s="63"/>
      <c r="X862" s="63"/>
      <c r="Y862" s="63"/>
      <c r="Z862" s="63"/>
      <c r="AA862" s="63"/>
      <c r="AB862" s="63"/>
      <c r="AC862" s="63"/>
      <c r="AD862" s="63"/>
      <c r="AE862" s="63"/>
      <c r="AF862" s="63"/>
      <c r="AG862" s="63"/>
      <c r="AH862" s="63"/>
      <c r="AI862" s="63"/>
      <c r="AJ862" s="63"/>
    </row>
    <row r="863">
      <c r="A863" s="186"/>
      <c r="B863" s="63"/>
      <c r="C863" s="63"/>
      <c r="D863" s="63"/>
      <c r="E863" s="63"/>
      <c r="F863" s="184"/>
      <c r="G863" s="184"/>
      <c r="H863" s="184"/>
      <c r="I863" s="184"/>
      <c r="J863" s="184"/>
      <c r="K863" s="69" t="str">
        <f>iferror(vlookup(E863,MasterClass!$C$2:$G988,5,false),"")</f>
        <v/>
      </c>
      <c r="L863" s="184"/>
      <c r="M863" s="184"/>
      <c r="N863" s="184"/>
      <c r="O863" s="63"/>
      <c r="P863" s="63"/>
      <c r="Q863" s="63"/>
      <c r="R863" s="63"/>
      <c r="S863" s="63"/>
      <c r="T863" s="63"/>
      <c r="U863" s="63"/>
      <c r="V863" s="63"/>
      <c r="W863" s="63"/>
      <c r="X863" s="63"/>
      <c r="Y863" s="63"/>
      <c r="Z863" s="63"/>
      <c r="AA863" s="63"/>
      <c r="AB863" s="63"/>
      <c r="AC863" s="63"/>
      <c r="AD863" s="63"/>
      <c r="AE863" s="63"/>
      <c r="AF863" s="63"/>
      <c r="AG863" s="63"/>
      <c r="AH863" s="63"/>
      <c r="AI863" s="63"/>
      <c r="AJ863" s="63"/>
    </row>
    <row r="864">
      <c r="A864" s="186"/>
      <c r="B864" s="63"/>
      <c r="C864" s="63"/>
      <c r="D864" s="63"/>
      <c r="E864" s="63"/>
      <c r="F864" s="184"/>
      <c r="G864" s="184"/>
      <c r="H864" s="184"/>
      <c r="I864" s="184"/>
      <c r="J864" s="184"/>
      <c r="K864" s="69" t="str">
        <f>iferror(vlookup(E864,MasterClass!$C$2:$G988,5,false),"")</f>
        <v/>
      </c>
      <c r="L864" s="184"/>
      <c r="M864" s="184"/>
      <c r="N864" s="184"/>
      <c r="O864" s="63"/>
      <c r="P864" s="63"/>
      <c r="Q864" s="63"/>
      <c r="R864" s="63"/>
      <c r="S864" s="63"/>
      <c r="T864" s="63"/>
      <c r="U864" s="63"/>
      <c r="V864" s="63"/>
      <c r="W864" s="63"/>
      <c r="X864" s="63"/>
      <c r="Y864" s="63"/>
      <c r="Z864" s="63"/>
      <c r="AA864" s="63"/>
      <c r="AB864" s="63"/>
      <c r="AC864" s="63"/>
      <c r="AD864" s="63"/>
      <c r="AE864" s="63"/>
      <c r="AF864" s="63"/>
      <c r="AG864" s="63"/>
      <c r="AH864" s="63"/>
      <c r="AI864" s="63"/>
      <c r="AJ864" s="63"/>
    </row>
    <row r="865">
      <c r="A865" s="186"/>
      <c r="B865" s="63"/>
      <c r="C865" s="63"/>
      <c r="D865" s="63"/>
      <c r="E865" s="63"/>
      <c r="F865" s="184"/>
      <c r="G865" s="184"/>
      <c r="H865" s="184"/>
      <c r="I865" s="184"/>
      <c r="J865" s="184"/>
      <c r="K865" s="69" t="str">
        <f>iferror(vlookup(E865,MasterClass!$C$2:$G988,5,false),"")</f>
        <v/>
      </c>
      <c r="L865" s="184"/>
      <c r="M865" s="184"/>
      <c r="N865" s="184"/>
      <c r="O865" s="63"/>
      <c r="P865" s="63"/>
      <c r="Q865" s="63"/>
      <c r="R865" s="63"/>
      <c r="S865" s="63"/>
      <c r="T865" s="63"/>
      <c r="U865" s="63"/>
      <c r="V865" s="63"/>
      <c r="W865" s="63"/>
      <c r="X865" s="63"/>
      <c r="Y865" s="63"/>
      <c r="Z865" s="63"/>
      <c r="AA865" s="63"/>
      <c r="AB865" s="63"/>
      <c r="AC865" s="63"/>
      <c r="AD865" s="63"/>
      <c r="AE865" s="63"/>
      <c r="AF865" s="63"/>
      <c r="AG865" s="63"/>
      <c r="AH865" s="63"/>
      <c r="AI865" s="63"/>
      <c r="AJ865" s="63"/>
    </row>
    <row r="866">
      <c r="A866" s="186"/>
      <c r="B866" s="63"/>
      <c r="C866" s="63"/>
      <c r="D866" s="63"/>
      <c r="E866" s="63"/>
      <c r="F866" s="184"/>
      <c r="G866" s="184"/>
      <c r="H866" s="184"/>
      <c r="I866" s="184"/>
      <c r="J866" s="184"/>
      <c r="K866" s="69" t="str">
        <f>iferror(vlookup(E866,MasterClass!$C$2:$G988,5,false),"")</f>
        <v/>
      </c>
      <c r="L866" s="184"/>
      <c r="M866" s="184"/>
      <c r="N866" s="184"/>
      <c r="O866" s="63"/>
      <c r="P866" s="63"/>
      <c r="Q866" s="63"/>
      <c r="R866" s="63"/>
      <c r="S866" s="63"/>
      <c r="T866" s="63"/>
      <c r="U866" s="63"/>
      <c r="V866" s="63"/>
      <c r="W866" s="63"/>
      <c r="X866" s="63"/>
      <c r="Y866" s="63"/>
      <c r="Z866" s="63"/>
      <c r="AA866" s="63"/>
      <c r="AB866" s="63"/>
      <c r="AC866" s="63"/>
      <c r="AD866" s="63"/>
      <c r="AE866" s="63"/>
      <c r="AF866" s="63"/>
      <c r="AG866" s="63"/>
      <c r="AH866" s="63"/>
      <c r="AI866" s="63"/>
      <c r="AJ866" s="63"/>
    </row>
    <row r="867">
      <c r="A867" s="186"/>
      <c r="B867" s="63"/>
      <c r="C867" s="63"/>
      <c r="D867" s="63"/>
      <c r="E867" s="63"/>
      <c r="F867" s="184"/>
      <c r="G867" s="184"/>
      <c r="H867" s="184"/>
      <c r="I867" s="184"/>
      <c r="J867" s="184"/>
      <c r="K867" s="69" t="str">
        <f>iferror(vlookup(E867,MasterClass!$C$2:$G988,5,false),"")</f>
        <v/>
      </c>
      <c r="L867" s="184"/>
      <c r="M867" s="184"/>
      <c r="N867" s="184"/>
      <c r="O867" s="63"/>
      <c r="P867" s="63"/>
      <c r="Q867" s="63"/>
      <c r="R867" s="63"/>
      <c r="S867" s="63"/>
      <c r="T867" s="63"/>
      <c r="U867" s="63"/>
      <c r="V867" s="63"/>
      <c r="W867" s="63"/>
      <c r="X867" s="63"/>
      <c r="Y867" s="63"/>
      <c r="Z867" s="63"/>
      <c r="AA867" s="63"/>
      <c r="AB867" s="63"/>
      <c r="AC867" s="63"/>
      <c r="AD867" s="63"/>
      <c r="AE867" s="63"/>
      <c r="AF867" s="63"/>
      <c r="AG867" s="63"/>
      <c r="AH867" s="63"/>
      <c r="AI867" s="63"/>
      <c r="AJ867" s="63"/>
    </row>
    <row r="868">
      <c r="A868" s="186"/>
      <c r="B868" s="63"/>
      <c r="C868" s="63"/>
      <c r="D868" s="63"/>
      <c r="E868" s="63"/>
      <c r="F868" s="184"/>
      <c r="G868" s="184"/>
      <c r="H868" s="184"/>
      <c r="I868" s="184"/>
      <c r="J868" s="184"/>
      <c r="K868" s="69" t="str">
        <f>iferror(vlookup(E868,MasterClass!$C$2:$G988,5,false),"")</f>
        <v/>
      </c>
      <c r="L868" s="184"/>
      <c r="M868" s="184"/>
      <c r="N868" s="184"/>
      <c r="O868" s="63"/>
      <c r="P868" s="63"/>
      <c r="Q868" s="63"/>
      <c r="R868" s="63"/>
      <c r="S868" s="63"/>
      <c r="T868" s="63"/>
      <c r="U868" s="63"/>
      <c r="V868" s="63"/>
      <c r="W868" s="63"/>
      <c r="X868" s="63"/>
      <c r="Y868" s="63"/>
      <c r="Z868" s="63"/>
      <c r="AA868" s="63"/>
      <c r="AB868" s="63"/>
      <c r="AC868" s="63"/>
      <c r="AD868" s="63"/>
      <c r="AE868" s="63"/>
      <c r="AF868" s="63"/>
      <c r="AG868" s="63"/>
      <c r="AH868" s="63"/>
      <c r="AI868" s="63"/>
      <c r="AJ868" s="63"/>
    </row>
    <row r="869">
      <c r="A869" s="186"/>
      <c r="B869" s="63"/>
      <c r="C869" s="63"/>
      <c r="D869" s="63"/>
      <c r="E869" s="63"/>
      <c r="F869" s="184"/>
      <c r="G869" s="184"/>
      <c r="H869" s="184"/>
      <c r="I869" s="184"/>
      <c r="J869" s="184"/>
      <c r="K869" s="69" t="str">
        <f>iferror(vlookup(E869,MasterClass!$C$2:$G988,5,false),"")</f>
        <v/>
      </c>
      <c r="L869" s="184"/>
      <c r="M869" s="184"/>
      <c r="N869" s="184"/>
      <c r="O869" s="63"/>
      <c r="P869" s="63"/>
      <c r="Q869" s="63"/>
      <c r="R869" s="63"/>
      <c r="S869" s="63"/>
      <c r="T869" s="63"/>
      <c r="U869" s="63"/>
      <c r="V869" s="63"/>
      <c r="W869" s="63"/>
      <c r="X869" s="63"/>
      <c r="Y869" s="63"/>
      <c r="Z869" s="63"/>
      <c r="AA869" s="63"/>
      <c r="AB869" s="63"/>
      <c r="AC869" s="63"/>
      <c r="AD869" s="63"/>
      <c r="AE869" s="63"/>
      <c r="AF869" s="63"/>
      <c r="AG869" s="63"/>
      <c r="AH869" s="63"/>
      <c r="AI869" s="63"/>
      <c r="AJ869" s="63"/>
    </row>
    <row r="870">
      <c r="A870" s="186"/>
      <c r="B870" s="63"/>
      <c r="C870" s="63"/>
      <c r="D870" s="63"/>
      <c r="E870" s="63"/>
      <c r="F870" s="184"/>
      <c r="G870" s="184"/>
      <c r="H870" s="184"/>
      <c r="I870" s="184"/>
      <c r="J870" s="184"/>
      <c r="K870" s="69" t="str">
        <f>iferror(vlookup(E870,MasterClass!$C$2:$G988,5,false),"")</f>
        <v/>
      </c>
      <c r="L870" s="184"/>
      <c r="M870" s="184"/>
      <c r="N870" s="184"/>
      <c r="O870" s="63"/>
      <c r="P870" s="63"/>
      <c r="Q870" s="63"/>
      <c r="R870" s="63"/>
      <c r="S870" s="63"/>
      <c r="T870" s="63"/>
      <c r="U870" s="63"/>
      <c r="V870" s="63"/>
      <c r="W870" s="63"/>
      <c r="X870" s="63"/>
      <c r="Y870" s="63"/>
      <c r="Z870" s="63"/>
      <c r="AA870" s="63"/>
      <c r="AB870" s="63"/>
      <c r="AC870" s="63"/>
      <c r="AD870" s="63"/>
      <c r="AE870" s="63"/>
      <c r="AF870" s="63"/>
      <c r="AG870" s="63"/>
      <c r="AH870" s="63"/>
      <c r="AI870" s="63"/>
      <c r="AJ870" s="63"/>
    </row>
    <row r="871">
      <c r="A871" s="186"/>
      <c r="B871" s="63"/>
      <c r="C871" s="63"/>
      <c r="D871" s="63"/>
      <c r="E871" s="63"/>
      <c r="F871" s="184"/>
      <c r="G871" s="184"/>
      <c r="H871" s="184"/>
      <c r="I871" s="184"/>
      <c r="J871" s="184"/>
      <c r="K871" s="69" t="str">
        <f>iferror(vlookup(E871,MasterClass!$C$2:$G988,5,false),"")</f>
        <v/>
      </c>
      <c r="L871" s="184"/>
      <c r="M871" s="184"/>
      <c r="N871" s="184"/>
      <c r="O871" s="63"/>
      <c r="P871" s="63"/>
      <c r="Q871" s="63"/>
      <c r="R871" s="63"/>
      <c r="S871" s="63"/>
      <c r="T871" s="63"/>
      <c r="U871" s="63"/>
      <c r="V871" s="63"/>
      <c r="W871" s="63"/>
      <c r="X871" s="63"/>
      <c r="Y871" s="63"/>
      <c r="Z871" s="63"/>
      <c r="AA871" s="63"/>
      <c r="AB871" s="63"/>
      <c r="AC871" s="63"/>
      <c r="AD871" s="63"/>
      <c r="AE871" s="63"/>
      <c r="AF871" s="63"/>
      <c r="AG871" s="63"/>
      <c r="AH871" s="63"/>
      <c r="AI871" s="63"/>
      <c r="AJ871" s="63"/>
    </row>
    <row r="872">
      <c r="A872" s="186"/>
      <c r="B872" s="63"/>
      <c r="C872" s="63"/>
      <c r="D872" s="63"/>
      <c r="E872" s="63"/>
      <c r="F872" s="184"/>
      <c r="G872" s="184"/>
      <c r="H872" s="184"/>
      <c r="I872" s="184"/>
      <c r="J872" s="184"/>
      <c r="K872" s="69" t="str">
        <f>iferror(vlookup(E872,MasterClass!$C$2:$G988,5,false),"")</f>
        <v/>
      </c>
      <c r="L872" s="184"/>
      <c r="M872" s="184"/>
      <c r="N872" s="184"/>
      <c r="O872" s="63"/>
      <c r="P872" s="63"/>
      <c r="Q872" s="63"/>
      <c r="R872" s="63"/>
      <c r="S872" s="63"/>
      <c r="T872" s="63"/>
      <c r="U872" s="63"/>
      <c r="V872" s="63"/>
      <c r="W872" s="63"/>
      <c r="X872" s="63"/>
      <c r="Y872" s="63"/>
      <c r="Z872" s="63"/>
      <c r="AA872" s="63"/>
      <c r="AB872" s="63"/>
      <c r="AC872" s="63"/>
      <c r="AD872" s="63"/>
      <c r="AE872" s="63"/>
      <c r="AF872" s="63"/>
      <c r="AG872" s="63"/>
      <c r="AH872" s="63"/>
      <c r="AI872" s="63"/>
      <c r="AJ872" s="63"/>
    </row>
    <row r="873">
      <c r="A873" s="186"/>
      <c r="B873" s="63"/>
      <c r="C873" s="63"/>
      <c r="D873" s="63"/>
      <c r="E873" s="63"/>
      <c r="F873" s="184"/>
      <c r="G873" s="184"/>
      <c r="H873" s="184"/>
      <c r="I873" s="184"/>
      <c r="J873" s="184"/>
      <c r="K873" s="69" t="str">
        <f>iferror(vlookup(E873,MasterClass!$C$2:$G988,5,false),"")</f>
        <v/>
      </c>
      <c r="L873" s="184"/>
      <c r="M873" s="184"/>
      <c r="N873" s="184"/>
      <c r="O873" s="63"/>
      <c r="P873" s="63"/>
      <c r="Q873" s="63"/>
      <c r="R873" s="63"/>
      <c r="S873" s="63"/>
      <c r="T873" s="63"/>
      <c r="U873" s="63"/>
      <c r="V873" s="63"/>
      <c r="W873" s="63"/>
      <c r="X873" s="63"/>
      <c r="Y873" s="63"/>
      <c r="Z873" s="63"/>
      <c r="AA873" s="63"/>
      <c r="AB873" s="63"/>
      <c r="AC873" s="63"/>
      <c r="AD873" s="63"/>
      <c r="AE873" s="63"/>
      <c r="AF873" s="63"/>
      <c r="AG873" s="63"/>
      <c r="AH873" s="63"/>
      <c r="AI873" s="63"/>
      <c r="AJ873" s="63"/>
    </row>
    <row r="874">
      <c r="A874" s="186"/>
      <c r="B874" s="63"/>
      <c r="C874" s="63"/>
      <c r="D874" s="63"/>
      <c r="E874" s="63"/>
      <c r="F874" s="184"/>
      <c r="G874" s="184"/>
      <c r="H874" s="184"/>
      <c r="I874" s="184"/>
      <c r="J874" s="184"/>
      <c r="K874" s="69" t="str">
        <f>iferror(vlookup(E874,MasterClass!$C$2:$G988,5,false),"")</f>
        <v/>
      </c>
      <c r="L874" s="184"/>
      <c r="M874" s="184"/>
      <c r="N874" s="184"/>
      <c r="O874" s="63"/>
      <c r="P874" s="63"/>
      <c r="Q874" s="63"/>
      <c r="R874" s="63"/>
      <c r="S874" s="63"/>
      <c r="T874" s="63"/>
      <c r="U874" s="63"/>
      <c r="V874" s="63"/>
      <c r="W874" s="63"/>
      <c r="X874" s="63"/>
      <c r="Y874" s="63"/>
      <c r="Z874" s="63"/>
      <c r="AA874" s="63"/>
      <c r="AB874" s="63"/>
      <c r="AC874" s="63"/>
      <c r="AD874" s="63"/>
      <c r="AE874" s="63"/>
      <c r="AF874" s="63"/>
      <c r="AG874" s="63"/>
      <c r="AH874" s="63"/>
      <c r="AI874" s="63"/>
      <c r="AJ874" s="63"/>
    </row>
    <row r="875">
      <c r="A875" s="186"/>
      <c r="B875" s="63"/>
      <c r="C875" s="63"/>
      <c r="D875" s="63"/>
      <c r="E875" s="63"/>
      <c r="F875" s="184"/>
      <c r="G875" s="184"/>
      <c r="H875" s="184"/>
      <c r="I875" s="184"/>
      <c r="J875" s="184"/>
      <c r="K875" s="69" t="str">
        <f>iferror(vlookup(E875,MasterClass!$C$2:$G988,5,false),"")</f>
        <v/>
      </c>
      <c r="L875" s="184"/>
      <c r="M875" s="184"/>
      <c r="N875" s="184"/>
      <c r="O875" s="63"/>
      <c r="P875" s="63"/>
      <c r="Q875" s="63"/>
      <c r="R875" s="63"/>
      <c r="S875" s="63"/>
      <c r="T875" s="63"/>
      <c r="U875" s="63"/>
      <c r="V875" s="63"/>
      <c r="W875" s="63"/>
      <c r="X875" s="63"/>
      <c r="Y875" s="63"/>
      <c r="Z875" s="63"/>
      <c r="AA875" s="63"/>
      <c r="AB875" s="63"/>
      <c r="AC875" s="63"/>
      <c r="AD875" s="63"/>
      <c r="AE875" s="63"/>
      <c r="AF875" s="63"/>
      <c r="AG875" s="63"/>
      <c r="AH875" s="63"/>
      <c r="AI875" s="63"/>
      <c r="AJ875" s="63"/>
    </row>
    <row r="876">
      <c r="A876" s="186"/>
      <c r="B876" s="63"/>
      <c r="C876" s="63"/>
      <c r="D876" s="63"/>
      <c r="E876" s="63"/>
      <c r="F876" s="184"/>
      <c r="G876" s="184"/>
      <c r="H876" s="184"/>
      <c r="I876" s="184"/>
      <c r="J876" s="184"/>
      <c r="K876" s="69" t="str">
        <f>iferror(vlookup(E876,MasterClass!$C$2:$G988,5,false),"")</f>
        <v/>
      </c>
      <c r="L876" s="184"/>
      <c r="M876" s="184"/>
      <c r="N876" s="184"/>
      <c r="O876" s="63"/>
      <c r="P876" s="63"/>
      <c r="Q876" s="63"/>
      <c r="R876" s="63"/>
      <c r="S876" s="63"/>
      <c r="T876" s="63"/>
      <c r="U876" s="63"/>
      <c r="V876" s="63"/>
      <c r="W876" s="63"/>
      <c r="X876" s="63"/>
      <c r="Y876" s="63"/>
      <c r="Z876" s="63"/>
      <c r="AA876" s="63"/>
      <c r="AB876" s="63"/>
      <c r="AC876" s="63"/>
      <c r="AD876" s="63"/>
      <c r="AE876" s="63"/>
      <c r="AF876" s="63"/>
      <c r="AG876" s="63"/>
      <c r="AH876" s="63"/>
      <c r="AI876" s="63"/>
      <c r="AJ876" s="63"/>
    </row>
    <row r="877">
      <c r="A877" s="186"/>
      <c r="B877" s="63"/>
      <c r="C877" s="63"/>
      <c r="D877" s="63"/>
      <c r="E877" s="63"/>
      <c r="F877" s="184"/>
      <c r="G877" s="184"/>
      <c r="H877" s="184"/>
      <c r="I877" s="184"/>
      <c r="J877" s="184"/>
      <c r="K877" s="69" t="str">
        <f>iferror(vlookup(E877,MasterClass!$C$2:$G988,5,false),"")</f>
        <v/>
      </c>
      <c r="L877" s="184"/>
      <c r="M877" s="184"/>
      <c r="N877" s="184"/>
      <c r="O877" s="63"/>
      <c r="P877" s="63"/>
      <c r="Q877" s="63"/>
      <c r="R877" s="63"/>
      <c r="S877" s="63"/>
      <c r="T877" s="63"/>
      <c r="U877" s="63"/>
      <c r="V877" s="63"/>
      <c r="W877" s="63"/>
      <c r="X877" s="63"/>
      <c r="Y877" s="63"/>
      <c r="Z877" s="63"/>
      <c r="AA877" s="63"/>
      <c r="AB877" s="63"/>
      <c r="AC877" s="63"/>
      <c r="AD877" s="63"/>
      <c r="AE877" s="63"/>
      <c r="AF877" s="63"/>
      <c r="AG877" s="63"/>
      <c r="AH877" s="63"/>
      <c r="AI877" s="63"/>
      <c r="AJ877" s="63"/>
    </row>
    <row r="878">
      <c r="A878" s="186"/>
      <c r="B878" s="63"/>
      <c r="C878" s="63"/>
      <c r="D878" s="63"/>
      <c r="E878" s="63"/>
      <c r="F878" s="184"/>
      <c r="G878" s="184"/>
      <c r="H878" s="184"/>
      <c r="I878" s="184"/>
      <c r="J878" s="184"/>
      <c r="K878" s="69" t="str">
        <f>iferror(vlookup(E878,MasterClass!$C$2:$G988,5,false),"")</f>
        <v/>
      </c>
      <c r="L878" s="184"/>
      <c r="M878" s="184"/>
      <c r="N878" s="184"/>
      <c r="O878" s="63"/>
      <c r="P878" s="63"/>
      <c r="Q878" s="63"/>
      <c r="R878" s="63"/>
      <c r="S878" s="63"/>
      <c r="T878" s="63"/>
      <c r="U878" s="63"/>
      <c r="V878" s="63"/>
      <c r="W878" s="63"/>
      <c r="X878" s="63"/>
      <c r="Y878" s="63"/>
      <c r="Z878" s="63"/>
      <c r="AA878" s="63"/>
      <c r="AB878" s="63"/>
      <c r="AC878" s="63"/>
      <c r="AD878" s="63"/>
      <c r="AE878" s="63"/>
      <c r="AF878" s="63"/>
      <c r="AG878" s="63"/>
      <c r="AH878" s="63"/>
      <c r="AI878" s="63"/>
      <c r="AJ878" s="63"/>
    </row>
    <row r="879">
      <c r="A879" s="186"/>
      <c r="B879" s="63"/>
      <c r="C879" s="63"/>
      <c r="D879" s="63"/>
      <c r="E879" s="63"/>
      <c r="F879" s="184"/>
      <c r="G879" s="184"/>
      <c r="H879" s="184"/>
      <c r="I879" s="184"/>
      <c r="J879" s="184"/>
      <c r="K879" s="69" t="str">
        <f>iferror(vlookup(E879,MasterClass!$C$2:$G988,5,false),"")</f>
        <v/>
      </c>
      <c r="L879" s="184"/>
      <c r="M879" s="184"/>
      <c r="N879" s="184"/>
      <c r="O879" s="63"/>
      <c r="P879" s="63"/>
      <c r="Q879" s="63"/>
      <c r="R879" s="63"/>
      <c r="S879" s="63"/>
      <c r="T879" s="63"/>
      <c r="U879" s="63"/>
      <c r="V879" s="63"/>
      <c r="W879" s="63"/>
      <c r="X879" s="63"/>
      <c r="Y879" s="63"/>
      <c r="Z879" s="63"/>
      <c r="AA879" s="63"/>
      <c r="AB879" s="63"/>
      <c r="AC879" s="63"/>
      <c r="AD879" s="63"/>
      <c r="AE879" s="63"/>
      <c r="AF879" s="63"/>
      <c r="AG879" s="63"/>
      <c r="AH879" s="63"/>
      <c r="AI879" s="63"/>
      <c r="AJ879" s="63"/>
    </row>
    <row r="880">
      <c r="A880" s="186"/>
      <c r="B880" s="63"/>
      <c r="C880" s="63"/>
      <c r="D880" s="63"/>
      <c r="E880" s="63"/>
      <c r="F880" s="184"/>
      <c r="G880" s="184"/>
      <c r="H880" s="184"/>
      <c r="I880" s="184"/>
      <c r="J880" s="184"/>
      <c r="K880" s="69" t="str">
        <f>iferror(vlookup(E880,MasterClass!$C$2:$G988,5,false),"")</f>
        <v/>
      </c>
      <c r="L880" s="184"/>
      <c r="M880" s="184"/>
      <c r="N880" s="184"/>
      <c r="O880" s="63"/>
      <c r="P880" s="63"/>
      <c r="Q880" s="63"/>
      <c r="R880" s="63"/>
      <c r="S880" s="63"/>
      <c r="T880" s="63"/>
      <c r="U880" s="63"/>
      <c r="V880" s="63"/>
      <c r="W880" s="63"/>
      <c r="X880" s="63"/>
      <c r="Y880" s="63"/>
      <c r="Z880" s="63"/>
      <c r="AA880" s="63"/>
      <c r="AB880" s="63"/>
      <c r="AC880" s="63"/>
      <c r="AD880" s="63"/>
      <c r="AE880" s="63"/>
      <c r="AF880" s="63"/>
      <c r="AG880" s="63"/>
      <c r="AH880" s="63"/>
      <c r="AI880" s="63"/>
      <c r="AJ880" s="63"/>
    </row>
    <row r="881">
      <c r="A881" s="186"/>
      <c r="B881" s="63"/>
      <c r="C881" s="63"/>
      <c r="D881" s="63"/>
      <c r="E881" s="63"/>
      <c r="F881" s="184"/>
      <c r="G881" s="184"/>
      <c r="H881" s="184"/>
      <c r="I881" s="184"/>
      <c r="J881" s="184"/>
      <c r="K881" s="69" t="str">
        <f>iferror(vlookup(E881,MasterClass!$C$2:$G988,5,false),"")</f>
        <v/>
      </c>
      <c r="L881" s="184"/>
      <c r="M881" s="184"/>
      <c r="N881" s="184"/>
      <c r="O881" s="63"/>
      <c r="P881" s="63"/>
      <c r="Q881" s="63"/>
      <c r="R881" s="63"/>
      <c r="S881" s="63"/>
      <c r="T881" s="63"/>
      <c r="U881" s="63"/>
      <c r="V881" s="63"/>
      <c r="W881" s="63"/>
      <c r="X881" s="63"/>
      <c r="Y881" s="63"/>
      <c r="Z881" s="63"/>
      <c r="AA881" s="63"/>
      <c r="AB881" s="63"/>
      <c r="AC881" s="63"/>
      <c r="AD881" s="63"/>
      <c r="AE881" s="63"/>
      <c r="AF881" s="63"/>
      <c r="AG881" s="63"/>
      <c r="AH881" s="63"/>
      <c r="AI881" s="63"/>
      <c r="AJ881" s="63"/>
    </row>
    <row r="882">
      <c r="A882" s="186"/>
      <c r="B882" s="63"/>
      <c r="C882" s="63"/>
      <c r="D882" s="63"/>
      <c r="E882" s="63"/>
      <c r="F882" s="184"/>
      <c r="G882" s="184"/>
      <c r="H882" s="184"/>
      <c r="I882" s="184"/>
      <c r="J882" s="184"/>
      <c r="K882" s="69" t="str">
        <f>iferror(vlookup(E882,MasterClass!$C$2:$G988,5,false),"")</f>
        <v/>
      </c>
      <c r="L882" s="184"/>
      <c r="M882" s="184"/>
      <c r="N882" s="184"/>
      <c r="O882" s="63"/>
      <c r="P882" s="63"/>
      <c r="Q882" s="63"/>
      <c r="R882" s="63"/>
      <c r="S882" s="63"/>
      <c r="T882" s="63"/>
      <c r="U882" s="63"/>
      <c r="V882" s="63"/>
      <c r="W882" s="63"/>
      <c r="X882" s="63"/>
      <c r="Y882" s="63"/>
      <c r="Z882" s="63"/>
      <c r="AA882" s="63"/>
      <c r="AB882" s="63"/>
      <c r="AC882" s="63"/>
      <c r="AD882" s="63"/>
      <c r="AE882" s="63"/>
      <c r="AF882" s="63"/>
      <c r="AG882" s="63"/>
      <c r="AH882" s="63"/>
      <c r="AI882" s="63"/>
      <c r="AJ882" s="63"/>
    </row>
    <row r="883">
      <c r="A883" s="186"/>
      <c r="B883" s="63"/>
      <c r="C883" s="63"/>
      <c r="D883" s="63"/>
      <c r="E883" s="63"/>
      <c r="F883" s="184"/>
      <c r="G883" s="184"/>
      <c r="H883" s="184"/>
      <c r="I883" s="184"/>
      <c r="J883" s="184"/>
      <c r="K883" s="69" t="str">
        <f>iferror(vlookup(E883,MasterClass!$C$2:$G988,5,false),"")</f>
        <v/>
      </c>
      <c r="L883" s="184"/>
      <c r="M883" s="184"/>
      <c r="N883" s="184"/>
      <c r="O883" s="63"/>
      <c r="P883" s="63"/>
      <c r="Q883" s="63"/>
      <c r="R883" s="63"/>
      <c r="S883" s="63"/>
      <c r="T883" s="63"/>
      <c r="U883" s="63"/>
      <c r="V883" s="63"/>
      <c r="W883" s="63"/>
      <c r="X883" s="63"/>
      <c r="Y883" s="63"/>
      <c r="Z883" s="63"/>
      <c r="AA883" s="63"/>
      <c r="AB883" s="63"/>
      <c r="AC883" s="63"/>
      <c r="AD883" s="63"/>
      <c r="AE883" s="63"/>
      <c r="AF883" s="63"/>
      <c r="AG883" s="63"/>
      <c r="AH883" s="63"/>
      <c r="AI883" s="63"/>
      <c r="AJ883" s="63"/>
    </row>
    <row r="884">
      <c r="A884" s="186"/>
      <c r="B884" s="63"/>
      <c r="C884" s="63"/>
      <c r="D884" s="63"/>
      <c r="E884" s="63"/>
      <c r="F884" s="184"/>
      <c r="G884" s="184"/>
      <c r="H884" s="184"/>
      <c r="I884" s="184"/>
      <c r="J884" s="184"/>
      <c r="K884" s="69" t="str">
        <f>iferror(vlookup(E884,MasterClass!$C$2:$G988,5,false),"")</f>
        <v/>
      </c>
      <c r="L884" s="184"/>
      <c r="M884" s="184"/>
      <c r="N884" s="184"/>
      <c r="O884" s="63"/>
      <c r="P884" s="63"/>
      <c r="Q884" s="63"/>
      <c r="R884" s="63"/>
      <c r="S884" s="63"/>
      <c r="T884" s="63"/>
      <c r="U884" s="63"/>
      <c r="V884" s="63"/>
      <c r="W884" s="63"/>
      <c r="X884" s="63"/>
      <c r="Y884" s="63"/>
      <c r="Z884" s="63"/>
      <c r="AA884" s="63"/>
      <c r="AB884" s="63"/>
      <c r="AC884" s="63"/>
      <c r="AD884" s="63"/>
      <c r="AE884" s="63"/>
      <c r="AF884" s="63"/>
      <c r="AG884" s="63"/>
      <c r="AH884" s="63"/>
      <c r="AI884" s="63"/>
      <c r="AJ884" s="63"/>
    </row>
    <row r="885">
      <c r="A885" s="186"/>
      <c r="B885" s="63"/>
      <c r="C885" s="63"/>
      <c r="D885" s="63"/>
      <c r="E885" s="63"/>
      <c r="F885" s="184"/>
      <c r="G885" s="184"/>
      <c r="H885" s="184"/>
      <c r="I885" s="184"/>
      <c r="J885" s="184"/>
      <c r="K885" s="69" t="str">
        <f>iferror(vlookup(E885,MasterClass!$C$2:$G988,5,false),"")</f>
        <v/>
      </c>
      <c r="L885" s="184"/>
      <c r="M885" s="184"/>
      <c r="N885" s="184"/>
      <c r="O885" s="63"/>
      <c r="P885" s="63"/>
      <c r="Q885" s="63"/>
      <c r="R885" s="63"/>
      <c r="S885" s="63"/>
      <c r="T885" s="63"/>
      <c r="U885" s="63"/>
      <c r="V885" s="63"/>
      <c r="W885" s="63"/>
      <c r="X885" s="63"/>
      <c r="Y885" s="63"/>
      <c r="Z885" s="63"/>
      <c r="AA885" s="63"/>
      <c r="AB885" s="63"/>
      <c r="AC885" s="63"/>
      <c r="AD885" s="63"/>
      <c r="AE885" s="63"/>
      <c r="AF885" s="63"/>
      <c r="AG885" s="63"/>
      <c r="AH885" s="63"/>
      <c r="AI885" s="63"/>
      <c r="AJ885" s="63"/>
    </row>
    <row r="886">
      <c r="A886" s="186"/>
      <c r="B886" s="63"/>
      <c r="C886" s="63"/>
      <c r="D886" s="63"/>
      <c r="E886" s="63"/>
      <c r="F886" s="184"/>
      <c r="G886" s="184"/>
      <c r="H886" s="184"/>
      <c r="I886" s="184"/>
      <c r="J886" s="184"/>
      <c r="K886" s="69" t="str">
        <f>iferror(vlookup(E886,MasterClass!$C$2:$G988,5,false),"")</f>
        <v/>
      </c>
      <c r="L886" s="184"/>
      <c r="M886" s="184"/>
      <c r="N886" s="184"/>
      <c r="O886" s="63"/>
      <c r="P886" s="63"/>
      <c r="Q886" s="63"/>
      <c r="R886" s="63"/>
      <c r="S886" s="63"/>
      <c r="T886" s="63"/>
      <c r="U886" s="63"/>
      <c r="V886" s="63"/>
      <c r="W886" s="63"/>
      <c r="X886" s="63"/>
      <c r="Y886" s="63"/>
      <c r="Z886" s="63"/>
      <c r="AA886" s="63"/>
      <c r="AB886" s="63"/>
      <c r="AC886" s="63"/>
      <c r="AD886" s="63"/>
      <c r="AE886" s="63"/>
      <c r="AF886" s="63"/>
      <c r="AG886" s="63"/>
      <c r="AH886" s="63"/>
      <c r="AI886" s="63"/>
      <c r="AJ886" s="63"/>
    </row>
    <row r="887">
      <c r="A887" s="186"/>
      <c r="B887" s="63"/>
      <c r="C887" s="63"/>
      <c r="D887" s="63"/>
      <c r="E887" s="63"/>
      <c r="F887" s="184"/>
      <c r="G887" s="184"/>
      <c r="H887" s="184"/>
      <c r="I887" s="184"/>
      <c r="J887" s="184"/>
      <c r="K887" s="69" t="str">
        <f>iferror(vlookup(E887,MasterClass!$C$2:$G988,5,false),"")</f>
        <v/>
      </c>
      <c r="L887" s="184"/>
      <c r="M887" s="184"/>
      <c r="N887" s="184"/>
      <c r="O887" s="63"/>
      <c r="P887" s="63"/>
      <c r="Q887" s="63"/>
      <c r="R887" s="63"/>
      <c r="S887" s="63"/>
      <c r="T887" s="63"/>
      <c r="U887" s="63"/>
      <c r="V887" s="63"/>
      <c r="W887" s="63"/>
      <c r="X887" s="63"/>
      <c r="Y887" s="63"/>
      <c r="Z887" s="63"/>
      <c r="AA887" s="63"/>
      <c r="AB887" s="63"/>
      <c r="AC887" s="63"/>
      <c r="AD887" s="63"/>
      <c r="AE887" s="63"/>
      <c r="AF887" s="63"/>
      <c r="AG887" s="63"/>
      <c r="AH887" s="63"/>
      <c r="AI887" s="63"/>
      <c r="AJ887" s="63"/>
    </row>
    <row r="888">
      <c r="A888" s="186"/>
      <c r="B888" s="63"/>
      <c r="C888" s="63"/>
      <c r="D888" s="63"/>
      <c r="E888" s="63"/>
      <c r="F888" s="184"/>
      <c r="G888" s="184"/>
      <c r="H888" s="184"/>
      <c r="I888" s="184"/>
      <c r="J888" s="184"/>
      <c r="K888" s="69" t="str">
        <f>iferror(vlookup(E888,MasterClass!$C$2:$G988,5,false),"")</f>
        <v/>
      </c>
      <c r="L888" s="184"/>
      <c r="M888" s="184"/>
      <c r="N888" s="184"/>
      <c r="O888" s="63"/>
      <c r="P888" s="63"/>
      <c r="Q888" s="63"/>
      <c r="R888" s="63"/>
      <c r="S888" s="63"/>
      <c r="T888" s="63"/>
      <c r="U888" s="63"/>
      <c r="V888" s="63"/>
      <c r="W888" s="63"/>
      <c r="X888" s="63"/>
      <c r="Y888" s="63"/>
      <c r="Z888" s="63"/>
      <c r="AA888" s="63"/>
      <c r="AB888" s="63"/>
      <c r="AC888" s="63"/>
      <c r="AD888" s="63"/>
      <c r="AE888" s="63"/>
      <c r="AF888" s="63"/>
      <c r="AG888" s="63"/>
      <c r="AH888" s="63"/>
      <c r="AI888" s="63"/>
      <c r="AJ888" s="63"/>
    </row>
    <row r="889">
      <c r="A889" s="186"/>
      <c r="B889" s="63"/>
      <c r="C889" s="63"/>
      <c r="D889" s="63"/>
      <c r="E889" s="63"/>
      <c r="F889" s="184"/>
      <c r="G889" s="184"/>
      <c r="H889" s="184"/>
      <c r="I889" s="184"/>
      <c r="J889" s="184"/>
      <c r="K889" s="69" t="str">
        <f>iferror(vlookup(E889,MasterClass!$C$2:$G988,5,false),"")</f>
        <v/>
      </c>
      <c r="L889" s="184"/>
      <c r="M889" s="184"/>
      <c r="N889" s="184"/>
      <c r="O889" s="63"/>
      <c r="P889" s="63"/>
      <c r="Q889" s="63"/>
      <c r="R889" s="63"/>
      <c r="S889" s="63"/>
      <c r="T889" s="63"/>
      <c r="U889" s="63"/>
      <c r="V889" s="63"/>
      <c r="W889" s="63"/>
      <c r="X889" s="63"/>
      <c r="Y889" s="63"/>
      <c r="Z889" s="63"/>
      <c r="AA889" s="63"/>
      <c r="AB889" s="63"/>
      <c r="AC889" s="63"/>
      <c r="AD889" s="63"/>
      <c r="AE889" s="63"/>
      <c r="AF889" s="63"/>
      <c r="AG889" s="63"/>
      <c r="AH889" s="63"/>
      <c r="AI889" s="63"/>
      <c r="AJ889" s="63"/>
    </row>
    <row r="890">
      <c r="A890" s="186"/>
      <c r="B890" s="63"/>
      <c r="C890" s="63"/>
      <c r="D890" s="63"/>
      <c r="E890" s="63"/>
      <c r="F890" s="184"/>
      <c r="G890" s="184"/>
      <c r="H890" s="184"/>
      <c r="I890" s="184"/>
      <c r="J890" s="184"/>
      <c r="K890" s="69" t="str">
        <f>iferror(vlookup(E890,MasterClass!$C$2:$G988,5,false),"")</f>
        <v/>
      </c>
      <c r="L890" s="184"/>
      <c r="M890" s="184"/>
      <c r="N890" s="184"/>
      <c r="O890" s="63"/>
      <c r="P890" s="63"/>
      <c r="Q890" s="63"/>
      <c r="R890" s="63"/>
      <c r="S890" s="63"/>
      <c r="T890" s="63"/>
      <c r="U890" s="63"/>
      <c r="V890" s="63"/>
      <c r="W890" s="63"/>
      <c r="X890" s="63"/>
      <c r="Y890" s="63"/>
      <c r="Z890" s="63"/>
      <c r="AA890" s="63"/>
      <c r="AB890" s="63"/>
      <c r="AC890" s="63"/>
      <c r="AD890" s="63"/>
      <c r="AE890" s="63"/>
      <c r="AF890" s="63"/>
      <c r="AG890" s="63"/>
      <c r="AH890" s="63"/>
      <c r="AI890" s="63"/>
      <c r="AJ890" s="63"/>
    </row>
    <row r="891">
      <c r="A891" s="186"/>
      <c r="B891" s="63"/>
      <c r="C891" s="63"/>
      <c r="D891" s="63"/>
      <c r="E891" s="63"/>
      <c r="F891" s="184"/>
      <c r="G891" s="184"/>
      <c r="H891" s="184"/>
      <c r="I891" s="184"/>
      <c r="J891" s="184"/>
      <c r="K891" s="69" t="str">
        <f>iferror(vlookup(E891,MasterClass!$C$2:$G988,5,false),"")</f>
        <v/>
      </c>
      <c r="L891" s="184"/>
      <c r="M891" s="184"/>
      <c r="N891" s="184"/>
      <c r="O891" s="63"/>
      <c r="P891" s="63"/>
      <c r="Q891" s="63"/>
      <c r="R891" s="63"/>
      <c r="S891" s="63"/>
      <c r="T891" s="63"/>
      <c r="U891" s="63"/>
      <c r="V891" s="63"/>
      <c r="W891" s="63"/>
      <c r="X891" s="63"/>
      <c r="Y891" s="63"/>
      <c r="Z891" s="63"/>
      <c r="AA891" s="63"/>
      <c r="AB891" s="63"/>
      <c r="AC891" s="63"/>
      <c r="AD891" s="63"/>
      <c r="AE891" s="63"/>
      <c r="AF891" s="63"/>
      <c r="AG891" s="63"/>
      <c r="AH891" s="63"/>
      <c r="AI891" s="63"/>
      <c r="AJ891" s="63"/>
    </row>
    <row r="892">
      <c r="A892" s="186"/>
      <c r="B892" s="63"/>
      <c r="C892" s="63"/>
      <c r="D892" s="63"/>
      <c r="E892" s="63"/>
      <c r="F892" s="184"/>
      <c r="G892" s="184"/>
      <c r="H892" s="184"/>
      <c r="I892" s="184"/>
      <c r="J892" s="184"/>
      <c r="K892" s="69" t="str">
        <f>iferror(vlookup(E892,MasterClass!$C$2:$G988,5,false),"")</f>
        <v/>
      </c>
      <c r="L892" s="184"/>
      <c r="M892" s="184"/>
      <c r="N892" s="184"/>
      <c r="O892" s="63"/>
      <c r="P892" s="63"/>
      <c r="Q892" s="63"/>
      <c r="R892" s="63"/>
      <c r="S892" s="63"/>
      <c r="T892" s="63"/>
      <c r="U892" s="63"/>
      <c r="V892" s="63"/>
      <c r="W892" s="63"/>
      <c r="X892" s="63"/>
      <c r="Y892" s="63"/>
      <c r="Z892" s="63"/>
      <c r="AA892" s="63"/>
      <c r="AB892" s="63"/>
      <c r="AC892" s="63"/>
      <c r="AD892" s="63"/>
      <c r="AE892" s="63"/>
      <c r="AF892" s="63"/>
      <c r="AG892" s="63"/>
      <c r="AH892" s="63"/>
      <c r="AI892" s="63"/>
      <c r="AJ892" s="63"/>
    </row>
    <row r="893">
      <c r="A893" s="186"/>
      <c r="B893" s="63"/>
      <c r="C893" s="63"/>
      <c r="D893" s="63"/>
      <c r="E893" s="63"/>
      <c r="F893" s="184"/>
      <c r="G893" s="184"/>
      <c r="H893" s="184"/>
      <c r="I893" s="184"/>
      <c r="J893" s="184"/>
      <c r="K893" s="69" t="str">
        <f>iferror(vlookup(E893,MasterClass!$C$2:$G988,5,false),"")</f>
        <v/>
      </c>
      <c r="L893" s="184"/>
      <c r="M893" s="184"/>
      <c r="N893" s="184"/>
      <c r="O893" s="63"/>
      <c r="P893" s="63"/>
      <c r="Q893" s="63"/>
      <c r="R893" s="63"/>
      <c r="S893" s="63"/>
      <c r="T893" s="63"/>
      <c r="U893" s="63"/>
      <c r="V893" s="63"/>
      <c r="W893" s="63"/>
      <c r="X893" s="63"/>
      <c r="Y893" s="63"/>
      <c r="Z893" s="63"/>
      <c r="AA893" s="63"/>
      <c r="AB893" s="63"/>
      <c r="AC893" s="63"/>
      <c r="AD893" s="63"/>
      <c r="AE893" s="63"/>
      <c r="AF893" s="63"/>
      <c r="AG893" s="63"/>
      <c r="AH893" s="63"/>
      <c r="AI893" s="63"/>
      <c r="AJ893" s="63"/>
    </row>
    <row r="894">
      <c r="A894" s="186"/>
      <c r="B894" s="63"/>
      <c r="C894" s="63"/>
      <c r="D894" s="63"/>
      <c r="E894" s="63"/>
      <c r="F894" s="184"/>
      <c r="G894" s="184"/>
      <c r="H894" s="184"/>
      <c r="I894" s="184"/>
      <c r="J894" s="184"/>
      <c r="K894" s="69" t="str">
        <f>iferror(vlookup(E894,MasterClass!$C$2:$G988,5,false),"")</f>
        <v/>
      </c>
      <c r="L894" s="184"/>
      <c r="M894" s="184"/>
      <c r="N894" s="184"/>
      <c r="O894" s="63"/>
      <c r="P894" s="63"/>
      <c r="Q894" s="63"/>
      <c r="R894" s="63"/>
      <c r="S894" s="63"/>
      <c r="T894" s="63"/>
      <c r="U894" s="63"/>
      <c r="V894" s="63"/>
      <c r="W894" s="63"/>
      <c r="X894" s="63"/>
      <c r="Y894" s="63"/>
      <c r="Z894" s="63"/>
      <c r="AA894" s="63"/>
      <c r="AB894" s="63"/>
      <c r="AC894" s="63"/>
      <c r="AD894" s="63"/>
      <c r="AE894" s="63"/>
      <c r="AF894" s="63"/>
      <c r="AG894" s="63"/>
      <c r="AH894" s="63"/>
      <c r="AI894" s="63"/>
      <c r="AJ894" s="63"/>
    </row>
    <row r="895">
      <c r="A895" s="186"/>
      <c r="B895" s="63"/>
      <c r="C895" s="63"/>
      <c r="D895" s="63"/>
      <c r="E895" s="63"/>
      <c r="F895" s="184"/>
      <c r="G895" s="184"/>
      <c r="H895" s="184"/>
      <c r="I895" s="184"/>
      <c r="J895" s="184"/>
      <c r="K895" s="69" t="str">
        <f>iferror(vlookup(E895,MasterClass!$C$2:$G988,5,false),"")</f>
        <v/>
      </c>
      <c r="L895" s="184"/>
      <c r="M895" s="184"/>
      <c r="N895" s="184"/>
      <c r="O895" s="63"/>
      <c r="P895" s="63"/>
      <c r="Q895" s="63"/>
      <c r="R895" s="63"/>
      <c r="S895" s="63"/>
      <c r="T895" s="63"/>
      <c r="U895" s="63"/>
      <c r="V895" s="63"/>
      <c r="W895" s="63"/>
      <c r="X895" s="63"/>
      <c r="Y895" s="63"/>
      <c r="Z895" s="63"/>
      <c r="AA895" s="63"/>
      <c r="AB895" s="63"/>
      <c r="AC895" s="63"/>
      <c r="AD895" s="63"/>
      <c r="AE895" s="63"/>
      <c r="AF895" s="63"/>
      <c r="AG895" s="63"/>
      <c r="AH895" s="63"/>
      <c r="AI895" s="63"/>
      <c r="AJ895" s="63"/>
    </row>
    <row r="896">
      <c r="A896" s="186"/>
      <c r="B896" s="63"/>
      <c r="C896" s="63"/>
      <c r="D896" s="63"/>
      <c r="E896" s="63"/>
      <c r="F896" s="184"/>
      <c r="G896" s="184"/>
      <c r="H896" s="184"/>
      <c r="I896" s="184"/>
      <c r="J896" s="184"/>
      <c r="K896" s="69" t="str">
        <f>iferror(vlookup(E896,MasterClass!$C$2:$G988,5,false),"")</f>
        <v/>
      </c>
      <c r="L896" s="184"/>
      <c r="M896" s="184"/>
      <c r="N896" s="184"/>
      <c r="O896" s="63"/>
      <c r="P896" s="63"/>
      <c r="Q896" s="63"/>
      <c r="R896" s="63"/>
      <c r="S896" s="63"/>
      <c r="T896" s="63"/>
      <c r="U896" s="63"/>
      <c r="V896" s="63"/>
      <c r="W896" s="63"/>
      <c r="X896" s="63"/>
      <c r="Y896" s="63"/>
      <c r="Z896" s="63"/>
      <c r="AA896" s="63"/>
      <c r="AB896" s="63"/>
      <c r="AC896" s="63"/>
      <c r="AD896" s="63"/>
      <c r="AE896" s="63"/>
      <c r="AF896" s="63"/>
      <c r="AG896" s="63"/>
      <c r="AH896" s="63"/>
      <c r="AI896" s="63"/>
      <c r="AJ896" s="63"/>
    </row>
    <row r="897">
      <c r="A897" s="186"/>
      <c r="B897" s="63"/>
      <c r="C897" s="63"/>
      <c r="D897" s="63"/>
      <c r="E897" s="63"/>
      <c r="F897" s="184"/>
      <c r="G897" s="184"/>
      <c r="H897" s="184"/>
      <c r="I897" s="184"/>
      <c r="J897" s="184"/>
      <c r="K897" s="69" t="str">
        <f>iferror(vlookup(E897,MasterClass!$C$2:$G988,5,false),"")</f>
        <v/>
      </c>
      <c r="L897" s="184"/>
      <c r="M897" s="184"/>
      <c r="N897" s="184"/>
      <c r="O897" s="63"/>
      <c r="P897" s="63"/>
      <c r="Q897" s="63"/>
      <c r="R897" s="63"/>
      <c r="S897" s="63"/>
      <c r="T897" s="63"/>
      <c r="U897" s="63"/>
      <c r="V897" s="63"/>
      <c r="W897" s="63"/>
      <c r="X897" s="63"/>
      <c r="Y897" s="63"/>
      <c r="Z897" s="63"/>
      <c r="AA897" s="63"/>
      <c r="AB897" s="63"/>
      <c r="AC897" s="63"/>
      <c r="AD897" s="63"/>
      <c r="AE897" s="63"/>
      <c r="AF897" s="63"/>
      <c r="AG897" s="63"/>
      <c r="AH897" s="63"/>
      <c r="AI897" s="63"/>
      <c r="AJ897" s="63"/>
    </row>
    <row r="898">
      <c r="A898" s="186"/>
      <c r="B898" s="63"/>
      <c r="C898" s="63"/>
      <c r="D898" s="63"/>
      <c r="E898" s="63"/>
      <c r="F898" s="184"/>
      <c r="G898" s="184"/>
      <c r="H898" s="184"/>
      <c r="I898" s="184"/>
      <c r="J898" s="184"/>
      <c r="K898" s="69" t="str">
        <f>iferror(vlookup(E898,MasterClass!$C$2:$G988,5,false),"")</f>
        <v/>
      </c>
      <c r="L898" s="184"/>
      <c r="M898" s="184"/>
      <c r="N898" s="184"/>
      <c r="O898" s="63"/>
      <c r="P898" s="63"/>
      <c r="Q898" s="63"/>
      <c r="R898" s="63"/>
      <c r="S898" s="63"/>
      <c r="T898" s="63"/>
      <c r="U898" s="63"/>
      <c r="V898" s="63"/>
      <c r="W898" s="63"/>
      <c r="X898" s="63"/>
      <c r="Y898" s="63"/>
      <c r="Z898" s="63"/>
      <c r="AA898" s="63"/>
      <c r="AB898" s="63"/>
      <c r="AC898" s="63"/>
      <c r="AD898" s="63"/>
      <c r="AE898" s="63"/>
      <c r="AF898" s="63"/>
      <c r="AG898" s="63"/>
      <c r="AH898" s="63"/>
      <c r="AI898" s="63"/>
      <c r="AJ898" s="63"/>
    </row>
    <row r="899">
      <c r="A899" s="186"/>
      <c r="B899" s="63"/>
      <c r="C899" s="63"/>
      <c r="D899" s="63"/>
      <c r="E899" s="63"/>
      <c r="F899" s="184"/>
      <c r="G899" s="184"/>
      <c r="H899" s="184"/>
      <c r="I899" s="184"/>
      <c r="J899" s="184"/>
      <c r="K899" s="69" t="str">
        <f>iferror(vlookup(E899,MasterClass!$C$2:$G988,5,false),"")</f>
        <v/>
      </c>
      <c r="L899" s="184"/>
      <c r="M899" s="184"/>
      <c r="N899" s="184"/>
      <c r="O899" s="63"/>
      <c r="P899" s="63"/>
      <c r="Q899" s="63"/>
      <c r="R899" s="63"/>
      <c r="S899" s="63"/>
      <c r="T899" s="63"/>
      <c r="U899" s="63"/>
      <c r="V899" s="63"/>
      <c r="W899" s="63"/>
      <c r="X899" s="63"/>
      <c r="Y899" s="63"/>
      <c r="Z899" s="63"/>
      <c r="AA899" s="63"/>
      <c r="AB899" s="63"/>
      <c r="AC899" s="63"/>
      <c r="AD899" s="63"/>
      <c r="AE899" s="63"/>
      <c r="AF899" s="63"/>
      <c r="AG899" s="63"/>
      <c r="AH899" s="63"/>
      <c r="AI899" s="63"/>
      <c r="AJ899" s="63"/>
    </row>
    <row r="900">
      <c r="A900" s="186"/>
      <c r="B900" s="63"/>
      <c r="C900" s="63"/>
      <c r="D900" s="63"/>
      <c r="E900" s="63"/>
      <c r="F900" s="184"/>
      <c r="G900" s="184"/>
      <c r="H900" s="184"/>
      <c r="I900" s="184"/>
      <c r="J900" s="184"/>
      <c r="K900" s="69" t="str">
        <f>iferror(vlookup(E900,MasterClass!$C$2:$G988,5,false),"")</f>
        <v/>
      </c>
      <c r="L900" s="184"/>
      <c r="M900" s="184"/>
      <c r="N900" s="184"/>
      <c r="O900" s="63"/>
      <c r="P900" s="63"/>
      <c r="Q900" s="63"/>
      <c r="R900" s="63"/>
      <c r="S900" s="63"/>
      <c r="T900" s="63"/>
      <c r="U900" s="63"/>
      <c r="V900" s="63"/>
      <c r="W900" s="63"/>
      <c r="X900" s="63"/>
      <c r="Y900" s="63"/>
      <c r="Z900" s="63"/>
      <c r="AA900" s="63"/>
      <c r="AB900" s="63"/>
      <c r="AC900" s="63"/>
      <c r="AD900" s="63"/>
      <c r="AE900" s="63"/>
      <c r="AF900" s="63"/>
      <c r="AG900" s="63"/>
      <c r="AH900" s="63"/>
      <c r="AI900" s="63"/>
      <c r="AJ900" s="63"/>
    </row>
    <row r="901">
      <c r="A901" s="186"/>
      <c r="B901" s="63"/>
      <c r="C901" s="63"/>
      <c r="D901" s="63"/>
      <c r="E901" s="63"/>
      <c r="F901" s="184"/>
      <c r="G901" s="184"/>
      <c r="H901" s="184"/>
      <c r="I901" s="184"/>
      <c r="J901" s="184"/>
      <c r="K901" s="69" t="str">
        <f>iferror(vlookup(E901,MasterClass!$C$2:$G988,5,false),"")</f>
        <v/>
      </c>
      <c r="L901" s="184"/>
      <c r="M901" s="184"/>
      <c r="N901" s="184"/>
      <c r="O901" s="63"/>
      <c r="P901" s="63"/>
      <c r="Q901" s="63"/>
      <c r="R901" s="63"/>
      <c r="S901" s="63"/>
      <c r="T901" s="63"/>
      <c r="U901" s="63"/>
      <c r="V901" s="63"/>
      <c r="W901" s="63"/>
      <c r="X901" s="63"/>
      <c r="Y901" s="63"/>
      <c r="Z901" s="63"/>
      <c r="AA901" s="63"/>
      <c r="AB901" s="63"/>
      <c r="AC901" s="63"/>
      <c r="AD901" s="63"/>
      <c r="AE901" s="63"/>
      <c r="AF901" s="63"/>
      <c r="AG901" s="63"/>
      <c r="AH901" s="63"/>
      <c r="AI901" s="63"/>
      <c r="AJ901" s="63"/>
    </row>
    <row r="902">
      <c r="A902" s="186"/>
      <c r="B902" s="63"/>
      <c r="C902" s="63"/>
      <c r="D902" s="63"/>
      <c r="E902" s="63"/>
      <c r="F902" s="184"/>
      <c r="G902" s="184"/>
      <c r="H902" s="184"/>
      <c r="I902" s="184"/>
      <c r="J902" s="184"/>
      <c r="K902" s="69" t="str">
        <f>iferror(vlookup(E902,MasterClass!$C$2:$G988,5,false),"")</f>
        <v/>
      </c>
      <c r="L902" s="184"/>
      <c r="M902" s="184"/>
      <c r="N902" s="184"/>
      <c r="O902" s="63"/>
      <c r="P902" s="63"/>
      <c r="Q902" s="63"/>
      <c r="R902" s="63"/>
      <c r="S902" s="63"/>
      <c r="T902" s="63"/>
      <c r="U902" s="63"/>
      <c r="V902" s="63"/>
      <c r="W902" s="63"/>
      <c r="X902" s="63"/>
      <c r="Y902" s="63"/>
      <c r="Z902" s="63"/>
      <c r="AA902" s="63"/>
      <c r="AB902" s="63"/>
      <c r="AC902" s="63"/>
      <c r="AD902" s="63"/>
      <c r="AE902" s="63"/>
      <c r="AF902" s="63"/>
      <c r="AG902" s="63"/>
      <c r="AH902" s="63"/>
      <c r="AI902" s="63"/>
      <c r="AJ902" s="63"/>
    </row>
    <row r="903">
      <c r="A903" s="186"/>
      <c r="B903" s="63"/>
      <c r="C903" s="63"/>
      <c r="D903" s="63"/>
      <c r="E903" s="63"/>
      <c r="F903" s="184"/>
      <c r="G903" s="184"/>
      <c r="H903" s="184"/>
      <c r="I903" s="184"/>
      <c r="J903" s="184"/>
      <c r="K903" s="69" t="str">
        <f>iferror(vlookup(E903,MasterClass!$C$2:$G988,5,false),"")</f>
        <v/>
      </c>
      <c r="L903" s="184"/>
      <c r="M903" s="184"/>
      <c r="N903" s="184"/>
      <c r="O903" s="63"/>
      <c r="P903" s="63"/>
      <c r="Q903" s="63"/>
      <c r="R903" s="63"/>
      <c r="S903" s="63"/>
      <c r="T903" s="63"/>
      <c r="U903" s="63"/>
      <c r="V903" s="63"/>
      <c r="W903" s="63"/>
      <c r="X903" s="63"/>
      <c r="Y903" s="63"/>
      <c r="Z903" s="63"/>
      <c r="AA903" s="63"/>
      <c r="AB903" s="63"/>
      <c r="AC903" s="63"/>
      <c r="AD903" s="63"/>
      <c r="AE903" s="63"/>
      <c r="AF903" s="63"/>
      <c r="AG903" s="63"/>
      <c r="AH903" s="63"/>
      <c r="AI903" s="63"/>
      <c r="AJ903" s="63"/>
    </row>
    <row r="904">
      <c r="A904" s="186"/>
      <c r="B904" s="63"/>
      <c r="C904" s="63"/>
      <c r="D904" s="63"/>
      <c r="E904" s="63"/>
      <c r="F904" s="184"/>
      <c r="G904" s="184"/>
      <c r="H904" s="184"/>
      <c r="I904" s="184"/>
      <c r="J904" s="184"/>
      <c r="K904" s="69" t="str">
        <f>iferror(vlookup(E904,MasterClass!$C$2:$G988,5,false),"")</f>
        <v/>
      </c>
      <c r="L904" s="184"/>
      <c r="M904" s="184"/>
      <c r="N904" s="184"/>
      <c r="O904" s="63"/>
      <c r="P904" s="63"/>
      <c r="Q904" s="63"/>
      <c r="R904" s="63"/>
      <c r="S904" s="63"/>
      <c r="T904" s="63"/>
      <c r="U904" s="63"/>
      <c r="V904" s="63"/>
      <c r="W904" s="63"/>
      <c r="X904" s="63"/>
      <c r="Y904" s="63"/>
      <c r="Z904" s="63"/>
      <c r="AA904" s="63"/>
      <c r="AB904" s="63"/>
      <c r="AC904" s="63"/>
      <c r="AD904" s="63"/>
      <c r="AE904" s="63"/>
      <c r="AF904" s="63"/>
      <c r="AG904" s="63"/>
      <c r="AH904" s="63"/>
      <c r="AI904" s="63"/>
      <c r="AJ904" s="63"/>
    </row>
    <row r="905">
      <c r="A905" s="186"/>
      <c r="B905" s="63"/>
      <c r="C905" s="63"/>
      <c r="D905" s="63"/>
      <c r="E905" s="63"/>
      <c r="F905" s="184"/>
      <c r="G905" s="184"/>
      <c r="H905" s="184"/>
      <c r="I905" s="184"/>
      <c r="J905" s="184"/>
      <c r="K905" s="69" t="str">
        <f>iferror(vlookup(E905,MasterClass!$C$2:$G988,5,false),"")</f>
        <v/>
      </c>
      <c r="L905" s="184"/>
      <c r="M905" s="184"/>
      <c r="N905" s="184"/>
      <c r="O905" s="63"/>
      <c r="P905" s="63"/>
      <c r="Q905" s="63"/>
      <c r="R905" s="63"/>
      <c r="S905" s="63"/>
      <c r="T905" s="63"/>
      <c r="U905" s="63"/>
      <c r="V905" s="63"/>
      <c r="W905" s="63"/>
      <c r="X905" s="63"/>
      <c r="Y905" s="63"/>
      <c r="Z905" s="63"/>
      <c r="AA905" s="63"/>
      <c r="AB905" s="63"/>
      <c r="AC905" s="63"/>
      <c r="AD905" s="63"/>
      <c r="AE905" s="63"/>
      <c r="AF905" s="63"/>
      <c r="AG905" s="63"/>
      <c r="AH905" s="63"/>
      <c r="AI905" s="63"/>
      <c r="AJ905" s="63"/>
    </row>
    <row r="906">
      <c r="A906" s="186"/>
      <c r="B906" s="63"/>
      <c r="C906" s="63"/>
      <c r="D906" s="63"/>
      <c r="E906" s="63"/>
      <c r="F906" s="184"/>
      <c r="G906" s="184"/>
      <c r="H906" s="184"/>
      <c r="I906" s="184"/>
      <c r="J906" s="184"/>
      <c r="K906" s="69" t="str">
        <f>iferror(vlookup(E906,MasterClass!$C$2:$G988,5,false),"")</f>
        <v/>
      </c>
      <c r="L906" s="184"/>
      <c r="M906" s="184"/>
      <c r="N906" s="184"/>
      <c r="O906" s="63"/>
      <c r="P906" s="63"/>
      <c r="Q906" s="63"/>
      <c r="R906" s="63"/>
      <c r="S906" s="63"/>
      <c r="T906" s="63"/>
      <c r="U906" s="63"/>
      <c r="V906" s="63"/>
      <c r="W906" s="63"/>
      <c r="X906" s="63"/>
      <c r="Y906" s="63"/>
      <c r="Z906" s="63"/>
      <c r="AA906" s="63"/>
      <c r="AB906" s="63"/>
      <c r="AC906" s="63"/>
      <c r="AD906" s="63"/>
      <c r="AE906" s="63"/>
      <c r="AF906" s="63"/>
      <c r="AG906" s="63"/>
      <c r="AH906" s="63"/>
      <c r="AI906" s="63"/>
      <c r="AJ906" s="63"/>
    </row>
    <row r="907">
      <c r="A907" s="186"/>
      <c r="B907" s="63"/>
      <c r="C907" s="63"/>
      <c r="D907" s="63"/>
      <c r="E907" s="63"/>
      <c r="F907" s="184"/>
      <c r="G907" s="184"/>
      <c r="H907" s="184"/>
      <c r="I907" s="184"/>
      <c r="J907" s="184"/>
      <c r="K907" s="69" t="str">
        <f>iferror(vlookup(E907,MasterClass!$C$2:$G988,5,false),"")</f>
        <v/>
      </c>
      <c r="L907" s="184"/>
      <c r="M907" s="184"/>
      <c r="N907" s="184"/>
      <c r="O907" s="63"/>
      <c r="P907" s="63"/>
      <c r="Q907" s="63"/>
      <c r="R907" s="63"/>
      <c r="S907" s="63"/>
      <c r="T907" s="63"/>
      <c r="U907" s="63"/>
      <c r="V907" s="63"/>
      <c r="W907" s="63"/>
      <c r="X907" s="63"/>
      <c r="Y907" s="63"/>
      <c r="Z907" s="63"/>
      <c r="AA907" s="63"/>
      <c r="AB907" s="63"/>
      <c r="AC907" s="63"/>
      <c r="AD907" s="63"/>
      <c r="AE907" s="63"/>
      <c r="AF907" s="63"/>
      <c r="AG907" s="63"/>
      <c r="AH907" s="63"/>
      <c r="AI907" s="63"/>
      <c r="AJ907" s="63"/>
    </row>
    <row r="908">
      <c r="A908" s="186"/>
      <c r="B908" s="63"/>
      <c r="C908" s="63"/>
      <c r="D908" s="63"/>
      <c r="E908" s="63"/>
      <c r="F908" s="184"/>
      <c r="G908" s="184"/>
      <c r="H908" s="184"/>
      <c r="I908" s="184"/>
      <c r="J908" s="184"/>
      <c r="K908" s="69" t="str">
        <f>iferror(vlookup(E908,MasterClass!$C$2:$G988,5,false),"")</f>
        <v/>
      </c>
      <c r="L908" s="184"/>
      <c r="M908" s="184"/>
      <c r="N908" s="184"/>
      <c r="O908" s="63"/>
      <c r="P908" s="63"/>
      <c r="Q908" s="63"/>
      <c r="R908" s="63"/>
      <c r="S908" s="63"/>
      <c r="T908" s="63"/>
      <c r="U908" s="63"/>
      <c r="V908" s="63"/>
      <c r="W908" s="63"/>
      <c r="X908" s="63"/>
      <c r="Y908" s="63"/>
      <c r="Z908" s="63"/>
      <c r="AA908" s="63"/>
      <c r="AB908" s="63"/>
      <c r="AC908" s="63"/>
      <c r="AD908" s="63"/>
      <c r="AE908" s="63"/>
      <c r="AF908" s="63"/>
      <c r="AG908" s="63"/>
      <c r="AH908" s="63"/>
      <c r="AI908" s="63"/>
      <c r="AJ908" s="63"/>
    </row>
    <row r="909">
      <c r="A909" s="186"/>
      <c r="B909" s="63"/>
      <c r="C909" s="63"/>
      <c r="D909" s="63"/>
      <c r="E909" s="63"/>
      <c r="F909" s="184"/>
      <c r="G909" s="184"/>
      <c r="H909" s="184"/>
      <c r="I909" s="184"/>
      <c r="J909" s="184"/>
      <c r="K909" s="69" t="str">
        <f>iferror(vlookup(E909,MasterClass!$C$2:$G988,5,false),"")</f>
        <v/>
      </c>
      <c r="L909" s="184"/>
      <c r="M909" s="184"/>
      <c r="N909" s="184"/>
      <c r="O909" s="63"/>
      <c r="P909" s="63"/>
      <c r="Q909" s="63"/>
      <c r="R909" s="63"/>
      <c r="S909" s="63"/>
      <c r="T909" s="63"/>
      <c r="U909" s="63"/>
      <c r="V909" s="63"/>
      <c r="W909" s="63"/>
      <c r="X909" s="63"/>
      <c r="Y909" s="63"/>
      <c r="Z909" s="63"/>
      <c r="AA909" s="63"/>
      <c r="AB909" s="63"/>
      <c r="AC909" s="63"/>
      <c r="AD909" s="63"/>
      <c r="AE909" s="63"/>
      <c r="AF909" s="63"/>
      <c r="AG909" s="63"/>
      <c r="AH909" s="63"/>
      <c r="AI909" s="63"/>
      <c r="AJ909" s="63"/>
    </row>
    <row r="910">
      <c r="A910" s="186"/>
      <c r="B910" s="63"/>
      <c r="C910" s="63"/>
      <c r="D910" s="63"/>
      <c r="E910" s="63"/>
      <c r="F910" s="184"/>
      <c r="G910" s="184"/>
      <c r="H910" s="184"/>
      <c r="I910" s="184"/>
      <c r="J910" s="184"/>
      <c r="K910" s="69" t="str">
        <f>iferror(vlookup(E910,MasterClass!$C$2:$G988,5,false),"")</f>
        <v/>
      </c>
      <c r="L910" s="184"/>
      <c r="M910" s="184"/>
      <c r="N910" s="184"/>
      <c r="O910" s="63"/>
      <c r="P910" s="63"/>
      <c r="Q910" s="63"/>
      <c r="R910" s="63"/>
      <c r="S910" s="63"/>
      <c r="T910" s="63"/>
      <c r="U910" s="63"/>
      <c r="V910" s="63"/>
      <c r="W910" s="63"/>
      <c r="X910" s="63"/>
      <c r="Y910" s="63"/>
      <c r="Z910" s="63"/>
      <c r="AA910" s="63"/>
      <c r="AB910" s="63"/>
      <c r="AC910" s="63"/>
      <c r="AD910" s="63"/>
      <c r="AE910" s="63"/>
      <c r="AF910" s="63"/>
      <c r="AG910" s="63"/>
      <c r="AH910" s="63"/>
      <c r="AI910" s="63"/>
      <c r="AJ910" s="63"/>
    </row>
    <row r="911">
      <c r="A911" s="186"/>
      <c r="B911" s="63"/>
      <c r="C911" s="63"/>
      <c r="D911" s="63"/>
      <c r="E911" s="63"/>
      <c r="F911" s="184"/>
      <c r="G911" s="184"/>
      <c r="H911" s="184"/>
      <c r="I911" s="184"/>
      <c r="J911" s="184"/>
      <c r="K911" s="69" t="str">
        <f>iferror(vlookup(E911,MasterClass!$C$2:$G988,5,false),"")</f>
        <v/>
      </c>
      <c r="L911" s="184"/>
      <c r="M911" s="184"/>
      <c r="N911" s="184"/>
      <c r="O911" s="63"/>
      <c r="P911" s="63"/>
      <c r="Q911" s="63"/>
      <c r="R911" s="63"/>
      <c r="S911" s="63"/>
      <c r="T911" s="63"/>
      <c r="U911" s="63"/>
      <c r="V911" s="63"/>
      <c r="W911" s="63"/>
      <c r="X911" s="63"/>
      <c r="Y911" s="63"/>
      <c r="Z911" s="63"/>
      <c r="AA911" s="63"/>
      <c r="AB911" s="63"/>
      <c r="AC911" s="63"/>
      <c r="AD911" s="63"/>
      <c r="AE911" s="63"/>
      <c r="AF911" s="63"/>
      <c r="AG911" s="63"/>
      <c r="AH911" s="63"/>
      <c r="AI911" s="63"/>
      <c r="AJ911" s="63"/>
    </row>
    <row r="912">
      <c r="A912" s="186"/>
      <c r="B912" s="63"/>
      <c r="C912" s="63"/>
      <c r="D912" s="63"/>
      <c r="E912" s="63"/>
      <c r="F912" s="184"/>
      <c r="G912" s="184"/>
      <c r="H912" s="184"/>
      <c r="I912" s="184"/>
      <c r="J912" s="184"/>
      <c r="K912" s="69" t="str">
        <f>iferror(vlookup(E912,MasterClass!$C$2:$G988,5,false),"")</f>
        <v/>
      </c>
      <c r="L912" s="184"/>
      <c r="M912" s="184"/>
      <c r="N912" s="184"/>
      <c r="O912" s="63"/>
      <c r="P912" s="63"/>
      <c r="Q912" s="63"/>
      <c r="R912" s="63"/>
      <c r="S912" s="63"/>
      <c r="T912" s="63"/>
      <c r="U912" s="63"/>
      <c r="V912" s="63"/>
      <c r="W912" s="63"/>
      <c r="X912" s="63"/>
      <c r="Y912" s="63"/>
      <c r="Z912" s="63"/>
      <c r="AA912" s="63"/>
      <c r="AB912" s="63"/>
      <c r="AC912" s="63"/>
      <c r="AD912" s="63"/>
      <c r="AE912" s="63"/>
      <c r="AF912" s="63"/>
      <c r="AG912" s="63"/>
      <c r="AH912" s="63"/>
      <c r="AI912" s="63"/>
      <c r="AJ912" s="63"/>
    </row>
    <row r="913">
      <c r="A913" s="186"/>
      <c r="B913" s="63"/>
      <c r="C913" s="63"/>
      <c r="D913" s="63"/>
      <c r="E913" s="63"/>
      <c r="F913" s="184"/>
      <c r="G913" s="184"/>
      <c r="H913" s="184"/>
      <c r="I913" s="184"/>
      <c r="J913" s="184"/>
      <c r="K913" s="69" t="str">
        <f>iferror(vlookup(E913,MasterClass!$C$2:$G988,5,false),"")</f>
        <v/>
      </c>
      <c r="L913" s="184"/>
      <c r="M913" s="184"/>
      <c r="N913" s="184"/>
      <c r="O913" s="63"/>
      <c r="P913" s="63"/>
      <c r="Q913" s="63"/>
      <c r="R913" s="63"/>
      <c r="S913" s="63"/>
      <c r="T913" s="63"/>
      <c r="U913" s="63"/>
      <c r="V913" s="63"/>
      <c r="W913" s="63"/>
      <c r="X913" s="63"/>
      <c r="Y913" s="63"/>
      <c r="Z913" s="63"/>
      <c r="AA913" s="63"/>
      <c r="AB913" s="63"/>
      <c r="AC913" s="63"/>
      <c r="AD913" s="63"/>
      <c r="AE913" s="63"/>
      <c r="AF913" s="63"/>
      <c r="AG913" s="63"/>
      <c r="AH913" s="63"/>
      <c r="AI913" s="63"/>
      <c r="AJ913" s="63"/>
    </row>
    <row r="914">
      <c r="A914" s="186"/>
      <c r="B914" s="63"/>
      <c r="C914" s="63"/>
      <c r="D914" s="63"/>
      <c r="E914" s="63"/>
      <c r="F914" s="184"/>
      <c r="G914" s="184"/>
      <c r="H914" s="184"/>
      <c r="I914" s="184"/>
      <c r="J914" s="184"/>
      <c r="K914" s="69" t="str">
        <f>iferror(vlookup(E914,MasterClass!$C$2:$G988,5,false),"")</f>
        <v/>
      </c>
      <c r="L914" s="184"/>
      <c r="M914" s="184"/>
      <c r="N914" s="184"/>
      <c r="O914" s="63"/>
      <c r="P914" s="63"/>
      <c r="Q914" s="63"/>
      <c r="R914" s="63"/>
      <c r="S914" s="63"/>
      <c r="T914" s="63"/>
      <c r="U914" s="63"/>
      <c r="V914" s="63"/>
      <c r="W914" s="63"/>
      <c r="X914" s="63"/>
      <c r="Y914" s="63"/>
      <c r="Z914" s="63"/>
      <c r="AA914" s="63"/>
      <c r="AB914" s="63"/>
      <c r="AC914" s="63"/>
      <c r="AD914" s="63"/>
      <c r="AE914" s="63"/>
      <c r="AF914" s="63"/>
      <c r="AG914" s="63"/>
      <c r="AH914" s="63"/>
      <c r="AI914" s="63"/>
      <c r="AJ914" s="63"/>
    </row>
    <row r="915">
      <c r="A915" s="186"/>
      <c r="B915" s="63"/>
      <c r="C915" s="63"/>
      <c r="D915" s="63"/>
      <c r="E915" s="63"/>
      <c r="F915" s="184"/>
      <c r="G915" s="184"/>
      <c r="H915" s="184"/>
      <c r="I915" s="184"/>
      <c r="J915" s="184"/>
      <c r="K915" s="69" t="str">
        <f>iferror(vlookup(E915,MasterClass!$C$2:$G988,5,false),"")</f>
        <v/>
      </c>
      <c r="L915" s="184"/>
      <c r="M915" s="184"/>
      <c r="N915" s="184"/>
      <c r="O915" s="63"/>
      <c r="P915" s="63"/>
      <c r="Q915" s="63"/>
      <c r="R915" s="63"/>
      <c r="S915" s="63"/>
      <c r="T915" s="63"/>
      <c r="U915" s="63"/>
      <c r="V915" s="63"/>
      <c r="W915" s="63"/>
      <c r="X915" s="63"/>
      <c r="Y915" s="63"/>
      <c r="Z915" s="63"/>
      <c r="AA915" s="63"/>
      <c r="AB915" s="63"/>
      <c r="AC915" s="63"/>
      <c r="AD915" s="63"/>
      <c r="AE915" s="63"/>
      <c r="AF915" s="63"/>
      <c r="AG915" s="63"/>
      <c r="AH915" s="63"/>
      <c r="AI915" s="63"/>
      <c r="AJ915" s="63"/>
    </row>
    <row r="916">
      <c r="A916" s="186"/>
      <c r="B916" s="63"/>
      <c r="C916" s="63"/>
      <c r="D916" s="63"/>
      <c r="E916" s="63"/>
      <c r="F916" s="184"/>
      <c r="G916" s="184"/>
      <c r="H916" s="184"/>
      <c r="I916" s="184"/>
      <c r="J916" s="184"/>
      <c r="K916" s="69" t="str">
        <f>iferror(vlookup(E916,MasterClass!$C$2:$G988,5,false),"")</f>
        <v/>
      </c>
      <c r="L916" s="184"/>
      <c r="M916" s="184"/>
      <c r="N916" s="184"/>
      <c r="O916" s="63"/>
      <c r="P916" s="63"/>
      <c r="Q916" s="63"/>
      <c r="R916" s="63"/>
      <c r="S916" s="63"/>
      <c r="T916" s="63"/>
      <c r="U916" s="63"/>
      <c r="V916" s="63"/>
      <c r="W916" s="63"/>
      <c r="X916" s="63"/>
      <c r="Y916" s="63"/>
      <c r="Z916" s="63"/>
      <c r="AA916" s="63"/>
      <c r="AB916" s="63"/>
      <c r="AC916" s="63"/>
      <c r="AD916" s="63"/>
      <c r="AE916" s="63"/>
      <c r="AF916" s="63"/>
      <c r="AG916" s="63"/>
      <c r="AH916" s="63"/>
      <c r="AI916" s="63"/>
      <c r="AJ916" s="63"/>
    </row>
    <row r="917">
      <c r="A917" s="186"/>
      <c r="B917" s="63"/>
      <c r="C917" s="63"/>
      <c r="D917" s="63"/>
      <c r="E917" s="63"/>
      <c r="F917" s="184"/>
      <c r="G917" s="184"/>
      <c r="H917" s="184"/>
      <c r="I917" s="184"/>
      <c r="J917" s="184"/>
      <c r="K917" s="69" t="str">
        <f>iferror(vlookup(E917,MasterClass!$C$2:$G988,5,false),"")</f>
        <v/>
      </c>
      <c r="L917" s="184"/>
      <c r="M917" s="184"/>
      <c r="N917" s="184"/>
      <c r="O917" s="63"/>
      <c r="P917" s="63"/>
      <c r="Q917" s="63"/>
      <c r="R917" s="63"/>
      <c r="S917" s="63"/>
      <c r="T917" s="63"/>
      <c r="U917" s="63"/>
      <c r="V917" s="63"/>
      <c r="W917" s="63"/>
      <c r="X917" s="63"/>
      <c r="Y917" s="63"/>
      <c r="Z917" s="63"/>
      <c r="AA917" s="63"/>
      <c r="AB917" s="63"/>
      <c r="AC917" s="63"/>
      <c r="AD917" s="63"/>
      <c r="AE917" s="63"/>
      <c r="AF917" s="63"/>
      <c r="AG917" s="63"/>
      <c r="AH917" s="63"/>
      <c r="AI917" s="63"/>
      <c r="AJ917" s="63"/>
    </row>
    <row r="918">
      <c r="A918" s="186"/>
      <c r="B918" s="63"/>
      <c r="C918" s="63"/>
      <c r="D918" s="63"/>
      <c r="E918" s="63"/>
      <c r="F918" s="184"/>
      <c r="G918" s="184"/>
      <c r="H918" s="184"/>
      <c r="I918" s="184"/>
      <c r="J918" s="184"/>
      <c r="K918" s="69" t="str">
        <f>iferror(vlookup(E918,MasterClass!$C$2:$G988,5,false),"")</f>
        <v/>
      </c>
      <c r="L918" s="184"/>
      <c r="M918" s="184"/>
      <c r="N918" s="184"/>
      <c r="O918" s="63"/>
      <c r="P918" s="63"/>
      <c r="Q918" s="63"/>
      <c r="R918" s="63"/>
      <c r="S918" s="63"/>
      <c r="T918" s="63"/>
      <c r="U918" s="63"/>
      <c r="V918" s="63"/>
      <c r="W918" s="63"/>
      <c r="X918" s="63"/>
      <c r="Y918" s="63"/>
      <c r="Z918" s="63"/>
      <c r="AA918" s="63"/>
      <c r="AB918" s="63"/>
      <c r="AC918" s="63"/>
      <c r="AD918" s="63"/>
      <c r="AE918" s="63"/>
      <c r="AF918" s="63"/>
      <c r="AG918" s="63"/>
      <c r="AH918" s="63"/>
      <c r="AI918" s="63"/>
      <c r="AJ918" s="63"/>
    </row>
    <row r="919">
      <c r="A919" s="186"/>
      <c r="B919" s="63"/>
      <c r="C919" s="63"/>
      <c r="D919" s="63"/>
      <c r="E919" s="63"/>
      <c r="F919" s="184"/>
      <c r="G919" s="184"/>
      <c r="H919" s="184"/>
      <c r="I919" s="184"/>
      <c r="J919" s="184"/>
      <c r="K919" s="69" t="str">
        <f>iferror(vlookup(E919,MasterClass!$C$2:$G988,5,false),"")</f>
        <v/>
      </c>
      <c r="L919" s="184"/>
      <c r="M919" s="184"/>
      <c r="N919" s="184"/>
      <c r="O919" s="63"/>
      <c r="P919" s="63"/>
      <c r="Q919" s="63"/>
      <c r="R919" s="63"/>
      <c r="S919" s="63"/>
      <c r="T919" s="63"/>
      <c r="U919" s="63"/>
      <c r="V919" s="63"/>
      <c r="W919" s="63"/>
      <c r="X919" s="63"/>
      <c r="Y919" s="63"/>
      <c r="Z919" s="63"/>
      <c r="AA919" s="63"/>
      <c r="AB919" s="63"/>
      <c r="AC919" s="63"/>
      <c r="AD919" s="63"/>
      <c r="AE919" s="63"/>
      <c r="AF919" s="63"/>
      <c r="AG919" s="63"/>
      <c r="AH919" s="63"/>
      <c r="AI919" s="63"/>
      <c r="AJ919" s="63"/>
    </row>
    <row r="920">
      <c r="A920" s="186"/>
      <c r="B920" s="63"/>
      <c r="C920" s="63"/>
      <c r="D920" s="63"/>
      <c r="E920" s="63"/>
      <c r="F920" s="184"/>
      <c r="G920" s="184"/>
      <c r="H920" s="184"/>
      <c r="I920" s="184"/>
      <c r="J920" s="184"/>
      <c r="K920" s="69" t="str">
        <f>iferror(vlookup(E920,MasterClass!$C$2:$G988,5,false),"")</f>
        <v/>
      </c>
      <c r="L920" s="184"/>
      <c r="M920" s="184"/>
      <c r="N920" s="184"/>
      <c r="O920" s="63"/>
      <c r="P920" s="63"/>
      <c r="Q920" s="63"/>
      <c r="R920" s="63"/>
      <c r="S920" s="63"/>
      <c r="T920" s="63"/>
      <c r="U920" s="63"/>
      <c r="V920" s="63"/>
      <c r="W920" s="63"/>
      <c r="X920" s="63"/>
      <c r="Y920" s="63"/>
      <c r="Z920" s="63"/>
      <c r="AA920" s="63"/>
      <c r="AB920" s="63"/>
      <c r="AC920" s="63"/>
      <c r="AD920" s="63"/>
      <c r="AE920" s="63"/>
      <c r="AF920" s="63"/>
      <c r="AG920" s="63"/>
      <c r="AH920" s="63"/>
      <c r="AI920" s="63"/>
      <c r="AJ920" s="63"/>
    </row>
    <row r="921">
      <c r="A921" s="186"/>
      <c r="B921" s="63"/>
      <c r="C921" s="63"/>
      <c r="D921" s="63"/>
      <c r="E921" s="63"/>
      <c r="F921" s="184"/>
      <c r="G921" s="184"/>
      <c r="H921" s="184"/>
      <c r="I921" s="184"/>
      <c r="J921" s="184"/>
      <c r="K921" s="69" t="str">
        <f>iferror(vlookup(E921,MasterClass!$C$2:$G988,5,false),"")</f>
        <v/>
      </c>
      <c r="L921" s="184"/>
      <c r="M921" s="184"/>
      <c r="N921" s="184"/>
      <c r="O921" s="63"/>
      <c r="P921" s="63"/>
      <c r="Q921" s="63"/>
      <c r="R921" s="63"/>
      <c r="S921" s="63"/>
      <c r="T921" s="63"/>
      <c r="U921" s="63"/>
      <c r="V921" s="63"/>
      <c r="W921" s="63"/>
      <c r="X921" s="63"/>
      <c r="Y921" s="63"/>
      <c r="Z921" s="63"/>
      <c r="AA921" s="63"/>
      <c r="AB921" s="63"/>
      <c r="AC921" s="63"/>
      <c r="AD921" s="63"/>
      <c r="AE921" s="63"/>
      <c r="AF921" s="63"/>
      <c r="AG921" s="63"/>
      <c r="AH921" s="63"/>
      <c r="AI921" s="63"/>
      <c r="AJ921" s="63"/>
    </row>
    <row r="922">
      <c r="A922" s="186"/>
      <c r="B922" s="63"/>
      <c r="C922" s="63"/>
      <c r="D922" s="63"/>
      <c r="E922" s="63"/>
      <c r="F922" s="184"/>
      <c r="G922" s="184"/>
      <c r="H922" s="184"/>
      <c r="I922" s="184"/>
      <c r="J922" s="184"/>
      <c r="K922" s="69" t="str">
        <f>iferror(vlookup(E922,MasterClass!$C$2:$G988,5,false),"")</f>
        <v/>
      </c>
      <c r="L922" s="184"/>
      <c r="M922" s="184"/>
      <c r="N922" s="184"/>
      <c r="O922" s="63"/>
      <c r="P922" s="63"/>
      <c r="Q922" s="63"/>
      <c r="R922" s="63"/>
      <c r="S922" s="63"/>
      <c r="T922" s="63"/>
      <c r="U922" s="63"/>
      <c r="V922" s="63"/>
      <c r="W922" s="63"/>
      <c r="X922" s="63"/>
      <c r="Y922" s="63"/>
      <c r="Z922" s="63"/>
      <c r="AA922" s="63"/>
      <c r="AB922" s="63"/>
      <c r="AC922" s="63"/>
      <c r="AD922" s="63"/>
      <c r="AE922" s="63"/>
      <c r="AF922" s="63"/>
      <c r="AG922" s="63"/>
      <c r="AH922" s="63"/>
      <c r="AI922" s="63"/>
      <c r="AJ922" s="63"/>
    </row>
    <row r="923">
      <c r="A923" s="186"/>
      <c r="B923" s="63"/>
      <c r="C923" s="63"/>
      <c r="D923" s="63"/>
      <c r="E923" s="63"/>
      <c r="F923" s="184"/>
      <c r="G923" s="184"/>
      <c r="H923" s="184"/>
      <c r="I923" s="184"/>
      <c r="J923" s="184"/>
      <c r="K923" s="69" t="str">
        <f>iferror(vlookup(E923,MasterClass!$C$2:$G988,5,false),"")</f>
        <v/>
      </c>
      <c r="L923" s="184"/>
      <c r="M923" s="184"/>
      <c r="N923" s="184"/>
      <c r="O923" s="63"/>
      <c r="P923" s="63"/>
      <c r="Q923" s="63"/>
      <c r="R923" s="63"/>
      <c r="S923" s="63"/>
      <c r="T923" s="63"/>
      <c r="U923" s="63"/>
      <c r="V923" s="63"/>
      <c r="W923" s="63"/>
      <c r="X923" s="63"/>
      <c r="Y923" s="63"/>
      <c r="Z923" s="63"/>
      <c r="AA923" s="63"/>
      <c r="AB923" s="63"/>
      <c r="AC923" s="63"/>
      <c r="AD923" s="63"/>
      <c r="AE923" s="63"/>
      <c r="AF923" s="63"/>
      <c r="AG923" s="63"/>
      <c r="AH923" s="63"/>
      <c r="AI923" s="63"/>
      <c r="AJ923" s="63"/>
    </row>
    <row r="924">
      <c r="A924" s="186"/>
      <c r="B924" s="63"/>
      <c r="C924" s="63"/>
      <c r="D924" s="63"/>
      <c r="E924" s="63"/>
      <c r="F924" s="184"/>
      <c r="G924" s="184"/>
      <c r="H924" s="184"/>
      <c r="I924" s="184"/>
      <c r="J924" s="184"/>
      <c r="K924" s="69" t="str">
        <f>iferror(vlookup(E924,MasterClass!$C$2:$G988,5,false),"")</f>
        <v/>
      </c>
      <c r="L924" s="184"/>
      <c r="M924" s="184"/>
      <c r="N924" s="184"/>
      <c r="O924" s="63"/>
      <c r="P924" s="63"/>
      <c r="Q924" s="63"/>
      <c r="R924" s="63"/>
      <c r="S924" s="63"/>
      <c r="T924" s="63"/>
      <c r="U924" s="63"/>
      <c r="V924" s="63"/>
      <c r="W924" s="63"/>
      <c r="X924" s="63"/>
      <c r="Y924" s="63"/>
      <c r="Z924" s="63"/>
      <c r="AA924" s="63"/>
      <c r="AB924" s="63"/>
      <c r="AC924" s="63"/>
      <c r="AD924" s="63"/>
      <c r="AE924" s="63"/>
      <c r="AF924" s="63"/>
      <c r="AG924" s="63"/>
      <c r="AH924" s="63"/>
      <c r="AI924" s="63"/>
      <c r="AJ924" s="63"/>
    </row>
    <row r="925">
      <c r="A925" s="186"/>
      <c r="B925" s="63"/>
      <c r="C925" s="63"/>
      <c r="D925" s="63"/>
      <c r="E925" s="63"/>
      <c r="F925" s="184"/>
      <c r="G925" s="184"/>
      <c r="H925" s="184"/>
      <c r="I925" s="184"/>
      <c r="J925" s="184"/>
      <c r="K925" s="69" t="str">
        <f>iferror(vlookup(E925,MasterClass!$C$2:$G988,5,false),"")</f>
        <v/>
      </c>
      <c r="L925" s="184"/>
      <c r="M925" s="184"/>
      <c r="N925" s="184"/>
      <c r="O925" s="63"/>
      <c r="P925" s="63"/>
      <c r="Q925" s="63"/>
      <c r="R925" s="63"/>
      <c r="S925" s="63"/>
      <c r="T925" s="63"/>
      <c r="U925" s="63"/>
      <c r="V925" s="63"/>
      <c r="W925" s="63"/>
      <c r="X925" s="63"/>
      <c r="Y925" s="63"/>
      <c r="Z925" s="63"/>
      <c r="AA925" s="63"/>
      <c r="AB925" s="63"/>
      <c r="AC925" s="63"/>
      <c r="AD925" s="63"/>
      <c r="AE925" s="63"/>
      <c r="AF925" s="63"/>
      <c r="AG925" s="63"/>
      <c r="AH925" s="63"/>
      <c r="AI925" s="63"/>
      <c r="AJ925" s="63"/>
    </row>
    <row r="926">
      <c r="A926" s="186"/>
      <c r="B926" s="63"/>
      <c r="C926" s="63"/>
      <c r="D926" s="63"/>
      <c r="E926" s="63"/>
      <c r="F926" s="184"/>
      <c r="G926" s="184"/>
      <c r="H926" s="184"/>
      <c r="I926" s="184"/>
      <c r="J926" s="184"/>
      <c r="K926" s="69" t="str">
        <f>iferror(vlookup(E926,MasterClass!$C$2:$G988,5,false),"")</f>
        <v/>
      </c>
      <c r="L926" s="184"/>
      <c r="M926" s="184"/>
      <c r="N926" s="184"/>
      <c r="O926" s="63"/>
      <c r="P926" s="63"/>
      <c r="Q926" s="63"/>
      <c r="R926" s="63"/>
      <c r="S926" s="63"/>
      <c r="T926" s="63"/>
      <c r="U926" s="63"/>
      <c r="V926" s="63"/>
      <c r="W926" s="63"/>
      <c r="X926" s="63"/>
      <c r="Y926" s="63"/>
      <c r="Z926" s="63"/>
      <c r="AA926" s="63"/>
      <c r="AB926" s="63"/>
      <c r="AC926" s="63"/>
      <c r="AD926" s="63"/>
      <c r="AE926" s="63"/>
      <c r="AF926" s="63"/>
      <c r="AG926" s="63"/>
      <c r="AH926" s="63"/>
      <c r="AI926" s="63"/>
      <c r="AJ926" s="63"/>
    </row>
    <row r="927">
      <c r="A927" s="186"/>
      <c r="B927" s="63"/>
      <c r="C927" s="63"/>
      <c r="D927" s="63"/>
      <c r="E927" s="63"/>
      <c r="F927" s="184"/>
      <c r="G927" s="184"/>
      <c r="H927" s="184"/>
      <c r="I927" s="184"/>
      <c r="J927" s="184"/>
      <c r="K927" s="69" t="str">
        <f>iferror(vlookup(E927,MasterClass!$C$2:$G988,5,false),"")</f>
        <v/>
      </c>
      <c r="L927" s="184"/>
      <c r="M927" s="184"/>
      <c r="N927" s="184"/>
      <c r="O927" s="63"/>
      <c r="P927" s="63"/>
      <c r="Q927" s="63"/>
      <c r="R927" s="63"/>
      <c r="S927" s="63"/>
      <c r="T927" s="63"/>
      <c r="U927" s="63"/>
      <c r="V927" s="63"/>
      <c r="W927" s="63"/>
      <c r="X927" s="63"/>
      <c r="Y927" s="63"/>
      <c r="Z927" s="63"/>
      <c r="AA927" s="63"/>
      <c r="AB927" s="63"/>
      <c r="AC927" s="63"/>
      <c r="AD927" s="63"/>
      <c r="AE927" s="63"/>
      <c r="AF927" s="63"/>
      <c r="AG927" s="63"/>
      <c r="AH927" s="63"/>
      <c r="AI927" s="63"/>
      <c r="AJ927" s="63"/>
    </row>
    <row r="928">
      <c r="A928" s="186"/>
      <c r="B928" s="63"/>
      <c r="C928" s="63"/>
      <c r="D928" s="63"/>
      <c r="E928" s="63"/>
      <c r="F928" s="184"/>
      <c r="G928" s="184"/>
      <c r="H928" s="184"/>
      <c r="I928" s="184"/>
      <c r="J928" s="184"/>
      <c r="K928" s="69" t="str">
        <f>iferror(vlookup(E928,MasterClass!$C$2:$G988,5,false),"")</f>
        <v/>
      </c>
      <c r="L928" s="184"/>
      <c r="M928" s="184"/>
      <c r="N928" s="184"/>
      <c r="O928" s="63"/>
      <c r="P928" s="63"/>
      <c r="Q928" s="63"/>
      <c r="R928" s="63"/>
      <c r="S928" s="63"/>
      <c r="T928" s="63"/>
      <c r="U928" s="63"/>
      <c r="V928" s="63"/>
      <c r="W928" s="63"/>
      <c r="X928" s="63"/>
      <c r="Y928" s="63"/>
      <c r="Z928" s="63"/>
      <c r="AA928" s="63"/>
      <c r="AB928" s="63"/>
      <c r="AC928" s="63"/>
      <c r="AD928" s="63"/>
      <c r="AE928" s="63"/>
      <c r="AF928" s="63"/>
      <c r="AG928" s="63"/>
      <c r="AH928" s="63"/>
      <c r="AI928" s="63"/>
      <c r="AJ928" s="63"/>
    </row>
    <row r="929">
      <c r="A929" s="186"/>
      <c r="B929" s="63"/>
      <c r="C929" s="63"/>
      <c r="D929" s="63"/>
      <c r="E929" s="63"/>
      <c r="F929" s="184"/>
      <c r="G929" s="184"/>
      <c r="H929" s="184"/>
      <c r="I929" s="184"/>
      <c r="J929" s="184"/>
      <c r="K929" s="69" t="str">
        <f>iferror(vlookup(E929,MasterClass!$C$2:$G988,5,false),"")</f>
        <v/>
      </c>
      <c r="L929" s="184"/>
      <c r="M929" s="184"/>
      <c r="N929" s="184"/>
      <c r="O929" s="63"/>
      <c r="P929" s="63"/>
      <c r="Q929" s="63"/>
      <c r="R929" s="63"/>
      <c r="S929" s="63"/>
      <c r="T929" s="63"/>
      <c r="U929" s="63"/>
      <c r="V929" s="63"/>
      <c r="W929" s="63"/>
      <c r="X929" s="63"/>
      <c r="Y929" s="63"/>
      <c r="Z929" s="63"/>
      <c r="AA929" s="63"/>
      <c r="AB929" s="63"/>
      <c r="AC929" s="63"/>
      <c r="AD929" s="63"/>
      <c r="AE929" s="63"/>
      <c r="AF929" s="63"/>
      <c r="AG929" s="63"/>
      <c r="AH929" s="63"/>
      <c r="AI929" s="63"/>
      <c r="AJ929" s="63"/>
    </row>
    <row r="930">
      <c r="A930" s="186"/>
      <c r="B930" s="63"/>
      <c r="C930" s="63"/>
      <c r="D930" s="63"/>
      <c r="E930" s="63"/>
      <c r="F930" s="184"/>
      <c r="G930" s="184"/>
      <c r="H930" s="184"/>
      <c r="I930" s="184"/>
      <c r="J930" s="184"/>
      <c r="K930" s="69" t="str">
        <f>iferror(vlookup(E930,MasterClass!$C$2:$G988,5,false),"")</f>
        <v/>
      </c>
      <c r="L930" s="184"/>
      <c r="M930" s="184"/>
      <c r="N930" s="184"/>
      <c r="O930" s="63"/>
      <c r="P930" s="63"/>
      <c r="Q930" s="63"/>
      <c r="R930" s="63"/>
      <c r="S930" s="63"/>
      <c r="T930" s="63"/>
      <c r="U930" s="63"/>
      <c r="V930" s="63"/>
      <c r="W930" s="63"/>
      <c r="X930" s="63"/>
      <c r="Y930" s="63"/>
      <c r="Z930" s="63"/>
      <c r="AA930" s="63"/>
      <c r="AB930" s="63"/>
      <c r="AC930" s="63"/>
      <c r="AD930" s="63"/>
      <c r="AE930" s="63"/>
      <c r="AF930" s="63"/>
      <c r="AG930" s="63"/>
      <c r="AH930" s="63"/>
      <c r="AI930" s="63"/>
      <c r="AJ930" s="63"/>
    </row>
    <row r="931">
      <c r="A931" s="186"/>
      <c r="B931" s="63"/>
      <c r="C931" s="63"/>
      <c r="D931" s="63"/>
      <c r="E931" s="63"/>
      <c r="F931" s="184"/>
      <c r="G931" s="184"/>
      <c r="H931" s="184"/>
      <c r="I931" s="184"/>
      <c r="J931" s="184"/>
      <c r="K931" s="69" t="str">
        <f>iferror(vlookup(E931,MasterClass!$C$2:$G988,5,false),"")</f>
        <v/>
      </c>
      <c r="L931" s="184"/>
      <c r="M931" s="184"/>
      <c r="N931" s="184"/>
      <c r="O931" s="63"/>
      <c r="P931" s="63"/>
      <c r="Q931" s="63"/>
      <c r="R931" s="63"/>
      <c r="S931" s="63"/>
      <c r="T931" s="63"/>
      <c r="U931" s="63"/>
      <c r="V931" s="63"/>
      <c r="W931" s="63"/>
      <c r="X931" s="63"/>
      <c r="Y931" s="63"/>
      <c r="Z931" s="63"/>
      <c r="AA931" s="63"/>
      <c r="AB931" s="63"/>
      <c r="AC931" s="63"/>
      <c r="AD931" s="63"/>
      <c r="AE931" s="63"/>
      <c r="AF931" s="63"/>
      <c r="AG931" s="63"/>
      <c r="AH931" s="63"/>
      <c r="AI931" s="63"/>
      <c r="AJ931" s="63"/>
    </row>
    <row r="932">
      <c r="A932" s="186"/>
      <c r="B932" s="63"/>
      <c r="C932" s="63"/>
      <c r="D932" s="63"/>
      <c r="E932" s="63"/>
      <c r="F932" s="184"/>
      <c r="G932" s="184"/>
      <c r="H932" s="184"/>
      <c r="I932" s="184"/>
      <c r="J932" s="184"/>
      <c r="K932" s="69" t="str">
        <f>iferror(vlookup(E932,MasterClass!$C$2:$G988,5,false),"")</f>
        <v/>
      </c>
      <c r="L932" s="184"/>
      <c r="M932" s="184"/>
      <c r="N932" s="184"/>
      <c r="O932" s="63"/>
      <c r="P932" s="63"/>
      <c r="Q932" s="63"/>
      <c r="R932" s="63"/>
      <c r="S932" s="63"/>
      <c r="T932" s="63"/>
      <c r="U932" s="63"/>
      <c r="V932" s="63"/>
      <c r="W932" s="63"/>
      <c r="X932" s="63"/>
      <c r="Y932" s="63"/>
      <c r="Z932" s="63"/>
      <c r="AA932" s="63"/>
      <c r="AB932" s="63"/>
      <c r="AC932" s="63"/>
      <c r="AD932" s="63"/>
      <c r="AE932" s="63"/>
      <c r="AF932" s="63"/>
      <c r="AG932" s="63"/>
      <c r="AH932" s="63"/>
      <c r="AI932" s="63"/>
      <c r="AJ932" s="63"/>
    </row>
    <row r="933">
      <c r="A933" s="186"/>
      <c r="B933" s="63"/>
      <c r="C933" s="63"/>
      <c r="D933" s="63"/>
      <c r="E933" s="63"/>
      <c r="F933" s="184"/>
      <c r="G933" s="184"/>
      <c r="H933" s="184"/>
      <c r="I933" s="184"/>
      <c r="J933" s="184"/>
      <c r="K933" s="69" t="str">
        <f>iferror(vlookup(E933,MasterClass!$C$2:$G988,5,false),"")</f>
        <v/>
      </c>
      <c r="L933" s="184"/>
      <c r="M933" s="184"/>
      <c r="N933" s="184"/>
      <c r="O933" s="63"/>
      <c r="P933" s="63"/>
      <c r="Q933" s="63"/>
      <c r="R933" s="63"/>
      <c r="S933" s="63"/>
      <c r="T933" s="63"/>
      <c r="U933" s="63"/>
      <c r="V933" s="63"/>
      <c r="W933" s="63"/>
      <c r="X933" s="63"/>
      <c r="Y933" s="63"/>
      <c r="Z933" s="63"/>
      <c r="AA933" s="63"/>
      <c r="AB933" s="63"/>
      <c r="AC933" s="63"/>
      <c r="AD933" s="63"/>
      <c r="AE933" s="63"/>
      <c r="AF933" s="63"/>
      <c r="AG933" s="63"/>
      <c r="AH933" s="63"/>
      <c r="AI933" s="63"/>
      <c r="AJ933" s="63"/>
    </row>
    <row r="934">
      <c r="A934" s="186"/>
      <c r="B934" s="63"/>
      <c r="C934" s="63"/>
      <c r="D934" s="63"/>
      <c r="E934" s="63"/>
      <c r="F934" s="184"/>
      <c r="G934" s="184"/>
      <c r="H934" s="184"/>
      <c r="I934" s="184"/>
      <c r="J934" s="184"/>
      <c r="K934" s="69" t="str">
        <f>iferror(vlookup(E934,MasterClass!$C$2:$G988,5,false),"")</f>
        <v/>
      </c>
      <c r="L934" s="184"/>
      <c r="M934" s="184"/>
      <c r="N934" s="184"/>
      <c r="O934" s="63"/>
      <c r="P934" s="63"/>
      <c r="Q934" s="63"/>
      <c r="R934" s="63"/>
      <c r="S934" s="63"/>
      <c r="T934" s="63"/>
      <c r="U934" s="63"/>
      <c r="V934" s="63"/>
      <c r="W934" s="63"/>
      <c r="X934" s="63"/>
      <c r="Y934" s="63"/>
      <c r="Z934" s="63"/>
      <c r="AA934" s="63"/>
      <c r="AB934" s="63"/>
      <c r="AC934" s="63"/>
      <c r="AD934" s="63"/>
      <c r="AE934" s="63"/>
      <c r="AF934" s="63"/>
      <c r="AG934" s="63"/>
      <c r="AH934" s="63"/>
      <c r="AI934" s="63"/>
      <c r="AJ934" s="63"/>
    </row>
    <row r="935">
      <c r="A935" s="186"/>
      <c r="B935" s="63"/>
      <c r="C935" s="63"/>
      <c r="D935" s="63"/>
      <c r="E935" s="63"/>
      <c r="F935" s="184"/>
      <c r="G935" s="184"/>
      <c r="H935" s="184"/>
      <c r="I935" s="184"/>
      <c r="J935" s="184"/>
      <c r="K935" s="69" t="str">
        <f>iferror(vlookup(E935,MasterClass!$C$2:$G988,5,false),"")</f>
        <v/>
      </c>
      <c r="L935" s="184"/>
      <c r="M935" s="184"/>
      <c r="N935" s="184"/>
      <c r="O935" s="63"/>
      <c r="P935" s="63"/>
      <c r="Q935" s="63"/>
      <c r="R935" s="63"/>
      <c r="S935" s="63"/>
      <c r="T935" s="63"/>
      <c r="U935" s="63"/>
      <c r="V935" s="63"/>
      <c r="W935" s="63"/>
      <c r="X935" s="63"/>
      <c r="Y935" s="63"/>
      <c r="Z935" s="63"/>
      <c r="AA935" s="63"/>
      <c r="AB935" s="63"/>
      <c r="AC935" s="63"/>
      <c r="AD935" s="63"/>
      <c r="AE935" s="63"/>
      <c r="AF935" s="63"/>
      <c r="AG935" s="63"/>
      <c r="AH935" s="63"/>
      <c r="AI935" s="63"/>
      <c r="AJ935" s="63"/>
    </row>
    <row r="936">
      <c r="A936" s="186"/>
      <c r="B936" s="63"/>
      <c r="C936" s="63"/>
      <c r="D936" s="63"/>
      <c r="E936" s="63"/>
      <c r="F936" s="184"/>
      <c r="G936" s="184"/>
      <c r="H936" s="184"/>
      <c r="I936" s="184"/>
      <c r="J936" s="184"/>
      <c r="K936" s="69" t="str">
        <f>iferror(vlookup(E936,MasterClass!$C$2:$G988,5,false),"")</f>
        <v/>
      </c>
      <c r="L936" s="184"/>
      <c r="M936" s="184"/>
      <c r="N936" s="184"/>
      <c r="O936" s="63"/>
      <c r="P936" s="63"/>
      <c r="Q936" s="63"/>
      <c r="R936" s="63"/>
      <c r="S936" s="63"/>
      <c r="T936" s="63"/>
      <c r="U936" s="63"/>
      <c r="V936" s="63"/>
      <c r="W936" s="63"/>
      <c r="X936" s="63"/>
      <c r="Y936" s="63"/>
      <c r="Z936" s="63"/>
      <c r="AA936" s="63"/>
      <c r="AB936" s="63"/>
      <c r="AC936" s="63"/>
      <c r="AD936" s="63"/>
      <c r="AE936" s="63"/>
      <c r="AF936" s="63"/>
      <c r="AG936" s="63"/>
      <c r="AH936" s="63"/>
      <c r="AI936" s="63"/>
      <c r="AJ936" s="63"/>
    </row>
    <row r="937">
      <c r="A937" s="186"/>
      <c r="B937" s="63"/>
      <c r="C937" s="63"/>
      <c r="D937" s="63"/>
      <c r="E937" s="63"/>
      <c r="F937" s="184"/>
      <c r="G937" s="184"/>
      <c r="H937" s="184"/>
      <c r="I937" s="184"/>
      <c r="J937" s="184"/>
      <c r="K937" s="69" t="str">
        <f>iferror(vlookup(E937,MasterClass!$C$2:$G988,5,false),"")</f>
        <v/>
      </c>
      <c r="L937" s="184"/>
      <c r="M937" s="184"/>
      <c r="N937" s="184"/>
      <c r="O937" s="63"/>
      <c r="P937" s="63"/>
      <c r="Q937" s="63"/>
      <c r="R937" s="63"/>
      <c r="S937" s="63"/>
      <c r="T937" s="63"/>
      <c r="U937" s="63"/>
      <c r="V937" s="63"/>
      <c r="W937" s="63"/>
      <c r="X937" s="63"/>
      <c r="Y937" s="63"/>
      <c r="Z937" s="63"/>
      <c r="AA937" s="63"/>
      <c r="AB937" s="63"/>
      <c r="AC937" s="63"/>
      <c r="AD937" s="63"/>
      <c r="AE937" s="63"/>
      <c r="AF937" s="63"/>
      <c r="AG937" s="63"/>
      <c r="AH937" s="63"/>
      <c r="AI937" s="63"/>
      <c r="AJ937" s="63"/>
    </row>
    <row r="938">
      <c r="A938" s="186"/>
      <c r="B938" s="63"/>
      <c r="C938" s="63"/>
      <c r="D938" s="63"/>
      <c r="E938" s="63"/>
      <c r="F938" s="184"/>
      <c r="G938" s="184"/>
      <c r="H938" s="184"/>
      <c r="I938" s="184"/>
      <c r="J938" s="184"/>
      <c r="K938" s="69" t="str">
        <f>iferror(vlookup(E938,MasterClass!$C$2:$G988,5,false),"")</f>
        <v/>
      </c>
      <c r="L938" s="184"/>
      <c r="M938" s="184"/>
      <c r="N938" s="184"/>
      <c r="O938" s="63"/>
      <c r="P938" s="63"/>
      <c r="Q938" s="63"/>
      <c r="R938" s="63"/>
      <c r="S938" s="63"/>
      <c r="T938" s="63"/>
      <c r="U938" s="63"/>
      <c r="V938" s="63"/>
      <c r="W938" s="63"/>
      <c r="X938" s="63"/>
      <c r="Y938" s="63"/>
      <c r="Z938" s="63"/>
      <c r="AA938" s="63"/>
      <c r="AB938" s="63"/>
      <c r="AC938" s="63"/>
      <c r="AD938" s="63"/>
      <c r="AE938" s="63"/>
      <c r="AF938" s="63"/>
      <c r="AG938" s="63"/>
      <c r="AH938" s="63"/>
      <c r="AI938" s="63"/>
      <c r="AJ938" s="63"/>
    </row>
    <row r="939">
      <c r="A939" s="186"/>
      <c r="B939" s="63"/>
      <c r="C939" s="63"/>
      <c r="D939" s="63"/>
      <c r="E939" s="63"/>
      <c r="F939" s="184"/>
      <c r="G939" s="184"/>
      <c r="H939" s="184"/>
      <c r="I939" s="184"/>
      <c r="J939" s="184"/>
      <c r="K939" s="69" t="str">
        <f>iferror(vlookup(E939,MasterClass!$C$2:$G988,5,false),"")</f>
        <v/>
      </c>
      <c r="L939" s="184"/>
      <c r="M939" s="184"/>
      <c r="N939" s="184"/>
      <c r="O939" s="63"/>
      <c r="P939" s="63"/>
      <c r="Q939" s="63"/>
      <c r="R939" s="63"/>
      <c r="S939" s="63"/>
      <c r="T939" s="63"/>
      <c r="U939" s="63"/>
      <c r="V939" s="63"/>
      <c r="W939" s="63"/>
      <c r="X939" s="63"/>
      <c r="Y939" s="63"/>
      <c r="Z939" s="63"/>
      <c r="AA939" s="63"/>
      <c r="AB939" s="63"/>
      <c r="AC939" s="63"/>
      <c r="AD939" s="63"/>
      <c r="AE939" s="63"/>
      <c r="AF939" s="63"/>
      <c r="AG939" s="63"/>
      <c r="AH939" s="63"/>
      <c r="AI939" s="63"/>
      <c r="AJ939" s="63"/>
    </row>
    <row r="940">
      <c r="A940" s="186"/>
      <c r="B940" s="63"/>
      <c r="C940" s="63"/>
      <c r="D940" s="63"/>
      <c r="E940" s="63"/>
      <c r="F940" s="184"/>
      <c r="G940" s="184"/>
      <c r="H940" s="184"/>
      <c r="I940" s="184"/>
      <c r="J940" s="184"/>
      <c r="K940" s="69" t="str">
        <f>iferror(vlookup(E940,MasterClass!$C$2:$G988,5,false),"")</f>
        <v/>
      </c>
      <c r="L940" s="184"/>
      <c r="M940" s="184"/>
      <c r="N940" s="184"/>
      <c r="O940" s="63"/>
      <c r="P940" s="63"/>
      <c r="Q940" s="63"/>
      <c r="R940" s="63"/>
      <c r="S940" s="63"/>
      <c r="T940" s="63"/>
      <c r="U940" s="63"/>
      <c r="V940" s="63"/>
      <c r="W940" s="63"/>
      <c r="X940" s="63"/>
      <c r="Y940" s="63"/>
      <c r="Z940" s="63"/>
      <c r="AA940" s="63"/>
      <c r="AB940" s="63"/>
      <c r="AC940" s="63"/>
      <c r="AD940" s="63"/>
      <c r="AE940" s="63"/>
      <c r="AF940" s="63"/>
      <c r="AG940" s="63"/>
      <c r="AH940" s="63"/>
      <c r="AI940" s="63"/>
      <c r="AJ940" s="63"/>
    </row>
    <row r="941">
      <c r="A941" s="186"/>
      <c r="B941" s="63"/>
      <c r="C941" s="63"/>
      <c r="D941" s="63"/>
      <c r="E941" s="63"/>
      <c r="F941" s="184"/>
      <c r="G941" s="184"/>
      <c r="H941" s="184"/>
      <c r="I941" s="184"/>
      <c r="J941" s="184"/>
      <c r="K941" s="69" t="str">
        <f>iferror(vlookup(E941,MasterClass!$C$2:$G988,5,false),"")</f>
        <v/>
      </c>
      <c r="L941" s="184"/>
      <c r="M941" s="184"/>
      <c r="N941" s="184"/>
      <c r="O941" s="63"/>
      <c r="P941" s="63"/>
      <c r="Q941" s="63"/>
      <c r="R941" s="63"/>
      <c r="S941" s="63"/>
      <c r="T941" s="63"/>
      <c r="U941" s="63"/>
      <c r="V941" s="63"/>
      <c r="W941" s="63"/>
      <c r="X941" s="63"/>
      <c r="Y941" s="63"/>
      <c r="Z941" s="63"/>
      <c r="AA941" s="63"/>
      <c r="AB941" s="63"/>
      <c r="AC941" s="63"/>
      <c r="AD941" s="63"/>
      <c r="AE941" s="63"/>
      <c r="AF941" s="63"/>
      <c r="AG941" s="63"/>
      <c r="AH941" s="63"/>
      <c r="AI941" s="63"/>
      <c r="AJ941" s="63"/>
    </row>
    <row r="942">
      <c r="A942" s="186"/>
      <c r="B942" s="63"/>
      <c r="C942" s="63"/>
      <c r="D942" s="63"/>
      <c r="E942" s="63"/>
      <c r="F942" s="184"/>
      <c r="G942" s="184"/>
      <c r="H942" s="184"/>
      <c r="I942" s="184"/>
      <c r="J942" s="184"/>
      <c r="K942" s="69" t="str">
        <f>iferror(vlookup(E942,MasterClass!$C$2:$G988,5,false),"")</f>
        <v/>
      </c>
      <c r="L942" s="184"/>
      <c r="M942" s="184"/>
      <c r="N942" s="184"/>
      <c r="O942" s="63"/>
      <c r="P942" s="63"/>
      <c r="Q942" s="63"/>
      <c r="R942" s="63"/>
      <c r="S942" s="63"/>
      <c r="T942" s="63"/>
      <c r="U942" s="63"/>
      <c r="V942" s="63"/>
      <c r="W942" s="63"/>
      <c r="X942" s="63"/>
      <c r="Y942" s="63"/>
      <c r="Z942" s="63"/>
      <c r="AA942" s="63"/>
      <c r="AB942" s="63"/>
      <c r="AC942" s="63"/>
      <c r="AD942" s="63"/>
      <c r="AE942" s="63"/>
      <c r="AF942" s="63"/>
      <c r="AG942" s="63"/>
      <c r="AH942" s="63"/>
      <c r="AI942" s="63"/>
      <c r="AJ942" s="63"/>
    </row>
    <row r="943">
      <c r="A943" s="186"/>
      <c r="B943" s="63"/>
      <c r="C943" s="63"/>
      <c r="D943" s="63"/>
      <c r="E943" s="63"/>
      <c r="F943" s="184"/>
      <c r="G943" s="184"/>
      <c r="H943" s="184"/>
      <c r="I943" s="184"/>
      <c r="J943" s="184"/>
      <c r="K943" s="69" t="str">
        <f>iferror(vlookup(E943,MasterClass!$C$2:$G988,5,false),"")</f>
        <v/>
      </c>
      <c r="L943" s="184"/>
      <c r="M943" s="184"/>
      <c r="N943" s="184"/>
      <c r="O943" s="63"/>
      <c r="P943" s="63"/>
      <c r="Q943" s="63"/>
      <c r="R943" s="63"/>
      <c r="S943" s="63"/>
      <c r="T943" s="63"/>
      <c r="U943" s="63"/>
      <c r="V943" s="63"/>
      <c r="W943" s="63"/>
      <c r="X943" s="63"/>
      <c r="Y943" s="63"/>
      <c r="Z943" s="63"/>
      <c r="AA943" s="63"/>
      <c r="AB943" s="63"/>
      <c r="AC943" s="63"/>
      <c r="AD943" s="63"/>
      <c r="AE943" s="63"/>
      <c r="AF943" s="63"/>
      <c r="AG943" s="63"/>
      <c r="AH943" s="63"/>
      <c r="AI943" s="63"/>
      <c r="AJ943" s="63"/>
    </row>
    <row r="944">
      <c r="A944" s="186"/>
      <c r="B944" s="63"/>
      <c r="C944" s="63"/>
      <c r="D944" s="63"/>
      <c r="E944" s="63"/>
      <c r="F944" s="184"/>
      <c r="G944" s="184"/>
      <c r="H944" s="184"/>
      <c r="I944" s="184"/>
      <c r="J944" s="184"/>
      <c r="K944" s="69" t="str">
        <f>iferror(vlookup(E944,MasterClass!$C$2:$G988,5,false),"")</f>
        <v/>
      </c>
      <c r="L944" s="184"/>
      <c r="M944" s="184"/>
      <c r="N944" s="184"/>
      <c r="O944" s="63"/>
      <c r="P944" s="63"/>
      <c r="Q944" s="63"/>
      <c r="R944" s="63"/>
      <c r="S944" s="63"/>
      <c r="T944" s="63"/>
      <c r="U944" s="63"/>
      <c r="V944" s="63"/>
      <c r="W944" s="63"/>
      <c r="X944" s="63"/>
      <c r="Y944" s="63"/>
      <c r="Z944" s="63"/>
      <c r="AA944" s="63"/>
      <c r="AB944" s="63"/>
      <c r="AC944" s="63"/>
      <c r="AD944" s="63"/>
      <c r="AE944" s="63"/>
      <c r="AF944" s="63"/>
      <c r="AG944" s="63"/>
      <c r="AH944" s="63"/>
      <c r="AI944" s="63"/>
      <c r="AJ944" s="63"/>
    </row>
    <row r="945">
      <c r="A945" s="186"/>
      <c r="B945" s="63"/>
      <c r="C945" s="63"/>
      <c r="D945" s="63"/>
      <c r="E945" s="63"/>
      <c r="F945" s="184"/>
      <c r="G945" s="184"/>
      <c r="H945" s="184"/>
      <c r="I945" s="184"/>
      <c r="J945" s="184"/>
      <c r="K945" s="69" t="str">
        <f>iferror(vlookup(E945,MasterClass!$C$2:$G988,5,false),"")</f>
        <v/>
      </c>
      <c r="L945" s="184"/>
      <c r="M945" s="184"/>
      <c r="N945" s="184"/>
      <c r="O945" s="63"/>
      <c r="P945" s="63"/>
      <c r="Q945" s="63"/>
      <c r="R945" s="63"/>
      <c r="S945" s="63"/>
      <c r="T945" s="63"/>
      <c r="U945" s="63"/>
      <c r="V945" s="63"/>
      <c r="W945" s="63"/>
      <c r="X945" s="63"/>
      <c r="Y945" s="63"/>
      <c r="Z945" s="63"/>
      <c r="AA945" s="63"/>
      <c r="AB945" s="63"/>
      <c r="AC945" s="63"/>
      <c r="AD945" s="63"/>
      <c r="AE945" s="63"/>
      <c r="AF945" s="63"/>
      <c r="AG945" s="63"/>
      <c r="AH945" s="63"/>
      <c r="AI945" s="63"/>
      <c r="AJ945" s="63"/>
    </row>
    <row r="946">
      <c r="A946" s="186"/>
      <c r="B946" s="63"/>
      <c r="C946" s="63"/>
      <c r="D946" s="63"/>
      <c r="E946" s="63"/>
      <c r="F946" s="184"/>
      <c r="G946" s="184"/>
      <c r="H946" s="184"/>
      <c r="I946" s="184"/>
      <c r="J946" s="184"/>
      <c r="K946" s="69" t="str">
        <f>iferror(vlookup(E946,MasterClass!$C$2:$G988,5,false),"")</f>
        <v/>
      </c>
      <c r="L946" s="184"/>
      <c r="M946" s="184"/>
      <c r="N946" s="184"/>
      <c r="O946" s="63"/>
      <c r="P946" s="63"/>
      <c r="Q946" s="63"/>
      <c r="R946" s="63"/>
      <c r="S946" s="63"/>
      <c r="T946" s="63"/>
      <c r="U946" s="63"/>
      <c r="V946" s="63"/>
      <c r="W946" s="63"/>
      <c r="X946" s="63"/>
      <c r="Y946" s="63"/>
      <c r="Z946" s="63"/>
      <c r="AA946" s="63"/>
      <c r="AB946" s="63"/>
      <c r="AC946" s="63"/>
      <c r="AD946" s="63"/>
      <c r="AE946" s="63"/>
      <c r="AF946" s="63"/>
      <c r="AG946" s="63"/>
      <c r="AH946" s="63"/>
      <c r="AI946" s="63"/>
      <c r="AJ946" s="63"/>
    </row>
    <row r="947">
      <c r="A947" s="186"/>
      <c r="B947" s="63"/>
      <c r="C947" s="63"/>
      <c r="D947" s="63"/>
      <c r="E947" s="63"/>
      <c r="F947" s="184"/>
      <c r="G947" s="184"/>
      <c r="H947" s="184"/>
      <c r="I947" s="184"/>
      <c r="J947" s="184"/>
      <c r="K947" s="69" t="str">
        <f>iferror(vlookup(E947,MasterClass!$C$2:$G988,5,false),"")</f>
        <v/>
      </c>
      <c r="L947" s="184"/>
      <c r="M947" s="184"/>
      <c r="N947" s="184"/>
      <c r="O947" s="63"/>
      <c r="P947" s="63"/>
      <c r="Q947" s="63"/>
      <c r="R947" s="63"/>
      <c r="S947" s="63"/>
      <c r="T947" s="63"/>
      <c r="U947" s="63"/>
      <c r="V947" s="63"/>
      <c r="W947" s="63"/>
      <c r="X947" s="63"/>
      <c r="Y947" s="63"/>
      <c r="Z947" s="63"/>
      <c r="AA947" s="63"/>
      <c r="AB947" s="63"/>
      <c r="AC947" s="63"/>
      <c r="AD947" s="63"/>
      <c r="AE947" s="63"/>
      <c r="AF947" s="63"/>
      <c r="AG947" s="63"/>
      <c r="AH947" s="63"/>
      <c r="AI947" s="63"/>
      <c r="AJ947" s="63"/>
    </row>
    <row r="948">
      <c r="A948" s="186"/>
      <c r="B948" s="63"/>
      <c r="C948" s="63"/>
      <c r="D948" s="63"/>
      <c r="E948" s="63"/>
      <c r="F948" s="184"/>
      <c r="G948" s="184"/>
      <c r="H948" s="184"/>
      <c r="I948" s="184"/>
      <c r="J948" s="184"/>
      <c r="K948" s="69" t="str">
        <f>iferror(vlookup(E948,MasterClass!$C$2:$G988,5,false),"")</f>
        <v/>
      </c>
      <c r="L948" s="184"/>
      <c r="M948" s="184"/>
      <c r="N948" s="184"/>
      <c r="O948" s="63"/>
      <c r="P948" s="63"/>
      <c r="Q948" s="63"/>
      <c r="R948" s="63"/>
      <c r="S948" s="63"/>
      <c r="T948" s="63"/>
      <c r="U948" s="63"/>
      <c r="V948" s="63"/>
      <c r="W948" s="63"/>
      <c r="X948" s="63"/>
      <c r="Y948" s="63"/>
      <c r="Z948" s="63"/>
      <c r="AA948" s="63"/>
      <c r="AB948" s="63"/>
      <c r="AC948" s="63"/>
      <c r="AD948" s="63"/>
      <c r="AE948" s="63"/>
      <c r="AF948" s="63"/>
      <c r="AG948" s="63"/>
      <c r="AH948" s="63"/>
      <c r="AI948" s="63"/>
      <c r="AJ948" s="63"/>
    </row>
    <row r="949">
      <c r="A949" s="186"/>
      <c r="B949" s="63"/>
      <c r="C949" s="63"/>
      <c r="D949" s="63"/>
      <c r="E949" s="63"/>
      <c r="F949" s="184"/>
      <c r="G949" s="184"/>
      <c r="H949" s="184"/>
      <c r="I949" s="184"/>
      <c r="J949" s="184"/>
      <c r="K949" s="69" t="str">
        <f>iferror(vlookup(E949,MasterClass!$C$2:$G988,5,false),"")</f>
        <v/>
      </c>
      <c r="L949" s="184"/>
      <c r="M949" s="184"/>
      <c r="N949" s="184"/>
      <c r="O949" s="63"/>
      <c r="P949" s="63"/>
      <c r="Q949" s="63"/>
      <c r="R949" s="63"/>
      <c r="S949" s="63"/>
      <c r="T949" s="63"/>
      <c r="U949" s="63"/>
      <c r="V949" s="63"/>
      <c r="W949" s="63"/>
      <c r="X949" s="63"/>
      <c r="Y949" s="63"/>
      <c r="Z949" s="63"/>
      <c r="AA949" s="63"/>
      <c r="AB949" s="63"/>
      <c r="AC949" s="63"/>
      <c r="AD949" s="63"/>
      <c r="AE949" s="63"/>
      <c r="AF949" s="63"/>
      <c r="AG949" s="63"/>
      <c r="AH949" s="63"/>
      <c r="AI949" s="63"/>
      <c r="AJ949" s="63"/>
    </row>
    <row r="950">
      <c r="A950" s="186"/>
      <c r="B950" s="63"/>
      <c r="C950" s="63"/>
      <c r="D950" s="63"/>
      <c r="E950" s="63"/>
      <c r="F950" s="184"/>
      <c r="G950" s="184"/>
      <c r="H950" s="184"/>
      <c r="I950" s="184"/>
      <c r="J950" s="184"/>
      <c r="K950" s="69" t="str">
        <f>iferror(vlookup(E950,MasterClass!$C$2:$G988,5,false),"")</f>
        <v/>
      </c>
      <c r="L950" s="184"/>
      <c r="M950" s="184"/>
      <c r="N950" s="184"/>
      <c r="O950" s="63"/>
      <c r="P950" s="63"/>
      <c r="Q950" s="63"/>
      <c r="R950" s="63"/>
      <c r="S950" s="63"/>
      <c r="T950" s="63"/>
      <c r="U950" s="63"/>
      <c r="V950" s="63"/>
      <c r="W950" s="63"/>
      <c r="X950" s="63"/>
      <c r="Y950" s="63"/>
      <c r="Z950" s="63"/>
      <c r="AA950" s="63"/>
      <c r="AB950" s="63"/>
      <c r="AC950" s="63"/>
      <c r="AD950" s="63"/>
      <c r="AE950" s="63"/>
      <c r="AF950" s="63"/>
      <c r="AG950" s="63"/>
      <c r="AH950" s="63"/>
      <c r="AI950" s="63"/>
      <c r="AJ950" s="63"/>
    </row>
    <row r="951">
      <c r="A951" s="186"/>
      <c r="B951" s="63"/>
      <c r="C951" s="63"/>
      <c r="D951" s="63"/>
      <c r="E951" s="63"/>
      <c r="F951" s="184"/>
      <c r="G951" s="184"/>
      <c r="H951" s="184"/>
      <c r="I951" s="184"/>
      <c r="J951" s="184"/>
      <c r="K951" s="69" t="str">
        <f>iferror(vlookup(E951,MasterClass!$C$2:$G988,5,false),"")</f>
        <v/>
      </c>
      <c r="L951" s="184"/>
      <c r="M951" s="184"/>
      <c r="N951" s="184"/>
      <c r="O951" s="63"/>
      <c r="P951" s="63"/>
      <c r="Q951" s="63"/>
      <c r="R951" s="63"/>
      <c r="S951" s="63"/>
      <c r="T951" s="63"/>
      <c r="U951" s="63"/>
      <c r="V951" s="63"/>
      <c r="W951" s="63"/>
      <c r="X951" s="63"/>
      <c r="Y951" s="63"/>
      <c r="Z951" s="63"/>
      <c r="AA951" s="63"/>
      <c r="AB951" s="63"/>
      <c r="AC951" s="63"/>
      <c r="AD951" s="63"/>
      <c r="AE951" s="63"/>
      <c r="AF951" s="63"/>
      <c r="AG951" s="63"/>
      <c r="AH951" s="63"/>
      <c r="AI951" s="63"/>
      <c r="AJ951" s="63"/>
    </row>
    <row r="952">
      <c r="A952" s="186"/>
      <c r="B952" s="63"/>
      <c r="C952" s="63"/>
      <c r="D952" s="63"/>
      <c r="E952" s="63"/>
      <c r="F952" s="184"/>
      <c r="G952" s="184"/>
      <c r="H952" s="184"/>
      <c r="I952" s="184"/>
      <c r="J952" s="184"/>
      <c r="K952" s="69" t="str">
        <f>iferror(vlookup(E952,MasterClass!$C$2:$G988,5,false),"")</f>
        <v/>
      </c>
      <c r="L952" s="184"/>
      <c r="M952" s="184"/>
      <c r="N952" s="184"/>
      <c r="O952" s="63"/>
      <c r="P952" s="63"/>
      <c r="Q952" s="63"/>
      <c r="R952" s="63"/>
      <c r="S952" s="63"/>
      <c r="T952" s="63"/>
      <c r="U952" s="63"/>
      <c r="V952" s="63"/>
      <c r="W952" s="63"/>
      <c r="X952" s="63"/>
      <c r="Y952" s="63"/>
      <c r="Z952" s="63"/>
      <c r="AA952" s="63"/>
      <c r="AB952" s="63"/>
      <c r="AC952" s="63"/>
      <c r="AD952" s="63"/>
      <c r="AE952" s="63"/>
      <c r="AF952" s="63"/>
      <c r="AG952" s="63"/>
      <c r="AH952" s="63"/>
      <c r="AI952" s="63"/>
      <c r="AJ952" s="63"/>
    </row>
    <row r="953">
      <c r="A953" s="186"/>
      <c r="B953" s="63"/>
      <c r="C953" s="63"/>
      <c r="D953" s="63"/>
      <c r="E953" s="63"/>
      <c r="F953" s="184"/>
      <c r="G953" s="184"/>
      <c r="H953" s="184"/>
      <c r="I953" s="184"/>
      <c r="J953" s="184"/>
      <c r="K953" s="69" t="str">
        <f>iferror(vlookup(E953,MasterClass!$C$2:$G988,5,false),"")</f>
        <v/>
      </c>
      <c r="L953" s="184"/>
      <c r="M953" s="184"/>
      <c r="N953" s="184"/>
      <c r="O953" s="63"/>
      <c r="P953" s="63"/>
      <c r="Q953" s="63"/>
      <c r="R953" s="63"/>
      <c r="S953" s="63"/>
      <c r="T953" s="63"/>
      <c r="U953" s="63"/>
      <c r="V953" s="63"/>
      <c r="W953" s="63"/>
      <c r="X953" s="63"/>
      <c r="Y953" s="63"/>
      <c r="Z953" s="63"/>
      <c r="AA953" s="63"/>
      <c r="AB953" s="63"/>
      <c r="AC953" s="63"/>
      <c r="AD953" s="63"/>
      <c r="AE953" s="63"/>
      <c r="AF953" s="63"/>
      <c r="AG953" s="63"/>
      <c r="AH953" s="63"/>
      <c r="AI953" s="63"/>
      <c r="AJ953" s="63"/>
    </row>
    <row r="954">
      <c r="A954" s="186"/>
      <c r="B954" s="63"/>
      <c r="C954" s="63"/>
      <c r="D954" s="63"/>
      <c r="E954" s="63"/>
      <c r="F954" s="184"/>
      <c r="G954" s="184"/>
      <c r="H954" s="184"/>
      <c r="I954" s="184"/>
      <c r="J954" s="184"/>
      <c r="K954" s="69" t="str">
        <f>iferror(vlookup(E954,MasterClass!$C$2:$G988,5,false),"")</f>
        <v/>
      </c>
      <c r="L954" s="184"/>
      <c r="M954" s="184"/>
      <c r="N954" s="184"/>
      <c r="O954" s="63"/>
      <c r="P954" s="63"/>
      <c r="Q954" s="63"/>
      <c r="R954" s="63"/>
      <c r="S954" s="63"/>
      <c r="T954" s="63"/>
      <c r="U954" s="63"/>
      <c r="V954" s="63"/>
      <c r="W954" s="63"/>
      <c r="X954" s="63"/>
      <c r="Y954" s="63"/>
      <c r="Z954" s="63"/>
      <c r="AA954" s="63"/>
      <c r="AB954" s="63"/>
      <c r="AC954" s="63"/>
      <c r="AD954" s="63"/>
      <c r="AE954" s="63"/>
      <c r="AF954" s="63"/>
      <c r="AG954" s="63"/>
      <c r="AH954" s="63"/>
      <c r="AI954" s="63"/>
      <c r="AJ954" s="63"/>
    </row>
    <row r="955">
      <c r="A955" s="186"/>
      <c r="B955" s="63"/>
      <c r="C955" s="63"/>
      <c r="D955" s="63"/>
      <c r="E955" s="63"/>
      <c r="F955" s="184"/>
      <c r="G955" s="184"/>
      <c r="H955" s="184"/>
      <c r="I955" s="184"/>
      <c r="J955" s="184"/>
      <c r="K955" s="69" t="str">
        <f>iferror(vlookup(E955,MasterClass!$C$2:$G988,5,false),"")</f>
        <v/>
      </c>
      <c r="L955" s="184"/>
      <c r="M955" s="184"/>
      <c r="N955" s="184"/>
      <c r="O955" s="63"/>
      <c r="P955" s="63"/>
      <c r="Q955" s="63"/>
      <c r="R955" s="63"/>
      <c r="S955" s="63"/>
      <c r="T955" s="63"/>
      <c r="U955" s="63"/>
      <c r="V955" s="63"/>
      <c r="W955" s="63"/>
      <c r="X955" s="63"/>
      <c r="Y955" s="63"/>
      <c r="Z955" s="63"/>
      <c r="AA955" s="63"/>
      <c r="AB955" s="63"/>
      <c r="AC955" s="63"/>
      <c r="AD955" s="63"/>
      <c r="AE955" s="63"/>
      <c r="AF955" s="63"/>
      <c r="AG955" s="63"/>
      <c r="AH955" s="63"/>
      <c r="AI955" s="63"/>
      <c r="AJ955" s="63"/>
    </row>
    <row r="956">
      <c r="A956" s="186"/>
      <c r="B956" s="63"/>
      <c r="C956" s="63"/>
      <c r="D956" s="63"/>
      <c r="E956" s="63"/>
      <c r="F956" s="184"/>
      <c r="G956" s="184"/>
      <c r="H956" s="184"/>
      <c r="I956" s="184"/>
      <c r="J956" s="184"/>
      <c r="K956" s="69" t="str">
        <f>iferror(vlookup(E956,MasterClass!$C$2:$G988,5,false),"")</f>
        <v/>
      </c>
      <c r="L956" s="184"/>
      <c r="M956" s="184"/>
      <c r="N956" s="184"/>
      <c r="O956" s="63"/>
      <c r="P956" s="63"/>
      <c r="Q956" s="63"/>
      <c r="R956" s="63"/>
      <c r="S956" s="63"/>
      <c r="T956" s="63"/>
      <c r="U956" s="63"/>
      <c r="V956" s="63"/>
      <c r="W956" s="63"/>
      <c r="X956" s="63"/>
      <c r="Y956" s="63"/>
      <c r="Z956" s="63"/>
      <c r="AA956" s="63"/>
      <c r="AB956" s="63"/>
      <c r="AC956" s="63"/>
      <c r="AD956" s="63"/>
      <c r="AE956" s="63"/>
      <c r="AF956" s="63"/>
      <c r="AG956" s="63"/>
      <c r="AH956" s="63"/>
      <c r="AI956" s="63"/>
      <c r="AJ956" s="63"/>
    </row>
    <row r="957">
      <c r="A957" s="186"/>
      <c r="B957" s="63"/>
      <c r="C957" s="63"/>
      <c r="D957" s="63"/>
      <c r="E957" s="63"/>
      <c r="F957" s="184"/>
      <c r="G957" s="184"/>
      <c r="H957" s="184"/>
      <c r="I957" s="184"/>
      <c r="J957" s="184"/>
      <c r="K957" s="69" t="str">
        <f>iferror(vlookup(E957,MasterClass!$C$2:$G988,5,false),"")</f>
        <v/>
      </c>
      <c r="L957" s="184"/>
      <c r="M957" s="184"/>
      <c r="N957" s="184"/>
      <c r="O957" s="63"/>
      <c r="P957" s="63"/>
      <c r="Q957" s="63"/>
      <c r="R957" s="63"/>
      <c r="S957" s="63"/>
      <c r="T957" s="63"/>
      <c r="U957" s="63"/>
      <c r="V957" s="63"/>
      <c r="W957" s="63"/>
      <c r="X957" s="63"/>
      <c r="Y957" s="63"/>
      <c r="Z957" s="63"/>
      <c r="AA957" s="63"/>
      <c r="AB957" s="63"/>
      <c r="AC957" s="63"/>
      <c r="AD957" s="63"/>
      <c r="AE957" s="63"/>
      <c r="AF957" s="63"/>
      <c r="AG957" s="63"/>
      <c r="AH957" s="63"/>
      <c r="AI957" s="63"/>
      <c r="AJ957" s="63"/>
    </row>
    <row r="958">
      <c r="A958" s="186"/>
      <c r="B958" s="63"/>
      <c r="C958" s="63"/>
      <c r="D958" s="63"/>
      <c r="E958" s="63"/>
      <c r="F958" s="184"/>
      <c r="G958" s="184"/>
      <c r="H958" s="184"/>
      <c r="I958" s="184"/>
      <c r="J958" s="184"/>
      <c r="K958" s="69" t="str">
        <f>iferror(vlookup(E958,MasterClass!$C$2:$G988,5,false),"")</f>
        <v/>
      </c>
      <c r="L958" s="184"/>
      <c r="M958" s="184"/>
      <c r="N958" s="184"/>
      <c r="O958" s="63"/>
      <c r="P958" s="63"/>
      <c r="Q958" s="63"/>
      <c r="R958" s="63"/>
      <c r="S958" s="63"/>
      <c r="T958" s="63"/>
      <c r="U958" s="63"/>
      <c r="V958" s="63"/>
      <c r="W958" s="63"/>
      <c r="X958" s="63"/>
      <c r="Y958" s="63"/>
      <c r="Z958" s="63"/>
      <c r="AA958" s="63"/>
      <c r="AB958" s="63"/>
      <c r="AC958" s="63"/>
      <c r="AD958" s="63"/>
      <c r="AE958" s="63"/>
      <c r="AF958" s="63"/>
      <c r="AG958" s="63"/>
      <c r="AH958" s="63"/>
      <c r="AI958" s="63"/>
      <c r="AJ958" s="63"/>
    </row>
    <row r="959">
      <c r="A959" s="186"/>
      <c r="B959" s="63"/>
      <c r="C959" s="63"/>
      <c r="D959" s="63"/>
      <c r="E959" s="63"/>
      <c r="F959" s="184"/>
      <c r="G959" s="184"/>
      <c r="H959" s="184"/>
      <c r="I959" s="184"/>
      <c r="J959" s="184"/>
      <c r="K959" s="69" t="str">
        <f>iferror(vlookup(E959,MasterClass!$C$2:$G988,5,false),"")</f>
        <v/>
      </c>
      <c r="L959" s="184"/>
      <c r="M959" s="184"/>
      <c r="N959" s="184"/>
      <c r="O959" s="63"/>
      <c r="P959" s="63"/>
      <c r="Q959" s="63"/>
      <c r="R959" s="63"/>
      <c r="S959" s="63"/>
      <c r="T959" s="63"/>
      <c r="U959" s="63"/>
      <c r="V959" s="63"/>
      <c r="W959" s="63"/>
      <c r="X959" s="63"/>
      <c r="Y959" s="63"/>
      <c r="Z959" s="63"/>
      <c r="AA959" s="63"/>
      <c r="AB959" s="63"/>
      <c r="AC959" s="63"/>
      <c r="AD959" s="63"/>
      <c r="AE959" s="63"/>
      <c r="AF959" s="63"/>
      <c r="AG959" s="63"/>
      <c r="AH959" s="63"/>
      <c r="AI959" s="63"/>
      <c r="AJ959" s="63"/>
    </row>
    <row r="960">
      <c r="A960" s="186"/>
      <c r="B960" s="63"/>
      <c r="C960" s="63"/>
      <c r="D960" s="63"/>
      <c r="E960" s="63"/>
      <c r="F960" s="184"/>
      <c r="G960" s="184"/>
      <c r="H960" s="184"/>
      <c r="I960" s="184"/>
      <c r="J960" s="184"/>
      <c r="K960" s="69" t="str">
        <f>iferror(vlookup(E960,MasterClass!$C$2:$G988,5,false),"")</f>
        <v/>
      </c>
      <c r="L960" s="184"/>
      <c r="M960" s="184"/>
      <c r="N960" s="184"/>
      <c r="O960" s="63"/>
      <c r="P960" s="63"/>
      <c r="Q960" s="63"/>
      <c r="R960" s="63"/>
      <c r="S960" s="63"/>
      <c r="T960" s="63"/>
      <c r="U960" s="63"/>
      <c r="V960" s="63"/>
      <c r="W960" s="63"/>
      <c r="X960" s="63"/>
      <c r="Y960" s="63"/>
      <c r="Z960" s="63"/>
      <c r="AA960" s="63"/>
      <c r="AB960" s="63"/>
      <c r="AC960" s="63"/>
      <c r="AD960" s="63"/>
      <c r="AE960" s="63"/>
      <c r="AF960" s="63"/>
      <c r="AG960" s="63"/>
      <c r="AH960" s="63"/>
      <c r="AI960" s="63"/>
      <c r="AJ960" s="63"/>
    </row>
    <row r="961">
      <c r="A961" s="186"/>
      <c r="B961" s="63"/>
      <c r="C961" s="63"/>
      <c r="D961" s="63"/>
      <c r="E961" s="63"/>
      <c r="F961" s="184"/>
      <c r="G961" s="184"/>
      <c r="H961" s="184"/>
      <c r="I961" s="184"/>
      <c r="J961" s="184"/>
      <c r="K961" s="69" t="str">
        <f>iferror(vlookup(E961,MasterClass!$C$2:$G988,5,false),"")</f>
        <v/>
      </c>
      <c r="L961" s="184"/>
      <c r="M961" s="184"/>
      <c r="N961" s="184"/>
      <c r="O961" s="63"/>
      <c r="P961" s="63"/>
      <c r="Q961" s="63"/>
      <c r="R961" s="63"/>
      <c r="S961" s="63"/>
      <c r="T961" s="63"/>
      <c r="U961" s="63"/>
      <c r="V961" s="63"/>
      <c r="W961" s="63"/>
      <c r="X961" s="63"/>
      <c r="Y961" s="63"/>
      <c r="Z961" s="63"/>
      <c r="AA961" s="63"/>
      <c r="AB961" s="63"/>
      <c r="AC961" s="63"/>
      <c r="AD961" s="63"/>
      <c r="AE961" s="63"/>
      <c r="AF961" s="63"/>
      <c r="AG961" s="63"/>
      <c r="AH961" s="63"/>
      <c r="AI961" s="63"/>
      <c r="AJ961" s="63"/>
    </row>
    <row r="962">
      <c r="A962" s="186"/>
      <c r="B962" s="63"/>
      <c r="C962" s="63"/>
      <c r="D962" s="63"/>
      <c r="E962" s="63"/>
      <c r="F962" s="184"/>
      <c r="G962" s="184"/>
      <c r="H962" s="184"/>
      <c r="I962" s="184"/>
      <c r="J962" s="184"/>
      <c r="K962" s="69" t="str">
        <f>iferror(vlookup(E962,MasterClass!$C$2:$G988,5,false),"")</f>
        <v/>
      </c>
      <c r="L962" s="184"/>
      <c r="M962" s="184"/>
      <c r="N962" s="184"/>
      <c r="O962" s="63"/>
      <c r="P962" s="63"/>
      <c r="Q962" s="63"/>
      <c r="R962" s="63"/>
      <c r="S962" s="63"/>
      <c r="T962" s="63"/>
      <c r="U962" s="63"/>
      <c r="V962" s="63"/>
      <c r="W962" s="63"/>
      <c r="X962" s="63"/>
      <c r="Y962" s="63"/>
      <c r="Z962" s="63"/>
      <c r="AA962" s="63"/>
      <c r="AB962" s="63"/>
      <c r="AC962" s="63"/>
      <c r="AD962" s="63"/>
      <c r="AE962" s="63"/>
      <c r="AF962" s="63"/>
      <c r="AG962" s="63"/>
      <c r="AH962" s="63"/>
      <c r="AI962" s="63"/>
      <c r="AJ962" s="63"/>
    </row>
    <row r="963">
      <c r="A963" s="186"/>
      <c r="B963" s="63"/>
      <c r="C963" s="63"/>
      <c r="D963" s="63"/>
      <c r="E963" s="63"/>
      <c r="F963" s="184"/>
      <c r="G963" s="184"/>
      <c r="H963" s="184"/>
      <c r="I963" s="184"/>
      <c r="J963" s="184"/>
      <c r="K963" s="69" t="str">
        <f>iferror(vlookup(E963,MasterClass!$C$2:$G988,5,false),"")</f>
        <v/>
      </c>
      <c r="L963" s="184"/>
      <c r="M963" s="184"/>
      <c r="N963" s="184"/>
      <c r="O963" s="63"/>
      <c r="P963" s="63"/>
      <c r="Q963" s="63"/>
      <c r="R963" s="63"/>
      <c r="S963" s="63"/>
      <c r="T963" s="63"/>
      <c r="U963" s="63"/>
      <c r="V963" s="63"/>
      <c r="W963" s="63"/>
      <c r="X963" s="63"/>
      <c r="Y963" s="63"/>
      <c r="Z963" s="63"/>
      <c r="AA963" s="63"/>
      <c r="AB963" s="63"/>
      <c r="AC963" s="63"/>
      <c r="AD963" s="63"/>
      <c r="AE963" s="63"/>
      <c r="AF963" s="63"/>
      <c r="AG963" s="63"/>
      <c r="AH963" s="63"/>
      <c r="AI963" s="63"/>
      <c r="AJ963" s="63"/>
    </row>
    <row r="964">
      <c r="A964" s="186"/>
      <c r="B964" s="63"/>
      <c r="C964" s="63"/>
      <c r="D964" s="63"/>
      <c r="E964" s="63"/>
      <c r="F964" s="184"/>
      <c r="G964" s="184"/>
      <c r="H964" s="184"/>
      <c r="I964" s="184"/>
      <c r="J964" s="184"/>
      <c r="K964" s="69" t="str">
        <f>iferror(vlookup(E964,MasterClass!$C$2:$G988,5,false),"")</f>
        <v/>
      </c>
      <c r="L964" s="184"/>
      <c r="M964" s="184"/>
      <c r="N964" s="184"/>
      <c r="O964" s="63"/>
      <c r="P964" s="63"/>
      <c r="Q964" s="63"/>
      <c r="R964" s="63"/>
      <c r="S964" s="63"/>
      <c r="T964" s="63"/>
      <c r="U964" s="63"/>
      <c r="V964" s="63"/>
      <c r="W964" s="63"/>
      <c r="X964" s="63"/>
      <c r="Y964" s="63"/>
      <c r="Z964" s="63"/>
      <c r="AA964" s="63"/>
      <c r="AB964" s="63"/>
      <c r="AC964" s="63"/>
      <c r="AD964" s="63"/>
      <c r="AE964" s="63"/>
      <c r="AF964" s="63"/>
      <c r="AG964" s="63"/>
      <c r="AH964" s="63"/>
      <c r="AI964" s="63"/>
      <c r="AJ964" s="63"/>
    </row>
    <row r="965">
      <c r="A965" s="186"/>
      <c r="B965" s="63"/>
      <c r="C965" s="63"/>
      <c r="D965" s="63"/>
      <c r="E965" s="63"/>
      <c r="F965" s="184"/>
      <c r="G965" s="184"/>
      <c r="H965" s="184"/>
      <c r="I965" s="184"/>
      <c r="J965" s="184"/>
      <c r="K965" s="69" t="str">
        <f>iferror(vlookup(E965,MasterClass!$C$2:$G988,5,false),"")</f>
        <v/>
      </c>
      <c r="L965" s="184"/>
      <c r="M965" s="184"/>
      <c r="N965" s="184"/>
      <c r="O965" s="63"/>
      <c r="P965" s="63"/>
      <c r="Q965" s="63"/>
      <c r="R965" s="63"/>
      <c r="S965" s="63"/>
      <c r="T965" s="63"/>
      <c r="U965" s="63"/>
      <c r="V965" s="63"/>
      <c r="W965" s="63"/>
      <c r="X965" s="63"/>
      <c r="Y965" s="63"/>
      <c r="Z965" s="63"/>
      <c r="AA965" s="63"/>
      <c r="AB965" s="63"/>
      <c r="AC965" s="63"/>
      <c r="AD965" s="63"/>
      <c r="AE965" s="63"/>
      <c r="AF965" s="63"/>
      <c r="AG965" s="63"/>
      <c r="AH965" s="63"/>
      <c r="AI965" s="63"/>
      <c r="AJ965" s="63"/>
    </row>
    <row r="966">
      <c r="A966" s="186"/>
      <c r="B966" s="63"/>
      <c r="C966" s="63"/>
      <c r="D966" s="63"/>
      <c r="E966" s="63"/>
      <c r="F966" s="184"/>
      <c r="G966" s="184"/>
      <c r="H966" s="184"/>
      <c r="I966" s="184"/>
      <c r="J966" s="184"/>
      <c r="K966" s="69" t="str">
        <f>iferror(vlookup(E966,MasterClass!$C$2:$G988,5,false),"")</f>
        <v/>
      </c>
      <c r="L966" s="184"/>
      <c r="M966" s="184"/>
      <c r="N966" s="184"/>
      <c r="O966" s="63"/>
      <c r="P966" s="63"/>
      <c r="Q966" s="63"/>
      <c r="R966" s="63"/>
      <c r="S966" s="63"/>
      <c r="T966" s="63"/>
      <c r="U966" s="63"/>
      <c r="V966" s="63"/>
      <c r="W966" s="63"/>
      <c r="X966" s="63"/>
      <c r="Y966" s="63"/>
      <c r="Z966" s="63"/>
      <c r="AA966" s="63"/>
      <c r="AB966" s="63"/>
      <c r="AC966" s="63"/>
      <c r="AD966" s="63"/>
      <c r="AE966" s="63"/>
      <c r="AF966" s="63"/>
      <c r="AG966" s="63"/>
      <c r="AH966" s="63"/>
      <c r="AI966" s="63"/>
      <c r="AJ966" s="63"/>
    </row>
    <row r="967">
      <c r="A967" s="186"/>
      <c r="B967" s="63"/>
      <c r="C967" s="63"/>
      <c r="D967" s="63"/>
      <c r="E967" s="63"/>
      <c r="F967" s="184"/>
      <c r="G967" s="184"/>
      <c r="H967" s="184"/>
      <c r="I967" s="184"/>
      <c r="J967" s="184"/>
      <c r="K967" s="69" t="str">
        <f>iferror(vlookup(E967,MasterClass!$C$2:$G988,5,false),"")</f>
        <v/>
      </c>
      <c r="L967" s="184"/>
      <c r="M967" s="184"/>
      <c r="N967" s="184"/>
      <c r="O967" s="63"/>
      <c r="P967" s="63"/>
      <c r="Q967" s="63"/>
      <c r="R967" s="63"/>
      <c r="S967" s="63"/>
      <c r="T967" s="63"/>
      <c r="U967" s="63"/>
      <c r="V967" s="63"/>
      <c r="W967" s="63"/>
      <c r="X967" s="63"/>
      <c r="Y967" s="63"/>
      <c r="Z967" s="63"/>
      <c r="AA967" s="63"/>
      <c r="AB967" s="63"/>
      <c r="AC967" s="63"/>
      <c r="AD967" s="63"/>
      <c r="AE967" s="63"/>
      <c r="AF967" s="63"/>
      <c r="AG967" s="63"/>
      <c r="AH967" s="63"/>
      <c r="AI967" s="63"/>
      <c r="AJ967" s="63"/>
    </row>
    <row r="968">
      <c r="A968" s="186"/>
      <c r="B968" s="63"/>
      <c r="C968" s="63"/>
      <c r="D968" s="63"/>
      <c r="E968" s="63"/>
      <c r="F968" s="184"/>
      <c r="G968" s="184"/>
      <c r="H968" s="184"/>
      <c r="I968" s="184"/>
      <c r="J968" s="184"/>
      <c r="K968" s="69" t="str">
        <f>iferror(vlookup(E968,MasterClass!$C$2:$G988,5,false),"")</f>
        <v/>
      </c>
      <c r="L968" s="184"/>
      <c r="M968" s="184"/>
      <c r="N968" s="184"/>
      <c r="O968" s="63"/>
      <c r="P968" s="63"/>
      <c r="Q968" s="63"/>
      <c r="R968" s="63"/>
      <c r="S968" s="63"/>
      <c r="T968" s="63"/>
      <c r="U968" s="63"/>
      <c r="V968" s="63"/>
      <c r="W968" s="63"/>
      <c r="X968" s="63"/>
      <c r="Y968" s="63"/>
      <c r="Z968" s="63"/>
      <c r="AA968" s="63"/>
      <c r="AB968" s="63"/>
      <c r="AC968" s="63"/>
      <c r="AD968" s="63"/>
      <c r="AE968" s="63"/>
      <c r="AF968" s="63"/>
      <c r="AG968" s="63"/>
      <c r="AH968" s="63"/>
      <c r="AI968" s="63"/>
      <c r="AJ968" s="63"/>
    </row>
    <row r="969">
      <c r="A969" s="186"/>
      <c r="B969" s="63"/>
      <c r="C969" s="63"/>
      <c r="D969" s="63"/>
      <c r="E969" s="63"/>
      <c r="F969" s="184"/>
      <c r="G969" s="184"/>
      <c r="H969" s="184"/>
      <c r="I969" s="184"/>
      <c r="J969" s="184"/>
      <c r="K969" s="69" t="str">
        <f>iferror(vlookup(E969,MasterClass!$C$2:$G988,5,false),"")</f>
        <v/>
      </c>
      <c r="L969" s="184"/>
      <c r="M969" s="184"/>
      <c r="N969" s="184"/>
      <c r="O969" s="63"/>
      <c r="P969" s="63"/>
      <c r="Q969" s="63"/>
      <c r="R969" s="63"/>
      <c r="S969" s="63"/>
      <c r="T969" s="63"/>
      <c r="U969" s="63"/>
      <c r="V969" s="63"/>
      <c r="W969" s="63"/>
      <c r="X969" s="63"/>
      <c r="Y969" s="63"/>
      <c r="Z969" s="63"/>
      <c r="AA969" s="63"/>
      <c r="AB969" s="63"/>
      <c r="AC969" s="63"/>
      <c r="AD969" s="63"/>
      <c r="AE969" s="63"/>
      <c r="AF969" s="63"/>
      <c r="AG969" s="63"/>
      <c r="AH969" s="63"/>
      <c r="AI969" s="63"/>
      <c r="AJ969" s="63"/>
    </row>
    <row r="970">
      <c r="A970" s="186"/>
      <c r="B970" s="63"/>
      <c r="C970" s="63"/>
      <c r="D970" s="63"/>
      <c r="E970" s="63"/>
      <c r="F970" s="184"/>
      <c r="G970" s="184"/>
      <c r="H970" s="184"/>
      <c r="I970" s="184"/>
      <c r="J970" s="184"/>
      <c r="K970" s="69" t="str">
        <f>iferror(vlookup(E970,MasterClass!$C$2:$G988,5,false),"")</f>
        <v/>
      </c>
      <c r="L970" s="184"/>
      <c r="M970" s="184"/>
      <c r="N970" s="184"/>
      <c r="O970" s="63"/>
      <c r="P970" s="63"/>
      <c r="Q970" s="63"/>
      <c r="R970" s="63"/>
      <c r="S970" s="63"/>
      <c r="T970" s="63"/>
      <c r="U970" s="63"/>
      <c r="V970" s="63"/>
      <c r="W970" s="63"/>
      <c r="X970" s="63"/>
      <c r="Y970" s="63"/>
      <c r="Z970" s="63"/>
      <c r="AA970" s="63"/>
      <c r="AB970" s="63"/>
      <c r="AC970" s="63"/>
      <c r="AD970" s="63"/>
      <c r="AE970" s="63"/>
      <c r="AF970" s="63"/>
      <c r="AG970" s="63"/>
      <c r="AH970" s="63"/>
      <c r="AI970" s="63"/>
      <c r="AJ970" s="63"/>
    </row>
    <row r="971">
      <c r="A971" s="186"/>
      <c r="B971" s="63"/>
      <c r="C971" s="63"/>
      <c r="D971" s="63"/>
      <c r="E971" s="63"/>
      <c r="F971" s="184"/>
      <c r="G971" s="184"/>
      <c r="H971" s="184"/>
      <c r="I971" s="184"/>
      <c r="J971" s="184"/>
      <c r="K971" s="69" t="str">
        <f>iferror(vlookup(E971,MasterClass!$C$2:$G988,5,false),"")</f>
        <v/>
      </c>
      <c r="L971" s="184"/>
      <c r="M971" s="184"/>
      <c r="N971" s="184"/>
      <c r="O971" s="63"/>
      <c r="P971" s="63"/>
      <c r="Q971" s="63"/>
      <c r="R971" s="63"/>
      <c r="S971" s="63"/>
      <c r="T971" s="63"/>
      <c r="U971" s="63"/>
      <c r="V971" s="63"/>
      <c r="W971" s="63"/>
      <c r="X971" s="63"/>
      <c r="Y971" s="63"/>
      <c r="Z971" s="63"/>
      <c r="AA971" s="63"/>
      <c r="AB971" s="63"/>
      <c r="AC971" s="63"/>
      <c r="AD971" s="63"/>
      <c r="AE971" s="63"/>
      <c r="AF971" s="63"/>
      <c r="AG971" s="63"/>
      <c r="AH971" s="63"/>
      <c r="AI971" s="63"/>
      <c r="AJ971" s="63"/>
    </row>
    <row r="972">
      <c r="A972" s="186"/>
      <c r="B972" s="63"/>
      <c r="C972" s="63"/>
      <c r="D972" s="63"/>
      <c r="E972" s="63"/>
      <c r="F972" s="184"/>
      <c r="G972" s="184"/>
      <c r="H972" s="184"/>
      <c r="I972" s="184"/>
      <c r="J972" s="184"/>
      <c r="K972" s="69" t="str">
        <f>iferror(vlookup(E972,MasterClass!$C$2:$G988,5,false),"")</f>
        <v/>
      </c>
      <c r="L972" s="184"/>
      <c r="M972" s="184"/>
      <c r="N972" s="184"/>
      <c r="O972" s="63"/>
      <c r="P972" s="63"/>
      <c r="Q972" s="63"/>
      <c r="R972" s="63"/>
      <c r="S972" s="63"/>
      <c r="T972" s="63"/>
      <c r="U972" s="63"/>
      <c r="V972" s="63"/>
      <c r="W972" s="63"/>
      <c r="X972" s="63"/>
      <c r="Y972" s="63"/>
      <c r="Z972" s="63"/>
      <c r="AA972" s="63"/>
      <c r="AB972" s="63"/>
      <c r="AC972" s="63"/>
      <c r="AD972" s="63"/>
      <c r="AE972" s="63"/>
      <c r="AF972" s="63"/>
      <c r="AG972" s="63"/>
      <c r="AH972" s="63"/>
      <c r="AI972" s="63"/>
      <c r="AJ972" s="63"/>
    </row>
    <row r="973">
      <c r="A973" s="186"/>
      <c r="B973" s="63"/>
      <c r="C973" s="63"/>
      <c r="D973" s="63"/>
      <c r="E973" s="63"/>
      <c r="F973" s="184"/>
      <c r="G973" s="184"/>
      <c r="H973" s="184"/>
      <c r="I973" s="184"/>
      <c r="J973" s="184"/>
      <c r="K973" s="69" t="str">
        <f>iferror(vlookup(E973,MasterClass!$C$2:$G988,5,false),"")</f>
        <v/>
      </c>
      <c r="L973" s="184"/>
      <c r="M973" s="184"/>
      <c r="N973" s="184"/>
      <c r="O973" s="63"/>
      <c r="P973" s="63"/>
      <c r="Q973" s="63"/>
      <c r="R973" s="63"/>
      <c r="S973" s="63"/>
      <c r="T973" s="63"/>
      <c r="U973" s="63"/>
      <c r="V973" s="63"/>
      <c r="W973" s="63"/>
      <c r="X973" s="63"/>
      <c r="Y973" s="63"/>
      <c r="Z973" s="63"/>
      <c r="AA973" s="63"/>
      <c r="AB973" s="63"/>
      <c r="AC973" s="63"/>
      <c r="AD973" s="63"/>
      <c r="AE973" s="63"/>
      <c r="AF973" s="63"/>
      <c r="AG973" s="63"/>
      <c r="AH973" s="63"/>
      <c r="AI973" s="63"/>
      <c r="AJ973" s="63"/>
    </row>
    <row r="974">
      <c r="A974" s="186"/>
      <c r="B974" s="63"/>
      <c r="C974" s="63"/>
      <c r="D974" s="63"/>
      <c r="E974" s="63"/>
      <c r="F974" s="184"/>
      <c r="G974" s="184"/>
      <c r="H974" s="184"/>
      <c r="I974" s="184"/>
      <c r="J974" s="184"/>
      <c r="K974" s="69" t="str">
        <f>iferror(vlookup(E974,MasterClass!$C$2:$G988,5,false),"")</f>
        <v/>
      </c>
      <c r="L974" s="184"/>
      <c r="M974" s="184"/>
      <c r="N974" s="184"/>
      <c r="O974" s="63"/>
      <c r="P974" s="63"/>
      <c r="Q974" s="63"/>
      <c r="R974" s="63"/>
      <c r="S974" s="63"/>
      <c r="T974" s="63"/>
      <c r="U974" s="63"/>
      <c r="V974" s="63"/>
      <c r="W974" s="63"/>
      <c r="X974" s="63"/>
      <c r="Y974" s="63"/>
      <c r="Z974" s="63"/>
      <c r="AA974" s="63"/>
      <c r="AB974" s="63"/>
      <c r="AC974" s="63"/>
      <c r="AD974" s="63"/>
      <c r="AE974" s="63"/>
      <c r="AF974" s="63"/>
      <c r="AG974" s="63"/>
      <c r="AH974" s="63"/>
      <c r="AI974" s="63"/>
      <c r="AJ974" s="63"/>
    </row>
    <row r="975">
      <c r="A975" s="186"/>
      <c r="B975" s="63"/>
      <c r="C975" s="63"/>
      <c r="D975" s="63"/>
      <c r="E975" s="63"/>
      <c r="F975" s="184"/>
      <c r="G975" s="184"/>
      <c r="H975" s="184"/>
      <c r="I975" s="184"/>
      <c r="J975" s="184"/>
      <c r="K975" s="69" t="str">
        <f>iferror(vlookup(E975,MasterClass!$C$2:$G988,5,false),"")</f>
        <v/>
      </c>
      <c r="L975" s="184"/>
      <c r="M975" s="184"/>
      <c r="N975" s="184"/>
      <c r="O975" s="63"/>
      <c r="P975" s="63"/>
      <c r="Q975" s="63"/>
      <c r="R975" s="63"/>
      <c r="S975" s="63"/>
      <c r="T975" s="63"/>
      <c r="U975" s="63"/>
      <c r="V975" s="63"/>
      <c r="W975" s="63"/>
      <c r="X975" s="63"/>
      <c r="Y975" s="63"/>
      <c r="Z975" s="63"/>
      <c r="AA975" s="63"/>
      <c r="AB975" s="63"/>
      <c r="AC975" s="63"/>
      <c r="AD975" s="63"/>
      <c r="AE975" s="63"/>
      <c r="AF975" s="63"/>
      <c r="AG975" s="63"/>
      <c r="AH975" s="63"/>
      <c r="AI975" s="63"/>
      <c r="AJ975" s="63"/>
    </row>
    <row r="976">
      <c r="A976" s="186"/>
      <c r="B976" s="63"/>
      <c r="C976" s="63"/>
      <c r="D976" s="63"/>
      <c r="E976" s="63"/>
      <c r="F976" s="184"/>
      <c r="G976" s="184"/>
      <c r="H976" s="184"/>
      <c r="I976" s="184"/>
      <c r="J976" s="184"/>
      <c r="K976" s="69" t="str">
        <f>iferror(vlookup(E976,MasterClass!$C$2:$G988,5,false),"")</f>
        <v/>
      </c>
      <c r="L976" s="184"/>
      <c r="M976" s="184"/>
      <c r="N976" s="184"/>
      <c r="O976" s="63"/>
      <c r="P976" s="63"/>
      <c r="Q976" s="63"/>
      <c r="R976" s="63"/>
      <c r="S976" s="63"/>
      <c r="T976" s="63"/>
      <c r="U976" s="63"/>
      <c r="V976" s="63"/>
      <c r="W976" s="63"/>
      <c r="X976" s="63"/>
      <c r="Y976" s="63"/>
      <c r="Z976" s="63"/>
      <c r="AA976" s="63"/>
      <c r="AB976" s="63"/>
      <c r="AC976" s="63"/>
      <c r="AD976" s="63"/>
      <c r="AE976" s="63"/>
      <c r="AF976" s="63"/>
      <c r="AG976" s="63"/>
      <c r="AH976" s="63"/>
      <c r="AI976" s="63"/>
      <c r="AJ976" s="63"/>
    </row>
    <row r="977">
      <c r="A977" s="186"/>
      <c r="B977" s="63"/>
      <c r="C977" s="63"/>
      <c r="D977" s="63"/>
      <c r="E977" s="63"/>
      <c r="F977" s="184"/>
      <c r="G977" s="184"/>
      <c r="H977" s="184"/>
      <c r="I977" s="184"/>
      <c r="J977" s="184"/>
      <c r="K977" s="69" t="str">
        <f>iferror(vlookup(E977,MasterClass!$C$2:$G988,5,false),"")</f>
        <v/>
      </c>
      <c r="L977" s="184"/>
      <c r="M977" s="184"/>
      <c r="N977" s="184"/>
      <c r="O977" s="63"/>
      <c r="P977" s="63"/>
      <c r="Q977" s="63"/>
      <c r="R977" s="63"/>
      <c r="S977" s="63"/>
      <c r="T977" s="63"/>
      <c r="U977" s="63"/>
      <c r="V977" s="63"/>
      <c r="W977" s="63"/>
      <c r="X977" s="63"/>
      <c r="Y977" s="63"/>
      <c r="Z977" s="63"/>
      <c r="AA977" s="63"/>
      <c r="AB977" s="63"/>
      <c r="AC977" s="63"/>
      <c r="AD977" s="63"/>
      <c r="AE977" s="63"/>
      <c r="AF977" s="63"/>
      <c r="AG977" s="63"/>
      <c r="AH977" s="63"/>
      <c r="AI977" s="63"/>
      <c r="AJ977" s="63"/>
    </row>
    <row r="978">
      <c r="A978" s="186"/>
      <c r="B978" s="63"/>
      <c r="C978" s="63"/>
      <c r="D978" s="63"/>
      <c r="E978" s="63"/>
      <c r="F978" s="184"/>
      <c r="G978" s="184"/>
      <c r="H978" s="184"/>
      <c r="I978" s="184"/>
      <c r="J978" s="184"/>
      <c r="K978" s="69" t="str">
        <f>iferror(vlookup(E978,MasterClass!$C$2:$G988,5,false),"")</f>
        <v/>
      </c>
      <c r="L978" s="184"/>
      <c r="M978" s="184"/>
      <c r="N978" s="184"/>
      <c r="O978" s="63"/>
      <c r="P978" s="63"/>
      <c r="Q978" s="63"/>
      <c r="R978" s="63"/>
      <c r="S978" s="63"/>
      <c r="T978" s="63"/>
      <c r="U978" s="63"/>
      <c r="V978" s="63"/>
      <c r="W978" s="63"/>
      <c r="X978" s="63"/>
      <c r="Y978" s="63"/>
      <c r="Z978" s="63"/>
      <c r="AA978" s="63"/>
      <c r="AB978" s="63"/>
      <c r="AC978" s="63"/>
      <c r="AD978" s="63"/>
      <c r="AE978" s="63"/>
      <c r="AF978" s="63"/>
      <c r="AG978" s="63"/>
      <c r="AH978" s="63"/>
      <c r="AI978" s="63"/>
      <c r="AJ978" s="63"/>
    </row>
    <row r="979">
      <c r="A979" s="186"/>
      <c r="B979" s="63"/>
      <c r="C979" s="63"/>
      <c r="D979" s="63"/>
      <c r="E979" s="63"/>
      <c r="F979" s="184"/>
      <c r="G979" s="184"/>
      <c r="H979" s="184"/>
      <c r="I979" s="184"/>
      <c r="J979" s="184"/>
      <c r="K979" s="69" t="str">
        <f>iferror(vlookup(E979,MasterClass!$C$2:$G988,5,false),"")</f>
        <v/>
      </c>
      <c r="L979" s="184"/>
      <c r="M979" s="184"/>
      <c r="N979" s="184"/>
      <c r="O979" s="63"/>
      <c r="P979" s="63"/>
      <c r="Q979" s="63"/>
      <c r="R979" s="63"/>
      <c r="S979" s="63"/>
      <c r="T979" s="63"/>
      <c r="U979" s="63"/>
      <c r="V979" s="63"/>
      <c r="W979" s="63"/>
      <c r="X979" s="63"/>
      <c r="Y979" s="63"/>
      <c r="Z979" s="63"/>
      <c r="AA979" s="63"/>
      <c r="AB979" s="63"/>
      <c r="AC979" s="63"/>
      <c r="AD979" s="63"/>
      <c r="AE979" s="63"/>
      <c r="AF979" s="63"/>
      <c r="AG979" s="63"/>
      <c r="AH979" s="63"/>
      <c r="AI979" s="63"/>
      <c r="AJ979" s="63"/>
    </row>
    <row r="980">
      <c r="A980" s="186"/>
      <c r="B980" s="63"/>
      <c r="C980" s="63"/>
      <c r="D980" s="63"/>
      <c r="E980" s="63"/>
      <c r="F980" s="184"/>
      <c r="G980" s="184"/>
      <c r="H980" s="184"/>
      <c r="I980" s="184"/>
      <c r="J980" s="184"/>
      <c r="K980" s="69" t="str">
        <f>iferror(vlookup(E980,MasterClass!$C$2:$G988,5,false),"")</f>
        <v/>
      </c>
      <c r="L980" s="184"/>
      <c r="M980" s="184"/>
      <c r="N980" s="184"/>
      <c r="O980" s="63"/>
      <c r="P980" s="63"/>
      <c r="Q980" s="63"/>
      <c r="R980" s="63"/>
      <c r="S980" s="63"/>
      <c r="T980" s="63"/>
      <c r="U980" s="63"/>
      <c r="V980" s="63"/>
      <c r="W980" s="63"/>
      <c r="X980" s="63"/>
      <c r="Y980" s="63"/>
      <c r="Z980" s="63"/>
      <c r="AA980" s="63"/>
      <c r="AB980" s="63"/>
      <c r="AC980" s="63"/>
      <c r="AD980" s="63"/>
      <c r="AE980" s="63"/>
      <c r="AF980" s="63"/>
      <c r="AG980" s="63"/>
      <c r="AH980" s="63"/>
      <c r="AI980" s="63"/>
      <c r="AJ980" s="63"/>
    </row>
    <row r="981">
      <c r="A981" s="186"/>
      <c r="B981" s="63"/>
      <c r="C981" s="63"/>
      <c r="D981" s="63"/>
      <c r="E981" s="63"/>
      <c r="F981" s="184"/>
      <c r="G981" s="184"/>
      <c r="H981" s="184"/>
      <c r="I981" s="184"/>
      <c r="J981" s="184"/>
      <c r="K981" s="69" t="str">
        <f>iferror(vlookup(E981,MasterClass!$C$2:$G988,5,false),"")</f>
        <v/>
      </c>
      <c r="L981" s="184"/>
      <c r="M981" s="184"/>
      <c r="N981" s="184"/>
      <c r="O981" s="63"/>
      <c r="P981" s="63"/>
      <c r="Q981" s="63"/>
      <c r="R981" s="63"/>
      <c r="S981" s="63"/>
      <c r="T981" s="63"/>
      <c r="U981" s="63"/>
      <c r="V981" s="63"/>
      <c r="W981" s="63"/>
      <c r="X981" s="63"/>
      <c r="Y981" s="63"/>
      <c r="Z981" s="63"/>
      <c r="AA981" s="63"/>
      <c r="AB981" s="63"/>
      <c r="AC981" s="63"/>
      <c r="AD981" s="63"/>
      <c r="AE981" s="63"/>
      <c r="AF981" s="63"/>
      <c r="AG981" s="63"/>
      <c r="AH981" s="63"/>
      <c r="AI981" s="63"/>
      <c r="AJ981" s="63"/>
    </row>
    <row r="982">
      <c r="A982" s="186"/>
      <c r="B982" s="63"/>
      <c r="C982" s="63"/>
      <c r="D982" s="63"/>
      <c r="E982" s="63"/>
      <c r="F982" s="184"/>
      <c r="G982" s="184"/>
      <c r="H982" s="184"/>
      <c r="I982" s="184"/>
      <c r="J982" s="184"/>
      <c r="K982" s="69" t="str">
        <f>iferror(vlookup(E982,MasterClass!$C$2:$G988,5,false),"")</f>
        <v/>
      </c>
      <c r="L982" s="184"/>
      <c r="M982" s="184"/>
      <c r="N982" s="184"/>
      <c r="O982" s="63"/>
      <c r="P982" s="63"/>
      <c r="Q982" s="63"/>
      <c r="R982" s="63"/>
      <c r="S982" s="63"/>
      <c r="T982" s="63"/>
      <c r="U982" s="63"/>
      <c r="V982" s="63"/>
      <c r="W982" s="63"/>
      <c r="X982" s="63"/>
      <c r="Y982" s="63"/>
      <c r="Z982" s="63"/>
      <c r="AA982" s="63"/>
      <c r="AB982" s="63"/>
      <c r="AC982" s="63"/>
      <c r="AD982" s="63"/>
      <c r="AE982" s="63"/>
      <c r="AF982" s="63"/>
      <c r="AG982" s="63"/>
      <c r="AH982" s="63"/>
      <c r="AI982" s="63"/>
      <c r="AJ982" s="63"/>
    </row>
    <row r="983">
      <c r="A983" s="186"/>
      <c r="B983" s="63"/>
      <c r="C983" s="63"/>
      <c r="D983" s="63"/>
      <c r="E983" s="63"/>
      <c r="F983" s="184"/>
      <c r="G983" s="184"/>
      <c r="H983" s="184"/>
      <c r="I983" s="184"/>
      <c r="J983" s="184"/>
      <c r="K983" s="69" t="str">
        <f>iferror(vlookup(E983,MasterClass!$C$2:$G988,5,false),"")</f>
        <v/>
      </c>
      <c r="L983" s="184"/>
      <c r="M983" s="184"/>
      <c r="N983" s="184"/>
      <c r="O983" s="63"/>
      <c r="P983" s="63"/>
      <c r="Q983" s="63"/>
      <c r="R983" s="63"/>
      <c r="S983" s="63"/>
      <c r="T983" s="63"/>
      <c r="U983" s="63"/>
      <c r="V983" s="63"/>
      <c r="W983" s="63"/>
      <c r="X983" s="63"/>
      <c r="Y983" s="63"/>
      <c r="Z983" s="63"/>
      <c r="AA983" s="63"/>
      <c r="AB983" s="63"/>
      <c r="AC983" s="63"/>
      <c r="AD983" s="63"/>
      <c r="AE983" s="63"/>
      <c r="AF983" s="63"/>
      <c r="AG983" s="63"/>
      <c r="AH983" s="63"/>
      <c r="AI983" s="63"/>
      <c r="AJ983" s="63"/>
    </row>
    <row r="984">
      <c r="A984" s="186"/>
      <c r="B984" s="63"/>
      <c r="C984" s="63"/>
      <c r="D984" s="63"/>
      <c r="E984" s="63"/>
      <c r="F984" s="184"/>
      <c r="G984" s="184"/>
      <c r="H984" s="184"/>
      <c r="I984" s="184"/>
      <c r="J984" s="184"/>
      <c r="K984" s="69" t="str">
        <f>iferror(vlookup(E984,MasterClass!$C$2:$G988,5,false),"")</f>
        <v/>
      </c>
      <c r="L984" s="184"/>
      <c r="M984" s="184"/>
      <c r="N984" s="184"/>
      <c r="O984" s="63"/>
      <c r="P984" s="63"/>
      <c r="Q984" s="63"/>
      <c r="R984" s="63"/>
      <c r="S984" s="63"/>
      <c r="T984" s="63"/>
      <c r="U984" s="63"/>
      <c r="V984" s="63"/>
      <c r="W984" s="63"/>
      <c r="X984" s="63"/>
      <c r="Y984" s="63"/>
      <c r="Z984" s="63"/>
      <c r="AA984" s="63"/>
      <c r="AB984" s="63"/>
      <c r="AC984" s="63"/>
      <c r="AD984" s="63"/>
      <c r="AE984" s="63"/>
      <c r="AF984" s="63"/>
      <c r="AG984" s="63"/>
      <c r="AH984" s="63"/>
      <c r="AI984" s="63"/>
      <c r="AJ984" s="63"/>
    </row>
    <row r="985">
      <c r="A985" s="186"/>
      <c r="B985" s="63"/>
      <c r="C985" s="63"/>
      <c r="D985" s="63"/>
      <c r="E985" s="63"/>
      <c r="F985" s="184"/>
      <c r="G985" s="184"/>
      <c r="H985" s="184"/>
      <c r="I985" s="184"/>
      <c r="J985" s="184"/>
      <c r="K985" s="69" t="str">
        <f>iferror(vlookup(E985,MasterClass!$C$2:$G988,5,false),"")</f>
        <v/>
      </c>
      <c r="L985" s="184"/>
      <c r="M985" s="184"/>
      <c r="N985" s="184"/>
      <c r="O985" s="63"/>
      <c r="P985" s="63"/>
      <c r="Q985" s="63"/>
      <c r="R985" s="63"/>
      <c r="S985" s="63"/>
      <c r="T985" s="63"/>
      <c r="U985" s="63"/>
      <c r="V985" s="63"/>
      <c r="W985" s="63"/>
      <c r="X985" s="63"/>
      <c r="Y985" s="63"/>
      <c r="Z985" s="63"/>
      <c r="AA985" s="63"/>
      <c r="AB985" s="63"/>
      <c r="AC985" s="63"/>
      <c r="AD985" s="63"/>
      <c r="AE985" s="63"/>
      <c r="AF985" s="63"/>
      <c r="AG985" s="63"/>
      <c r="AH985" s="63"/>
      <c r="AI985" s="63"/>
      <c r="AJ985" s="63"/>
    </row>
    <row r="986">
      <c r="A986" s="186"/>
      <c r="B986" s="63"/>
      <c r="C986" s="63"/>
      <c r="D986" s="63"/>
      <c r="E986" s="63"/>
      <c r="F986" s="184"/>
      <c r="G986" s="184"/>
      <c r="H986" s="184"/>
      <c r="I986" s="184"/>
      <c r="J986" s="184"/>
      <c r="K986" s="69" t="str">
        <f>iferror(vlookup(E986,MasterClass!$C$2:$G988,5,false),"")</f>
        <v/>
      </c>
      <c r="L986" s="184"/>
      <c r="M986" s="184"/>
      <c r="N986" s="184"/>
      <c r="O986" s="63"/>
      <c r="P986" s="63"/>
      <c r="Q986" s="63"/>
      <c r="R986" s="63"/>
      <c r="S986" s="63"/>
      <c r="T986" s="63"/>
      <c r="U986" s="63"/>
      <c r="V986" s="63"/>
      <c r="W986" s="63"/>
      <c r="X986" s="63"/>
      <c r="Y986" s="63"/>
      <c r="Z986" s="63"/>
      <c r="AA986" s="63"/>
      <c r="AB986" s="63"/>
      <c r="AC986" s="63"/>
      <c r="AD986" s="63"/>
      <c r="AE986" s="63"/>
      <c r="AF986" s="63"/>
      <c r="AG986" s="63"/>
      <c r="AH986" s="63"/>
      <c r="AI986" s="63"/>
      <c r="AJ986" s="63"/>
    </row>
    <row r="987">
      <c r="A987" s="186"/>
      <c r="B987" s="63"/>
      <c r="C987" s="63"/>
      <c r="D987" s="63"/>
      <c r="E987" s="63"/>
      <c r="F987" s="184"/>
      <c r="G987" s="184"/>
      <c r="H987" s="184"/>
      <c r="I987" s="184"/>
      <c r="J987" s="184"/>
      <c r="K987" s="69" t="str">
        <f>iferror(vlookup(E987,MasterClass!$C$2:$G988,5,false),"")</f>
        <v/>
      </c>
      <c r="L987" s="184"/>
      <c r="M987" s="184"/>
      <c r="N987" s="184"/>
      <c r="O987" s="63"/>
      <c r="P987" s="63"/>
      <c r="Q987" s="63"/>
      <c r="R987" s="63"/>
      <c r="S987" s="63"/>
      <c r="T987" s="63"/>
      <c r="U987" s="63"/>
      <c r="V987" s="63"/>
      <c r="W987" s="63"/>
      <c r="X987" s="63"/>
      <c r="Y987" s="63"/>
      <c r="Z987" s="63"/>
      <c r="AA987" s="63"/>
      <c r="AB987" s="63"/>
      <c r="AC987" s="63"/>
      <c r="AD987" s="63"/>
      <c r="AE987" s="63"/>
      <c r="AF987" s="63"/>
      <c r="AG987" s="63"/>
      <c r="AH987" s="63"/>
      <c r="AI987" s="63"/>
      <c r="AJ987" s="63"/>
    </row>
    <row r="988">
      <c r="A988" s="186"/>
      <c r="B988" s="63"/>
      <c r="C988" s="63"/>
      <c r="D988" s="63"/>
      <c r="E988" s="63"/>
      <c r="F988" s="184"/>
      <c r="G988" s="184"/>
      <c r="H988" s="184"/>
      <c r="I988" s="184"/>
      <c r="J988" s="184"/>
      <c r="K988" s="69" t="str">
        <f>iferror(vlookup(E988,MasterClass!$C$2:$G988,5,false),"")</f>
        <v/>
      </c>
      <c r="L988" s="184"/>
      <c r="M988" s="184"/>
      <c r="N988" s="184"/>
      <c r="O988" s="63"/>
      <c r="P988" s="63"/>
      <c r="Q988" s="63"/>
      <c r="R988" s="63"/>
      <c r="S988" s="63"/>
      <c r="T988" s="63"/>
      <c r="U988" s="63"/>
      <c r="V988" s="63"/>
      <c r="W988" s="63"/>
      <c r="X988" s="63"/>
      <c r="Y988" s="63"/>
      <c r="Z988" s="63"/>
      <c r="AA988" s="63"/>
      <c r="AB988" s="63"/>
      <c r="AC988" s="63"/>
      <c r="AD988" s="63"/>
      <c r="AE988" s="63"/>
      <c r="AF988" s="63"/>
      <c r="AG988" s="63"/>
      <c r="AH988" s="63"/>
      <c r="AI988" s="63"/>
      <c r="AJ988" s="63"/>
    </row>
  </sheetData>
  <autoFilter ref="$A$3:$Q$643">
    <sortState ref="A3:Q643">
      <sortCondition ref="A3:A643"/>
      <sortCondition ref="G3:G643"/>
      <sortCondition ref="F3:F643"/>
      <sortCondition ref="B3:B643"/>
    </sortState>
  </autoFilter>
  <customSheetViews>
    <customSheetView guid="{58701916-522A-4DF6-87E3-D17072A6BD34}" filter="1" showAutoFilter="1">
      <autoFilter ref="$B$1:$Q$637"/>
    </customSheetView>
  </customSheetViews>
  <mergeCells count="108">
    <mergeCell ref="P539:P540"/>
    <mergeCell ref="Q539:Q540"/>
    <mergeCell ref="B539:B540"/>
    <mergeCell ref="C539:C540"/>
    <mergeCell ref="D539:D540"/>
    <mergeCell ref="F539:F540"/>
    <mergeCell ref="M539:M540"/>
    <mergeCell ref="N539:N540"/>
    <mergeCell ref="O539:O540"/>
    <mergeCell ref="P8:P9"/>
    <mergeCell ref="Q8:Q9"/>
    <mergeCell ref="B8:B9"/>
    <mergeCell ref="C8:C9"/>
    <mergeCell ref="D8:D9"/>
    <mergeCell ref="F8:F9"/>
    <mergeCell ref="M8:M9"/>
    <mergeCell ref="N8:N9"/>
    <mergeCell ref="O8:O9"/>
    <mergeCell ref="P63:P64"/>
    <mergeCell ref="Q63:Q64"/>
    <mergeCell ref="B63:B64"/>
    <mergeCell ref="C63:C64"/>
    <mergeCell ref="D63:D64"/>
    <mergeCell ref="F63:F64"/>
    <mergeCell ref="M63:M64"/>
    <mergeCell ref="N63:N64"/>
    <mergeCell ref="O63:O64"/>
    <mergeCell ref="P117:P118"/>
    <mergeCell ref="Q117:Q118"/>
    <mergeCell ref="B117:B118"/>
    <mergeCell ref="C117:C118"/>
    <mergeCell ref="D117:D118"/>
    <mergeCell ref="F117:F118"/>
    <mergeCell ref="M117:M118"/>
    <mergeCell ref="N117:N118"/>
    <mergeCell ref="O117:O118"/>
    <mergeCell ref="P594:P595"/>
    <mergeCell ref="Q594:Q595"/>
    <mergeCell ref="B594:B595"/>
    <mergeCell ref="C594:C595"/>
    <mergeCell ref="D594:D595"/>
    <mergeCell ref="F594:F595"/>
    <mergeCell ref="M594:M595"/>
    <mergeCell ref="N594:N595"/>
    <mergeCell ref="O594:O595"/>
    <mergeCell ref="P169:P170"/>
    <mergeCell ref="Q169:Q170"/>
    <mergeCell ref="B169:B170"/>
    <mergeCell ref="C169:C170"/>
    <mergeCell ref="D169:D170"/>
    <mergeCell ref="F169:F170"/>
    <mergeCell ref="M169:M170"/>
    <mergeCell ref="N169:N170"/>
    <mergeCell ref="O169:O170"/>
    <mergeCell ref="P223:P224"/>
    <mergeCell ref="Q223:Q224"/>
    <mergeCell ref="B223:B224"/>
    <mergeCell ref="C223:C224"/>
    <mergeCell ref="D223:D224"/>
    <mergeCell ref="F223:F224"/>
    <mergeCell ref="M223:M224"/>
    <mergeCell ref="N223:N224"/>
    <mergeCell ref="O223:O224"/>
    <mergeCell ref="P275:P276"/>
    <mergeCell ref="Q275:Q276"/>
    <mergeCell ref="B275:B276"/>
    <mergeCell ref="C275:C276"/>
    <mergeCell ref="D275:D276"/>
    <mergeCell ref="F275:F276"/>
    <mergeCell ref="M275:M276"/>
    <mergeCell ref="N275:N276"/>
    <mergeCell ref="O275:O276"/>
    <mergeCell ref="P327:P328"/>
    <mergeCell ref="Q327:Q328"/>
    <mergeCell ref="B327:B328"/>
    <mergeCell ref="C327:C328"/>
    <mergeCell ref="D327:D328"/>
    <mergeCell ref="F327:F328"/>
    <mergeCell ref="M327:M328"/>
    <mergeCell ref="N327:N328"/>
    <mergeCell ref="O327:O328"/>
    <mergeCell ref="P380:P381"/>
    <mergeCell ref="Q380:Q381"/>
    <mergeCell ref="B380:B381"/>
    <mergeCell ref="C380:C381"/>
    <mergeCell ref="D380:D381"/>
    <mergeCell ref="F380:F381"/>
    <mergeCell ref="M380:M381"/>
    <mergeCell ref="N380:N381"/>
    <mergeCell ref="O380:O381"/>
    <mergeCell ref="P434:P435"/>
    <mergeCell ref="Q434:Q435"/>
    <mergeCell ref="B434:B435"/>
    <mergeCell ref="C434:C435"/>
    <mergeCell ref="D434:D435"/>
    <mergeCell ref="F434:F435"/>
    <mergeCell ref="M434:M435"/>
    <mergeCell ref="N434:N435"/>
    <mergeCell ref="O434:O435"/>
    <mergeCell ref="P486:P487"/>
    <mergeCell ref="Q486:Q487"/>
    <mergeCell ref="B486:B487"/>
    <mergeCell ref="C486:C487"/>
    <mergeCell ref="D486:D487"/>
    <mergeCell ref="F486:F487"/>
    <mergeCell ref="M486:M487"/>
    <mergeCell ref="N486:N487"/>
    <mergeCell ref="O486:O487"/>
  </mergeCells>
  <conditionalFormatting sqref="D4:E643">
    <cfRule type="containsText" dxfId="0" priority="1" operator="containsText" text="- L">
      <formula>NOT(ISERROR(SEARCH(("- L"),(D4))))</formula>
    </cfRule>
  </conditionalFormatting>
  <conditionalFormatting sqref="D4:E643">
    <cfRule type="containsText" dxfId="1" priority="2" operator="containsText" text="- P">
      <formula>NOT(ISERROR(SEARCH(("- P"),(D4))))</formula>
    </cfRule>
  </conditionalFormatting>
  <printOptions gridLines="1" horizontalCentered="1"/>
  <pageMargins bottom="0.75" footer="0.0" header="0.0" left="0.7" right="0.7"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hidden="1" min="1" max="1" width="6.43"/>
    <col customWidth="1" min="2" max="2" width="6.0"/>
    <col customWidth="1" min="4" max="4" width="10.86"/>
    <col customWidth="1" min="5" max="5" width="27.14"/>
    <col customWidth="1" hidden="1" min="6" max="6" width="8.43"/>
    <col customWidth="1" hidden="1" min="7" max="8" width="21.43"/>
    <col customWidth="1" min="9" max="9" width="19.14"/>
    <col customWidth="1" min="10" max="10" width="11.14"/>
    <col customWidth="1" min="11" max="11" width="16.57"/>
    <col customWidth="1" min="12" max="12" width="11.57"/>
    <col customWidth="1" min="13" max="13" width="11.43"/>
    <col customWidth="1" min="14" max="14" width="17.43"/>
    <col customWidth="1" min="15" max="15" width="22.14"/>
  </cols>
  <sheetData>
    <row r="1">
      <c r="A1" s="187"/>
      <c r="B1" s="188"/>
      <c r="C1" s="189"/>
      <c r="D1" s="189"/>
      <c r="E1" s="189"/>
      <c r="F1" s="189"/>
      <c r="G1" s="190" t="s">
        <v>5</v>
      </c>
      <c r="H1" s="190" t="s">
        <v>2483</v>
      </c>
      <c r="I1" s="131" t="s">
        <v>3094</v>
      </c>
      <c r="J1" s="191" t="s">
        <v>3095</v>
      </c>
      <c r="K1" s="192" t="s">
        <v>3096</v>
      </c>
      <c r="L1" s="193"/>
      <c r="M1" s="193" t="s">
        <v>18</v>
      </c>
      <c r="N1" s="194" t="s">
        <v>2491</v>
      </c>
      <c r="O1" s="133" t="s">
        <v>19</v>
      </c>
      <c r="P1" s="195"/>
      <c r="Q1" s="105"/>
      <c r="R1" s="105"/>
      <c r="S1" s="105"/>
      <c r="T1" s="105"/>
    </row>
    <row r="2">
      <c r="A2" s="196" t="s">
        <v>2482</v>
      </c>
      <c r="B2" s="188"/>
      <c r="C2" s="189"/>
      <c r="D2" s="189"/>
      <c r="E2" s="189"/>
      <c r="F2" s="189"/>
      <c r="G2" s="189"/>
      <c r="H2" s="189"/>
      <c r="I2" s="197"/>
      <c r="J2" s="197"/>
      <c r="K2" s="197"/>
      <c r="L2" s="197"/>
      <c r="M2" s="197"/>
      <c r="N2" s="189"/>
      <c r="O2" s="197"/>
      <c r="P2" s="195"/>
      <c r="Q2" s="105"/>
      <c r="R2" s="105"/>
      <c r="S2" s="105"/>
      <c r="T2" s="105"/>
    </row>
    <row r="3">
      <c r="A3" s="198">
        <v>4.0</v>
      </c>
      <c r="B3" s="90" t="s">
        <v>1733</v>
      </c>
      <c r="F3" s="199"/>
      <c r="G3" s="199"/>
      <c r="H3" s="199"/>
      <c r="I3" s="91"/>
      <c r="J3" s="91"/>
      <c r="K3" s="91"/>
      <c r="L3" s="91"/>
      <c r="M3" s="91"/>
      <c r="N3" s="199"/>
      <c r="O3" s="91"/>
      <c r="P3" s="195"/>
      <c r="Q3" s="105"/>
      <c r="R3" s="105"/>
      <c r="S3" s="105"/>
      <c r="T3" s="105"/>
    </row>
    <row r="4" hidden="1">
      <c r="A4" s="196">
        <v>5.0</v>
      </c>
      <c r="B4" s="92" t="s">
        <v>1734</v>
      </c>
      <c r="F4" s="200"/>
      <c r="G4" s="200"/>
      <c r="H4" s="200"/>
      <c r="I4" s="93"/>
      <c r="J4" s="93"/>
      <c r="K4" s="93"/>
      <c r="L4" s="93"/>
      <c r="M4" s="93"/>
      <c r="N4" s="200"/>
      <c r="O4" s="93"/>
      <c r="P4" s="195"/>
      <c r="Q4" s="105"/>
      <c r="R4" s="105"/>
      <c r="S4" s="105"/>
      <c r="T4" s="105"/>
    </row>
    <row r="5" hidden="1">
      <c r="A5" s="198">
        <v>6.0</v>
      </c>
      <c r="B5" s="201" t="s">
        <v>1735</v>
      </c>
      <c r="C5" s="201" t="s">
        <v>1736</v>
      </c>
      <c r="D5" s="201" t="s">
        <v>1737</v>
      </c>
      <c r="E5" s="201" t="s">
        <v>1738</v>
      </c>
      <c r="F5" s="202" t="s">
        <v>1815</v>
      </c>
      <c r="G5" s="203"/>
      <c r="H5" s="203"/>
      <c r="I5" s="204" t="s">
        <v>3097</v>
      </c>
      <c r="P5" s="195"/>
      <c r="Q5" s="105"/>
      <c r="R5" s="105"/>
      <c r="S5" s="105"/>
      <c r="T5" s="105"/>
    </row>
    <row r="6" hidden="1">
      <c r="A6" s="196">
        <v>7.0</v>
      </c>
      <c r="B6" s="201"/>
      <c r="C6" s="201"/>
      <c r="D6" s="201"/>
      <c r="E6" s="201"/>
      <c r="F6" s="205"/>
      <c r="G6" s="190"/>
      <c r="H6" s="190" t="s">
        <v>2483</v>
      </c>
      <c r="I6" s="206" t="s">
        <v>3094</v>
      </c>
      <c r="J6" s="207" t="s">
        <v>3095</v>
      </c>
      <c r="K6" s="208" t="s">
        <v>3096</v>
      </c>
      <c r="L6" s="207" t="s">
        <v>3098</v>
      </c>
      <c r="M6" s="209" t="s">
        <v>18</v>
      </c>
      <c r="N6" s="210" t="s">
        <v>2491</v>
      </c>
      <c r="O6" s="211" t="s">
        <v>19</v>
      </c>
      <c r="P6" s="195"/>
      <c r="Q6" s="105"/>
      <c r="R6" s="105"/>
      <c r="S6" s="105"/>
      <c r="T6" s="105"/>
    </row>
    <row r="7" hidden="1">
      <c r="A7" s="198">
        <v>8.0</v>
      </c>
      <c r="B7" s="212">
        <v>1.0</v>
      </c>
      <c r="C7" s="213">
        <v>8.2590495E7</v>
      </c>
      <c r="D7" s="213">
        <v>2.42510008E8</v>
      </c>
      <c r="E7" s="213" t="s">
        <v>1739</v>
      </c>
      <c r="F7" s="214" t="s">
        <v>3099</v>
      </c>
      <c r="G7" s="215"/>
      <c r="H7" s="215" t="str">
        <f>iferror(vlookup(E7,'Kelas XI - X(32)'!$D$11:$H987,3,false),"")</f>
        <v>Dimas</v>
      </c>
      <c r="I7" s="69">
        <f>iferror(vlookup(E7,'Kelas XI - X(32)'!$D$11:$H987,4,false),"")</f>
        <v>7</v>
      </c>
      <c r="J7" s="216">
        <v>0.0</v>
      </c>
      <c r="K7" s="150">
        <f>iferror(vlookup(E7,'Kelas XI - X(32)'!$D$11:$H987,5,false),"")</f>
        <v>3</v>
      </c>
      <c r="L7" s="217">
        <f t="shared" ref="L7:L42" si="1">K7+J7</f>
        <v>3</v>
      </c>
      <c r="M7" s="218">
        <f t="shared" ref="M7:M42" si="2">(K7+J7)/(I7+1)</f>
        <v>0.375</v>
      </c>
      <c r="N7" s="219"/>
      <c r="O7" s="75" t="str">
        <f t="shared" ref="O7:O37" si="3">IF(M7&gt;=50%,"A","B")</f>
        <v>B</v>
      </c>
      <c r="P7" s="195"/>
      <c r="Q7" s="105"/>
      <c r="R7" s="105"/>
      <c r="S7" s="105"/>
      <c r="T7" s="105"/>
    </row>
    <row r="8" hidden="1">
      <c r="A8" s="196">
        <v>9.0</v>
      </c>
      <c r="B8" s="220">
        <v>2.0</v>
      </c>
      <c r="C8" s="221">
        <v>9.7313548E7</v>
      </c>
      <c r="D8" s="221">
        <v>2.42510011E8</v>
      </c>
      <c r="E8" s="221" t="s">
        <v>1740</v>
      </c>
      <c r="F8" s="214" t="s">
        <v>3099</v>
      </c>
      <c r="G8" s="215"/>
      <c r="H8" s="215" t="str">
        <f>iferror(vlookup(E8,'Kelas XI - X(32)'!$D$11:$H987,3,false),"")</f>
        <v>Fadhlan</v>
      </c>
      <c r="I8" s="69">
        <f>iferror(vlookup(E8,'Kelas XI - X(32)'!$D$11:$H987,4,false),"")</f>
        <v>6</v>
      </c>
      <c r="J8" s="222">
        <v>0.0</v>
      </c>
      <c r="K8" s="69">
        <f>iferror(vlookup(E8,'Kelas XI - X(32)'!$D$11:$H987,5,false),"")</f>
        <v>4</v>
      </c>
      <c r="L8" s="223">
        <f t="shared" si="1"/>
        <v>4</v>
      </c>
      <c r="M8" s="146">
        <f t="shared" si="2"/>
        <v>0.5714285714</v>
      </c>
      <c r="N8" s="224"/>
      <c r="O8" s="75" t="str">
        <f t="shared" si="3"/>
        <v>A</v>
      </c>
      <c r="P8" s="195"/>
      <c r="Q8" s="105"/>
      <c r="R8" s="105"/>
      <c r="S8" s="105"/>
      <c r="T8" s="105"/>
    </row>
    <row r="9" hidden="1">
      <c r="A9" s="198">
        <v>10.0</v>
      </c>
      <c r="B9" s="225">
        <v>3.0</v>
      </c>
      <c r="C9" s="214">
        <v>9.4510551E7</v>
      </c>
      <c r="D9" s="214">
        <v>2.42510025E8</v>
      </c>
      <c r="E9" s="214" t="s">
        <v>1741</v>
      </c>
      <c r="F9" s="214" t="s">
        <v>3100</v>
      </c>
      <c r="G9" s="215"/>
      <c r="H9" s="215" t="str">
        <f>iferror(vlookup(E9,'Kelas XI - X(32)'!$D$11:$H987,3,false),"")</f>
        <v/>
      </c>
      <c r="I9" s="69">
        <f>iferror(vlookup(E9,'Kelas XI - X(32)'!$D$11:$H987,4,false),"")</f>
        <v>8</v>
      </c>
      <c r="J9" s="222">
        <v>0.0</v>
      </c>
      <c r="K9" s="69">
        <f>iferror(vlookup(E9,'Kelas XI - X(32)'!$D$11:$H987,5,false),"")</f>
        <v>2</v>
      </c>
      <c r="L9" s="223">
        <f t="shared" si="1"/>
        <v>2</v>
      </c>
      <c r="M9" s="146">
        <f t="shared" si="2"/>
        <v>0.2222222222</v>
      </c>
      <c r="N9" s="224"/>
      <c r="O9" s="75" t="str">
        <f t="shared" si="3"/>
        <v>B</v>
      </c>
      <c r="P9" s="195"/>
      <c r="Q9" s="105"/>
      <c r="R9" s="105"/>
      <c r="S9" s="105"/>
      <c r="T9" s="105"/>
    </row>
    <row r="10" hidden="1">
      <c r="A10" s="196">
        <v>11.0</v>
      </c>
      <c r="B10" s="225">
        <v>4.0</v>
      </c>
      <c r="C10" s="214">
        <v>8.7298416E7</v>
      </c>
      <c r="D10" s="214">
        <v>2.42510031E8</v>
      </c>
      <c r="E10" s="214" t="s">
        <v>1742</v>
      </c>
      <c r="F10" s="214" t="s">
        <v>3100</v>
      </c>
      <c r="G10" s="215"/>
      <c r="H10" s="215" t="str">
        <f>iferror(vlookup(E10,'Kelas XI - X(32)'!$D$11:$H987,3,false),"")</f>
        <v>Ramania</v>
      </c>
      <c r="I10" s="69">
        <f>iferror(vlookup(E10,'Kelas XI - X(32)'!$D$11:$H987,4,false),"")</f>
        <v>10</v>
      </c>
      <c r="J10" s="222">
        <v>0.0</v>
      </c>
      <c r="K10" s="69">
        <f>iferror(vlookup(E10,'Kelas XI - X(32)'!$D$11:$H987,5,false),"")</f>
        <v>5</v>
      </c>
      <c r="L10" s="223">
        <f t="shared" si="1"/>
        <v>5</v>
      </c>
      <c r="M10" s="146">
        <f t="shared" si="2"/>
        <v>0.4545454545</v>
      </c>
      <c r="N10" s="224"/>
      <c r="O10" s="75" t="str">
        <f t="shared" si="3"/>
        <v>B</v>
      </c>
      <c r="P10" s="195"/>
      <c r="Q10" s="105"/>
      <c r="R10" s="105"/>
      <c r="S10" s="105"/>
      <c r="T10" s="105"/>
    </row>
    <row r="11" hidden="1">
      <c r="A11" s="198">
        <v>12.0</v>
      </c>
      <c r="B11" s="225">
        <v>5.0</v>
      </c>
      <c r="C11" s="214">
        <v>9.5546511E7</v>
      </c>
      <c r="D11" s="214">
        <v>2.42510069E8</v>
      </c>
      <c r="E11" s="214" t="s">
        <v>1743</v>
      </c>
      <c r="F11" s="214" t="s">
        <v>3100</v>
      </c>
      <c r="G11" s="215"/>
      <c r="H11" s="215" t="str">
        <f>iferror(vlookup(E11,'Kelas XI - X(32)'!$D$11:$H987,3,false),"")</f>
        <v>Ramania</v>
      </c>
      <c r="I11" s="69">
        <f>iferror(vlookup(E11,'Kelas XI - X(32)'!$D$11:$H987,4,false),"")</f>
        <v>10</v>
      </c>
      <c r="J11" s="222">
        <v>0.0</v>
      </c>
      <c r="K11" s="69">
        <f>iferror(vlookup(E11,'Kelas XI - X(32)'!$D$11:$H987,5,false),"")</f>
        <v>7</v>
      </c>
      <c r="L11" s="223">
        <f t="shared" si="1"/>
        <v>7</v>
      </c>
      <c r="M11" s="146">
        <f t="shared" si="2"/>
        <v>0.6363636364</v>
      </c>
      <c r="N11" s="224"/>
      <c r="O11" s="75" t="str">
        <f t="shared" si="3"/>
        <v>A</v>
      </c>
      <c r="P11" s="195"/>
      <c r="Q11" s="105"/>
      <c r="R11" s="105"/>
      <c r="S11" s="105"/>
      <c r="T11" s="105"/>
    </row>
    <row r="12" hidden="1">
      <c r="A12" s="196">
        <v>13.0</v>
      </c>
      <c r="B12" s="225">
        <v>6.0</v>
      </c>
      <c r="C12" s="214">
        <v>3.086190678E9</v>
      </c>
      <c r="D12" s="214">
        <v>2.42510079E8</v>
      </c>
      <c r="E12" s="214" t="s">
        <v>1744</v>
      </c>
      <c r="F12" s="214" t="s">
        <v>3099</v>
      </c>
      <c r="G12" s="215"/>
      <c r="H12" s="215" t="str">
        <f>iferror(vlookup(E12,'Kelas XI - X(32)'!$D$11:$H987,3,false),"")</f>
        <v/>
      </c>
      <c r="I12" s="69">
        <f>iferror(vlookup(E12,'Kelas XI - X(32)'!$D$11:$H987,4,false),"")</f>
        <v>7</v>
      </c>
      <c r="J12" s="222">
        <v>0.0</v>
      </c>
      <c r="K12" s="69">
        <f>iferror(vlookup(E12,'Kelas XI - X(32)'!$D$11:$H987,5,false),"")</f>
        <v>3</v>
      </c>
      <c r="L12" s="223">
        <f t="shared" si="1"/>
        <v>3</v>
      </c>
      <c r="M12" s="146">
        <f t="shared" si="2"/>
        <v>0.375</v>
      </c>
      <c r="N12" s="224"/>
      <c r="O12" s="75" t="str">
        <f t="shared" si="3"/>
        <v>B</v>
      </c>
      <c r="P12" s="195"/>
      <c r="Q12" s="105"/>
      <c r="R12" s="105"/>
      <c r="S12" s="105"/>
      <c r="T12" s="105"/>
    </row>
    <row r="13" hidden="1">
      <c r="A13" s="198">
        <v>14.0</v>
      </c>
      <c r="B13" s="225">
        <v>7.0</v>
      </c>
      <c r="C13" s="214">
        <v>1.0716337E8</v>
      </c>
      <c r="D13" s="214">
        <v>2.42510095E8</v>
      </c>
      <c r="E13" s="214" t="s">
        <v>1745</v>
      </c>
      <c r="F13" s="214" t="s">
        <v>3100</v>
      </c>
      <c r="G13" s="215"/>
      <c r="H13" s="215" t="str">
        <f>iferror(vlookup(E13,'Kelas XI - X(32)'!$D$11:$H987,3,false),"")</f>
        <v>Ramania</v>
      </c>
      <c r="I13" s="69">
        <f>iferror(vlookup(E13,'Kelas XI - X(32)'!$D$11:$H987,4,false),"")</f>
        <v>10</v>
      </c>
      <c r="J13" s="222">
        <v>0.0</v>
      </c>
      <c r="K13" s="69">
        <f>iferror(vlookup(E13,'Kelas XI - X(32)'!$D$11:$H987,5,false),"")</f>
        <v>4</v>
      </c>
      <c r="L13" s="223">
        <f t="shared" si="1"/>
        <v>4</v>
      </c>
      <c r="M13" s="146">
        <f t="shared" si="2"/>
        <v>0.3636363636</v>
      </c>
      <c r="N13" s="224"/>
      <c r="O13" s="75" t="str">
        <f t="shared" si="3"/>
        <v>B</v>
      </c>
      <c r="P13" s="195"/>
      <c r="Q13" s="105"/>
      <c r="R13" s="105"/>
      <c r="S13" s="105"/>
      <c r="T13" s="105"/>
    </row>
    <row r="14" hidden="1">
      <c r="A14" s="196">
        <v>15.0</v>
      </c>
      <c r="B14" s="225">
        <v>8.0</v>
      </c>
      <c r="C14" s="214">
        <v>3.092678408E9</v>
      </c>
      <c r="D14" s="214">
        <v>2.42510108E8</v>
      </c>
      <c r="E14" s="214" t="s">
        <v>1746</v>
      </c>
      <c r="F14" s="214" t="s">
        <v>3099</v>
      </c>
      <c r="G14" s="215"/>
      <c r="H14" s="215" t="str">
        <f>iferror(vlookup(E14,'Kelas XI - X(32)'!$D$11:$H987,3,false),"")</f>
        <v/>
      </c>
      <c r="I14" s="69">
        <f>iferror(vlookup(E14,'Kelas XI - X(32)'!$D$11:$H987,4,false),"")</f>
        <v>7</v>
      </c>
      <c r="J14" s="222">
        <v>0.0</v>
      </c>
      <c r="K14" s="69">
        <f>iferror(vlookup(E14,'Kelas XI - X(32)'!$D$11:$H987,5,false),"")</f>
        <v>0</v>
      </c>
      <c r="L14" s="223">
        <f t="shared" si="1"/>
        <v>0</v>
      </c>
      <c r="M14" s="146">
        <f t="shared" si="2"/>
        <v>0</v>
      </c>
      <c r="N14" s="224"/>
      <c r="O14" s="75" t="str">
        <f t="shared" si="3"/>
        <v>B</v>
      </c>
      <c r="P14" s="195"/>
      <c r="Q14" s="105"/>
      <c r="R14" s="105"/>
      <c r="S14" s="105"/>
      <c r="T14" s="105"/>
    </row>
    <row r="15" hidden="1">
      <c r="A15" s="198">
        <v>16.0</v>
      </c>
      <c r="B15" s="225">
        <v>9.0</v>
      </c>
      <c r="C15" s="214">
        <v>9.550411E7</v>
      </c>
      <c r="D15" s="214">
        <v>2.42510111E8</v>
      </c>
      <c r="E15" s="214" t="s">
        <v>1747</v>
      </c>
      <c r="F15" s="214" t="s">
        <v>3099</v>
      </c>
      <c r="G15" s="215"/>
      <c r="H15" s="215" t="str">
        <f>iferror(vlookup(E15,'Kelas XI - X(32)'!$D$11:$H987,3,false),"")</f>
        <v/>
      </c>
      <c r="I15" s="69">
        <f>iferror(vlookup(E15,'Kelas XI - X(32)'!$D$11:$H987,4,false),"")</f>
        <v>7</v>
      </c>
      <c r="J15" s="222">
        <v>0.0</v>
      </c>
      <c r="K15" s="69">
        <f>iferror(vlookup(E15,'Kelas XI - X(32)'!$D$11:$H987,5,false),"")</f>
        <v>0</v>
      </c>
      <c r="L15" s="223">
        <f t="shared" si="1"/>
        <v>0</v>
      </c>
      <c r="M15" s="146">
        <f t="shared" si="2"/>
        <v>0</v>
      </c>
      <c r="N15" s="224"/>
      <c r="O15" s="75" t="str">
        <f t="shared" si="3"/>
        <v>B</v>
      </c>
      <c r="P15" s="195"/>
      <c r="Q15" s="105"/>
      <c r="R15" s="105"/>
      <c r="S15" s="105"/>
      <c r="T15" s="105"/>
    </row>
    <row r="16" hidden="1">
      <c r="A16" s="196">
        <v>17.0</v>
      </c>
      <c r="B16" s="225">
        <v>10.0</v>
      </c>
      <c r="C16" s="214">
        <v>3.081717964E9</v>
      </c>
      <c r="D16" s="214">
        <v>2.42510114E8</v>
      </c>
      <c r="E16" s="214" t="s">
        <v>1748</v>
      </c>
      <c r="F16" s="214" t="s">
        <v>3099</v>
      </c>
      <c r="G16" s="215"/>
      <c r="H16" s="215" t="str">
        <f>iferror(vlookup(E16,'Kelas XI - X(32)'!$D$11:$H987,3,false),"")</f>
        <v>Arya</v>
      </c>
      <c r="I16" s="69">
        <f>iferror(vlookup(E16,'Kelas XI - X(32)'!$D$11:$H987,4,false),"")</f>
        <v>5</v>
      </c>
      <c r="J16" s="222">
        <v>0.0</v>
      </c>
      <c r="K16" s="69">
        <v>0.0</v>
      </c>
      <c r="L16" s="223">
        <f t="shared" si="1"/>
        <v>0</v>
      </c>
      <c r="M16" s="146">
        <f t="shared" si="2"/>
        <v>0</v>
      </c>
      <c r="N16" s="224"/>
      <c r="O16" s="75" t="str">
        <f t="shared" si="3"/>
        <v>B</v>
      </c>
      <c r="P16" s="195"/>
      <c r="Q16" s="105"/>
      <c r="R16" s="105"/>
      <c r="S16" s="105"/>
      <c r="T16" s="105"/>
    </row>
    <row r="17" hidden="1">
      <c r="A17" s="198">
        <v>18.0</v>
      </c>
      <c r="B17" s="225">
        <v>11.0</v>
      </c>
      <c r="C17" s="214">
        <v>8.3076557E7</v>
      </c>
      <c r="D17" s="214">
        <v>2.42510116E8</v>
      </c>
      <c r="E17" s="214" t="s">
        <v>1749</v>
      </c>
      <c r="F17" s="214" t="s">
        <v>3100</v>
      </c>
      <c r="G17" s="215"/>
      <c r="H17" s="215" t="str">
        <f>iferror(vlookup(E17,'Kelas XI - X(32)'!$D$11:$H987,3,false),"")</f>
        <v>Najmi</v>
      </c>
      <c r="I17" s="69">
        <f>iferror(vlookup(E17,'Kelas XI - X(32)'!$D$11:$H987,4,false),"")</f>
        <v>5</v>
      </c>
      <c r="J17" s="222">
        <v>0.0</v>
      </c>
      <c r="K17" s="69">
        <f>iferror(vlookup(E17,'Kelas XI - X(32)'!$D$11:$H987,5,false),"")</f>
        <v>5</v>
      </c>
      <c r="L17" s="223">
        <f t="shared" si="1"/>
        <v>5</v>
      </c>
      <c r="M17" s="146">
        <f t="shared" si="2"/>
        <v>0.8333333333</v>
      </c>
      <c r="N17" s="224"/>
      <c r="O17" s="75" t="str">
        <f t="shared" si="3"/>
        <v>A</v>
      </c>
      <c r="P17" s="195"/>
      <c r="Q17" s="105"/>
      <c r="R17" s="105"/>
      <c r="S17" s="105"/>
      <c r="T17" s="105"/>
    </row>
    <row r="18" hidden="1">
      <c r="A18" s="196">
        <v>19.0</v>
      </c>
      <c r="B18" s="225">
        <v>12.0</v>
      </c>
      <c r="C18" s="214">
        <v>9.3137843E7</v>
      </c>
      <c r="D18" s="214">
        <v>2.42510126E8</v>
      </c>
      <c r="E18" s="214" t="s">
        <v>1750</v>
      </c>
      <c r="F18" s="214" t="s">
        <v>3100</v>
      </c>
      <c r="G18" s="215"/>
      <c r="H18" s="215" t="str">
        <f>iferror(vlookup(E18,'Kelas XI - X(32)'!$D$11:$H987,3,false),"")</f>
        <v/>
      </c>
      <c r="I18" s="69">
        <f>iferror(vlookup(E18,'Kelas XI - X(32)'!$D$11:$H987,4,false),"")</f>
        <v>6</v>
      </c>
      <c r="J18" s="222">
        <v>0.0</v>
      </c>
      <c r="K18" s="69">
        <f>iferror(vlookup(E18,'Kelas XI - X(32)'!$D$11:$H987,5,false),"")</f>
        <v>2</v>
      </c>
      <c r="L18" s="223">
        <f t="shared" si="1"/>
        <v>2</v>
      </c>
      <c r="M18" s="146">
        <f t="shared" si="2"/>
        <v>0.2857142857</v>
      </c>
      <c r="N18" s="224"/>
      <c r="O18" s="75" t="str">
        <f t="shared" si="3"/>
        <v>B</v>
      </c>
      <c r="P18" s="195"/>
      <c r="Q18" s="105"/>
      <c r="R18" s="105"/>
      <c r="S18" s="105"/>
      <c r="T18" s="105"/>
    </row>
    <row r="19" hidden="1">
      <c r="A19" s="198">
        <v>20.0</v>
      </c>
      <c r="B19" s="225">
        <v>13.0</v>
      </c>
      <c r="C19" s="214">
        <v>3.09082869E9</v>
      </c>
      <c r="D19" s="214">
        <v>2.42510159E8</v>
      </c>
      <c r="E19" s="214" t="s">
        <v>1751</v>
      </c>
      <c r="F19" s="214" t="s">
        <v>3099</v>
      </c>
      <c r="G19" s="215"/>
      <c r="H19" s="215" t="str">
        <f>iferror(vlookup(E19,'Kelas XI - X(32)'!$D$11:$H987,3,false),"")</f>
        <v>Taufik</v>
      </c>
      <c r="I19" s="69">
        <f>iferror(vlookup(E19,'Kelas XI - X(32)'!$D$11:$H987,4,false),"")</f>
        <v>7</v>
      </c>
      <c r="J19" s="222">
        <v>0.0</v>
      </c>
      <c r="K19" s="69">
        <f>iferror(vlookup(E19,'Kelas XI - X(32)'!$D$11:$H987,5,false),"")</f>
        <v>5</v>
      </c>
      <c r="L19" s="223">
        <f t="shared" si="1"/>
        <v>5</v>
      </c>
      <c r="M19" s="146">
        <f t="shared" si="2"/>
        <v>0.625</v>
      </c>
      <c r="N19" s="224"/>
      <c r="O19" s="75" t="str">
        <f t="shared" si="3"/>
        <v>A</v>
      </c>
      <c r="P19" s="195"/>
      <c r="Q19" s="105"/>
      <c r="R19" s="105"/>
      <c r="S19" s="105"/>
      <c r="T19" s="105"/>
    </row>
    <row r="20" hidden="1">
      <c r="A20" s="196">
        <v>21.0</v>
      </c>
      <c r="B20" s="225">
        <v>14.0</v>
      </c>
      <c r="C20" s="214">
        <v>8.8101729E7</v>
      </c>
      <c r="D20" s="214">
        <v>2.42510173E8</v>
      </c>
      <c r="E20" s="214" t="s">
        <v>1752</v>
      </c>
      <c r="F20" s="214" t="s">
        <v>3099</v>
      </c>
      <c r="G20" s="215"/>
      <c r="H20" s="215" t="str">
        <f>iferror(vlookup(E20,'Kelas XI - X(32)'!$D$11:$H987,3,false),"")</f>
        <v/>
      </c>
      <c r="I20" s="69">
        <f>iferror(vlookup(E20,'Kelas XI - X(32)'!$D$11:$H987,4,false),"")</f>
        <v>6</v>
      </c>
      <c r="J20" s="223">
        <f>iferror(vlookup(E20,MasterClass!$C$2:$G987,5,false),"")</f>
        <v>1</v>
      </c>
      <c r="K20" s="69">
        <f>iferror(vlookup(E20,'Kelas XI - X(32)'!$D$11:$H987,5,false),"")</f>
        <v>6</v>
      </c>
      <c r="L20" s="223">
        <f t="shared" si="1"/>
        <v>7</v>
      </c>
      <c r="M20" s="146">
        <f t="shared" si="2"/>
        <v>1</v>
      </c>
      <c r="N20" s="224"/>
      <c r="O20" s="75" t="str">
        <f t="shared" si="3"/>
        <v>A</v>
      </c>
      <c r="P20" s="195"/>
      <c r="Q20" s="105"/>
      <c r="R20" s="105"/>
      <c r="S20" s="105"/>
      <c r="T20" s="105"/>
    </row>
    <row r="21" hidden="1">
      <c r="A21" s="198">
        <v>22.0</v>
      </c>
      <c r="B21" s="225">
        <v>15.0</v>
      </c>
      <c r="C21" s="214">
        <v>9.9940887E7</v>
      </c>
      <c r="D21" s="214">
        <v>2.42510183E8</v>
      </c>
      <c r="E21" s="214" t="s">
        <v>1753</v>
      </c>
      <c r="F21" s="214" t="s">
        <v>3100</v>
      </c>
      <c r="G21" s="215"/>
      <c r="H21" s="215" t="str">
        <f>iferror(vlookup(E21,'Kelas XI - X(32)'!$D$11:$H987,3,false),"")</f>
        <v>Ramania</v>
      </c>
      <c r="I21" s="69">
        <f>iferror(vlookup(E21,'Kelas XI - X(32)'!$D$11:$H987,4,false),"")</f>
        <v>10</v>
      </c>
      <c r="J21" s="222">
        <v>0.0</v>
      </c>
      <c r="K21" s="69">
        <f>iferror(vlookup(E21,'Kelas XI - X(32)'!$D$11:$H987,5,false),"")</f>
        <v>7</v>
      </c>
      <c r="L21" s="223">
        <f t="shared" si="1"/>
        <v>7</v>
      </c>
      <c r="M21" s="146">
        <f t="shared" si="2"/>
        <v>0.6363636364</v>
      </c>
      <c r="N21" s="224"/>
      <c r="O21" s="75" t="str">
        <f t="shared" si="3"/>
        <v>A</v>
      </c>
      <c r="P21" s="195"/>
      <c r="Q21" s="105"/>
      <c r="R21" s="105"/>
      <c r="S21" s="105"/>
      <c r="T21" s="105"/>
    </row>
    <row r="22" hidden="1">
      <c r="A22" s="196">
        <v>23.0</v>
      </c>
      <c r="B22" s="225">
        <v>16.0</v>
      </c>
      <c r="C22" s="214">
        <v>9.6213576E7</v>
      </c>
      <c r="D22" s="214">
        <v>2.42510188E8</v>
      </c>
      <c r="E22" s="214" t="s">
        <v>1754</v>
      </c>
      <c r="F22" s="214" t="s">
        <v>3100</v>
      </c>
      <c r="G22" s="215"/>
      <c r="H22" s="215" t="str">
        <f>iferror(vlookup(E22,'Kelas XI - X(32)'!$D$11:$H987,3,false),"")</f>
        <v>Najmi</v>
      </c>
      <c r="I22" s="69">
        <f>iferror(vlookup(E22,'Kelas XI - X(32)'!$D$11:$H987,4,false),"")</f>
        <v>5</v>
      </c>
      <c r="J22" s="222">
        <v>0.0</v>
      </c>
      <c r="K22" s="69">
        <f>iferror(vlookup(E22,'Kelas XI - X(32)'!$D$11:$H987,5,false),"")</f>
        <v>5</v>
      </c>
      <c r="L22" s="223">
        <f t="shared" si="1"/>
        <v>5</v>
      </c>
      <c r="M22" s="146">
        <f t="shared" si="2"/>
        <v>0.8333333333</v>
      </c>
      <c r="N22" s="224"/>
      <c r="O22" s="75" t="str">
        <f t="shared" si="3"/>
        <v>A</v>
      </c>
      <c r="P22" s="195"/>
      <c r="Q22" s="105"/>
      <c r="R22" s="105"/>
      <c r="S22" s="105"/>
      <c r="T22" s="105"/>
    </row>
    <row r="23" hidden="1">
      <c r="A23" s="198">
        <v>24.0</v>
      </c>
      <c r="B23" s="225">
        <v>17.0</v>
      </c>
      <c r="C23" s="214">
        <v>9.1012038E7</v>
      </c>
      <c r="D23" s="214">
        <v>2.42510189E8</v>
      </c>
      <c r="E23" s="214" t="s">
        <v>1755</v>
      </c>
      <c r="F23" s="214" t="s">
        <v>3100</v>
      </c>
      <c r="G23" s="215"/>
      <c r="H23" s="215" t="str">
        <f>iferror(vlookup(E23,'Kelas XI - X(32)'!$D$11:$H987,3,false),"")</f>
        <v>-</v>
      </c>
      <c r="I23" s="69">
        <v>1.0</v>
      </c>
      <c r="J23" s="222">
        <v>0.0</v>
      </c>
      <c r="K23" s="69">
        <v>0.0</v>
      </c>
      <c r="L23" s="223">
        <f t="shared" si="1"/>
        <v>0</v>
      </c>
      <c r="M23" s="146">
        <f t="shared" si="2"/>
        <v>0</v>
      </c>
      <c r="N23" s="224"/>
      <c r="O23" s="75" t="str">
        <f t="shared" si="3"/>
        <v>B</v>
      </c>
      <c r="P23" s="195"/>
      <c r="Q23" s="195"/>
      <c r="R23" s="195"/>
      <c r="S23" s="195"/>
      <c r="T23" s="195"/>
    </row>
    <row r="24" hidden="1">
      <c r="A24" s="196">
        <v>25.0</v>
      </c>
      <c r="B24" s="225">
        <v>18.0</v>
      </c>
      <c r="C24" s="214">
        <v>9.7202517E7</v>
      </c>
      <c r="D24" s="214">
        <v>2.42510201E8</v>
      </c>
      <c r="E24" s="226" t="s">
        <v>1756</v>
      </c>
      <c r="F24" s="214" t="s">
        <v>3100</v>
      </c>
      <c r="G24" s="215"/>
      <c r="H24" s="215" t="str">
        <f>iferror(vlookup(E24,'Kelas XI - X(32)'!$D$11:$H987,3,false),"")</f>
        <v/>
      </c>
      <c r="I24" s="69">
        <v>1.0</v>
      </c>
      <c r="J24" s="222">
        <v>0.0</v>
      </c>
      <c r="K24" s="69">
        <v>0.0</v>
      </c>
      <c r="L24" s="223">
        <f t="shared" si="1"/>
        <v>0</v>
      </c>
      <c r="M24" s="146">
        <f t="shared" si="2"/>
        <v>0</v>
      </c>
      <c r="N24" s="224"/>
      <c r="O24" s="75" t="str">
        <f t="shared" si="3"/>
        <v>B</v>
      </c>
      <c r="P24" s="195"/>
      <c r="Q24" s="105"/>
      <c r="R24" s="105"/>
      <c r="S24" s="105"/>
      <c r="T24" s="105"/>
    </row>
    <row r="25" hidden="1">
      <c r="A25" s="198">
        <v>26.0</v>
      </c>
      <c r="B25" s="225">
        <v>19.0</v>
      </c>
      <c r="C25" s="214">
        <v>9.8256549E7</v>
      </c>
      <c r="D25" s="214">
        <v>2.42510206E8</v>
      </c>
      <c r="E25" s="214" t="s">
        <v>1757</v>
      </c>
      <c r="F25" s="214" t="s">
        <v>3100</v>
      </c>
      <c r="G25" s="215"/>
      <c r="H25" s="215" t="str">
        <f>iferror(vlookup(E25,'Kelas XI - X(32)'!$D$11:$H987,3,false),"")</f>
        <v>Najmi</v>
      </c>
      <c r="I25" s="69">
        <f>iferror(vlookup(E25,'Kelas XI - X(32)'!$D$11:$H987,4,false),"")</f>
        <v>5</v>
      </c>
      <c r="J25" s="222">
        <v>0.0</v>
      </c>
      <c r="K25" s="69">
        <f>iferror(vlookup(E25,'Kelas XI - X(32)'!$D$11:$H987,5,false),"")</f>
        <v>5</v>
      </c>
      <c r="L25" s="223">
        <f t="shared" si="1"/>
        <v>5</v>
      </c>
      <c r="M25" s="146">
        <f t="shared" si="2"/>
        <v>0.8333333333</v>
      </c>
      <c r="N25" s="224"/>
      <c r="O25" s="75" t="str">
        <f t="shared" si="3"/>
        <v>A</v>
      </c>
      <c r="P25" s="195"/>
      <c r="Q25" s="105"/>
      <c r="R25" s="105"/>
      <c r="S25" s="105"/>
      <c r="T25" s="105"/>
    </row>
    <row r="26" hidden="1">
      <c r="A26" s="196">
        <v>27.0</v>
      </c>
      <c r="B26" s="225">
        <v>20.0</v>
      </c>
      <c r="C26" s="214">
        <v>9.3623036E7</v>
      </c>
      <c r="D26" s="214">
        <v>2.42510208E8</v>
      </c>
      <c r="E26" s="214" t="s">
        <v>1758</v>
      </c>
      <c r="F26" s="214" t="s">
        <v>3100</v>
      </c>
      <c r="G26" s="215"/>
      <c r="H26" s="215" t="str">
        <f>iferror(vlookup(E26,'Kelas XI - X(32)'!$D$11:$H987,3,false),"")</f>
        <v>Najmi</v>
      </c>
      <c r="I26" s="69">
        <f>iferror(vlookup(E26,'Kelas XI - X(32)'!$D$11:$H987,4,false),"")</f>
        <v>5</v>
      </c>
      <c r="J26" s="222">
        <v>0.0</v>
      </c>
      <c r="K26" s="69">
        <f>iferror(vlookup(E26,'Kelas XI - X(32)'!$D$11:$H987,5,false),"")</f>
        <v>5</v>
      </c>
      <c r="L26" s="223">
        <f t="shared" si="1"/>
        <v>5</v>
      </c>
      <c r="M26" s="146">
        <f t="shared" si="2"/>
        <v>0.8333333333</v>
      </c>
      <c r="N26" s="224"/>
      <c r="O26" s="75" t="str">
        <f t="shared" si="3"/>
        <v>A</v>
      </c>
      <c r="P26" s="195"/>
      <c r="Q26" s="105"/>
      <c r="R26" s="105"/>
      <c r="S26" s="105"/>
      <c r="T26" s="105"/>
    </row>
    <row r="27" hidden="1">
      <c r="A27" s="198">
        <v>28.0</v>
      </c>
      <c r="B27" s="225">
        <v>21.0</v>
      </c>
      <c r="C27" s="214">
        <v>8.3667654E7</v>
      </c>
      <c r="D27" s="214">
        <v>2.42510209E8</v>
      </c>
      <c r="E27" s="214" t="s">
        <v>1759</v>
      </c>
      <c r="F27" s="214" t="s">
        <v>3100</v>
      </c>
      <c r="G27" s="215"/>
      <c r="H27" s="215" t="str">
        <f>iferror(vlookup(E27,'Kelas XI - X(32)'!$D$11:$H987,3,false),"")</f>
        <v/>
      </c>
      <c r="I27" s="69">
        <f>iferror(vlookup(E27,'Kelas XI - X(32)'!$D$11:$H987,4,false),"")</f>
        <v>8</v>
      </c>
      <c r="J27" s="222">
        <v>0.0</v>
      </c>
      <c r="K27" s="69">
        <f>iferror(vlookup(E27,'Kelas XI - X(32)'!$D$11:$H987,5,false),"")</f>
        <v>3</v>
      </c>
      <c r="L27" s="223">
        <f t="shared" si="1"/>
        <v>3</v>
      </c>
      <c r="M27" s="146">
        <f t="shared" si="2"/>
        <v>0.3333333333</v>
      </c>
      <c r="N27" s="224"/>
      <c r="O27" s="75" t="str">
        <f t="shared" si="3"/>
        <v>B</v>
      </c>
      <c r="P27" s="195"/>
      <c r="Q27" s="105"/>
      <c r="R27" s="105"/>
      <c r="S27" s="105"/>
      <c r="T27" s="105"/>
    </row>
    <row r="28" hidden="1">
      <c r="A28" s="196">
        <v>29.0</v>
      </c>
      <c r="B28" s="225">
        <v>22.0</v>
      </c>
      <c r="C28" s="214">
        <v>3.083447726E9</v>
      </c>
      <c r="D28" s="214">
        <v>2.42510257E8</v>
      </c>
      <c r="E28" s="214" t="s">
        <v>1760</v>
      </c>
      <c r="F28" s="214" t="s">
        <v>3099</v>
      </c>
      <c r="G28" s="215"/>
      <c r="H28" s="215" t="str">
        <f>iferror(vlookup(E28,'Kelas XI - X(32)'!$D$11:$H987,3,false),"")</f>
        <v>Arya</v>
      </c>
      <c r="I28" s="69">
        <f>iferror(vlookup(E28,'Kelas XI - X(32)'!$D$11:$H987,4,false),"")</f>
        <v>5</v>
      </c>
      <c r="J28" s="222">
        <v>0.0</v>
      </c>
      <c r="K28" s="69">
        <f>iferror(vlookup(E28,'Kelas XI - X(32)'!$D$11:$H987,5,false),"")</f>
        <v>3</v>
      </c>
      <c r="L28" s="223">
        <f t="shared" si="1"/>
        <v>3</v>
      </c>
      <c r="M28" s="146">
        <f t="shared" si="2"/>
        <v>0.5</v>
      </c>
      <c r="N28" s="224"/>
      <c r="O28" s="75" t="str">
        <f t="shared" si="3"/>
        <v>A</v>
      </c>
      <c r="P28" s="195"/>
      <c r="Q28" s="105"/>
      <c r="R28" s="105"/>
      <c r="S28" s="105"/>
      <c r="T28" s="105"/>
    </row>
    <row r="29" hidden="1">
      <c r="A29" s="198">
        <v>30.0</v>
      </c>
      <c r="B29" s="225">
        <v>23.0</v>
      </c>
      <c r="C29" s="214">
        <v>9.8849381E7</v>
      </c>
      <c r="D29" s="214">
        <v>2.42510281E8</v>
      </c>
      <c r="E29" s="214" t="s">
        <v>1761</v>
      </c>
      <c r="F29" s="214" t="s">
        <v>3099</v>
      </c>
      <c r="G29" s="215"/>
      <c r="H29" s="215" t="str">
        <f>iferror(vlookup(E29,'Kelas XI - X(32)'!$D$11:$H987,3,false),"")</f>
        <v>Rafli</v>
      </c>
      <c r="I29" s="69">
        <f>iferror(vlookup(E29,'Kelas XI - X(32)'!$D$11:$H987,4,false),"")</f>
        <v>4</v>
      </c>
      <c r="J29" s="222">
        <v>0.0</v>
      </c>
      <c r="K29" s="69">
        <v>0.0</v>
      </c>
      <c r="L29" s="223">
        <f t="shared" si="1"/>
        <v>0</v>
      </c>
      <c r="M29" s="146">
        <f t="shared" si="2"/>
        <v>0</v>
      </c>
      <c r="N29" s="224"/>
      <c r="O29" s="75" t="str">
        <f t="shared" si="3"/>
        <v>B</v>
      </c>
      <c r="P29" s="195"/>
      <c r="Q29" s="105"/>
      <c r="R29" s="105"/>
      <c r="S29" s="105"/>
      <c r="T29" s="105"/>
    </row>
    <row r="30" hidden="1">
      <c r="A30" s="196">
        <v>31.0</v>
      </c>
      <c r="B30" s="225">
        <v>24.0</v>
      </c>
      <c r="C30" s="214">
        <v>9.7736512E7</v>
      </c>
      <c r="D30" s="214">
        <v>2.42510291E8</v>
      </c>
      <c r="E30" s="214" t="s">
        <v>1762</v>
      </c>
      <c r="F30" s="214" t="s">
        <v>3100</v>
      </c>
      <c r="G30" s="215"/>
      <c r="H30" s="215" t="str">
        <f>iferror(vlookup(E30,'Kelas XI - X(32)'!$D$11:$H987,3,false),"")</f>
        <v/>
      </c>
      <c r="I30" s="69">
        <f>iferror(vlookup(E30,'Kelas XI - X(32)'!$D$11:$H987,4,false),"")</f>
        <v>7</v>
      </c>
      <c r="J30" s="222">
        <v>0.0</v>
      </c>
      <c r="K30" s="69">
        <f>iferror(vlookup(E30,'Kelas XI - X(32)'!$D$11:$H987,5,false),"")</f>
        <v>2</v>
      </c>
      <c r="L30" s="223">
        <f t="shared" si="1"/>
        <v>2</v>
      </c>
      <c r="M30" s="146">
        <f t="shared" si="2"/>
        <v>0.25</v>
      </c>
      <c r="N30" s="224"/>
      <c r="O30" s="75" t="str">
        <f t="shared" si="3"/>
        <v>B</v>
      </c>
      <c r="P30" s="195"/>
      <c r="Q30" s="105"/>
      <c r="R30" s="105"/>
      <c r="S30" s="105"/>
      <c r="T30" s="105"/>
    </row>
    <row r="31" hidden="1">
      <c r="A31" s="198">
        <v>32.0</v>
      </c>
      <c r="B31" s="225">
        <v>25.0</v>
      </c>
      <c r="C31" s="214">
        <v>8.3833819E7</v>
      </c>
      <c r="D31" s="214">
        <v>2.42510323E8</v>
      </c>
      <c r="E31" s="214" t="s">
        <v>1763</v>
      </c>
      <c r="F31" s="214" t="s">
        <v>3100</v>
      </c>
      <c r="G31" s="215"/>
      <c r="H31" s="215" t="str">
        <f>iferror(vlookup(E31,'Kelas XI - X(32)'!$D$11:$H987,3,false),"")</f>
        <v/>
      </c>
      <c r="I31" s="69">
        <v>1.0</v>
      </c>
      <c r="J31" s="222">
        <v>0.0</v>
      </c>
      <c r="K31" s="69">
        <v>0.0</v>
      </c>
      <c r="L31" s="223">
        <f t="shared" si="1"/>
        <v>0</v>
      </c>
      <c r="M31" s="146">
        <f t="shared" si="2"/>
        <v>0</v>
      </c>
      <c r="N31" s="224"/>
      <c r="O31" s="75" t="str">
        <f t="shared" si="3"/>
        <v>B</v>
      </c>
      <c r="P31" s="195"/>
      <c r="Q31" s="105"/>
      <c r="R31" s="105"/>
      <c r="S31" s="105"/>
      <c r="T31" s="105"/>
    </row>
    <row r="32" hidden="1">
      <c r="A32" s="196">
        <v>33.0</v>
      </c>
      <c r="B32" s="225">
        <v>26.0</v>
      </c>
      <c r="C32" s="214">
        <v>9.4989387E7</v>
      </c>
      <c r="D32" s="214">
        <v>2.42510325E8</v>
      </c>
      <c r="E32" s="214" t="s">
        <v>1764</v>
      </c>
      <c r="F32" s="214" t="s">
        <v>3100</v>
      </c>
      <c r="G32" s="215"/>
      <c r="H32" s="215" t="str">
        <f>iferror(vlookup(E32,'Kelas XI - X(32)'!$D$11:$H987,3,false),"")</f>
        <v>Najmi</v>
      </c>
      <c r="I32" s="69">
        <f>iferror(vlookup(E32,'Kelas XI - X(32)'!$D$11:$H987,4,false),"")</f>
        <v>5</v>
      </c>
      <c r="J32" s="222">
        <v>0.0</v>
      </c>
      <c r="K32" s="69">
        <f>iferror(vlookup(E32,'Kelas XI - X(32)'!$D$11:$H987,5,false),"")</f>
        <v>5</v>
      </c>
      <c r="L32" s="223">
        <f t="shared" si="1"/>
        <v>5</v>
      </c>
      <c r="M32" s="146">
        <f t="shared" si="2"/>
        <v>0.8333333333</v>
      </c>
      <c r="N32" s="224"/>
      <c r="O32" s="75" t="str">
        <f t="shared" si="3"/>
        <v>A</v>
      </c>
      <c r="P32" s="195"/>
      <c r="Q32" s="105"/>
      <c r="R32" s="105"/>
      <c r="S32" s="105"/>
      <c r="T32" s="105"/>
    </row>
    <row r="33" hidden="1">
      <c r="A33" s="198">
        <v>34.0</v>
      </c>
      <c r="B33" s="225">
        <v>27.0</v>
      </c>
      <c r="C33" s="214">
        <v>9.1033788E7</v>
      </c>
      <c r="D33" s="214">
        <v>2.42510336E8</v>
      </c>
      <c r="E33" s="214" t="s">
        <v>1765</v>
      </c>
      <c r="F33" s="214" t="s">
        <v>3100</v>
      </c>
      <c r="G33" s="215"/>
      <c r="H33" s="215" t="str">
        <f>iferror(vlookup(E33,'Kelas XI - X(32)'!$D$11:$H987,3,false),"")</f>
        <v/>
      </c>
      <c r="I33" s="69">
        <v>1.0</v>
      </c>
      <c r="J33" s="222">
        <v>0.0</v>
      </c>
      <c r="K33" s="69">
        <v>0.0</v>
      </c>
      <c r="L33" s="223">
        <f t="shared" si="1"/>
        <v>0</v>
      </c>
      <c r="M33" s="146">
        <f t="shared" si="2"/>
        <v>0</v>
      </c>
      <c r="N33" s="224"/>
      <c r="O33" s="75" t="str">
        <f t="shared" si="3"/>
        <v>B</v>
      </c>
      <c r="P33" s="195"/>
      <c r="Q33" s="105"/>
      <c r="R33" s="105"/>
      <c r="S33" s="105"/>
      <c r="T33" s="105"/>
    </row>
    <row r="34" hidden="1">
      <c r="A34" s="196">
        <v>35.0</v>
      </c>
      <c r="B34" s="225">
        <v>28.0</v>
      </c>
      <c r="C34" s="214">
        <v>3.098805753E9</v>
      </c>
      <c r="D34" s="214">
        <v>2.42510342E8</v>
      </c>
      <c r="E34" s="214" t="s">
        <v>1766</v>
      </c>
      <c r="F34" s="214" t="s">
        <v>3100</v>
      </c>
      <c r="G34" s="215"/>
      <c r="H34" s="215" t="str">
        <f>iferror(vlookup(E34,'Kelas XI - X(32)'!$D$11:$H987,3,false),"")</f>
        <v/>
      </c>
      <c r="I34" s="69">
        <f>iferror(vlookup(E34,'Kelas XI - X(32)'!$D$11:$H987,4,false),"")</f>
        <v>7</v>
      </c>
      <c r="J34" s="222">
        <v>0.0</v>
      </c>
      <c r="K34" s="69">
        <f>iferror(vlookup(E34,'Kelas XI - X(32)'!$D$11:$H987,5,false),"")</f>
        <v>3</v>
      </c>
      <c r="L34" s="223">
        <f t="shared" si="1"/>
        <v>3</v>
      </c>
      <c r="M34" s="146">
        <f t="shared" si="2"/>
        <v>0.375</v>
      </c>
      <c r="N34" s="224"/>
      <c r="O34" s="75" t="str">
        <f t="shared" si="3"/>
        <v>B</v>
      </c>
      <c r="P34" s="195"/>
      <c r="Q34" s="105"/>
      <c r="R34" s="105"/>
      <c r="S34" s="105"/>
      <c r="T34" s="105"/>
    </row>
    <row r="35" hidden="1">
      <c r="A35" s="198">
        <v>36.0</v>
      </c>
      <c r="B35" s="225">
        <v>29.0</v>
      </c>
      <c r="C35" s="214">
        <v>9.282758E7</v>
      </c>
      <c r="D35" s="214">
        <v>2.42510388E8</v>
      </c>
      <c r="E35" s="214" t="s">
        <v>1767</v>
      </c>
      <c r="F35" s="214" t="s">
        <v>3100</v>
      </c>
      <c r="G35" s="215"/>
      <c r="H35" s="215" t="str">
        <f>iferror(vlookup(E35,'Kelas XI - X(32)'!$D$11:$H987,3,false),"")</f>
        <v/>
      </c>
      <c r="I35" s="69">
        <f>iferror(vlookup(E35,'Kelas XI - X(32)'!$D$11:$H987,4,false),"")</f>
        <v>7</v>
      </c>
      <c r="J35" s="222">
        <v>0.0</v>
      </c>
      <c r="K35" s="69">
        <v>0.0</v>
      </c>
      <c r="L35" s="223">
        <f t="shared" si="1"/>
        <v>0</v>
      </c>
      <c r="M35" s="146">
        <f t="shared" si="2"/>
        <v>0</v>
      </c>
      <c r="N35" s="224"/>
      <c r="O35" s="75" t="str">
        <f t="shared" si="3"/>
        <v>B</v>
      </c>
      <c r="P35" s="195"/>
      <c r="Q35" s="105"/>
      <c r="R35" s="105"/>
      <c r="S35" s="105"/>
      <c r="T35" s="105"/>
    </row>
    <row r="36" hidden="1">
      <c r="A36" s="196">
        <v>37.0</v>
      </c>
      <c r="B36" s="225">
        <v>30.0</v>
      </c>
      <c r="C36" s="214">
        <v>8.4290235E7</v>
      </c>
      <c r="D36" s="214">
        <v>2.42510406E8</v>
      </c>
      <c r="E36" s="214" t="s">
        <v>1768</v>
      </c>
      <c r="F36" s="214" t="s">
        <v>3099</v>
      </c>
      <c r="G36" s="215"/>
      <c r="H36" s="215" t="str">
        <f>iferror(vlookup(E36,'Kelas XI - X(32)'!$D$11:$H987,3,false),"")</f>
        <v/>
      </c>
      <c r="I36" s="69">
        <f>iferror(vlookup(E36,'Kelas XI - X(32)'!$D$11:$H987,4,false),"")</f>
        <v>7</v>
      </c>
      <c r="J36" s="222">
        <v>0.0</v>
      </c>
      <c r="K36" s="69">
        <f>iferror(vlookup(E36,'Kelas XI - X(32)'!$D$11:$H987,5,false),"")</f>
        <v>1</v>
      </c>
      <c r="L36" s="223">
        <f t="shared" si="1"/>
        <v>1</v>
      </c>
      <c r="M36" s="146">
        <f t="shared" si="2"/>
        <v>0.125</v>
      </c>
      <c r="N36" s="224"/>
      <c r="O36" s="75" t="str">
        <f t="shared" si="3"/>
        <v>B</v>
      </c>
      <c r="P36" s="195"/>
      <c r="Q36" s="105"/>
      <c r="R36" s="105"/>
      <c r="S36" s="105"/>
      <c r="T36" s="105"/>
    </row>
    <row r="37" hidden="1">
      <c r="A37" s="198">
        <v>38.0</v>
      </c>
      <c r="B37" s="225">
        <v>31.0</v>
      </c>
      <c r="C37" s="214">
        <v>8.4290235E7</v>
      </c>
      <c r="D37" s="214">
        <v>2.42510406E8</v>
      </c>
      <c r="E37" s="214" t="s">
        <v>1769</v>
      </c>
      <c r="F37" s="214" t="s">
        <v>3100</v>
      </c>
      <c r="G37" s="215"/>
      <c r="H37" s="215" t="str">
        <f>iferror(vlookup(E37,'Kelas XI - X(32)'!$D$11:$H987,3,false),"")</f>
        <v/>
      </c>
      <c r="I37" s="69">
        <f>iferror(vlookup(E37,'Kelas XI - X(32)'!$D$11:$H987,4,false),"")</f>
        <v>7</v>
      </c>
      <c r="J37" s="222">
        <v>0.0</v>
      </c>
      <c r="K37" s="69">
        <v>0.0</v>
      </c>
      <c r="L37" s="223">
        <f t="shared" si="1"/>
        <v>0</v>
      </c>
      <c r="M37" s="146">
        <f t="shared" si="2"/>
        <v>0</v>
      </c>
      <c r="N37" s="224"/>
      <c r="O37" s="75" t="str">
        <f t="shared" si="3"/>
        <v>B</v>
      </c>
      <c r="P37" s="195"/>
      <c r="Q37" s="105"/>
      <c r="R37" s="105"/>
      <c r="S37" s="105"/>
      <c r="T37" s="105"/>
    </row>
    <row r="38" hidden="1">
      <c r="A38" s="196">
        <v>39.0</v>
      </c>
      <c r="B38" s="225">
        <v>32.0</v>
      </c>
      <c r="C38" s="214">
        <v>9.3286737E7</v>
      </c>
      <c r="D38" s="214">
        <v>2.42510414E8</v>
      </c>
      <c r="E38" s="214" t="s">
        <v>1770</v>
      </c>
      <c r="F38" s="214" t="s">
        <v>3100</v>
      </c>
      <c r="G38" s="215"/>
      <c r="H38" s="215" t="str">
        <f>iferror(vlookup(E38,'Kelas XI - X(32)'!$D$11:$H987,3,false),"")</f>
        <v>Ukhti</v>
      </c>
      <c r="I38" s="69">
        <f>iferror(vlookup(E38,'Kelas XI - X(32)'!$D$11:$H987,4,false),"")</f>
        <v>13</v>
      </c>
      <c r="J38" s="222">
        <v>0.0</v>
      </c>
      <c r="K38" s="69">
        <f>iferror(vlookup(E38,'Kelas XI - X(32)'!$D$11:$H987,5,false),"")</f>
        <v>3</v>
      </c>
      <c r="L38" s="223">
        <f t="shared" si="1"/>
        <v>3</v>
      </c>
      <c r="M38" s="146">
        <f t="shared" si="2"/>
        <v>0.2142857143</v>
      </c>
      <c r="N38" s="215" t="s">
        <v>2508</v>
      </c>
      <c r="O38" s="150" t="s">
        <v>1163</v>
      </c>
      <c r="P38" s="195"/>
      <c r="Q38" s="105"/>
      <c r="R38" s="105"/>
      <c r="S38" s="105"/>
      <c r="T38" s="105"/>
    </row>
    <row r="39" hidden="1">
      <c r="A39" s="198">
        <v>40.0</v>
      </c>
      <c r="B39" s="225">
        <v>33.0</v>
      </c>
      <c r="C39" s="214">
        <v>9.1061057E7</v>
      </c>
      <c r="D39" s="214">
        <v>2.42510416E8</v>
      </c>
      <c r="E39" s="214" t="s">
        <v>1771</v>
      </c>
      <c r="F39" s="214" t="s">
        <v>3100</v>
      </c>
      <c r="G39" s="215"/>
      <c r="H39" s="215" t="str">
        <f>iferror(vlookup(E39,'Kelas XI - X(32)'!$D$11:$H987,3,false),"")</f>
        <v/>
      </c>
      <c r="I39" s="69">
        <v>1.0</v>
      </c>
      <c r="J39" s="222">
        <v>0.0</v>
      </c>
      <c r="K39" s="69">
        <v>0.0</v>
      </c>
      <c r="L39" s="223">
        <f t="shared" si="1"/>
        <v>0</v>
      </c>
      <c r="M39" s="146">
        <f t="shared" si="2"/>
        <v>0</v>
      </c>
      <c r="N39" s="224"/>
      <c r="O39" s="75" t="str">
        <f t="shared" ref="O39:O42" si="4">IF(M39&gt;=50%,"A","B")</f>
        <v>B</v>
      </c>
      <c r="P39" s="195"/>
      <c r="Q39" s="105"/>
      <c r="R39" s="105"/>
      <c r="S39" s="105"/>
      <c r="T39" s="105"/>
    </row>
    <row r="40" hidden="1">
      <c r="A40" s="196">
        <v>41.0</v>
      </c>
      <c r="B40" s="225">
        <v>34.0</v>
      </c>
      <c r="C40" s="214">
        <v>9.5163025E7</v>
      </c>
      <c r="D40" s="214">
        <v>2.42510426E8</v>
      </c>
      <c r="E40" s="214" t="s">
        <v>1772</v>
      </c>
      <c r="F40" s="214" t="s">
        <v>3100</v>
      </c>
      <c r="G40" s="215"/>
      <c r="H40" s="215" t="str">
        <f>iferror(vlookup(E40,'Kelas XI - X(32)'!$D$11:$H987,3,false),"")</f>
        <v/>
      </c>
      <c r="I40" s="69">
        <f>iferror(vlookup(E40,'Kelas XI - X(32)'!$D$11:$H987,4,false),"")</f>
        <v>7</v>
      </c>
      <c r="J40" s="222">
        <v>0.0</v>
      </c>
      <c r="K40" s="69">
        <f>iferror(vlookup(E40,'Kelas XI - X(32)'!$D$11:$H987,5,false),"")</f>
        <v>3</v>
      </c>
      <c r="L40" s="223">
        <f t="shared" si="1"/>
        <v>3</v>
      </c>
      <c r="M40" s="146">
        <f t="shared" si="2"/>
        <v>0.375</v>
      </c>
      <c r="N40" s="224"/>
      <c r="O40" s="75" t="str">
        <f t="shared" si="4"/>
        <v>B</v>
      </c>
      <c r="P40" s="195"/>
      <c r="Q40" s="105"/>
      <c r="R40" s="105"/>
      <c r="S40" s="105"/>
      <c r="T40" s="105"/>
    </row>
    <row r="41" hidden="1">
      <c r="A41" s="198">
        <v>42.0</v>
      </c>
      <c r="B41" s="225">
        <v>35.0</v>
      </c>
      <c r="C41" s="214">
        <v>8.274747E7</v>
      </c>
      <c r="D41" s="214">
        <v>2.4251043E8</v>
      </c>
      <c r="E41" s="214" t="s">
        <v>1773</v>
      </c>
      <c r="F41" s="214" t="s">
        <v>3100</v>
      </c>
      <c r="G41" s="215"/>
      <c r="H41" s="215" t="str">
        <f>iferror(vlookup(E41,'Kelas XI - X(32)'!$D$11:$H987,3,false),"")</f>
        <v/>
      </c>
      <c r="I41" s="69">
        <f>iferror(vlookup(E41,'Kelas XI - X(32)'!$D$11:$H987,4,false),"")</f>
        <v>7</v>
      </c>
      <c r="J41" s="222">
        <v>0.0</v>
      </c>
      <c r="K41" s="69">
        <f>iferror(vlookup(E41,'Kelas XI - X(32)'!$D$11:$H987,5,false),"")</f>
        <v>3</v>
      </c>
      <c r="L41" s="223">
        <f t="shared" si="1"/>
        <v>3</v>
      </c>
      <c r="M41" s="146">
        <f t="shared" si="2"/>
        <v>0.375</v>
      </c>
      <c r="N41" s="224"/>
      <c r="O41" s="75" t="str">
        <f t="shared" si="4"/>
        <v>B</v>
      </c>
      <c r="P41" s="195"/>
      <c r="Q41" s="105"/>
      <c r="R41" s="105"/>
      <c r="S41" s="105"/>
      <c r="T41" s="105"/>
    </row>
    <row r="42" hidden="1">
      <c r="A42" s="196">
        <v>43.0</v>
      </c>
      <c r="B42" s="225">
        <v>36.0</v>
      </c>
      <c r="C42" s="214">
        <v>8.5011294E7</v>
      </c>
      <c r="D42" s="214">
        <v>2.42510432E8</v>
      </c>
      <c r="E42" s="214" t="s">
        <v>1774</v>
      </c>
      <c r="F42" s="214" t="s">
        <v>3100</v>
      </c>
      <c r="G42" s="215"/>
      <c r="H42" s="215" t="str">
        <f>iferror(vlookup(E42,'Kelas XI - X(32)'!$D$11:$H987,3,false),"")</f>
        <v>Ramania</v>
      </c>
      <c r="I42" s="69">
        <f>iferror(vlookup(E42,'Kelas XI - X(32)'!$D$11:$H987,4,false),"")</f>
        <v>10</v>
      </c>
      <c r="J42" s="222">
        <v>0.0</v>
      </c>
      <c r="K42" s="69">
        <v>0.0</v>
      </c>
      <c r="L42" s="223">
        <f t="shared" si="1"/>
        <v>0</v>
      </c>
      <c r="M42" s="146">
        <f t="shared" si="2"/>
        <v>0</v>
      </c>
      <c r="N42" s="224"/>
      <c r="O42" s="75" t="str">
        <f t="shared" si="4"/>
        <v>B</v>
      </c>
      <c r="P42" s="195"/>
      <c r="Q42" s="105"/>
      <c r="R42" s="105"/>
      <c r="S42" s="105"/>
      <c r="T42" s="105"/>
    </row>
    <row r="43" hidden="1">
      <c r="A43" s="198">
        <v>44.0</v>
      </c>
      <c r="B43" s="227"/>
      <c r="C43" s="214" t="s">
        <v>3101</v>
      </c>
      <c r="D43" s="228"/>
      <c r="E43" s="214">
        <v>11.0</v>
      </c>
      <c r="F43" s="228"/>
      <c r="G43" s="228"/>
      <c r="H43" s="228"/>
      <c r="I43" s="229"/>
      <c r="J43" s="229"/>
      <c r="K43" s="229"/>
      <c r="L43" s="229"/>
      <c r="M43" s="229"/>
      <c r="N43" s="228"/>
      <c r="O43" s="229"/>
      <c r="P43" s="195"/>
      <c r="Q43" s="105"/>
      <c r="R43" s="105"/>
      <c r="S43" s="105"/>
      <c r="T43" s="105"/>
    </row>
    <row r="44" hidden="1">
      <c r="A44" s="196">
        <v>45.0</v>
      </c>
      <c r="B44" s="227"/>
      <c r="C44" s="214" t="s">
        <v>3102</v>
      </c>
      <c r="D44" s="228"/>
      <c r="E44" s="214">
        <v>25.0</v>
      </c>
      <c r="F44" s="228"/>
      <c r="G44" s="228"/>
      <c r="H44" s="228"/>
      <c r="I44" s="229"/>
      <c r="J44" s="229"/>
      <c r="K44" s="229"/>
      <c r="L44" s="229"/>
      <c r="M44" s="229"/>
      <c r="N44" s="230"/>
      <c r="O44" s="231" t="s">
        <v>3103</v>
      </c>
      <c r="P44" s="195"/>
      <c r="Q44" s="105"/>
      <c r="R44" s="105"/>
      <c r="S44" s="105"/>
      <c r="T44" s="105"/>
    </row>
    <row r="45" hidden="1">
      <c r="A45" s="198">
        <v>46.0</v>
      </c>
      <c r="B45" s="103"/>
      <c r="C45" s="104" t="s">
        <v>3104</v>
      </c>
      <c r="D45" s="105"/>
      <c r="E45" s="104">
        <v>36.0</v>
      </c>
      <c r="F45" s="105"/>
      <c r="G45" s="105"/>
      <c r="H45" s="105"/>
      <c r="I45" s="106"/>
      <c r="J45" s="106"/>
      <c r="K45" s="106"/>
      <c r="L45" s="106"/>
      <c r="M45" s="106"/>
      <c r="N45" s="232"/>
      <c r="O45" s="233" t="s">
        <v>3105</v>
      </c>
      <c r="P45" s="195"/>
      <c r="Q45" s="105"/>
      <c r="R45" s="105"/>
      <c r="S45" s="105"/>
      <c r="T45" s="105"/>
    </row>
    <row r="46" hidden="1">
      <c r="A46" s="196">
        <v>47.0</v>
      </c>
      <c r="B46" s="188"/>
      <c r="C46" s="189"/>
      <c r="D46" s="189"/>
      <c r="E46" s="189"/>
      <c r="F46" s="189"/>
      <c r="G46" s="189"/>
      <c r="H46" s="189"/>
      <c r="I46" s="197"/>
      <c r="J46" s="197"/>
      <c r="K46" s="197"/>
      <c r="L46" s="197"/>
      <c r="M46" s="197"/>
      <c r="N46" s="189"/>
      <c r="O46" s="197"/>
      <c r="P46" s="195"/>
      <c r="Q46" s="105"/>
      <c r="R46" s="105"/>
      <c r="S46" s="105"/>
      <c r="T46" s="105"/>
    </row>
    <row r="47">
      <c r="A47" s="198">
        <v>50.0</v>
      </c>
      <c r="B47" s="90" t="s">
        <v>1775</v>
      </c>
      <c r="F47" s="199"/>
      <c r="G47" s="199"/>
      <c r="H47" s="199"/>
      <c r="I47" s="91"/>
      <c r="J47" s="91"/>
      <c r="K47" s="91"/>
      <c r="L47" s="91"/>
      <c r="M47" s="91"/>
      <c r="N47" s="199"/>
      <c r="O47" s="91"/>
      <c r="P47" s="195"/>
      <c r="Q47" s="105"/>
      <c r="R47" s="105"/>
      <c r="S47" s="105"/>
      <c r="T47" s="105"/>
    </row>
    <row r="48" hidden="1">
      <c r="A48" s="196">
        <v>51.0</v>
      </c>
      <c r="B48" s="92" t="s">
        <v>1776</v>
      </c>
      <c r="F48" s="200"/>
      <c r="G48" s="200"/>
      <c r="H48" s="200"/>
      <c r="I48" s="93"/>
      <c r="J48" s="93"/>
      <c r="K48" s="93"/>
      <c r="L48" s="93"/>
      <c r="M48" s="93"/>
      <c r="N48" s="200"/>
      <c r="O48" s="93"/>
      <c r="P48" s="195"/>
      <c r="Q48" s="105"/>
      <c r="R48" s="105"/>
      <c r="S48" s="105"/>
      <c r="T48" s="105"/>
    </row>
    <row r="49" hidden="1">
      <c r="A49" s="198">
        <v>52.0</v>
      </c>
      <c r="B49" s="201" t="s">
        <v>1735</v>
      </c>
      <c r="C49" s="201" t="s">
        <v>1736</v>
      </c>
      <c r="D49" s="201" t="s">
        <v>1737</v>
      </c>
      <c r="E49" s="201" t="s">
        <v>1738</v>
      </c>
      <c r="F49" s="202" t="s">
        <v>1815</v>
      </c>
      <c r="G49" s="203"/>
      <c r="H49" s="203"/>
      <c r="I49" s="204" t="s">
        <v>3097</v>
      </c>
      <c r="P49" s="195"/>
      <c r="Q49" s="105"/>
      <c r="R49" s="105"/>
      <c r="S49" s="105"/>
      <c r="T49" s="105"/>
    </row>
    <row r="50" hidden="1">
      <c r="A50" s="196">
        <v>53.0</v>
      </c>
      <c r="B50" s="201"/>
      <c r="C50" s="201"/>
      <c r="D50" s="201"/>
      <c r="E50" s="201"/>
      <c r="F50" s="205"/>
      <c r="G50" s="190"/>
      <c r="H50" s="190" t="s">
        <v>2483</v>
      </c>
      <c r="I50" s="206" t="s">
        <v>3094</v>
      </c>
      <c r="J50" s="207" t="s">
        <v>3095</v>
      </c>
      <c r="K50" s="208" t="s">
        <v>3096</v>
      </c>
      <c r="L50" s="207" t="s">
        <v>3098</v>
      </c>
      <c r="M50" s="209" t="s">
        <v>18</v>
      </c>
      <c r="N50" s="210" t="s">
        <v>2491</v>
      </c>
      <c r="O50" s="211" t="s">
        <v>19</v>
      </c>
      <c r="P50" s="195"/>
      <c r="Q50" s="105"/>
      <c r="R50" s="105"/>
      <c r="S50" s="105"/>
      <c r="T50" s="105"/>
    </row>
    <row r="51" hidden="1">
      <c r="A51" s="198">
        <v>54.0</v>
      </c>
      <c r="B51" s="234">
        <v>1.0</v>
      </c>
      <c r="C51" s="104">
        <v>9.2385645E7</v>
      </c>
      <c r="D51" s="104">
        <v>2.42510005E8</v>
      </c>
      <c r="E51" s="104" t="s">
        <v>1777</v>
      </c>
      <c r="F51" s="104" t="s">
        <v>3100</v>
      </c>
      <c r="G51" s="235"/>
      <c r="H51" s="235" t="str">
        <f>iferror(vlookup(E51,'Kelas XI - X(32)'!$D$11:$H987,3,false),"")</f>
        <v>Ramania</v>
      </c>
      <c r="I51" s="150">
        <f>iferror(vlookup(E51,'Kelas XI - X(32)'!$D$11:$H987,4,false),"")</f>
        <v>10</v>
      </c>
      <c r="J51" s="217">
        <f>iferror(vlookup(E51,MasterClass!$C$2:$G987,5,false),"")</f>
        <v>1</v>
      </c>
      <c r="K51" s="150">
        <f>iferror(vlookup(E51,'Kelas XI - X(32)'!$D$11:$H987,5,false),"")</f>
        <v>7</v>
      </c>
      <c r="L51" s="217">
        <f t="shared" ref="L51:L86" si="5">K51+J51</f>
        <v>8</v>
      </c>
      <c r="M51" s="218">
        <f t="shared" ref="M51:M86" si="6">(K51+J51)/(I51+1)</f>
        <v>0.7272727273</v>
      </c>
      <c r="N51" s="219"/>
      <c r="O51" s="75" t="str">
        <f t="shared" ref="O51:O55" si="7">IF(M51&gt;=50%,"A","B")</f>
        <v>A</v>
      </c>
      <c r="P51" s="195"/>
      <c r="Q51" s="105"/>
      <c r="R51" s="105"/>
      <c r="S51" s="105"/>
      <c r="T51" s="105"/>
    </row>
    <row r="52" hidden="1">
      <c r="A52" s="196">
        <v>55.0</v>
      </c>
      <c r="B52" s="234">
        <v>2.0</v>
      </c>
      <c r="C52" s="104">
        <v>8.3638898E7</v>
      </c>
      <c r="D52" s="104">
        <v>2.42510007E8</v>
      </c>
      <c r="E52" s="104" t="s">
        <v>1778</v>
      </c>
      <c r="F52" s="104" t="s">
        <v>3099</v>
      </c>
      <c r="G52" s="235"/>
      <c r="H52" s="235" t="str">
        <f>iferror(vlookup(E52,'Kelas XI - X(32)'!$D$11:$H987,3,false),"")</f>
        <v>Dimas</v>
      </c>
      <c r="I52" s="150">
        <f>iferror(vlookup(E52,'Kelas XI - X(32)'!$D$11:$H987,4,false),"")</f>
        <v>7</v>
      </c>
      <c r="J52" s="216">
        <v>0.0</v>
      </c>
      <c r="K52" s="150">
        <f>iferror(vlookup(E52,'Kelas XI - X(32)'!$D$11:$H987,5,false),"")</f>
        <v>0</v>
      </c>
      <c r="L52" s="217">
        <f t="shared" si="5"/>
        <v>0</v>
      </c>
      <c r="M52" s="218">
        <f t="shared" si="6"/>
        <v>0</v>
      </c>
      <c r="N52" s="219"/>
      <c r="O52" s="75" t="str">
        <f t="shared" si="7"/>
        <v>B</v>
      </c>
      <c r="P52" s="195"/>
      <c r="Q52" s="105"/>
      <c r="R52" s="105"/>
      <c r="S52" s="105"/>
      <c r="T52" s="105"/>
    </row>
    <row r="53" hidden="1">
      <c r="A53" s="198">
        <v>56.0</v>
      </c>
      <c r="B53" s="212">
        <v>3.0</v>
      </c>
      <c r="C53" s="213">
        <v>8.3581318E7</v>
      </c>
      <c r="D53" s="213">
        <v>2.42510018E8</v>
      </c>
      <c r="E53" s="213" t="s">
        <v>1779</v>
      </c>
      <c r="F53" s="214" t="s">
        <v>3100</v>
      </c>
      <c r="G53" s="215"/>
      <c r="H53" s="215" t="str">
        <f>iferror(vlookup(E53,'Kelas XI - X(32)'!$D$11:$H987,3,false),"")</f>
        <v>Athaya</v>
      </c>
      <c r="I53" s="69">
        <f>iferror(vlookup(E53,'Kelas XI - X(32)'!$D$11:$H987,4,false),"")</f>
        <v>8</v>
      </c>
      <c r="J53" s="216">
        <v>0.0</v>
      </c>
      <c r="K53" s="150">
        <f>iferror(vlookup(E53,'Kelas XI - X(32)'!$D$11:$H987,5,false),"")</f>
        <v>0</v>
      </c>
      <c r="L53" s="217">
        <f t="shared" si="5"/>
        <v>0</v>
      </c>
      <c r="M53" s="218">
        <f t="shared" si="6"/>
        <v>0</v>
      </c>
      <c r="N53" s="219"/>
      <c r="O53" s="75" t="str">
        <f t="shared" si="7"/>
        <v>B</v>
      </c>
      <c r="P53" s="195"/>
      <c r="Q53" s="105"/>
      <c r="R53" s="105"/>
      <c r="S53" s="105"/>
      <c r="T53" s="105"/>
    </row>
    <row r="54" hidden="1">
      <c r="A54" s="196">
        <v>57.0</v>
      </c>
      <c r="B54" s="220">
        <v>4.0</v>
      </c>
      <c r="C54" s="221">
        <v>8.6733881E7</v>
      </c>
      <c r="D54" s="221">
        <v>2.42510028E8</v>
      </c>
      <c r="E54" s="221" t="s">
        <v>1780</v>
      </c>
      <c r="F54" s="214" t="s">
        <v>3100</v>
      </c>
      <c r="G54" s="215"/>
      <c r="H54" s="215" t="str">
        <f>iferror(vlookup(E54,'Kelas XI - X(32)'!$D$11:$H987,3,false),"")</f>
        <v>Najmi</v>
      </c>
      <c r="I54" s="69">
        <f>iferror(vlookup(E54,'Kelas XI - X(32)'!$D$11:$H987,4,false),"")</f>
        <v>5</v>
      </c>
      <c r="J54" s="222">
        <v>0.0</v>
      </c>
      <c r="K54" s="69">
        <f>iferror(vlookup(E54,'Kelas XI - X(32)'!$D$11:$H987,5,false),"")</f>
        <v>5</v>
      </c>
      <c r="L54" s="223">
        <f t="shared" si="5"/>
        <v>5</v>
      </c>
      <c r="M54" s="146">
        <f t="shared" si="6"/>
        <v>0.8333333333</v>
      </c>
      <c r="N54" s="224"/>
      <c r="O54" s="75" t="str">
        <f t="shared" si="7"/>
        <v>A</v>
      </c>
      <c r="P54" s="195"/>
      <c r="Q54" s="105"/>
      <c r="R54" s="105"/>
      <c r="S54" s="105"/>
      <c r="T54" s="105"/>
    </row>
    <row r="55" hidden="1">
      <c r="A55" s="198">
        <v>58.0</v>
      </c>
      <c r="B55" s="225">
        <v>5.0</v>
      </c>
      <c r="C55" s="214">
        <v>9.8621054E7</v>
      </c>
      <c r="D55" s="214">
        <v>2.42510037E8</v>
      </c>
      <c r="E55" s="214" t="s">
        <v>1781</v>
      </c>
      <c r="F55" s="214" t="s">
        <v>3100</v>
      </c>
      <c r="G55" s="215"/>
      <c r="H55" s="215" t="str">
        <f>iferror(vlookup(E55,'Kelas XI - X(32)'!$D$11:$H987,3,false),"")</f>
        <v>Najmi</v>
      </c>
      <c r="I55" s="69">
        <f>iferror(vlookup(E55,'Kelas XI - X(32)'!$D$11:$H987,4,false),"")</f>
        <v>5</v>
      </c>
      <c r="J55" s="222">
        <v>0.0</v>
      </c>
      <c r="K55" s="69">
        <f>iferror(vlookup(E55,'Kelas XI - X(32)'!$D$11:$H987,5,false),"")</f>
        <v>5</v>
      </c>
      <c r="L55" s="223">
        <f t="shared" si="5"/>
        <v>5</v>
      </c>
      <c r="M55" s="146">
        <f t="shared" si="6"/>
        <v>0.8333333333</v>
      </c>
      <c r="N55" s="224"/>
      <c r="O55" s="75" t="str">
        <f t="shared" si="7"/>
        <v>A</v>
      </c>
      <c r="P55" s="195"/>
      <c r="Q55" s="105"/>
      <c r="R55" s="105"/>
      <c r="S55" s="105"/>
      <c r="T55" s="105"/>
    </row>
    <row r="56" hidden="1">
      <c r="A56" s="196">
        <v>59.0</v>
      </c>
      <c r="B56" s="225">
        <v>6.0</v>
      </c>
      <c r="C56" s="214">
        <v>9.2707821E7</v>
      </c>
      <c r="D56" s="214">
        <v>2.42510046E8</v>
      </c>
      <c r="E56" s="214" t="s">
        <v>1782</v>
      </c>
      <c r="F56" s="214" t="s">
        <v>3100</v>
      </c>
      <c r="G56" s="215"/>
      <c r="H56" s="215" t="str">
        <f>iferror(vlookup(E56,'Kelas XI - X(32)'!$D$11:$H987,3,false),"")</f>
        <v/>
      </c>
      <c r="I56" s="69">
        <f>iferror(vlookup(E56,'Kelas XI - X(32)'!$D$11:$H987,4,false),"")</f>
        <v>7</v>
      </c>
      <c r="J56" s="222">
        <v>0.0</v>
      </c>
      <c r="K56" s="69">
        <f>iferror(vlookup(E56,'Kelas XI - X(32)'!$D$11:$H987,5,false),"")</f>
        <v>2</v>
      </c>
      <c r="L56" s="223">
        <f t="shared" si="5"/>
        <v>2</v>
      </c>
      <c r="M56" s="146">
        <f t="shared" si="6"/>
        <v>0.25</v>
      </c>
      <c r="N56" s="236" t="s">
        <v>3106</v>
      </c>
      <c r="O56" s="69" t="s">
        <v>1163</v>
      </c>
      <c r="P56" s="195"/>
      <c r="Q56" s="105"/>
      <c r="R56" s="105"/>
      <c r="S56" s="105"/>
      <c r="T56" s="105"/>
    </row>
    <row r="57" hidden="1">
      <c r="A57" s="198">
        <v>60.0</v>
      </c>
      <c r="B57" s="225">
        <v>7.0</v>
      </c>
      <c r="C57" s="214">
        <v>8.3016159E7</v>
      </c>
      <c r="D57" s="214">
        <v>2.42510052E8</v>
      </c>
      <c r="E57" s="214" t="s">
        <v>1783</v>
      </c>
      <c r="F57" s="214" t="s">
        <v>3100</v>
      </c>
      <c r="G57" s="215"/>
      <c r="H57" s="215" t="str">
        <f>iferror(vlookup(E57,'Kelas XI - X(32)'!$D$11:$H987,3,false),"")</f>
        <v>Najmi</v>
      </c>
      <c r="I57" s="69">
        <f>iferror(vlookup(E57,'Kelas XI - X(32)'!$D$11:$H987,4,false),"")</f>
        <v>5</v>
      </c>
      <c r="J57" s="222">
        <v>0.0</v>
      </c>
      <c r="K57" s="69">
        <f>iferror(vlookup(E57,'Kelas XI - X(32)'!$D$11:$H987,5,false),"")</f>
        <v>5</v>
      </c>
      <c r="L57" s="223">
        <f t="shared" si="5"/>
        <v>5</v>
      </c>
      <c r="M57" s="146">
        <f t="shared" si="6"/>
        <v>0.8333333333</v>
      </c>
      <c r="N57" s="224"/>
      <c r="O57" s="75" t="str">
        <f t="shared" ref="O57:O86" si="8">IF(M57&gt;=50%,"A","B")</f>
        <v>A</v>
      </c>
      <c r="P57" s="195"/>
      <c r="Q57" s="105"/>
      <c r="R57" s="105"/>
      <c r="S57" s="105"/>
      <c r="T57" s="105"/>
    </row>
    <row r="58" hidden="1">
      <c r="A58" s="196">
        <v>61.0</v>
      </c>
      <c r="B58" s="225">
        <v>8.0</v>
      </c>
      <c r="C58" s="214">
        <v>8.3641645E7</v>
      </c>
      <c r="D58" s="214">
        <v>2.42510064E8</v>
      </c>
      <c r="E58" s="214" t="s">
        <v>1784</v>
      </c>
      <c r="F58" s="214" t="s">
        <v>3100</v>
      </c>
      <c r="G58" s="215"/>
      <c r="H58" s="215" t="str">
        <f>iferror(vlookup(E58,'Kelas XI - X(32)'!$D$11:$H987,3,false),"")</f>
        <v/>
      </c>
      <c r="I58" s="69">
        <v>1.0</v>
      </c>
      <c r="J58" s="222">
        <v>0.0</v>
      </c>
      <c r="K58" s="69">
        <v>0.0</v>
      </c>
      <c r="L58" s="223">
        <f t="shared" si="5"/>
        <v>0</v>
      </c>
      <c r="M58" s="146">
        <f t="shared" si="6"/>
        <v>0</v>
      </c>
      <c r="N58" s="224"/>
      <c r="O58" s="75" t="str">
        <f t="shared" si="8"/>
        <v>B</v>
      </c>
      <c r="P58" s="195"/>
      <c r="Q58" s="105"/>
      <c r="R58" s="105"/>
      <c r="S58" s="105"/>
      <c r="T58" s="105"/>
    </row>
    <row r="59" hidden="1">
      <c r="A59" s="198">
        <v>62.0</v>
      </c>
      <c r="B59" s="225">
        <v>9.0</v>
      </c>
      <c r="C59" s="214">
        <v>9.3262366E7</v>
      </c>
      <c r="D59" s="214">
        <v>2.42510104E8</v>
      </c>
      <c r="E59" s="214" t="s">
        <v>1785</v>
      </c>
      <c r="F59" s="214" t="s">
        <v>3099</v>
      </c>
      <c r="G59" s="215"/>
      <c r="H59" s="215" t="str">
        <f>iferror(vlookup(E59,'Kelas XI - X(32)'!$D$11:$H987,3,false),"")</f>
        <v/>
      </c>
      <c r="I59" s="69">
        <f>iferror(vlookup(E59,'Kelas XI - X(32)'!$D$11:$H987,4,false),"")</f>
        <v>7</v>
      </c>
      <c r="J59" s="223">
        <f>iferror(vlookup(E59,MasterClass!$C$2:$G987,5,false),"")</f>
        <v>1</v>
      </c>
      <c r="K59" s="69">
        <f>iferror(vlookup(E59,'Kelas XI - X(32)'!$D$11:$H987,5,false),"")</f>
        <v>4</v>
      </c>
      <c r="L59" s="223">
        <f t="shared" si="5"/>
        <v>5</v>
      </c>
      <c r="M59" s="146">
        <f t="shared" si="6"/>
        <v>0.625</v>
      </c>
      <c r="N59" s="224"/>
      <c r="O59" s="75" t="str">
        <f t="shared" si="8"/>
        <v>A</v>
      </c>
      <c r="P59" s="195"/>
      <c r="Q59" s="105"/>
      <c r="R59" s="105"/>
      <c r="S59" s="105"/>
      <c r="T59" s="105"/>
    </row>
    <row r="60" hidden="1">
      <c r="A60" s="196">
        <v>63.0</v>
      </c>
      <c r="B60" s="225">
        <v>10.0</v>
      </c>
      <c r="C60" s="214">
        <v>9.6851574E7</v>
      </c>
      <c r="D60" s="214">
        <v>2.42510117E8</v>
      </c>
      <c r="E60" s="214" t="s">
        <v>1786</v>
      </c>
      <c r="F60" s="214" t="s">
        <v>3100</v>
      </c>
      <c r="G60" s="215"/>
      <c r="H60" s="215" t="str">
        <f>iferror(vlookup(E60,'Kelas XI - X(32)'!$D$11:$H987,3,false),"")</f>
        <v/>
      </c>
      <c r="I60" s="69">
        <f>iferror(vlookup(E60,'Kelas XI - X(32)'!$D$11:$H987,4,false),"")</f>
        <v>7</v>
      </c>
      <c r="J60" s="222">
        <v>0.0</v>
      </c>
      <c r="K60" s="69">
        <f>iferror(vlookup(E60,'Kelas XI - X(32)'!$D$11:$H987,5,false),"")</f>
        <v>2</v>
      </c>
      <c r="L60" s="223">
        <f t="shared" si="5"/>
        <v>2</v>
      </c>
      <c r="M60" s="146">
        <f t="shared" si="6"/>
        <v>0.25</v>
      </c>
      <c r="N60" s="224"/>
      <c r="O60" s="75" t="str">
        <f t="shared" si="8"/>
        <v>B</v>
      </c>
      <c r="P60" s="195"/>
      <c r="Q60" s="105"/>
      <c r="R60" s="105"/>
      <c r="S60" s="105"/>
      <c r="T60" s="105"/>
    </row>
    <row r="61" hidden="1">
      <c r="A61" s="198">
        <v>64.0</v>
      </c>
      <c r="B61" s="225">
        <v>11.0</v>
      </c>
      <c r="C61" s="214">
        <v>9.2622229E7</v>
      </c>
      <c r="D61" s="214">
        <v>2.42510129E8</v>
      </c>
      <c r="E61" s="214" t="s">
        <v>1787</v>
      </c>
      <c r="F61" s="214" t="s">
        <v>3100</v>
      </c>
      <c r="G61" s="215"/>
      <c r="H61" s="215" t="str">
        <f>iferror(vlookup(E61,'Kelas XI - X(32)'!$D$11:$H987,3,false),"")</f>
        <v/>
      </c>
      <c r="I61" s="69">
        <f>iferror(vlookup(E61,'Kelas XI - X(32)'!$D$11:$H987,4,false),"")</f>
        <v>7</v>
      </c>
      <c r="J61" s="222">
        <v>0.0</v>
      </c>
      <c r="K61" s="69">
        <f>iferror(vlookup(E61,'Kelas XI - X(32)'!$D$11:$H987,5,false),"")</f>
        <v>2</v>
      </c>
      <c r="L61" s="223">
        <f t="shared" si="5"/>
        <v>2</v>
      </c>
      <c r="M61" s="146">
        <f t="shared" si="6"/>
        <v>0.25</v>
      </c>
      <c r="N61" s="224"/>
      <c r="O61" s="75" t="str">
        <f t="shared" si="8"/>
        <v>B</v>
      </c>
      <c r="P61" s="195"/>
      <c r="Q61" s="105"/>
      <c r="R61" s="105"/>
      <c r="S61" s="105"/>
      <c r="T61" s="105"/>
    </row>
    <row r="62" hidden="1">
      <c r="A62" s="196">
        <v>65.0</v>
      </c>
      <c r="B62" s="225">
        <v>12.0</v>
      </c>
      <c r="C62" s="214">
        <v>8.1916428E7</v>
      </c>
      <c r="D62" s="214">
        <v>2.42510141E8</v>
      </c>
      <c r="E62" s="214" t="s">
        <v>1788</v>
      </c>
      <c r="F62" s="214" t="s">
        <v>3100</v>
      </c>
      <c r="G62" s="215"/>
      <c r="H62" s="215" t="str">
        <f>iferror(vlookup(E62,'Kelas XI - X(32)'!$D$11:$H987,3,false),"")</f>
        <v>Iga</v>
      </c>
      <c r="I62" s="69">
        <f>iferror(vlookup(E62,'Kelas XI - X(32)'!$D$11:$H987,4,false),"")</f>
        <v>4</v>
      </c>
      <c r="J62" s="222">
        <v>0.0</v>
      </c>
      <c r="K62" s="69">
        <f>iferror(vlookup(E62,'Kelas XI - X(32)'!$D$11:$H987,5,false),"")</f>
        <v>1</v>
      </c>
      <c r="L62" s="223">
        <f t="shared" si="5"/>
        <v>1</v>
      </c>
      <c r="M62" s="146">
        <f t="shared" si="6"/>
        <v>0.2</v>
      </c>
      <c r="N62" s="224"/>
      <c r="O62" s="75" t="str">
        <f t="shared" si="8"/>
        <v>B</v>
      </c>
      <c r="P62" s="195"/>
      <c r="Q62" s="105"/>
      <c r="R62" s="105"/>
      <c r="S62" s="105"/>
      <c r="T62" s="105"/>
    </row>
    <row r="63" hidden="1">
      <c r="A63" s="198">
        <v>66.0</v>
      </c>
      <c r="B63" s="225">
        <v>13.0</v>
      </c>
      <c r="C63" s="214">
        <v>9.5691756E7</v>
      </c>
      <c r="D63" s="214">
        <v>2.42510144E8</v>
      </c>
      <c r="E63" s="237" t="s">
        <v>1789</v>
      </c>
      <c r="F63" s="214" t="s">
        <v>3100</v>
      </c>
      <c r="G63" s="215"/>
      <c r="H63" s="215" t="str">
        <f>iferror(vlookup(E63,'Kelas XI - X(32)'!$D$11:$H987,3,false),"")</f>
        <v>Zalika</v>
      </c>
      <c r="I63" s="69">
        <f>iferror(vlookup(E63,'Kelas XI - X(32)'!$D$11:$H987,4,false),"")</f>
        <v>5</v>
      </c>
      <c r="J63" s="222">
        <v>0.0</v>
      </c>
      <c r="K63" s="69">
        <f>iferror(vlookup(E63,'Kelas XI - X(32)'!$D$11:$H987,5,false),"")</f>
        <v>0</v>
      </c>
      <c r="L63" s="223">
        <f t="shared" si="5"/>
        <v>0</v>
      </c>
      <c r="M63" s="146">
        <f t="shared" si="6"/>
        <v>0</v>
      </c>
      <c r="N63" s="224"/>
      <c r="O63" s="75" t="str">
        <f t="shared" si="8"/>
        <v>B</v>
      </c>
      <c r="P63" s="195"/>
      <c r="Q63" s="105"/>
      <c r="R63" s="105"/>
      <c r="S63" s="105"/>
      <c r="T63" s="105"/>
    </row>
    <row r="64" hidden="1">
      <c r="A64" s="196">
        <v>67.0</v>
      </c>
      <c r="B64" s="225">
        <v>14.0</v>
      </c>
      <c r="C64" s="214">
        <v>8.2539116E7</v>
      </c>
      <c r="D64" s="214">
        <v>2.42510153E8</v>
      </c>
      <c r="E64" s="214" t="s">
        <v>1790</v>
      </c>
      <c r="F64" s="214" t="s">
        <v>3099</v>
      </c>
      <c r="G64" s="215"/>
      <c r="H64" s="215" t="str">
        <f>iferror(vlookup(E64,'Kelas XI - X(32)'!$D$11:$H987,3,false),"")</f>
        <v/>
      </c>
      <c r="I64" s="69">
        <v>1.0</v>
      </c>
      <c r="J64" s="222">
        <v>0.0</v>
      </c>
      <c r="K64" s="69">
        <v>0.0</v>
      </c>
      <c r="L64" s="223">
        <f t="shared" si="5"/>
        <v>0</v>
      </c>
      <c r="M64" s="146">
        <f t="shared" si="6"/>
        <v>0</v>
      </c>
      <c r="N64" s="224"/>
      <c r="O64" s="75" t="str">
        <f t="shared" si="8"/>
        <v>B</v>
      </c>
      <c r="P64" s="195"/>
      <c r="Q64" s="105"/>
      <c r="R64" s="105"/>
      <c r="S64" s="105"/>
      <c r="T64" s="105"/>
    </row>
    <row r="65" hidden="1">
      <c r="A65" s="198">
        <v>68.0</v>
      </c>
      <c r="B65" s="225">
        <v>15.0</v>
      </c>
      <c r="C65" s="214">
        <v>9.9310873E7</v>
      </c>
      <c r="D65" s="214">
        <v>2.4251016E8</v>
      </c>
      <c r="E65" s="214" t="s">
        <v>1791</v>
      </c>
      <c r="F65" s="214" t="s">
        <v>3099</v>
      </c>
      <c r="G65" s="215"/>
      <c r="H65" s="215" t="str">
        <f>iferror(vlookup(E65,'Kelas XI - X(32)'!$D$11:$H987,3,false),"")</f>
        <v>Taufik</v>
      </c>
      <c r="I65" s="69">
        <f>iferror(vlookup(E65,'Kelas XI - X(32)'!$D$11:$H987,4,false),"")</f>
        <v>7</v>
      </c>
      <c r="J65" s="223">
        <f>iferror(vlookup(E65,MasterClass!$C$2:$G987,5,false),"")</f>
        <v>1</v>
      </c>
      <c r="K65" s="69">
        <f>iferror(vlookup(E65,'Kelas XI - X(32)'!$D$11:$H987,5,false),"")</f>
        <v>3</v>
      </c>
      <c r="L65" s="223">
        <f t="shared" si="5"/>
        <v>4</v>
      </c>
      <c r="M65" s="146">
        <f t="shared" si="6"/>
        <v>0.5</v>
      </c>
      <c r="N65" s="224"/>
      <c r="O65" s="75" t="str">
        <f t="shared" si="8"/>
        <v>A</v>
      </c>
      <c r="P65" s="195"/>
      <c r="Q65" s="105"/>
      <c r="R65" s="105"/>
      <c r="S65" s="105"/>
      <c r="T65" s="105"/>
    </row>
    <row r="66" hidden="1">
      <c r="A66" s="196">
        <v>69.0</v>
      </c>
      <c r="B66" s="225">
        <v>16.0</v>
      </c>
      <c r="C66" s="214">
        <v>9.9954531E7</v>
      </c>
      <c r="D66" s="214">
        <v>2.42510162E8</v>
      </c>
      <c r="E66" s="214" t="s">
        <v>1792</v>
      </c>
      <c r="F66" s="214" t="s">
        <v>3099</v>
      </c>
      <c r="G66" s="215"/>
      <c r="H66" s="215" t="str">
        <f>iferror(vlookup(E66,'Kelas XI - X(32)'!$D$11:$H987,3,false),"")</f>
        <v/>
      </c>
      <c r="I66" s="69">
        <f>iferror(vlookup(E66,'Kelas XI - X(32)'!$D$11:$H987,4,false),"")</f>
        <v>6</v>
      </c>
      <c r="J66" s="222">
        <v>0.0</v>
      </c>
      <c r="K66" s="69">
        <f>iferror(vlookup(E66,'Kelas XI - X(32)'!$D$11:$H987,5,false),"")</f>
        <v>4</v>
      </c>
      <c r="L66" s="223">
        <f t="shared" si="5"/>
        <v>4</v>
      </c>
      <c r="M66" s="146">
        <f t="shared" si="6"/>
        <v>0.5714285714</v>
      </c>
      <c r="N66" s="224"/>
      <c r="O66" s="75" t="str">
        <f t="shared" si="8"/>
        <v>A</v>
      </c>
      <c r="P66" s="195"/>
      <c r="Q66" s="105"/>
      <c r="R66" s="105"/>
      <c r="S66" s="105"/>
      <c r="T66" s="105"/>
    </row>
    <row r="67" hidden="1">
      <c r="A67" s="198">
        <v>70.0</v>
      </c>
      <c r="B67" s="225">
        <v>17.0</v>
      </c>
      <c r="C67" s="214">
        <v>9.4260903E7</v>
      </c>
      <c r="D67" s="214">
        <v>2.42510227E8</v>
      </c>
      <c r="E67" s="214" t="s">
        <v>1793</v>
      </c>
      <c r="F67" s="214" t="s">
        <v>3100</v>
      </c>
      <c r="G67" s="215"/>
      <c r="H67" s="215" t="str">
        <f>iferror(vlookup(E67,'Kelas XI - X(32)'!$D$11:$H987,3,false),"")</f>
        <v/>
      </c>
      <c r="I67" s="69">
        <v>1.0</v>
      </c>
      <c r="J67" s="222">
        <v>0.0</v>
      </c>
      <c r="K67" s="69">
        <v>0.0</v>
      </c>
      <c r="L67" s="223">
        <f t="shared" si="5"/>
        <v>0</v>
      </c>
      <c r="M67" s="146">
        <f t="shared" si="6"/>
        <v>0</v>
      </c>
      <c r="N67" s="224"/>
      <c r="O67" s="75" t="str">
        <f t="shared" si="8"/>
        <v>B</v>
      </c>
      <c r="P67" s="195"/>
      <c r="Q67" s="105"/>
      <c r="R67" s="105"/>
      <c r="S67" s="105"/>
      <c r="T67" s="105"/>
    </row>
    <row r="68" hidden="1">
      <c r="A68" s="196">
        <v>71.0</v>
      </c>
      <c r="B68" s="225">
        <v>18.0</v>
      </c>
      <c r="C68" s="214">
        <v>8.9204896E7</v>
      </c>
      <c r="D68" s="214">
        <v>2.42510238E8</v>
      </c>
      <c r="E68" s="214" t="s">
        <v>1794</v>
      </c>
      <c r="F68" s="214" t="s">
        <v>3099</v>
      </c>
      <c r="G68" s="215"/>
      <c r="H68" s="215" t="str">
        <f>iferror(vlookup(E68,'Kelas XI - X(32)'!$D$11:$H987,3,false),"")</f>
        <v/>
      </c>
      <c r="I68" s="69">
        <v>1.0</v>
      </c>
      <c r="J68" s="222">
        <v>0.0</v>
      </c>
      <c r="K68" s="69">
        <v>0.0</v>
      </c>
      <c r="L68" s="223">
        <f t="shared" si="5"/>
        <v>0</v>
      </c>
      <c r="M68" s="146">
        <f t="shared" si="6"/>
        <v>0</v>
      </c>
      <c r="N68" s="224"/>
      <c r="O68" s="75" t="str">
        <f t="shared" si="8"/>
        <v>B</v>
      </c>
      <c r="P68" s="195"/>
      <c r="Q68" s="105"/>
      <c r="R68" s="105"/>
      <c r="S68" s="105"/>
      <c r="T68" s="105"/>
    </row>
    <row r="69" hidden="1">
      <c r="A69" s="198">
        <v>72.0</v>
      </c>
      <c r="B69" s="225">
        <v>19.0</v>
      </c>
      <c r="C69" s="214">
        <v>9.144739E7</v>
      </c>
      <c r="D69" s="214">
        <v>2.42510261E8</v>
      </c>
      <c r="E69" s="214" t="s">
        <v>1795</v>
      </c>
      <c r="F69" s="214" t="s">
        <v>3099</v>
      </c>
      <c r="G69" s="215"/>
      <c r="H69" s="215" t="str">
        <f>iferror(vlookup(E69,'Kelas XI - X(32)'!$D$11:$H987,3,false),"")</f>
        <v>Arya</v>
      </c>
      <c r="I69" s="69">
        <f>iferror(vlookup(E69,'Kelas XI - X(32)'!$D$11:$H987,4,false),"")</f>
        <v>5</v>
      </c>
      <c r="J69" s="222">
        <v>0.0</v>
      </c>
      <c r="K69" s="69">
        <f>iferror(vlookup(E69,'Kelas XI - X(32)'!$D$11:$H987,5,false),"")</f>
        <v>4</v>
      </c>
      <c r="L69" s="223">
        <f t="shared" si="5"/>
        <v>4</v>
      </c>
      <c r="M69" s="146">
        <f t="shared" si="6"/>
        <v>0.6666666667</v>
      </c>
      <c r="N69" s="224"/>
      <c r="O69" s="75" t="str">
        <f t="shared" si="8"/>
        <v>A</v>
      </c>
      <c r="P69" s="195"/>
      <c r="Q69" s="105"/>
      <c r="R69" s="105"/>
      <c r="S69" s="105"/>
      <c r="T69" s="105"/>
    </row>
    <row r="70" hidden="1">
      <c r="A70" s="196">
        <v>73.0</v>
      </c>
      <c r="B70" s="225">
        <v>20.0</v>
      </c>
      <c r="C70" s="214">
        <v>3.092211203E9</v>
      </c>
      <c r="D70" s="214">
        <v>2.42510274E8</v>
      </c>
      <c r="E70" s="214" t="s">
        <v>1796</v>
      </c>
      <c r="F70" s="214" t="s">
        <v>3099</v>
      </c>
      <c r="G70" s="215"/>
      <c r="H70" s="215" t="str">
        <f>iferror(vlookup(E70,'Kelas XI - X(32)'!$D$11:$H987,3,false),"")</f>
        <v>Arya</v>
      </c>
      <c r="I70" s="69">
        <f>iferror(vlookup(E70,'Kelas XI - X(32)'!$D$11:$H987,4,false),"")</f>
        <v>5</v>
      </c>
      <c r="J70" s="222">
        <v>0.0</v>
      </c>
      <c r="K70" s="69">
        <v>0.0</v>
      </c>
      <c r="L70" s="223">
        <f t="shared" si="5"/>
        <v>0</v>
      </c>
      <c r="M70" s="146">
        <f t="shared" si="6"/>
        <v>0</v>
      </c>
      <c r="N70" s="224"/>
      <c r="O70" s="75" t="str">
        <f t="shared" si="8"/>
        <v>B</v>
      </c>
      <c r="P70" s="195"/>
      <c r="Q70" s="105"/>
      <c r="R70" s="105"/>
      <c r="S70" s="105"/>
      <c r="T70" s="105"/>
    </row>
    <row r="71" hidden="1">
      <c r="A71" s="198">
        <v>74.0</v>
      </c>
      <c r="B71" s="225">
        <v>21.0</v>
      </c>
      <c r="C71" s="214">
        <v>9.56578E7</v>
      </c>
      <c r="D71" s="214">
        <v>2.42510283E8</v>
      </c>
      <c r="E71" s="214" t="s">
        <v>1797</v>
      </c>
      <c r="F71" s="214" t="s">
        <v>3100</v>
      </c>
      <c r="G71" s="215"/>
      <c r="H71" s="215" t="str">
        <f>iferror(vlookup(E71,'Kelas XI - X(32)'!$D$11:$H987,3,false),"")</f>
        <v>Zalika</v>
      </c>
      <c r="I71" s="69">
        <f>iferror(vlookup(E71,'Kelas XI - X(32)'!$D$11:$H987,4,false),"")</f>
        <v>5</v>
      </c>
      <c r="J71" s="222">
        <v>0.0</v>
      </c>
      <c r="K71" s="69">
        <f>iferror(vlookup(E71,'Kelas XI - X(32)'!$D$11:$H987,5,false),"")</f>
        <v>0</v>
      </c>
      <c r="L71" s="223">
        <f t="shared" si="5"/>
        <v>0</v>
      </c>
      <c r="M71" s="146">
        <f t="shared" si="6"/>
        <v>0</v>
      </c>
      <c r="N71" s="224"/>
      <c r="O71" s="75" t="str">
        <f t="shared" si="8"/>
        <v>B</v>
      </c>
      <c r="P71" s="195"/>
      <c r="Q71" s="105"/>
      <c r="R71" s="105"/>
      <c r="S71" s="105"/>
      <c r="T71" s="105"/>
    </row>
    <row r="72" hidden="1">
      <c r="A72" s="196">
        <v>75.0</v>
      </c>
      <c r="B72" s="225">
        <v>22.0</v>
      </c>
      <c r="C72" s="238">
        <v>8.2650076E7</v>
      </c>
      <c r="D72" s="214">
        <v>2.42510304E8</v>
      </c>
      <c r="E72" s="237" t="s">
        <v>1798</v>
      </c>
      <c r="F72" s="214" t="s">
        <v>3100</v>
      </c>
      <c r="G72" s="215"/>
      <c r="H72" s="215" t="str">
        <f>iferror(vlookup(E72,'Kelas XI - X(32)'!$D$11:$H987,3,false),"")</f>
        <v>Ramania</v>
      </c>
      <c r="I72" s="69">
        <f>iferror(vlookup(E72,'Kelas XI - X(32)'!$D$11:$H987,4,false),"")</f>
        <v>10</v>
      </c>
      <c r="J72" s="222">
        <v>0.0</v>
      </c>
      <c r="K72" s="69">
        <f>iferror(vlookup(E72,'Kelas XI - X(32)'!$D$11:$H987,5,false),"")</f>
        <v>4</v>
      </c>
      <c r="L72" s="223">
        <f t="shared" si="5"/>
        <v>4</v>
      </c>
      <c r="M72" s="146">
        <f t="shared" si="6"/>
        <v>0.3636363636</v>
      </c>
      <c r="N72" s="224"/>
      <c r="O72" s="75" t="str">
        <f t="shared" si="8"/>
        <v>B</v>
      </c>
      <c r="P72" s="195"/>
      <c r="Q72" s="105"/>
      <c r="R72" s="105"/>
      <c r="S72" s="105"/>
      <c r="T72" s="105"/>
    </row>
    <row r="73" hidden="1">
      <c r="A73" s="198">
        <v>76.0</v>
      </c>
      <c r="B73" s="225">
        <v>23.0</v>
      </c>
      <c r="C73" s="238">
        <v>9.5420383E7</v>
      </c>
      <c r="D73" s="214">
        <v>2.42510306E8</v>
      </c>
      <c r="E73" s="214" t="s">
        <v>1799</v>
      </c>
      <c r="F73" s="214" t="s">
        <v>3100</v>
      </c>
      <c r="G73" s="215"/>
      <c r="H73" s="215" t="str">
        <f>iferror(vlookup(E73,'Kelas XI - X(32)'!$D$11:$H987,3,false),"")</f>
        <v>Zalika</v>
      </c>
      <c r="I73" s="69">
        <f>iferror(vlookup(E73,'Kelas XI - X(32)'!$D$11:$H987,4,false),"")</f>
        <v>5</v>
      </c>
      <c r="J73" s="222">
        <v>0.0</v>
      </c>
      <c r="K73" s="69">
        <f>iferror(vlookup(E73,'Kelas XI - X(32)'!$D$11:$H987,5,false),"")</f>
        <v>1</v>
      </c>
      <c r="L73" s="223">
        <f t="shared" si="5"/>
        <v>1</v>
      </c>
      <c r="M73" s="146">
        <f t="shared" si="6"/>
        <v>0.1666666667</v>
      </c>
      <c r="N73" s="224"/>
      <c r="O73" s="75" t="str">
        <f t="shared" si="8"/>
        <v>B</v>
      </c>
      <c r="P73" s="195"/>
      <c r="Q73" s="105"/>
      <c r="R73" s="105"/>
      <c r="S73" s="105"/>
      <c r="T73" s="105"/>
    </row>
    <row r="74" hidden="1">
      <c r="A74" s="196">
        <v>77.0</v>
      </c>
      <c r="B74" s="225">
        <v>24.0</v>
      </c>
      <c r="C74" s="214">
        <v>3.097669813E9</v>
      </c>
      <c r="D74" s="214">
        <v>2.42510308E8</v>
      </c>
      <c r="E74" s="214" t="s">
        <v>1800</v>
      </c>
      <c r="F74" s="214" t="s">
        <v>3100</v>
      </c>
      <c r="G74" s="215"/>
      <c r="H74" s="215" t="str">
        <f>iferror(vlookup(E74,'Kelas XI - X(32)'!$D$11:$H987,3,false),"")</f>
        <v/>
      </c>
      <c r="I74" s="69">
        <f>iferror(vlookup(E74,'Kelas XI - X(32)'!$D$11:$H987,4,false),"")</f>
        <v>6</v>
      </c>
      <c r="J74" s="223">
        <f>iferror(vlookup(E74,MasterClass!$C$2:$G987,5,false),"")</f>
        <v>1</v>
      </c>
      <c r="K74" s="69">
        <f>iferror(vlookup(E74,'Kelas XI - X(32)'!$D$11:$H987,5,false),"")</f>
        <v>5</v>
      </c>
      <c r="L74" s="223">
        <f t="shared" si="5"/>
        <v>6</v>
      </c>
      <c r="M74" s="146">
        <f t="shared" si="6"/>
        <v>0.8571428571</v>
      </c>
      <c r="N74" s="224"/>
      <c r="O74" s="75" t="str">
        <f t="shared" si="8"/>
        <v>A</v>
      </c>
      <c r="P74" s="195"/>
      <c r="Q74" s="105"/>
      <c r="R74" s="105"/>
      <c r="S74" s="105"/>
      <c r="T74" s="105"/>
    </row>
    <row r="75" hidden="1">
      <c r="A75" s="198">
        <v>78.0</v>
      </c>
      <c r="B75" s="225">
        <v>25.0</v>
      </c>
      <c r="C75" s="214">
        <v>8.6704012E7</v>
      </c>
      <c r="D75" s="214">
        <v>2.4251031E8</v>
      </c>
      <c r="E75" s="214" t="s">
        <v>1801</v>
      </c>
      <c r="F75" s="214" t="s">
        <v>3100</v>
      </c>
      <c r="G75" s="215"/>
      <c r="H75" s="215" t="str">
        <f>iferror(vlookup(E75,'Kelas XI - X(32)'!$D$11:$H987,3,false),"")</f>
        <v>Iga</v>
      </c>
      <c r="I75" s="69">
        <f>iferror(vlookup(E75,'Kelas XI - X(32)'!$D$11:$H987,4,false),"")</f>
        <v>4</v>
      </c>
      <c r="J75" s="222">
        <v>0.0</v>
      </c>
      <c r="K75" s="69">
        <v>0.0</v>
      </c>
      <c r="L75" s="223">
        <f t="shared" si="5"/>
        <v>0</v>
      </c>
      <c r="M75" s="146">
        <f t="shared" si="6"/>
        <v>0</v>
      </c>
      <c r="N75" s="224"/>
      <c r="O75" s="75" t="str">
        <f t="shared" si="8"/>
        <v>B</v>
      </c>
      <c r="P75" s="195"/>
      <c r="Q75" s="105"/>
      <c r="R75" s="105"/>
      <c r="S75" s="105"/>
      <c r="T75" s="105"/>
    </row>
    <row r="76" hidden="1">
      <c r="A76" s="196">
        <v>79.0</v>
      </c>
      <c r="B76" s="225">
        <v>26.0</v>
      </c>
      <c r="C76" s="214">
        <v>9.5788052E7</v>
      </c>
      <c r="D76" s="214">
        <v>2.42510329E8</v>
      </c>
      <c r="E76" s="214" t="s">
        <v>1802</v>
      </c>
      <c r="F76" s="214" t="s">
        <v>3099</v>
      </c>
      <c r="G76" s="215"/>
      <c r="H76" s="215" t="str">
        <f>iferror(vlookup(E76,'Kelas XI - X(32)'!$D$11:$H987,3,false),"")</f>
        <v/>
      </c>
      <c r="I76" s="69">
        <f>iferror(vlookup(E76,'Kelas XI - X(32)'!$D$11:$H987,4,false),"")</f>
        <v>4</v>
      </c>
      <c r="J76" s="222">
        <v>0.0</v>
      </c>
      <c r="K76" s="69">
        <f>iferror(vlookup(E76,'Kelas XI - X(32)'!$D$11:$H987,5,false),"")</f>
        <v>4</v>
      </c>
      <c r="L76" s="223">
        <f t="shared" si="5"/>
        <v>4</v>
      </c>
      <c r="M76" s="146">
        <f t="shared" si="6"/>
        <v>0.8</v>
      </c>
      <c r="N76" s="224"/>
      <c r="O76" s="75" t="str">
        <f t="shared" si="8"/>
        <v>A</v>
      </c>
      <c r="P76" s="195"/>
      <c r="Q76" s="105"/>
      <c r="R76" s="105"/>
      <c r="S76" s="105"/>
      <c r="T76" s="105"/>
    </row>
    <row r="77" hidden="1">
      <c r="A77" s="198">
        <v>80.0</v>
      </c>
      <c r="B77" s="225">
        <v>27.0</v>
      </c>
      <c r="C77" s="214">
        <v>9.4946777E7</v>
      </c>
      <c r="D77" s="214">
        <v>2.42510338E8</v>
      </c>
      <c r="E77" s="214" t="s">
        <v>1803</v>
      </c>
      <c r="F77" s="214" t="s">
        <v>3100</v>
      </c>
      <c r="G77" s="215"/>
      <c r="H77" s="215" t="str">
        <f>iferror(vlookup(E77,'Kelas XI - X(32)'!$D$11:$H987,3,false),"")</f>
        <v/>
      </c>
      <c r="I77" s="69">
        <f>iferror(vlookup(E77,'Kelas XI - X(32)'!$D$11:$H987,4,false),"")</f>
        <v>6</v>
      </c>
      <c r="J77" s="223">
        <f>iferror(vlookup(E77,MasterClass!$C$2:$G987,5,false),"")</f>
        <v>1</v>
      </c>
      <c r="K77" s="69">
        <f>iferror(vlookup(E77,'Kelas XI - X(32)'!$D$11:$H987,5,false),"")</f>
        <v>2</v>
      </c>
      <c r="L77" s="223">
        <f t="shared" si="5"/>
        <v>3</v>
      </c>
      <c r="M77" s="146">
        <f t="shared" si="6"/>
        <v>0.4285714286</v>
      </c>
      <c r="N77" s="224"/>
      <c r="O77" s="75" t="str">
        <f t="shared" si="8"/>
        <v>B</v>
      </c>
      <c r="P77" s="195"/>
      <c r="Q77" s="105"/>
      <c r="R77" s="105"/>
      <c r="S77" s="105"/>
      <c r="T77" s="105"/>
    </row>
    <row r="78" hidden="1">
      <c r="A78" s="196">
        <v>81.0</v>
      </c>
      <c r="B78" s="225">
        <v>28.0</v>
      </c>
      <c r="C78" s="214">
        <v>9.783087E7</v>
      </c>
      <c r="D78" s="214">
        <v>2.42510354E8</v>
      </c>
      <c r="E78" s="214" t="s">
        <v>1804</v>
      </c>
      <c r="F78" s="214" t="s">
        <v>3099</v>
      </c>
      <c r="G78" s="215"/>
      <c r="H78" s="215" t="str">
        <f>iferror(vlookup(E78,'Kelas XI - X(32)'!$D$11:$H987,3,false),"")</f>
        <v/>
      </c>
      <c r="I78" s="69">
        <f>iferror(vlookup(E78,'Kelas XI - X(32)'!$D$11:$H987,4,false),"")</f>
        <v>4</v>
      </c>
      <c r="J78" s="223">
        <f>iferror(vlookup(E78,MasterClass!$C$2:$G987,5,false),"")</f>
        <v>1</v>
      </c>
      <c r="K78" s="69">
        <v>0.0</v>
      </c>
      <c r="L78" s="223">
        <f t="shared" si="5"/>
        <v>1</v>
      </c>
      <c r="M78" s="146">
        <f t="shared" si="6"/>
        <v>0.2</v>
      </c>
      <c r="N78" s="224"/>
      <c r="O78" s="75" t="str">
        <f t="shared" si="8"/>
        <v>B</v>
      </c>
      <c r="P78" s="195"/>
      <c r="Q78" s="105"/>
      <c r="R78" s="105"/>
      <c r="S78" s="105"/>
      <c r="T78" s="105"/>
    </row>
    <row r="79" hidden="1">
      <c r="A79" s="198">
        <v>82.0</v>
      </c>
      <c r="B79" s="225">
        <v>29.0</v>
      </c>
      <c r="C79" s="214">
        <v>9.2343794E7</v>
      </c>
      <c r="D79" s="214">
        <v>2.42510355E8</v>
      </c>
      <c r="E79" s="214" t="s">
        <v>1805</v>
      </c>
      <c r="F79" s="214" t="s">
        <v>3100</v>
      </c>
      <c r="G79" s="215"/>
      <c r="H79" s="215" t="str">
        <f>iferror(vlookup(E79,'Kelas XI - X(32)'!$D$11:$H987,3,false),"")</f>
        <v/>
      </c>
      <c r="I79" s="69">
        <f>iferror(vlookup(E79,'Kelas XI - X(32)'!$D$11:$H987,4,false),"")</f>
        <v>7</v>
      </c>
      <c r="J79" s="223">
        <f>iferror(vlookup(E79,MasterClass!$C$2:$G987,5,false),"")</f>
        <v>1</v>
      </c>
      <c r="K79" s="69">
        <f>iferror(vlookup(E79,'Kelas XI - X(32)'!$D$11:$H987,5,false),"")</f>
        <v>4</v>
      </c>
      <c r="L79" s="223">
        <f t="shared" si="5"/>
        <v>5</v>
      </c>
      <c r="M79" s="146">
        <f t="shared" si="6"/>
        <v>0.625</v>
      </c>
      <c r="N79" s="224"/>
      <c r="O79" s="75" t="str">
        <f t="shared" si="8"/>
        <v>A</v>
      </c>
      <c r="P79" s="195"/>
      <c r="Q79" s="105"/>
      <c r="R79" s="105"/>
      <c r="S79" s="105"/>
      <c r="T79" s="105"/>
    </row>
    <row r="80" hidden="1">
      <c r="A80" s="196">
        <v>83.0</v>
      </c>
      <c r="B80" s="225">
        <v>30.0</v>
      </c>
      <c r="C80" s="214">
        <v>9.5556013E7</v>
      </c>
      <c r="D80" s="214">
        <v>2.42510366E8</v>
      </c>
      <c r="E80" s="214" t="s">
        <v>1806</v>
      </c>
      <c r="F80" s="214" t="s">
        <v>3100</v>
      </c>
      <c r="G80" s="215"/>
      <c r="H80" s="215" t="str">
        <f>iferror(vlookup(E80,'Kelas XI - X(32)'!$D$11:$H987,3,false),"")</f>
        <v/>
      </c>
      <c r="I80" s="69">
        <v>1.0</v>
      </c>
      <c r="J80" s="222">
        <v>0.0</v>
      </c>
      <c r="K80" s="69">
        <v>0.0</v>
      </c>
      <c r="L80" s="223">
        <f t="shared" si="5"/>
        <v>0</v>
      </c>
      <c r="M80" s="146">
        <f t="shared" si="6"/>
        <v>0</v>
      </c>
      <c r="N80" s="224"/>
      <c r="O80" s="75" t="str">
        <f t="shared" si="8"/>
        <v>B</v>
      </c>
      <c r="P80" s="195"/>
      <c r="Q80" s="105"/>
      <c r="R80" s="105"/>
      <c r="S80" s="105"/>
      <c r="T80" s="105"/>
    </row>
    <row r="81" hidden="1">
      <c r="A81" s="198">
        <v>84.0</v>
      </c>
      <c r="B81" s="225">
        <v>31.0</v>
      </c>
      <c r="C81" s="214">
        <v>9.4079262E7</v>
      </c>
      <c r="D81" s="214">
        <v>2.42510374E8</v>
      </c>
      <c r="E81" s="214" t="s">
        <v>1807</v>
      </c>
      <c r="F81" s="214" t="s">
        <v>3100</v>
      </c>
      <c r="G81" s="215"/>
      <c r="H81" s="215" t="str">
        <f>iferror(vlookup(E81,'Kelas XI - X(32)'!$D$11:$H987,3,false),"")</f>
        <v>Najmi</v>
      </c>
      <c r="I81" s="69">
        <f>iferror(vlookup(E81,'Kelas XI - X(32)'!$D$11:$H987,4,false),"")</f>
        <v>5</v>
      </c>
      <c r="J81" s="222">
        <v>0.0</v>
      </c>
      <c r="K81" s="69">
        <f>iferror(vlookup(E81,'Kelas XI - X(32)'!$D$11:$H987,5,false),"")</f>
        <v>5</v>
      </c>
      <c r="L81" s="223">
        <f t="shared" si="5"/>
        <v>5</v>
      </c>
      <c r="M81" s="146">
        <f t="shared" si="6"/>
        <v>0.8333333333</v>
      </c>
      <c r="N81" s="224"/>
      <c r="O81" s="75" t="str">
        <f t="shared" si="8"/>
        <v>A</v>
      </c>
      <c r="P81" s="195"/>
      <c r="Q81" s="105"/>
      <c r="R81" s="105"/>
      <c r="S81" s="105"/>
      <c r="T81" s="105"/>
    </row>
    <row r="82" hidden="1">
      <c r="A82" s="196">
        <v>85.0</v>
      </c>
      <c r="B82" s="225">
        <v>32.0</v>
      </c>
      <c r="C82" s="214">
        <v>7.2787144E7</v>
      </c>
      <c r="D82" s="214">
        <v>2.42510377E8</v>
      </c>
      <c r="E82" s="214" t="s">
        <v>1808</v>
      </c>
      <c r="F82" s="214" t="s">
        <v>3100</v>
      </c>
      <c r="G82" s="215"/>
      <c r="H82" s="215" t="str">
        <f>iferror(vlookup(E82,'Kelas XI - X(32)'!$D$11:$H987,3,false),"")</f>
        <v>Iga</v>
      </c>
      <c r="I82" s="69">
        <f>iferror(vlookup(E82,'Kelas XI - X(32)'!$D$11:$H987,4,false),"")</f>
        <v>4</v>
      </c>
      <c r="J82" s="222">
        <v>0.0</v>
      </c>
      <c r="K82" s="69">
        <v>0.0</v>
      </c>
      <c r="L82" s="223">
        <f t="shared" si="5"/>
        <v>0</v>
      </c>
      <c r="M82" s="146">
        <f t="shared" si="6"/>
        <v>0</v>
      </c>
      <c r="N82" s="224"/>
      <c r="O82" s="75" t="str">
        <f t="shared" si="8"/>
        <v>B</v>
      </c>
      <c r="P82" s="195"/>
      <c r="Q82" s="105"/>
      <c r="R82" s="105"/>
      <c r="S82" s="105"/>
      <c r="T82" s="105"/>
    </row>
    <row r="83" hidden="1">
      <c r="A83" s="198">
        <v>86.0</v>
      </c>
      <c r="B83" s="225">
        <v>33.0</v>
      </c>
      <c r="C83" s="214">
        <v>9.6304229E7</v>
      </c>
      <c r="D83" s="214">
        <v>2.42510387E8</v>
      </c>
      <c r="E83" s="214" t="s">
        <v>1809</v>
      </c>
      <c r="F83" s="214" t="s">
        <v>3100</v>
      </c>
      <c r="G83" s="215"/>
      <c r="H83" s="215" t="str">
        <f>iferror(vlookup(E83,'Kelas XI - X(32)'!$D$11:$H987,3,false),"")</f>
        <v>Ramania</v>
      </c>
      <c r="I83" s="69">
        <f>iferror(vlookup(E83,'Kelas XI - X(32)'!$D$11:$H987,4,false),"")</f>
        <v>10</v>
      </c>
      <c r="J83" s="222">
        <v>0.0</v>
      </c>
      <c r="K83" s="69">
        <f>iferror(vlookup(E83,'Kelas XI - X(32)'!$D$11:$H987,5,false),"")</f>
        <v>4</v>
      </c>
      <c r="L83" s="223">
        <f t="shared" si="5"/>
        <v>4</v>
      </c>
      <c r="M83" s="146">
        <f t="shared" si="6"/>
        <v>0.3636363636</v>
      </c>
      <c r="N83" s="224"/>
      <c r="O83" s="75" t="str">
        <f t="shared" si="8"/>
        <v>B</v>
      </c>
      <c r="P83" s="195"/>
      <c r="Q83" s="105"/>
      <c r="R83" s="105"/>
      <c r="S83" s="105"/>
      <c r="T83" s="105"/>
    </row>
    <row r="84" hidden="1">
      <c r="A84" s="196">
        <v>87.0</v>
      </c>
      <c r="B84" s="225">
        <v>34.0</v>
      </c>
      <c r="C84" s="214">
        <v>9.3907013E7</v>
      </c>
      <c r="D84" s="214">
        <v>2.4251039E8</v>
      </c>
      <c r="E84" s="214" t="s">
        <v>1810</v>
      </c>
      <c r="F84" s="214" t="s">
        <v>3100</v>
      </c>
      <c r="G84" s="215"/>
      <c r="H84" s="215" t="str">
        <f>iferror(vlookup(E84,'Kelas XI - X(32)'!$D$11:$H987,3,false),"")</f>
        <v/>
      </c>
      <c r="I84" s="69">
        <f>iferror(vlookup(E84,'Kelas XI - X(32)'!$D$11:$H987,4,false),"")</f>
        <v>6</v>
      </c>
      <c r="J84" s="222">
        <v>0.0</v>
      </c>
      <c r="K84" s="69">
        <f>iferror(vlookup(E84,'Kelas XI - X(32)'!$D$11:$H987,5,false),"")</f>
        <v>3</v>
      </c>
      <c r="L84" s="223">
        <f t="shared" si="5"/>
        <v>3</v>
      </c>
      <c r="M84" s="146">
        <f t="shared" si="6"/>
        <v>0.4285714286</v>
      </c>
      <c r="N84" s="224"/>
      <c r="O84" s="75" t="str">
        <f t="shared" si="8"/>
        <v>B</v>
      </c>
      <c r="P84" s="195"/>
      <c r="Q84" s="105"/>
      <c r="R84" s="105"/>
      <c r="S84" s="105"/>
      <c r="T84" s="105"/>
    </row>
    <row r="85" hidden="1">
      <c r="A85" s="198">
        <v>88.0</v>
      </c>
      <c r="B85" s="225">
        <v>35.0</v>
      </c>
      <c r="C85" s="214">
        <v>8.4548048E7</v>
      </c>
      <c r="D85" s="214">
        <v>2.42510404E8</v>
      </c>
      <c r="E85" s="214" t="s">
        <v>1811</v>
      </c>
      <c r="F85" s="214" t="s">
        <v>3099</v>
      </c>
      <c r="G85" s="215"/>
      <c r="H85" s="215" t="str">
        <f>iferror(vlookup(E85,'Kelas XI - X(32)'!$D$11:$H987,3,false),"")</f>
        <v/>
      </c>
      <c r="I85" s="69">
        <v>1.0</v>
      </c>
      <c r="J85" s="222">
        <v>0.0</v>
      </c>
      <c r="K85" s="69">
        <v>0.0</v>
      </c>
      <c r="L85" s="223">
        <f t="shared" si="5"/>
        <v>0</v>
      </c>
      <c r="M85" s="146">
        <f t="shared" si="6"/>
        <v>0</v>
      </c>
      <c r="N85" s="224"/>
      <c r="O85" s="75" t="str">
        <f t="shared" si="8"/>
        <v>B</v>
      </c>
      <c r="P85" s="195"/>
      <c r="Q85" s="105"/>
      <c r="R85" s="105"/>
      <c r="S85" s="105"/>
      <c r="T85" s="105"/>
    </row>
    <row r="86" hidden="1">
      <c r="A86" s="196">
        <v>89.0</v>
      </c>
      <c r="B86" s="225">
        <v>36.0</v>
      </c>
      <c r="C86" s="214">
        <v>9.4935892E7</v>
      </c>
      <c r="D86" s="214">
        <v>2.42510412E8</v>
      </c>
      <c r="E86" s="214" t="s">
        <v>1812</v>
      </c>
      <c r="F86" s="214" t="s">
        <v>3100</v>
      </c>
      <c r="G86" s="215"/>
      <c r="H86" s="215" t="str">
        <f>iferror(vlookup(E86,'Kelas XI - X(32)'!$D$11:$H987,3,false),"")</f>
        <v>Iga</v>
      </c>
      <c r="I86" s="69">
        <f>iferror(vlookup(E86,'Kelas XI - X(32)'!$D$11:$H987,4,false),"")</f>
        <v>4</v>
      </c>
      <c r="J86" s="222">
        <v>0.0</v>
      </c>
      <c r="K86" s="69">
        <v>0.0</v>
      </c>
      <c r="L86" s="223">
        <f t="shared" si="5"/>
        <v>0</v>
      </c>
      <c r="M86" s="146">
        <f t="shared" si="6"/>
        <v>0</v>
      </c>
      <c r="N86" s="224"/>
      <c r="O86" s="75" t="str">
        <f t="shared" si="8"/>
        <v>B</v>
      </c>
      <c r="P86" s="195"/>
      <c r="Q86" s="105"/>
      <c r="R86" s="105"/>
      <c r="S86" s="105"/>
      <c r="T86" s="105"/>
    </row>
    <row r="87" hidden="1">
      <c r="A87" s="198">
        <v>90.0</v>
      </c>
      <c r="B87" s="227"/>
      <c r="C87" s="214"/>
      <c r="D87" s="228"/>
      <c r="E87" s="214"/>
      <c r="F87" s="228"/>
      <c r="G87" s="228"/>
      <c r="H87" s="228"/>
      <c r="I87" s="229"/>
      <c r="J87" s="229"/>
      <c r="K87" s="229"/>
      <c r="L87" s="229"/>
      <c r="M87" s="229"/>
      <c r="N87" s="230"/>
      <c r="O87" s="231"/>
      <c r="P87" s="195"/>
      <c r="Q87" s="105"/>
      <c r="R87" s="105"/>
      <c r="S87" s="105"/>
      <c r="T87" s="105"/>
    </row>
    <row r="88" hidden="1">
      <c r="A88" s="196">
        <v>91.0</v>
      </c>
      <c r="B88" s="227"/>
      <c r="C88" s="214"/>
      <c r="D88" s="228"/>
      <c r="E88" s="214"/>
      <c r="F88" s="228"/>
      <c r="G88" s="228"/>
      <c r="H88" s="228"/>
      <c r="I88" s="229"/>
      <c r="J88" s="229"/>
      <c r="K88" s="229"/>
      <c r="L88" s="229"/>
      <c r="M88" s="229"/>
      <c r="N88" s="230"/>
      <c r="O88" s="231"/>
      <c r="P88" s="195"/>
      <c r="Q88" s="105"/>
      <c r="R88" s="105"/>
      <c r="S88" s="105"/>
      <c r="T88" s="105"/>
    </row>
    <row r="89" hidden="1">
      <c r="A89" s="198">
        <v>92.0</v>
      </c>
      <c r="B89" s="239"/>
      <c r="C89" s="240"/>
      <c r="D89" s="241"/>
      <c r="E89" s="240"/>
      <c r="F89" s="241"/>
      <c r="G89" s="241"/>
      <c r="H89" s="241"/>
      <c r="I89" s="242"/>
      <c r="J89" s="242"/>
      <c r="K89" s="242"/>
      <c r="L89" s="242"/>
      <c r="M89" s="242"/>
      <c r="N89" s="241"/>
      <c r="O89" s="242"/>
      <c r="P89" s="195"/>
      <c r="Q89" s="105"/>
      <c r="R89" s="105"/>
      <c r="S89" s="105"/>
      <c r="T89" s="105"/>
    </row>
    <row r="90">
      <c r="A90" s="196">
        <v>95.0</v>
      </c>
      <c r="B90" s="243" t="s">
        <v>1813</v>
      </c>
      <c r="C90" s="9"/>
      <c r="D90" s="9"/>
      <c r="E90" s="10"/>
      <c r="F90" s="244"/>
      <c r="G90" s="244"/>
      <c r="H90" s="244"/>
      <c r="I90" s="245"/>
      <c r="J90" s="245"/>
      <c r="K90" s="245"/>
      <c r="L90" s="245"/>
      <c r="M90" s="245"/>
      <c r="N90" s="244"/>
      <c r="O90" s="245"/>
      <c r="P90" s="195"/>
      <c r="Q90" s="105"/>
      <c r="R90" s="105"/>
      <c r="S90" s="105"/>
      <c r="T90" s="105"/>
    </row>
    <row r="91" hidden="1">
      <c r="A91" s="198">
        <v>96.0</v>
      </c>
      <c r="B91" s="92" t="s">
        <v>1814</v>
      </c>
      <c r="F91" s="200"/>
      <c r="G91" s="200"/>
      <c r="H91" s="200"/>
      <c r="I91" s="93"/>
      <c r="J91" s="93"/>
      <c r="K91" s="93"/>
      <c r="L91" s="93"/>
      <c r="M91" s="93"/>
      <c r="N91" s="200"/>
      <c r="O91" s="93"/>
      <c r="P91" s="195"/>
      <c r="Q91" s="105"/>
      <c r="R91" s="105"/>
      <c r="S91" s="105"/>
      <c r="T91" s="105"/>
    </row>
    <row r="92" hidden="1">
      <c r="A92" s="196">
        <v>97.0</v>
      </c>
      <c r="B92" s="201" t="s">
        <v>1735</v>
      </c>
      <c r="C92" s="201" t="s">
        <v>1736</v>
      </c>
      <c r="D92" s="201" t="s">
        <v>1737</v>
      </c>
      <c r="E92" s="201" t="s">
        <v>1738</v>
      </c>
      <c r="F92" s="202" t="s">
        <v>1815</v>
      </c>
      <c r="G92" s="203"/>
      <c r="H92" s="203"/>
      <c r="I92" s="204" t="s">
        <v>3097</v>
      </c>
      <c r="P92" s="195"/>
      <c r="Q92" s="105"/>
      <c r="R92" s="105"/>
      <c r="S92" s="105"/>
      <c r="T92" s="105"/>
    </row>
    <row r="93" hidden="1">
      <c r="A93" s="198">
        <v>98.0</v>
      </c>
      <c r="B93" s="201"/>
      <c r="C93" s="201"/>
      <c r="D93" s="201"/>
      <c r="E93" s="201"/>
      <c r="F93" s="205"/>
      <c r="G93" s="190"/>
      <c r="H93" s="190" t="s">
        <v>2483</v>
      </c>
      <c r="I93" s="206" t="s">
        <v>3094</v>
      </c>
      <c r="J93" s="207" t="s">
        <v>3095</v>
      </c>
      <c r="K93" s="208" t="s">
        <v>3096</v>
      </c>
      <c r="L93" s="207" t="s">
        <v>3098</v>
      </c>
      <c r="M93" s="209" t="s">
        <v>18</v>
      </c>
      <c r="N93" s="210" t="s">
        <v>2491</v>
      </c>
      <c r="O93" s="211" t="s">
        <v>19</v>
      </c>
      <c r="P93" s="195"/>
      <c r="Q93" s="105"/>
      <c r="R93" s="105"/>
      <c r="S93" s="105"/>
      <c r="T93" s="105"/>
    </row>
    <row r="94" hidden="1">
      <c r="A94" s="196">
        <v>99.0</v>
      </c>
      <c r="B94" s="234">
        <v>1.0</v>
      </c>
      <c r="C94" s="104">
        <v>8.5027044E7</v>
      </c>
      <c r="D94" s="104">
        <v>2.4251001E8</v>
      </c>
      <c r="E94" s="104" t="s">
        <v>1816</v>
      </c>
      <c r="F94" s="246" t="s">
        <v>3099</v>
      </c>
      <c r="G94" s="235"/>
      <c r="H94" s="235" t="str">
        <f>iferror(vlookup(E94,'Kelas XI - X(32)'!$D$11:$H987,3,false),"")</f>
        <v>Taufik</v>
      </c>
      <c r="I94" s="150">
        <f>iferror(vlookup(E94,'Kelas XI - X(32)'!$D$11:$H987,4,false),"")</f>
        <v>7</v>
      </c>
      <c r="J94" s="216">
        <v>0.0</v>
      </c>
      <c r="K94" s="150">
        <f>iferror(vlookup(E94,'Kelas XI - X(32)'!$D$11:$H987,5,false),"")</f>
        <v>0</v>
      </c>
      <c r="L94" s="217">
        <f t="shared" ref="L94:L129" si="9">K94+J94</f>
        <v>0</v>
      </c>
      <c r="M94" s="218">
        <f t="shared" ref="M94:M129" si="10">(K94+J94)/(I94+1)</f>
        <v>0</v>
      </c>
      <c r="N94" s="219"/>
      <c r="O94" s="75" t="str">
        <f t="shared" ref="O94:O109" si="11">IF(M94&gt;=50%,"A","B")</f>
        <v>B</v>
      </c>
      <c r="P94" s="195"/>
      <c r="Q94" s="105"/>
      <c r="R94" s="105"/>
      <c r="S94" s="105"/>
      <c r="T94" s="105"/>
    </row>
    <row r="95" hidden="1">
      <c r="A95" s="198">
        <v>100.0</v>
      </c>
      <c r="B95" s="234">
        <v>2.0</v>
      </c>
      <c r="C95" s="104">
        <v>8.1265372E7</v>
      </c>
      <c r="D95" s="104">
        <v>2.42510027E8</v>
      </c>
      <c r="E95" s="104" t="s">
        <v>1817</v>
      </c>
      <c r="F95" s="246" t="s">
        <v>3099</v>
      </c>
      <c r="G95" s="235"/>
      <c r="H95" s="235" t="str">
        <f>iferror(vlookup(E95,'Kelas XI - X(32)'!$D$11:$H987,3,false),"")</f>
        <v/>
      </c>
      <c r="I95" s="150">
        <f>iferror(vlookup(E95,'Kelas XI - X(32)'!$D$11:$H987,4,false),"")</f>
        <v>7</v>
      </c>
      <c r="J95" s="216">
        <v>0.0</v>
      </c>
      <c r="K95" s="150">
        <f>iferror(vlookup(E95,'Kelas XI - X(32)'!$D$11:$H987,5,false),"")</f>
        <v>2</v>
      </c>
      <c r="L95" s="217">
        <f t="shared" si="9"/>
        <v>2</v>
      </c>
      <c r="M95" s="218">
        <f t="shared" si="10"/>
        <v>0.25</v>
      </c>
      <c r="N95" s="219"/>
      <c r="O95" s="75" t="str">
        <f t="shared" si="11"/>
        <v>B</v>
      </c>
      <c r="P95" s="195"/>
      <c r="Q95" s="105"/>
      <c r="R95" s="105"/>
      <c r="S95" s="105"/>
      <c r="T95" s="105"/>
    </row>
    <row r="96" hidden="1">
      <c r="A96" s="196">
        <v>101.0</v>
      </c>
      <c r="B96" s="234">
        <v>3.0</v>
      </c>
      <c r="C96" s="104">
        <v>9.2697249E7</v>
      </c>
      <c r="D96" s="104">
        <v>2.42510041E8</v>
      </c>
      <c r="E96" s="104" t="s">
        <v>1818</v>
      </c>
      <c r="F96" s="246" t="s">
        <v>3100</v>
      </c>
      <c r="G96" s="235"/>
      <c r="H96" s="235" t="str">
        <f>iferror(vlookup(E96,'Kelas XI - X(32)'!$D$11:$H987,3,false),"")</f>
        <v/>
      </c>
      <c r="I96" s="150">
        <f>iferror(vlookup(E96,'Kelas XI - X(32)'!$D$11:$H987,4,false),"")</f>
        <v>6</v>
      </c>
      <c r="J96" s="216">
        <v>0.0</v>
      </c>
      <c r="K96" s="150">
        <f>iferror(vlookup(E96,'Kelas XI - X(32)'!$D$11:$H987,5,false),"")</f>
        <v>1</v>
      </c>
      <c r="L96" s="217">
        <f t="shared" si="9"/>
        <v>1</v>
      </c>
      <c r="M96" s="218">
        <f t="shared" si="10"/>
        <v>0.1428571429</v>
      </c>
      <c r="N96" s="219"/>
      <c r="O96" s="75" t="str">
        <f t="shared" si="11"/>
        <v>B</v>
      </c>
      <c r="P96" s="195"/>
      <c r="Q96" s="105"/>
      <c r="R96" s="105"/>
      <c r="S96" s="105"/>
      <c r="T96" s="105"/>
    </row>
    <row r="97" hidden="1">
      <c r="A97" s="198">
        <v>102.0</v>
      </c>
      <c r="B97" s="234">
        <v>4.0</v>
      </c>
      <c r="C97" s="104">
        <v>8.5437129E7</v>
      </c>
      <c r="D97" s="104">
        <v>2.4251007E8</v>
      </c>
      <c r="E97" s="104" t="s">
        <v>1819</v>
      </c>
      <c r="F97" s="246" t="s">
        <v>3099</v>
      </c>
      <c r="G97" s="235"/>
      <c r="H97" s="235" t="str">
        <f>iferror(vlookup(E97,'Kelas XI - X(32)'!$D$11:$H987,3,false),"")</f>
        <v>Najmi</v>
      </c>
      <c r="I97" s="150">
        <f>iferror(vlookup(E97,'Kelas XI - X(32)'!$D$11:$H987,4,false),"")</f>
        <v>5</v>
      </c>
      <c r="J97" s="216">
        <v>0.0</v>
      </c>
      <c r="K97" s="150">
        <f>iferror(vlookup(E97,'Kelas XI - X(32)'!$D$11:$H987,5,false),"")</f>
        <v>5</v>
      </c>
      <c r="L97" s="217">
        <f t="shared" si="9"/>
        <v>5</v>
      </c>
      <c r="M97" s="218">
        <f t="shared" si="10"/>
        <v>0.8333333333</v>
      </c>
      <c r="N97" s="219"/>
      <c r="O97" s="75" t="str">
        <f t="shared" si="11"/>
        <v>A</v>
      </c>
      <c r="P97" s="195"/>
      <c r="Q97" s="105"/>
      <c r="R97" s="105"/>
      <c r="S97" s="105"/>
      <c r="T97" s="105"/>
    </row>
    <row r="98" hidden="1">
      <c r="A98" s="196">
        <v>103.0</v>
      </c>
      <c r="B98" s="234">
        <v>5.0</v>
      </c>
      <c r="C98" s="104">
        <v>9.8656322E7</v>
      </c>
      <c r="D98" s="104">
        <v>2.42510113E8</v>
      </c>
      <c r="E98" s="104" t="s">
        <v>1820</v>
      </c>
      <c r="F98" s="246" t="s">
        <v>3100</v>
      </c>
      <c r="G98" s="235"/>
      <c r="H98" s="235" t="str">
        <f>iferror(vlookup(E98,'Kelas XI - X(32)'!$D$11:$H987,3,false),"")</f>
        <v/>
      </c>
      <c r="I98" s="150">
        <v>1.0</v>
      </c>
      <c r="J98" s="216">
        <v>0.0</v>
      </c>
      <c r="K98" s="150">
        <v>0.0</v>
      </c>
      <c r="L98" s="217">
        <f t="shared" si="9"/>
        <v>0</v>
      </c>
      <c r="M98" s="218">
        <f t="shared" si="10"/>
        <v>0</v>
      </c>
      <c r="N98" s="219"/>
      <c r="O98" s="75" t="str">
        <f t="shared" si="11"/>
        <v>B</v>
      </c>
      <c r="P98" s="195"/>
      <c r="Q98" s="105"/>
      <c r="R98" s="105"/>
      <c r="S98" s="105"/>
      <c r="T98" s="105"/>
    </row>
    <row r="99" hidden="1">
      <c r="A99" s="198">
        <v>104.0</v>
      </c>
      <c r="B99" s="212">
        <v>6.0</v>
      </c>
      <c r="C99" s="213">
        <v>9.6763243E7</v>
      </c>
      <c r="D99" s="213">
        <v>2.4251012E8</v>
      </c>
      <c r="E99" s="213" t="s">
        <v>1821</v>
      </c>
      <c r="F99" s="99" t="s">
        <v>3099</v>
      </c>
      <c r="G99" s="215"/>
      <c r="H99" s="215" t="str">
        <f>iferror(vlookup(E99,'Kelas XI - X(32)'!$D$11:$H987,3,false),"")</f>
        <v>Najmi</v>
      </c>
      <c r="I99" s="69">
        <f>iferror(vlookup(E99,'Kelas XI - X(32)'!$D$11:$H987,4,false),"")</f>
        <v>5</v>
      </c>
      <c r="J99" s="216">
        <v>0.0</v>
      </c>
      <c r="K99" s="150">
        <f>iferror(vlookup(E99,'Kelas XI - X(32)'!$D$11:$H987,5,false),"")</f>
        <v>5</v>
      </c>
      <c r="L99" s="217">
        <f t="shared" si="9"/>
        <v>5</v>
      </c>
      <c r="M99" s="218">
        <f t="shared" si="10"/>
        <v>0.8333333333</v>
      </c>
      <c r="N99" s="219"/>
      <c r="O99" s="75" t="str">
        <f t="shared" si="11"/>
        <v>A</v>
      </c>
      <c r="P99" s="195"/>
      <c r="Q99" s="105"/>
      <c r="R99" s="105"/>
      <c r="S99" s="105"/>
      <c r="T99" s="105"/>
    </row>
    <row r="100" hidden="1">
      <c r="A100" s="196">
        <v>105.0</v>
      </c>
      <c r="B100" s="220">
        <v>7.0</v>
      </c>
      <c r="C100" s="221">
        <v>9.8951883E7</v>
      </c>
      <c r="D100" s="221">
        <v>2.42510136E8</v>
      </c>
      <c r="E100" s="221" t="s">
        <v>1822</v>
      </c>
      <c r="F100" s="99" t="s">
        <v>3099</v>
      </c>
      <c r="G100" s="215"/>
      <c r="H100" s="215" t="str">
        <f>iferror(vlookup(E100,'Kelas XI - X(32)'!$D$11:$H987,3,false),"")</f>
        <v>Iga</v>
      </c>
      <c r="I100" s="69">
        <f>iferror(vlookup(E100,'Kelas XI - X(32)'!$D$11:$H987,4,false),"")</f>
        <v>4</v>
      </c>
      <c r="J100" s="222">
        <v>0.0</v>
      </c>
      <c r="K100" s="69">
        <v>0.0</v>
      </c>
      <c r="L100" s="223">
        <f t="shared" si="9"/>
        <v>0</v>
      </c>
      <c r="M100" s="146">
        <f t="shared" si="10"/>
        <v>0</v>
      </c>
      <c r="N100" s="224"/>
      <c r="O100" s="75" t="str">
        <f t="shared" si="11"/>
        <v>B</v>
      </c>
      <c r="P100" s="195"/>
      <c r="Q100" s="105"/>
      <c r="R100" s="105"/>
      <c r="S100" s="105"/>
      <c r="T100" s="105"/>
    </row>
    <row r="101" hidden="1">
      <c r="A101" s="198">
        <v>106.0</v>
      </c>
      <c r="B101" s="225">
        <v>8.0</v>
      </c>
      <c r="C101" s="214">
        <v>9.4722345E7</v>
      </c>
      <c r="D101" s="214">
        <v>2.4251018E8</v>
      </c>
      <c r="E101" s="214" t="s">
        <v>1823</v>
      </c>
      <c r="F101" s="99" t="s">
        <v>3099</v>
      </c>
      <c r="G101" s="215"/>
      <c r="H101" s="215" t="str">
        <f>iferror(vlookup(E101,'Kelas XI - X(32)'!$D$11:$H987,3,false),"")</f>
        <v/>
      </c>
      <c r="I101" s="69">
        <v>1.0</v>
      </c>
      <c r="J101" s="222">
        <v>0.0</v>
      </c>
      <c r="K101" s="69">
        <v>0.0</v>
      </c>
      <c r="L101" s="223">
        <f t="shared" si="9"/>
        <v>0</v>
      </c>
      <c r="M101" s="146">
        <f t="shared" si="10"/>
        <v>0</v>
      </c>
      <c r="N101" s="224"/>
      <c r="O101" s="75" t="str">
        <f t="shared" si="11"/>
        <v>B</v>
      </c>
      <c r="P101" s="195"/>
      <c r="Q101" s="105"/>
      <c r="R101" s="105"/>
      <c r="S101" s="105"/>
      <c r="T101" s="105"/>
    </row>
    <row r="102" hidden="1">
      <c r="A102" s="196">
        <v>107.0</v>
      </c>
      <c r="B102" s="225">
        <v>9.0</v>
      </c>
      <c r="C102" s="214">
        <v>9.7193046E7</v>
      </c>
      <c r="D102" s="214">
        <v>2.42510184E8</v>
      </c>
      <c r="E102" s="214" t="s">
        <v>1824</v>
      </c>
      <c r="F102" s="99" t="s">
        <v>3099</v>
      </c>
      <c r="G102" s="215"/>
      <c r="H102" s="215" t="str">
        <f>iferror(vlookup(E102,'Kelas XI - X(32)'!$D$11:$H987,3,false),"")</f>
        <v/>
      </c>
      <c r="I102" s="69">
        <v>1.0</v>
      </c>
      <c r="J102" s="222">
        <v>0.0</v>
      </c>
      <c r="K102" s="69">
        <v>0.0</v>
      </c>
      <c r="L102" s="223">
        <f t="shared" si="9"/>
        <v>0</v>
      </c>
      <c r="M102" s="146">
        <f t="shared" si="10"/>
        <v>0</v>
      </c>
      <c r="N102" s="224"/>
      <c r="O102" s="75" t="str">
        <f t="shared" si="11"/>
        <v>B</v>
      </c>
      <c r="P102" s="195"/>
      <c r="Q102" s="105"/>
      <c r="R102" s="105"/>
      <c r="S102" s="105"/>
      <c r="T102" s="105"/>
    </row>
    <row r="103" hidden="1">
      <c r="A103" s="198">
        <v>108.0</v>
      </c>
      <c r="B103" s="225">
        <v>10.0</v>
      </c>
      <c r="C103" s="214">
        <v>9.350538E7</v>
      </c>
      <c r="D103" s="214">
        <v>2.42510187E8</v>
      </c>
      <c r="E103" s="214" t="s">
        <v>1825</v>
      </c>
      <c r="F103" s="99" t="s">
        <v>3100</v>
      </c>
      <c r="G103" s="215"/>
      <c r="H103" s="215" t="str">
        <f>iferror(vlookup(E103,'Kelas XI - X(32)'!$D$11:$H987,3,false),"")</f>
        <v/>
      </c>
      <c r="I103" s="69">
        <f>iferror(vlookup(E103,'Kelas XI - X(32)'!$D$11:$H987,4,false),"")</f>
        <v>7</v>
      </c>
      <c r="J103" s="222">
        <v>0.0</v>
      </c>
      <c r="K103" s="69">
        <f>iferror(vlookup(E103,'Kelas XI - X(32)'!$D$11:$H987,5,false),"")</f>
        <v>3</v>
      </c>
      <c r="L103" s="223">
        <f t="shared" si="9"/>
        <v>3</v>
      </c>
      <c r="M103" s="146">
        <f t="shared" si="10"/>
        <v>0.375</v>
      </c>
      <c r="N103" s="224"/>
      <c r="O103" s="75" t="str">
        <f t="shared" si="11"/>
        <v>B</v>
      </c>
      <c r="P103" s="195"/>
      <c r="Q103" s="105"/>
      <c r="R103" s="105"/>
      <c r="S103" s="105"/>
      <c r="T103" s="105"/>
    </row>
    <row r="104" hidden="1">
      <c r="A104" s="196">
        <v>109.0</v>
      </c>
      <c r="B104" s="225">
        <v>11.0</v>
      </c>
      <c r="C104" s="214">
        <v>8.4361496E7</v>
      </c>
      <c r="D104" s="214">
        <v>2.42510193E8</v>
      </c>
      <c r="E104" s="214" t="s">
        <v>1826</v>
      </c>
      <c r="F104" s="99" t="s">
        <v>3099</v>
      </c>
      <c r="G104" s="215"/>
      <c r="H104" s="215" t="str">
        <f>iferror(vlookup(E104,'Kelas XI - X(32)'!$D$11:$H987,3,false),"")</f>
        <v/>
      </c>
      <c r="I104" s="69">
        <f>iferror(vlookup(E104,'Kelas XI - X(32)'!$D$11:$H987,4,false),"")</f>
        <v>8</v>
      </c>
      <c r="J104" s="222">
        <v>0.0</v>
      </c>
      <c r="K104" s="69">
        <f>iferror(vlookup(E104,'Kelas XI - X(32)'!$D$11:$H987,5,false),"")</f>
        <v>0</v>
      </c>
      <c r="L104" s="223">
        <f t="shared" si="9"/>
        <v>0</v>
      </c>
      <c r="M104" s="146">
        <f t="shared" si="10"/>
        <v>0</v>
      </c>
      <c r="N104" s="224"/>
      <c r="O104" s="75" t="str">
        <f t="shared" si="11"/>
        <v>B</v>
      </c>
      <c r="P104" s="195"/>
      <c r="Q104" s="105"/>
      <c r="R104" s="105"/>
      <c r="S104" s="105"/>
      <c r="T104" s="105"/>
    </row>
    <row r="105" hidden="1">
      <c r="A105" s="198">
        <v>110.0</v>
      </c>
      <c r="B105" s="225">
        <v>12.0</v>
      </c>
      <c r="C105" s="214">
        <v>9.3778675E7</v>
      </c>
      <c r="D105" s="214">
        <v>2.42510197E8</v>
      </c>
      <c r="E105" s="214" t="s">
        <v>1827</v>
      </c>
      <c r="F105" s="99" t="s">
        <v>3100</v>
      </c>
      <c r="G105" s="215"/>
      <c r="H105" s="215" t="str">
        <f>iferror(vlookup(E105,'Kelas XI - X(32)'!$D$11:$H987,3,false),"")</f>
        <v>Najmi</v>
      </c>
      <c r="I105" s="69">
        <f>iferror(vlookup(E105,'Kelas XI - X(32)'!$D$11:$H987,4,false),"")</f>
        <v>5</v>
      </c>
      <c r="J105" s="222">
        <v>0.0</v>
      </c>
      <c r="K105" s="69">
        <f>iferror(vlookup(E105,'Kelas XI - X(32)'!$D$11:$H987,5,false),"")</f>
        <v>5</v>
      </c>
      <c r="L105" s="223">
        <f t="shared" si="9"/>
        <v>5</v>
      </c>
      <c r="M105" s="146">
        <f t="shared" si="10"/>
        <v>0.8333333333</v>
      </c>
      <c r="N105" s="224"/>
      <c r="O105" s="75" t="str">
        <f t="shared" si="11"/>
        <v>A</v>
      </c>
      <c r="P105" s="195"/>
      <c r="Q105" s="105"/>
      <c r="R105" s="105"/>
      <c r="S105" s="105"/>
      <c r="T105" s="105"/>
    </row>
    <row r="106" hidden="1">
      <c r="A106" s="196">
        <v>111.0</v>
      </c>
      <c r="B106" s="225">
        <v>13.0</v>
      </c>
      <c r="C106" s="214">
        <v>9.4698679E7</v>
      </c>
      <c r="D106" s="214">
        <v>2.42510213E8</v>
      </c>
      <c r="E106" s="214" t="s">
        <v>1828</v>
      </c>
      <c r="F106" s="99" t="s">
        <v>3100</v>
      </c>
      <c r="G106" s="215"/>
      <c r="H106" s="215" t="str">
        <f>iferror(vlookup(E106,'Kelas XI - X(32)'!$D$11:$H987,3,false),"")</f>
        <v/>
      </c>
      <c r="I106" s="69">
        <v>1.0</v>
      </c>
      <c r="J106" s="222">
        <v>0.0</v>
      </c>
      <c r="K106" s="69">
        <v>0.0</v>
      </c>
      <c r="L106" s="223">
        <f t="shared" si="9"/>
        <v>0</v>
      </c>
      <c r="M106" s="146">
        <f t="shared" si="10"/>
        <v>0</v>
      </c>
      <c r="N106" s="224"/>
      <c r="O106" s="75" t="str">
        <f t="shared" si="11"/>
        <v>B</v>
      </c>
      <c r="P106" s="195"/>
      <c r="Q106" s="105"/>
      <c r="R106" s="105"/>
      <c r="S106" s="105"/>
      <c r="T106" s="105"/>
    </row>
    <row r="107" hidden="1">
      <c r="A107" s="198">
        <v>112.0</v>
      </c>
      <c r="B107" s="225">
        <v>14.0</v>
      </c>
      <c r="C107" s="214">
        <v>3.095285309E9</v>
      </c>
      <c r="D107" s="214">
        <v>2.42510216E8</v>
      </c>
      <c r="E107" s="214" t="s">
        <v>1829</v>
      </c>
      <c r="F107" s="99" t="s">
        <v>3100</v>
      </c>
      <c r="G107" s="215"/>
      <c r="H107" s="215" t="str">
        <f>iferror(vlookup(E107,'Kelas XI - X(32)'!$D$11:$H987,3,false),"")</f>
        <v/>
      </c>
      <c r="I107" s="69">
        <v>1.0</v>
      </c>
      <c r="J107" s="222">
        <v>0.0</v>
      </c>
      <c r="K107" s="69">
        <v>0.0</v>
      </c>
      <c r="L107" s="223">
        <f t="shared" si="9"/>
        <v>0</v>
      </c>
      <c r="M107" s="146">
        <f t="shared" si="10"/>
        <v>0</v>
      </c>
      <c r="N107" s="224"/>
      <c r="O107" s="75" t="str">
        <f t="shared" si="11"/>
        <v>B</v>
      </c>
      <c r="P107" s="195"/>
      <c r="Q107" s="105"/>
      <c r="R107" s="105"/>
      <c r="S107" s="105"/>
      <c r="T107" s="105"/>
    </row>
    <row r="108" hidden="1">
      <c r="A108" s="196">
        <v>113.0</v>
      </c>
      <c r="B108" s="225">
        <v>15.0</v>
      </c>
      <c r="C108" s="214">
        <v>8.1476668E7</v>
      </c>
      <c r="D108" s="214">
        <v>2.42510222E8</v>
      </c>
      <c r="E108" s="214" t="s">
        <v>1830</v>
      </c>
      <c r="F108" s="99" t="s">
        <v>3099</v>
      </c>
      <c r="G108" s="215"/>
      <c r="H108" s="215" t="str">
        <f>iferror(vlookup(E108,'Kelas XI - X(32)'!$D$11:$H987,3,false),"")</f>
        <v/>
      </c>
      <c r="I108" s="69">
        <f>iferror(vlookup(E108,'Kelas XI - X(32)'!$D$11:$H987,4,false),"")</f>
        <v>8</v>
      </c>
      <c r="J108" s="222">
        <v>0.0</v>
      </c>
      <c r="K108" s="69">
        <f>iferror(vlookup(E108,'Kelas XI - X(32)'!$D$11:$H987,5,false),"")</f>
        <v>0</v>
      </c>
      <c r="L108" s="223">
        <f t="shared" si="9"/>
        <v>0</v>
      </c>
      <c r="M108" s="146">
        <f t="shared" si="10"/>
        <v>0</v>
      </c>
      <c r="N108" s="224"/>
      <c r="O108" s="75" t="str">
        <f t="shared" si="11"/>
        <v>B</v>
      </c>
      <c r="P108" s="195"/>
      <c r="Q108" s="105"/>
      <c r="R108" s="105"/>
      <c r="S108" s="105"/>
      <c r="T108" s="105"/>
    </row>
    <row r="109" hidden="1">
      <c r="A109" s="198">
        <v>114.0</v>
      </c>
      <c r="B109" s="225">
        <v>16.0</v>
      </c>
      <c r="C109" s="214">
        <v>9.8908539E7</v>
      </c>
      <c r="D109" s="214">
        <v>2.4251023E8</v>
      </c>
      <c r="E109" s="214" t="s">
        <v>1831</v>
      </c>
      <c r="F109" s="99" t="s">
        <v>3100</v>
      </c>
      <c r="G109" s="215"/>
      <c r="H109" s="215" t="str">
        <f>iferror(vlookup(E109,'Kelas XI - X(32)'!$D$11:$H987,3,false),"")</f>
        <v/>
      </c>
      <c r="I109" s="69">
        <f>iferror(vlookup(E109,'Kelas XI - X(32)'!$D$11:$H987,4,false),"")</f>
        <v>8</v>
      </c>
      <c r="J109" s="223">
        <f>iferror(vlookup(E109,MasterClass!$C$2:$G987,5,false),"")</f>
        <v>1</v>
      </c>
      <c r="K109" s="69">
        <f>iferror(vlookup(E109,'Kelas XI - X(32)'!$D$11:$H987,5,false),"")</f>
        <v>3</v>
      </c>
      <c r="L109" s="223">
        <f t="shared" si="9"/>
        <v>4</v>
      </c>
      <c r="M109" s="146">
        <f t="shared" si="10"/>
        <v>0.4444444444</v>
      </c>
      <c r="N109" s="224"/>
      <c r="O109" s="75" t="str">
        <f t="shared" si="11"/>
        <v>B</v>
      </c>
      <c r="P109" s="195"/>
      <c r="Q109" s="105"/>
      <c r="R109" s="105"/>
      <c r="S109" s="105"/>
      <c r="T109" s="105"/>
    </row>
    <row r="110" hidden="1">
      <c r="A110" s="196">
        <v>115.0</v>
      </c>
      <c r="B110" s="225">
        <v>17.0</v>
      </c>
      <c r="C110" s="247">
        <v>3.095174589E9</v>
      </c>
      <c r="D110" s="247">
        <v>2.42510231E8</v>
      </c>
      <c r="E110" s="247" t="s">
        <v>1832</v>
      </c>
      <c r="F110" s="115" t="s">
        <v>3099</v>
      </c>
      <c r="G110" s="215"/>
      <c r="H110" s="215" t="str">
        <f>iferror(vlookup(E110,'Kelas XI - X(32)'!$D$11:$H987,3,false),"")</f>
        <v/>
      </c>
      <c r="I110" s="69">
        <f>iferror(vlookup(E110,'Kelas XI - X(32)'!$D$11:$H987,4,false),"")</f>
        <v>7</v>
      </c>
      <c r="J110" s="222">
        <v>0.0</v>
      </c>
      <c r="K110" s="69">
        <f>iferror(vlookup(E110,'Kelas XI - X(32)'!$D$11:$H987,5,false),"")</f>
        <v>4</v>
      </c>
      <c r="L110" s="223">
        <f t="shared" si="9"/>
        <v>4</v>
      </c>
      <c r="M110" s="146">
        <f t="shared" si="10"/>
        <v>0.5</v>
      </c>
      <c r="N110" s="236" t="s">
        <v>3106</v>
      </c>
      <c r="O110" s="69" t="s">
        <v>1163</v>
      </c>
      <c r="P110" s="195"/>
      <c r="Q110" s="105"/>
      <c r="R110" s="105"/>
      <c r="S110" s="105"/>
      <c r="T110" s="105"/>
    </row>
    <row r="111" hidden="1">
      <c r="A111" s="198">
        <v>116.0</v>
      </c>
      <c r="B111" s="225">
        <v>18.0</v>
      </c>
      <c r="C111" s="214">
        <v>9.9030651E7</v>
      </c>
      <c r="D111" s="214">
        <v>2.42510232E8</v>
      </c>
      <c r="E111" s="214" t="s">
        <v>1833</v>
      </c>
      <c r="F111" s="99" t="s">
        <v>3099</v>
      </c>
      <c r="G111" s="215"/>
      <c r="H111" s="215" t="str">
        <f>iferror(vlookup(E111,'Kelas XI - X(32)'!$D$11:$H987,3,false),"")</f>
        <v/>
      </c>
      <c r="I111" s="69">
        <f>iferror(vlookup(E111,'Kelas XI - X(32)'!$D$11:$H987,4,false),"")</f>
        <v>8</v>
      </c>
      <c r="J111" s="222">
        <v>0.0</v>
      </c>
      <c r="K111" s="69">
        <f>iferror(vlookup(E111,'Kelas XI - X(32)'!$D$11:$H987,5,false),"")</f>
        <v>1</v>
      </c>
      <c r="L111" s="223">
        <f t="shared" si="9"/>
        <v>1</v>
      </c>
      <c r="M111" s="146">
        <f t="shared" si="10"/>
        <v>0.1111111111</v>
      </c>
      <c r="N111" s="224"/>
      <c r="O111" s="75" t="str">
        <f t="shared" ref="O111:O113" si="12">IF(M111&gt;=50%,"A","B")</f>
        <v>B</v>
      </c>
      <c r="P111" s="195"/>
      <c r="Q111" s="105"/>
      <c r="R111" s="105"/>
      <c r="S111" s="105"/>
      <c r="T111" s="105"/>
    </row>
    <row r="112" hidden="1">
      <c r="A112" s="196">
        <v>117.0</v>
      </c>
      <c r="B112" s="225">
        <v>19.0</v>
      </c>
      <c r="C112" s="214">
        <v>9.8437864E7</v>
      </c>
      <c r="D112" s="214">
        <v>2.42510233E8</v>
      </c>
      <c r="E112" s="214" t="s">
        <v>1834</v>
      </c>
      <c r="F112" s="99" t="s">
        <v>3100</v>
      </c>
      <c r="G112" s="215"/>
      <c r="H112" s="215" t="str">
        <f>iferror(vlookup(E112,'Kelas XI - X(32)'!$D$11:$H987,3,false),"")</f>
        <v/>
      </c>
      <c r="I112" s="69">
        <f>iferror(vlookup(E112,'Kelas XI - X(32)'!$D$11:$H987,4,false),"")</f>
        <v>6</v>
      </c>
      <c r="J112" s="222">
        <v>0.0</v>
      </c>
      <c r="K112" s="69">
        <f>iferror(vlookup(E112,'Kelas XI - X(32)'!$D$11:$H987,5,false),"")</f>
        <v>1</v>
      </c>
      <c r="L112" s="223">
        <f t="shared" si="9"/>
        <v>1</v>
      </c>
      <c r="M112" s="146">
        <f t="shared" si="10"/>
        <v>0.1428571429</v>
      </c>
      <c r="N112" s="224"/>
      <c r="O112" s="75" t="str">
        <f t="shared" si="12"/>
        <v>B</v>
      </c>
      <c r="P112" s="195"/>
      <c r="Q112" s="105"/>
      <c r="R112" s="105"/>
      <c r="S112" s="105"/>
      <c r="T112" s="105"/>
    </row>
    <row r="113" hidden="1">
      <c r="A113" s="198">
        <v>118.0</v>
      </c>
      <c r="B113" s="225">
        <v>20.0</v>
      </c>
      <c r="C113" s="214">
        <v>8.8976294E7</v>
      </c>
      <c r="D113" s="214">
        <v>2.42510244E8</v>
      </c>
      <c r="E113" s="214" t="s">
        <v>1835</v>
      </c>
      <c r="F113" s="99" t="s">
        <v>3100</v>
      </c>
      <c r="G113" s="215"/>
      <c r="H113" s="215" t="str">
        <f>iferror(vlookup(E113,'Kelas XI - X(32)'!$D$11:$H987,3,false),"")</f>
        <v/>
      </c>
      <c r="I113" s="69">
        <f>iferror(vlookup(E113,'Kelas XI - X(32)'!$D$11:$H987,4,false),"")</f>
        <v>6</v>
      </c>
      <c r="J113" s="223">
        <f>iferror(vlookup(E113,MasterClass!$C$2:$G987,5,false),"")</f>
        <v>1</v>
      </c>
      <c r="K113" s="69">
        <f>iferror(vlookup(E113,'Kelas XI - X(32)'!$D$11:$H987,5,false),"")</f>
        <v>3</v>
      </c>
      <c r="L113" s="223">
        <f t="shared" si="9"/>
        <v>4</v>
      </c>
      <c r="M113" s="146">
        <f t="shared" si="10"/>
        <v>0.5714285714</v>
      </c>
      <c r="N113" s="224"/>
      <c r="O113" s="75" t="str">
        <f t="shared" si="12"/>
        <v>A</v>
      </c>
      <c r="P113" s="195"/>
      <c r="Q113" s="105"/>
      <c r="R113" s="105"/>
      <c r="S113" s="105"/>
      <c r="T113" s="105"/>
    </row>
    <row r="114" hidden="1">
      <c r="A114" s="196">
        <v>119.0</v>
      </c>
      <c r="B114" s="225">
        <v>21.0</v>
      </c>
      <c r="C114" s="214">
        <v>9.4412664E7</v>
      </c>
      <c r="D114" s="214">
        <v>2.42510278E8</v>
      </c>
      <c r="E114" s="214" t="s">
        <v>1836</v>
      </c>
      <c r="F114" s="99" t="s">
        <v>3100</v>
      </c>
      <c r="G114" s="215"/>
      <c r="H114" s="215" t="str">
        <f>iferror(vlookup(E114,'Kelas XI - X(32)'!$D$11:$H987,3,false),"")</f>
        <v/>
      </c>
      <c r="I114" s="69">
        <f>iferror(vlookup(E114,'Kelas XI - X(32)'!$D$11:$H987,4,false),"")</f>
        <v>4</v>
      </c>
      <c r="J114" s="223">
        <f>iferror(vlookup(E114,MasterClass!$C$2:$G987,5,false),"")</f>
        <v>1</v>
      </c>
      <c r="K114" s="69">
        <v>0.0</v>
      </c>
      <c r="L114" s="223">
        <f t="shared" si="9"/>
        <v>1</v>
      </c>
      <c r="M114" s="146">
        <f t="shared" si="10"/>
        <v>0.2</v>
      </c>
      <c r="N114" s="248" t="s">
        <v>3106</v>
      </c>
      <c r="O114" s="69" t="s">
        <v>1163</v>
      </c>
      <c r="P114" s="195"/>
      <c r="Q114" s="105"/>
      <c r="R114" s="105"/>
      <c r="S114" s="105"/>
      <c r="T114" s="105"/>
    </row>
    <row r="115" hidden="1">
      <c r="A115" s="198">
        <v>120.0</v>
      </c>
      <c r="B115" s="225">
        <v>22.0</v>
      </c>
      <c r="C115" s="214">
        <v>9.1524851E7</v>
      </c>
      <c r="D115" s="214">
        <v>2.42510286E8</v>
      </c>
      <c r="E115" s="214" t="s">
        <v>1837</v>
      </c>
      <c r="F115" s="99" t="s">
        <v>3100</v>
      </c>
      <c r="G115" s="215"/>
      <c r="H115" s="215" t="str">
        <f>iferror(vlookup(E115,'Kelas XI - X(32)'!$D$11:$H987,3,false),"")</f>
        <v>Zalika</v>
      </c>
      <c r="I115" s="69">
        <f>iferror(vlookup(E115,'Kelas XI - X(32)'!$D$11:$H987,4,false),"")</f>
        <v>5</v>
      </c>
      <c r="J115" s="222">
        <v>0.0</v>
      </c>
      <c r="K115" s="69">
        <f>iferror(vlookup(E115,'Kelas XI - X(32)'!$D$11:$H987,5,false),"")</f>
        <v>1</v>
      </c>
      <c r="L115" s="223">
        <f t="shared" si="9"/>
        <v>1</v>
      </c>
      <c r="M115" s="146">
        <f t="shared" si="10"/>
        <v>0.1666666667</v>
      </c>
      <c r="N115" s="224"/>
      <c r="O115" s="75" t="str">
        <f t="shared" ref="O115:O121" si="13">IF(M115&gt;=50%,"A","B")</f>
        <v>B</v>
      </c>
      <c r="P115" s="195"/>
      <c r="Q115" s="105"/>
      <c r="R115" s="105"/>
      <c r="S115" s="105"/>
      <c r="T115" s="105"/>
    </row>
    <row r="116" hidden="1">
      <c r="A116" s="196">
        <v>121.0</v>
      </c>
      <c r="B116" s="225">
        <v>23.0</v>
      </c>
      <c r="C116" s="214">
        <v>3.099271994E9</v>
      </c>
      <c r="D116" s="214">
        <v>2.42510297E8</v>
      </c>
      <c r="E116" s="214" t="s">
        <v>1838</v>
      </c>
      <c r="F116" s="99" t="s">
        <v>3100</v>
      </c>
      <c r="G116" s="215"/>
      <c r="H116" s="215" t="str">
        <f>iferror(vlookup(E116,'Kelas XI - X(32)'!$D$11:$H987,3,false),"")</f>
        <v/>
      </c>
      <c r="I116" s="69">
        <f>iferror(vlookup(E116,'Kelas XI - X(32)'!$D$11:$H987,4,false),"")</f>
        <v>7</v>
      </c>
      <c r="J116" s="222">
        <v>0.0</v>
      </c>
      <c r="K116" s="69">
        <f>iferror(vlookup(E116,'Kelas XI - X(32)'!$D$11:$H987,5,false),"")</f>
        <v>6</v>
      </c>
      <c r="L116" s="223">
        <f t="shared" si="9"/>
        <v>6</v>
      </c>
      <c r="M116" s="146">
        <f t="shared" si="10"/>
        <v>0.75</v>
      </c>
      <c r="N116" s="224"/>
      <c r="O116" s="75" t="str">
        <f t="shared" si="13"/>
        <v>A</v>
      </c>
      <c r="P116" s="195"/>
      <c r="Q116" s="105"/>
      <c r="R116" s="105"/>
      <c r="S116" s="105"/>
      <c r="T116" s="105"/>
    </row>
    <row r="117" hidden="1">
      <c r="A117" s="198">
        <v>122.0</v>
      </c>
      <c r="B117" s="225">
        <v>24.0</v>
      </c>
      <c r="C117" s="214">
        <v>8.3974334E7</v>
      </c>
      <c r="D117" s="214">
        <v>2.42510298E8</v>
      </c>
      <c r="E117" s="214" t="s">
        <v>1839</v>
      </c>
      <c r="F117" s="99" t="s">
        <v>3099</v>
      </c>
      <c r="G117" s="215"/>
      <c r="H117" s="215" t="str">
        <f>iferror(vlookup(E117,'Kelas XI - X(32)'!$D$11:$H987,3,false),"")</f>
        <v/>
      </c>
      <c r="I117" s="69">
        <f>iferror(vlookup(E117,'Kelas XI - X(32)'!$D$11:$H987,4,false),"")</f>
        <v>8</v>
      </c>
      <c r="J117" s="222">
        <v>0.0</v>
      </c>
      <c r="K117" s="69">
        <f>iferror(vlookup(E117,'Kelas XI - X(32)'!$D$11:$H987,5,false),"")</f>
        <v>3</v>
      </c>
      <c r="L117" s="223">
        <f t="shared" si="9"/>
        <v>3</v>
      </c>
      <c r="M117" s="146">
        <f t="shared" si="10"/>
        <v>0.3333333333</v>
      </c>
      <c r="N117" s="224"/>
      <c r="O117" s="75" t="str">
        <f t="shared" si="13"/>
        <v>B</v>
      </c>
      <c r="P117" s="195"/>
      <c r="Q117" s="105"/>
      <c r="R117" s="105"/>
      <c r="S117" s="105"/>
      <c r="T117" s="105"/>
    </row>
    <row r="118" hidden="1">
      <c r="A118" s="196">
        <v>123.0</v>
      </c>
      <c r="B118" s="225">
        <v>25.0</v>
      </c>
      <c r="C118" s="214">
        <v>8.4584228E7</v>
      </c>
      <c r="D118" s="214">
        <v>2.42510313E8</v>
      </c>
      <c r="E118" s="214" t="s">
        <v>1840</v>
      </c>
      <c r="F118" s="99" t="s">
        <v>3099</v>
      </c>
      <c r="G118" s="215"/>
      <c r="H118" s="215" t="str">
        <f>iferror(vlookup(E118,'Kelas XI - X(32)'!$D$11:$H987,3,false),"")</f>
        <v/>
      </c>
      <c r="I118" s="69">
        <v>1.0</v>
      </c>
      <c r="J118" s="222">
        <v>0.0</v>
      </c>
      <c r="K118" s="69">
        <v>0.0</v>
      </c>
      <c r="L118" s="223">
        <f t="shared" si="9"/>
        <v>0</v>
      </c>
      <c r="M118" s="146">
        <f t="shared" si="10"/>
        <v>0</v>
      </c>
      <c r="N118" s="224"/>
      <c r="O118" s="75" t="str">
        <f t="shared" si="13"/>
        <v>B</v>
      </c>
      <c r="P118" s="195"/>
      <c r="Q118" s="105"/>
      <c r="R118" s="105"/>
      <c r="S118" s="105"/>
      <c r="T118" s="105"/>
    </row>
    <row r="119" hidden="1">
      <c r="A119" s="198">
        <v>124.0</v>
      </c>
      <c r="B119" s="225">
        <v>26.0</v>
      </c>
      <c r="C119" s="214">
        <v>9.3556204E7</v>
      </c>
      <c r="D119" s="214">
        <v>2.42510328E8</v>
      </c>
      <c r="E119" s="214" t="s">
        <v>1841</v>
      </c>
      <c r="F119" s="99" t="s">
        <v>3100</v>
      </c>
      <c r="G119" s="215"/>
      <c r="H119" s="215" t="str">
        <f>iferror(vlookup(E119,'Kelas XI - X(32)'!$D$11:$H987,3,false),"")</f>
        <v/>
      </c>
      <c r="I119" s="69">
        <f>iferror(vlookup(E119,'Kelas XI - X(32)'!$D$11:$H987,4,false),"")</f>
        <v>8</v>
      </c>
      <c r="J119" s="223">
        <f>iferror(vlookup(E119,MasterClass!$C$2:$G987,5,false),"")</f>
        <v>1</v>
      </c>
      <c r="K119" s="69">
        <f>iferror(vlookup(E119,'Kelas XI - X(32)'!$D$11:$H987,5,false),"")</f>
        <v>4</v>
      </c>
      <c r="L119" s="223">
        <f t="shared" si="9"/>
        <v>5</v>
      </c>
      <c r="M119" s="146">
        <f t="shared" si="10"/>
        <v>0.5555555556</v>
      </c>
      <c r="N119" s="224"/>
      <c r="O119" s="75" t="str">
        <f t="shared" si="13"/>
        <v>A</v>
      </c>
      <c r="P119" s="195"/>
      <c r="Q119" s="105"/>
      <c r="R119" s="105"/>
      <c r="S119" s="105"/>
      <c r="T119" s="105"/>
    </row>
    <row r="120" hidden="1">
      <c r="A120" s="196">
        <v>125.0</v>
      </c>
      <c r="B120" s="225">
        <v>27.0</v>
      </c>
      <c r="C120" s="214">
        <v>9.9332666E7</v>
      </c>
      <c r="D120" s="214">
        <v>2.42510343E8</v>
      </c>
      <c r="E120" s="214" t="s">
        <v>1842</v>
      </c>
      <c r="F120" s="99" t="s">
        <v>3099</v>
      </c>
      <c r="G120" s="215"/>
      <c r="H120" s="215" t="str">
        <f>iferror(vlookup(E120,'Kelas XI - X(32)'!$D$11:$H987,3,false),"")</f>
        <v/>
      </c>
      <c r="I120" s="69">
        <f>iferror(vlookup(E120,'Kelas XI - X(32)'!$D$11:$H987,4,false),"")</f>
        <v>8</v>
      </c>
      <c r="J120" s="222">
        <v>0.0</v>
      </c>
      <c r="K120" s="69">
        <f>iferror(vlookup(E120,'Kelas XI - X(32)'!$D$11:$H987,5,false),"")</f>
        <v>2</v>
      </c>
      <c r="L120" s="223">
        <f t="shared" si="9"/>
        <v>2</v>
      </c>
      <c r="M120" s="146">
        <f t="shared" si="10"/>
        <v>0.2222222222</v>
      </c>
      <c r="N120" s="224"/>
      <c r="O120" s="75" t="str">
        <f t="shared" si="13"/>
        <v>B</v>
      </c>
      <c r="P120" s="195"/>
      <c r="Q120" s="105"/>
      <c r="R120" s="105"/>
      <c r="S120" s="105"/>
      <c r="T120" s="105"/>
    </row>
    <row r="121" hidden="1">
      <c r="A121" s="198">
        <v>126.0</v>
      </c>
      <c r="B121" s="225">
        <v>28.0</v>
      </c>
      <c r="C121" s="214">
        <v>8.7745551E7</v>
      </c>
      <c r="D121" s="214">
        <v>2.4251035E8</v>
      </c>
      <c r="E121" s="214" t="s">
        <v>1843</v>
      </c>
      <c r="F121" s="99" t="s">
        <v>3099</v>
      </c>
      <c r="G121" s="215"/>
      <c r="H121" s="215" t="str">
        <f>iferror(vlookup(E121,'Kelas XI - X(32)'!$D$11:$H987,3,false),"")</f>
        <v/>
      </c>
      <c r="I121" s="69">
        <f>iferror(vlookup(E121,'Kelas XI - X(32)'!$D$11:$H987,4,false),"")</f>
        <v>4</v>
      </c>
      <c r="J121" s="222">
        <v>0.0</v>
      </c>
      <c r="K121" s="69">
        <f>iferror(vlookup(E121,'Kelas XI - X(32)'!$D$11:$H987,5,false),"")</f>
        <v>3</v>
      </c>
      <c r="L121" s="223">
        <f t="shared" si="9"/>
        <v>3</v>
      </c>
      <c r="M121" s="146">
        <f t="shared" si="10"/>
        <v>0.6</v>
      </c>
      <c r="N121" s="224"/>
      <c r="O121" s="75" t="str">
        <f t="shared" si="13"/>
        <v>A</v>
      </c>
      <c r="P121" s="195"/>
      <c r="Q121" s="105"/>
      <c r="R121" s="105"/>
      <c r="S121" s="105"/>
      <c r="T121" s="105"/>
    </row>
    <row r="122" hidden="1">
      <c r="A122" s="196">
        <v>127.0</v>
      </c>
      <c r="B122" s="225">
        <v>29.0</v>
      </c>
      <c r="C122" s="214">
        <v>8.5930059E7</v>
      </c>
      <c r="D122" s="214">
        <v>2.42510371E8</v>
      </c>
      <c r="E122" s="214" t="s">
        <v>1844</v>
      </c>
      <c r="F122" s="99" t="s">
        <v>3099</v>
      </c>
      <c r="G122" s="215"/>
      <c r="H122" s="215" t="str">
        <f>iferror(vlookup(E122,'Kelas XI - X(32)'!$D$11:$H987,3,false),"")</f>
        <v/>
      </c>
      <c r="I122" s="69">
        <v>1.0</v>
      </c>
      <c r="J122" s="222">
        <v>0.0</v>
      </c>
      <c r="K122" s="69">
        <v>0.0</v>
      </c>
      <c r="L122" s="223">
        <f t="shared" si="9"/>
        <v>0</v>
      </c>
      <c r="M122" s="146">
        <f t="shared" si="10"/>
        <v>0</v>
      </c>
      <c r="N122" s="248" t="s">
        <v>3106</v>
      </c>
      <c r="O122" s="69" t="s">
        <v>1163</v>
      </c>
      <c r="P122" s="195"/>
      <c r="Q122" s="105"/>
      <c r="R122" s="105"/>
      <c r="S122" s="105"/>
      <c r="T122" s="105"/>
    </row>
    <row r="123" hidden="1">
      <c r="A123" s="198">
        <v>128.0</v>
      </c>
      <c r="B123" s="225">
        <v>30.0</v>
      </c>
      <c r="C123" s="214">
        <v>9.6344538E7</v>
      </c>
      <c r="D123" s="214">
        <v>2.42510373E8</v>
      </c>
      <c r="E123" s="214" t="s">
        <v>1845</v>
      </c>
      <c r="F123" s="99" t="s">
        <v>3100</v>
      </c>
      <c r="G123" s="215"/>
      <c r="H123" s="215" t="str">
        <f>iferror(vlookup(E123,'Kelas XI - X(32)'!$D$11:$H987,3,false),"")</f>
        <v/>
      </c>
      <c r="I123" s="69">
        <f>iferror(vlookup(E123,'Kelas XI - X(32)'!$D$11:$H987,4,false),"")</f>
        <v>8</v>
      </c>
      <c r="J123" s="222">
        <v>0.0</v>
      </c>
      <c r="K123" s="69">
        <v>0.0</v>
      </c>
      <c r="L123" s="223">
        <f t="shared" si="9"/>
        <v>0</v>
      </c>
      <c r="M123" s="146">
        <f t="shared" si="10"/>
        <v>0</v>
      </c>
      <c r="N123" s="224"/>
      <c r="O123" s="75" t="str">
        <f t="shared" ref="O123:O129" si="14">IF(M123&gt;=50%,"A","B")</f>
        <v>B</v>
      </c>
      <c r="P123" s="195"/>
      <c r="Q123" s="105"/>
      <c r="R123" s="105"/>
      <c r="S123" s="105"/>
      <c r="T123" s="105"/>
    </row>
    <row r="124" hidden="1">
      <c r="A124" s="196">
        <v>129.0</v>
      </c>
      <c r="B124" s="225">
        <v>31.0</v>
      </c>
      <c r="C124" s="214">
        <v>9.6480588E7</v>
      </c>
      <c r="D124" s="214">
        <v>2.42510395E8</v>
      </c>
      <c r="E124" s="214" t="s">
        <v>1846</v>
      </c>
      <c r="F124" s="99" t="s">
        <v>3100</v>
      </c>
      <c r="G124" s="215"/>
      <c r="H124" s="215" t="str">
        <f>iferror(vlookup(E124,'Kelas XI - X(32)'!$D$11:$H987,3,false),"")</f>
        <v>Najmi</v>
      </c>
      <c r="I124" s="69">
        <f>iferror(vlookup(E124,'Kelas XI - X(32)'!$D$11:$H987,4,false),"")</f>
        <v>5</v>
      </c>
      <c r="J124" s="223">
        <f>iferror(vlookup(E124,MasterClass!$C$2:$G987,5,false),"")</f>
        <v>1</v>
      </c>
      <c r="K124" s="69">
        <f>iferror(vlookup(E124,'Kelas XI - X(32)'!$D$11:$H987,5,false),"")</f>
        <v>5</v>
      </c>
      <c r="L124" s="223">
        <f t="shared" si="9"/>
        <v>6</v>
      </c>
      <c r="M124" s="146">
        <f t="shared" si="10"/>
        <v>1</v>
      </c>
      <c r="N124" s="224"/>
      <c r="O124" s="75" t="str">
        <f t="shared" si="14"/>
        <v>A</v>
      </c>
      <c r="P124" s="195"/>
      <c r="Q124" s="105"/>
      <c r="R124" s="105"/>
      <c r="S124" s="105"/>
      <c r="T124" s="105"/>
    </row>
    <row r="125" hidden="1">
      <c r="A125" s="198">
        <v>130.0</v>
      </c>
      <c r="B125" s="225">
        <v>32.0</v>
      </c>
      <c r="C125" s="214">
        <v>9.4958254E7</v>
      </c>
      <c r="D125" s="214">
        <v>2.42510405E8</v>
      </c>
      <c r="E125" s="214" t="s">
        <v>1847</v>
      </c>
      <c r="F125" s="99" t="s">
        <v>3100</v>
      </c>
      <c r="G125" s="215"/>
      <c r="H125" s="215" t="str">
        <f>iferror(vlookup(E125,'Kelas XI - X(32)'!$D$11:$H987,3,false),"")</f>
        <v/>
      </c>
      <c r="I125" s="69">
        <f>iferror(vlookup(E125,'Kelas XI - X(32)'!$D$11:$H987,4,false),"")</f>
        <v>4</v>
      </c>
      <c r="J125" s="222">
        <v>0.0</v>
      </c>
      <c r="K125" s="69">
        <v>0.0</v>
      </c>
      <c r="L125" s="223">
        <f t="shared" si="9"/>
        <v>0</v>
      </c>
      <c r="M125" s="146">
        <f t="shared" si="10"/>
        <v>0</v>
      </c>
      <c r="N125" s="224"/>
      <c r="O125" s="75" t="str">
        <f t="shared" si="14"/>
        <v>B</v>
      </c>
      <c r="P125" s="195"/>
      <c r="Q125" s="105"/>
      <c r="R125" s="105"/>
      <c r="S125" s="105"/>
      <c r="T125" s="105"/>
    </row>
    <row r="126" hidden="1">
      <c r="A126" s="196">
        <v>131.0</v>
      </c>
      <c r="B126" s="225">
        <v>33.0</v>
      </c>
      <c r="C126" s="214">
        <v>8.5108715E7</v>
      </c>
      <c r="D126" s="214">
        <v>2.42510408E8</v>
      </c>
      <c r="E126" s="214" t="s">
        <v>1848</v>
      </c>
      <c r="F126" s="99" t="s">
        <v>3099</v>
      </c>
      <c r="G126" s="215"/>
      <c r="H126" s="215" t="str">
        <f>iferror(vlookup(E126,'Kelas XI - X(32)'!$D$11:$H987,3,false),"")</f>
        <v/>
      </c>
      <c r="I126" s="69">
        <v>1.0</v>
      </c>
      <c r="J126" s="222">
        <v>0.0</v>
      </c>
      <c r="K126" s="69">
        <v>0.0</v>
      </c>
      <c r="L126" s="223">
        <f t="shared" si="9"/>
        <v>0</v>
      </c>
      <c r="M126" s="146">
        <f t="shared" si="10"/>
        <v>0</v>
      </c>
      <c r="N126" s="224"/>
      <c r="O126" s="75" t="str">
        <f t="shared" si="14"/>
        <v>B</v>
      </c>
      <c r="P126" s="195"/>
      <c r="Q126" s="105"/>
      <c r="R126" s="105"/>
      <c r="S126" s="105"/>
      <c r="T126" s="105"/>
    </row>
    <row r="127" hidden="1">
      <c r="A127" s="198">
        <v>132.0</v>
      </c>
      <c r="B127" s="225">
        <v>34.0</v>
      </c>
      <c r="C127" s="214">
        <v>8.9237233E7</v>
      </c>
      <c r="D127" s="214">
        <v>2.42510409E8</v>
      </c>
      <c r="E127" s="214" t="s">
        <v>1849</v>
      </c>
      <c r="F127" s="99" t="s">
        <v>3100</v>
      </c>
      <c r="G127" s="215"/>
      <c r="H127" s="215" t="str">
        <f>iferror(vlookup(E127,'Kelas XI - X(32)'!$D$11:$H987,3,false),"")</f>
        <v/>
      </c>
      <c r="I127" s="69">
        <f>iferror(vlookup(E127,'Kelas XI - X(32)'!$D$11:$H987,4,false),"")</f>
        <v>8</v>
      </c>
      <c r="J127" s="223">
        <f>iferror(vlookup(E127,MasterClass!$C$2:$G987,5,false),"")</f>
        <v>1</v>
      </c>
      <c r="K127" s="69">
        <f>iferror(vlookup(E127,'Kelas XI - X(32)'!$D$11:$H987,5,false),"")</f>
        <v>5</v>
      </c>
      <c r="L127" s="223">
        <f t="shared" si="9"/>
        <v>6</v>
      </c>
      <c r="M127" s="146">
        <f t="shared" si="10"/>
        <v>0.6666666667</v>
      </c>
      <c r="N127" s="224"/>
      <c r="O127" s="75" t="str">
        <f t="shared" si="14"/>
        <v>A</v>
      </c>
      <c r="P127" s="195"/>
      <c r="Q127" s="105"/>
      <c r="R127" s="105"/>
      <c r="S127" s="105"/>
      <c r="T127" s="105"/>
    </row>
    <row r="128" hidden="1">
      <c r="A128" s="196">
        <v>133.0</v>
      </c>
      <c r="B128" s="225">
        <v>35.0</v>
      </c>
      <c r="C128" s="214">
        <v>9.8438052E7</v>
      </c>
      <c r="D128" s="214">
        <v>2.42510417E8</v>
      </c>
      <c r="E128" s="214" t="s">
        <v>1850</v>
      </c>
      <c r="F128" s="99" t="s">
        <v>3100</v>
      </c>
      <c r="G128" s="215"/>
      <c r="H128" s="215" t="str">
        <f>iferror(vlookup(E128,'Kelas XI - X(32)'!$D$11:$H987,3,false),"")</f>
        <v/>
      </c>
      <c r="I128" s="69">
        <f>iferror(vlookup(E128,'Kelas XI - X(32)'!$D$11:$H987,4,false),"")</f>
        <v>6</v>
      </c>
      <c r="J128" s="222">
        <v>0.0</v>
      </c>
      <c r="K128" s="69">
        <f>iferror(vlookup(E128,'Kelas XI - X(32)'!$D$11:$H987,5,false),"")</f>
        <v>1</v>
      </c>
      <c r="L128" s="223">
        <f t="shared" si="9"/>
        <v>1</v>
      </c>
      <c r="M128" s="146">
        <f t="shared" si="10"/>
        <v>0.1428571429</v>
      </c>
      <c r="N128" s="224"/>
      <c r="O128" s="75" t="str">
        <f t="shared" si="14"/>
        <v>B</v>
      </c>
      <c r="P128" s="195"/>
      <c r="Q128" s="105"/>
      <c r="R128" s="105"/>
      <c r="S128" s="105"/>
      <c r="T128" s="105"/>
    </row>
    <row r="129" hidden="1">
      <c r="A129" s="198">
        <v>134.0</v>
      </c>
      <c r="B129" s="225">
        <v>36.0</v>
      </c>
      <c r="C129" s="214">
        <v>8.2801587E7</v>
      </c>
      <c r="D129" s="214">
        <v>2.42510421E8</v>
      </c>
      <c r="E129" s="214" t="s">
        <v>1851</v>
      </c>
      <c r="F129" s="99" t="s">
        <v>3100</v>
      </c>
      <c r="G129" s="215"/>
      <c r="H129" s="215" t="str">
        <f>iferror(vlookup(E129,'Kelas XI - X(32)'!$D$11:$H987,3,false),"")</f>
        <v/>
      </c>
      <c r="I129" s="69">
        <f>iferror(vlookup(E129,'Kelas XI - X(32)'!$D$11:$H987,4,false),"")</f>
        <v>7</v>
      </c>
      <c r="J129" s="222">
        <v>0.0</v>
      </c>
      <c r="K129" s="69">
        <f>iferror(vlookup(E129,'Kelas XI - X(32)'!$D$11:$H987,5,false),"")</f>
        <v>3</v>
      </c>
      <c r="L129" s="223">
        <f t="shared" si="9"/>
        <v>3</v>
      </c>
      <c r="M129" s="146">
        <f t="shared" si="10"/>
        <v>0.375</v>
      </c>
      <c r="N129" s="224"/>
      <c r="O129" s="75" t="str">
        <f t="shared" si="14"/>
        <v>B</v>
      </c>
      <c r="P129" s="195"/>
      <c r="Q129" s="105"/>
      <c r="R129" s="105"/>
      <c r="S129" s="105"/>
      <c r="T129" s="105"/>
    </row>
    <row r="130" hidden="1">
      <c r="A130" s="196">
        <v>135.0</v>
      </c>
      <c r="B130" s="227"/>
      <c r="C130" s="214"/>
      <c r="D130" s="228"/>
      <c r="E130" s="214"/>
      <c r="F130" s="228"/>
      <c r="G130" s="228"/>
      <c r="H130" s="228"/>
      <c r="I130" s="229"/>
      <c r="J130" s="229"/>
      <c r="K130" s="229"/>
      <c r="L130" s="229"/>
      <c r="M130" s="229"/>
      <c r="N130" s="230"/>
      <c r="O130" s="231"/>
      <c r="P130" s="195"/>
      <c r="Q130" s="105"/>
      <c r="R130" s="105"/>
      <c r="S130" s="105"/>
      <c r="T130" s="105"/>
    </row>
    <row r="131" hidden="1">
      <c r="A131" s="198">
        <v>136.0</v>
      </c>
      <c r="B131" s="227"/>
      <c r="C131" s="214"/>
      <c r="D131" s="228"/>
      <c r="E131" s="214"/>
      <c r="F131" s="228"/>
      <c r="G131" s="228"/>
      <c r="H131" s="228"/>
      <c r="I131" s="229"/>
      <c r="J131" s="229"/>
      <c r="K131" s="229"/>
      <c r="L131" s="229"/>
      <c r="M131" s="229"/>
      <c r="N131" s="230"/>
      <c r="O131" s="231"/>
      <c r="P131" s="195"/>
      <c r="Q131" s="105"/>
      <c r="R131" s="105"/>
      <c r="S131" s="105"/>
      <c r="T131" s="105"/>
    </row>
    <row r="132" hidden="1">
      <c r="A132" s="196">
        <v>137.0</v>
      </c>
      <c r="B132" s="227"/>
      <c r="C132" s="214"/>
      <c r="D132" s="228"/>
      <c r="E132" s="214"/>
      <c r="F132" s="228"/>
      <c r="G132" s="228"/>
      <c r="H132" s="228"/>
      <c r="I132" s="229"/>
      <c r="J132" s="229"/>
      <c r="K132" s="229"/>
      <c r="L132" s="229"/>
      <c r="M132" s="229"/>
      <c r="N132" s="228"/>
      <c r="O132" s="229"/>
      <c r="P132" s="195"/>
      <c r="Q132" s="105"/>
      <c r="R132" s="105"/>
      <c r="S132" s="105"/>
      <c r="T132" s="105"/>
    </row>
    <row r="133" hidden="1">
      <c r="A133" s="198">
        <v>138.0</v>
      </c>
      <c r="B133" s="249"/>
      <c r="C133" s="241"/>
      <c r="D133" s="241"/>
      <c r="E133" s="241"/>
      <c r="F133" s="241"/>
      <c r="G133" s="241"/>
      <c r="H133" s="241"/>
      <c r="I133" s="242"/>
      <c r="J133" s="242"/>
      <c r="K133" s="242"/>
      <c r="L133" s="242"/>
      <c r="M133" s="242"/>
      <c r="N133" s="241"/>
      <c r="O133" s="242"/>
      <c r="P133" s="195"/>
      <c r="Q133" s="105"/>
      <c r="R133" s="105"/>
      <c r="S133" s="105"/>
      <c r="T133" s="105"/>
    </row>
    <row r="134">
      <c r="A134" s="196">
        <v>141.0</v>
      </c>
      <c r="B134" s="243" t="s">
        <v>1852</v>
      </c>
      <c r="C134" s="9"/>
      <c r="D134" s="9"/>
      <c r="E134" s="10"/>
      <c r="F134" s="244"/>
      <c r="G134" s="244"/>
      <c r="H134" s="244"/>
      <c r="I134" s="245"/>
      <c r="J134" s="245"/>
      <c r="K134" s="245"/>
      <c r="L134" s="245"/>
      <c r="M134" s="245"/>
      <c r="N134" s="244"/>
      <c r="O134" s="245"/>
      <c r="P134" s="195"/>
      <c r="Q134" s="105"/>
      <c r="R134" s="105"/>
      <c r="S134" s="105"/>
      <c r="T134" s="105"/>
    </row>
    <row r="135" hidden="1">
      <c r="A135" s="198">
        <v>142.0</v>
      </c>
      <c r="B135" s="250" t="s">
        <v>1853</v>
      </c>
      <c r="C135" s="9"/>
      <c r="D135" s="9"/>
      <c r="E135" s="10"/>
      <c r="F135" s="251"/>
      <c r="G135" s="251"/>
      <c r="H135" s="251"/>
      <c r="I135" s="252"/>
      <c r="J135" s="252"/>
      <c r="K135" s="252"/>
      <c r="L135" s="252"/>
      <c r="M135" s="252"/>
      <c r="N135" s="251"/>
      <c r="O135" s="252"/>
      <c r="P135" s="195"/>
      <c r="Q135" s="105"/>
      <c r="R135" s="105"/>
      <c r="S135" s="105"/>
      <c r="T135" s="105"/>
    </row>
    <row r="136" hidden="1">
      <c r="A136" s="196">
        <v>143.0</v>
      </c>
      <c r="B136" s="253" t="s">
        <v>1735</v>
      </c>
      <c r="C136" s="253" t="s">
        <v>1736</v>
      </c>
      <c r="D136" s="253" t="s">
        <v>1737</v>
      </c>
      <c r="E136" s="253" t="s">
        <v>1738</v>
      </c>
      <c r="F136" s="254" t="s">
        <v>1815</v>
      </c>
      <c r="G136" s="255"/>
      <c r="H136" s="255"/>
      <c r="I136" s="256" t="s">
        <v>3097</v>
      </c>
      <c r="J136" s="9"/>
      <c r="K136" s="9"/>
      <c r="L136" s="9"/>
      <c r="M136" s="9"/>
      <c r="N136" s="9"/>
      <c r="O136" s="10"/>
      <c r="P136" s="195"/>
      <c r="Q136" s="105"/>
      <c r="R136" s="105"/>
      <c r="S136" s="105"/>
      <c r="T136" s="105"/>
    </row>
    <row r="137" hidden="1">
      <c r="A137" s="198">
        <v>144.0</v>
      </c>
      <c r="B137" s="201"/>
      <c r="C137" s="201"/>
      <c r="D137" s="201"/>
      <c r="E137" s="201"/>
      <c r="F137" s="205"/>
      <c r="G137" s="190"/>
      <c r="H137" s="190" t="s">
        <v>2483</v>
      </c>
      <c r="I137" s="206" t="s">
        <v>3094</v>
      </c>
      <c r="J137" s="207" t="s">
        <v>3095</v>
      </c>
      <c r="K137" s="208" t="s">
        <v>3096</v>
      </c>
      <c r="L137" s="207" t="s">
        <v>3098</v>
      </c>
      <c r="M137" s="209" t="s">
        <v>18</v>
      </c>
      <c r="N137" s="210" t="s">
        <v>2491</v>
      </c>
      <c r="O137" s="211" t="s">
        <v>19</v>
      </c>
      <c r="P137" s="195"/>
      <c r="Q137" s="105"/>
      <c r="R137" s="105"/>
      <c r="S137" s="105"/>
      <c r="T137" s="105"/>
    </row>
    <row r="138" hidden="1">
      <c r="A138" s="196">
        <v>145.0</v>
      </c>
      <c r="B138" s="234">
        <v>1.0</v>
      </c>
      <c r="C138" s="104" t="s">
        <v>1854</v>
      </c>
      <c r="D138" s="246"/>
      <c r="E138" s="104" t="s">
        <v>1855</v>
      </c>
      <c r="F138" s="246" t="s">
        <v>3099</v>
      </c>
      <c r="G138" s="235"/>
      <c r="H138" s="235" t="str">
        <f>iferror(vlookup(E138,'Kelas XI - X(32)'!$D$11:$H987,3,false),"")</f>
        <v>Kia</v>
      </c>
      <c r="I138" s="150">
        <f>iferror(vlookup(E138,'Kelas XI - X(32)'!$D$11:$H987,4,false),"")</f>
        <v>7</v>
      </c>
      <c r="J138" s="217">
        <f>iferror(vlookup(E138,MasterClass!$C$2:$G987,5,false),"")</f>
        <v>1</v>
      </c>
      <c r="K138" s="150">
        <v>0.0</v>
      </c>
      <c r="L138" s="217">
        <f t="shared" ref="L138:L173" si="15">K138+J138</f>
        <v>1</v>
      </c>
      <c r="M138" s="218">
        <f t="shared" ref="M138:M173" si="16">(K138+J138)/(I138+1)</f>
        <v>0.125</v>
      </c>
      <c r="N138" s="219"/>
      <c r="O138" s="75" t="str">
        <f t="shared" ref="O138:O141" si="17">IF(M138&gt;=50%,"A","B")</f>
        <v>B</v>
      </c>
      <c r="P138" s="195"/>
      <c r="Q138" s="105"/>
      <c r="R138" s="105"/>
      <c r="S138" s="105"/>
      <c r="T138" s="105"/>
    </row>
    <row r="139" hidden="1">
      <c r="A139" s="198">
        <v>146.0</v>
      </c>
      <c r="B139" s="234">
        <v>2.0</v>
      </c>
      <c r="C139" s="104" t="s">
        <v>1856</v>
      </c>
      <c r="D139" s="246"/>
      <c r="E139" s="104" t="s">
        <v>1857</v>
      </c>
      <c r="F139" s="246" t="s">
        <v>3099</v>
      </c>
      <c r="G139" s="235"/>
      <c r="H139" s="235" t="str">
        <f>iferror(vlookup(E139,'Kelas XI - X(32)'!$D$11:$H987,3,false),"")</f>
        <v/>
      </c>
      <c r="I139" s="150">
        <v>1.0</v>
      </c>
      <c r="J139" s="217">
        <f>iferror(vlookup(E139,MasterClass!$C$2:$G987,5,false),"")</f>
        <v>1</v>
      </c>
      <c r="K139" s="150">
        <v>0.0</v>
      </c>
      <c r="L139" s="217">
        <f t="shared" si="15"/>
        <v>1</v>
      </c>
      <c r="M139" s="218">
        <f t="shared" si="16"/>
        <v>0.5</v>
      </c>
      <c r="N139" s="219"/>
      <c r="O139" s="75" t="str">
        <f t="shared" si="17"/>
        <v>A</v>
      </c>
      <c r="P139" s="195"/>
      <c r="Q139" s="105"/>
      <c r="R139" s="105"/>
      <c r="S139" s="105"/>
      <c r="T139" s="105"/>
    </row>
    <row r="140" hidden="1">
      <c r="A140" s="196">
        <v>147.0</v>
      </c>
      <c r="B140" s="234">
        <v>3.0</v>
      </c>
      <c r="C140" s="104" t="s">
        <v>1858</v>
      </c>
      <c r="D140" s="246"/>
      <c r="E140" s="104" t="s">
        <v>1859</v>
      </c>
      <c r="F140" s="246" t="s">
        <v>3100</v>
      </c>
      <c r="G140" s="235"/>
      <c r="H140" s="235" t="str">
        <f>iferror(vlookup(E140,'Kelas XI - X(32)'!$D$11:$H987,3,false),"")</f>
        <v/>
      </c>
      <c r="I140" s="150">
        <f>iferror(vlookup(E140,'Kelas XI - X(32)'!$D$11:$H987,4,false),"")</f>
        <v>7</v>
      </c>
      <c r="J140" s="216">
        <v>0.0</v>
      </c>
      <c r="K140" s="150">
        <v>0.0</v>
      </c>
      <c r="L140" s="217">
        <f t="shared" si="15"/>
        <v>0</v>
      </c>
      <c r="M140" s="218">
        <f t="shared" si="16"/>
        <v>0</v>
      </c>
      <c r="N140" s="219"/>
      <c r="O140" s="75" t="str">
        <f t="shared" si="17"/>
        <v>B</v>
      </c>
      <c r="P140" s="195"/>
      <c r="Q140" s="105"/>
      <c r="R140" s="105"/>
      <c r="S140" s="105"/>
      <c r="T140" s="105"/>
    </row>
    <row r="141" hidden="1">
      <c r="A141" s="198">
        <v>148.0</v>
      </c>
      <c r="B141" s="234">
        <v>4.0</v>
      </c>
      <c r="C141" s="104" t="s">
        <v>1860</v>
      </c>
      <c r="D141" s="246"/>
      <c r="E141" s="104" t="s">
        <v>1861</v>
      </c>
      <c r="F141" s="246" t="s">
        <v>3100</v>
      </c>
      <c r="G141" s="235"/>
      <c r="H141" s="235" t="str">
        <f>iferror(vlookup(E141,'Kelas XI - X(32)'!$D$11:$H987,3,false),"")</f>
        <v/>
      </c>
      <c r="I141" s="150">
        <f>iferror(vlookup(E141,'Kelas XI - X(32)'!$D$11:$H987,4,false),"")</f>
        <v>7</v>
      </c>
      <c r="J141" s="217">
        <f>iferror(vlookup(E141,MasterClass!$C$2:$G987,5,false),"")</f>
        <v>1</v>
      </c>
      <c r="K141" s="150">
        <f>iferror(vlookup(E141,'Kelas XI - X(32)'!$D$11:$H987,5,false),"")</f>
        <v>2</v>
      </c>
      <c r="L141" s="217">
        <f t="shared" si="15"/>
        <v>3</v>
      </c>
      <c r="M141" s="218">
        <f t="shared" si="16"/>
        <v>0.375</v>
      </c>
      <c r="N141" s="219"/>
      <c r="O141" s="75" t="str">
        <f t="shared" si="17"/>
        <v>B</v>
      </c>
      <c r="P141" s="195"/>
      <c r="Q141" s="105"/>
      <c r="R141" s="105"/>
      <c r="S141" s="105"/>
      <c r="T141" s="105"/>
    </row>
    <row r="142" hidden="1">
      <c r="A142" s="196">
        <v>149.0</v>
      </c>
      <c r="B142" s="234">
        <v>5.0</v>
      </c>
      <c r="C142" s="104" t="s">
        <v>1862</v>
      </c>
      <c r="D142" s="246"/>
      <c r="E142" s="104" t="s">
        <v>1863</v>
      </c>
      <c r="F142" s="246" t="s">
        <v>3100</v>
      </c>
      <c r="G142" s="235"/>
      <c r="H142" s="235" t="str">
        <f>iferror(vlookup(E142,'Kelas XI - X(32)'!$D$11:$H987,3,false),"")</f>
        <v/>
      </c>
      <c r="I142" s="150">
        <f>iferror(vlookup(E142,'Kelas XI - X(32)'!$D$11:$H987,4,false),"")</f>
        <v>7</v>
      </c>
      <c r="J142" s="216">
        <v>0.0</v>
      </c>
      <c r="K142" s="150">
        <f>iferror(vlookup(E142,'Kelas XI - X(32)'!$D$11:$H987,5,false),"")</f>
        <v>0</v>
      </c>
      <c r="L142" s="217">
        <f t="shared" si="15"/>
        <v>0</v>
      </c>
      <c r="M142" s="218">
        <f t="shared" si="16"/>
        <v>0</v>
      </c>
      <c r="N142" s="257" t="s">
        <v>3106</v>
      </c>
      <c r="O142" s="69" t="s">
        <v>1163</v>
      </c>
      <c r="P142" s="195"/>
      <c r="Q142" s="105"/>
      <c r="R142" s="105"/>
      <c r="S142" s="105"/>
      <c r="T142" s="105"/>
    </row>
    <row r="143" hidden="1">
      <c r="A143" s="198">
        <v>150.0</v>
      </c>
      <c r="B143" s="234">
        <v>6.0</v>
      </c>
      <c r="C143" s="104" t="s">
        <v>1864</v>
      </c>
      <c r="D143" s="246"/>
      <c r="E143" s="104" t="s">
        <v>1865</v>
      </c>
      <c r="F143" s="246" t="s">
        <v>3099</v>
      </c>
      <c r="G143" s="235"/>
      <c r="H143" s="235" t="str">
        <f>iferror(vlookup(E143,'Kelas XI - X(32)'!$D$11:$H987,3,false),"")</f>
        <v/>
      </c>
      <c r="I143" s="150">
        <f>iferror(vlookup(E143,'Kelas XI - X(32)'!$D$11:$H987,4,false),"")</f>
        <v>8</v>
      </c>
      <c r="J143" s="216">
        <v>0.0</v>
      </c>
      <c r="K143" s="150">
        <f>iferror(vlookup(E143,'Kelas XI - X(32)'!$D$11:$H987,5,false),"")</f>
        <v>0</v>
      </c>
      <c r="L143" s="217">
        <f t="shared" si="15"/>
        <v>0</v>
      </c>
      <c r="M143" s="218">
        <f t="shared" si="16"/>
        <v>0</v>
      </c>
      <c r="N143" s="219"/>
      <c r="O143" s="75" t="str">
        <f t="shared" ref="O143:O146" si="18">IF(M143&gt;=50%,"A","B")</f>
        <v>B</v>
      </c>
      <c r="P143" s="195"/>
      <c r="Q143" s="105"/>
      <c r="R143" s="105"/>
      <c r="S143" s="105"/>
      <c r="T143" s="105"/>
    </row>
    <row r="144" hidden="1">
      <c r="A144" s="196">
        <v>151.0</v>
      </c>
      <c r="B144" s="234">
        <v>7.0</v>
      </c>
      <c r="C144" s="104" t="s">
        <v>1866</v>
      </c>
      <c r="D144" s="246"/>
      <c r="E144" s="104" t="s">
        <v>1867</v>
      </c>
      <c r="F144" s="246" t="s">
        <v>3100</v>
      </c>
      <c r="G144" s="235"/>
      <c r="H144" s="235" t="str">
        <f>iferror(vlookup(E144,'Kelas XI - X(32)'!$D$11:$H987,3,false),"")</f>
        <v/>
      </c>
      <c r="I144" s="150">
        <v>1.0</v>
      </c>
      <c r="J144" s="217">
        <f>iferror(vlookup(E144,MasterClass!$C$2:$G987,5,false),"")</f>
        <v>1</v>
      </c>
      <c r="K144" s="150">
        <v>0.0</v>
      </c>
      <c r="L144" s="217">
        <f t="shared" si="15"/>
        <v>1</v>
      </c>
      <c r="M144" s="218">
        <f t="shared" si="16"/>
        <v>0.5</v>
      </c>
      <c r="N144" s="219"/>
      <c r="O144" s="75" t="str">
        <f t="shared" si="18"/>
        <v>A</v>
      </c>
      <c r="P144" s="195"/>
      <c r="Q144" s="105"/>
      <c r="R144" s="105"/>
      <c r="S144" s="105"/>
      <c r="T144" s="105"/>
    </row>
    <row r="145" hidden="1">
      <c r="A145" s="198">
        <v>152.0</v>
      </c>
      <c r="B145" s="212">
        <v>8.0</v>
      </c>
      <c r="C145" s="213" t="s">
        <v>1868</v>
      </c>
      <c r="D145" s="258"/>
      <c r="E145" s="213" t="s">
        <v>1869</v>
      </c>
      <c r="F145" s="99" t="s">
        <v>3099</v>
      </c>
      <c r="G145" s="215"/>
      <c r="H145" s="215" t="str">
        <f>iferror(vlookup(E145,'Kelas XI - X(32)'!$D$11:$H987,3,false),"")</f>
        <v/>
      </c>
      <c r="I145" s="69">
        <v>1.0</v>
      </c>
      <c r="J145" s="217">
        <f>iferror(vlookup(E145,MasterClass!$C$2:$G987,5,false),"")</f>
        <v>1</v>
      </c>
      <c r="K145" s="150">
        <v>0.0</v>
      </c>
      <c r="L145" s="217">
        <f t="shared" si="15"/>
        <v>1</v>
      </c>
      <c r="M145" s="218">
        <f t="shared" si="16"/>
        <v>0.5</v>
      </c>
      <c r="N145" s="219"/>
      <c r="O145" s="75" t="str">
        <f t="shared" si="18"/>
        <v>A</v>
      </c>
      <c r="P145" s="195"/>
      <c r="Q145" s="105"/>
      <c r="R145" s="105"/>
      <c r="S145" s="105"/>
      <c r="T145" s="105"/>
    </row>
    <row r="146" hidden="1">
      <c r="A146" s="196">
        <v>153.0</v>
      </c>
      <c r="B146" s="220">
        <v>9.0</v>
      </c>
      <c r="C146" s="221" t="s">
        <v>1870</v>
      </c>
      <c r="D146" s="259"/>
      <c r="E146" s="221" t="s">
        <v>1871</v>
      </c>
      <c r="F146" s="99" t="s">
        <v>3099</v>
      </c>
      <c r="G146" s="215"/>
      <c r="H146" s="215" t="str">
        <f>iferror(vlookup(E146,'Kelas XI - X(32)'!$D$11:$H987,3,false),"")</f>
        <v/>
      </c>
      <c r="I146" s="69">
        <f>iferror(vlookup(E146,'Kelas XI - X(32)'!$D$11:$H987,4,false),"")</f>
        <v>8</v>
      </c>
      <c r="J146" s="223" t="str">
        <f>iferror(vlookup(E146,MasterClass!$C$2:$G987,5,false),"")</f>
        <v/>
      </c>
      <c r="K146" s="69">
        <f>iferror(vlookup(E146,'Kelas XI - X(32)'!$D$11:$H987,5,false),"")</f>
        <v>2</v>
      </c>
      <c r="L146" s="223">
        <f t="shared" si="15"/>
        <v>2</v>
      </c>
      <c r="M146" s="146">
        <f t="shared" si="16"/>
        <v>0.2222222222</v>
      </c>
      <c r="N146" s="224"/>
      <c r="O146" s="75" t="str">
        <f t="shared" si="18"/>
        <v>B</v>
      </c>
      <c r="P146" s="195"/>
      <c r="Q146" s="105"/>
      <c r="R146" s="105"/>
      <c r="S146" s="105"/>
      <c r="T146" s="105"/>
    </row>
    <row r="147" hidden="1">
      <c r="A147" s="198">
        <v>154.0</v>
      </c>
      <c r="B147" s="225">
        <v>10.0</v>
      </c>
      <c r="C147" s="214" t="s">
        <v>1872</v>
      </c>
      <c r="D147" s="99"/>
      <c r="E147" s="214" t="s">
        <v>1873</v>
      </c>
      <c r="F147" s="99" t="s">
        <v>3100</v>
      </c>
      <c r="G147" s="215"/>
      <c r="H147" s="215" t="str">
        <f>iferror(vlookup(E147,'Kelas XI - X(32)'!$D$11:$H987,3,false),"")</f>
        <v>Ukhti</v>
      </c>
      <c r="I147" s="69">
        <f>iferror(vlookup(E147,'Kelas XI - X(32)'!$D$11:$H987,4,false),"")</f>
        <v>13</v>
      </c>
      <c r="J147" s="223">
        <f>iferror(vlookup(E147,MasterClass!$C$2:$G987,5,false),"")</f>
        <v>1</v>
      </c>
      <c r="K147" s="69">
        <f>iferror(vlookup(E147,'Kelas XI - X(32)'!$D$11:$H987,5,false),"")</f>
        <v>10</v>
      </c>
      <c r="L147" s="223">
        <f t="shared" si="15"/>
        <v>11</v>
      </c>
      <c r="M147" s="146">
        <f t="shared" si="16"/>
        <v>0.7857142857</v>
      </c>
      <c r="N147" s="236" t="s">
        <v>3107</v>
      </c>
      <c r="O147" s="69" t="s">
        <v>1163</v>
      </c>
      <c r="P147" s="195"/>
      <c r="Q147" s="105"/>
      <c r="R147" s="105"/>
      <c r="S147" s="105"/>
      <c r="T147" s="105"/>
    </row>
    <row r="148" hidden="1">
      <c r="A148" s="196">
        <v>155.0</v>
      </c>
      <c r="B148" s="225">
        <v>11.0</v>
      </c>
      <c r="C148" s="214" t="s">
        <v>1874</v>
      </c>
      <c r="D148" s="99"/>
      <c r="E148" s="214" t="s">
        <v>1875</v>
      </c>
      <c r="F148" s="99" t="s">
        <v>3099</v>
      </c>
      <c r="G148" s="215"/>
      <c r="H148" s="215" t="str">
        <f>iferror(vlookup(E148,'Kelas XI - X(32)'!$D$11:$H987,3,false),"")</f>
        <v/>
      </c>
      <c r="I148" s="69">
        <f>iferror(vlookup(E148,'Kelas XI - X(32)'!$D$11:$H987,4,false),"")</f>
        <v>7</v>
      </c>
      <c r="J148" s="223">
        <f>iferror(vlookup(E148,MasterClass!$C$2:$G987,5,false),"")</f>
        <v>1</v>
      </c>
      <c r="K148" s="69">
        <f>iferror(vlookup(E148,'Kelas XI - X(32)'!$D$11:$H987,5,false),"")</f>
        <v>5</v>
      </c>
      <c r="L148" s="223">
        <f t="shared" si="15"/>
        <v>6</v>
      </c>
      <c r="M148" s="146">
        <f t="shared" si="16"/>
        <v>0.75</v>
      </c>
      <c r="N148" s="224"/>
      <c r="O148" s="75" t="str">
        <f t="shared" ref="O148:O149" si="19">IF(M148&gt;=50%,"A","B")</f>
        <v>A</v>
      </c>
      <c r="P148" s="195"/>
      <c r="Q148" s="105"/>
      <c r="R148" s="105"/>
      <c r="S148" s="105"/>
      <c r="T148" s="105"/>
    </row>
    <row r="149" hidden="1">
      <c r="A149" s="198">
        <v>156.0</v>
      </c>
      <c r="B149" s="225">
        <v>12.0</v>
      </c>
      <c r="C149" s="214" t="s">
        <v>1876</v>
      </c>
      <c r="D149" s="99"/>
      <c r="E149" s="214" t="s">
        <v>1877</v>
      </c>
      <c r="F149" s="99" t="s">
        <v>3099</v>
      </c>
      <c r="G149" s="215"/>
      <c r="H149" s="215" t="str">
        <f>iferror(vlookup(E149,'Kelas XI - X(32)'!$D$11:$H987,3,false),"")</f>
        <v>Najmi</v>
      </c>
      <c r="I149" s="69">
        <f>iferror(vlookup(E149,'Kelas XI - X(32)'!$D$11:$H987,4,false),"")</f>
        <v>5</v>
      </c>
      <c r="J149" s="222">
        <v>0.0</v>
      </c>
      <c r="K149" s="69">
        <f>iferror(vlookup(E149,'Kelas XI - X(32)'!$D$11:$H987,5,false),"")</f>
        <v>5</v>
      </c>
      <c r="L149" s="223">
        <f t="shared" si="15"/>
        <v>5</v>
      </c>
      <c r="M149" s="146">
        <f t="shared" si="16"/>
        <v>0.8333333333</v>
      </c>
      <c r="N149" s="224"/>
      <c r="O149" s="75" t="str">
        <f t="shared" si="19"/>
        <v>A</v>
      </c>
      <c r="P149" s="195"/>
      <c r="Q149" s="105"/>
      <c r="R149" s="105"/>
      <c r="S149" s="105"/>
      <c r="T149" s="105"/>
    </row>
    <row r="150" hidden="1">
      <c r="A150" s="196">
        <v>157.0</v>
      </c>
      <c r="B150" s="225">
        <v>13.0</v>
      </c>
      <c r="C150" s="214" t="s">
        <v>1878</v>
      </c>
      <c r="D150" s="99"/>
      <c r="E150" s="214" t="s">
        <v>1879</v>
      </c>
      <c r="F150" s="99" t="s">
        <v>3100</v>
      </c>
      <c r="G150" s="215"/>
      <c r="H150" s="215" t="str">
        <f>iferror(vlookup(E150,'Kelas XI - X(32)'!$D$11:$H987,3,false),"")</f>
        <v/>
      </c>
      <c r="I150" s="69">
        <f>iferror(vlookup(E150,'Kelas XI - X(32)'!$D$11:$H987,4,false),"")</f>
        <v>8</v>
      </c>
      <c r="J150" s="222">
        <v>0.0</v>
      </c>
      <c r="K150" s="69">
        <f>iferror(vlookup(E150,'Kelas XI - X(32)'!$D$11:$H987,5,false),"")</f>
        <v>5</v>
      </c>
      <c r="L150" s="223">
        <f t="shared" si="15"/>
        <v>5</v>
      </c>
      <c r="M150" s="146">
        <f t="shared" si="16"/>
        <v>0.5555555556</v>
      </c>
      <c r="N150" s="236" t="s">
        <v>3106</v>
      </c>
      <c r="O150" s="69" t="s">
        <v>1163</v>
      </c>
      <c r="P150" s="195"/>
      <c r="Q150" s="105"/>
      <c r="R150" s="105"/>
      <c r="S150" s="105"/>
      <c r="T150" s="105"/>
    </row>
    <row r="151" hidden="1">
      <c r="A151" s="198">
        <v>158.0</v>
      </c>
      <c r="B151" s="225">
        <v>14.0</v>
      </c>
      <c r="C151" s="214" t="s">
        <v>1880</v>
      </c>
      <c r="D151" s="99"/>
      <c r="E151" s="214" t="s">
        <v>1881</v>
      </c>
      <c r="F151" s="99" t="s">
        <v>3099</v>
      </c>
      <c r="G151" s="215"/>
      <c r="H151" s="215" t="str">
        <f>iferror(vlookup(E151,'Kelas XI - X(32)'!$D$11:$H987,3,false),"")</f>
        <v/>
      </c>
      <c r="I151" s="69">
        <f>iferror(vlookup(E151,'Kelas XI - X(32)'!$D$11:$H987,4,false),"")</f>
        <v>8</v>
      </c>
      <c r="J151" s="223">
        <f>iferror(vlookup(E151,MasterClass!$C$2:$G987,5,false),"")</f>
        <v>1</v>
      </c>
      <c r="K151" s="69">
        <f>iferror(vlookup(E151,'Kelas XI - X(32)'!$D$11:$H987,5,false),"")</f>
        <v>5</v>
      </c>
      <c r="L151" s="223">
        <f t="shared" si="15"/>
        <v>6</v>
      </c>
      <c r="M151" s="146">
        <f t="shared" si="16"/>
        <v>0.6666666667</v>
      </c>
      <c r="N151" s="224"/>
      <c r="O151" s="75" t="str">
        <f t="shared" ref="O151:O159" si="20">IF(M151&gt;=50%,"A","B")</f>
        <v>A</v>
      </c>
      <c r="P151" s="195"/>
      <c r="Q151" s="105"/>
      <c r="R151" s="105"/>
      <c r="S151" s="105"/>
      <c r="T151" s="105"/>
    </row>
    <row r="152" hidden="1">
      <c r="A152" s="196">
        <v>159.0</v>
      </c>
      <c r="B152" s="225">
        <v>15.0</v>
      </c>
      <c r="C152" s="214" t="s">
        <v>1882</v>
      </c>
      <c r="D152" s="99"/>
      <c r="E152" s="214" t="s">
        <v>1883</v>
      </c>
      <c r="F152" s="99" t="s">
        <v>3100</v>
      </c>
      <c r="G152" s="215"/>
      <c r="H152" s="215" t="str">
        <f>iferror(vlookup(E152,'Kelas XI - X(32)'!$D$11:$H987,3,false),"")</f>
        <v/>
      </c>
      <c r="I152" s="69">
        <v>1.0</v>
      </c>
      <c r="J152" s="222">
        <v>0.0</v>
      </c>
      <c r="K152" s="69">
        <v>0.0</v>
      </c>
      <c r="L152" s="223">
        <f t="shared" si="15"/>
        <v>0</v>
      </c>
      <c r="M152" s="146">
        <f t="shared" si="16"/>
        <v>0</v>
      </c>
      <c r="N152" s="224"/>
      <c r="O152" s="75" t="str">
        <f t="shared" si="20"/>
        <v>B</v>
      </c>
      <c r="P152" s="195"/>
      <c r="Q152" s="105"/>
      <c r="R152" s="105"/>
      <c r="S152" s="105"/>
      <c r="T152" s="105"/>
    </row>
    <row r="153" hidden="1">
      <c r="A153" s="198">
        <v>160.0</v>
      </c>
      <c r="B153" s="225">
        <v>16.0</v>
      </c>
      <c r="C153" s="214" t="s">
        <v>1884</v>
      </c>
      <c r="D153" s="99"/>
      <c r="E153" s="214" t="s">
        <v>1885</v>
      </c>
      <c r="F153" s="99" t="s">
        <v>3099</v>
      </c>
      <c r="G153" s="215"/>
      <c r="H153" s="215" t="str">
        <f>iferror(vlookup(E153,'Kelas XI - X(32)'!$D$11:$H987,3,false),"")</f>
        <v/>
      </c>
      <c r="I153" s="69">
        <v>1.0</v>
      </c>
      <c r="J153" s="222">
        <v>0.0</v>
      </c>
      <c r="K153" s="69">
        <v>0.0</v>
      </c>
      <c r="L153" s="223">
        <f t="shared" si="15"/>
        <v>0</v>
      </c>
      <c r="M153" s="146">
        <f t="shared" si="16"/>
        <v>0</v>
      </c>
      <c r="N153" s="224"/>
      <c r="O153" s="75" t="str">
        <f t="shared" si="20"/>
        <v>B</v>
      </c>
      <c r="P153" s="195"/>
      <c r="Q153" s="105"/>
      <c r="R153" s="105"/>
      <c r="S153" s="105"/>
      <c r="T153" s="105"/>
    </row>
    <row r="154" hidden="1">
      <c r="A154" s="196">
        <v>161.0</v>
      </c>
      <c r="B154" s="225">
        <v>17.0</v>
      </c>
      <c r="C154" s="214" t="s">
        <v>1886</v>
      </c>
      <c r="D154" s="99"/>
      <c r="E154" s="214" t="s">
        <v>1887</v>
      </c>
      <c r="F154" s="99" t="s">
        <v>3100</v>
      </c>
      <c r="G154" s="215"/>
      <c r="H154" s="215" t="str">
        <f>iferror(vlookup(E154,'Kelas XI - X(32)'!$D$11:$H987,3,false),"")</f>
        <v>Ramania</v>
      </c>
      <c r="I154" s="69">
        <f>iferror(vlookup(E154,'Kelas XI - X(32)'!$D$11:$H987,4,false),"")</f>
        <v>10</v>
      </c>
      <c r="J154" s="222">
        <v>0.0</v>
      </c>
      <c r="K154" s="69">
        <f>iferror(vlookup(E154,'Kelas XI - X(32)'!$D$11:$H987,5,false),"")</f>
        <v>5</v>
      </c>
      <c r="L154" s="223">
        <f t="shared" si="15"/>
        <v>5</v>
      </c>
      <c r="M154" s="146">
        <f t="shared" si="16"/>
        <v>0.4545454545</v>
      </c>
      <c r="N154" s="224"/>
      <c r="O154" s="75" t="str">
        <f t="shared" si="20"/>
        <v>B</v>
      </c>
      <c r="P154" s="195"/>
      <c r="Q154" s="105"/>
      <c r="R154" s="105"/>
      <c r="S154" s="105"/>
      <c r="T154" s="105"/>
    </row>
    <row r="155" hidden="1">
      <c r="A155" s="198">
        <v>162.0</v>
      </c>
      <c r="B155" s="225">
        <v>18.0</v>
      </c>
      <c r="C155" s="214" t="s">
        <v>1888</v>
      </c>
      <c r="D155" s="99"/>
      <c r="E155" s="214" t="s">
        <v>1889</v>
      </c>
      <c r="F155" s="99" t="s">
        <v>3100</v>
      </c>
      <c r="G155" s="215"/>
      <c r="H155" s="215" t="str">
        <f>iferror(vlookup(E155,'Kelas XI - X(32)'!$D$11:$H987,3,false),"")</f>
        <v>Iga</v>
      </c>
      <c r="I155" s="69">
        <f>iferror(vlookup(E155,'Kelas XI - X(32)'!$D$11:$H987,4,false),"")</f>
        <v>4</v>
      </c>
      <c r="J155" s="222">
        <v>0.0</v>
      </c>
      <c r="K155" s="69">
        <f>iferror(vlookup(E155,'Kelas XI - X(32)'!$D$11:$H987,5,false),"")</f>
        <v>3</v>
      </c>
      <c r="L155" s="223">
        <f t="shared" si="15"/>
        <v>3</v>
      </c>
      <c r="M155" s="146">
        <f t="shared" si="16"/>
        <v>0.6</v>
      </c>
      <c r="N155" s="224"/>
      <c r="O155" s="75" t="str">
        <f t="shared" si="20"/>
        <v>A</v>
      </c>
      <c r="P155" s="195"/>
      <c r="Q155" s="105"/>
      <c r="R155" s="105"/>
      <c r="S155" s="105"/>
      <c r="T155" s="105"/>
    </row>
    <row r="156" hidden="1">
      <c r="A156" s="196">
        <v>163.0</v>
      </c>
      <c r="B156" s="225">
        <v>19.0</v>
      </c>
      <c r="C156" s="214" t="s">
        <v>1890</v>
      </c>
      <c r="D156" s="99"/>
      <c r="E156" s="214" t="s">
        <v>1891</v>
      </c>
      <c r="F156" s="99" t="s">
        <v>3100</v>
      </c>
      <c r="G156" s="215"/>
      <c r="H156" s="215" t="str">
        <f>iferror(vlookup(E156,'Kelas XI - X(32)'!$D$11:$H987,3,false),"")</f>
        <v/>
      </c>
      <c r="I156" s="69">
        <f>iferror(vlookup(E156,'Kelas XI - X(32)'!$D$11:$H987,4,false),"")</f>
        <v>8</v>
      </c>
      <c r="J156" s="222">
        <v>0.0</v>
      </c>
      <c r="K156" s="69">
        <f>iferror(vlookup(E156,'Kelas XI - X(32)'!$D$11:$H987,5,false),"")</f>
        <v>3</v>
      </c>
      <c r="L156" s="223">
        <f t="shared" si="15"/>
        <v>3</v>
      </c>
      <c r="M156" s="146">
        <f t="shared" si="16"/>
        <v>0.3333333333</v>
      </c>
      <c r="N156" s="224"/>
      <c r="O156" s="75" t="str">
        <f t="shared" si="20"/>
        <v>B</v>
      </c>
      <c r="P156" s="195"/>
      <c r="Q156" s="105"/>
      <c r="R156" s="105"/>
      <c r="S156" s="105"/>
      <c r="T156" s="105"/>
    </row>
    <row r="157" hidden="1">
      <c r="A157" s="198">
        <v>164.0</v>
      </c>
      <c r="B157" s="225">
        <v>20.0</v>
      </c>
      <c r="C157" s="214" t="s">
        <v>1892</v>
      </c>
      <c r="D157" s="99"/>
      <c r="E157" s="214" t="s">
        <v>1893</v>
      </c>
      <c r="F157" s="99" t="s">
        <v>3099</v>
      </c>
      <c r="G157" s="215"/>
      <c r="H157" s="215" t="str">
        <f>iferror(vlookup(E157,'Kelas XI - X(32)'!$D$11:$H987,3,false),"")</f>
        <v/>
      </c>
      <c r="I157" s="69">
        <v>1.0</v>
      </c>
      <c r="J157" s="222">
        <v>0.0</v>
      </c>
      <c r="K157" s="69">
        <v>0.0</v>
      </c>
      <c r="L157" s="223">
        <f t="shared" si="15"/>
        <v>0</v>
      </c>
      <c r="M157" s="146">
        <f t="shared" si="16"/>
        <v>0</v>
      </c>
      <c r="N157" s="224"/>
      <c r="O157" s="75" t="str">
        <f t="shared" si="20"/>
        <v>B</v>
      </c>
      <c r="P157" s="195"/>
      <c r="Q157" s="105"/>
      <c r="R157" s="105"/>
      <c r="S157" s="105"/>
      <c r="T157" s="105"/>
    </row>
    <row r="158" hidden="1">
      <c r="A158" s="196">
        <v>165.0</v>
      </c>
      <c r="B158" s="225">
        <v>21.0</v>
      </c>
      <c r="C158" s="214" t="s">
        <v>1894</v>
      </c>
      <c r="D158" s="99"/>
      <c r="E158" s="214" t="s">
        <v>1895</v>
      </c>
      <c r="F158" s="99" t="s">
        <v>3100</v>
      </c>
      <c r="G158" s="215"/>
      <c r="H158" s="215" t="str">
        <f>iferror(vlookup(E158,'Kelas XI - X(32)'!$D$11:$H987,3,false),"")</f>
        <v/>
      </c>
      <c r="I158" s="69">
        <v>1.0</v>
      </c>
      <c r="J158" s="222">
        <v>0.0</v>
      </c>
      <c r="K158" s="69">
        <v>0.0</v>
      </c>
      <c r="L158" s="223">
        <f t="shared" si="15"/>
        <v>0</v>
      </c>
      <c r="M158" s="146">
        <f t="shared" si="16"/>
        <v>0</v>
      </c>
      <c r="N158" s="224"/>
      <c r="O158" s="75" t="str">
        <f t="shared" si="20"/>
        <v>B</v>
      </c>
      <c r="P158" s="195"/>
      <c r="Q158" s="105"/>
      <c r="R158" s="105"/>
      <c r="S158" s="105"/>
      <c r="T158" s="105"/>
    </row>
    <row r="159" hidden="1">
      <c r="A159" s="198">
        <v>166.0</v>
      </c>
      <c r="B159" s="225">
        <v>22.0</v>
      </c>
      <c r="C159" s="214" t="s">
        <v>1896</v>
      </c>
      <c r="D159" s="99"/>
      <c r="E159" s="214" t="s">
        <v>1897</v>
      </c>
      <c r="F159" s="99" t="s">
        <v>3099</v>
      </c>
      <c r="G159" s="215"/>
      <c r="H159" s="215" t="str">
        <f>iferror(vlookup(E159,'Kelas XI - X(32)'!$D$11:$H987,3,false),"")</f>
        <v/>
      </c>
      <c r="I159" s="69">
        <f>iferror(vlookup(E159,'Kelas XI - X(32)'!$D$11:$H987,4,false),"")</f>
        <v>4</v>
      </c>
      <c r="J159" s="223">
        <f>iferror(vlookup(E159,MasterClass!$C$2:$G987,5,false),"")</f>
        <v>1</v>
      </c>
      <c r="K159" s="69">
        <v>0.0</v>
      </c>
      <c r="L159" s="223">
        <f t="shared" si="15"/>
        <v>1</v>
      </c>
      <c r="M159" s="146">
        <f t="shared" si="16"/>
        <v>0.2</v>
      </c>
      <c r="N159" s="224"/>
      <c r="O159" s="75" t="str">
        <f t="shared" si="20"/>
        <v>B</v>
      </c>
      <c r="P159" s="195"/>
      <c r="Q159" s="105"/>
      <c r="R159" s="105"/>
      <c r="S159" s="105"/>
      <c r="T159" s="105"/>
    </row>
    <row r="160" hidden="1">
      <c r="A160" s="196">
        <v>167.0</v>
      </c>
      <c r="B160" s="225">
        <v>23.0</v>
      </c>
      <c r="C160" s="247" t="s">
        <v>1898</v>
      </c>
      <c r="D160" s="115"/>
      <c r="E160" s="214" t="s">
        <v>1899</v>
      </c>
      <c r="F160" s="99" t="s">
        <v>3100</v>
      </c>
      <c r="G160" s="215"/>
      <c r="H160" s="215" t="str">
        <f>iferror(vlookup(E160,'Kelas XI - X(32)'!$D$11:$H987,3,false),"")</f>
        <v>Taufik</v>
      </c>
      <c r="I160" s="69">
        <f>iferror(vlookup(E160,'Kelas XI - X(32)'!$D$11:$H987,4,false),"")</f>
        <v>7</v>
      </c>
      <c r="J160" s="222">
        <v>0.0</v>
      </c>
      <c r="K160" s="69">
        <f>iferror(vlookup(E160,'Kelas XI - X(32)'!$D$11:$H987,5,false),"")</f>
        <v>1</v>
      </c>
      <c r="L160" s="223">
        <f t="shared" si="15"/>
        <v>1</v>
      </c>
      <c r="M160" s="146">
        <f t="shared" si="16"/>
        <v>0.125</v>
      </c>
      <c r="N160" s="248" t="s">
        <v>3106</v>
      </c>
      <c r="O160" s="69" t="s">
        <v>1163</v>
      </c>
      <c r="P160" s="195"/>
      <c r="Q160" s="105"/>
      <c r="R160" s="105"/>
      <c r="S160" s="105"/>
      <c r="T160" s="105"/>
    </row>
    <row r="161" hidden="1">
      <c r="A161" s="198">
        <v>168.0</v>
      </c>
      <c r="B161" s="225">
        <v>24.0</v>
      </c>
      <c r="C161" s="214" t="s">
        <v>1900</v>
      </c>
      <c r="D161" s="99"/>
      <c r="E161" s="214" t="s">
        <v>1901</v>
      </c>
      <c r="F161" s="99" t="s">
        <v>3099</v>
      </c>
      <c r="G161" s="215"/>
      <c r="H161" s="215" t="str">
        <f>iferror(vlookup(E161,'Kelas XI - X(32)'!$D$11:$H987,3,false),"")</f>
        <v/>
      </c>
      <c r="I161" s="69">
        <f>iferror(vlookup(E161,'Kelas XI - X(32)'!$D$11:$H987,4,false),"")</f>
        <v>7</v>
      </c>
      <c r="J161" s="222">
        <v>0.0</v>
      </c>
      <c r="K161" s="69">
        <f>iferror(vlookup(E161,'Kelas XI - X(32)'!$D$11:$H987,5,false),"")</f>
        <v>6</v>
      </c>
      <c r="L161" s="223">
        <f t="shared" si="15"/>
        <v>6</v>
      </c>
      <c r="M161" s="146">
        <f t="shared" si="16"/>
        <v>0.75</v>
      </c>
      <c r="N161" s="224"/>
      <c r="O161" s="75" t="str">
        <f t="shared" ref="O161:O162" si="21">IF(M161&gt;=50%,"A","B")</f>
        <v>A</v>
      </c>
      <c r="P161" s="195"/>
      <c r="Q161" s="105"/>
      <c r="R161" s="105"/>
      <c r="S161" s="105"/>
      <c r="T161" s="105"/>
    </row>
    <row r="162" hidden="1">
      <c r="A162" s="196">
        <v>169.0</v>
      </c>
      <c r="B162" s="225">
        <v>25.0</v>
      </c>
      <c r="C162" s="214" t="s">
        <v>1902</v>
      </c>
      <c r="D162" s="99"/>
      <c r="E162" s="214" t="s">
        <v>1903</v>
      </c>
      <c r="F162" s="99" t="s">
        <v>3100</v>
      </c>
      <c r="G162" s="215"/>
      <c r="H162" s="215" t="str">
        <f>iferror(vlookup(E162,'Kelas XI - X(32)'!$D$11:$H987,3,false),"")</f>
        <v>Najmi</v>
      </c>
      <c r="I162" s="69">
        <f>iferror(vlookup(E162,'Kelas XI - X(32)'!$D$11:$H987,4,false),"")</f>
        <v>5</v>
      </c>
      <c r="J162" s="223">
        <f>iferror(vlookup(E162,MasterClass!$C$2:$G987,5,false),"")</f>
        <v>1</v>
      </c>
      <c r="K162" s="69">
        <f>iferror(vlookup(E162,'Kelas XI - X(32)'!$D$11:$H987,5,false),"")</f>
        <v>5</v>
      </c>
      <c r="L162" s="223">
        <f t="shared" si="15"/>
        <v>6</v>
      </c>
      <c r="M162" s="146">
        <f t="shared" si="16"/>
        <v>1</v>
      </c>
      <c r="N162" s="224"/>
      <c r="O162" s="75" t="str">
        <f t="shared" si="21"/>
        <v>A</v>
      </c>
      <c r="P162" s="195"/>
      <c r="Q162" s="105"/>
      <c r="R162" s="105"/>
      <c r="S162" s="105"/>
      <c r="T162" s="105"/>
    </row>
    <row r="163" hidden="1">
      <c r="A163" s="198">
        <v>170.0</v>
      </c>
      <c r="B163" s="225">
        <v>26.0</v>
      </c>
      <c r="C163" s="214" t="s">
        <v>1904</v>
      </c>
      <c r="D163" s="99"/>
      <c r="E163" s="214" t="s">
        <v>1905</v>
      </c>
      <c r="F163" s="99" t="s">
        <v>3100</v>
      </c>
      <c r="G163" s="215"/>
      <c r="H163" s="215" t="str">
        <f>iferror(vlookup(E163,'Kelas XI - X(32)'!$D$11:$H987,3,false),"")</f>
        <v/>
      </c>
      <c r="I163" s="69">
        <v>1.0</v>
      </c>
      <c r="J163" s="222">
        <v>0.0</v>
      </c>
      <c r="K163" s="69">
        <v>0.0</v>
      </c>
      <c r="L163" s="223">
        <f t="shared" si="15"/>
        <v>0</v>
      </c>
      <c r="M163" s="146">
        <f t="shared" si="16"/>
        <v>0</v>
      </c>
      <c r="N163" s="215" t="s">
        <v>3107</v>
      </c>
      <c r="O163" s="69" t="s">
        <v>1163</v>
      </c>
      <c r="P163" s="195"/>
      <c r="Q163" s="105"/>
      <c r="R163" s="105"/>
      <c r="S163" s="105"/>
      <c r="T163" s="105"/>
    </row>
    <row r="164" hidden="1">
      <c r="A164" s="196">
        <v>171.0</v>
      </c>
      <c r="B164" s="225">
        <v>27.0</v>
      </c>
      <c r="C164" s="214" t="s">
        <v>1906</v>
      </c>
      <c r="D164" s="99"/>
      <c r="E164" s="214" t="s">
        <v>1907</v>
      </c>
      <c r="F164" s="99" t="s">
        <v>3100</v>
      </c>
      <c r="G164" s="215"/>
      <c r="H164" s="215" t="str">
        <f>iferror(vlookup(E164,'Kelas XI - X(32)'!$D$11:$H987,3,false),"")</f>
        <v/>
      </c>
      <c r="I164" s="69">
        <f>iferror(vlookup(E164,'Kelas XI - X(32)'!$D$11:$H987,4,false),"")</f>
        <v>7</v>
      </c>
      <c r="J164" s="223">
        <f>iferror(vlookup(E164,MasterClass!$C$2:$G987,5,false),"")</f>
        <v>1</v>
      </c>
      <c r="K164" s="69">
        <f>iferror(vlookup(E164,'Kelas XI - X(32)'!$D$11:$H987,5,false),"")</f>
        <v>6</v>
      </c>
      <c r="L164" s="223">
        <f t="shared" si="15"/>
        <v>7</v>
      </c>
      <c r="M164" s="146">
        <f t="shared" si="16"/>
        <v>0.875</v>
      </c>
      <c r="N164" s="224"/>
      <c r="O164" s="75" t="str">
        <f t="shared" ref="O164:O173" si="22">IF(M164&gt;=50%,"A","B")</f>
        <v>A</v>
      </c>
      <c r="P164" s="195"/>
      <c r="Q164" s="105"/>
      <c r="R164" s="105"/>
      <c r="S164" s="105"/>
      <c r="T164" s="105"/>
    </row>
    <row r="165" hidden="1">
      <c r="A165" s="198">
        <v>172.0</v>
      </c>
      <c r="B165" s="225">
        <v>28.0</v>
      </c>
      <c r="C165" s="214" t="s">
        <v>1908</v>
      </c>
      <c r="D165" s="99"/>
      <c r="E165" s="214" t="s">
        <v>1909</v>
      </c>
      <c r="F165" s="99" t="s">
        <v>3099</v>
      </c>
      <c r="G165" s="215"/>
      <c r="H165" s="215" t="str">
        <f>iferror(vlookup(E165,'Kelas XI - X(32)'!$D$11:$H987,3,false),"")</f>
        <v>Najmi</v>
      </c>
      <c r="I165" s="69">
        <f>iferror(vlookup(E165,'Kelas XI - X(32)'!$D$11:$H987,4,false),"")</f>
        <v>5</v>
      </c>
      <c r="J165" s="222">
        <v>0.0</v>
      </c>
      <c r="K165" s="69">
        <f>iferror(vlookup(E165,'Kelas XI - X(32)'!$D$11:$H987,5,false),"")</f>
        <v>5</v>
      </c>
      <c r="L165" s="223">
        <f t="shared" si="15"/>
        <v>5</v>
      </c>
      <c r="M165" s="146">
        <f t="shared" si="16"/>
        <v>0.8333333333</v>
      </c>
      <c r="N165" s="224"/>
      <c r="O165" s="75" t="str">
        <f t="shared" si="22"/>
        <v>A</v>
      </c>
      <c r="P165" s="195"/>
      <c r="Q165" s="105"/>
      <c r="R165" s="105"/>
      <c r="S165" s="105"/>
      <c r="T165" s="105"/>
    </row>
    <row r="166" hidden="1">
      <c r="A166" s="196">
        <v>173.0</v>
      </c>
      <c r="B166" s="225">
        <v>29.0</v>
      </c>
      <c r="C166" s="214" t="s">
        <v>1910</v>
      </c>
      <c r="D166" s="99"/>
      <c r="E166" s="214" t="s">
        <v>1911</v>
      </c>
      <c r="F166" s="99" t="s">
        <v>3099</v>
      </c>
      <c r="G166" s="215"/>
      <c r="H166" s="215" t="str">
        <f>iferror(vlookup(E166,'Kelas XI - X(32)'!$D$11:$H987,3,false),"")</f>
        <v>Arya</v>
      </c>
      <c r="I166" s="69">
        <f>iferror(vlookup(E166,'Kelas XI - X(32)'!$D$11:$H987,4,false),"")</f>
        <v>5</v>
      </c>
      <c r="J166" s="222">
        <v>0.0</v>
      </c>
      <c r="K166" s="69">
        <v>0.0</v>
      </c>
      <c r="L166" s="223">
        <f t="shared" si="15"/>
        <v>0</v>
      </c>
      <c r="M166" s="146">
        <f t="shared" si="16"/>
        <v>0</v>
      </c>
      <c r="N166" s="224"/>
      <c r="O166" s="75" t="str">
        <f t="shared" si="22"/>
        <v>B</v>
      </c>
      <c r="P166" s="195"/>
      <c r="Q166" s="105"/>
      <c r="R166" s="105"/>
      <c r="S166" s="105"/>
      <c r="T166" s="105"/>
    </row>
    <row r="167" hidden="1">
      <c r="A167" s="198">
        <v>174.0</v>
      </c>
      <c r="B167" s="225">
        <v>30.0</v>
      </c>
      <c r="C167" s="214" t="s">
        <v>1912</v>
      </c>
      <c r="D167" s="99"/>
      <c r="E167" s="214" t="s">
        <v>1913</v>
      </c>
      <c r="F167" s="99" t="s">
        <v>3100</v>
      </c>
      <c r="G167" s="215"/>
      <c r="H167" s="215" t="str">
        <f>iferror(vlookup(E167,'Kelas XI - X(32)'!$D$11:$H987,3,false),"")</f>
        <v>Zalika</v>
      </c>
      <c r="I167" s="69">
        <f>iferror(vlookup(E167,'Kelas XI - X(32)'!$D$11:$H987,4,false),"")</f>
        <v>5</v>
      </c>
      <c r="J167" s="222">
        <v>0.0</v>
      </c>
      <c r="K167" s="69">
        <f>iferror(vlookup(E167,'Kelas XI - X(32)'!$D$11:$H987,5,false),"")</f>
        <v>2</v>
      </c>
      <c r="L167" s="223">
        <f t="shared" si="15"/>
        <v>2</v>
      </c>
      <c r="M167" s="146">
        <f t="shared" si="16"/>
        <v>0.3333333333</v>
      </c>
      <c r="N167" s="224"/>
      <c r="O167" s="75" t="str">
        <f t="shared" si="22"/>
        <v>B</v>
      </c>
      <c r="P167" s="195"/>
      <c r="Q167" s="105"/>
      <c r="R167" s="105"/>
      <c r="S167" s="105"/>
      <c r="T167" s="105"/>
    </row>
    <row r="168" hidden="1">
      <c r="A168" s="196">
        <v>175.0</v>
      </c>
      <c r="B168" s="225">
        <v>31.0</v>
      </c>
      <c r="C168" s="214" t="s">
        <v>1914</v>
      </c>
      <c r="D168" s="99"/>
      <c r="E168" s="214" t="s">
        <v>1915</v>
      </c>
      <c r="F168" s="99" t="s">
        <v>3100</v>
      </c>
      <c r="G168" s="215"/>
      <c r="H168" s="215" t="str">
        <f>iferror(vlookup(E168,'Kelas XI - X(32)'!$D$11:$H987,3,false),"")</f>
        <v/>
      </c>
      <c r="I168" s="69">
        <f>iferror(vlookup(E168,'Kelas XI - X(32)'!$D$11:$H987,4,false),"")</f>
        <v>7</v>
      </c>
      <c r="J168" s="222">
        <v>0.0</v>
      </c>
      <c r="K168" s="69">
        <v>0.0</v>
      </c>
      <c r="L168" s="223">
        <f t="shared" si="15"/>
        <v>0</v>
      </c>
      <c r="M168" s="146">
        <f t="shared" si="16"/>
        <v>0</v>
      </c>
      <c r="N168" s="224"/>
      <c r="O168" s="75" t="str">
        <f t="shared" si="22"/>
        <v>B</v>
      </c>
      <c r="P168" s="195"/>
      <c r="Q168" s="105"/>
      <c r="R168" s="105"/>
      <c r="S168" s="105"/>
      <c r="T168" s="105"/>
    </row>
    <row r="169" hidden="1">
      <c r="A169" s="198">
        <v>176.0</v>
      </c>
      <c r="B169" s="225">
        <v>32.0</v>
      </c>
      <c r="C169" s="214" t="s">
        <v>1916</v>
      </c>
      <c r="D169" s="99"/>
      <c r="E169" s="214" t="s">
        <v>1917</v>
      </c>
      <c r="F169" s="99" t="s">
        <v>3100</v>
      </c>
      <c r="G169" s="215"/>
      <c r="H169" s="215" t="str">
        <f>iferror(vlookup(E169,'Kelas XI - X(32)'!$D$11:$H987,3,false),"")</f>
        <v/>
      </c>
      <c r="I169" s="69">
        <v>1.0</v>
      </c>
      <c r="J169" s="222">
        <v>0.0</v>
      </c>
      <c r="K169" s="69">
        <v>0.0</v>
      </c>
      <c r="L169" s="223">
        <f t="shared" si="15"/>
        <v>0</v>
      </c>
      <c r="M169" s="146">
        <f t="shared" si="16"/>
        <v>0</v>
      </c>
      <c r="N169" s="224"/>
      <c r="O169" s="75" t="str">
        <f t="shared" si="22"/>
        <v>B</v>
      </c>
      <c r="P169" s="195"/>
      <c r="Q169" s="105"/>
      <c r="R169" s="105"/>
      <c r="S169" s="105"/>
      <c r="T169" s="105"/>
    </row>
    <row r="170" hidden="1">
      <c r="A170" s="196">
        <v>177.0</v>
      </c>
      <c r="B170" s="225">
        <v>33.0</v>
      </c>
      <c r="C170" s="214" t="s">
        <v>1918</v>
      </c>
      <c r="D170" s="99"/>
      <c r="E170" s="214" t="s">
        <v>1919</v>
      </c>
      <c r="F170" s="99" t="s">
        <v>3100</v>
      </c>
      <c r="G170" s="215"/>
      <c r="H170" s="215" t="str">
        <f>iferror(vlookup(E170,'Kelas XI - X(32)'!$D$11:$H987,3,false),"")</f>
        <v/>
      </c>
      <c r="I170" s="69">
        <f>iferror(vlookup(E170,'Kelas XI - X(32)'!$D$11:$H987,4,false),"")</f>
        <v>8</v>
      </c>
      <c r="J170" s="222">
        <v>0.0</v>
      </c>
      <c r="K170" s="69">
        <f>iferror(vlookup(E170,'Kelas XI - X(32)'!$D$11:$H987,5,false),"")</f>
        <v>7</v>
      </c>
      <c r="L170" s="223">
        <f t="shared" si="15"/>
        <v>7</v>
      </c>
      <c r="M170" s="146">
        <f t="shared" si="16"/>
        <v>0.7777777778</v>
      </c>
      <c r="N170" s="224"/>
      <c r="O170" s="75" t="str">
        <f t="shared" si="22"/>
        <v>A</v>
      </c>
      <c r="P170" s="195"/>
      <c r="Q170" s="105"/>
      <c r="R170" s="105"/>
      <c r="S170" s="105"/>
      <c r="T170" s="105"/>
    </row>
    <row r="171" hidden="1">
      <c r="A171" s="198">
        <v>178.0</v>
      </c>
      <c r="B171" s="225">
        <v>34.0</v>
      </c>
      <c r="C171" s="214" t="s">
        <v>1920</v>
      </c>
      <c r="D171" s="99"/>
      <c r="E171" s="214" t="s">
        <v>1921</v>
      </c>
      <c r="F171" s="99" t="s">
        <v>3100</v>
      </c>
      <c r="G171" s="215"/>
      <c r="H171" s="215" t="str">
        <f>iferror(vlookup(E171,'Kelas XI - X(32)'!$D$11:$H987,3,false),"")</f>
        <v>Farisa</v>
      </c>
      <c r="I171" s="69">
        <f>iferror(vlookup(E171,'Kelas XI - X(32)'!$D$11:$H987,4,false),"")</f>
        <v>6</v>
      </c>
      <c r="J171" s="222">
        <v>0.0</v>
      </c>
      <c r="K171" s="69">
        <f>iferror(vlookup(E171,'Kelas XI - X(32)'!$D$11:$H987,5,false),"")</f>
        <v>3</v>
      </c>
      <c r="L171" s="223">
        <f t="shared" si="15"/>
        <v>3</v>
      </c>
      <c r="M171" s="146">
        <f t="shared" si="16"/>
        <v>0.4285714286</v>
      </c>
      <c r="N171" s="224"/>
      <c r="O171" s="75" t="str">
        <f t="shared" si="22"/>
        <v>B</v>
      </c>
      <c r="P171" s="195"/>
      <c r="Q171" s="105"/>
      <c r="R171" s="105"/>
      <c r="S171" s="105"/>
      <c r="T171" s="105"/>
    </row>
    <row r="172" hidden="1">
      <c r="A172" s="196">
        <v>179.0</v>
      </c>
      <c r="B172" s="225">
        <v>35.0</v>
      </c>
      <c r="C172" s="214" t="s">
        <v>1922</v>
      </c>
      <c r="D172" s="99"/>
      <c r="E172" s="214" t="s">
        <v>1923</v>
      </c>
      <c r="F172" s="99" t="s">
        <v>3099</v>
      </c>
      <c r="G172" s="215"/>
      <c r="H172" s="215" t="str">
        <f>iferror(vlookup(E172,'Kelas XI - X(32)'!$D$11:$H987,3,false),"")</f>
        <v/>
      </c>
      <c r="I172" s="69">
        <v>1.0</v>
      </c>
      <c r="J172" s="222">
        <v>0.0</v>
      </c>
      <c r="K172" s="69">
        <v>0.0</v>
      </c>
      <c r="L172" s="223">
        <f t="shared" si="15"/>
        <v>0</v>
      </c>
      <c r="M172" s="146">
        <f t="shared" si="16"/>
        <v>0</v>
      </c>
      <c r="N172" s="224"/>
      <c r="O172" s="75" t="str">
        <f t="shared" si="22"/>
        <v>B</v>
      </c>
      <c r="P172" s="195"/>
      <c r="Q172" s="105"/>
      <c r="R172" s="105"/>
      <c r="S172" s="105"/>
      <c r="T172" s="105"/>
    </row>
    <row r="173" hidden="1">
      <c r="A173" s="198">
        <v>180.0</v>
      </c>
      <c r="B173" s="225">
        <v>36.0</v>
      </c>
      <c r="C173" s="214" t="s">
        <v>1924</v>
      </c>
      <c r="D173" s="99"/>
      <c r="E173" s="214" t="s">
        <v>1925</v>
      </c>
      <c r="F173" s="260" t="s">
        <v>3100</v>
      </c>
      <c r="G173" s="215"/>
      <c r="H173" s="215" t="str">
        <f>iferror(vlookup(E173,'Kelas XI - X(32)'!$D$11:$H987,3,false),"")</f>
        <v/>
      </c>
      <c r="I173" s="261">
        <v>8.0</v>
      </c>
      <c r="J173" s="222">
        <v>0.0</v>
      </c>
      <c r="K173" s="69">
        <v>8.0</v>
      </c>
      <c r="L173" s="223">
        <f t="shared" si="15"/>
        <v>8</v>
      </c>
      <c r="M173" s="146">
        <f t="shared" si="16"/>
        <v>0.8888888889</v>
      </c>
      <c r="N173" s="215"/>
      <c r="O173" s="75" t="str">
        <f t="shared" si="22"/>
        <v>A</v>
      </c>
      <c r="P173" s="195"/>
      <c r="Q173" s="105"/>
      <c r="R173" s="105"/>
      <c r="S173" s="105"/>
      <c r="T173" s="105"/>
    </row>
    <row r="174" hidden="1">
      <c r="A174" s="196">
        <v>181.0</v>
      </c>
      <c r="B174" s="227"/>
      <c r="C174" s="214"/>
      <c r="D174" s="228"/>
      <c r="E174" s="214"/>
      <c r="F174" s="228"/>
      <c r="G174" s="228"/>
      <c r="H174" s="228"/>
      <c r="I174" s="229"/>
      <c r="J174" s="229"/>
      <c r="K174" s="229"/>
      <c r="L174" s="229"/>
      <c r="M174" s="229"/>
      <c r="N174" s="228"/>
      <c r="O174" s="229"/>
      <c r="P174" s="195"/>
      <c r="Q174" s="105"/>
      <c r="R174" s="105"/>
      <c r="S174" s="105"/>
      <c r="T174" s="105"/>
    </row>
    <row r="175" hidden="1">
      <c r="A175" s="198">
        <v>182.0</v>
      </c>
      <c r="B175" s="227"/>
      <c r="C175" s="214"/>
      <c r="D175" s="228"/>
      <c r="E175" s="214"/>
      <c r="F175" s="228"/>
      <c r="G175" s="228"/>
      <c r="H175" s="228"/>
      <c r="I175" s="229"/>
      <c r="J175" s="229"/>
      <c r="K175" s="229"/>
      <c r="L175" s="229"/>
      <c r="M175" s="229"/>
      <c r="N175" s="230"/>
      <c r="O175" s="231"/>
      <c r="P175" s="195"/>
      <c r="Q175" s="105"/>
      <c r="R175" s="105"/>
      <c r="S175" s="105"/>
      <c r="T175" s="105"/>
    </row>
    <row r="176" hidden="1">
      <c r="A176" s="196">
        <v>183.0</v>
      </c>
      <c r="B176" s="227"/>
      <c r="C176" s="214"/>
      <c r="D176" s="228"/>
      <c r="E176" s="214"/>
      <c r="F176" s="228"/>
      <c r="G176" s="228"/>
      <c r="H176" s="228"/>
      <c r="I176" s="229"/>
      <c r="J176" s="229"/>
      <c r="K176" s="229"/>
      <c r="L176" s="229"/>
      <c r="M176" s="229"/>
      <c r="N176" s="230"/>
      <c r="O176" s="231"/>
      <c r="P176" s="195"/>
      <c r="Q176" s="105"/>
      <c r="R176" s="105"/>
      <c r="S176" s="105"/>
      <c r="T176" s="105"/>
    </row>
    <row r="177" hidden="1">
      <c r="A177" s="198">
        <v>184.0</v>
      </c>
      <c r="B177" s="249"/>
      <c r="C177" s="241"/>
      <c r="D177" s="241"/>
      <c r="E177" s="241"/>
      <c r="F177" s="241"/>
      <c r="G177" s="241"/>
      <c r="H177" s="241"/>
      <c r="I177" s="242"/>
      <c r="J177" s="242"/>
      <c r="K177" s="242"/>
      <c r="L177" s="242"/>
      <c r="M177" s="242"/>
      <c r="N177" s="241"/>
      <c r="O177" s="242"/>
      <c r="P177" s="195"/>
      <c r="Q177" s="105"/>
      <c r="R177" s="105"/>
      <c r="S177" s="105"/>
      <c r="T177" s="105"/>
    </row>
    <row r="178">
      <c r="A178" s="196">
        <v>187.0</v>
      </c>
      <c r="B178" s="243" t="s">
        <v>1926</v>
      </c>
      <c r="C178" s="9"/>
      <c r="D178" s="9"/>
      <c r="E178" s="10"/>
      <c r="F178" s="244"/>
      <c r="G178" s="244"/>
      <c r="H178" s="244"/>
      <c r="I178" s="245"/>
      <c r="J178" s="245"/>
      <c r="K178" s="245"/>
      <c r="L178" s="245"/>
      <c r="M178" s="245"/>
      <c r="N178" s="244"/>
      <c r="O178" s="245"/>
      <c r="P178" s="195"/>
      <c r="Q178" s="105"/>
      <c r="R178" s="105"/>
      <c r="S178" s="105"/>
      <c r="T178" s="105"/>
    </row>
    <row r="179" hidden="1">
      <c r="A179" s="198">
        <v>188.0</v>
      </c>
      <c r="B179" s="250" t="s">
        <v>1927</v>
      </c>
      <c r="C179" s="9"/>
      <c r="D179" s="9"/>
      <c r="E179" s="10"/>
      <c r="F179" s="251"/>
      <c r="G179" s="251"/>
      <c r="H179" s="251"/>
      <c r="I179" s="252"/>
      <c r="J179" s="252"/>
      <c r="K179" s="252"/>
      <c r="L179" s="252"/>
      <c r="M179" s="252"/>
      <c r="N179" s="251"/>
      <c r="O179" s="252"/>
      <c r="P179" s="195"/>
      <c r="Q179" s="105"/>
      <c r="R179" s="105"/>
      <c r="S179" s="105"/>
      <c r="T179" s="105"/>
    </row>
    <row r="180" hidden="1">
      <c r="A180" s="196">
        <v>189.0</v>
      </c>
      <c r="B180" s="253" t="s">
        <v>1735</v>
      </c>
      <c r="C180" s="253" t="s">
        <v>1736</v>
      </c>
      <c r="D180" s="253" t="s">
        <v>1737</v>
      </c>
      <c r="E180" s="253" t="s">
        <v>1738</v>
      </c>
      <c r="F180" s="254" t="s">
        <v>1815</v>
      </c>
      <c r="G180" s="255"/>
      <c r="H180" s="255"/>
      <c r="I180" s="256" t="s">
        <v>3097</v>
      </c>
      <c r="J180" s="9"/>
      <c r="K180" s="9"/>
      <c r="L180" s="9"/>
      <c r="M180" s="9"/>
      <c r="N180" s="9"/>
      <c r="O180" s="10"/>
      <c r="P180" s="195"/>
      <c r="Q180" s="105"/>
      <c r="R180" s="105"/>
      <c r="S180" s="105"/>
      <c r="T180" s="105"/>
    </row>
    <row r="181" hidden="1">
      <c r="A181" s="198">
        <v>190.0</v>
      </c>
      <c r="B181" s="253"/>
      <c r="C181" s="253"/>
      <c r="D181" s="253"/>
      <c r="E181" s="253"/>
      <c r="F181" s="262"/>
      <c r="G181" s="263"/>
      <c r="H181" s="263" t="s">
        <v>2483</v>
      </c>
      <c r="I181" s="144" t="s">
        <v>3094</v>
      </c>
      <c r="J181" s="264" t="s">
        <v>3095</v>
      </c>
      <c r="K181" s="265" t="s">
        <v>3096</v>
      </c>
      <c r="L181" s="264" t="s">
        <v>3098</v>
      </c>
      <c r="M181" s="266" t="s">
        <v>18</v>
      </c>
      <c r="N181" s="143" t="s">
        <v>2491</v>
      </c>
      <c r="O181" s="267" t="s">
        <v>19</v>
      </c>
      <c r="P181" s="195"/>
      <c r="Q181" s="105"/>
      <c r="R181" s="105"/>
      <c r="S181" s="105"/>
      <c r="T181" s="105"/>
    </row>
    <row r="182" hidden="1">
      <c r="A182" s="196">
        <v>191.0</v>
      </c>
      <c r="B182" s="225">
        <v>1.0</v>
      </c>
      <c r="C182" s="214" t="s">
        <v>1928</v>
      </c>
      <c r="D182" s="99"/>
      <c r="E182" s="214" t="s">
        <v>1929</v>
      </c>
      <c r="F182" s="99" t="s">
        <v>3099</v>
      </c>
      <c r="G182" s="215"/>
      <c r="H182" s="215" t="str">
        <f>iferror(vlookup(E182,'Kelas XI - X(32)'!$D$11:$H987,3,false),"")</f>
        <v>Ibrahim</v>
      </c>
      <c r="I182" s="69">
        <v>1.0</v>
      </c>
      <c r="J182" s="222">
        <v>0.0</v>
      </c>
      <c r="K182" s="69">
        <v>0.0</v>
      </c>
      <c r="L182" s="223">
        <f t="shared" ref="L182:L217" si="23">K182+J182</f>
        <v>0</v>
      </c>
      <c r="M182" s="146">
        <f t="shared" ref="M182:M217" si="24">(K182+J182)/(I182+1)</f>
        <v>0</v>
      </c>
      <c r="N182" s="224"/>
      <c r="O182" s="75" t="str">
        <f t="shared" ref="O182:O193" si="25">IF(M182&gt;=50%,"A","B")</f>
        <v>B</v>
      </c>
      <c r="P182" s="195"/>
      <c r="Q182" s="105"/>
      <c r="R182" s="105"/>
      <c r="S182" s="105"/>
      <c r="T182" s="105"/>
    </row>
    <row r="183" hidden="1">
      <c r="A183" s="198">
        <v>192.0</v>
      </c>
      <c r="B183" s="234">
        <v>2.0</v>
      </c>
      <c r="C183" s="104" t="s">
        <v>1930</v>
      </c>
      <c r="D183" s="246"/>
      <c r="E183" s="104" t="s">
        <v>1931</v>
      </c>
      <c r="F183" s="246" t="s">
        <v>3100</v>
      </c>
      <c r="G183" s="235"/>
      <c r="H183" s="235" t="str">
        <f>iferror(vlookup(E183,'Kelas XI - X(32)'!$D$11:$H987,3,false),"")</f>
        <v>Iga</v>
      </c>
      <c r="I183" s="150">
        <f>iferror(vlookup(E183,'Kelas XI - X(32)'!$D$11:$H987,4,false),"")</f>
        <v>4</v>
      </c>
      <c r="J183" s="216">
        <v>0.0</v>
      </c>
      <c r="K183" s="150">
        <v>0.0</v>
      </c>
      <c r="L183" s="217">
        <f t="shared" si="23"/>
        <v>0</v>
      </c>
      <c r="M183" s="218">
        <f t="shared" si="24"/>
        <v>0</v>
      </c>
      <c r="N183" s="219"/>
      <c r="O183" s="75" t="str">
        <f t="shared" si="25"/>
        <v>B</v>
      </c>
      <c r="P183" s="195"/>
      <c r="Q183" s="105"/>
      <c r="R183" s="105"/>
      <c r="S183" s="105"/>
      <c r="T183" s="105"/>
    </row>
    <row r="184" hidden="1">
      <c r="A184" s="196">
        <v>193.0</v>
      </c>
      <c r="B184" s="234">
        <v>3.0</v>
      </c>
      <c r="C184" s="104" t="s">
        <v>1932</v>
      </c>
      <c r="D184" s="246"/>
      <c r="E184" s="104" t="s">
        <v>1933</v>
      </c>
      <c r="F184" s="246" t="s">
        <v>3100</v>
      </c>
      <c r="G184" s="235"/>
      <c r="H184" s="235" t="str">
        <f>iferror(vlookup(E184,'Kelas XI - X(32)'!$D$11:$H987,3,false),"")</f>
        <v/>
      </c>
      <c r="I184" s="150">
        <f>iferror(vlookup(E184,'Kelas XI - X(32)'!$D$11:$H987,4,false),"")</f>
        <v>6</v>
      </c>
      <c r="J184" s="217">
        <f>iferror(vlookup(E184,MasterClass!$C$2:$G987,5,false),"")</f>
        <v>1</v>
      </c>
      <c r="K184" s="150">
        <f>iferror(vlookup(E184,'Kelas XI - X(32)'!$D$11:$H987,5,false),"")</f>
        <v>6</v>
      </c>
      <c r="L184" s="217">
        <f t="shared" si="23"/>
        <v>7</v>
      </c>
      <c r="M184" s="218">
        <f t="shared" si="24"/>
        <v>1</v>
      </c>
      <c r="N184" s="219"/>
      <c r="O184" s="75" t="str">
        <f t="shared" si="25"/>
        <v>A</v>
      </c>
      <c r="P184" s="195"/>
      <c r="Q184" s="105"/>
      <c r="R184" s="105"/>
      <c r="S184" s="105"/>
      <c r="T184" s="105"/>
    </row>
    <row r="185" hidden="1">
      <c r="A185" s="198">
        <v>194.0</v>
      </c>
      <c r="B185" s="234">
        <v>4.0</v>
      </c>
      <c r="C185" s="104" t="s">
        <v>1934</v>
      </c>
      <c r="D185" s="246"/>
      <c r="E185" s="104" t="s">
        <v>1935</v>
      </c>
      <c r="F185" s="246" t="s">
        <v>3099</v>
      </c>
      <c r="G185" s="235"/>
      <c r="H185" s="235" t="str">
        <f>iferror(vlookup(E185,'Kelas XI - X(32)'!$D$11:$H987,3,false),"")</f>
        <v/>
      </c>
      <c r="I185" s="150">
        <f>iferror(vlookup(E185,'Kelas XI - X(32)'!$D$11:$H987,4,false),"")</f>
        <v>4</v>
      </c>
      <c r="J185" s="216">
        <v>0.0</v>
      </c>
      <c r="K185" s="150">
        <v>0.0</v>
      </c>
      <c r="L185" s="217">
        <f t="shared" si="23"/>
        <v>0</v>
      </c>
      <c r="M185" s="218">
        <f t="shared" si="24"/>
        <v>0</v>
      </c>
      <c r="N185" s="219"/>
      <c r="O185" s="75" t="str">
        <f t="shared" si="25"/>
        <v>B</v>
      </c>
      <c r="P185" s="195"/>
      <c r="Q185" s="105"/>
      <c r="R185" s="105"/>
      <c r="S185" s="105"/>
      <c r="T185" s="105"/>
    </row>
    <row r="186" hidden="1">
      <c r="A186" s="196">
        <v>195.0</v>
      </c>
      <c r="B186" s="234">
        <v>5.0</v>
      </c>
      <c r="C186" s="104" t="s">
        <v>1936</v>
      </c>
      <c r="D186" s="246"/>
      <c r="E186" s="104" t="s">
        <v>1937</v>
      </c>
      <c r="F186" s="246" t="s">
        <v>3100</v>
      </c>
      <c r="G186" s="235"/>
      <c r="H186" s="235" t="str">
        <f>iferror(vlookup(E186,'Kelas XI - X(32)'!$D$11:$H987,3,false),"")</f>
        <v/>
      </c>
      <c r="I186" s="150">
        <v>1.0</v>
      </c>
      <c r="J186" s="216">
        <v>0.0</v>
      </c>
      <c r="K186" s="150">
        <v>0.0</v>
      </c>
      <c r="L186" s="217">
        <f t="shared" si="23"/>
        <v>0</v>
      </c>
      <c r="M186" s="218">
        <f t="shared" si="24"/>
        <v>0</v>
      </c>
      <c r="N186" s="219"/>
      <c r="O186" s="75" t="str">
        <f t="shared" si="25"/>
        <v>B</v>
      </c>
      <c r="P186" s="195"/>
      <c r="Q186" s="105"/>
      <c r="R186" s="105"/>
      <c r="S186" s="105"/>
      <c r="T186" s="105"/>
    </row>
    <row r="187" hidden="1">
      <c r="A187" s="198">
        <v>196.0</v>
      </c>
      <c r="B187" s="234">
        <v>6.0</v>
      </c>
      <c r="C187" s="104" t="s">
        <v>1938</v>
      </c>
      <c r="D187" s="246"/>
      <c r="E187" s="104" t="s">
        <v>1939</v>
      </c>
      <c r="F187" s="246" t="s">
        <v>3099</v>
      </c>
      <c r="G187" s="235"/>
      <c r="H187" s="235" t="str">
        <f>iferror(vlookup(E187,'Kelas XI - X(32)'!$D$11:$H987,3,false),"")</f>
        <v/>
      </c>
      <c r="I187" s="150">
        <f>iferror(vlookup(E187,'Kelas XI - X(32)'!$D$11:$H987,4,false),"")</f>
        <v>8</v>
      </c>
      <c r="J187" s="217">
        <f>iferror(vlookup(E187,MasterClass!$C$2:$G987,5,false),"")</f>
        <v>1</v>
      </c>
      <c r="K187" s="150">
        <f>iferror(vlookup(E187,'Kelas XI - X(32)'!$D$11:$H987,5,false),"")</f>
        <v>2</v>
      </c>
      <c r="L187" s="217">
        <f t="shared" si="23"/>
        <v>3</v>
      </c>
      <c r="M187" s="218">
        <f t="shared" si="24"/>
        <v>0.3333333333</v>
      </c>
      <c r="N187" s="219"/>
      <c r="O187" s="75" t="str">
        <f t="shared" si="25"/>
        <v>B</v>
      </c>
      <c r="P187" s="195"/>
      <c r="Q187" s="105"/>
      <c r="R187" s="105"/>
      <c r="S187" s="105"/>
      <c r="T187" s="105"/>
    </row>
    <row r="188" hidden="1">
      <c r="A188" s="196">
        <v>197.0</v>
      </c>
      <c r="B188" s="234">
        <v>7.0</v>
      </c>
      <c r="C188" s="104" t="s">
        <v>1940</v>
      </c>
      <c r="D188" s="246"/>
      <c r="E188" s="104" t="s">
        <v>1941</v>
      </c>
      <c r="F188" s="246" t="s">
        <v>3100</v>
      </c>
      <c r="G188" s="235"/>
      <c r="H188" s="235" t="str">
        <f>iferror(vlookup(E188,'Kelas XI - X(32)'!$D$11:$H987,3,false),"")</f>
        <v/>
      </c>
      <c r="I188" s="150">
        <v>1.0</v>
      </c>
      <c r="J188" s="216">
        <v>0.0</v>
      </c>
      <c r="K188" s="150">
        <v>0.0</v>
      </c>
      <c r="L188" s="217">
        <f t="shared" si="23"/>
        <v>0</v>
      </c>
      <c r="M188" s="218">
        <f t="shared" si="24"/>
        <v>0</v>
      </c>
      <c r="N188" s="219"/>
      <c r="O188" s="75" t="str">
        <f t="shared" si="25"/>
        <v>B</v>
      </c>
      <c r="P188" s="195"/>
      <c r="Q188" s="105"/>
      <c r="R188" s="105"/>
      <c r="S188" s="105"/>
      <c r="T188" s="105"/>
    </row>
    <row r="189" hidden="1">
      <c r="A189" s="198">
        <v>198.0</v>
      </c>
      <c r="B189" s="234">
        <v>8.0</v>
      </c>
      <c r="C189" s="104" t="s">
        <v>1942</v>
      </c>
      <c r="D189" s="246"/>
      <c r="E189" s="104" t="s">
        <v>1943</v>
      </c>
      <c r="F189" s="246" t="s">
        <v>3099</v>
      </c>
      <c r="G189" s="235"/>
      <c r="H189" s="235" t="str">
        <f>iferror(vlookup(E189,'Kelas XI - X(32)'!$D$11:$H987,3,false),"")</f>
        <v>Najmi</v>
      </c>
      <c r="I189" s="150">
        <f>iferror(vlookup(E189,'Kelas XI - X(32)'!$D$11:$H987,4,false),"")</f>
        <v>5</v>
      </c>
      <c r="J189" s="216">
        <v>0.0</v>
      </c>
      <c r="K189" s="150">
        <f>iferror(vlookup(E189,'Kelas XI - X(32)'!$D$11:$H987,5,false),"")</f>
        <v>5</v>
      </c>
      <c r="L189" s="217">
        <f t="shared" si="23"/>
        <v>5</v>
      </c>
      <c r="M189" s="218">
        <f t="shared" si="24"/>
        <v>0.8333333333</v>
      </c>
      <c r="N189" s="219"/>
      <c r="O189" s="75" t="str">
        <f t="shared" si="25"/>
        <v>A</v>
      </c>
      <c r="P189" s="195"/>
      <c r="Q189" s="105"/>
      <c r="R189" s="105"/>
      <c r="S189" s="105"/>
      <c r="T189" s="105"/>
    </row>
    <row r="190" hidden="1">
      <c r="A190" s="196">
        <v>199.0</v>
      </c>
      <c r="B190" s="234">
        <v>9.0</v>
      </c>
      <c r="C190" s="104" t="s">
        <v>1944</v>
      </c>
      <c r="D190" s="246"/>
      <c r="E190" s="104" t="s">
        <v>1945</v>
      </c>
      <c r="F190" s="246" t="s">
        <v>3099</v>
      </c>
      <c r="G190" s="235"/>
      <c r="H190" s="235" t="str">
        <f>iferror(vlookup(E190,'Kelas XI - X(32)'!$D$11:$H987,3,false),"")</f>
        <v/>
      </c>
      <c r="I190" s="150">
        <v>1.0</v>
      </c>
      <c r="J190" s="217">
        <f>iferror(vlookup(E190,MasterClass!$C$2:$G987,5,false),"")</f>
        <v>1</v>
      </c>
      <c r="K190" s="150">
        <v>0.0</v>
      </c>
      <c r="L190" s="217">
        <f t="shared" si="23"/>
        <v>1</v>
      </c>
      <c r="M190" s="218">
        <f t="shared" si="24"/>
        <v>0.5</v>
      </c>
      <c r="N190" s="219"/>
      <c r="O190" s="75" t="str">
        <f t="shared" si="25"/>
        <v>A</v>
      </c>
      <c r="P190" s="195"/>
      <c r="Q190" s="105"/>
      <c r="R190" s="105"/>
      <c r="S190" s="105"/>
      <c r="T190" s="105"/>
    </row>
    <row r="191" hidden="1">
      <c r="A191" s="198">
        <v>200.0</v>
      </c>
      <c r="B191" s="212">
        <v>10.0</v>
      </c>
      <c r="C191" s="213" t="s">
        <v>1946</v>
      </c>
      <c r="D191" s="258"/>
      <c r="E191" s="213" t="s">
        <v>1947</v>
      </c>
      <c r="F191" s="99" t="s">
        <v>3099</v>
      </c>
      <c r="G191" s="215"/>
      <c r="H191" s="215" t="str">
        <f>iferror(vlookup(E191,'Kelas XI - X(32)'!$D$11:$H987,3,false),"")</f>
        <v>Zalika</v>
      </c>
      <c r="I191" s="69">
        <f>iferror(vlookup(E191,'Kelas XI - X(32)'!$D$11:$H987,4,false),"")</f>
        <v>5</v>
      </c>
      <c r="J191" s="217">
        <f>iferror(vlookup(E191,MasterClass!$C$2:$G987,5,false),"")</f>
        <v>1</v>
      </c>
      <c r="K191" s="150">
        <f>iferror(vlookup(E191,'Kelas XI - X(32)'!$D$11:$H987,5,false),"")</f>
        <v>3</v>
      </c>
      <c r="L191" s="217">
        <f t="shared" si="23"/>
        <v>4</v>
      </c>
      <c r="M191" s="218">
        <f t="shared" si="24"/>
        <v>0.6666666667</v>
      </c>
      <c r="N191" s="219"/>
      <c r="O191" s="75" t="str">
        <f t="shared" si="25"/>
        <v>A</v>
      </c>
      <c r="P191" s="195"/>
      <c r="Q191" s="105"/>
      <c r="R191" s="105"/>
      <c r="S191" s="105"/>
      <c r="T191" s="105"/>
    </row>
    <row r="192" hidden="1">
      <c r="A192" s="196">
        <v>201.0</v>
      </c>
      <c r="B192" s="220">
        <v>11.0</v>
      </c>
      <c r="C192" s="221" t="s">
        <v>1948</v>
      </c>
      <c r="D192" s="259"/>
      <c r="E192" s="221" t="s">
        <v>1949</v>
      </c>
      <c r="F192" s="99" t="s">
        <v>3099</v>
      </c>
      <c r="G192" s="215"/>
      <c r="H192" s="215" t="str">
        <f>iferror(vlookup(E192,'Kelas XI - X(32)'!$D$11:$H987,3,false),"")</f>
        <v/>
      </c>
      <c r="I192" s="69">
        <f>iferror(vlookup(E192,'Kelas XI - X(32)'!$D$11:$H987,4,false),"")</f>
        <v>7</v>
      </c>
      <c r="J192" s="222">
        <v>0.0</v>
      </c>
      <c r="K192" s="69">
        <v>0.0</v>
      </c>
      <c r="L192" s="223">
        <f t="shared" si="23"/>
        <v>0</v>
      </c>
      <c r="M192" s="146">
        <f t="shared" si="24"/>
        <v>0</v>
      </c>
      <c r="N192" s="224"/>
      <c r="O192" s="75" t="str">
        <f t="shared" si="25"/>
        <v>B</v>
      </c>
      <c r="P192" s="195"/>
      <c r="Q192" s="105"/>
      <c r="R192" s="105"/>
      <c r="S192" s="105"/>
      <c r="T192" s="105"/>
    </row>
    <row r="193" hidden="1">
      <c r="A193" s="198">
        <v>202.0</v>
      </c>
      <c r="B193" s="225">
        <v>12.0</v>
      </c>
      <c r="C193" s="214" t="s">
        <v>1950</v>
      </c>
      <c r="D193" s="99"/>
      <c r="E193" s="214" t="s">
        <v>1951</v>
      </c>
      <c r="F193" s="99" t="s">
        <v>3099</v>
      </c>
      <c r="G193" s="215"/>
      <c r="H193" s="215" t="str">
        <f>iferror(vlookup(E193,'Kelas XI - X(32)'!$D$11:$H987,3,false),"")</f>
        <v/>
      </c>
      <c r="I193" s="69">
        <v>1.0</v>
      </c>
      <c r="J193" s="222">
        <v>0.0</v>
      </c>
      <c r="K193" s="69">
        <v>0.0</v>
      </c>
      <c r="L193" s="223">
        <f t="shared" si="23"/>
        <v>0</v>
      </c>
      <c r="M193" s="146">
        <f t="shared" si="24"/>
        <v>0</v>
      </c>
      <c r="N193" s="224"/>
      <c r="O193" s="75" t="str">
        <f t="shared" si="25"/>
        <v>B</v>
      </c>
      <c r="P193" s="195"/>
      <c r="Q193" s="105"/>
      <c r="R193" s="105"/>
      <c r="S193" s="105"/>
      <c r="T193" s="105"/>
    </row>
    <row r="194" hidden="1">
      <c r="A194" s="196">
        <v>203.0</v>
      </c>
      <c r="B194" s="225">
        <v>13.0</v>
      </c>
      <c r="C194" s="214" t="s">
        <v>1952</v>
      </c>
      <c r="D194" s="99"/>
      <c r="E194" s="214" t="s">
        <v>1953</v>
      </c>
      <c r="F194" s="99" t="s">
        <v>3100</v>
      </c>
      <c r="G194" s="215"/>
      <c r="H194" s="215" t="str">
        <f>iferror(vlookup(E194,'Kelas XI - X(32)'!$D$11:$H987,3,false),"")</f>
        <v>Ukhti</v>
      </c>
      <c r="I194" s="69">
        <f>iferror(vlookup(E194,'Kelas XI - X(32)'!$D$11:$H987,4,false),"")</f>
        <v>13</v>
      </c>
      <c r="J194" s="222">
        <v>0.0</v>
      </c>
      <c r="K194" s="69">
        <f>iferror(vlookup(E194,'Kelas XI - X(32)'!$D$11:$H987,5,false),"")</f>
        <v>9</v>
      </c>
      <c r="L194" s="223">
        <f t="shared" si="23"/>
        <v>9</v>
      </c>
      <c r="M194" s="146">
        <f t="shared" si="24"/>
        <v>0.6428571429</v>
      </c>
      <c r="N194" s="236" t="s">
        <v>3107</v>
      </c>
      <c r="O194" s="69" t="s">
        <v>1163</v>
      </c>
      <c r="P194" s="195"/>
      <c r="Q194" s="105"/>
      <c r="R194" s="105"/>
      <c r="S194" s="105"/>
      <c r="T194" s="105"/>
    </row>
    <row r="195" hidden="1">
      <c r="A195" s="198">
        <v>204.0</v>
      </c>
      <c r="B195" s="225">
        <v>14.0</v>
      </c>
      <c r="C195" s="214" t="s">
        <v>1954</v>
      </c>
      <c r="D195" s="99"/>
      <c r="E195" s="214" t="s">
        <v>1955</v>
      </c>
      <c r="F195" s="99" t="s">
        <v>3099</v>
      </c>
      <c r="G195" s="215"/>
      <c r="H195" s="215" t="str">
        <f>iferror(vlookup(E195,'Kelas XI - X(32)'!$D$11:$H987,3,false),"")</f>
        <v/>
      </c>
      <c r="I195" s="69">
        <f>iferror(vlookup(E195,'Kelas XI - X(32)'!$D$11:$H987,4,false),"")</f>
        <v>8</v>
      </c>
      <c r="J195" s="223">
        <f>iferror(vlookup(E195,MasterClass!$C$2:$G987,5,false),"")</f>
        <v>1</v>
      </c>
      <c r="K195" s="69">
        <f>iferror(vlookup(E195,'Kelas XI - X(32)'!$D$11:$H987,5,false),"")</f>
        <v>1</v>
      </c>
      <c r="L195" s="223">
        <f t="shared" si="23"/>
        <v>2</v>
      </c>
      <c r="M195" s="146">
        <f t="shared" si="24"/>
        <v>0.2222222222</v>
      </c>
      <c r="N195" s="224"/>
      <c r="O195" s="75" t="str">
        <f t="shared" ref="O195:O201" si="26">IF(M195&gt;=50%,"A","B")</f>
        <v>B</v>
      </c>
      <c r="P195" s="195"/>
      <c r="Q195" s="105"/>
      <c r="R195" s="105"/>
      <c r="S195" s="105"/>
      <c r="T195" s="105"/>
    </row>
    <row r="196" hidden="1">
      <c r="A196" s="196">
        <v>205.0</v>
      </c>
      <c r="B196" s="225">
        <v>15.0</v>
      </c>
      <c r="C196" s="214" t="s">
        <v>1956</v>
      </c>
      <c r="D196" s="99"/>
      <c r="E196" s="214" t="s">
        <v>1957</v>
      </c>
      <c r="F196" s="99" t="s">
        <v>3099</v>
      </c>
      <c r="G196" s="215"/>
      <c r="H196" s="215" t="str">
        <f>iferror(vlookup(E196,'Kelas XI - X(32)'!$D$11:$H987,3,false),"")</f>
        <v/>
      </c>
      <c r="I196" s="69">
        <f>iferror(vlookup(E196,'Kelas XI - X(32)'!$D$11:$H987,4,false),"")</f>
        <v>6</v>
      </c>
      <c r="J196" s="223">
        <f>iferror(vlookup(E196,MasterClass!$C$2:$G987,5,false),"")</f>
        <v>1</v>
      </c>
      <c r="K196" s="69">
        <f>iferror(vlookup(E196,'Kelas XI - X(32)'!$D$11:$H987,5,false),"")</f>
        <v>1</v>
      </c>
      <c r="L196" s="223">
        <f t="shared" si="23"/>
        <v>2</v>
      </c>
      <c r="M196" s="146">
        <f t="shared" si="24"/>
        <v>0.2857142857</v>
      </c>
      <c r="N196" s="224"/>
      <c r="O196" s="75" t="str">
        <f t="shared" si="26"/>
        <v>B</v>
      </c>
      <c r="P196" s="195"/>
      <c r="Q196" s="105"/>
      <c r="R196" s="105"/>
      <c r="S196" s="105"/>
      <c r="T196" s="105"/>
    </row>
    <row r="197" hidden="1">
      <c r="A197" s="198">
        <v>206.0</v>
      </c>
      <c r="B197" s="225">
        <v>16.0</v>
      </c>
      <c r="C197" s="214" t="s">
        <v>1958</v>
      </c>
      <c r="D197" s="99"/>
      <c r="E197" s="214" t="s">
        <v>1959</v>
      </c>
      <c r="F197" s="99" t="s">
        <v>3099</v>
      </c>
      <c r="G197" s="215"/>
      <c r="H197" s="215" t="str">
        <f>iferror(vlookup(E197,'Kelas XI - X(32)'!$D$11:$H987,3,false),"")</f>
        <v>Taufik</v>
      </c>
      <c r="I197" s="69">
        <f>iferror(vlookup(E197,'Kelas XI - X(32)'!$D$11:$H987,4,false),"")</f>
        <v>7</v>
      </c>
      <c r="J197" s="222">
        <v>0.0</v>
      </c>
      <c r="K197" s="69">
        <f>iferror(vlookup(E197,'Kelas XI - X(32)'!$D$11:$H987,5,false),"")</f>
        <v>1</v>
      </c>
      <c r="L197" s="223">
        <f t="shared" si="23"/>
        <v>1</v>
      </c>
      <c r="M197" s="146">
        <f t="shared" si="24"/>
        <v>0.125</v>
      </c>
      <c r="N197" s="224"/>
      <c r="O197" s="75" t="str">
        <f t="shared" si="26"/>
        <v>B</v>
      </c>
      <c r="P197" s="195"/>
      <c r="Q197" s="105"/>
      <c r="R197" s="105"/>
      <c r="S197" s="105"/>
      <c r="T197" s="105"/>
    </row>
    <row r="198" hidden="1">
      <c r="A198" s="196">
        <v>207.0</v>
      </c>
      <c r="B198" s="225">
        <v>17.0</v>
      </c>
      <c r="C198" s="214" t="s">
        <v>1960</v>
      </c>
      <c r="D198" s="99"/>
      <c r="E198" s="214" t="s">
        <v>1961</v>
      </c>
      <c r="F198" s="99" t="s">
        <v>3100</v>
      </c>
      <c r="G198" s="215"/>
      <c r="H198" s="215" t="str">
        <f>iferror(vlookup(E198,'Kelas XI - X(32)'!$D$11:$H987,3,false),"")</f>
        <v/>
      </c>
      <c r="I198" s="69">
        <f>iferror(vlookup(E198,'Kelas XI - X(32)'!$D$11:$H987,4,false),"")</f>
        <v>6</v>
      </c>
      <c r="J198" s="222">
        <v>0.0</v>
      </c>
      <c r="K198" s="69">
        <f>iferror(vlookup(E198,'Kelas XI - X(32)'!$D$11:$H987,5,false),"")</f>
        <v>2</v>
      </c>
      <c r="L198" s="223">
        <f t="shared" si="23"/>
        <v>2</v>
      </c>
      <c r="M198" s="146">
        <f t="shared" si="24"/>
        <v>0.2857142857</v>
      </c>
      <c r="N198" s="224"/>
      <c r="O198" s="75" t="str">
        <f t="shared" si="26"/>
        <v>B</v>
      </c>
      <c r="P198" s="195"/>
      <c r="Q198" s="105"/>
      <c r="R198" s="105"/>
      <c r="S198" s="105"/>
      <c r="T198" s="105"/>
    </row>
    <row r="199" hidden="1">
      <c r="A199" s="198">
        <v>208.0</v>
      </c>
      <c r="B199" s="225">
        <v>18.0</v>
      </c>
      <c r="C199" s="214" t="s">
        <v>1962</v>
      </c>
      <c r="D199" s="99"/>
      <c r="E199" s="214" t="s">
        <v>1963</v>
      </c>
      <c r="F199" s="99" t="s">
        <v>3100</v>
      </c>
      <c r="G199" s="215"/>
      <c r="H199" s="215" t="str">
        <f>iferror(vlookup(E199,'Kelas XI - X(32)'!$D$11:$H987,3,false),"")</f>
        <v/>
      </c>
      <c r="I199" s="69">
        <f>iferror(vlookup(E199,'Kelas XI - X(32)'!$D$11:$H987,4,false),"")</f>
        <v>6</v>
      </c>
      <c r="J199" s="222">
        <v>0.0</v>
      </c>
      <c r="K199" s="69">
        <f>iferror(vlookup(E199,'Kelas XI - X(32)'!$D$11:$H987,5,false),"")</f>
        <v>5</v>
      </c>
      <c r="L199" s="223">
        <f t="shared" si="23"/>
        <v>5</v>
      </c>
      <c r="M199" s="146">
        <f t="shared" si="24"/>
        <v>0.7142857143</v>
      </c>
      <c r="N199" s="224"/>
      <c r="O199" s="75" t="str">
        <f t="shared" si="26"/>
        <v>A</v>
      </c>
      <c r="P199" s="195"/>
      <c r="Q199" s="105"/>
      <c r="R199" s="105"/>
      <c r="S199" s="105"/>
      <c r="T199" s="105"/>
    </row>
    <row r="200" hidden="1">
      <c r="A200" s="196">
        <v>209.0</v>
      </c>
      <c r="B200" s="225">
        <v>19.0</v>
      </c>
      <c r="C200" s="214" t="s">
        <v>1964</v>
      </c>
      <c r="D200" s="99"/>
      <c r="E200" s="214" t="s">
        <v>1965</v>
      </c>
      <c r="F200" s="99" t="s">
        <v>3100</v>
      </c>
      <c r="G200" s="215"/>
      <c r="H200" s="215" t="str">
        <f>iferror(vlookup(E200,'Kelas XI - X(32)'!$D$11:$H987,3,false),"")</f>
        <v>Zalika</v>
      </c>
      <c r="I200" s="69">
        <f>iferror(vlookup(E200,'Kelas XI - X(32)'!$D$11:$H987,4,false),"")</f>
        <v>5</v>
      </c>
      <c r="J200" s="223">
        <f>iferror(vlookup(E200,MasterClass!$C$2:$G987,5,false),"")</f>
        <v>1</v>
      </c>
      <c r="K200" s="69">
        <f>iferror(vlookup(E200,'Kelas XI - X(32)'!$D$11:$H987,5,false),"")</f>
        <v>4</v>
      </c>
      <c r="L200" s="223">
        <f t="shared" si="23"/>
        <v>5</v>
      </c>
      <c r="M200" s="146">
        <f t="shared" si="24"/>
        <v>0.8333333333</v>
      </c>
      <c r="N200" s="224"/>
      <c r="O200" s="75" t="str">
        <f t="shared" si="26"/>
        <v>A</v>
      </c>
      <c r="P200" s="195"/>
      <c r="Q200" s="105"/>
      <c r="R200" s="105"/>
      <c r="S200" s="105"/>
      <c r="T200" s="105"/>
    </row>
    <row r="201" hidden="1">
      <c r="A201" s="198">
        <v>210.0</v>
      </c>
      <c r="B201" s="225">
        <v>20.0</v>
      </c>
      <c r="C201" s="214" t="s">
        <v>1966</v>
      </c>
      <c r="D201" s="99"/>
      <c r="E201" s="214" t="s">
        <v>1967</v>
      </c>
      <c r="F201" s="99" t="s">
        <v>3100</v>
      </c>
      <c r="G201" s="215"/>
      <c r="H201" s="215" t="str">
        <f>iferror(vlookup(E201,'Kelas XI - X(32)'!$D$11:$H987,3,false),"")</f>
        <v/>
      </c>
      <c r="I201" s="69">
        <v>1.0</v>
      </c>
      <c r="J201" s="222">
        <v>0.0</v>
      </c>
      <c r="K201" s="69">
        <v>0.0</v>
      </c>
      <c r="L201" s="223">
        <f t="shared" si="23"/>
        <v>0</v>
      </c>
      <c r="M201" s="146">
        <f t="shared" si="24"/>
        <v>0</v>
      </c>
      <c r="N201" s="224"/>
      <c r="O201" s="75" t="str">
        <f t="shared" si="26"/>
        <v>B</v>
      </c>
      <c r="P201" s="195"/>
      <c r="Q201" s="105"/>
      <c r="R201" s="105"/>
      <c r="S201" s="105"/>
      <c r="T201" s="105"/>
    </row>
    <row r="202" hidden="1">
      <c r="A202" s="196">
        <v>211.0</v>
      </c>
      <c r="B202" s="225">
        <v>21.0</v>
      </c>
      <c r="C202" s="214" t="s">
        <v>1968</v>
      </c>
      <c r="D202" s="99"/>
      <c r="E202" s="214" t="s">
        <v>1969</v>
      </c>
      <c r="F202" s="99" t="s">
        <v>3099</v>
      </c>
      <c r="G202" s="215"/>
      <c r="H202" s="215" t="str">
        <f>iferror(vlookup(E202,'Kelas XI - X(32)'!$D$11:$H987,3,false),"")</f>
        <v/>
      </c>
      <c r="I202" s="69">
        <v>1.0</v>
      </c>
      <c r="J202" s="222">
        <v>0.0</v>
      </c>
      <c r="K202" s="69">
        <v>0.0</v>
      </c>
      <c r="L202" s="223">
        <f t="shared" si="23"/>
        <v>0</v>
      </c>
      <c r="M202" s="146">
        <f t="shared" si="24"/>
        <v>0</v>
      </c>
      <c r="N202" s="236" t="s">
        <v>3106</v>
      </c>
      <c r="O202" s="69" t="s">
        <v>1163</v>
      </c>
      <c r="P202" s="195"/>
      <c r="Q202" s="105"/>
      <c r="R202" s="105"/>
      <c r="S202" s="105"/>
      <c r="T202" s="105"/>
    </row>
    <row r="203" hidden="1">
      <c r="A203" s="198">
        <v>212.0</v>
      </c>
      <c r="B203" s="225">
        <v>22.0</v>
      </c>
      <c r="C203" s="214" t="s">
        <v>1970</v>
      </c>
      <c r="D203" s="99"/>
      <c r="E203" s="214" t="s">
        <v>1971</v>
      </c>
      <c r="F203" s="99" t="s">
        <v>3099</v>
      </c>
      <c r="G203" s="215"/>
      <c r="H203" s="215" t="str">
        <f>iferror(vlookup(E203,'Kelas XI - X(32)'!$D$11:$H987,3,false),"")</f>
        <v/>
      </c>
      <c r="I203" s="69">
        <f>iferror(vlookup(E203,'Kelas XI - X(32)'!$D$11:$H987,4,false),"")</f>
        <v>8</v>
      </c>
      <c r="J203" s="223">
        <f>iferror(vlookup(E203,MasterClass!$C$2:$G987,5,false),"")</f>
        <v>1</v>
      </c>
      <c r="K203" s="69">
        <f>iferror(vlookup(E203,'Kelas XI - X(32)'!$D$11:$H987,5,false),"")</f>
        <v>4</v>
      </c>
      <c r="L203" s="223">
        <f t="shared" si="23"/>
        <v>5</v>
      </c>
      <c r="M203" s="146">
        <f t="shared" si="24"/>
        <v>0.5555555556</v>
      </c>
      <c r="N203" s="224"/>
      <c r="O203" s="75" t="str">
        <f t="shared" ref="O203:O213" si="27">IF(M203&gt;=50%,"A","B")</f>
        <v>A</v>
      </c>
      <c r="P203" s="195"/>
      <c r="Q203" s="105"/>
      <c r="R203" s="105"/>
      <c r="S203" s="105"/>
      <c r="T203" s="105"/>
    </row>
    <row r="204" hidden="1">
      <c r="A204" s="196">
        <v>213.0</v>
      </c>
      <c r="B204" s="225">
        <v>23.0</v>
      </c>
      <c r="C204" s="214" t="s">
        <v>1972</v>
      </c>
      <c r="D204" s="99"/>
      <c r="E204" s="214" t="s">
        <v>1973</v>
      </c>
      <c r="F204" s="99" t="s">
        <v>3099</v>
      </c>
      <c r="G204" s="215"/>
      <c r="H204" s="215" t="str">
        <f>iferror(vlookup(E204,'Kelas XI - X(32)'!$D$11:$H987,3,false),"")</f>
        <v/>
      </c>
      <c r="I204" s="69">
        <v>1.0</v>
      </c>
      <c r="J204" s="222">
        <v>0.0</v>
      </c>
      <c r="K204" s="69">
        <v>0.0</v>
      </c>
      <c r="L204" s="223">
        <f t="shared" si="23"/>
        <v>0</v>
      </c>
      <c r="M204" s="146">
        <f t="shared" si="24"/>
        <v>0</v>
      </c>
      <c r="N204" s="224"/>
      <c r="O204" s="75" t="str">
        <f t="shared" si="27"/>
        <v>B</v>
      </c>
      <c r="P204" s="195"/>
      <c r="Q204" s="105"/>
      <c r="R204" s="105"/>
      <c r="S204" s="105"/>
      <c r="T204" s="105"/>
    </row>
    <row r="205" hidden="1">
      <c r="A205" s="198">
        <v>214.0</v>
      </c>
      <c r="B205" s="225">
        <v>24.0</v>
      </c>
      <c r="C205" s="214" t="s">
        <v>1974</v>
      </c>
      <c r="D205" s="99"/>
      <c r="E205" s="214" t="s">
        <v>1975</v>
      </c>
      <c r="F205" s="99" t="s">
        <v>3099</v>
      </c>
      <c r="G205" s="215"/>
      <c r="H205" s="215" t="str">
        <f>iferror(vlookup(E205,'Kelas XI - X(32)'!$D$11:$H987,3,false),"")</f>
        <v/>
      </c>
      <c r="I205" s="69">
        <v>1.0</v>
      </c>
      <c r="J205" s="222">
        <v>0.0</v>
      </c>
      <c r="K205" s="69">
        <v>0.0</v>
      </c>
      <c r="L205" s="223">
        <f t="shared" si="23"/>
        <v>0</v>
      </c>
      <c r="M205" s="146">
        <f t="shared" si="24"/>
        <v>0</v>
      </c>
      <c r="N205" s="224"/>
      <c r="O205" s="75" t="str">
        <f t="shared" si="27"/>
        <v>B</v>
      </c>
      <c r="P205" s="195"/>
      <c r="Q205" s="105"/>
      <c r="R205" s="105"/>
      <c r="S205" s="105"/>
      <c r="T205" s="105"/>
    </row>
    <row r="206" hidden="1">
      <c r="A206" s="196">
        <v>215.0</v>
      </c>
      <c r="B206" s="225">
        <v>25.0</v>
      </c>
      <c r="C206" s="214" t="s">
        <v>1976</v>
      </c>
      <c r="D206" s="99"/>
      <c r="E206" s="214" t="s">
        <v>1977</v>
      </c>
      <c r="F206" s="99" t="s">
        <v>3099</v>
      </c>
      <c r="G206" s="215"/>
      <c r="H206" s="215" t="str">
        <f>iferror(vlookup(E206,'Kelas XI - X(32)'!$D$11:$H987,3,false),"")</f>
        <v/>
      </c>
      <c r="I206" s="69">
        <f>iferror(vlookup(E206,'Kelas XI - X(32)'!$D$11:$H987,4,false),"")</f>
        <v>7</v>
      </c>
      <c r="J206" s="222">
        <v>0.0</v>
      </c>
      <c r="K206" s="69">
        <f>iferror(vlookup(E206,'Kelas XI - X(32)'!$D$11:$H987,5,false),"")</f>
        <v>3</v>
      </c>
      <c r="L206" s="223">
        <f t="shared" si="23"/>
        <v>3</v>
      </c>
      <c r="M206" s="146">
        <f t="shared" si="24"/>
        <v>0.375</v>
      </c>
      <c r="N206" s="224"/>
      <c r="O206" s="75" t="str">
        <f t="shared" si="27"/>
        <v>B</v>
      </c>
      <c r="P206" s="195"/>
      <c r="Q206" s="105"/>
      <c r="R206" s="105"/>
      <c r="S206" s="105"/>
      <c r="T206" s="105"/>
    </row>
    <row r="207" hidden="1">
      <c r="A207" s="198">
        <v>216.0</v>
      </c>
      <c r="B207" s="225">
        <v>26.0</v>
      </c>
      <c r="C207" s="214" t="s">
        <v>1978</v>
      </c>
      <c r="D207" s="99"/>
      <c r="E207" s="214" t="s">
        <v>1979</v>
      </c>
      <c r="F207" s="99" t="s">
        <v>3099</v>
      </c>
      <c r="G207" s="215"/>
      <c r="H207" s="215" t="str">
        <f>iferror(vlookup(E207,'Kelas XI - X(32)'!$D$11:$H987,3,false),"")</f>
        <v/>
      </c>
      <c r="I207" s="69">
        <v>1.0</v>
      </c>
      <c r="J207" s="222">
        <v>0.0</v>
      </c>
      <c r="K207" s="69">
        <v>0.0</v>
      </c>
      <c r="L207" s="223">
        <f t="shared" si="23"/>
        <v>0</v>
      </c>
      <c r="M207" s="146">
        <f t="shared" si="24"/>
        <v>0</v>
      </c>
      <c r="N207" s="224"/>
      <c r="O207" s="75" t="str">
        <f t="shared" si="27"/>
        <v>B</v>
      </c>
      <c r="P207" s="195"/>
      <c r="Q207" s="105"/>
      <c r="R207" s="105"/>
      <c r="S207" s="105"/>
      <c r="T207" s="105"/>
    </row>
    <row r="208" hidden="1">
      <c r="A208" s="196">
        <v>217.0</v>
      </c>
      <c r="B208" s="225">
        <v>27.0</v>
      </c>
      <c r="C208" s="214" t="s">
        <v>1980</v>
      </c>
      <c r="D208" s="99"/>
      <c r="E208" s="214" t="s">
        <v>1981</v>
      </c>
      <c r="F208" s="99" t="s">
        <v>3099</v>
      </c>
      <c r="G208" s="215"/>
      <c r="H208" s="215" t="str">
        <f>iferror(vlookup(E208,'Kelas XI - X(32)'!$D$11:$H987,3,false),"")</f>
        <v/>
      </c>
      <c r="I208" s="69">
        <v>1.0</v>
      </c>
      <c r="J208" s="222">
        <v>0.0</v>
      </c>
      <c r="K208" s="69">
        <v>0.0</v>
      </c>
      <c r="L208" s="223">
        <f t="shared" si="23"/>
        <v>0</v>
      </c>
      <c r="M208" s="146">
        <f t="shared" si="24"/>
        <v>0</v>
      </c>
      <c r="N208" s="224"/>
      <c r="O208" s="75" t="str">
        <f t="shared" si="27"/>
        <v>B</v>
      </c>
      <c r="P208" s="195"/>
      <c r="Q208" s="105"/>
      <c r="R208" s="105"/>
      <c r="S208" s="105"/>
      <c r="T208" s="105"/>
    </row>
    <row r="209" hidden="1">
      <c r="A209" s="198">
        <v>218.0</v>
      </c>
      <c r="B209" s="225">
        <v>28.0</v>
      </c>
      <c r="C209" s="214" t="s">
        <v>1982</v>
      </c>
      <c r="D209" s="99"/>
      <c r="E209" s="214" t="s">
        <v>1983</v>
      </c>
      <c r="F209" s="99" t="s">
        <v>3100</v>
      </c>
      <c r="G209" s="215"/>
      <c r="H209" s="215" t="str">
        <f>iferror(vlookup(E209,'Kelas XI - X(32)'!$D$11:$H987,3,false),"")</f>
        <v>Najmi</v>
      </c>
      <c r="I209" s="69">
        <f>iferror(vlookup(E209,'Kelas XI - X(32)'!$D$11:$H987,4,false),"")</f>
        <v>5</v>
      </c>
      <c r="J209" s="222">
        <v>0.0</v>
      </c>
      <c r="K209" s="69">
        <f>iferror(vlookup(E209,'Kelas XI - X(32)'!$D$11:$H987,5,false),"")</f>
        <v>5</v>
      </c>
      <c r="L209" s="223">
        <f t="shared" si="23"/>
        <v>5</v>
      </c>
      <c r="M209" s="146">
        <f t="shared" si="24"/>
        <v>0.8333333333</v>
      </c>
      <c r="N209" s="224"/>
      <c r="O209" s="75" t="str">
        <f t="shared" si="27"/>
        <v>A</v>
      </c>
      <c r="P209" s="195"/>
      <c r="Q209" s="105"/>
      <c r="R209" s="105"/>
      <c r="S209" s="105"/>
      <c r="T209" s="105"/>
    </row>
    <row r="210" hidden="1">
      <c r="A210" s="196">
        <v>219.0</v>
      </c>
      <c r="B210" s="225">
        <v>29.0</v>
      </c>
      <c r="C210" s="214" t="s">
        <v>1984</v>
      </c>
      <c r="D210" s="99"/>
      <c r="E210" s="214" t="s">
        <v>1985</v>
      </c>
      <c r="F210" s="99" t="s">
        <v>3099</v>
      </c>
      <c r="G210" s="215"/>
      <c r="H210" s="215" t="str">
        <f>iferror(vlookup(E210,'Kelas XI - X(32)'!$D$11:$H987,3,false),"")</f>
        <v/>
      </c>
      <c r="I210" s="69">
        <f>iferror(vlookup(E210,'Kelas XI - X(32)'!$D$11:$H987,4,false),"")</f>
        <v>6</v>
      </c>
      <c r="J210" s="222">
        <v>0.0</v>
      </c>
      <c r="K210" s="69">
        <f>iferror(vlookup(E210,'Kelas XI - X(32)'!$D$11:$H987,5,false),"")</f>
        <v>4</v>
      </c>
      <c r="L210" s="223">
        <f t="shared" si="23"/>
        <v>4</v>
      </c>
      <c r="M210" s="146">
        <f t="shared" si="24"/>
        <v>0.5714285714</v>
      </c>
      <c r="N210" s="224"/>
      <c r="O210" s="75" t="str">
        <f t="shared" si="27"/>
        <v>A</v>
      </c>
      <c r="P210" s="195"/>
      <c r="Q210" s="105"/>
      <c r="R210" s="105"/>
      <c r="S210" s="105"/>
      <c r="T210" s="105"/>
    </row>
    <row r="211" hidden="1">
      <c r="A211" s="198">
        <v>220.0</v>
      </c>
      <c r="B211" s="225">
        <v>30.0</v>
      </c>
      <c r="C211" s="214" t="s">
        <v>1986</v>
      </c>
      <c r="D211" s="99"/>
      <c r="E211" s="214" t="s">
        <v>1987</v>
      </c>
      <c r="F211" s="99" t="s">
        <v>3099</v>
      </c>
      <c r="G211" s="215"/>
      <c r="H211" s="215" t="str">
        <f>iferror(vlookup(E211,'Kelas XI - X(32)'!$D$11:$H987,3,false),"")</f>
        <v/>
      </c>
      <c r="I211" s="69">
        <f>iferror(vlookup(E211,'Kelas XI - X(32)'!$D$11:$H987,4,false),"")</f>
        <v>8</v>
      </c>
      <c r="J211" s="222">
        <v>0.0</v>
      </c>
      <c r="K211" s="69">
        <f>iferror(vlookup(E211,'Kelas XI - X(32)'!$D$11:$H987,5,false),"")</f>
        <v>0</v>
      </c>
      <c r="L211" s="223">
        <f t="shared" si="23"/>
        <v>0</v>
      </c>
      <c r="M211" s="146">
        <f t="shared" si="24"/>
        <v>0</v>
      </c>
      <c r="N211" s="224"/>
      <c r="O211" s="75" t="str">
        <f t="shared" si="27"/>
        <v>B</v>
      </c>
      <c r="P211" s="195"/>
      <c r="Q211" s="105"/>
      <c r="R211" s="105"/>
      <c r="S211" s="105"/>
      <c r="T211" s="105"/>
    </row>
    <row r="212" hidden="1">
      <c r="A212" s="196">
        <v>221.0</v>
      </c>
      <c r="B212" s="225">
        <v>31.0</v>
      </c>
      <c r="C212" s="214" t="s">
        <v>1988</v>
      </c>
      <c r="D212" s="99"/>
      <c r="E212" s="214" t="s">
        <v>1989</v>
      </c>
      <c r="F212" s="99" t="s">
        <v>3100</v>
      </c>
      <c r="G212" s="215"/>
      <c r="H212" s="215" t="str">
        <f>iferror(vlookup(E212,'Kelas XI - X(32)'!$D$11:$H987,3,false),"")</f>
        <v/>
      </c>
      <c r="I212" s="69">
        <f>iferror(vlookup(E212,'Kelas XI - X(32)'!$D$11:$H987,4,false),"")</f>
        <v>7</v>
      </c>
      <c r="J212" s="223">
        <f>iferror(vlookup(E212,MasterClass!$C$2:$G987,5,false),"")</f>
        <v>1</v>
      </c>
      <c r="K212" s="69">
        <f>iferror(vlookup(E212,'Kelas XI - X(32)'!$D$11:$H987,5,false),"")</f>
        <v>3</v>
      </c>
      <c r="L212" s="223">
        <f t="shared" si="23"/>
        <v>4</v>
      </c>
      <c r="M212" s="146">
        <f t="shared" si="24"/>
        <v>0.5</v>
      </c>
      <c r="N212" s="224"/>
      <c r="O212" s="75" t="str">
        <f t="shared" si="27"/>
        <v>A</v>
      </c>
      <c r="P212" s="195"/>
      <c r="Q212" s="105"/>
      <c r="R212" s="105"/>
      <c r="S212" s="105"/>
      <c r="T212" s="105"/>
    </row>
    <row r="213" hidden="1">
      <c r="A213" s="198">
        <v>222.0</v>
      </c>
      <c r="B213" s="225">
        <v>32.0</v>
      </c>
      <c r="C213" s="214" t="s">
        <v>1990</v>
      </c>
      <c r="D213" s="99"/>
      <c r="E213" s="214" t="s">
        <v>1991</v>
      </c>
      <c r="F213" s="99" t="s">
        <v>3100</v>
      </c>
      <c r="G213" s="215"/>
      <c r="H213" s="215" t="str">
        <f>iferror(vlookup(E213,'Kelas XI - X(32)'!$D$11:$H987,3,false),"")</f>
        <v>Ukhti</v>
      </c>
      <c r="I213" s="69">
        <f>iferror(vlookup(E213,'Kelas XI - X(32)'!$D$11:$H987,4,false),"")</f>
        <v>13</v>
      </c>
      <c r="J213" s="222">
        <v>0.0</v>
      </c>
      <c r="K213" s="69">
        <f>iferror(vlookup(E213,'Kelas XI - X(32)'!$D$11:$H987,5,false),"")</f>
        <v>4</v>
      </c>
      <c r="L213" s="223">
        <f t="shared" si="23"/>
        <v>4</v>
      </c>
      <c r="M213" s="146">
        <f t="shared" si="24"/>
        <v>0.2857142857</v>
      </c>
      <c r="N213" s="224"/>
      <c r="O213" s="75" t="str">
        <f t="shared" si="27"/>
        <v>B</v>
      </c>
      <c r="P213" s="195"/>
      <c r="Q213" s="105"/>
      <c r="R213" s="105"/>
      <c r="S213" s="105"/>
      <c r="T213" s="105"/>
    </row>
    <row r="214" hidden="1">
      <c r="A214" s="196">
        <v>223.0</v>
      </c>
      <c r="B214" s="225">
        <v>33.0</v>
      </c>
      <c r="C214" s="214" t="s">
        <v>1992</v>
      </c>
      <c r="D214" s="99"/>
      <c r="E214" s="214" t="s">
        <v>1993</v>
      </c>
      <c r="F214" s="99" t="s">
        <v>3099</v>
      </c>
      <c r="G214" s="215"/>
      <c r="H214" s="215" t="str">
        <f>iferror(vlookup(E214,'Kelas XI - X(32)'!$D$11:$H987,3,false),"")</f>
        <v>Ukhti</v>
      </c>
      <c r="I214" s="69">
        <f>iferror(vlookup(E214,'Kelas XI - X(32)'!$D$11:$H987,4,false),"")</f>
        <v>13</v>
      </c>
      <c r="J214" s="223">
        <f>iferror(vlookup(E214,MasterClass!$C$2:$G987,5,false),"")</f>
        <v>1</v>
      </c>
      <c r="K214" s="69">
        <f>iferror(vlookup(E214,'Kelas XI - X(32)'!$D$11:$H987,5,false),"")</f>
        <v>5</v>
      </c>
      <c r="L214" s="223">
        <f t="shared" si="23"/>
        <v>6</v>
      </c>
      <c r="M214" s="146">
        <f t="shared" si="24"/>
        <v>0.4285714286</v>
      </c>
      <c r="N214" s="215" t="s">
        <v>2508</v>
      </c>
      <c r="O214" s="150" t="s">
        <v>1163</v>
      </c>
      <c r="P214" s="195"/>
      <c r="Q214" s="105"/>
      <c r="R214" s="105"/>
      <c r="S214" s="105"/>
      <c r="T214" s="105"/>
    </row>
    <row r="215" hidden="1">
      <c r="A215" s="198">
        <v>224.0</v>
      </c>
      <c r="B215" s="225">
        <v>34.0</v>
      </c>
      <c r="C215" s="214" t="s">
        <v>1994</v>
      </c>
      <c r="D215" s="99"/>
      <c r="E215" s="214" t="s">
        <v>1995</v>
      </c>
      <c r="F215" s="99" t="s">
        <v>3100</v>
      </c>
      <c r="G215" s="215"/>
      <c r="H215" s="215" t="str">
        <f>iferror(vlookup(E215,'Kelas XI - X(32)'!$D$11:$H987,3,false),"")</f>
        <v/>
      </c>
      <c r="I215" s="69">
        <f>iferror(vlookup(E215,'Kelas XI - X(32)'!$D$11:$H987,4,false),"")</f>
        <v>8</v>
      </c>
      <c r="J215" s="223">
        <f>iferror(vlookup(E215,MasterClass!$C$2:$G987,5,false),"")</f>
        <v>1</v>
      </c>
      <c r="K215" s="69">
        <f>iferror(vlookup(E215,'Kelas XI - X(32)'!$D$11:$H987,5,false),"")</f>
        <v>7</v>
      </c>
      <c r="L215" s="223">
        <f t="shared" si="23"/>
        <v>8</v>
      </c>
      <c r="M215" s="146">
        <f t="shared" si="24"/>
        <v>0.8888888889</v>
      </c>
      <c r="N215" s="224"/>
      <c r="O215" s="75" t="str">
        <f t="shared" ref="O215:O217" si="28">IF(M215&gt;=50%,"A","B")</f>
        <v>A</v>
      </c>
      <c r="P215" s="195"/>
      <c r="Q215" s="105"/>
      <c r="R215" s="105"/>
      <c r="S215" s="105"/>
      <c r="T215" s="105"/>
    </row>
    <row r="216" hidden="1">
      <c r="A216" s="196">
        <v>225.0</v>
      </c>
      <c r="B216" s="225">
        <v>35.0</v>
      </c>
      <c r="C216" s="214" t="s">
        <v>1996</v>
      </c>
      <c r="D216" s="117"/>
      <c r="E216" s="214" t="s">
        <v>1997</v>
      </c>
      <c r="F216" s="99" t="s">
        <v>3100</v>
      </c>
      <c r="G216" s="215"/>
      <c r="H216" s="215" t="str">
        <f>iferror(vlookup(E216,'Kelas XI - X(32)'!$D$11:$H987,3,false),"")</f>
        <v/>
      </c>
      <c r="I216" s="69">
        <v>1.0</v>
      </c>
      <c r="J216" s="222">
        <v>0.0</v>
      </c>
      <c r="K216" s="69">
        <v>0.0</v>
      </c>
      <c r="L216" s="223">
        <f t="shared" si="23"/>
        <v>0</v>
      </c>
      <c r="M216" s="146">
        <f t="shared" si="24"/>
        <v>0</v>
      </c>
      <c r="N216" s="224"/>
      <c r="O216" s="75" t="str">
        <f t="shared" si="28"/>
        <v>B</v>
      </c>
      <c r="P216" s="195"/>
      <c r="Q216" s="105"/>
      <c r="R216" s="105"/>
      <c r="S216" s="105"/>
      <c r="T216" s="105"/>
    </row>
    <row r="217" hidden="1">
      <c r="A217" s="198">
        <v>226.0</v>
      </c>
      <c r="B217" s="225">
        <v>36.0</v>
      </c>
      <c r="C217" s="214" t="s">
        <v>1998</v>
      </c>
      <c r="D217" s="99"/>
      <c r="E217" s="214" t="s">
        <v>1999</v>
      </c>
      <c r="F217" s="99" t="s">
        <v>3099</v>
      </c>
      <c r="G217" s="215"/>
      <c r="H217" s="215" t="str">
        <f>iferror(vlookup(E217,'Kelas XI - X(32)'!$D$11:$H987,3,false),"")</f>
        <v/>
      </c>
      <c r="I217" s="69">
        <f>iferror(vlookup(E217,'Kelas XI - X(32)'!$D$11:$H987,4,false),"")</f>
        <v>8</v>
      </c>
      <c r="J217" s="222">
        <v>0.0</v>
      </c>
      <c r="K217" s="69">
        <f>iferror(vlookup(E217,'Kelas XI - X(32)'!$D$11:$H987,5,false),"")</f>
        <v>1</v>
      </c>
      <c r="L217" s="223">
        <f t="shared" si="23"/>
        <v>1</v>
      </c>
      <c r="M217" s="146">
        <f t="shared" si="24"/>
        <v>0.1111111111</v>
      </c>
      <c r="N217" s="224"/>
      <c r="O217" s="75" t="str">
        <f t="shared" si="28"/>
        <v>B</v>
      </c>
      <c r="P217" s="195"/>
      <c r="Q217" s="105"/>
      <c r="R217" s="105"/>
      <c r="S217" s="105"/>
      <c r="T217" s="105"/>
    </row>
    <row r="218" hidden="1">
      <c r="A218" s="196">
        <v>227.0</v>
      </c>
      <c r="B218" s="227"/>
      <c r="C218" s="214"/>
      <c r="D218" s="228"/>
      <c r="E218" s="214"/>
      <c r="F218" s="228"/>
      <c r="G218" s="228"/>
      <c r="H218" s="228"/>
      <c r="I218" s="229"/>
      <c r="J218" s="229"/>
      <c r="K218" s="229"/>
      <c r="L218" s="229"/>
      <c r="M218" s="229"/>
      <c r="N218" s="228"/>
      <c r="O218" s="229"/>
      <c r="P218" s="195"/>
      <c r="Q218" s="105"/>
      <c r="R218" s="105"/>
      <c r="S218" s="105"/>
      <c r="T218" s="105"/>
    </row>
    <row r="219" hidden="1">
      <c r="A219" s="198">
        <v>228.0</v>
      </c>
      <c r="B219" s="227"/>
      <c r="C219" s="214"/>
      <c r="D219" s="228"/>
      <c r="E219" s="214"/>
      <c r="F219" s="228"/>
      <c r="G219" s="228"/>
      <c r="H219" s="228"/>
      <c r="I219" s="229"/>
      <c r="J219" s="229"/>
      <c r="K219" s="229"/>
      <c r="L219" s="229"/>
      <c r="M219" s="229"/>
      <c r="N219" s="230"/>
      <c r="O219" s="231"/>
      <c r="P219" s="195"/>
      <c r="Q219" s="105"/>
      <c r="R219" s="105"/>
      <c r="S219" s="105"/>
      <c r="T219" s="105"/>
    </row>
    <row r="220" hidden="1">
      <c r="A220" s="196">
        <v>229.0</v>
      </c>
      <c r="B220" s="227"/>
      <c r="C220" s="214"/>
      <c r="D220" s="228"/>
      <c r="E220" s="214"/>
      <c r="F220" s="228"/>
      <c r="G220" s="228"/>
      <c r="H220" s="228"/>
      <c r="I220" s="229"/>
      <c r="J220" s="229"/>
      <c r="K220" s="229"/>
      <c r="L220" s="229"/>
      <c r="M220" s="229"/>
      <c r="N220" s="230"/>
      <c r="O220" s="231"/>
      <c r="P220" s="195"/>
      <c r="Q220" s="105"/>
      <c r="R220" s="105"/>
      <c r="S220" s="105"/>
      <c r="T220" s="105"/>
    </row>
    <row r="221" hidden="1">
      <c r="A221" s="198">
        <v>230.0</v>
      </c>
      <c r="B221" s="249"/>
      <c r="C221" s="241"/>
      <c r="D221" s="241"/>
      <c r="E221" s="241"/>
      <c r="F221" s="241"/>
      <c r="G221" s="241"/>
      <c r="H221" s="241"/>
      <c r="I221" s="242"/>
      <c r="J221" s="242"/>
      <c r="K221" s="242"/>
      <c r="L221" s="242"/>
      <c r="M221" s="242"/>
      <c r="N221" s="241"/>
      <c r="O221" s="242"/>
      <c r="P221" s="195"/>
      <c r="Q221" s="105"/>
      <c r="R221" s="105"/>
      <c r="S221" s="105"/>
      <c r="T221" s="105"/>
    </row>
    <row r="222">
      <c r="A222" s="196">
        <v>233.0</v>
      </c>
      <c r="B222" s="243" t="s">
        <v>2000</v>
      </c>
      <c r="C222" s="9"/>
      <c r="D222" s="9"/>
      <c r="E222" s="10"/>
      <c r="F222" s="244"/>
      <c r="G222" s="244"/>
      <c r="H222" s="244"/>
      <c r="I222" s="245"/>
      <c r="J222" s="245"/>
      <c r="K222" s="245"/>
      <c r="L222" s="245"/>
      <c r="M222" s="245"/>
      <c r="N222" s="244"/>
      <c r="O222" s="245"/>
      <c r="P222" s="195"/>
      <c r="Q222" s="105"/>
      <c r="R222" s="105"/>
      <c r="S222" s="105"/>
      <c r="T222" s="105"/>
    </row>
    <row r="223" hidden="1">
      <c r="A223" s="198">
        <v>234.0</v>
      </c>
      <c r="B223" s="250" t="s">
        <v>2001</v>
      </c>
      <c r="C223" s="9"/>
      <c r="D223" s="9"/>
      <c r="E223" s="10"/>
      <c r="F223" s="251"/>
      <c r="G223" s="251"/>
      <c r="H223" s="251"/>
      <c r="I223" s="252"/>
      <c r="J223" s="252"/>
      <c r="K223" s="252"/>
      <c r="L223" s="252"/>
      <c r="M223" s="252"/>
      <c r="N223" s="251"/>
      <c r="O223" s="252"/>
      <c r="P223" s="195"/>
      <c r="Q223" s="105"/>
      <c r="R223" s="105"/>
      <c r="S223" s="105"/>
      <c r="T223" s="105"/>
    </row>
    <row r="224" hidden="1">
      <c r="A224" s="196">
        <v>235.0</v>
      </c>
      <c r="B224" s="253" t="s">
        <v>1735</v>
      </c>
      <c r="C224" s="253" t="s">
        <v>1736</v>
      </c>
      <c r="D224" s="253" t="s">
        <v>1737</v>
      </c>
      <c r="E224" s="253" t="s">
        <v>1738</v>
      </c>
      <c r="F224" s="254" t="s">
        <v>1815</v>
      </c>
      <c r="G224" s="255"/>
      <c r="H224" s="255"/>
      <c r="I224" s="256" t="s">
        <v>3097</v>
      </c>
      <c r="J224" s="9"/>
      <c r="K224" s="9"/>
      <c r="L224" s="9"/>
      <c r="M224" s="9"/>
      <c r="N224" s="9"/>
      <c r="O224" s="10"/>
      <c r="P224" s="195"/>
      <c r="Q224" s="105"/>
      <c r="R224" s="105"/>
      <c r="S224" s="105"/>
      <c r="T224" s="105"/>
    </row>
    <row r="225" hidden="1">
      <c r="A225" s="198">
        <v>236.0</v>
      </c>
      <c r="B225" s="253"/>
      <c r="C225" s="253"/>
      <c r="D225" s="253"/>
      <c r="E225" s="253"/>
      <c r="F225" s="262"/>
      <c r="G225" s="263"/>
      <c r="H225" s="263" t="s">
        <v>2483</v>
      </c>
      <c r="I225" s="144" t="s">
        <v>3094</v>
      </c>
      <c r="J225" s="264" t="s">
        <v>3095</v>
      </c>
      <c r="K225" s="265" t="s">
        <v>3096</v>
      </c>
      <c r="L225" s="264" t="s">
        <v>3098</v>
      </c>
      <c r="M225" s="266" t="s">
        <v>18</v>
      </c>
      <c r="N225" s="143" t="s">
        <v>2491</v>
      </c>
      <c r="O225" s="267" t="s">
        <v>19</v>
      </c>
      <c r="P225" s="195"/>
      <c r="Q225" s="105"/>
      <c r="R225" s="105"/>
      <c r="S225" s="105"/>
      <c r="T225" s="105"/>
    </row>
    <row r="226" hidden="1">
      <c r="A226" s="196">
        <v>237.0</v>
      </c>
      <c r="B226" s="225">
        <v>1.0</v>
      </c>
      <c r="C226" s="214" t="s">
        <v>2002</v>
      </c>
      <c r="D226" s="99"/>
      <c r="E226" s="214" t="s">
        <v>2003</v>
      </c>
      <c r="F226" s="99" t="s">
        <v>3099</v>
      </c>
      <c r="G226" s="215"/>
      <c r="H226" s="215" t="str">
        <f>iferror(vlookup(E226,'Kelas XI - X(32)'!$D$11:$H987,3,false),"")</f>
        <v>Ukhti</v>
      </c>
      <c r="I226" s="69">
        <f>iferror(vlookup(E226,'Kelas XI - X(32)'!$D$11:$H987,4,false),"")</f>
        <v>13</v>
      </c>
      <c r="J226" s="222">
        <v>0.0</v>
      </c>
      <c r="K226" s="69">
        <f>iferror(vlookup(E226,'Kelas XI - X(32)'!$D$11:$H987,5,false),"")</f>
        <v>10</v>
      </c>
      <c r="L226" s="223">
        <f t="shared" ref="L226:L261" si="29">K226+J226</f>
        <v>10</v>
      </c>
      <c r="M226" s="146">
        <f t="shared" ref="M226:M261" si="30">(K226+J226)/(I226+1)</f>
        <v>0.7142857143</v>
      </c>
      <c r="N226" s="224"/>
      <c r="O226" s="75" t="str">
        <f t="shared" ref="O226:O230" si="31">IF(M226&gt;=50%,"A","B")</f>
        <v>A</v>
      </c>
      <c r="P226" s="195"/>
      <c r="Q226" s="105"/>
      <c r="R226" s="105"/>
      <c r="S226" s="105"/>
      <c r="T226" s="105"/>
    </row>
    <row r="227" hidden="1">
      <c r="A227" s="198">
        <v>238.0</v>
      </c>
      <c r="B227" s="225">
        <v>2.0</v>
      </c>
      <c r="C227" s="214" t="s">
        <v>2004</v>
      </c>
      <c r="D227" s="99"/>
      <c r="E227" s="214" t="s">
        <v>2005</v>
      </c>
      <c r="F227" s="99" t="s">
        <v>3100</v>
      </c>
      <c r="G227" s="215"/>
      <c r="H227" s="215" t="str">
        <f>iferror(vlookup(E227,'Kelas XI - X(32)'!$D$11:$H987,3,false),"")</f>
        <v/>
      </c>
      <c r="I227" s="69">
        <f>iferror(vlookup(E227,'Kelas XI - X(32)'!$D$11:$H987,4,false),"")</f>
        <v>7</v>
      </c>
      <c r="J227" s="223">
        <f>iferror(vlookup(E227,MasterClass!$C$2:$G987,5,false),"")</f>
        <v>1</v>
      </c>
      <c r="K227" s="69">
        <f>iferror(vlookup(E227,'Kelas XI - X(32)'!$D$11:$H987,5,false),"")</f>
        <v>4</v>
      </c>
      <c r="L227" s="223">
        <f t="shared" si="29"/>
        <v>5</v>
      </c>
      <c r="M227" s="146">
        <f t="shared" si="30"/>
        <v>0.625</v>
      </c>
      <c r="N227" s="224"/>
      <c r="O227" s="75" t="str">
        <f t="shared" si="31"/>
        <v>A</v>
      </c>
      <c r="P227" s="195"/>
      <c r="Q227" s="105"/>
      <c r="R227" s="105"/>
      <c r="S227" s="105"/>
      <c r="T227" s="105"/>
    </row>
    <row r="228" hidden="1">
      <c r="A228" s="196">
        <v>239.0</v>
      </c>
      <c r="B228" s="225">
        <v>3.0</v>
      </c>
      <c r="C228" s="214" t="s">
        <v>2006</v>
      </c>
      <c r="D228" s="99"/>
      <c r="E228" s="214" t="s">
        <v>2007</v>
      </c>
      <c r="F228" s="99" t="s">
        <v>3100</v>
      </c>
      <c r="G228" s="215"/>
      <c r="H228" s="215" t="str">
        <f>iferror(vlookup(E228,'Kelas XI - X(32)'!$D$11:$H987,3,false),"")</f>
        <v/>
      </c>
      <c r="I228" s="69">
        <f>iferror(vlookup(E228,'Kelas XI - X(32)'!$D$11:$H987,4,false),"")</f>
        <v>8</v>
      </c>
      <c r="J228" s="222">
        <v>0.0</v>
      </c>
      <c r="K228" s="69">
        <f>iferror(vlookup(E228,'Kelas XI - X(32)'!$D$11:$H987,5,false),"")</f>
        <v>1</v>
      </c>
      <c r="L228" s="223">
        <f t="shared" si="29"/>
        <v>1</v>
      </c>
      <c r="M228" s="146">
        <f t="shared" si="30"/>
        <v>0.1111111111</v>
      </c>
      <c r="N228" s="224"/>
      <c r="O228" s="75" t="str">
        <f t="shared" si="31"/>
        <v>B</v>
      </c>
      <c r="P228" s="195"/>
      <c r="Q228" s="105"/>
      <c r="R228" s="105"/>
      <c r="S228" s="105"/>
      <c r="T228" s="105"/>
    </row>
    <row r="229" hidden="1">
      <c r="A229" s="198">
        <v>240.0</v>
      </c>
      <c r="B229" s="234">
        <v>4.0</v>
      </c>
      <c r="C229" s="104" t="s">
        <v>2008</v>
      </c>
      <c r="D229" s="246"/>
      <c r="E229" s="104" t="s">
        <v>2009</v>
      </c>
      <c r="F229" s="246" t="s">
        <v>3099</v>
      </c>
      <c r="G229" s="235"/>
      <c r="H229" s="235" t="str">
        <f>iferror(vlookup(E229,'Kelas XI - X(32)'!$D$11:$H987,3,false),"")</f>
        <v>Syafiq</v>
      </c>
      <c r="I229" s="150">
        <f>iferror(vlookup(E229,'Kelas XI - X(32)'!$D$11:$H987,4,false),"")</f>
        <v>4</v>
      </c>
      <c r="J229" s="216">
        <v>0.0</v>
      </c>
      <c r="K229" s="150">
        <f>iferror(vlookup(E229,'Kelas XI - X(32)'!$D$11:$H987,5,false),"")</f>
        <v>3</v>
      </c>
      <c r="L229" s="217">
        <f t="shared" si="29"/>
        <v>3</v>
      </c>
      <c r="M229" s="218">
        <f t="shared" si="30"/>
        <v>0.6</v>
      </c>
      <c r="N229" s="219"/>
      <c r="O229" s="75" t="str">
        <f t="shared" si="31"/>
        <v>A</v>
      </c>
      <c r="P229" s="195"/>
      <c r="Q229" s="105"/>
      <c r="R229" s="105"/>
      <c r="S229" s="105"/>
      <c r="T229" s="105"/>
    </row>
    <row r="230" hidden="1">
      <c r="A230" s="196">
        <v>241.0</v>
      </c>
      <c r="B230" s="234">
        <v>5.0</v>
      </c>
      <c r="C230" s="104" t="s">
        <v>2010</v>
      </c>
      <c r="D230" s="246"/>
      <c r="E230" s="104" t="s">
        <v>2011</v>
      </c>
      <c r="F230" s="246" t="s">
        <v>3099</v>
      </c>
      <c r="G230" s="235"/>
      <c r="H230" s="235" t="str">
        <f>iferror(vlookup(E230,'Kelas XI - X(32)'!$D$11:$H987,3,false),"")</f>
        <v>Iga</v>
      </c>
      <c r="I230" s="150">
        <f>iferror(vlookup(E230,'Kelas XI - X(32)'!$D$11:$H987,4,false),"")</f>
        <v>4</v>
      </c>
      <c r="J230" s="216">
        <v>0.0</v>
      </c>
      <c r="K230" s="150">
        <f>iferror(vlookup(E230,'Kelas XI - X(32)'!$D$11:$H987,5,false),"")</f>
        <v>3</v>
      </c>
      <c r="L230" s="217">
        <f t="shared" si="29"/>
        <v>3</v>
      </c>
      <c r="M230" s="218">
        <f t="shared" si="30"/>
        <v>0.6</v>
      </c>
      <c r="N230" s="219"/>
      <c r="O230" s="75" t="str">
        <f t="shared" si="31"/>
        <v>A</v>
      </c>
      <c r="P230" s="195"/>
      <c r="Q230" s="105"/>
      <c r="R230" s="105"/>
      <c r="S230" s="105"/>
      <c r="T230" s="105"/>
    </row>
    <row r="231" hidden="1">
      <c r="A231" s="198">
        <v>242.0</v>
      </c>
      <c r="B231" s="234">
        <v>6.0</v>
      </c>
      <c r="C231" s="104" t="s">
        <v>2012</v>
      </c>
      <c r="D231" s="246"/>
      <c r="E231" s="104" t="s">
        <v>2013</v>
      </c>
      <c r="F231" s="246" t="s">
        <v>3100</v>
      </c>
      <c r="G231" s="235"/>
      <c r="H231" s="235" t="str">
        <f>iferror(vlookup(E231,'Kelas XI - X(32)'!$D$11:$H987,3,false),"")</f>
        <v>Ukhti</v>
      </c>
      <c r="I231" s="150">
        <f>iferror(vlookup(E231,'Kelas XI - X(32)'!$D$11:$H987,4,false),"")</f>
        <v>13</v>
      </c>
      <c r="J231" s="216">
        <v>0.0</v>
      </c>
      <c r="K231" s="150">
        <f>iferror(vlookup(E231,'Kelas XI - X(32)'!$D$11:$H987,5,false),"")</f>
        <v>4</v>
      </c>
      <c r="L231" s="217">
        <f t="shared" si="29"/>
        <v>4</v>
      </c>
      <c r="M231" s="218">
        <f t="shared" si="30"/>
        <v>0.2857142857</v>
      </c>
      <c r="N231" s="235" t="s">
        <v>2508</v>
      </c>
      <c r="O231" s="150" t="s">
        <v>1163</v>
      </c>
      <c r="P231" s="195"/>
      <c r="Q231" s="105"/>
      <c r="R231" s="105"/>
      <c r="S231" s="105"/>
      <c r="T231" s="105"/>
    </row>
    <row r="232" hidden="1">
      <c r="A232" s="196">
        <v>243.0</v>
      </c>
      <c r="B232" s="234">
        <v>7.0</v>
      </c>
      <c r="C232" s="104" t="s">
        <v>2014</v>
      </c>
      <c r="D232" s="246"/>
      <c r="E232" s="104" t="s">
        <v>2015</v>
      </c>
      <c r="F232" s="246" t="s">
        <v>3100</v>
      </c>
      <c r="G232" s="235"/>
      <c r="H232" s="235" t="str">
        <f>iferror(vlookup(E232,'Kelas XI - X(32)'!$D$11:$H987,3,false),"")</f>
        <v/>
      </c>
      <c r="I232" s="150">
        <f>iferror(vlookup(E232,'Kelas XI - X(32)'!$D$11:$H987,4,false),"")</f>
        <v>7</v>
      </c>
      <c r="J232" s="216">
        <v>0.0</v>
      </c>
      <c r="K232" s="150">
        <f>iferror(vlookup(E232,'Kelas XI - X(32)'!$D$11:$H987,5,false),"")</f>
        <v>4</v>
      </c>
      <c r="L232" s="217">
        <f t="shared" si="29"/>
        <v>4</v>
      </c>
      <c r="M232" s="218">
        <f t="shared" si="30"/>
        <v>0.5</v>
      </c>
      <c r="N232" s="219"/>
      <c r="O232" s="75" t="str">
        <f t="shared" ref="O232:O247" si="32">IF(M232&gt;=50%,"A","B")</f>
        <v>A</v>
      </c>
      <c r="P232" s="195"/>
      <c r="Q232" s="105"/>
      <c r="R232" s="105"/>
      <c r="S232" s="105"/>
      <c r="T232" s="105"/>
    </row>
    <row r="233" hidden="1">
      <c r="A233" s="198">
        <v>244.0</v>
      </c>
      <c r="B233" s="234">
        <v>8.0</v>
      </c>
      <c r="C233" s="104" t="s">
        <v>2016</v>
      </c>
      <c r="D233" s="246"/>
      <c r="E233" s="104" t="s">
        <v>2017</v>
      </c>
      <c r="F233" s="246" t="s">
        <v>3100</v>
      </c>
      <c r="G233" s="235"/>
      <c r="H233" s="235" t="str">
        <f>iferror(vlookup(E233,'Kelas XI - X(32)'!$D$11:$H987,3,false),"")</f>
        <v>Ramania</v>
      </c>
      <c r="I233" s="150">
        <f>iferror(vlookup(E233,'Kelas XI - X(32)'!$D$11:$H987,4,false),"")</f>
        <v>10</v>
      </c>
      <c r="J233" s="216">
        <v>0.0</v>
      </c>
      <c r="K233" s="150">
        <f>iferror(vlookup(E233,'Kelas XI - X(32)'!$D$11:$H987,5,false),"")</f>
        <v>8</v>
      </c>
      <c r="L233" s="217">
        <f t="shared" si="29"/>
        <v>8</v>
      </c>
      <c r="M233" s="218">
        <f t="shared" si="30"/>
        <v>0.7272727273</v>
      </c>
      <c r="N233" s="219"/>
      <c r="O233" s="75" t="str">
        <f t="shared" si="32"/>
        <v>A</v>
      </c>
      <c r="P233" s="195"/>
      <c r="Q233" s="105"/>
      <c r="R233" s="105"/>
      <c r="S233" s="105"/>
      <c r="T233" s="105"/>
    </row>
    <row r="234" hidden="1">
      <c r="A234" s="196">
        <v>245.0</v>
      </c>
      <c r="B234" s="234">
        <v>9.0</v>
      </c>
      <c r="C234" s="104" t="s">
        <v>2018</v>
      </c>
      <c r="D234" s="246"/>
      <c r="E234" s="104" t="s">
        <v>2019</v>
      </c>
      <c r="F234" s="246" t="s">
        <v>3100</v>
      </c>
      <c r="G234" s="235"/>
      <c r="H234" s="235" t="str">
        <f>iferror(vlookup(E234,'Kelas XI - X(32)'!$D$11:$H987,3,false),"")</f>
        <v>Najmi</v>
      </c>
      <c r="I234" s="150">
        <f>iferror(vlookup(E234,'Kelas XI - X(32)'!$D$11:$H987,4,false),"")</f>
        <v>5</v>
      </c>
      <c r="J234" s="216">
        <v>0.0</v>
      </c>
      <c r="K234" s="150">
        <f>iferror(vlookup(E234,'Kelas XI - X(32)'!$D$11:$H987,5,false),"")</f>
        <v>5</v>
      </c>
      <c r="L234" s="217">
        <f t="shared" si="29"/>
        <v>5</v>
      </c>
      <c r="M234" s="218">
        <f t="shared" si="30"/>
        <v>0.8333333333</v>
      </c>
      <c r="N234" s="219"/>
      <c r="O234" s="75" t="str">
        <f t="shared" si="32"/>
        <v>A</v>
      </c>
      <c r="P234" s="195"/>
      <c r="Q234" s="105"/>
      <c r="R234" s="105"/>
      <c r="S234" s="105"/>
      <c r="T234" s="105"/>
    </row>
    <row r="235" hidden="1">
      <c r="A235" s="198">
        <v>246.0</v>
      </c>
      <c r="B235" s="234">
        <v>10.0</v>
      </c>
      <c r="C235" s="104" t="s">
        <v>2020</v>
      </c>
      <c r="D235" s="246"/>
      <c r="E235" s="104" t="s">
        <v>2021</v>
      </c>
      <c r="F235" s="246" t="s">
        <v>3100</v>
      </c>
      <c r="G235" s="235"/>
      <c r="H235" s="235" t="str">
        <f>iferror(vlookup(E235,'Kelas XI - X(32)'!$D$11:$H987,3,false),"")</f>
        <v>Taufik</v>
      </c>
      <c r="I235" s="150">
        <f>iferror(vlookup(E235,'Kelas XI - X(32)'!$D$11:$H987,4,false),"")</f>
        <v>7</v>
      </c>
      <c r="J235" s="216">
        <v>0.0</v>
      </c>
      <c r="K235" s="150">
        <f>iferror(vlookup(E235,'Kelas XI - X(32)'!$D$11:$H987,5,false),"")</f>
        <v>3</v>
      </c>
      <c r="L235" s="217">
        <f t="shared" si="29"/>
        <v>3</v>
      </c>
      <c r="M235" s="218">
        <f t="shared" si="30"/>
        <v>0.375</v>
      </c>
      <c r="N235" s="219"/>
      <c r="O235" s="75" t="str">
        <f t="shared" si="32"/>
        <v>B</v>
      </c>
      <c r="P235" s="195"/>
      <c r="Q235" s="105"/>
      <c r="R235" s="105"/>
      <c r="S235" s="105"/>
      <c r="T235" s="105"/>
    </row>
    <row r="236" hidden="1">
      <c r="A236" s="196">
        <v>247.0</v>
      </c>
      <c r="B236" s="234">
        <v>11.0</v>
      </c>
      <c r="C236" s="104" t="s">
        <v>2022</v>
      </c>
      <c r="D236" s="246"/>
      <c r="E236" s="104" t="s">
        <v>2023</v>
      </c>
      <c r="F236" s="246" t="s">
        <v>3099</v>
      </c>
      <c r="G236" s="235"/>
      <c r="H236" s="235" t="str">
        <f>iferror(vlookup(E236,'Kelas XI - X(32)'!$D$11:$H987,3,false),"")</f>
        <v/>
      </c>
      <c r="I236" s="150">
        <f>iferror(vlookup(E236,'Kelas XI - X(32)'!$D$11:$H987,4,false),"")</f>
        <v>4</v>
      </c>
      <c r="J236" s="216">
        <v>0.0</v>
      </c>
      <c r="K236" s="150">
        <f>iferror(vlookup(E236,'Kelas XI - X(32)'!$D$11:$H987,5,false),"")</f>
        <v>4</v>
      </c>
      <c r="L236" s="217">
        <f t="shared" si="29"/>
        <v>4</v>
      </c>
      <c r="M236" s="218">
        <f t="shared" si="30"/>
        <v>0.8</v>
      </c>
      <c r="N236" s="219"/>
      <c r="O236" s="75" t="str">
        <f t="shared" si="32"/>
        <v>A</v>
      </c>
      <c r="P236" s="195"/>
      <c r="Q236" s="105"/>
      <c r="R236" s="105"/>
      <c r="S236" s="105"/>
      <c r="T236" s="105"/>
    </row>
    <row r="237" hidden="1">
      <c r="A237" s="198">
        <v>248.0</v>
      </c>
      <c r="B237" s="212">
        <v>12.0</v>
      </c>
      <c r="C237" s="213" t="s">
        <v>2024</v>
      </c>
      <c r="D237" s="258"/>
      <c r="E237" s="213" t="s">
        <v>2025</v>
      </c>
      <c r="F237" s="99" t="s">
        <v>3099</v>
      </c>
      <c r="G237" s="215"/>
      <c r="H237" s="215" t="str">
        <f>iferror(vlookup(E237,'Kelas XI - X(32)'!$D$11:$H987,3,false),"")</f>
        <v>Iga</v>
      </c>
      <c r="I237" s="69">
        <f>iferror(vlookup(E237,'Kelas XI - X(32)'!$D$11:$H987,4,false),"")</f>
        <v>4</v>
      </c>
      <c r="J237" s="217">
        <f>iferror(vlookup(E237,MasterClass!$C$2:$G987,5,false),"")</f>
        <v>1</v>
      </c>
      <c r="K237" s="150">
        <v>0.0</v>
      </c>
      <c r="L237" s="217">
        <f t="shared" si="29"/>
        <v>1</v>
      </c>
      <c r="M237" s="218">
        <f t="shared" si="30"/>
        <v>0.2</v>
      </c>
      <c r="N237" s="219"/>
      <c r="O237" s="75" t="str">
        <f t="shared" si="32"/>
        <v>B</v>
      </c>
      <c r="P237" s="195"/>
      <c r="Q237" s="105"/>
      <c r="R237" s="105"/>
      <c r="S237" s="105"/>
      <c r="T237" s="105"/>
    </row>
    <row r="238" hidden="1">
      <c r="A238" s="196">
        <v>249.0</v>
      </c>
      <c r="B238" s="220">
        <v>13.0</v>
      </c>
      <c r="C238" s="221" t="s">
        <v>2026</v>
      </c>
      <c r="D238" s="259"/>
      <c r="E238" s="221" t="s">
        <v>2027</v>
      </c>
      <c r="F238" s="99" t="s">
        <v>3100</v>
      </c>
      <c r="G238" s="215"/>
      <c r="H238" s="215" t="str">
        <f>iferror(vlookup(E238,'Kelas XI - X(32)'!$D$11:$H987,3,false),"")</f>
        <v/>
      </c>
      <c r="I238" s="69">
        <f>iferror(vlookup(E238,'Kelas XI - X(32)'!$D$11:$H987,4,false),"")</f>
        <v>4</v>
      </c>
      <c r="J238" s="223">
        <f>iferror(vlookup(E238,MasterClass!$C$2:$G987,5,false),"")</f>
        <v>1</v>
      </c>
      <c r="K238" s="69">
        <v>0.0</v>
      </c>
      <c r="L238" s="223">
        <f t="shared" si="29"/>
        <v>1</v>
      </c>
      <c r="M238" s="146">
        <f t="shared" si="30"/>
        <v>0.2</v>
      </c>
      <c r="N238" s="224"/>
      <c r="O238" s="75" t="str">
        <f t="shared" si="32"/>
        <v>B</v>
      </c>
      <c r="P238" s="195"/>
      <c r="Q238" s="105"/>
      <c r="R238" s="105"/>
      <c r="S238" s="105"/>
      <c r="T238" s="105"/>
    </row>
    <row r="239" hidden="1">
      <c r="A239" s="198">
        <v>250.0</v>
      </c>
      <c r="B239" s="225">
        <v>14.0</v>
      </c>
      <c r="C239" s="214" t="s">
        <v>2028</v>
      </c>
      <c r="D239" s="99"/>
      <c r="E239" s="237" t="s">
        <v>2029</v>
      </c>
      <c r="F239" s="99" t="s">
        <v>3099</v>
      </c>
      <c r="G239" s="215"/>
      <c r="H239" s="215" t="str">
        <f>iferror(vlookup(E239,'Kelas XI - X(32)'!$D$11:$H987,3,false),"")</f>
        <v>Rafli</v>
      </c>
      <c r="I239" s="69">
        <f>iferror(vlookup(E239,'Kelas XI - X(32)'!$D$11:$H987,4,false),"")</f>
        <v>4</v>
      </c>
      <c r="J239" s="222">
        <v>0.0</v>
      </c>
      <c r="K239" s="69">
        <v>0.0</v>
      </c>
      <c r="L239" s="223">
        <f t="shared" si="29"/>
        <v>0</v>
      </c>
      <c r="M239" s="146">
        <f t="shared" si="30"/>
        <v>0</v>
      </c>
      <c r="N239" s="224"/>
      <c r="O239" s="75" t="str">
        <f t="shared" si="32"/>
        <v>B</v>
      </c>
      <c r="P239" s="195"/>
      <c r="Q239" s="105"/>
      <c r="R239" s="105"/>
      <c r="S239" s="105"/>
      <c r="T239" s="105"/>
    </row>
    <row r="240" hidden="1">
      <c r="A240" s="196">
        <v>251.0</v>
      </c>
      <c r="B240" s="225">
        <v>15.0</v>
      </c>
      <c r="C240" s="214" t="s">
        <v>2030</v>
      </c>
      <c r="D240" s="99"/>
      <c r="E240" s="214" t="s">
        <v>2031</v>
      </c>
      <c r="F240" s="99" t="s">
        <v>3099</v>
      </c>
      <c r="G240" s="215"/>
      <c r="H240" s="215" t="str">
        <f>iferror(vlookup(E240,'Kelas XI - X(32)'!$D$11:$H987,3,false),"")</f>
        <v/>
      </c>
      <c r="I240" s="69">
        <f>iferror(vlookup(E240,'Kelas XI - X(32)'!$D$11:$H987,4,false),"")</f>
        <v>8</v>
      </c>
      <c r="J240" s="222">
        <v>0.0</v>
      </c>
      <c r="K240" s="69">
        <f>iferror(vlookup(E240,'Kelas XI - X(32)'!$D$11:$H987,5,false),"")</f>
        <v>1</v>
      </c>
      <c r="L240" s="223">
        <f t="shared" si="29"/>
        <v>1</v>
      </c>
      <c r="M240" s="146">
        <f t="shared" si="30"/>
        <v>0.1111111111</v>
      </c>
      <c r="N240" s="224"/>
      <c r="O240" s="75" t="str">
        <f t="shared" si="32"/>
        <v>B</v>
      </c>
      <c r="P240" s="195"/>
      <c r="Q240" s="105"/>
      <c r="R240" s="105"/>
      <c r="S240" s="105"/>
      <c r="T240" s="105"/>
    </row>
    <row r="241" hidden="1">
      <c r="A241" s="198">
        <v>252.0</v>
      </c>
      <c r="B241" s="225">
        <v>16.0</v>
      </c>
      <c r="C241" s="214" t="s">
        <v>2032</v>
      </c>
      <c r="D241" s="99"/>
      <c r="E241" s="214" t="s">
        <v>2033</v>
      </c>
      <c r="F241" s="99" t="s">
        <v>3100</v>
      </c>
      <c r="G241" s="215"/>
      <c r="H241" s="215" t="str">
        <f>iferror(vlookup(E241,'Kelas XI - X(32)'!$D$11:$H987,3,false),"")</f>
        <v/>
      </c>
      <c r="I241" s="69">
        <f>iferror(vlookup(E241,'Kelas XI - X(32)'!$D$11:$H987,4,false),"")</f>
        <v>8</v>
      </c>
      <c r="J241" s="223">
        <f>iferror(vlookup(E241,MasterClass!$C$2:$G987,5,false),"")</f>
        <v>1</v>
      </c>
      <c r="K241" s="69">
        <f>iferror(vlookup(E241,'Kelas XI - X(32)'!$D$11:$H987,5,false),"")</f>
        <v>5</v>
      </c>
      <c r="L241" s="223">
        <f t="shared" si="29"/>
        <v>6</v>
      </c>
      <c r="M241" s="146">
        <f t="shared" si="30"/>
        <v>0.6666666667</v>
      </c>
      <c r="N241" s="224"/>
      <c r="O241" s="75" t="str">
        <f t="shared" si="32"/>
        <v>A</v>
      </c>
      <c r="P241" s="195"/>
      <c r="Q241" s="105"/>
      <c r="R241" s="105"/>
      <c r="S241" s="105"/>
      <c r="T241" s="105"/>
    </row>
    <row r="242" hidden="1">
      <c r="A242" s="196">
        <v>253.0</v>
      </c>
      <c r="B242" s="225">
        <v>17.0</v>
      </c>
      <c r="C242" s="214" t="s">
        <v>2034</v>
      </c>
      <c r="D242" s="99"/>
      <c r="E242" s="214" t="s">
        <v>2035</v>
      </c>
      <c r="F242" s="99" t="s">
        <v>3100</v>
      </c>
      <c r="G242" s="215"/>
      <c r="H242" s="215" t="str">
        <f>iferror(vlookup(E242,'Kelas XI - X(32)'!$D$11:$H987,3,false),"")</f>
        <v/>
      </c>
      <c r="I242" s="69">
        <v>1.0</v>
      </c>
      <c r="J242" s="222">
        <v>0.0</v>
      </c>
      <c r="K242" s="69">
        <v>0.0</v>
      </c>
      <c r="L242" s="223">
        <f t="shared" si="29"/>
        <v>0</v>
      </c>
      <c r="M242" s="146">
        <f t="shared" si="30"/>
        <v>0</v>
      </c>
      <c r="N242" s="224"/>
      <c r="O242" s="75" t="str">
        <f t="shared" si="32"/>
        <v>B</v>
      </c>
      <c r="P242" s="195"/>
      <c r="Q242" s="105"/>
      <c r="R242" s="105"/>
      <c r="S242" s="105"/>
      <c r="T242" s="105"/>
    </row>
    <row r="243" hidden="1">
      <c r="A243" s="198">
        <v>254.0</v>
      </c>
      <c r="B243" s="225">
        <v>18.0</v>
      </c>
      <c r="C243" s="214" t="s">
        <v>2036</v>
      </c>
      <c r="D243" s="99"/>
      <c r="E243" s="214" t="s">
        <v>2037</v>
      </c>
      <c r="F243" s="99" t="s">
        <v>3100</v>
      </c>
      <c r="G243" s="215"/>
      <c r="H243" s="215" t="str">
        <f>iferror(vlookup(E243,'Kelas XI - X(32)'!$D$11:$H987,3,false),"")</f>
        <v/>
      </c>
      <c r="I243" s="69">
        <f>iferror(vlookup(E243,'Kelas XI - X(32)'!$D$11:$H987,4,false),"")</f>
        <v>7</v>
      </c>
      <c r="J243" s="222">
        <v>0.0</v>
      </c>
      <c r="K243" s="69">
        <f>iferror(vlookup(E243,'Kelas XI - X(32)'!$D$11:$H987,5,false),"")</f>
        <v>2</v>
      </c>
      <c r="L243" s="223">
        <f t="shared" si="29"/>
        <v>2</v>
      </c>
      <c r="M243" s="146">
        <f t="shared" si="30"/>
        <v>0.25</v>
      </c>
      <c r="N243" s="224"/>
      <c r="O243" s="75" t="str">
        <f t="shared" si="32"/>
        <v>B</v>
      </c>
      <c r="P243" s="195"/>
      <c r="Q243" s="105"/>
      <c r="R243" s="105"/>
      <c r="S243" s="105"/>
      <c r="T243" s="105"/>
    </row>
    <row r="244" hidden="1">
      <c r="A244" s="196">
        <v>255.0</v>
      </c>
      <c r="B244" s="225">
        <v>19.0</v>
      </c>
      <c r="C244" s="214" t="s">
        <v>2038</v>
      </c>
      <c r="D244" s="99"/>
      <c r="E244" s="214" t="s">
        <v>2039</v>
      </c>
      <c r="F244" s="99" t="s">
        <v>3099</v>
      </c>
      <c r="G244" s="215"/>
      <c r="H244" s="215" t="str">
        <f>iferror(vlookup(E244,'Kelas XI - X(32)'!$D$11:$H987,3,false),"")</f>
        <v/>
      </c>
      <c r="I244" s="69">
        <f>iferror(vlookup(E244,'Kelas XI - X(32)'!$D$11:$H987,4,false),"")</f>
        <v>6</v>
      </c>
      <c r="J244" s="222">
        <v>0.0</v>
      </c>
      <c r="K244" s="69">
        <f>iferror(vlookup(E244,'Kelas XI - X(32)'!$D$11:$H987,5,false),"")</f>
        <v>2</v>
      </c>
      <c r="L244" s="223">
        <f t="shared" si="29"/>
        <v>2</v>
      </c>
      <c r="M244" s="146">
        <f t="shared" si="30"/>
        <v>0.2857142857</v>
      </c>
      <c r="N244" s="224"/>
      <c r="O244" s="75" t="str">
        <f t="shared" si="32"/>
        <v>B</v>
      </c>
      <c r="P244" s="195"/>
      <c r="Q244" s="105"/>
      <c r="R244" s="105"/>
      <c r="S244" s="105"/>
      <c r="T244" s="105"/>
    </row>
    <row r="245" hidden="1">
      <c r="A245" s="198">
        <v>256.0</v>
      </c>
      <c r="B245" s="225">
        <v>20.0</v>
      </c>
      <c r="C245" s="214" t="s">
        <v>2040</v>
      </c>
      <c r="D245" s="99"/>
      <c r="E245" s="214" t="s">
        <v>2041</v>
      </c>
      <c r="F245" s="99" t="s">
        <v>3100</v>
      </c>
      <c r="G245" s="215"/>
      <c r="H245" s="215" t="str">
        <f>iferror(vlookup(E245,'Kelas XI - X(32)'!$D$11:$H987,3,false),"")</f>
        <v/>
      </c>
      <c r="I245" s="69">
        <f>iferror(vlookup(E245,'Kelas XI - X(32)'!$D$11:$H987,4,false),"")</f>
        <v>7</v>
      </c>
      <c r="J245" s="222">
        <v>0.0</v>
      </c>
      <c r="K245" s="69">
        <f>iferror(vlookup(E245,'Kelas XI - X(32)'!$D$11:$H987,5,false),"")</f>
        <v>0</v>
      </c>
      <c r="L245" s="223">
        <f t="shared" si="29"/>
        <v>0</v>
      </c>
      <c r="M245" s="146">
        <f t="shared" si="30"/>
        <v>0</v>
      </c>
      <c r="N245" s="224"/>
      <c r="O245" s="75" t="str">
        <f t="shared" si="32"/>
        <v>B</v>
      </c>
      <c r="P245" s="195"/>
      <c r="Q245" s="105"/>
      <c r="R245" s="105"/>
      <c r="S245" s="105"/>
      <c r="T245" s="105"/>
    </row>
    <row r="246" hidden="1">
      <c r="A246" s="196">
        <v>257.0</v>
      </c>
      <c r="B246" s="225">
        <v>21.0</v>
      </c>
      <c r="C246" s="214" t="s">
        <v>2042</v>
      </c>
      <c r="D246" s="99"/>
      <c r="E246" s="214" t="s">
        <v>2043</v>
      </c>
      <c r="F246" s="99" t="s">
        <v>3099</v>
      </c>
      <c r="G246" s="215"/>
      <c r="H246" s="215" t="str">
        <f>iferror(vlookup(E246,'Kelas XI - X(32)'!$D$11:$H987,3,false),"")</f>
        <v>Arya</v>
      </c>
      <c r="I246" s="69">
        <f>iferror(vlookup(E246,'Kelas XI - X(32)'!$D$11:$H987,4,false),"")</f>
        <v>5</v>
      </c>
      <c r="J246" s="222">
        <v>0.0</v>
      </c>
      <c r="K246" s="69">
        <v>0.0</v>
      </c>
      <c r="L246" s="223">
        <f t="shared" si="29"/>
        <v>0</v>
      </c>
      <c r="M246" s="146">
        <f t="shared" si="30"/>
        <v>0</v>
      </c>
      <c r="N246" s="224"/>
      <c r="O246" s="75" t="str">
        <f t="shared" si="32"/>
        <v>B</v>
      </c>
      <c r="P246" s="195"/>
      <c r="Q246" s="105"/>
      <c r="R246" s="105"/>
      <c r="S246" s="105"/>
      <c r="T246" s="105"/>
    </row>
    <row r="247" hidden="1">
      <c r="A247" s="198">
        <v>258.0</v>
      </c>
      <c r="B247" s="225">
        <v>22.0</v>
      </c>
      <c r="C247" s="268" t="s">
        <v>2044</v>
      </c>
      <c r="D247" s="228"/>
      <c r="E247" s="268" t="s">
        <v>2045</v>
      </c>
      <c r="F247" s="228" t="s">
        <v>3099</v>
      </c>
      <c r="G247" s="215"/>
      <c r="H247" s="215" t="str">
        <f>iferror(vlookup(E247,'Kelas XI - X(32)'!$D$11:$H987,3,false),"")</f>
        <v/>
      </c>
      <c r="I247" s="69">
        <f>iferror(vlookup(E247,'Kelas XI - X(32)'!$D$11:$H987,4,false),"")</f>
        <v>7</v>
      </c>
      <c r="J247" s="222">
        <v>0.0</v>
      </c>
      <c r="K247" s="69">
        <f>iferror(vlookup(E247,'Kelas XI - X(32)'!$D$11:$H987,5,false),"")</f>
        <v>4</v>
      </c>
      <c r="L247" s="223">
        <f t="shared" si="29"/>
        <v>4</v>
      </c>
      <c r="M247" s="146">
        <f t="shared" si="30"/>
        <v>0.5</v>
      </c>
      <c r="N247" s="224"/>
      <c r="O247" s="75" t="str">
        <f t="shared" si="32"/>
        <v>A</v>
      </c>
      <c r="P247" s="195"/>
      <c r="Q247" s="105"/>
      <c r="R247" s="105"/>
      <c r="S247" s="105"/>
      <c r="T247" s="105"/>
    </row>
    <row r="248" hidden="1">
      <c r="A248" s="196">
        <v>259.0</v>
      </c>
      <c r="B248" s="225">
        <v>23.0</v>
      </c>
      <c r="C248" s="214" t="s">
        <v>2046</v>
      </c>
      <c r="D248" s="99"/>
      <c r="E248" s="214" t="s">
        <v>2047</v>
      </c>
      <c r="F248" s="99" t="s">
        <v>3099</v>
      </c>
      <c r="G248" s="215"/>
      <c r="H248" s="215"/>
      <c r="I248" s="69">
        <v>8.0</v>
      </c>
      <c r="J248" s="222">
        <v>0.0</v>
      </c>
      <c r="K248" s="69">
        <v>8.0</v>
      </c>
      <c r="L248" s="223">
        <f t="shared" si="29"/>
        <v>8</v>
      </c>
      <c r="M248" s="146">
        <f t="shared" si="30"/>
        <v>0.8888888889</v>
      </c>
      <c r="N248" s="248" t="s">
        <v>3108</v>
      </c>
      <c r="O248" s="69" t="s">
        <v>1163</v>
      </c>
      <c r="P248" s="195"/>
      <c r="Q248" s="105"/>
      <c r="R248" s="105"/>
      <c r="S248" s="105"/>
      <c r="T248" s="105"/>
    </row>
    <row r="249" hidden="1">
      <c r="A249" s="198">
        <v>260.0</v>
      </c>
      <c r="B249" s="225">
        <v>24.0</v>
      </c>
      <c r="C249" s="214" t="s">
        <v>2048</v>
      </c>
      <c r="D249" s="99"/>
      <c r="E249" s="214" t="s">
        <v>2049</v>
      </c>
      <c r="F249" s="99" t="s">
        <v>3099</v>
      </c>
      <c r="G249" s="215"/>
      <c r="H249" s="215" t="str">
        <f>iferror(vlookup(E249,'Kelas XI - X(32)'!$D$11:$H987,3,false),"")</f>
        <v>Zalika</v>
      </c>
      <c r="I249" s="69">
        <f>iferror(vlookup(E249,'Kelas XI - X(32)'!$D$11:$H987,4,false),"")</f>
        <v>5</v>
      </c>
      <c r="J249" s="222">
        <v>0.0</v>
      </c>
      <c r="K249" s="69">
        <f>iferror(vlookup(E249,'Kelas XI - X(32)'!$D$11:$H987,5,false),"")</f>
        <v>4</v>
      </c>
      <c r="L249" s="223">
        <f t="shared" si="29"/>
        <v>4</v>
      </c>
      <c r="M249" s="146">
        <f t="shared" si="30"/>
        <v>0.6666666667</v>
      </c>
      <c r="N249" s="224"/>
      <c r="O249" s="75" t="str">
        <f t="shared" ref="O249:O260" si="33">IF(M249&gt;=50%,"A","B")</f>
        <v>A</v>
      </c>
      <c r="P249" s="195"/>
      <c r="Q249" s="105"/>
      <c r="R249" s="105"/>
      <c r="S249" s="105"/>
      <c r="T249" s="105"/>
    </row>
    <row r="250" hidden="1">
      <c r="A250" s="196">
        <v>261.0</v>
      </c>
      <c r="B250" s="225">
        <v>25.0</v>
      </c>
      <c r="C250" s="214" t="s">
        <v>2050</v>
      </c>
      <c r="D250" s="99"/>
      <c r="E250" s="214" t="s">
        <v>2051</v>
      </c>
      <c r="F250" s="99" t="s">
        <v>3099</v>
      </c>
      <c r="G250" s="215"/>
      <c r="H250" s="215" t="str">
        <f>iferror(vlookup(E250,'Kelas XI - X(32)'!$D$11:$H987,3,false),"")</f>
        <v/>
      </c>
      <c r="I250" s="69">
        <f>iferror(vlookup(E250,'Kelas XI - X(32)'!$D$11:$H987,4,false),"")</f>
        <v>8</v>
      </c>
      <c r="J250" s="222">
        <v>0.0</v>
      </c>
      <c r="K250" s="69">
        <f>iferror(vlookup(E250,'Kelas XI - X(32)'!$D$11:$H987,5,false),"")</f>
        <v>3</v>
      </c>
      <c r="L250" s="223">
        <f t="shared" si="29"/>
        <v>3</v>
      </c>
      <c r="M250" s="146">
        <f t="shared" si="30"/>
        <v>0.3333333333</v>
      </c>
      <c r="N250" s="224"/>
      <c r="O250" s="75" t="str">
        <f t="shared" si="33"/>
        <v>B</v>
      </c>
      <c r="P250" s="195"/>
      <c r="Q250" s="105"/>
      <c r="R250" s="105"/>
      <c r="S250" s="105"/>
      <c r="T250" s="105"/>
    </row>
    <row r="251" hidden="1">
      <c r="A251" s="198">
        <v>262.0</v>
      </c>
      <c r="B251" s="225">
        <v>26.0</v>
      </c>
      <c r="C251" s="214" t="s">
        <v>2052</v>
      </c>
      <c r="D251" s="99"/>
      <c r="E251" s="214" t="s">
        <v>2053</v>
      </c>
      <c r="F251" s="99" t="s">
        <v>3099</v>
      </c>
      <c r="G251" s="215"/>
      <c r="H251" s="215" t="str">
        <f>iferror(vlookup(E251,'Kelas XI - X(32)'!$D$11:$H987,3,false),"")</f>
        <v/>
      </c>
      <c r="I251" s="69">
        <f>iferror(vlookup(E251,'Kelas XI - X(32)'!$D$11:$H987,4,false),"")</f>
        <v>8</v>
      </c>
      <c r="J251" s="222">
        <v>0.0</v>
      </c>
      <c r="K251" s="69">
        <f>iferror(vlookup(E251,'Kelas XI - X(32)'!$D$11:$H987,5,false),"")</f>
        <v>5</v>
      </c>
      <c r="L251" s="223">
        <f t="shared" si="29"/>
        <v>5</v>
      </c>
      <c r="M251" s="146">
        <f t="shared" si="30"/>
        <v>0.5555555556</v>
      </c>
      <c r="N251" s="224"/>
      <c r="O251" s="75" t="str">
        <f t="shared" si="33"/>
        <v>A</v>
      </c>
      <c r="P251" s="195"/>
      <c r="Q251" s="105"/>
      <c r="R251" s="105"/>
      <c r="S251" s="105"/>
      <c r="T251" s="105"/>
    </row>
    <row r="252" hidden="1">
      <c r="A252" s="196">
        <v>263.0</v>
      </c>
      <c r="B252" s="225">
        <v>27.0</v>
      </c>
      <c r="C252" s="214" t="s">
        <v>2054</v>
      </c>
      <c r="D252" s="99"/>
      <c r="E252" s="214" t="s">
        <v>2055</v>
      </c>
      <c r="F252" s="99" t="s">
        <v>3099</v>
      </c>
      <c r="G252" s="215"/>
      <c r="H252" s="215" t="str">
        <f>iferror(vlookup(E252,'Kelas XI - X(32)'!$D$11:$H987,3,false),"")</f>
        <v/>
      </c>
      <c r="I252" s="69">
        <f>iferror(vlookup(E252,'Kelas XI - X(32)'!$D$11:$H987,4,false),"")</f>
        <v>4</v>
      </c>
      <c r="J252" s="222">
        <v>0.0</v>
      </c>
      <c r="K252" s="69">
        <f>iferror(vlookup(E252,'Kelas XI - X(32)'!$D$11:$H987,5,false),"")</f>
        <v>2</v>
      </c>
      <c r="L252" s="223">
        <f t="shared" si="29"/>
        <v>2</v>
      </c>
      <c r="M252" s="146">
        <f t="shared" si="30"/>
        <v>0.4</v>
      </c>
      <c r="N252" s="224"/>
      <c r="O252" s="75" t="str">
        <f t="shared" si="33"/>
        <v>B</v>
      </c>
      <c r="P252" s="195"/>
      <c r="Q252" s="105"/>
      <c r="R252" s="105"/>
      <c r="S252" s="105"/>
      <c r="T252" s="105"/>
    </row>
    <row r="253" hidden="1">
      <c r="A253" s="198">
        <v>264.0</v>
      </c>
      <c r="B253" s="225">
        <v>28.0</v>
      </c>
      <c r="C253" s="214" t="s">
        <v>2056</v>
      </c>
      <c r="D253" s="99"/>
      <c r="E253" s="214" t="s">
        <v>2057</v>
      </c>
      <c r="F253" s="99" t="s">
        <v>3099</v>
      </c>
      <c r="G253" s="215"/>
      <c r="H253" s="215" t="str">
        <f>iferror(vlookup(E253,'Kelas XI - X(32)'!$D$11:$H987,3,false),"")</f>
        <v>Arya</v>
      </c>
      <c r="I253" s="69">
        <f>iferror(vlookup(E253,'Kelas XI - X(32)'!$D$11:$H987,4,false),"")</f>
        <v>5</v>
      </c>
      <c r="J253" s="222">
        <v>0.0</v>
      </c>
      <c r="K253" s="69">
        <f>iferror(vlookup(E253,'Kelas XI - X(32)'!$D$11:$H987,5,false),"")</f>
        <v>3</v>
      </c>
      <c r="L253" s="223">
        <f t="shared" si="29"/>
        <v>3</v>
      </c>
      <c r="M253" s="146">
        <f t="shared" si="30"/>
        <v>0.5</v>
      </c>
      <c r="N253" s="224"/>
      <c r="O253" s="75" t="str">
        <f t="shared" si="33"/>
        <v>A</v>
      </c>
      <c r="P253" s="195"/>
      <c r="Q253" s="105"/>
      <c r="R253" s="105"/>
      <c r="S253" s="105"/>
      <c r="T253" s="105"/>
    </row>
    <row r="254" hidden="1">
      <c r="A254" s="196">
        <v>265.0</v>
      </c>
      <c r="B254" s="225">
        <v>29.0</v>
      </c>
      <c r="C254" s="214" t="s">
        <v>2058</v>
      </c>
      <c r="D254" s="99"/>
      <c r="E254" s="214" t="s">
        <v>2059</v>
      </c>
      <c r="F254" s="99" t="s">
        <v>3100</v>
      </c>
      <c r="G254" s="215"/>
      <c r="H254" s="215" t="str">
        <f>iferror(vlookup(E254,'Kelas XI - X(32)'!$D$11:$H987,3,false),"")</f>
        <v>Rafli</v>
      </c>
      <c r="I254" s="69">
        <f>iferror(vlookup(E254,'Kelas XI - X(32)'!$D$11:$H987,4,false),"")</f>
        <v>4</v>
      </c>
      <c r="J254" s="222">
        <v>0.0</v>
      </c>
      <c r="K254" s="69">
        <v>0.0</v>
      </c>
      <c r="L254" s="223">
        <f t="shared" si="29"/>
        <v>0</v>
      </c>
      <c r="M254" s="146">
        <f t="shared" si="30"/>
        <v>0</v>
      </c>
      <c r="N254" s="224"/>
      <c r="O254" s="75" t="str">
        <f t="shared" si="33"/>
        <v>B</v>
      </c>
      <c r="P254" s="195"/>
      <c r="Q254" s="105"/>
      <c r="R254" s="105"/>
      <c r="S254" s="105"/>
      <c r="T254" s="105"/>
    </row>
    <row r="255" hidden="1">
      <c r="A255" s="198">
        <v>266.0</v>
      </c>
      <c r="B255" s="225">
        <v>30.0</v>
      </c>
      <c r="C255" s="214" t="s">
        <v>2060</v>
      </c>
      <c r="D255" s="99"/>
      <c r="E255" s="214" t="s">
        <v>2061</v>
      </c>
      <c r="F255" s="99" t="s">
        <v>3099</v>
      </c>
      <c r="G255" s="215"/>
      <c r="H255" s="215" t="str">
        <f>iferror(vlookup(E255,'Kelas XI - X(32)'!$D$11:$H987,3,false),"")</f>
        <v/>
      </c>
      <c r="I255" s="69">
        <v>1.0</v>
      </c>
      <c r="J255" s="222">
        <v>0.0</v>
      </c>
      <c r="K255" s="69">
        <v>0.0</v>
      </c>
      <c r="L255" s="223">
        <f t="shared" si="29"/>
        <v>0</v>
      </c>
      <c r="M255" s="146">
        <f t="shared" si="30"/>
        <v>0</v>
      </c>
      <c r="N255" s="224"/>
      <c r="O255" s="75" t="str">
        <f t="shared" si="33"/>
        <v>B</v>
      </c>
      <c r="P255" s="195"/>
      <c r="Q255" s="105"/>
      <c r="R255" s="105"/>
      <c r="S255" s="105"/>
      <c r="T255" s="105"/>
    </row>
    <row r="256" hidden="1">
      <c r="A256" s="196">
        <v>267.0</v>
      </c>
      <c r="B256" s="225">
        <v>31.0</v>
      </c>
      <c r="C256" s="214" t="s">
        <v>2062</v>
      </c>
      <c r="D256" s="99"/>
      <c r="E256" s="214" t="s">
        <v>2063</v>
      </c>
      <c r="F256" s="99" t="s">
        <v>3100</v>
      </c>
      <c r="G256" s="215"/>
      <c r="H256" s="215" t="str">
        <f>iferror(vlookup(E256,'Kelas XI - X(32)'!$D$11:$H987,3,false),"")</f>
        <v>Zalika</v>
      </c>
      <c r="I256" s="69">
        <f>iferror(vlookup(E256,'Kelas XI - X(32)'!$D$11:$H987,4,false),"")</f>
        <v>5</v>
      </c>
      <c r="J256" s="223">
        <f>iferror(vlookup(E256,MasterClass!$C$2:$G987,5,false),"")</f>
        <v>1</v>
      </c>
      <c r="K256" s="69">
        <f>iferror(vlookup(E256,'Kelas XI - X(32)'!$D$11:$H987,5,false),"")</f>
        <v>5</v>
      </c>
      <c r="L256" s="223">
        <f t="shared" si="29"/>
        <v>6</v>
      </c>
      <c r="M256" s="146">
        <f t="shared" si="30"/>
        <v>1</v>
      </c>
      <c r="N256" s="224"/>
      <c r="O256" s="75" t="str">
        <f t="shared" si="33"/>
        <v>A</v>
      </c>
      <c r="P256" s="195"/>
      <c r="Q256" s="105"/>
      <c r="R256" s="105"/>
      <c r="S256" s="105"/>
      <c r="T256" s="105"/>
    </row>
    <row r="257" hidden="1">
      <c r="A257" s="198">
        <v>268.0</v>
      </c>
      <c r="B257" s="225">
        <v>32.0</v>
      </c>
      <c r="C257" s="214" t="s">
        <v>2064</v>
      </c>
      <c r="D257" s="99"/>
      <c r="E257" s="214" t="s">
        <v>2065</v>
      </c>
      <c r="F257" s="99" t="s">
        <v>3099</v>
      </c>
      <c r="G257" s="215"/>
      <c r="H257" s="215" t="str">
        <f>iferror(vlookup(E257,'Kelas XI - X(32)'!$D$11:$H987,3,false),"")</f>
        <v/>
      </c>
      <c r="I257" s="69">
        <v>1.0</v>
      </c>
      <c r="J257" s="222">
        <v>0.0</v>
      </c>
      <c r="K257" s="69">
        <v>0.0</v>
      </c>
      <c r="L257" s="223">
        <f t="shared" si="29"/>
        <v>0</v>
      </c>
      <c r="M257" s="146">
        <f t="shared" si="30"/>
        <v>0</v>
      </c>
      <c r="N257" s="224"/>
      <c r="O257" s="75" t="str">
        <f t="shared" si="33"/>
        <v>B</v>
      </c>
      <c r="P257" s="195"/>
      <c r="Q257" s="105"/>
      <c r="R257" s="105"/>
      <c r="S257" s="105"/>
      <c r="T257" s="105"/>
    </row>
    <row r="258" hidden="1">
      <c r="A258" s="196">
        <v>269.0</v>
      </c>
      <c r="B258" s="225">
        <v>33.0</v>
      </c>
      <c r="C258" s="214" t="s">
        <v>2066</v>
      </c>
      <c r="D258" s="99"/>
      <c r="E258" s="214" t="s">
        <v>2067</v>
      </c>
      <c r="F258" s="99" t="s">
        <v>3099</v>
      </c>
      <c r="G258" s="215"/>
      <c r="H258" s="215" t="str">
        <f>iferror(vlookup(E258,'Kelas XI - X(32)'!$D$11:$H987,3,false),"")</f>
        <v>Zalika</v>
      </c>
      <c r="I258" s="69">
        <f>iferror(vlookup(E258,'Kelas XI - X(32)'!$D$11:$H987,4,false),"")</f>
        <v>5</v>
      </c>
      <c r="J258" s="223">
        <f>iferror(vlookup(E258,MasterClass!$C$2:$G987,5,false),"")</f>
        <v>1</v>
      </c>
      <c r="K258" s="69">
        <f>iferror(vlookup(E258,'Kelas XI - X(32)'!$D$11:$H987,5,false),"")</f>
        <v>5</v>
      </c>
      <c r="L258" s="223">
        <f t="shared" si="29"/>
        <v>6</v>
      </c>
      <c r="M258" s="146">
        <f t="shared" si="30"/>
        <v>1</v>
      </c>
      <c r="N258" s="224"/>
      <c r="O258" s="75" t="str">
        <f t="shared" si="33"/>
        <v>A</v>
      </c>
      <c r="P258" s="195"/>
      <c r="Q258" s="105"/>
      <c r="R258" s="105"/>
      <c r="S258" s="105"/>
      <c r="T258" s="105"/>
    </row>
    <row r="259" hidden="1">
      <c r="A259" s="198">
        <v>270.0</v>
      </c>
      <c r="B259" s="225">
        <v>34.0</v>
      </c>
      <c r="C259" s="214" t="s">
        <v>2068</v>
      </c>
      <c r="D259" s="99"/>
      <c r="E259" s="214" t="s">
        <v>2069</v>
      </c>
      <c r="F259" s="99" t="s">
        <v>3100</v>
      </c>
      <c r="G259" s="215"/>
      <c r="H259" s="215" t="str">
        <f>iferror(vlookup(E259,'Kelas XI - X(32)'!$D$11:$H987,3,false),"")</f>
        <v>Taufik</v>
      </c>
      <c r="I259" s="69">
        <f>iferror(vlookup(E259,'Kelas XI - X(32)'!$D$11:$H987,4,false),"")</f>
        <v>7</v>
      </c>
      <c r="J259" s="222">
        <v>0.0</v>
      </c>
      <c r="K259" s="69">
        <f>iferror(vlookup(E259,'Kelas XI - X(32)'!$D$11:$H987,5,false),"")</f>
        <v>1</v>
      </c>
      <c r="L259" s="223">
        <f t="shared" si="29"/>
        <v>1</v>
      </c>
      <c r="M259" s="146">
        <f t="shared" si="30"/>
        <v>0.125</v>
      </c>
      <c r="N259" s="224"/>
      <c r="O259" s="75" t="str">
        <f t="shared" si="33"/>
        <v>B</v>
      </c>
      <c r="P259" s="195"/>
      <c r="Q259" s="105"/>
      <c r="R259" s="105"/>
      <c r="S259" s="105"/>
      <c r="T259" s="105"/>
    </row>
    <row r="260" hidden="1">
      <c r="A260" s="196">
        <v>271.0</v>
      </c>
      <c r="B260" s="225">
        <v>35.0</v>
      </c>
      <c r="C260" s="214" t="s">
        <v>2070</v>
      </c>
      <c r="D260" s="99"/>
      <c r="E260" s="214" t="s">
        <v>2071</v>
      </c>
      <c r="F260" s="99" t="s">
        <v>3100</v>
      </c>
      <c r="G260" s="215"/>
      <c r="H260" s="215" t="str">
        <f>iferror(vlookup(E260,'Kelas XI - X(32)'!$D$11:$H987,3,false),"")</f>
        <v>Najmi</v>
      </c>
      <c r="I260" s="69">
        <f>iferror(vlookup(E260,'Kelas XI - X(32)'!$D$11:$H987,4,false),"")</f>
        <v>5</v>
      </c>
      <c r="J260" s="222">
        <v>0.0</v>
      </c>
      <c r="K260" s="69">
        <f>iferror(vlookup(E260,'Kelas XI - X(32)'!$D$11:$H987,5,false),"")</f>
        <v>5</v>
      </c>
      <c r="L260" s="223">
        <f t="shared" si="29"/>
        <v>5</v>
      </c>
      <c r="M260" s="146">
        <f t="shared" si="30"/>
        <v>0.8333333333</v>
      </c>
      <c r="N260" s="224"/>
      <c r="O260" s="75" t="str">
        <f t="shared" si="33"/>
        <v>A</v>
      </c>
      <c r="P260" s="195"/>
      <c r="Q260" s="105"/>
      <c r="R260" s="105"/>
      <c r="S260" s="105"/>
      <c r="T260" s="105"/>
    </row>
    <row r="261" hidden="1">
      <c r="A261" s="198">
        <v>272.0</v>
      </c>
      <c r="B261" s="225">
        <v>36.0</v>
      </c>
      <c r="C261" s="214" t="s">
        <v>2072</v>
      </c>
      <c r="D261" s="99"/>
      <c r="E261" s="214" t="s">
        <v>2073</v>
      </c>
      <c r="F261" s="99" t="s">
        <v>3099</v>
      </c>
      <c r="G261" s="215"/>
      <c r="H261" s="215" t="str">
        <f>iferror(vlookup(E261,'Kelas XI - X(32)'!$D$11:$H987,3,false),"")</f>
        <v>Ukhti</v>
      </c>
      <c r="I261" s="69">
        <f>iferror(vlookup(E261,'Kelas XI - X(32)'!$D$11:$H987,4,false),"")</f>
        <v>13</v>
      </c>
      <c r="J261" s="222">
        <v>0.0</v>
      </c>
      <c r="K261" s="69">
        <f>iferror(vlookup(E261,'Kelas XI - X(32)'!$D$11:$H987,5,false),"")</f>
        <v>10</v>
      </c>
      <c r="L261" s="223">
        <f t="shared" si="29"/>
        <v>10</v>
      </c>
      <c r="M261" s="146">
        <f t="shared" si="30"/>
        <v>0.7142857143</v>
      </c>
      <c r="N261" s="269" t="s">
        <v>3107</v>
      </c>
      <c r="O261" s="69" t="s">
        <v>1163</v>
      </c>
      <c r="P261" s="195"/>
      <c r="Q261" s="105"/>
      <c r="R261" s="105"/>
      <c r="S261" s="105"/>
      <c r="T261" s="105"/>
    </row>
    <row r="262" hidden="1">
      <c r="A262" s="196">
        <v>273.0</v>
      </c>
      <c r="B262" s="227"/>
      <c r="C262" s="214"/>
      <c r="D262" s="228"/>
      <c r="E262" s="214"/>
      <c r="F262" s="228"/>
      <c r="G262" s="228"/>
      <c r="H262" s="228"/>
      <c r="I262" s="229"/>
      <c r="J262" s="229"/>
      <c r="K262" s="229"/>
      <c r="L262" s="229"/>
      <c r="M262" s="229"/>
      <c r="N262" s="228"/>
      <c r="O262" s="229"/>
      <c r="P262" s="195"/>
      <c r="Q262" s="105"/>
      <c r="R262" s="105"/>
      <c r="S262" s="105"/>
      <c r="T262" s="105"/>
    </row>
    <row r="263" hidden="1">
      <c r="A263" s="198">
        <v>274.0</v>
      </c>
      <c r="B263" s="227"/>
      <c r="C263" s="214"/>
      <c r="D263" s="228"/>
      <c r="E263" s="214"/>
      <c r="F263" s="228"/>
      <c r="G263" s="228"/>
      <c r="H263" s="228"/>
      <c r="I263" s="229"/>
      <c r="J263" s="229"/>
      <c r="K263" s="229"/>
      <c r="L263" s="229"/>
      <c r="M263" s="229"/>
      <c r="N263" s="230"/>
      <c r="O263" s="231"/>
      <c r="P263" s="195"/>
      <c r="Q263" s="105"/>
      <c r="R263" s="105"/>
      <c r="S263" s="105"/>
      <c r="T263" s="105"/>
    </row>
    <row r="264" hidden="1">
      <c r="A264" s="196">
        <v>275.0</v>
      </c>
      <c r="B264" s="227"/>
      <c r="C264" s="214"/>
      <c r="D264" s="228"/>
      <c r="E264" s="214"/>
      <c r="F264" s="228"/>
      <c r="G264" s="228"/>
      <c r="H264" s="228"/>
      <c r="I264" s="229"/>
      <c r="J264" s="229"/>
      <c r="K264" s="229"/>
      <c r="L264" s="229"/>
      <c r="M264" s="229"/>
      <c r="N264" s="230"/>
      <c r="O264" s="231"/>
      <c r="P264" s="195"/>
      <c r="Q264" s="105"/>
      <c r="R264" s="105"/>
      <c r="S264" s="105"/>
      <c r="T264" s="105"/>
    </row>
    <row r="265" hidden="1">
      <c r="A265" s="198">
        <v>276.0</v>
      </c>
      <c r="B265" s="249"/>
      <c r="C265" s="241"/>
      <c r="D265" s="241"/>
      <c r="E265" s="241"/>
      <c r="F265" s="241"/>
      <c r="G265" s="241"/>
      <c r="H265" s="241"/>
      <c r="I265" s="242"/>
      <c r="J265" s="242"/>
      <c r="K265" s="242"/>
      <c r="L265" s="242"/>
      <c r="M265" s="242"/>
      <c r="N265" s="241"/>
      <c r="O265" s="242"/>
      <c r="P265" s="195"/>
      <c r="Q265" s="105"/>
      <c r="R265" s="105"/>
      <c r="S265" s="105"/>
      <c r="T265" s="105"/>
    </row>
    <row r="266">
      <c r="A266" s="196">
        <v>279.0</v>
      </c>
      <c r="B266" s="243" t="s">
        <v>2074</v>
      </c>
      <c r="C266" s="9"/>
      <c r="D266" s="9"/>
      <c r="E266" s="10"/>
      <c r="F266" s="244"/>
      <c r="G266" s="244"/>
      <c r="H266" s="244"/>
      <c r="I266" s="245"/>
      <c r="J266" s="245"/>
      <c r="K266" s="245"/>
      <c r="L266" s="245"/>
      <c r="M266" s="245"/>
      <c r="N266" s="244"/>
      <c r="O266" s="245"/>
      <c r="P266" s="195"/>
      <c r="Q266" s="105"/>
      <c r="R266" s="105"/>
      <c r="S266" s="105"/>
      <c r="T266" s="105"/>
    </row>
    <row r="267" hidden="1">
      <c r="A267" s="198">
        <v>280.0</v>
      </c>
      <c r="B267" s="250" t="s">
        <v>2075</v>
      </c>
      <c r="C267" s="9"/>
      <c r="D267" s="9"/>
      <c r="E267" s="10"/>
      <c r="F267" s="251"/>
      <c r="G267" s="251"/>
      <c r="H267" s="251"/>
      <c r="I267" s="252"/>
      <c r="J267" s="252"/>
      <c r="K267" s="252"/>
      <c r="L267" s="252"/>
      <c r="M267" s="252"/>
      <c r="N267" s="251"/>
      <c r="O267" s="252"/>
      <c r="P267" s="195"/>
      <c r="Q267" s="105"/>
      <c r="R267" s="105"/>
      <c r="S267" s="105"/>
      <c r="T267" s="105"/>
    </row>
    <row r="268" hidden="1">
      <c r="A268" s="196">
        <v>281.0</v>
      </c>
      <c r="B268" s="253" t="s">
        <v>1735</v>
      </c>
      <c r="C268" s="253" t="s">
        <v>1736</v>
      </c>
      <c r="D268" s="253" t="s">
        <v>1737</v>
      </c>
      <c r="E268" s="253" t="s">
        <v>1738</v>
      </c>
      <c r="F268" s="254" t="s">
        <v>1815</v>
      </c>
      <c r="G268" s="255"/>
      <c r="H268" s="255"/>
      <c r="I268" s="256" t="s">
        <v>3097</v>
      </c>
      <c r="J268" s="9"/>
      <c r="K268" s="9"/>
      <c r="L268" s="9"/>
      <c r="M268" s="9"/>
      <c r="N268" s="9"/>
      <c r="O268" s="10"/>
      <c r="P268" s="195"/>
      <c r="Q268" s="105"/>
      <c r="R268" s="105"/>
      <c r="S268" s="105"/>
      <c r="T268" s="105"/>
    </row>
    <row r="269" hidden="1">
      <c r="A269" s="198">
        <v>282.0</v>
      </c>
      <c r="B269" s="253"/>
      <c r="C269" s="253"/>
      <c r="D269" s="253"/>
      <c r="E269" s="253"/>
      <c r="F269" s="262"/>
      <c r="G269" s="263"/>
      <c r="H269" s="263" t="s">
        <v>2483</v>
      </c>
      <c r="I269" s="144" t="s">
        <v>3094</v>
      </c>
      <c r="J269" s="264" t="s">
        <v>3095</v>
      </c>
      <c r="K269" s="265" t="s">
        <v>3096</v>
      </c>
      <c r="L269" s="264" t="s">
        <v>3098</v>
      </c>
      <c r="M269" s="266" t="s">
        <v>18</v>
      </c>
      <c r="N269" s="143" t="s">
        <v>2491</v>
      </c>
      <c r="O269" s="267" t="s">
        <v>19</v>
      </c>
      <c r="P269" s="195"/>
      <c r="Q269" s="105"/>
      <c r="R269" s="105"/>
      <c r="S269" s="105"/>
      <c r="T269" s="105"/>
    </row>
    <row r="270" hidden="1">
      <c r="A270" s="196">
        <v>283.0</v>
      </c>
      <c r="B270" s="225">
        <v>1.0</v>
      </c>
      <c r="C270" s="214" t="s">
        <v>2076</v>
      </c>
      <c r="D270" s="99"/>
      <c r="E270" s="214" t="s">
        <v>2077</v>
      </c>
      <c r="F270" s="270" t="s">
        <v>3099</v>
      </c>
      <c r="G270" s="215"/>
      <c r="H270" s="215" t="str">
        <f>iferror(vlookup(E270,'Kelas XI - X(32)'!$D$11:$H987,3,false),"")</f>
        <v>Arya</v>
      </c>
      <c r="I270" s="69">
        <f>iferror(vlookup(E270,'Kelas XI - X(32)'!$D$11:$H987,4,false),"")</f>
        <v>5</v>
      </c>
      <c r="J270" s="222">
        <v>0.0</v>
      </c>
      <c r="K270" s="69">
        <f>iferror(vlookup(E270,'Kelas XI - X(32)'!$D$11:$H987,5,false),"")</f>
        <v>0</v>
      </c>
      <c r="L270" s="223">
        <f t="shared" ref="L270:L305" si="34">K270+J270</f>
        <v>0</v>
      </c>
      <c r="M270" s="146">
        <f t="shared" ref="M270:M293" si="35">(K270+J270)/(I270+1)</f>
        <v>0</v>
      </c>
      <c r="N270" s="224"/>
      <c r="O270" s="75" t="str">
        <f t="shared" ref="O270:O272" si="36">IF(M270&gt;=50%,"A","B")</f>
        <v>B</v>
      </c>
      <c r="P270" s="195"/>
      <c r="Q270" s="105"/>
      <c r="R270" s="105"/>
      <c r="S270" s="105"/>
      <c r="T270" s="105"/>
    </row>
    <row r="271" hidden="1">
      <c r="A271" s="198">
        <v>284.0</v>
      </c>
      <c r="B271" s="225">
        <v>2.0</v>
      </c>
      <c r="C271" s="214" t="s">
        <v>2078</v>
      </c>
      <c r="D271" s="99"/>
      <c r="E271" s="214" t="s">
        <v>2079</v>
      </c>
      <c r="F271" s="270" t="s">
        <v>3100</v>
      </c>
      <c r="G271" s="215"/>
      <c r="H271" s="215" t="str">
        <f>iferror(vlookup(E271,'Kelas XI - X(32)'!$D$11:$H987,3,false),"")</f>
        <v>Rafli</v>
      </c>
      <c r="I271" s="69">
        <f>iferror(vlookup(E271,'Kelas XI - X(32)'!$D$11:$H987,4,false),"")</f>
        <v>4</v>
      </c>
      <c r="J271" s="222">
        <v>0.0</v>
      </c>
      <c r="K271" s="69">
        <v>0.0</v>
      </c>
      <c r="L271" s="223">
        <f t="shared" si="34"/>
        <v>0</v>
      </c>
      <c r="M271" s="146">
        <f t="shared" si="35"/>
        <v>0</v>
      </c>
      <c r="N271" s="224"/>
      <c r="O271" s="75" t="str">
        <f t="shared" si="36"/>
        <v>B</v>
      </c>
      <c r="P271" s="195"/>
      <c r="Q271" s="105"/>
      <c r="R271" s="105"/>
      <c r="S271" s="105"/>
      <c r="T271" s="105"/>
    </row>
    <row r="272" hidden="1">
      <c r="A272" s="196">
        <v>285.0</v>
      </c>
      <c r="B272" s="225">
        <v>3.0</v>
      </c>
      <c r="C272" s="214" t="s">
        <v>2080</v>
      </c>
      <c r="D272" s="99"/>
      <c r="E272" s="214" t="s">
        <v>2081</v>
      </c>
      <c r="F272" s="270" t="s">
        <v>3100</v>
      </c>
      <c r="G272" s="215"/>
      <c r="H272" s="215" t="str">
        <f>iferror(vlookup(E272,'Kelas XI - X(32)'!$D$11:$H987,3,false),"")</f>
        <v>Amel</v>
      </c>
      <c r="I272" s="69">
        <f>iferror(vlookup(E272,'Kelas XI - X(32)'!$D$11:$H987,4,false),"")</f>
        <v>7</v>
      </c>
      <c r="J272" s="222">
        <v>0.0</v>
      </c>
      <c r="K272" s="69">
        <f>iferror(vlookup(E272,'Kelas XI - X(32)'!$D$11:$H987,5,false),"")</f>
        <v>4</v>
      </c>
      <c r="L272" s="223">
        <f t="shared" si="34"/>
        <v>4</v>
      </c>
      <c r="M272" s="146">
        <f t="shared" si="35"/>
        <v>0.5</v>
      </c>
      <c r="N272" s="224"/>
      <c r="O272" s="75" t="str">
        <f t="shared" si="36"/>
        <v>A</v>
      </c>
      <c r="P272" s="195"/>
      <c r="Q272" s="105"/>
      <c r="R272" s="105"/>
      <c r="S272" s="105"/>
      <c r="T272" s="105"/>
    </row>
    <row r="273" hidden="1">
      <c r="A273" s="198">
        <v>286.0</v>
      </c>
      <c r="B273" s="225">
        <v>4.0</v>
      </c>
      <c r="C273" s="214" t="s">
        <v>2082</v>
      </c>
      <c r="D273" s="99"/>
      <c r="E273" s="214" t="s">
        <v>2083</v>
      </c>
      <c r="F273" s="270" t="s">
        <v>3100</v>
      </c>
      <c r="G273" s="215"/>
      <c r="H273" s="215" t="str">
        <f>iferror(vlookup(E273,'Kelas XI - X(32)'!$D$11:$H987,3,false),"")</f>
        <v/>
      </c>
      <c r="I273" s="69">
        <v>1.0</v>
      </c>
      <c r="J273" s="222">
        <v>0.0</v>
      </c>
      <c r="K273" s="69">
        <v>0.0</v>
      </c>
      <c r="L273" s="223">
        <f t="shared" si="34"/>
        <v>0</v>
      </c>
      <c r="M273" s="146">
        <f t="shared" si="35"/>
        <v>0</v>
      </c>
      <c r="N273" s="236" t="s">
        <v>3107</v>
      </c>
      <c r="O273" s="69" t="s">
        <v>1163</v>
      </c>
      <c r="P273" s="195"/>
      <c r="Q273" s="105"/>
      <c r="R273" s="105"/>
      <c r="S273" s="105"/>
      <c r="T273" s="105"/>
    </row>
    <row r="274" hidden="1">
      <c r="A274" s="196">
        <v>287.0</v>
      </c>
      <c r="B274" s="225">
        <v>5.0</v>
      </c>
      <c r="C274" s="214" t="s">
        <v>2084</v>
      </c>
      <c r="D274" s="99"/>
      <c r="E274" s="214" t="s">
        <v>2085</v>
      </c>
      <c r="F274" s="270" t="s">
        <v>3100</v>
      </c>
      <c r="G274" s="215"/>
      <c r="H274" s="215" t="str">
        <f>iferror(vlookup(E274,'Kelas XI - X(32)'!$D$11:$H987,3,false),"")</f>
        <v/>
      </c>
      <c r="I274" s="69">
        <v>1.0</v>
      </c>
      <c r="J274" s="222">
        <v>0.0</v>
      </c>
      <c r="K274" s="69">
        <v>0.0</v>
      </c>
      <c r="L274" s="223">
        <f t="shared" si="34"/>
        <v>0</v>
      </c>
      <c r="M274" s="146">
        <f t="shared" si="35"/>
        <v>0</v>
      </c>
      <c r="N274" s="224"/>
      <c r="O274" s="75" t="str">
        <f>IF(M274&gt;=50%,"A","B")</f>
        <v>B</v>
      </c>
      <c r="P274" s="195"/>
      <c r="Q274" s="105"/>
      <c r="R274" s="105"/>
      <c r="S274" s="105"/>
      <c r="T274" s="105"/>
    </row>
    <row r="275" hidden="1">
      <c r="A275" s="198">
        <v>288.0</v>
      </c>
      <c r="B275" s="234">
        <v>6.0</v>
      </c>
      <c r="C275" s="104" t="s">
        <v>2086</v>
      </c>
      <c r="D275" s="246"/>
      <c r="E275" s="104" t="s">
        <v>2087</v>
      </c>
      <c r="F275" s="195" t="s">
        <v>3100</v>
      </c>
      <c r="G275" s="235"/>
      <c r="H275" s="235" t="str">
        <f>iferror(vlookup(E275,'Kelas XI - X(32)'!$D$11:$H987,3,false),"")</f>
        <v>Ukhti</v>
      </c>
      <c r="I275" s="150">
        <f>iferror(vlookup(E275,'Kelas XI - X(32)'!$D$11:$H987,4,false),"")</f>
        <v>13</v>
      </c>
      <c r="J275" s="216">
        <v>0.0</v>
      </c>
      <c r="K275" s="150">
        <f>iferror(vlookup(E275,'Kelas XI - X(32)'!$D$11:$H987,5,false),"")</f>
        <v>4</v>
      </c>
      <c r="L275" s="217">
        <f t="shared" si="34"/>
        <v>4</v>
      </c>
      <c r="M275" s="218">
        <f t="shared" si="35"/>
        <v>0.2857142857</v>
      </c>
      <c r="N275" s="271" t="s">
        <v>3107</v>
      </c>
      <c r="O275" s="69" t="s">
        <v>1163</v>
      </c>
      <c r="P275" s="195"/>
      <c r="Q275" s="105"/>
      <c r="R275" s="105"/>
      <c r="S275" s="105"/>
      <c r="T275" s="105"/>
    </row>
    <row r="276" hidden="1">
      <c r="A276" s="196">
        <v>289.0</v>
      </c>
      <c r="B276" s="234">
        <v>7.0</v>
      </c>
      <c r="C276" s="104" t="s">
        <v>2088</v>
      </c>
      <c r="D276" s="246"/>
      <c r="E276" s="104" t="s">
        <v>2089</v>
      </c>
      <c r="F276" s="195" t="s">
        <v>3100</v>
      </c>
      <c r="G276" s="235"/>
      <c r="H276" s="235" t="str">
        <f>iferror(vlookup(E276,'Kelas XI - X(32)'!$D$11:$H987,3,false),"")</f>
        <v>Najmi</v>
      </c>
      <c r="I276" s="150">
        <f>iferror(vlookup(E276,'Kelas XI - X(32)'!$D$11:$H987,4,false),"")</f>
        <v>5</v>
      </c>
      <c r="J276" s="216">
        <v>0.0</v>
      </c>
      <c r="K276" s="150">
        <f>iferror(vlookup(E276,'Kelas XI - X(32)'!$D$11:$H987,5,false),"")</f>
        <v>5</v>
      </c>
      <c r="L276" s="217">
        <f t="shared" si="34"/>
        <v>5</v>
      </c>
      <c r="M276" s="218">
        <f t="shared" si="35"/>
        <v>0.8333333333</v>
      </c>
      <c r="N276" s="219"/>
      <c r="O276" s="75" t="str">
        <f t="shared" ref="O276:O283" si="37">IF(M276&gt;=50%,"A","B")</f>
        <v>A</v>
      </c>
      <c r="P276" s="195"/>
      <c r="Q276" s="105"/>
      <c r="R276" s="105"/>
      <c r="S276" s="105"/>
      <c r="T276" s="105"/>
    </row>
    <row r="277" hidden="1">
      <c r="A277" s="198">
        <v>290.0</v>
      </c>
      <c r="B277" s="234">
        <v>8.0</v>
      </c>
      <c r="C277" s="272" t="s">
        <v>2090</v>
      </c>
      <c r="D277" s="273"/>
      <c r="E277" s="272" t="s">
        <v>2091</v>
      </c>
      <c r="F277" s="195" t="s">
        <v>3100</v>
      </c>
      <c r="G277" s="235"/>
      <c r="H277" s="235" t="str">
        <f>iferror(vlookup(E277,'Kelas XI - X(32)'!$D$11:$H987,3,false),"")</f>
        <v>Ramania</v>
      </c>
      <c r="I277" s="150">
        <f>iferror(vlookup(E277,'Kelas XI - X(32)'!$D$11:$H987,4,false),"")</f>
        <v>10</v>
      </c>
      <c r="J277" s="216">
        <v>0.0</v>
      </c>
      <c r="K277" s="150">
        <f>iferror(vlookup(E277,'Kelas XI - X(32)'!$D$11:$H987,5,false),"")</f>
        <v>9</v>
      </c>
      <c r="L277" s="217">
        <f t="shared" si="34"/>
        <v>9</v>
      </c>
      <c r="M277" s="218">
        <f t="shared" si="35"/>
        <v>0.8181818182</v>
      </c>
      <c r="N277" s="219"/>
      <c r="O277" s="75" t="str">
        <f t="shared" si="37"/>
        <v>A</v>
      </c>
      <c r="P277" s="195"/>
      <c r="Q277" s="105"/>
      <c r="R277" s="105"/>
      <c r="S277" s="105"/>
      <c r="T277" s="105"/>
    </row>
    <row r="278" hidden="1">
      <c r="A278" s="196">
        <v>291.0</v>
      </c>
      <c r="B278" s="234">
        <v>9.0</v>
      </c>
      <c r="C278" s="104" t="s">
        <v>2092</v>
      </c>
      <c r="D278" s="246"/>
      <c r="E278" s="104" t="s">
        <v>2093</v>
      </c>
      <c r="F278" s="195" t="s">
        <v>3099</v>
      </c>
      <c r="G278" s="235"/>
      <c r="H278" s="235" t="str">
        <f>iferror(vlookup(E278,'Kelas XI - X(32)'!$D$11:$H987,3,false),"")</f>
        <v/>
      </c>
      <c r="I278" s="150">
        <f>iferror(vlookup(E278,'Kelas XI - X(32)'!$D$11:$H987,4,false),"")</f>
        <v>7</v>
      </c>
      <c r="J278" s="216">
        <v>0.0</v>
      </c>
      <c r="K278" s="150">
        <f>iferror(vlookup(E278,'Kelas XI - X(32)'!$D$11:$H987,5,false),"")</f>
        <v>3</v>
      </c>
      <c r="L278" s="217">
        <f t="shared" si="34"/>
        <v>3</v>
      </c>
      <c r="M278" s="218">
        <f t="shared" si="35"/>
        <v>0.375</v>
      </c>
      <c r="N278" s="219"/>
      <c r="O278" s="75" t="str">
        <f t="shared" si="37"/>
        <v>B</v>
      </c>
      <c r="P278" s="195"/>
      <c r="Q278" s="105"/>
      <c r="R278" s="105"/>
      <c r="S278" s="105"/>
      <c r="T278" s="105"/>
    </row>
    <row r="279" hidden="1">
      <c r="A279" s="198">
        <v>292.0</v>
      </c>
      <c r="B279" s="234">
        <v>10.0</v>
      </c>
      <c r="C279" s="104" t="s">
        <v>2094</v>
      </c>
      <c r="D279" s="246"/>
      <c r="E279" s="104" t="s">
        <v>2095</v>
      </c>
      <c r="F279" s="195" t="s">
        <v>3100</v>
      </c>
      <c r="G279" s="235"/>
      <c r="H279" s="235" t="str">
        <f>iferror(vlookup(E279,'Kelas XI - X(32)'!$D$11:$H987,3,false),"")</f>
        <v/>
      </c>
      <c r="I279" s="150">
        <v>1.0</v>
      </c>
      <c r="J279" s="217">
        <f>iferror(vlookup(E279,MasterClass!$C$2:$G987,5,false),"")</f>
        <v>1</v>
      </c>
      <c r="K279" s="150">
        <v>0.0</v>
      </c>
      <c r="L279" s="217">
        <f t="shared" si="34"/>
        <v>1</v>
      </c>
      <c r="M279" s="218">
        <f t="shared" si="35"/>
        <v>0.5</v>
      </c>
      <c r="N279" s="219"/>
      <c r="O279" s="75" t="str">
        <f t="shared" si="37"/>
        <v>A</v>
      </c>
      <c r="P279" s="195"/>
      <c r="Q279" s="105"/>
      <c r="R279" s="105"/>
      <c r="S279" s="105"/>
      <c r="T279" s="105"/>
    </row>
    <row r="280" hidden="1">
      <c r="A280" s="196">
        <v>293.0</v>
      </c>
      <c r="B280" s="234">
        <v>11.0</v>
      </c>
      <c r="C280" s="104" t="s">
        <v>2096</v>
      </c>
      <c r="D280" s="246"/>
      <c r="E280" s="104" t="s">
        <v>2097</v>
      </c>
      <c r="F280" s="195" t="s">
        <v>3100</v>
      </c>
      <c r="G280" s="235"/>
      <c r="H280" s="235" t="str">
        <f>iferror(vlookup(E280,'Kelas XI - X(32)'!$D$11:$H987,3,false),"")</f>
        <v/>
      </c>
      <c r="I280" s="150">
        <f>iferror(vlookup(E280,'Kelas XI - X(32)'!$D$11:$H987,4,false),"")</f>
        <v>7</v>
      </c>
      <c r="J280" s="217">
        <f>iferror(vlookup(E280,MasterClass!$C$2:$G987,5,false),"")</f>
        <v>1</v>
      </c>
      <c r="K280" s="150">
        <f>iferror(vlookup(E280,'Kelas XI - X(32)'!$D$11:$H987,5,false),"")</f>
        <v>5</v>
      </c>
      <c r="L280" s="217">
        <f t="shared" si="34"/>
        <v>6</v>
      </c>
      <c r="M280" s="218">
        <f t="shared" si="35"/>
        <v>0.75</v>
      </c>
      <c r="N280" s="219"/>
      <c r="O280" s="75" t="str">
        <f t="shared" si="37"/>
        <v>A</v>
      </c>
      <c r="P280" s="195"/>
      <c r="Q280" s="105"/>
      <c r="R280" s="105"/>
      <c r="S280" s="105"/>
      <c r="T280" s="105"/>
    </row>
    <row r="281" hidden="1">
      <c r="A281" s="198">
        <v>294.0</v>
      </c>
      <c r="B281" s="234">
        <v>12.0</v>
      </c>
      <c r="C281" s="104" t="s">
        <v>2098</v>
      </c>
      <c r="D281" s="246"/>
      <c r="E281" s="104" t="s">
        <v>2099</v>
      </c>
      <c r="F281" s="195" t="s">
        <v>3099</v>
      </c>
      <c r="G281" s="235"/>
      <c r="H281" s="235" t="str">
        <f>iferror(vlookup(E281,'Kelas XI - X(32)'!$D$11:$H987,3,false),"")</f>
        <v>Iga</v>
      </c>
      <c r="I281" s="150">
        <f>iferror(vlookup(E281,'Kelas XI - X(32)'!$D$11:$H987,4,false),"")</f>
        <v>4</v>
      </c>
      <c r="J281" s="216">
        <v>0.0</v>
      </c>
      <c r="K281" s="150">
        <f>iferror(vlookup(E281,'Kelas XI - X(32)'!$D$11:$H987,5,false),"")</f>
        <v>2</v>
      </c>
      <c r="L281" s="217">
        <f t="shared" si="34"/>
        <v>2</v>
      </c>
      <c r="M281" s="218">
        <f t="shared" si="35"/>
        <v>0.4</v>
      </c>
      <c r="N281" s="219"/>
      <c r="O281" s="75" t="str">
        <f t="shared" si="37"/>
        <v>B</v>
      </c>
      <c r="P281" s="195"/>
      <c r="Q281" s="105"/>
      <c r="R281" s="105"/>
      <c r="S281" s="105"/>
      <c r="T281" s="105"/>
    </row>
    <row r="282" hidden="1">
      <c r="A282" s="196">
        <v>295.0</v>
      </c>
      <c r="B282" s="234">
        <v>13.0</v>
      </c>
      <c r="C282" s="104" t="s">
        <v>2100</v>
      </c>
      <c r="D282" s="246"/>
      <c r="E282" s="104" t="s">
        <v>2101</v>
      </c>
      <c r="F282" s="195" t="s">
        <v>3099</v>
      </c>
      <c r="G282" s="235"/>
      <c r="H282" s="235" t="str">
        <f>iferror(vlookup(E282,'Kelas XI - X(32)'!$D$11:$H987,3,false),"")</f>
        <v>Arya</v>
      </c>
      <c r="I282" s="150">
        <f>iferror(vlookup(E282,'Kelas XI - X(32)'!$D$11:$H987,4,false),"")</f>
        <v>5</v>
      </c>
      <c r="J282" s="216">
        <v>0.0</v>
      </c>
      <c r="K282" s="150">
        <v>0.0</v>
      </c>
      <c r="L282" s="217">
        <f t="shared" si="34"/>
        <v>0</v>
      </c>
      <c r="M282" s="218">
        <f t="shared" si="35"/>
        <v>0</v>
      </c>
      <c r="N282" s="219"/>
      <c r="O282" s="75" t="str">
        <f t="shared" si="37"/>
        <v>B</v>
      </c>
      <c r="P282" s="195"/>
      <c r="Q282" s="105"/>
      <c r="R282" s="105"/>
      <c r="S282" s="105"/>
      <c r="T282" s="105"/>
    </row>
    <row r="283" hidden="1">
      <c r="A283" s="198">
        <v>296.0</v>
      </c>
      <c r="B283" s="212">
        <v>14.0</v>
      </c>
      <c r="C283" s="213" t="s">
        <v>2102</v>
      </c>
      <c r="D283" s="258"/>
      <c r="E283" s="213" t="s">
        <v>2103</v>
      </c>
      <c r="F283" s="270" t="s">
        <v>3099</v>
      </c>
      <c r="G283" s="215"/>
      <c r="H283" s="215" t="str">
        <f>iferror(vlookup(E283,'Kelas XI - X(32)'!$D$11:$H987,3,false),"")</f>
        <v/>
      </c>
      <c r="I283" s="69">
        <f>iferror(vlookup(E283,'Kelas XI - X(32)'!$D$11:$H987,4,false),"")</f>
        <v>6</v>
      </c>
      <c r="J283" s="216">
        <v>0.0</v>
      </c>
      <c r="K283" s="150">
        <f>iferror(vlookup(E283,'Kelas XI - X(32)'!$D$11:$H987,5,false),"")</f>
        <v>6</v>
      </c>
      <c r="L283" s="217">
        <f t="shared" si="34"/>
        <v>6</v>
      </c>
      <c r="M283" s="218">
        <f t="shared" si="35"/>
        <v>0.8571428571</v>
      </c>
      <c r="N283" s="219"/>
      <c r="O283" s="75" t="str">
        <f t="shared" si="37"/>
        <v>A</v>
      </c>
      <c r="P283" s="195"/>
      <c r="Q283" s="105"/>
      <c r="R283" s="105"/>
      <c r="S283" s="105"/>
      <c r="T283" s="105"/>
    </row>
    <row r="284" hidden="1">
      <c r="A284" s="196">
        <v>297.0</v>
      </c>
      <c r="B284" s="220">
        <v>15.0</v>
      </c>
      <c r="C284" s="221" t="s">
        <v>2104</v>
      </c>
      <c r="D284" s="259"/>
      <c r="E284" s="221" t="s">
        <v>2105</v>
      </c>
      <c r="F284" s="270" t="s">
        <v>3100</v>
      </c>
      <c r="G284" s="215"/>
      <c r="H284" s="215" t="str">
        <f>iferror(vlookup(E284,'Kelas XI - X(32)'!$D$11:$H987,3,false),"")</f>
        <v/>
      </c>
      <c r="I284" s="69">
        <v>1.0</v>
      </c>
      <c r="J284" s="222">
        <v>0.0</v>
      </c>
      <c r="K284" s="69">
        <v>0.0</v>
      </c>
      <c r="L284" s="223">
        <f t="shared" si="34"/>
        <v>0</v>
      </c>
      <c r="M284" s="146">
        <f t="shared" si="35"/>
        <v>0</v>
      </c>
      <c r="N284" s="236" t="s">
        <v>3106</v>
      </c>
      <c r="O284" s="69" t="s">
        <v>1163</v>
      </c>
      <c r="P284" s="195"/>
      <c r="Q284" s="105"/>
      <c r="R284" s="105"/>
      <c r="S284" s="105"/>
      <c r="T284" s="105"/>
    </row>
    <row r="285" hidden="1">
      <c r="A285" s="198">
        <v>298.0</v>
      </c>
      <c r="B285" s="225">
        <v>16.0</v>
      </c>
      <c r="C285" s="214" t="s">
        <v>2106</v>
      </c>
      <c r="D285" s="99"/>
      <c r="E285" s="214" t="s">
        <v>2107</v>
      </c>
      <c r="F285" s="270" t="s">
        <v>3099</v>
      </c>
      <c r="G285" s="215"/>
      <c r="H285" s="215" t="str">
        <f>iferror(vlookup(E285,'Kelas XI - X(32)'!$D$11:$H987,3,false),"")</f>
        <v/>
      </c>
      <c r="I285" s="69">
        <v>1.0</v>
      </c>
      <c r="J285" s="222">
        <v>0.0</v>
      </c>
      <c r="K285" s="69">
        <v>0.0</v>
      </c>
      <c r="L285" s="223">
        <f t="shared" si="34"/>
        <v>0</v>
      </c>
      <c r="M285" s="146">
        <f t="shared" si="35"/>
        <v>0</v>
      </c>
      <c r="N285" s="224"/>
      <c r="O285" s="75" t="str">
        <f t="shared" ref="O285:O293" si="38">IF(M285&gt;=50%,"A","B")</f>
        <v>B</v>
      </c>
      <c r="P285" s="195"/>
      <c r="Q285" s="105"/>
      <c r="R285" s="105"/>
      <c r="S285" s="105"/>
      <c r="T285" s="105"/>
    </row>
    <row r="286" hidden="1">
      <c r="A286" s="196">
        <v>299.0</v>
      </c>
      <c r="B286" s="225">
        <v>17.0</v>
      </c>
      <c r="C286" s="214" t="s">
        <v>2108</v>
      </c>
      <c r="D286" s="99"/>
      <c r="E286" s="214" t="s">
        <v>2109</v>
      </c>
      <c r="F286" s="270" t="s">
        <v>3100</v>
      </c>
      <c r="G286" s="215"/>
      <c r="H286" s="215" t="str">
        <f>iferror(vlookup(E286,'Kelas XI - X(32)'!$D$11:$H987,3,false),"")</f>
        <v>Zalika</v>
      </c>
      <c r="I286" s="69">
        <f>iferror(vlookup(E286,'Kelas XI - X(32)'!$D$11:$H987,4,false),"")</f>
        <v>5</v>
      </c>
      <c r="J286" s="222">
        <v>0.0</v>
      </c>
      <c r="K286" s="69">
        <f>iferror(vlookup(E286,'Kelas XI - X(32)'!$D$11:$H987,5,false),"")</f>
        <v>4</v>
      </c>
      <c r="L286" s="223">
        <f t="shared" si="34"/>
        <v>4</v>
      </c>
      <c r="M286" s="146">
        <f t="shared" si="35"/>
        <v>0.6666666667</v>
      </c>
      <c r="N286" s="224"/>
      <c r="O286" s="75" t="str">
        <f t="shared" si="38"/>
        <v>A</v>
      </c>
      <c r="P286" s="195"/>
      <c r="Q286" s="105"/>
      <c r="R286" s="105"/>
      <c r="S286" s="105"/>
      <c r="T286" s="105"/>
    </row>
    <row r="287" hidden="1">
      <c r="A287" s="198">
        <v>300.0</v>
      </c>
      <c r="B287" s="225">
        <v>18.0</v>
      </c>
      <c r="C287" s="214" t="s">
        <v>2110</v>
      </c>
      <c r="D287" s="99"/>
      <c r="E287" s="214" t="s">
        <v>2111</v>
      </c>
      <c r="F287" s="270" t="s">
        <v>3099</v>
      </c>
      <c r="G287" s="215"/>
      <c r="H287" s="215" t="str">
        <f>iferror(vlookup(E287,'Kelas XI - X(32)'!$D$11:$H987,3,false),"")</f>
        <v>Zalika</v>
      </c>
      <c r="I287" s="69">
        <f>iferror(vlookup(E287,'Kelas XI - X(32)'!$D$11:$H987,4,false),"")</f>
        <v>5</v>
      </c>
      <c r="J287" s="222">
        <v>0.0</v>
      </c>
      <c r="K287" s="69">
        <f>iferror(vlookup(E287,'Kelas XI - X(32)'!$D$11:$H987,5,false),"")</f>
        <v>4</v>
      </c>
      <c r="L287" s="223">
        <f t="shared" si="34"/>
        <v>4</v>
      </c>
      <c r="M287" s="146">
        <f t="shared" si="35"/>
        <v>0.6666666667</v>
      </c>
      <c r="N287" s="224"/>
      <c r="O287" s="75" t="str">
        <f t="shared" si="38"/>
        <v>A</v>
      </c>
      <c r="P287" s="195"/>
      <c r="Q287" s="105"/>
      <c r="R287" s="105"/>
      <c r="S287" s="105"/>
      <c r="T287" s="105"/>
    </row>
    <row r="288" hidden="1">
      <c r="A288" s="196">
        <v>301.0</v>
      </c>
      <c r="B288" s="225">
        <v>19.0</v>
      </c>
      <c r="C288" s="214" t="s">
        <v>2112</v>
      </c>
      <c r="D288" s="99"/>
      <c r="E288" s="214" t="s">
        <v>2113</v>
      </c>
      <c r="F288" s="270" t="s">
        <v>3100</v>
      </c>
      <c r="G288" s="215"/>
      <c r="H288" s="215" t="str">
        <f>iferror(vlookup(E288,'Kelas XI - X(32)'!$D$11:$H987,3,false),"")</f>
        <v>Najmi</v>
      </c>
      <c r="I288" s="69">
        <f>iferror(vlookup(E288,'Kelas XI - X(32)'!$D$11:$H987,4,false),"")</f>
        <v>5</v>
      </c>
      <c r="J288" s="222">
        <v>0.0</v>
      </c>
      <c r="K288" s="69">
        <f>iferror(vlookup(E288,'Kelas XI - X(32)'!$D$11:$H987,5,false),"")</f>
        <v>5</v>
      </c>
      <c r="L288" s="223">
        <f t="shared" si="34"/>
        <v>5</v>
      </c>
      <c r="M288" s="146">
        <f t="shared" si="35"/>
        <v>0.8333333333</v>
      </c>
      <c r="N288" s="224"/>
      <c r="O288" s="75" t="str">
        <f t="shared" si="38"/>
        <v>A</v>
      </c>
      <c r="P288" s="195"/>
      <c r="Q288" s="105"/>
      <c r="R288" s="105"/>
      <c r="S288" s="105"/>
      <c r="T288" s="105"/>
    </row>
    <row r="289" hidden="1">
      <c r="A289" s="198">
        <v>302.0</v>
      </c>
      <c r="B289" s="225">
        <v>20.0</v>
      </c>
      <c r="C289" s="214" t="s">
        <v>2114</v>
      </c>
      <c r="D289" s="99"/>
      <c r="E289" s="214" t="s">
        <v>2115</v>
      </c>
      <c r="F289" s="270" t="s">
        <v>3100</v>
      </c>
      <c r="G289" s="215"/>
      <c r="H289" s="215" t="str">
        <f>iferror(vlookup(E289,'Kelas XI - X(32)'!$D$11:$H987,3,false),"")</f>
        <v/>
      </c>
      <c r="I289" s="69">
        <f>iferror(vlookup(E289,'Kelas XI - X(32)'!$D$11:$H987,4,false),"")</f>
        <v>7</v>
      </c>
      <c r="J289" s="222">
        <v>0.0</v>
      </c>
      <c r="K289" s="69">
        <f>iferror(vlookup(E289,'Kelas XI - X(32)'!$D$11:$H987,5,false),"")</f>
        <v>0</v>
      </c>
      <c r="L289" s="223">
        <f t="shared" si="34"/>
        <v>0</v>
      </c>
      <c r="M289" s="146">
        <f t="shared" si="35"/>
        <v>0</v>
      </c>
      <c r="N289" s="224"/>
      <c r="O289" s="75" t="str">
        <f t="shared" si="38"/>
        <v>B</v>
      </c>
      <c r="P289" s="195"/>
      <c r="Q289" s="105"/>
      <c r="R289" s="105"/>
      <c r="S289" s="105"/>
      <c r="T289" s="105"/>
    </row>
    <row r="290" hidden="1">
      <c r="A290" s="196">
        <v>303.0</v>
      </c>
      <c r="B290" s="225">
        <v>21.0</v>
      </c>
      <c r="C290" s="214" t="s">
        <v>2116</v>
      </c>
      <c r="D290" s="99"/>
      <c r="E290" s="214" t="s">
        <v>2117</v>
      </c>
      <c r="F290" s="270" t="s">
        <v>3100</v>
      </c>
      <c r="G290" s="215"/>
      <c r="H290" s="215" t="str">
        <f>iferror(vlookup(E290,'Kelas XI - X(32)'!$D$11:$H987,3,false),"")</f>
        <v/>
      </c>
      <c r="I290" s="69">
        <f>iferror(vlookup(E290,'Kelas XI - X(32)'!$D$11:$H987,4,false),"")</f>
        <v>7</v>
      </c>
      <c r="J290" s="222">
        <v>0.0</v>
      </c>
      <c r="K290" s="69">
        <f>iferror(vlookup(E290,'Kelas XI - X(32)'!$D$11:$H987,5,false),"")</f>
        <v>5</v>
      </c>
      <c r="L290" s="223">
        <f t="shared" si="34"/>
        <v>5</v>
      </c>
      <c r="M290" s="146">
        <f t="shared" si="35"/>
        <v>0.625</v>
      </c>
      <c r="N290" s="224"/>
      <c r="O290" s="75" t="str">
        <f t="shared" si="38"/>
        <v>A</v>
      </c>
      <c r="P290" s="195"/>
      <c r="Q290" s="105"/>
      <c r="R290" s="105"/>
      <c r="S290" s="105"/>
      <c r="T290" s="105"/>
    </row>
    <row r="291" hidden="1">
      <c r="A291" s="198">
        <v>304.0</v>
      </c>
      <c r="B291" s="225">
        <v>22.0</v>
      </c>
      <c r="C291" s="214" t="s">
        <v>2118</v>
      </c>
      <c r="D291" s="99"/>
      <c r="E291" s="214" t="s">
        <v>2119</v>
      </c>
      <c r="F291" s="270" t="s">
        <v>3100</v>
      </c>
      <c r="G291" s="215"/>
      <c r="H291" s="215" t="str">
        <f>iferror(vlookup(E291,'Kelas XI - X(32)'!$D$11:$H987,3,false),"")</f>
        <v>Rafli</v>
      </c>
      <c r="I291" s="69">
        <f>iferror(vlookup(E291,'Kelas XI - X(32)'!$D$11:$H987,4,false),"")</f>
        <v>4</v>
      </c>
      <c r="J291" s="222">
        <v>0.0</v>
      </c>
      <c r="K291" s="69">
        <v>0.0</v>
      </c>
      <c r="L291" s="223">
        <f t="shared" si="34"/>
        <v>0</v>
      </c>
      <c r="M291" s="146">
        <f t="shared" si="35"/>
        <v>0</v>
      </c>
      <c r="N291" s="224"/>
      <c r="O291" s="75" t="str">
        <f t="shared" si="38"/>
        <v>B</v>
      </c>
      <c r="P291" s="195"/>
      <c r="Q291" s="105"/>
      <c r="R291" s="105"/>
      <c r="S291" s="105"/>
      <c r="T291" s="105"/>
    </row>
    <row r="292" hidden="1">
      <c r="A292" s="196">
        <v>305.0</v>
      </c>
      <c r="B292" s="225">
        <v>23.0</v>
      </c>
      <c r="C292" s="214" t="s">
        <v>2120</v>
      </c>
      <c r="D292" s="99"/>
      <c r="E292" s="214" t="s">
        <v>2121</v>
      </c>
      <c r="F292" s="270" t="s">
        <v>3100</v>
      </c>
      <c r="G292" s="215"/>
      <c r="H292" s="215" t="str">
        <f>iferror(vlookup(E292,'Kelas XI - X(32)'!$D$11:$H987,3,false),"")</f>
        <v/>
      </c>
      <c r="I292" s="69">
        <f>iferror(vlookup(E292,'Kelas XI - X(32)'!$D$11:$H987,4,false),"")</f>
        <v>4</v>
      </c>
      <c r="J292" s="222">
        <v>0.0</v>
      </c>
      <c r="K292" s="69">
        <f>iferror(vlookup(E292,'Kelas XI - X(32)'!$D$11:$H987,5,false),"")</f>
        <v>3</v>
      </c>
      <c r="L292" s="223">
        <f t="shared" si="34"/>
        <v>3</v>
      </c>
      <c r="M292" s="146">
        <f t="shared" si="35"/>
        <v>0.6</v>
      </c>
      <c r="N292" s="224"/>
      <c r="O292" s="75" t="str">
        <f t="shared" si="38"/>
        <v>A</v>
      </c>
      <c r="P292" s="195"/>
      <c r="Q292" s="105"/>
      <c r="R292" s="105"/>
      <c r="S292" s="105"/>
      <c r="T292" s="105"/>
    </row>
    <row r="293" hidden="1">
      <c r="A293" s="198">
        <v>306.0</v>
      </c>
      <c r="B293" s="225">
        <v>24.0</v>
      </c>
      <c r="C293" s="214" t="s">
        <v>2122</v>
      </c>
      <c r="D293" s="99"/>
      <c r="E293" s="214" t="s">
        <v>2123</v>
      </c>
      <c r="F293" s="270" t="s">
        <v>3100</v>
      </c>
      <c r="G293" s="215"/>
      <c r="H293" s="215" t="str">
        <f>iferror(vlookup(E293,'Kelas XI - X(32)'!$D$11:$H987,3,false),"")</f>
        <v>Najmi</v>
      </c>
      <c r="I293" s="69">
        <f>iferror(vlookup(E293,'Kelas XI - X(32)'!$D$11:$H987,4,false),"")</f>
        <v>5</v>
      </c>
      <c r="J293" s="223">
        <f>iferror(vlookup(E293,MasterClass!$C$2:$G987,5,false),"")</f>
        <v>1</v>
      </c>
      <c r="K293" s="69">
        <f>iferror(vlookup(E293,'Kelas XI - X(32)'!$D$11:$H987,5,false),"")</f>
        <v>5</v>
      </c>
      <c r="L293" s="223">
        <f t="shared" si="34"/>
        <v>6</v>
      </c>
      <c r="M293" s="146">
        <f t="shared" si="35"/>
        <v>1</v>
      </c>
      <c r="N293" s="224"/>
      <c r="O293" s="75" t="str">
        <f t="shared" si="38"/>
        <v>A</v>
      </c>
      <c r="P293" s="195"/>
      <c r="Q293" s="105"/>
      <c r="R293" s="105"/>
      <c r="S293" s="105"/>
      <c r="T293" s="105"/>
    </row>
    <row r="294" hidden="1">
      <c r="A294" s="196">
        <v>307.0</v>
      </c>
      <c r="B294" s="225">
        <v>25.0</v>
      </c>
      <c r="C294" s="214" t="s">
        <v>2124</v>
      </c>
      <c r="D294" s="99"/>
      <c r="E294" s="214" t="s">
        <v>2125</v>
      </c>
      <c r="F294" s="274" t="s">
        <v>3100</v>
      </c>
      <c r="G294" s="215"/>
      <c r="H294" s="215" t="str">
        <f>iferror(vlookup(E294,'Kelas XI - X(32)'!$D$11:$H987,3,false),"")</f>
        <v>-</v>
      </c>
      <c r="I294" s="69">
        <v>1.0</v>
      </c>
      <c r="J294" s="222">
        <v>0.0</v>
      </c>
      <c r="K294" s="69">
        <v>0.0</v>
      </c>
      <c r="L294" s="223">
        <f t="shared" si="34"/>
        <v>0</v>
      </c>
      <c r="M294" s="146"/>
      <c r="N294" s="224"/>
      <c r="O294" s="70"/>
      <c r="P294" s="195"/>
      <c r="Q294" s="105"/>
      <c r="R294" s="105"/>
      <c r="S294" s="105"/>
      <c r="T294" s="105"/>
    </row>
    <row r="295" hidden="1">
      <c r="A295" s="198">
        <v>308.0</v>
      </c>
      <c r="B295" s="225">
        <v>26.0</v>
      </c>
      <c r="C295" s="214" t="s">
        <v>2126</v>
      </c>
      <c r="D295" s="99"/>
      <c r="E295" s="214" t="s">
        <v>2127</v>
      </c>
      <c r="F295" s="270" t="s">
        <v>3099</v>
      </c>
      <c r="G295" s="215"/>
      <c r="H295" s="215" t="str">
        <f>iferror(vlookup(E295,'Kelas XI - X(32)'!$D$11:$H987,3,false),"")</f>
        <v/>
      </c>
      <c r="I295" s="69">
        <f>iferror(vlookup(E295,'Kelas XI - X(32)'!$D$11:$H987,4,false),"")</f>
        <v>8</v>
      </c>
      <c r="J295" s="223">
        <f>iferror(vlookup(E295,MasterClass!$C$2:$G987,5,false),"")</f>
        <v>1</v>
      </c>
      <c r="K295" s="69">
        <f>iferror(vlookup(E295,'Kelas XI - X(32)'!$D$11:$H987,5,false),"")</f>
        <v>5</v>
      </c>
      <c r="L295" s="223">
        <f t="shared" si="34"/>
        <v>6</v>
      </c>
      <c r="M295" s="146">
        <f>(K295+J295)/(I295+1)</f>
        <v>0.6666666667</v>
      </c>
      <c r="N295" s="224"/>
      <c r="O295" s="75" t="str">
        <f>IF(M295&gt;=50%,"A","B")</f>
        <v>A</v>
      </c>
      <c r="P295" s="195"/>
      <c r="Q295" s="105"/>
      <c r="R295" s="105"/>
      <c r="S295" s="105"/>
      <c r="T295" s="105"/>
    </row>
    <row r="296" hidden="1">
      <c r="A296" s="196">
        <v>309.0</v>
      </c>
      <c r="B296" s="225">
        <v>27.0</v>
      </c>
      <c r="C296" s="247" t="s">
        <v>2128</v>
      </c>
      <c r="D296" s="115"/>
      <c r="E296" s="247" t="s">
        <v>2129</v>
      </c>
      <c r="F296" s="270" t="s">
        <v>3099</v>
      </c>
      <c r="G296" s="215"/>
      <c r="H296" s="215" t="str">
        <f>iferror(vlookup(E296,'Kelas XI - X(32)'!$D$11:$H987,3,false),"")</f>
        <v>-</v>
      </c>
      <c r="I296" s="69">
        <v>1.0</v>
      </c>
      <c r="J296" s="222">
        <v>0.0</v>
      </c>
      <c r="K296" s="69">
        <v>0.0</v>
      </c>
      <c r="L296" s="223">
        <f t="shared" si="34"/>
        <v>0</v>
      </c>
      <c r="M296" s="146"/>
      <c r="N296" s="224"/>
      <c r="O296" s="70"/>
      <c r="P296" s="195"/>
      <c r="Q296" s="105"/>
      <c r="R296" s="105"/>
      <c r="S296" s="105"/>
      <c r="T296" s="105"/>
    </row>
    <row r="297" hidden="1">
      <c r="A297" s="198">
        <v>310.0</v>
      </c>
      <c r="B297" s="225">
        <v>28.0</v>
      </c>
      <c r="C297" s="214" t="s">
        <v>2130</v>
      </c>
      <c r="D297" s="99"/>
      <c r="E297" s="237" t="s">
        <v>2131</v>
      </c>
      <c r="F297" s="270" t="s">
        <v>3100</v>
      </c>
      <c r="G297" s="215"/>
      <c r="H297" s="215" t="str">
        <f>iferror(vlookup(E297,'Kelas XI - X(32)'!$D$11:$H987,3,false),"")</f>
        <v/>
      </c>
      <c r="I297" s="69">
        <f>iferror(vlookup(E297,'Kelas XI - X(32)'!$D$11:$H987,4,false),"")</f>
        <v>7</v>
      </c>
      <c r="J297" s="223">
        <f>iferror(vlookup(E297,MasterClass!$C$2:$G987,5,false),"")</f>
        <v>1</v>
      </c>
      <c r="K297" s="69">
        <f>iferror(vlookup(E297,'Kelas XI - X(32)'!$D$11:$H987,5,false),"")</f>
        <v>4</v>
      </c>
      <c r="L297" s="223">
        <f t="shared" si="34"/>
        <v>5</v>
      </c>
      <c r="M297" s="146">
        <f>(K297+J297)/(I297+1)</f>
        <v>0.625</v>
      </c>
      <c r="N297" s="236"/>
      <c r="O297" s="75" t="str">
        <f>IF(M297&gt;=50%,"A","B")</f>
        <v>A</v>
      </c>
      <c r="P297" s="195"/>
      <c r="Q297" s="105"/>
      <c r="R297" s="105"/>
      <c r="S297" s="105"/>
      <c r="T297" s="105"/>
    </row>
    <row r="298" hidden="1">
      <c r="A298" s="196">
        <v>311.0</v>
      </c>
      <c r="B298" s="225">
        <v>29.0</v>
      </c>
      <c r="C298" s="214" t="s">
        <v>2132</v>
      </c>
      <c r="D298" s="99"/>
      <c r="E298" s="214" t="s">
        <v>2133</v>
      </c>
      <c r="F298" s="270" t="s">
        <v>3099</v>
      </c>
      <c r="G298" s="215"/>
      <c r="H298" s="215" t="str">
        <f>iferror(vlookup(E298,'Kelas XI - X(32)'!$D$11:$H987,3,false),"")</f>
        <v>-</v>
      </c>
      <c r="I298" s="69">
        <v>1.0</v>
      </c>
      <c r="J298" s="222">
        <v>0.0</v>
      </c>
      <c r="K298" s="69">
        <v>0.0</v>
      </c>
      <c r="L298" s="223">
        <f t="shared" si="34"/>
        <v>0</v>
      </c>
      <c r="M298" s="146"/>
      <c r="N298" s="224"/>
      <c r="O298" s="70"/>
      <c r="P298" s="195"/>
      <c r="Q298" s="105"/>
      <c r="R298" s="105"/>
      <c r="S298" s="105"/>
      <c r="T298" s="105"/>
    </row>
    <row r="299" hidden="1">
      <c r="A299" s="198">
        <v>312.0</v>
      </c>
      <c r="B299" s="225">
        <v>30.0</v>
      </c>
      <c r="C299" s="214" t="s">
        <v>2134</v>
      </c>
      <c r="D299" s="99"/>
      <c r="E299" s="214" t="s">
        <v>2135</v>
      </c>
      <c r="F299" s="270" t="s">
        <v>3099</v>
      </c>
      <c r="G299" s="215"/>
      <c r="H299" s="215"/>
      <c r="I299" s="69">
        <v>8.0</v>
      </c>
      <c r="J299" s="222">
        <v>0.0</v>
      </c>
      <c r="K299" s="69">
        <v>8.0</v>
      </c>
      <c r="L299" s="223">
        <f t="shared" si="34"/>
        <v>8</v>
      </c>
      <c r="M299" s="146">
        <f t="shared" ref="M299:M305" si="39">(K299+J299)/(I299+1)</f>
        <v>0.8888888889</v>
      </c>
      <c r="N299" s="215" t="s">
        <v>3106</v>
      </c>
      <c r="O299" s="69" t="s">
        <v>1163</v>
      </c>
      <c r="P299" s="195"/>
      <c r="Q299" s="105"/>
      <c r="R299" s="105"/>
      <c r="S299" s="105"/>
      <c r="T299" s="105"/>
    </row>
    <row r="300" hidden="1">
      <c r="A300" s="196">
        <v>313.0</v>
      </c>
      <c r="B300" s="225">
        <v>31.0</v>
      </c>
      <c r="C300" s="214" t="s">
        <v>2136</v>
      </c>
      <c r="D300" s="99"/>
      <c r="E300" s="214" t="s">
        <v>2137</v>
      </c>
      <c r="F300" s="270" t="s">
        <v>3100</v>
      </c>
      <c r="G300" s="215"/>
      <c r="H300" s="215" t="str">
        <f>iferror(vlookup(E300,'Kelas XI - X(32)'!$D$11:$H987,3,false),"")</f>
        <v>Ramania</v>
      </c>
      <c r="I300" s="69">
        <f>iferror(vlookup(E300,'Kelas XI - X(32)'!$D$11:$H987,4,false),"")</f>
        <v>10</v>
      </c>
      <c r="J300" s="222">
        <v>0.0</v>
      </c>
      <c r="K300" s="69">
        <f>iferror(vlookup(E300,'Kelas XI - X(32)'!$D$11:$H987,5,false),"")</f>
        <v>4</v>
      </c>
      <c r="L300" s="223">
        <f t="shared" si="34"/>
        <v>4</v>
      </c>
      <c r="M300" s="146">
        <f t="shared" si="39"/>
        <v>0.3636363636</v>
      </c>
      <c r="N300" s="224"/>
      <c r="O300" s="75" t="str">
        <f t="shared" ref="O300:O305" si="40">IF(M300&gt;=50%,"A","B")</f>
        <v>B</v>
      </c>
      <c r="P300" s="195"/>
      <c r="Q300" s="105"/>
      <c r="R300" s="105"/>
      <c r="S300" s="105"/>
      <c r="T300" s="105"/>
    </row>
    <row r="301" hidden="1">
      <c r="A301" s="198">
        <v>314.0</v>
      </c>
      <c r="B301" s="225">
        <v>32.0</v>
      </c>
      <c r="C301" s="214" t="s">
        <v>2138</v>
      </c>
      <c r="D301" s="99"/>
      <c r="E301" s="214" t="s">
        <v>2139</v>
      </c>
      <c r="F301" s="270" t="s">
        <v>3100</v>
      </c>
      <c r="G301" s="215"/>
      <c r="H301" s="215" t="str">
        <f>iferror(vlookup(E301,'Kelas XI - X(32)'!$D$11:$H987,3,false),"")</f>
        <v/>
      </c>
      <c r="I301" s="69">
        <v>1.0</v>
      </c>
      <c r="J301" s="222">
        <v>0.0</v>
      </c>
      <c r="K301" s="69">
        <v>0.0</v>
      </c>
      <c r="L301" s="223">
        <f t="shared" si="34"/>
        <v>0</v>
      </c>
      <c r="M301" s="146">
        <f t="shared" si="39"/>
        <v>0</v>
      </c>
      <c r="N301" s="224"/>
      <c r="O301" s="75" t="str">
        <f t="shared" si="40"/>
        <v>B</v>
      </c>
      <c r="P301" s="195"/>
      <c r="Q301" s="105"/>
      <c r="R301" s="105"/>
      <c r="S301" s="105"/>
      <c r="T301" s="105"/>
    </row>
    <row r="302" hidden="1">
      <c r="A302" s="196">
        <v>315.0</v>
      </c>
      <c r="B302" s="225">
        <v>33.0</v>
      </c>
      <c r="C302" s="214" t="s">
        <v>2140</v>
      </c>
      <c r="D302" s="99"/>
      <c r="E302" s="214" t="s">
        <v>2141</v>
      </c>
      <c r="F302" s="270" t="s">
        <v>3099</v>
      </c>
      <c r="G302" s="215"/>
      <c r="H302" s="215" t="str">
        <f>iferror(vlookup(E302,'Kelas XI - X(32)'!$D$11:$H987,3,false),"")</f>
        <v/>
      </c>
      <c r="I302" s="69">
        <v>1.0</v>
      </c>
      <c r="J302" s="222">
        <v>0.0</v>
      </c>
      <c r="K302" s="69">
        <v>0.0</v>
      </c>
      <c r="L302" s="223">
        <f t="shared" si="34"/>
        <v>0</v>
      </c>
      <c r="M302" s="146">
        <f t="shared" si="39"/>
        <v>0</v>
      </c>
      <c r="N302" s="224"/>
      <c r="O302" s="75" t="str">
        <f t="shared" si="40"/>
        <v>B</v>
      </c>
      <c r="P302" s="195"/>
      <c r="Q302" s="105"/>
      <c r="R302" s="105"/>
      <c r="S302" s="105"/>
      <c r="T302" s="105"/>
    </row>
    <row r="303" hidden="1">
      <c r="A303" s="198">
        <v>316.0</v>
      </c>
      <c r="B303" s="225">
        <v>34.0</v>
      </c>
      <c r="C303" s="214" t="s">
        <v>2142</v>
      </c>
      <c r="D303" s="99"/>
      <c r="E303" s="214" t="s">
        <v>2143</v>
      </c>
      <c r="F303" s="270" t="s">
        <v>3100</v>
      </c>
      <c r="G303" s="215"/>
      <c r="H303" s="215" t="str">
        <f>iferror(vlookup(E303,'Kelas XI - X(32)'!$D$11:$H987,3,false),"")</f>
        <v>Zalika</v>
      </c>
      <c r="I303" s="69">
        <f>iferror(vlookup(E303,'Kelas XI - X(32)'!$D$11:$H987,4,false),"")</f>
        <v>5</v>
      </c>
      <c r="J303" s="222">
        <v>0.0</v>
      </c>
      <c r="K303" s="69">
        <f>iferror(vlookup(E303,'Kelas XI - X(32)'!$D$11:$H987,5,false),"")</f>
        <v>5</v>
      </c>
      <c r="L303" s="223">
        <f t="shared" si="34"/>
        <v>5</v>
      </c>
      <c r="M303" s="146">
        <f t="shared" si="39"/>
        <v>0.8333333333</v>
      </c>
      <c r="N303" s="224"/>
      <c r="O303" s="75" t="str">
        <f t="shared" si="40"/>
        <v>A</v>
      </c>
      <c r="P303" s="195"/>
      <c r="Q303" s="105"/>
      <c r="R303" s="105"/>
      <c r="S303" s="105"/>
      <c r="T303" s="105"/>
    </row>
    <row r="304" hidden="1">
      <c r="A304" s="196">
        <v>317.0</v>
      </c>
      <c r="B304" s="225">
        <v>35.0</v>
      </c>
      <c r="C304" s="214" t="s">
        <v>2144</v>
      </c>
      <c r="D304" s="99"/>
      <c r="E304" s="214" t="s">
        <v>2145</v>
      </c>
      <c r="F304" s="270" t="s">
        <v>3100</v>
      </c>
      <c r="G304" s="215"/>
      <c r="H304" s="215" t="str">
        <f>iferror(vlookup(E304,'Kelas XI - X(32)'!$D$11:$H987,3,false),"")</f>
        <v/>
      </c>
      <c r="I304" s="69">
        <f>iferror(vlookup(E304,'Kelas XI - X(32)'!$D$11:$H987,4,false),"")</f>
        <v>7</v>
      </c>
      <c r="J304" s="222">
        <v>0.0</v>
      </c>
      <c r="K304" s="69">
        <f>iferror(vlookup(E304,'Kelas XI - X(32)'!$D$11:$H987,5,false),"")</f>
        <v>3</v>
      </c>
      <c r="L304" s="223">
        <f t="shared" si="34"/>
        <v>3</v>
      </c>
      <c r="M304" s="146">
        <f t="shared" si="39"/>
        <v>0.375</v>
      </c>
      <c r="N304" s="224"/>
      <c r="O304" s="75" t="str">
        <f t="shared" si="40"/>
        <v>B</v>
      </c>
      <c r="P304" s="195"/>
      <c r="Q304" s="105"/>
      <c r="R304" s="105"/>
      <c r="S304" s="105"/>
      <c r="T304" s="105"/>
    </row>
    <row r="305" hidden="1">
      <c r="A305" s="198">
        <v>318.0</v>
      </c>
      <c r="B305" s="225">
        <v>36.0</v>
      </c>
      <c r="C305" s="214" t="s">
        <v>2146</v>
      </c>
      <c r="D305" s="99"/>
      <c r="E305" s="214" t="s">
        <v>2147</v>
      </c>
      <c r="F305" s="270" t="s">
        <v>3099</v>
      </c>
      <c r="G305" s="215"/>
      <c r="H305" s="215" t="str">
        <f>iferror(vlookup(E305,'Kelas XI - X(32)'!$D$11:$H987,3,false),"")</f>
        <v/>
      </c>
      <c r="I305" s="69">
        <f>iferror(vlookup(E305,'Kelas XI - X(32)'!$D$11:$H987,4,false),"")</f>
        <v>6</v>
      </c>
      <c r="J305" s="222">
        <v>0.0</v>
      </c>
      <c r="K305" s="69">
        <f>iferror(vlookup(E305,'Kelas XI - X(32)'!$D$11:$H987,5,false),"")</f>
        <v>6</v>
      </c>
      <c r="L305" s="223">
        <f t="shared" si="34"/>
        <v>6</v>
      </c>
      <c r="M305" s="146">
        <f t="shared" si="39"/>
        <v>0.8571428571</v>
      </c>
      <c r="N305" s="224"/>
      <c r="O305" s="75" t="str">
        <f t="shared" si="40"/>
        <v>A</v>
      </c>
      <c r="P305" s="195"/>
      <c r="Q305" s="105"/>
      <c r="R305" s="105"/>
      <c r="S305" s="105"/>
      <c r="T305" s="105"/>
    </row>
    <row r="306" hidden="1">
      <c r="A306" s="196">
        <v>319.0</v>
      </c>
      <c r="B306" s="227"/>
      <c r="C306" s="214"/>
      <c r="D306" s="228"/>
      <c r="E306" s="214"/>
      <c r="F306" s="228"/>
      <c r="G306" s="228"/>
      <c r="H306" s="228"/>
      <c r="I306" s="229"/>
      <c r="J306" s="229"/>
      <c r="K306" s="229"/>
      <c r="L306" s="229"/>
      <c r="M306" s="229"/>
      <c r="N306" s="228"/>
      <c r="O306" s="229"/>
      <c r="P306" s="195"/>
      <c r="Q306" s="105"/>
      <c r="R306" s="105"/>
      <c r="S306" s="105"/>
      <c r="T306" s="105"/>
    </row>
    <row r="307" hidden="1">
      <c r="A307" s="198">
        <v>320.0</v>
      </c>
      <c r="B307" s="227"/>
      <c r="C307" s="214"/>
      <c r="D307" s="228"/>
      <c r="E307" s="214"/>
      <c r="F307" s="228"/>
      <c r="G307" s="228"/>
      <c r="H307" s="228"/>
      <c r="I307" s="229"/>
      <c r="J307" s="229"/>
      <c r="K307" s="229"/>
      <c r="L307" s="229"/>
      <c r="M307" s="229"/>
      <c r="N307" s="230"/>
      <c r="O307" s="231"/>
      <c r="P307" s="195"/>
      <c r="Q307" s="105"/>
      <c r="R307" s="105"/>
      <c r="S307" s="105"/>
      <c r="T307" s="105"/>
    </row>
    <row r="308" hidden="1">
      <c r="A308" s="196">
        <v>321.0</v>
      </c>
      <c r="B308" s="227"/>
      <c r="C308" s="214"/>
      <c r="D308" s="228"/>
      <c r="E308" s="214"/>
      <c r="F308" s="228"/>
      <c r="G308" s="228"/>
      <c r="H308" s="228"/>
      <c r="I308" s="229"/>
      <c r="J308" s="229"/>
      <c r="K308" s="229"/>
      <c r="L308" s="229"/>
      <c r="M308" s="229"/>
      <c r="N308" s="230"/>
      <c r="O308" s="231"/>
      <c r="P308" s="195"/>
      <c r="Q308" s="105"/>
      <c r="R308" s="105"/>
      <c r="S308" s="105"/>
      <c r="T308" s="105"/>
    </row>
    <row r="309" hidden="1">
      <c r="A309" s="198">
        <v>322.0</v>
      </c>
      <c r="B309" s="249"/>
      <c r="C309" s="241"/>
      <c r="D309" s="241"/>
      <c r="E309" s="241"/>
      <c r="F309" s="241"/>
      <c r="G309" s="241"/>
      <c r="H309" s="241"/>
      <c r="I309" s="242"/>
      <c r="J309" s="242"/>
      <c r="K309" s="242"/>
      <c r="L309" s="242"/>
      <c r="M309" s="242"/>
      <c r="N309" s="241"/>
      <c r="O309" s="242"/>
      <c r="P309" s="195"/>
      <c r="Q309" s="105"/>
      <c r="R309" s="105"/>
      <c r="S309" s="105"/>
      <c r="T309" s="105"/>
    </row>
    <row r="310">
      <c r="A310" s="196">
        <v>325.0</v>
      </c>
      <c r="B310" s="243" t="s">
        <v>2148</v>
      </c>
      <c r="C310" s="9"/>
      <c r="D310" s="9"/>
      <c r="E310" s="10"/>
      <c r="F310" s="244"/>
      <c r="G310" s="244"/>
      <c r="H310" s="244"/>
      <c r="I310" s="245"/>
      <c r="J310" s="245"/>
      <c r="K310" s="245"/>
      <c r="L310" s="245"/>
      <c r="M310" s="245"/>
      <c r="N310" s="244"/>
      <c r="O310" s="245"/>
      <c r="P310" s="195"/>
      <c r="Q310" s="105"/>
      <c r="R310" s="105"/>
      <c r="S310" s="105"/>
      <c r="T310" s="105"/>
    </row>
    <row r="311" hidden="1">
      <c r="A311" s="198">
        <v>326.0</v>
      </c>
      <c r="B311" s="250" t="s">
        <v>2149</v>
      </c>
      <c r="C311" s="9"/>
      <c r="D311" s="9"/>
      <c r="E311" s="10"/>
      <c r="F311" s="251"/>
      <c r="G311" s="251"/>
      <c r="H311" s="251"/>
      <c r="I311" s="252"/>
      <c r="J311" s="252"/>
      <c r="K311" s="252"/>
      <c r="L311" s="252"/>
      <c r="M311" s="252"/>
      <c r="N311" s="251"/>
      <c r="O311" s="252"/>
      <c r="P311" s="195"/>
      <c r="Q311" s="105"/>
      <c r="R311" s="105"/>
      <c r="S311" s="105"/>
      <c r="T311" s="105"/>
    </row>
    <row r="312" hidden="1">
      <c r="A312" s="196">
        <v>327.0</v>
      </c>
      <c r="B312" s="253" t="s">
        <v>1735</v>
      </c>
      <c r="C312" s="253" t="s">
        <v>1736</v>
      </c>
      <c r="D312" s="253" t="s">
        <v>1737</v>
      </c>
      <c r="E312" s="253" t="s">
        <v>1738</v>
      </c>
      <c r="F312" s="254" t="s">
        <v>1815</v>
      </c>
      <c r="G312" s="255"/>
      <c r="H312" s="255"/>
      <c r="I312" s="256" t="s">
        <v>3097</v>
      </c>
      <c r="J312" s="9"/>
      <c r="K312" s="9"/>
      <c r="L312" s="9"/>
      <c r="M312" s="9"/>
      <c r="N312" s="9"/>
      <c r="O312" s="10"/>
      <c r="P312" s="195"/>
      <c r="Q312" s="105"/>
      <c r="R312" s="105"/>
      <c r="S312" s="105"/>
      <c r="T312" s="105"/>
    </row>
    <row r="313" hidden="1">
      <c r="A313" s="198">
        <v>328.0</v>
      </c>
      <c r="B313" s="253"/>
      <c r="C313" s="253"/>
      <c r="D313" s="253"/>
      <c r="E313" s="253"/>
      <c r="F313" s="262"/>
      <c r="G313" s="263"/>
      <c r="H313" s="263" t="s">
        <v>2483</v>
      </c>
      <c r="I313" s="144" t="s">
        <v>3094</v>
      </c>
      <c r="J313" s="264" t="s">
        <v>3095</v>
      </c>
      <c r="K313" s="265" t="s">
        <v>3096</v>
      </c>
      <c r="L313" s="264" t="s">
        <v>3098</v>
      </c>
      <c r="M313" s="266" t="s">
        <v>18</v>
      </c>
      <c r="N313" s="143" t="s">
        <v>2491</v>
      </c>
      <c r="O313" s="267" t="s">
        <v>19</v>
      </c>
      <c r="P313" s="195"/>
      <c r="Q313" s="105"/>
      <c r="R313" s="105"/>
      <c r="S313" s="105"/>
      <c r="T313" s="105"/>
    </row>
    <row r="314" hidden="1">
      <c r="A314" s="196">
        <v>329.0</v>
      </c>
      <c r="B314" s="225">
        <v>1.0</v>
      </c>
      <c r="C314" s="214" t="s">
        <v>2150</v>
      </c>
      <c r="D314" s="99"/>
      <c r="E314" s="214" t="s">
        <v>2151</v>
      </c>
      <c r="F314" s="99" t="s">
        <v>3099</v>
      </c>
      <c r="G314" s="215"/>
      <c r="H314" s="215" t="str">
        <f>iferror(vlookup(E314,'Kelas XI - X(32)'!$D$11:$H987,3,false),"")</f>
        <v>Febryan</v>
      </c>
      <c r="I314" s="69">
        <f>iferror(vlookup(E314,'Kelas XI - X(32)'!$D$11:$H987,4,false),"")</f>
        <v>6</v>
      </c>
      <c r="J314" s="222">
        <v>0.0</v>
      </c>
      <c r="K314" s="69">
        <f>iferror(vlookup(E314,'Kelas XI - X(32)'!$D$11:$H987,5,false),"")</f>
        <v>0</v>
      </c>
      <c r="L314" s="223">
        <f t="shared" ref="L314:L349" si="41">K314+J314</f>
        <v>0</v>
      </c>
      <c r="M314" s="146">
        <f t="shared" ref="M314:M349" si="42">(K314+J314)/(I314+1)</f>
        <v>0</v>
      </c>
      <c r="N314" s="224"/>
      <c r="O314" s="75" t="str">
        <f t="shared" ref="O314:O325" si="43">IF(M314&gt;=50%,"A","B")</f>
        <v>B</v>
      </c>
      <c r="P314" s="195"/>
      <c r="Q314" s="105"/>
      <c r="R314" s="105"/>
      <c r="S314" s="105"/>
      <c r="T314" s="105"/>
    </row>
    <row r="315" hidden="1">
      <c r="A315" s="198">
        <v>330.0</v>
      </c>
      <c r="B315" s="225">
        <v>2.0</v>
      </c>
      <c r="C315" s="214" t="s">
        <v>2152</v>
      </c>
      <c r="D315" s="99"/>
      <c r="E315" s="214" t="s">
        <v>2153</v>
      </c>
      <c r="F315" s="99" t="s">
        <v>3100</v>
      </c>
      <c r="G315" s="215"/>
      <c r="H315" s="215" t="str">
        <f>iferror(vlookup(E315,'Kelas XI - X(32)'!$D$11:$H987,3,false),"")</f>
        <v>Najmi</v>
      </c>
      <c r="I315" s="69">
        <f>iferror(vlookup(E315,'Kelas XI - X(32)'!$D$11:$H987,4,false),"")</f>
        <v>5</v>
      </c>
      <c r="J315" s="222">
        <v>0.0</v>
      </c>
      <c r="K315" s="69">
        <f>iferror(vlookup(E315,'Kelas XI - X(32)'!$D$11:$H987,5,false),"")</f>
        <v>5</v>
      </c>
      <c r="L315" s="223">
        <f t="shared" si="41"/>
        <v>5</v>
      </c>
      <c r="M315" s="146">
        <f t="shared" si="42"/>
        <v>0.8333333333</v>
      </c>
      <c r="N315" s="224"/>
      <c r="O315" s="75" t="str">
        <f t="shared" si="43"/>
        <v>A</v>
      </c>
      <c r="P315" s="195"/>
      <c r="Q315" s="105"/>
      <c r="R315" s="105"/>
      <c r="S315" s="105"/>
      <c r="T315" s="105"/>
    </row>
    <row r="316" hidden="1">
      <c r="A316" s="196">
        <v>331.0</v>
      </c>
      <c r="B316" s="225">
        <v>3.0</v>
      </c>
      <c r="C316" s="214" t="s">
        <v>2154</v>
      </c>
      <c r="D316" s="99"/>
      <c r="E316" s="214" t="s">
        <v>2155</v>
      </c>
      <c r="F316" s="99" t="s">
        <v>3100</v>
      </c>
      <c r="G316" s="215"/>
      <c r="H316" s="215" t="str">
        <f>iferror(vlookup(E316,'Kelas XI - X(32)'!$D$11:$H987,3,false),"")</f>
        <v/>
      </c>
      <c r="I316" s="69">
        <f>iferror(vlookup(E316,'Kelas XI - X(32)'!$D$11:$H987,4,false),"")</f>
        <v>7</v>
      </c>
      <c r="J316" s="222">
        <v>0.0</v>
      </c>
      <c r="K316" s="69">
        <v>0.0</v>
      </c>
      <c r="L316" s="223">
        <f t="shared" si="41"/>
        <v>0</v>
      </c>
      <c r="M316" s="146">
        <f t="shared" si="42"/>
        <v>0</v>
      </c>
      <c r="N316" s="224"/>
      <c r="O316" s="75" t="str">
        <f t="shared" si="43"/>
        <v>B</v>
      </c>
      <c r="P316" s="195"/>
      <c r="Q316" s="105"/>
      <c r="R316" s="105"/>
      <c r="S316" s="105"/>
      <c r="T316" s="105"/>
    </row>
    <row r="317" hidden="1">
      <c r="A317" s="198">
        <v>332.0</v>
      </c>
      <c r="B317" s="225">
        <v>4.0</v>
      </c>
      <c r="C317" s="214" t="s">
        <v>2156</v>
      </c>
      <c r="D317" s="99"/>
      <c r="E317" s="214" t="s">
        <v>2157</v>
      </c>
      <c r="F317" s="99" t="s">
        <v>3100</v>
      </c>
      <c r="G317" s="215"/>
      <c r="H317" s="215" t="str">
        <f>iferror(vlookup(E317,'Kelas XI - X(32)'!$D$11:$H987,3,false),"")</f>
        <v/>
      </c>
      <c r="I317" s="69">
        <f>iferror(vlookup(E317,'Kelas XI - X(32)'!$D$11:$H987,4,false),"")</f>
        <v>8</v>
      </c>
      <c r="J317" s="222">
        <v>0.0</v>
      </c>
      <c r="K317" s="69">
        <f>iferror(vlookup(E317,'Kelas XI - X(32)'!$D$11:$H987,5,false),"")</f>
        <v>1</v>
      </c>
      <c r="L317" s="223">
        <f t="shared" si="41"/>
        <v>1</v>
      </c>
      <c r="M317" s="146">
        <f t="shared" si="42"/>
        <v>0.1111111111</v>
      </c>
      <c r="N317" s="224"/>
      <c r="O317" s="75" t="str">
        <f t="shared" si="43"/>
        <v>B</v>
      </c>
      <c r="P317" s="195"/>
      <c r="Q317" s="105"/>
      <c r="R317" s="105"/>
      <c r="S317" s="105"/>
      <c r="T317" s="105"/>
    </row>
    <row r="318" hidden="1">
      <c r="A318" s="196">
        <v>333.0</v>
      </c>
      <c r="B318" s="225">
        <v>5.0</v>
      </c>
      <c r="C318" s="214" t="s">
        <v>2158</v>
      </c>
      <c r="D318" s="99"/>
      <c r="E318" s="214" t="s">
        <v>2159</v>
      </c>
      <c r="F318" s="99" t="s">
        <v>3100</v>
      </c>
      <c r="G318" s="215"/>
      <c r="H318" s="215" t="str">
        <f>iferror(vlookup(E318,'Kelas XI - X(32)'!$D$11:$H987,3,false),"")</f>
        <v>Najmi</v>
      </c>
      <c r="I318" s="69">
        <f>iferror(vlookup(E318,'Kelas XI - X(32)'!$D$11:$H987,4,false),"")</f>
        <v>5</v>
      </c>
      <c r="J318" s="222">
        <v>0.0</v>
      </c>
      <c r="K318" s="69">
        <f>iferror(vlookup(E318,'Kelas XI - X(32)'!$D$11:$H987,5,false),"")</f>
        <v>5</v>
      </c>
      <c r="L318" s="223">
        <f t="shared" si="41"/>
        <v>5</v>
      </c>
      <c r="M318" s="146">
        <f t="shared" si="42"/>
        <v>0.8333333333</v>
      </c>
      <c r="N318" s="224"/>
      <c r="O318" s="75" t="str">
        <f t="shared" si="43"/>
        <v>A</v>
      </c>
      <c r="P318" s="195"/>
      <c r="Q318" s="105"/>
      <c r="R318" s="105"/>
      <c r="S318" s="105"/>
      <c r="T318" s="105"/>
    </row>
    <row r="319" hidden="1">
      <c r="A319" s="198">
        <v>334.0</v>
      </c>
      <c r="B319" s="225">
        <v>6.0</v>
      </c>
      <c r="C319" s="214" t="s">
        <v>2160</v>
      </c>
      <c r="D319" s="99"/>
      <c r="E319" s="214" t="s">
        <v>2161</v>
      </c>
      <c r="F319" s="99" t="s">
        <v>3100</v>
      </c>
      <c r="G319" s="215"/>
      <c r="H319" s="215" t="str">
        <f>iferror(vlookup(E319,'Kelas XI - X(32)'!$D$11:$H987,3,false),"")</f>
        <v>Iga</v>
      </c>
      <c r="I319" s="69">
        <f>iferror(vlookup(E319,'Kelas XI - X(32)'!$D$11:$H987,4,false),"")</f>
        <v>4</v>
      </c>
      <c r="J319" s="222">
        <v>0.0</v>
      </c>
      <c r="K319" s="69">
        <v>0.0</v>
      </c>
      <c r="L319" s="223">
        <f t="shared" si="41"/>
        <v>0</v>
      </c>
      <c r="M319" s="146">
        <f t="shared" si="42"/>
        <v>0</v>
      </c>
      <c r="N319" s="224"/>
      <c r="O319" s="75" t="str">
        <f t="shared" si="43"/>
        <v>B</v>
      </c>
      <c r="P319" s="195"/>
      <c r="Q319" s="105"/>
      <c r="R319" s="105"/>
      <c r="S319" s="105"/>
      <c r="T319" s="105"/>
    </row>
    <row r="320" hidden="1">
      <c r="A320" s="196">
        <v>335.0</v>
      </c>
      <c r="B320" s="225">
        <v>7.0</v>
      </c>
      <c r="C320" s="214" t="s">
        <v>2162</v>
      </c>
      <c r="D320" s="99"/>
      <c r="E320" s="214" t="s">
        <v>2163</v>
      </c>
      <c r="F320" s="99" t="s">
        <v>3100</v>
      </c>
      <c r="G320" s="215"/>
      <c r="H320" s="215" t="str">
        <f>iferror(vlookup(E320,'Kelas XI - X(32)'!$D$11:$H987,3,false),"")</f>
        <v/>
      </c>
      <c r="I320" s="69">
        <f>iferror(vlookup(E320,'Kelas XI - X(32)'!$D$11:$H987,4,false),"")</f>
        <v>7</v>
      </c>
      <c r="J320" s="222">
        <v>0.0</v>
      </c>
      <c r="K320" s="69">
        <f>iferror(vlookup(E320,'Kelas XI - X(32)'!$D$11:$H987,5,false),"")</f>
        <v>5</v>
      </c>
      <c r="L320" s="223">
        <f t="shared" si="41"/>
        <v>5</v>
      </c>
      <c r="M320" s="146">
        <f t="shared" si="42"/>
        <v>0.625</v>
      </c>
      <c r="N320" s="224"/>
      <c r="O320" s="75" t="str">
        <f t="shared" si="43"/>
        <v>A</v>
      </c>
      <c r="P320" s="195"/>
      <c r="Q320" s="105"/>
      <c r="R320" s="105"/>
      <c r="S320" s="105"/>
      <c r="T320" s="105"/>
    </row>
    <row r="321" hidden="1">
      <c r="A321" s="198">
        <v>336.0</v>
      </c>
      <c r="B321" s="234">
        <v>8.0</v>
      </c>
      <c r="C321" s="104" t="s">
        <v>2164</v>
      </c>
      <c r="D321" s="246"/>
      <c r="E321" s="104" t="s">
        <v>2165</v>
      </c>
      <c r="F321" s="246" t="s">
        <v>3099</v>
      </c>
      <c r="G321" s="235"/>
      <c r="H321" s="235" t="str">
        <f>iferror(vlookup(E321,'Kelas XI - X(32)'!$D$11:$H987,3,false),"")</f>
        <v/>
      </c>
      <c r="I321" s="150">
        <v>1.0</v>
      </c>
      <c r="J321" s="217">
        <f>iferror(vlookup(E321,MasterClass!$C$2:$G987,5,false),"")</f>
        <v>1</v>
      </c>
      <c r="K321" s="150">
        <v>0.0</v>
      </c>
      <c r="L321" s="217">
        <f t="shared" si="41"/>
        <v>1</v>
      </c>
      <c r="M321" s="218">
        <f t="shared" si="42"/>
        <v>0.5</v>
      </c>
      <c r="N321" s="219"/>
      <c r="O321" s="75" t="str">
        <f t="shared" si="43"/>
        <v>A</v>
      </c>
      <c r="P321" s="195"/>
      <c r="Q321" s="105"/>
      <c r="R321" s="105"/>
      <c r="S321" s="105"/>
      <c r="T321" s="105"/>
    </row>
    <row r="322" hidden="1">
      <c r="A322" s="196">
        <v>337.0</v>
      </c>
      <c r="B322" s="234">
        <v>9.0</v>
      </c>
      <c r="C322" s="104" t="s">
        <v>2166</v>
      </c>
      <c r="D322" s="246"/>
      <c r="E322" s="104" t="s">
        <v>2167</v>
      </c>
      <c r="F322" s="246" t="s">
        <v>3100</v>
      </c>
      <c r="G322" s="235"/>
      <c r="H322" s="235" t="str">
        <f>iferror(vlookup(E322,'Kelas XI - X(32)'!$D$11:$H987,3,false),"")</f>
        <v/>
      </c>
      <c r="I322" s="150">
        <v>1.0</v>
      </c>
      <c r="J322" s="217">
        <f>iferror(vlookup(E322,MasterClass!$C$2:$G987,5,false),"")</f>
        <v>1</v>
      </c>
      <c r="K322" s="150">
        <v>0.0</v>
      </c>
      <c r="L322" s="217">
        <f t="shared" si="41"/>
        <v>1</v>
      </c>
      <c r="M322" s="218">
        <f t="shared" si="42"/>
        <v>0.5</v>
      </c>
      <c r="N322" s="219"/>
      <c r="O322" s="75" t="str">
        <f t="shared" si="43"/>
        <v>A</v>
      </c>
      <c r="P322" s="195"/>
      <c r="Q322" s="105"/>
      <c r="R322" s="105"/>
      <c r="S322" s="105"/>
      <c r="T322" s="105"/>
    </row>
    <row r="323" hidden="1">
      <c r="A323" s="198">
        <v>338.0</v>
      </c>
      <c r="B323" s="234">
        <v>10.0</v>
      </c>
      <c r="C323" s="104" t="s">
        <v>2168</v>
      </c>
      <c r="D323" s="246"/>
      <c r="E323" s="104" t="s">
        <v>2169</v>
      </c>
      <c r="F323" s="246" t="s">
        <v>3100</v>
      </c>
      <c r="G323" s="235"/>
      <c r="H323" s="235" t="str">
        <f>iferror(vlookup(E323,'Kelas XI - X(32)'!$D$11:$H987,3,false),"")</f>
        <v/>
      </c>
      <c r="I323" s="150">
        <f>iferror(vlookup(E323,'Kelas XI - X(32)'!$D$11:$H987,4,false),"")</f>
        <v>7</v>
      </c>
      <c r="J323" s="217">
        <f>iferror(vlookup(E323,MasterClass!$C$2:$G987,5,false),"")</f>
        <v>1</v>
      </c>
      <c r="K323" s="150">
        <f>iferror(vlookup(E323,'Kelas XI - X(32)'!$D$11:$H987,5,false),"")</f>
        <v>6</v>
      </c>
      <c r="L323" s="217">
        <f t="shared" si="41"/>
        <v>7</v>
      </c>
      <c r="M323" s="218">
        <f t="shared" si="42"/>
        <v>0.875</v>
      </c>
      <c r="N323" s="219"/>
      <c r="O323" s="75" t="str">
        <f t="shared" si="43"/>
        <v>A</v>
      </c>
      <c r="P323" s="195"/>
      <c r="Q323" s="105"/>
      <c r="R323" s="105"/>
      <c r="S323" s="105"/>
      <c r="T323" s="105"/>
    </row>
    <row r="324" hidden="1">
      <c r="A324" s="196">
        <v>339.0</v>
      </c>
      <c r="B324" s="234">
        <v>11.0</v>
      </c>
      <c r="C324" s="104" t="s">
        <v>2170</v>
      </c>
      <c r="D324" s="275"/>
      <c r="E324" s="104" t="s">
        <v>2171</v>
      </c>
      <c r="F324" s="246" t="s">
        <v>3100</v>
      </c>
      <c r="G324" s="235"/>
      <c r="H324" s="235" t="str">
        <f>iferror(vlookup(E324,'Kelas XI - X(32)'!$D$11:$H987,3,false),"")</f>
        <v>Taufik</v>
      </c>
      <c r="I324" s="150">
        <f>iferror(vlookup(E324,'Kelas XI - X(32)'!$D$11:$H987,4,false),"")</f>
        <v>7</v>
      </c>
      <c r="J324" s="216">
        <v>0.0</v>
      </c>
      <c r="K324" s="150">
        <f>iferror(vlookup(E324,'Kelas XI - X(32)'!$D$11:$H987,5,false),"")</f>
        <v>3</v>
      </c>
      <c r="L324" s="217">
        <f t="shared" si="41"/>
        <v>3</v>
      </c>
      <c r="M324" s="218">
        <f t="shared" si="42"/>
        <v>0.375</v>
      </c>
      <c r="N324" s="219"/>
      <c r="O324" s="75" t="str">
        <f t="shared" si="43"/>
        <v>B</v>
      </c>
      <c r="P324" s="195"/>
      <c r="Q324" s="105"/>
      <c r="R324" s="105"/>
      <c r="S324" s="105"/>
      <c r="T324" s="105"/>
    </row>
    <row r="325" hidden="1">
      <c r="A325" s="198">
        <v>340.0</v>
      </c>
      <c r="B325" s="234">
        <v>12.0</v>
      </c>
      <c r="C325" s="104" t="s">
        <v>2172</v>
      </c>
      <c r="D325" s="246"/>
      <c r="E325" s="104" t="s">
        <v>2173</v>
      </c>
      <c r="F325" s="246" t="s">
        <v>3100</v>
      </c>
      <c r="G325" s="235"/>
      <c r="H325" s="235" t="str">
        <f>iferror(vlookup(E325,'Kelas XI - X(32)'!$D$11:$H987,3,false),"")</f>
        <v/>
      </c>
      <c r="I325" s="150">
        <f>iferror(vlookup(E325,'Kelas XI - X(32)'!$D$11:$H987,4,false),"")</f>
        <v>6</v>
      </c>
      <c r="J325" s="216">
        <v>0.0</v>
      </c>
      <c r="K325" s="150">
        <f>iferror(vlookup(E325,'Kelas XI - X(32)'!$D$11:$H987,5,false),"")</f>
        <v>2</v>
      </c>
      <c r="L325" s="217">
        <f t="shared" si="41"/>
        <v>2</v>
      </c>
      <c r="M325" s="218">
        <f t="shared" si="42"/>
        <v>0.2857142857</v>
      </c>
      <c r="N325" s="219"/>
      <c r="O325" s="75" t="str">
        <f t="shared" si="43"/>
        <v>B</v>
      </c>
      <c r="P325" s="195"/>
      <c r="Q325" s="105"/>
      <c r="R325" s="105"/>
      <c r="S325" s="105"/>
      <c r="T325" s="105"/>
    </row>
    <row r="326" hidden="1">
      <c r="A326" s="196">
        <v>341.0</v>
      </c>
      <c r="B326" s="234">
        <v>13.0</v>
      </c>
      <c r="C326" s="104" t="s">
        <v>2174</v>
      </c>
      <c r="D326" s="246"/>
      <c r="E326" s="104" t="s">
        <v>2175</v>
      </c>
      <c r="F326" s="246" t="s">
        <v>3100</v>
      </c>
      <c r="G326" s="235"/>
      <c r="H326" s="235" t="str">
        <f>iferror(vlookup(E326,'Kelas XI - X(32)'!$D$11:$H987,3,false),"")</f>
        <v/>
      </c>
      <c r="I326" s="150">
        <v>8.0</v>
      </c>
      <c r="J326" s="217">
        <f>iferror(vlookup(E326,MasterClass!$C$2:$G987,5,false),"")</f>
        <v>1</v>
      </c>
      <c r="K326" s="150">
        <v>8.0</v>
      </c>
      <c r="L326" s="217">
        <f t="shared" si="41"/>
        <v>9</v>
      </c>
      <c r="M326" s="218">
        <f t="shared" si="42"/>
        <v>1</v>
      </c>
      <c r="N326" s="235" t="s">
        <v>3107</v>
      </c>
      <c r="O326" s="69" t="s">
        <v>1163</v>
      </c>
      <c r="P326" s="195"/>
      <c r="Q326" s="105"/>
      <c r="R326" s="105"/>
      <c r="S326" s="105"/>
      <c r="T326" s="105"/>
    </row>
    <row r="327" hidden="1">
      <c r="A327" s="198">
        <v>342.0</v>
      </c>
      <c r="B327" s="234">
        <v>14.0</v>
      </c>
      <c r="C327" s="104" t="s">
        <v>2176</v>
      </c>
      <c r="D327" s="246"/>
      <c r="E327" s="104" t="s">
        <v>2177</v>
      </c>
      <c r="F327" s="246" t="s">
        <v>3099</v>
      </c>
      <c r="G327" s="235"/>
      <c r="H327" s="235" t="str">
        <f>iferror(vlookup(E327,'Kelas XI - X(32)'!$D$11:$H987,3,false),"")</f>
        <v/>
      </c>
      <c r="I327" s="150">
        <v>1.0</v>
      </c>
      <c r="J327" s="216">
        <v>0.0</v>
      </c>
      <c r="K327" s="150">
        <v>0.0</v>
      </c>
      <c r="L327" s="217">
        <f t="shared" si="41"/>
        <v>0</v>
      </c>
      <c r="M327" s="218">
        <f t="shared" si="42"/>
        <v>0</v>
      </c>
      <c r="N327" s="219"/>
      <c r="O327" s="75" t="str">
        <f t="shared" ref="O327:O329" si="44">IF(M327&gt;=50%,"A","B")</f>
        <v>B</v>
      </c>
      <c r="P327" s="195"/>
      <c r="Q327" s="105"/>
      <c r="R327" s="105"/>
      <c r="S327" s="105"/>
      <c r="T327" s="105"/>
    </row>
    <row r="328" hidden="1">
      <c r="A328" s="196">
        <v>343.0</v>
      </c>
      <c r="B328" s="234">
        <v>15.0</v>
      </c>
      <c r="C328" s="104" t="s">
        <v>2178</v>
      </c>
      <c r="D328" s="246"/>
      <c r="E328" s="104" t="s">
        <v>2179</v>
      </c>
      <c r="F328" s="246" t="s">
        <v>3100</v>
      </c>
      <c r="G328" s="235"/>
      <c r="H328" s="235" t="str">
        <f>iferror(vlookup(E328,'Kelas XI - X(32)'!$D$11:$H987,3,false),"")</f>
        <v/>
      </c>
      <c r="I328" s="150">
        <v>1.0</v>
      </c>
      <c r="J328" s="216">
        <v>0.0</v>
      </c>
      <c r="K328" s="150">
        <v>0.0</v>
      </c>
      <c r="L328" s="217">
        <f t="shared" si="41"/>
        <v>0</v>
      </c>
      <c r="M328" s="218">
        <f t="shared" si="42"/>
        <v>0</v>
      </c>
      <c r="N328" s="219"/>
      <c r="O328" s="75" t="str">
        <f t="shared" si="44"/>
        <v>B</v>
      </c>
      <c r="P328" s="195"/>
      <c r="Q328" s="105"/>
      <c r="R328" s="105"/>
      <c r="S328" s="105"/>
      <c r="T328" s="105"/>
    </row>
    <row r="329" hidden="1">
      <c r="A329" s="198">
        <v>344.0</v>
      </c>
      <c r="B329" s="212">
        <v>16.0</v>
      </c>
      <c r="C329" s="213" t="s">
        <v>2180</v>
      </c>
      <c r="D329" s="258"/>
      <c r="E329" s="213" t="s">
        <v>2181</v>
      </c>
      <c r="F329" s="99" t="s">
        <v>3100</v>
      </c>
      <c r="G329" s="215"/>
      <c r="H329" s="215" t="str">
        <f>iferror(vlookup(E329,'Kelas XI - X(32)'!$D$11:$H987,3,false),"")</f>
        <v>Zalika</v>
      </c>
      <c r="I329" s="69">
        <f>iferror(vlookup(E329,'Kelas XI - X(32)'!$D$11:$H987,4,false),"")</f>
        <v>5</v>
      </c>
      <c r="J329" s="216">
        <v>0.0</v>
      </c>
      <c r="K329" s="150">
        <f>iferror(vlookup(E329,'Kelas XI - X(32)'!$D$11:$H987,5,false),"")</f>
        <v>1</v>
      </c>
      <c r="L329" s="217">
        <f t="shared" si="41"/>
        <v>1</v>
      </c>
      <c r="M329" s="218">
        <f t="shared" si="42"/>
        <v>0.1666666667</v>
      </c>
      <c r="N329" s="219"/>
      <c r="O329" s="75" t="str">
        <f t="shared" si="44"/>
        <v>B</v>
      </c>
      <c r="P329" s="195"/>
      <c r="Q329" s="105"/>
      <c r="R329" s="105"/>
      <c r="S329" s="105"/>
      <c r="T329" s="105"/>
    </row>
    <row r="330" hidden="1">
      <c r="A330" s="196">
        <v>345.0</v>
      </c>
      <c r="B330" s="220">
        <v>17.0</v>
      </c>
      <c r="C330" s="221" t="s">
        <v>2182</v>
      </c>
      <c r="D330" s="259"/>
      <c r="E330" s="221" t="s">
        <v>2183</v>
      </c>
      <c r="F330" s="99" t="s">
        <v>3100</v>
      </c>
      <c r="G330" s="215"/>
      <c r="H330" s="215" t="str">
        <f>iferror(vlookup(E330,'Kelas XI - X(32)'!$D$11:$H987,3,false),"")</f>
        <v/>
      </c>
      <c r="I330" s="69">
        <v>1.0</v>
      </c>
      <c r="J330" s="222">
        <v>0.0</v>
      </c>
      <c r="K330" s="69">
        <v>0.0</v>
      </c>
      <c r="L330" s="223">
        <f t="shared" si="41"/>
        <v>0</v>
      </c>
      <c r="M330" s="146">
        <f t="shared" si="42"/>
        <v>0</v>
      </c>
      <c r="N330" s="248" t="s">
        <v>3106</v>
      </c>
      <c r="O330" s="69" t="s">
        <v>1163</v>
      </c>
      <c r="P330" s="195"/>
      <c r="Q330" s="105"/>
      <c r="R330" s="105"/>
      <c r="S330" s="105"/>
      <c r="T330" s="105"/>
    </row>
    <row r="331" hidden="1">
      <c r="A331" s="198">
        <v>346.0</v>
      </c>
      <c r="B331" s="225">
        <v>18.0</v>
      </c>
      <c r="C331" s="214" t="s">
        <v>2184</v>
      </c>
      <c r="D331" s="99"/>
      <c r="E331" s="214" t="s">
        <v>2185</v>
      </c>
      <c r="F331" s="99" t="s">
        <v>3099</v>
      </c>
      <c r="G331" s="215"/>
      <c r="H331" s="215" t="str">
        <f>iferror(vlookup(E331,'Kelas XI - X(32)'!$D$11:$H987,3,false),"")</f>
        <v/>
      </c>
      <c r="I331" s="69">
        <f>iferror(vlookup(E331,'Kelas XI - X(32)'!$D$11:$H987,4,false),"")</f>
        <v>6</v>
      </c>
      <c r="J331" s="222">
        <v>0.0</v>
      </c>
      <c r="K331" s="69">
        <f>iferror(vlookup(E331,'Kelas XI - X(32)'!$D$11:$H987,5,false),"")</f>
        <v>4</v>
      </c>
      <c r="L331" s="223">
        <f t="shared" si="41"/>
        <v>4</v>
      </c>
      <c r="M331" s="146">
        <f t="shared" si="42"/>
        <v>0.5714285714</v>
      </c>
      <c r="N331" s="224"/>
      <c r="O331" s="75" t="str">
        <f t="shared" ref="O331:O348" si="45">IF(M331&gt;=50%,"A","B")</f>
        <v>A</v>
      </c>
      <c r="P331" s="195"/>
      <c r="Q331" s="105"/>
      <c r="R331" s="105"/>
      <c r="S331" s="105"/>
      <c r="T331" s="105"/>
    </row>
    <row r="332" hidden="1">
      <c r="A332" s="196">
        <v>347.0</v>
      </c>
      <c r="B332" s="225">
        <v>19.0</v>
      </c>
      <c r="C332" s="214" t="s">
        <v>2186</v>
      </c>
      <c r="D332" s="99"/>
      <c r="E332" s="214" t="s">
        <v>2187</v>
      </c>
      <c r="F332" s="99" t="s">
        <v>3099</v>
      </c>
      <c r="G332" s="215"/>
      <c r="H332" s="215" t="str">
        <f>iferror(vlookup(E332,'Kelas XI - X(32)'!$D$11:$H987,3,false),"")</f>
        <v/>
      </c>
      <c r="I332" s="69">
        <f>iferror(vlookup(E332,'Kelas XI - X(32)'!$D$11:$H987,4,false),"")</f>
        <v>8</v>
      </c>
      <c r="J332" s="222">
        <v>0.0</v>
      </c>
      <c r="K332" s="69">
        <f>iferror(vlookup(E332,'Kelas XI - X(32)'!$D$11:$H987,5,false),"")</f>
        <v>1</v>
      </c>
      <c r="L332" s="223">
        <f t="shared" si="41"/>
        <v>1</v>
      </c>
      <c r="M332" s="146">
        <f t="shared" si="42"/>
        <v>0.1111111111</v>
      </c>
      <c r="N332" s="224"/>
      <c r="O332" s="75" t="str">
        <f t="shared" si="45"/>
        <v>B</v>
      </c>
      <c r="P332" s="195"/>
      <c r="Q332" s="105"/>
      <c r="R332" s="105"/>
      <c r="S332" s="105"/>
      <c r="T332" s="105"/>
    </row>
    <row r="333" hidden="1">
      <c r="A333" s="198">
        <v>348.0</v>
      </c>
      <c r="B333" s="225">
        <v>20.0</v>
      </c>
      <c r="C333" s="214" t="s">
        <v>2188</v>
      </c>
      <c r="D333" s="99"/>
      <c r="E333" s="214" t="s">
        <v>2189</v>
      </c>
      <c r="F333" s="99" t="s">
        <v>3099</v>
      </c>
      <c r="G333" s="215"/>
      <c r="H333" s="215" t="str">
        <f>iferror(vlookup(E333,'Kelas XI - X(32)'!$D$11:$H987,3,false),"")</f>
        <v>Iga</v>
      </c>
      <c r="I333" s="69">
        <f>iferror(vlookup(E333,'Kelas XI - X(32)'!$D$11:$H987,4,false),"")</f>
        <v>4</v>
      </c>
      <c r="J333" s="222">
        <v>0.0</v>
      </c>
      <c r="K333" s="69">
        <v>0.0</v>
      </c>
      <c r="L333" s="223">
        <f t="shared" si="41"/>
        <v>0</v>
      </c>
      <c r="M333" s="146">
        <f t="shared" si="42"/>
        <v>0</v>
      </c>
      <c r="N333" s="224"/>
      <c r="O333" s="75" t="str">
        <f t="shared" si="45"/>
        <v>B</v>
      </c>
      <c r="P333" s="195"/>
      <c r="Q333" s="105"/>
      <c r="R333" s="105"/>
      <c r="S333" s="105"/>
      <c r="T333" s="105"/>
    </row>
    <row r="334" hidden="1">
      <c r="A334" s="196">
        <v>349.0</v>
      </c>
      <c r="B334" s="225">
        <v>21.0</v>
      </c>
      <c r="C334" s="214" t="s">
        <v>2190</v>
      </c>
      <c r="D334" s="99"/>
      <c r="E334" s="214" t="s">
        <v>2191</v>
      </c>
      <c r="F334" s="99" t="s">
        <v>3100</v>
      </c>
      <c r="G334" s="215"/>
      <c r="H334" s="215" t="str">
        <f>iferror(vlookup(E334,'Kelas XI - X(32)'!$D$11:$H987,3,false),"")</f>
        <v>Najmi</v>
      </c>
      <c r="I334" s="69">
        <f>iferror(vlookup(E334,'Kelas XI - X(32)'!$D$11:$H987,4,false),"")</f>
        <v>5</v>
      </c>
      <c r="J334" s="222">
        <v>0.0</v>
      </c>
      <c r="K334" s="69">
        <f>iferror(vlookup(E334,'Kelas XI - X(32)'!$D$11:$H987,5,false),"")</f>
        <v>5</v>
      </c>
      <c r="L334" s="223">
        <f t="shared" si="41"/>
        <v>5</v>
      </c>
      <c r="M334" s="146">
        <f t="shared" si="42"/>
        <v>0.8333333333</v>
      </c>
      <c r="N334" s="224"/>
      <c r="O334" s="75" t="str">
        <f t="shared" si="45"/>
        <v>A</v>
      </c>
      <c r="P334" s="195"/>
      <c r="Q334" s="105"/>
      <c r="R334" s="105"/>
      <c r="S334" s="105"/>
      <c r="T334" s="105"/>
    </row>
    <row r="335" hidden="1">
      <c r="A335" s="198">
        <v>350.0</v>
      </c>
      <c r="B335" s="225">
        <v>22.0</v>
      </c>
      <c r="C335" s="214" t="s">
        <v>2192</v>
      </c>
      <c r="D335" s="99"/>
      <c r="E335" s="214" t="s">
        <v>2193</v>
      </c>
      <c r="F335" s="99" t="s">
        <v>3100</v>
      </c>
      <c r="G335" s="215"/>
      <c r="H335" s="215" t="str">
        <f>iferror(vlookup(E335,'Kelas XI - X(32)'!$D$11:$H987,3,false),"")</f>
        <v/>
      </c>
      <c r="I335" s="69">
        <f>iferror(vlookup(E335,'Kelas XI - X(32)'!$D$11:$H987,4,false),"")</f>
        <v>7</v>
      </c>
      <c r="J335" s="222">
        <v>0.0</v>
      </c>
      <c r="K335" s="69">
        <f>iferror(vlookup(E335,'Kelas XI - X(32)'!$D$11:$H987,5,false),"")</f>
        <v>1</v>
      </c>
      <c r="L335" s="223">
        <f t="shared" si="41"/>
        <v>1</v>
      </c>
      <c r="M335" s="146">
        <f t="shared" si="42"/>
        <v>0.125</v>
      </c>
      <c r="N335" s="224"/>
      <c r="O335" s="75" t="str">
        <f t="shared" si="45"/>
        <v>B</v>
      </c>
      <c r="P335" s="195"/>
      <c r="Q335" s="105"/>
      <c r="R335" s="105"/>
      <c r="S335" s="105"/>
      <c r="T335" s="105"/>
    </row>
    <row r="336" hidden="1">
      <c r="A336" s="196">
        <v>351.0</v>
      </c>
      <c r="B336" s="225">
        <v>23.0</v>
      </c>
      <c r="C336" s="214" t="s">
        <v>2194</v>
      </c>
      <c r="D336" s="99"/>
      <c r="E336" s="214" t="s">
        <v>2195</v>
      </c>
      <c r="F336" s="99" t="s">
        <v>3100</v>
      </c>
      <c r="G336" s="215"/>
      <c r="H336" s="215" t="str">
        <f>iferror(vlookup(E336,'Kelas XI - X(32)'!$D$11:$H987,3,false),"")</f>
        <v/>
      </c>
      <c r="I336" s="69">
        <f>iferror(vlookup(E336,'Kelas XI - X(32)'!$D$11:$H987,4,false),"")</f>
        <v>7</v>
      </c>
      <c r="J336" s="223">
        <f>iferror(vlookup(E336,MasterClass!$C$2:$G987,5,false),"")</f>
        <v>1</v>
      </c>
      <c r="K336" s="69">
        <f>iferror(vlookup(E336,'Kelas XI - X(32)'!$D$11:$H987,5,false),"")</f>
        <v>0</v>
      </c>
      <c r="L336" s="223">
        <f t="shared" si="41"/>
        <v>1</v>
      </c>
      <c r="M336" s="146">
        <f t="shared" si="42"/>
        <v>0.125</v>
      </c>
      <c r="N336" s="224"/>
      <c r="O336" s="75" t="str">
        <f t="shared" si="45"/>
        <v>B</v>
      </c>
      <c r="P336" s="195"/>
      <c r="Q336" s="105"/>
      <c r="R336" s="105"/>
      <c r="S336" s="105"/>
      <c r="T336" s="105"/>
    </row>
    <row r="337" hidden="1">
      <c r="A337" s="198">
        <v>352.0</v>
      </c>
      <c r="B337" s="225">
        <v>24.0</v>
      </c>
      <c r="C337" s="214" t="s">
        <v>2196</v>
      </c>
      <c r="D337" s="99"/>
      <c r="E337" s="214" t="s">
        <v>2197</v>
      </c>
      <c r="F337" s="99" t="s">
        <v>3100</v>
      </c>
      <c r="G337" s="215"/>
      <c r="H337" s="215" t="str">
        <f>iferror(vlookup(E337,'Kelas XI - X(32)'!$D$11:$H987,3,false),"")</f>
        <v/>
      </c>
      <c r="I337" s="69">
        <f>iferror(vlookup(E337,'Kelas XI - X(32)'!$D$11:$H987,4,false),"")</f>
        <v>6</v>
      </c>
      <c r="J337" s="223">
        <f>iferror(vlookup(E337,MasterClass!$C$2:$G987,5,false),"")</f>
        <v>1</v>
      </c>
      <c r="K337" s="69">
        <f>iferror(vlookup(E337,'Kelas XI - X(32)'!$D$11:$H987,5,false),"")</f>
        <v>6</v>
      </c>
      <c r="L337" s="223">
        <f t="shared" si="41"/>
        <v>7</v>
      </c>
      <c r="M337" s="146">
        <f t="shared" si="42"/>
        <v>1</v>
      </c>
      <c r="N337" s="224"/>
      <c r="O337" s="75" t="str">
        <f t="shared" si="45"/>
        <v>A</v>
      </c>
      <c r="P337" s="195"/>
      <c r="Q337" s="105"/>
      <c r="R337" s="105"/>
      <c r="S337" s="105"/>
      <c r="T337" s="105"/>
    </row>
    <row r="338" hidden="1">
      <c r="A338" s="196">
        <v>353.0</v>
      </c>
      <c r="B338" s="225">
        <v>25.0</v>
      </c>
      <c r="C338" s="214" t="s">
        <v>2198</v>
      </c>
      <c r="D338" s="99"/>
      <c r="E338" s="214" t="s">
        <v>2199</v>
      </c>
      <c r="F338" s="99" t="s">
        <v>3099</v>
      </c>
      <c r="G338" s="215"/>
      <c r="H338" s="215" t="str">
        <f>iferror(vlookup(E338,'Kelas XI - X(32)'!$D$11:$H987,3,false),"")</f>
        <v/>
      </c>
      <c r="I338" s="69">
        <v>1.0</v>
      </c>
      <c r="J338" s="222">
        <v>0.0</v>
      </c>
      <c r="K338" s="69">
        <v>0.0</v>
      </c>
      <c r="L338" s="223">
        <f t="shared" si="41"/>
        <v>0</v>
      </c>
      <c r="M338" s="146">
        <f t="shared" si="42"/>
        <v>0</v>
      </c>
      <c r="N338" s="224"/>
      <c r="O338" s="75" t="str">
        <f t="shared" si="45"/>
        <v>B</v>
      </c>
      <c r="P338" s="195"/>
      <c r="Q338" s="105"/>
      <c r="R338" s="105"/>
      <c r="S338" s="105"/>
      <c r="T338" s="105"/>
    </row>
    <row r="339" hidden="1">
      <c r="A339" s="198">
        <v>354.0</v>
      </c>
      <c r="B339" s="225">
        <v>26.0</v>
      </c>
      <c r="C339" s="214" t="s">
        <v>2200</v>
      </c>
      <c r="D339" s="99"/>
      <c r="E339" s="214" t="s">
        <v>2201</v>
      </c>
      <c r="F339" s="99" t="s">
        <v>3099</v>
      </c>
      <c r="G339" s="215"/>
      <c r="H339" s="215" t="str">
        <f>iferror(vlookup(E339,'Kelas XI - X(32)'!$D$11:$H987,3,false),"")</f>
        <v>Arya</v>
      </c>
      <c r="I339" s="69">
        <f>iferror(vlookup(E339,'Kelas XI - X(32)'!$D$11:$H987,4,false),"")</f>
        <v>5</v>
      </c>
      <c r="J339" s="223">
        <f>iferror(vlookup(E339,MasterClass!$C$2:$G987,5,false),"")</f>
        <v>1</v>
      </c>
      <c r="K339" s="69">
        <f>iferror(vlookup(E339,'Kelas XI - X(32)'!$D$11:$H987,5,false),"")</f>
        <v>4</v>
      </c>
      <c r="L339" s="223">
        <f t="shared" si="41"/>
        <v>5</v>
      </c>
      <c r="M339" s="146">
        <f t="shared" si="42"/>
        <v>0.8333333333</v>
      </c>
      <c r="N339" s="224"/>
      <c r="O339" s="75" t="str">
        <f t="shared" si="45"/>
        <v>A</v>
      </c>
      <c r="P339" s="195"/>
      <c r="Q339" s="105"/>
      <c r="R339" s="105"/>
      <c r="S339" s="105"/>
      <c r="T339" s="105"/>
    </row>
    <row r="340" hidden="1">
      <c r="A340" s="196">
        <v>355.0</v>
      </c>
      <c r="B340" s="225">
        <v>27.0</v>
      </c>
      <c r="C340" s="214" t="s">
        <v>2202</v>
      </c>
      <c r="D340" s="99"/>
      <c r="E340" s="214" t="s">
        <v>2203</v>
      </c>
      <c r="F340" s="99" t="s">
        <v>3099</v>
      </c>
      <c r="G340" s="215"/>
      <c r="H340" s="215" t="str">
        <f>iferror(vlookup(E340,'Kelas XI - X(32)'!$D$11:$H987,3,false),"")</f>
        <v>Arya</v>
      </c>
      <c r="I340" s="69">
        <f>iferror(vlookup(E340,'Kelas XI - X(32)'!$D$11:$H987,4,false),"")</f>
        <v>5</v>
      </c>
      <c r="J340" s="222">
        <v>0.0</v>
      </c>
      <c r="K340" s="69">
        <f>iferror(vlookup(E340,'Kelas XI - X(32)'!$D$11:$H987,5,false),"")</f>
        <v>0</v>
      </c>
      <c r="L340" s="223">
        <f t="shared" si="41"/>
        <v>0</v>
      </c>
      <c r="M340" s="146">
        <f t="shared" si="42"/>
        <v>0</v>
      </c>
      <c r="N340" s="224"/>
      <c r="O340" s="75" t="str">
        <f t="shared" si="45"/>
        <v>B</v>
      </c>
      <c r="P340" s="195"/>
      <c r="Q340" s="105"/>
      <c r="R340" s="105"/>
      <c r="S340" s="105"/>
      <c r="T340" s="105"/>
    </row>
    <row r="341" hidden="1">
      <c r="A341" s="198">
        <v>356.0</v>
      </c>
      <c r="B341" s="225">
        <v>28.0</v>
      </c>
      <c r="C341" s="214" t="s">
        <v>2204</v>
      </c>
      <c r="D341" s="99"/>
      <c r="E341" s="214" t="s">
        <v>2205</v>
      </c>
      <c r="F341" s="214" t="s">
        <v>3100</v>
      </c>
      <c r="G341" s="215"/>
      <c r="H341" s="215" t="str">
        <f>iferror(vlookup(E341,'Kelas XI - X(32)'!$D$11:$H987,3,false),"")</f>
        <v>Ramania</v>
      </c>
      <c r="I341" s="69">
        <f>iferror(vlookup(E341,'Kelas XI - X(32)'!$D$11:$H987,4,false),"")</f>
        <v>10</v>
      </c>
      <c r="J341" s="222">
        <v>0.0</v>
      </c>
      <c r="K341" s="69">
        <f>iferror(vlookup(E341,'Kelas XI - X(32)'!$D$11:$H987,5,false),"")</f>
        <v>6</v>
      </c>
      <c r="L341" s="223">
        <f t="shared" si="41"/>
        <v>6</v>
      </c>
      <c r="M341" s="146">
        <f t="shared" si="42"/>
        <v>0.5454545455</v>
      </c>
      <c r="N341" s="224"/>
      <c r="O341" s="75" t="str">
        <f t="shared" si="45"/>
        <v>A</v>
      </c>
      <c r="P341" s="195"/>
      <c r="Q341" s="105"/>
      <c r="R341" s="105"/>
      <c r="S341" s="105"/>
      <c r="T341" s="105"/>
    </row>
    <row r="342" hidden="1">
      <c r="A342" s="196">
        <v>357.0</v>
      </c>
      <c r="B342" s="225">
        <v>29.0</v>
      </c>
      <c r="C342" s="214" t="s">
        <v>2206</v>
      </c>
      <c r="D342" s="99"/>
      <c r="E342" s="214" t="s">
        <v>2207</v>
      </c>
      <c r="F342" s="99" t="s">
        <v>3100</v>
      </c>
      <c r="G342" s="215"/>
      <c r="H342" s="215" t="str">
        <f>iferror(vlookup(E342,'Kelas XI - X(32)'!$D$11:$H987,3,false),"")</f>
        <v>Iga</v>
      </c>
      <c r="I342" s="69">
        <f>iferror(vlookup(E342,'Kelas XI - X(32)'!$D$11:$H987,4,false),"")</f>
        <v>4</v>
      </c>
      <c r="J342" s="222">
        <v>0.0</v>
      </c>
      <c r="K342" s="69">
        <f>iferror(vlookup(E342,'Kelas XI - X(32)'!$D$11:$H987,5,false),"")</f>
        <v>1</v>
      </c>
      <c r="L342" s="223">
        <f t="shared" si="41"/>
        <v>1</v>
      </c>
      <c r="M342" s="146">
        <f t="shared" si="42"/>
        <v>0.2</v>
      </c>
      <c r="N342" s="224"/>
      <c r="O342" s="75" t="str">
        <f t="shared" si="45"/>
        <v>B</v>
      </c>
      <c r="P342" s="195"/>
      <c r="Q342" s="105"/>
      <c r="R342" s="105"/>
      <c r="S342" s="105"/>
      <c r="T342" s="105"/>
    </row>
    <row r="343" hidden="1">
      <c r="A343" s="198">
        <v>358.0</v>
      </c>
      <c r="B343" s="225">
        <v>30.0</v>
      </c>
      <c r="C343" s="214" t="s">
        <v>2208</v>
      </c>
      <c r="D343" s="99"/>
      <c r="E343" s="214" t="s">
        <v>2209</v>
      </c>
      <c r="F343" s="99" t="s">
        <v>3100</v>
      </c>
      <c r="G343" s="215"/>
      <c r="H343" s="215" t="str">
        <f>iferror(vlookup(E343,'Kelas XI - X(32)'!$D$11:$H987,3,false),"")</f>
        <v>Ramania</v>
      </c>
      <c r="I343" s="69">
        <f>iferror(vlookup(E343,'Kelas XI - X(32)'!$D$11:$H987,4,false),"")</f>
        <v>10</v>
      </c>
      <c r="J343" s="222">
        <v>0.0</v>
      </c>
      <c r="K343" s="69">
        <f>iferror(vlookup(E343,'Kelas XI - X(32)'!$D$11:$H987,5,false),"")</f>
        <v>4</v>
      </c>
      <c r="L343" s="223">
        <f t="shared" si="41"/>
        <v>4</v>
      </c>
      <c r="M343" s="146">
        <f t="shared" si="42"/>
        <v>0.3636363636</v>
      </c>
      <c r="N343" s="224"/>
      <c r="O343" s="75" t="str">
        <f t="shared" si="45"/>
        <v>B</v>
      </c>
      <c r="P343" s="195"/>
      <c r="Q343" s="105"/>
      <c r="R343" s="105"/>
      <c r="S343" s="105"/>
      <c r="T343" s="105"/>
    </row>
    <row r="344" hidden="1">
      <c r="A344" s="196">
        <v>359.0</v>
      </c>
      <c r="B344" s="225">
        <v>31.0</v>
      </c>
      <c r="C344" s="214" t="s">
        <v>2210</v>
      </c>
      <c r="D344" s="99"/>
      <c r="E344" s="214" t="s">
        <v>2211</v>
      </c>
      <c r="F344" s="99" t="s">
        <v>3100</v>
      </c>
      <c r="G344" s="215"/>
      <c r="H344" s="215" t="str">
        <f>iferror(vlookup(E344,'Kelas XI - X(32)'!$D$11:$H987,3,false),"")</f>
        <v/>
      </c>
      <c r="I344" s="69">
        <f>iferror(vlookup(E344,'Kelas XI - X(32)'!$D$11:$H987,4,false),"")</f>
        <v>7</v>
      </c>
      <c r="J344" s="222">
        <v>0.0</v>
      </c>
      <c r="K344" s="69">
        <f>iferror(vlookup(E344,'Kelas XI - X(32)'!$D$11:$H987,5,false),"")</f>
        <v>1</v>
      </c>
      <c r="L344" s="223">
        <f t="shared" si="41"/>
        <v>1</v>
      </c>
      <c r="M344" s="146">
        <f t="shared" si="42"/>
        <v>0.125</v>
      </c>
      <c r="N344" s="224"/>
      <c r="O344" s="75" t="str">
        <f t="shared" si="45"/>
        <v>B</v>
      </c>
      <c r="P344" s="195"/>
      <c r="Q344" s="105"/>
      <c r="R344" s="105"/>
      <c r="S344" s="105"/>
      <c r="T344" s="105"/>
    </row>
    <row r="345" hidden="1">
      <c r="A345" s="198">
        <v>360.0</v>
      </c>
      <c r="B345" s="225">
        <v>32.0</v>
      </c>
      <c r="C345" s="214" t="s">
        <v>2212</v>
      </c>
      <c r="D345" s="99"/>
      <c r="E345" s="214" t="s">
        <v>2213</v>
      </c>
      <c r="F345" s="99" t="s">
        <v>3100</v>
      </c>
      <c r="G345" s="215"/>
      <c r="H345" s="215" t="str">
        <f>iferror(vlookup(E345,'Kelas XI - X(32)'!$D$11:$H987,3,false),"")</f>
        <v/>
      </c>
      <c r="I345" s="69">
        <f>iferror(vlookup(E345,'Kelas XI - X(32)'!$D$11:$H987,4,false),"")</f>
        <v>6</v>
      </c>
      <c r="J345" s="223">
        <f>iferror(vlookup(E345,MasterClass!$C$2:$G987,5,false),"")</f>
        <v>1</v>
      </c>
      <c r="K345" s="69">
        <f>iferror(vlookup(E345,'Kelas XI - X(32)'!$D$11:$H987,5,false),"")</f>
        <v>2</v>
      </c>
      <c r="L345" s="223">
        <f t="shared" si="41"/>
        <v>3</v>
      </c>
      <c r="M345" s="146">
        <f t="shared" si="42"/>
        <v>0.4285714286</v>
      </c>
      <c r="N345" s="224"/>
      <c r="O345" s="75" t="str">
        <f t="shared" si="45"/>
        <v>B</v>
      </c>
      <c r="P345" s="195"/>
      <c r="Q345" s="105"/>
      <c r="R345" s="105"/>
      <c r="S345" s="105"/>
      <c r="T345" s="105"/>
    </row>
    <row r="346" hidden="1">
      <c r="A346" s="196">
        <v>361.0</v>
      </c>
      <c r="B346" s="225">
        <v>33.0</v>
      </c>
      <c r="C346" s="214" t="s">
        <v>2214</v>
      </c>
      <c r="D346" s="99"/>
      <c r="E346" s="214" t="s">
        <v>2215</v>
      </c>
      <c r="F346" s="99" t="s">
        <v>3100</v>
      </c>
      <c r="G346" s="215"/>
      <c r="H346" s="215" t="str">
        <f>iferror(vlookup(E346,'Kelas XI - X(32)'!$D$11:$H987,3,false),"")</f>
        <v/>
      </c>
      <c r="I346" s="69">
        <v>1.0</v>
      </c>
      <c r="J346" s="222">
        <v>0.0</v>
      </c>
      <c r="K346" s="69">
        <v>0.0</v>
      </c>
      <c r="L346" s="223">
        <f t="shared" si="41"/>
        <v>0</v>
      </c>
      <c r="M346" s="146">
        <f t="shared" si="42"/>
        <v>0</v>
      </c>
      <c r="N346" s="224"/>
      <c r="O346" s="75" t="str">
        <f t="shared" si="45"/>
        <v>B</v>
      </c>
      <c r="P346" s="195"/>
      <c r="Q346" s="105"/>
      <c r="R346" s="105"/>
      <c r="S346" s="105"/>
      <c r="T346" s="105"/>
    </row>
    <row r="347" hidden="1">
      <c r="A347" s="198">
        <v>362.0</v>
      </c>
      <c r="B347" s="225">
        <v>34.0</v>
      </c>
      <c r="C347" s="214" t="s">
        <v>2216</v>
      </c>
      <c r="D347" s="99"/>
      <c r="E347" s="214" t="s">
        <v>2217</v>
      </c>
      <c r="F347" s="99" t="s">
        <v>3099</v>
      </c>
      <c r="G347" s="215"/>
      <c r="H347" s="215" t="str">
        <f>iferror(vlookup(E347,'Kelas XI - X(32)'!$D$11:$H987,3,false),"")</f>
        <v/>
      </c>
      <c r="I347" s="69">
        <f>iferror(vlookup(E347,'Kelas XI - X(32)'!$D$11:$H987,4,false),"")</f>
        <v>4</v>
      </c>
      <c r="J347" s="223">
        <f>iferror(vlookup(E347,MasterClass!$C$2:$G987,5,false),"")</f>
        <v>1</v>
      </c>
      <c r="K347" s="69">
        <v>0.0</v>
      </c>
      <c r="L347" s="223">
        <f t="shared" si="41"/>
        <v>1</v>
      </c>
      <c r="M347" s="146">
        <f t="shared" si="42"/>
        <v>0.2</v>
      </c>
      <c r="N347" s="224"/>
      <c r="O347" s="75" t="str">
        <f t="shared" si="45"/>
        <v>B</v>
      </c>
      <c r="P347" s="195"/>
      <c r="Q347" s="105"/>
      <c r="R347" s="105"/>
      <c r="S347" s="105"/>
      <c r="T347" s="105"/>
    </row>
    <row r="348" hidden="1">
      <c r="A348" s="196">
        <v>363.0</v>
      </c>
      <c r="B348" s="225">
        <v>35.0</v>
      </c>
      <c r="C348" s="214" t="s">
        <v>2218</v>
      </c>
      <c r="D348" s="120"/>
      <c r="E348" s="214" t="s">
        <v>2219</v>
      </c>
      <c r="F348" s="99" t="s">
        <v>3100</v>
      </c>
      <c r="G348" s="215"/>
      <c r="H348" s="215" t="str">
        <f>iferror(vlookup(E348,'Kelas XI - X(32)'!$D$11:$H987,3,false),"")</f>
        <v>Ramania</v>
      </c>
      <c r="I348" s="69">
        <f>iferror(vlookup(E348,'Kelas XI - X(32)'!$D$11:$H987,4,false),"")</f>
        <v>10</v>
      </c>
      <c r="J348" s="223">
        <f>iferror(vlookup(E348,MasterClass!$C$2:$G987,5,false),"")</f>
        <v>1</v>
      </c>
      <c r="K348" s="69">
        <f>iferror(vlookup(E348,'Kelas XI - X(32)'!$D$11:$H987,5,false),"")</f>
        <v>5</v>
      </c>
      <c r="L348" s="223">
        <f t="shared" si="41"/>
        <v>6</v>
      </c>
      <c r="M348" s="146">
        <f t="shared" si="42"/>
        <v>0.5454545455</v>
      </c>
      <c r="N348" s="224"/>
      <c r="O348" s="75" t="str">
        <f t="shared" si="45"/>
        <v>A</v>
      </c>
      <c r="P348" s="195"/>
      <c r="Q348" s="105"/>
      <c r="R348" s="105"/>
      <c r="S348" s="105"/>
      <c r="T348" s="105"/>
    </row>
    <row r="349" hidden="1">
      <c r="A349" s="198">
        <v>364.0</v>
      </c>
      <c r="B349" s="225">
        <v>36.0</v>
      </c>
      <c r="C349" s="214" t="s">
        <v>2220</v>
      </c>
      <c r="D349" s="99"/>
      <c r="E349" s="214" t="s">
        <v>2221</v>
      </c>
      <c r="F349" s="99" t="s">
        <v>3100</v>
      </c>
      <c r="G349" s="215"/>
      <c r="H349" s="215"/>
      <c r="I349" s="69">
        <v>8.0</v>
      </c>
      <c r="J349" s="261">
        <v>0.0</v>
      </c>
      <c r="K349" s="69">
        <v>8.0</v>
      </c>
      <c r="L349" s="223">
        <f t="shared" si="41"/>
        <v>8</v>
      </c>
      <c r="M349" s="146">
        <f t="shared" si="42"/>
        <v>0.8888888889</v>
      </c>
      <c r="N349" s="236" t="s">
        <v>3106</v>
      </c>
      <c r="O349" s="69" t="s">
        <v>1163</v>
      </c>
      <c r="P349" s="195"/>
      <c r="Q349" s="105"/>
      <c r="R349" s="105"/>
      <c r="S349" s="105"/>
      <c r="T349" s="105"/>
    </row>
    <row r="350" hidden="1">
      <c r="A350" s="196">
        <v>365.0</v>
      </c>
      <c r="B350" s="227"/>
      <c r="C350" s="214"/>
      <c r="D350" s="228"/>
      <c r="E350" s="214"/>
      <c r="F350" s="228"/>
      <c r="G350" s="228"/>
      <c r="H350" s="228"/>
      <c r="I350" s="229"/>
      <c r="J350" s="229"/>
      <c r="K350" s="229"/>
      <c r="L350" s="229"/>
      <c r="M350" s="229"/>
      <c r="N350" s="228"/>
      <c r="O350" s="229"/>
      <c r="P350" s="195"/>
      <c r="Q350" s="105"/>
      <c r="R350" s="105"/>
      <c r="S350" s="105"/>
      <c r="T350" s="105"/>
    </row>
    <row r="351" hidden="1">
      <c r="A351" s="198">
        <v>366.0</v>
      </c>
      <c r="B351" s="227"/>
      <c r="C351" s="214"/>
      <c r="D351" s="228"/>
      <c r="E351" s="214"/>
      <c r="F351" s="228"/>
      <c r="G351" s="228"/>
      <c r="H351" s="228"/>
      <c r="I351" s="229"/>
      <c r="J351" s="229"/>
      <c r="K351" s="229"/>
      <c r="L351" s="229"/>
      <c r="M351" s="229"/>
      <c r="N351" s="230"/>
      <c r="O351" s="231"/>
      <c r="P351" s="195"/>
      <c r="Q351" s="105"/>
      <c r="R351" s="105"/>
      <c r="S351" s="105"/>
      <c r="T351" s="105"/>
    </row>
    <row r="352" hidden="1">
      <c r="A352" s="196">
        <v>367.0</v>
      </c>
      <c r="B352" s="227"/>
      <c r="C352" s="214"/>
      <c r="D352" s="228"/>
      <c r="E352" s="214"/>
      <c r="F352" s="228"/>
      <c r="G352" s="228"/>
      <c r="H352" s="228"/>
      <c r="I352" s="229"/>
      <c r="J352" s="229"/>
      <c r="K352" s="229"/>
      <c r="L352" s="229"/>
      <c r="M352" s="229"/>
      <c r="N352" s="230"/>
      <c r="O352" s="231"/>
      <c r="P352" s="195"/>
      <c r="Q352" s="105"/>
      <c r="R352" s="105"/>
      <c r="S352" s="105"/>
      <c r="T352" s="105"/>
    </row>
    <row r="353" hidden="1">
      <c r="A353" s="198">
        <v>368.0</v>
      </c>
      <c r="B353" s="249"/>
      <c r="C353" s="241"/>
      <c r="D353" s="241"/>
      <c r="E353" s="241"/>
      <c r="F353" s="241"/>
      <c r="G353" s="241"/>
      <c r="H353" s="241"/>
      <c r="I353" s="242"/>
      <c r="J353" s="242"/>
      <c r="K353" s="242"/>
      <c r="L353" s="242"/>
      <c r="M353" s="242"/>
      <c r="N353" s="241"/>
      <c r="O353" s="242"/>
      <c r="P353" s="195"/>
      <c r="Q353" s="105"/>
      <c r="R353" s="105"/>
      <c r="S353" s="105"/>
      <c r="T353" s="105"/>
    </row>
    <row r="354">
      <c r="A354" s="196">
        <v>371.0</v>
      </c>
      <c r="B354" s="243" t="s">
        <v>2222</v>
      </c>
      <c r="C354" s="9"/>
      <c r="D354" s="9"/>
      <c r="E354" s="10"/>
      <c r="F354" s="244"/>
      <c r="G354" s="244"/>
      <c r="H354" s="244"/>
      <c r="I354" s="245"/>
      <c r="J354" s="245"/>
      <c r="K354" s="245"/>
      <c r="L354" s="245"/>
      <c r="M354" s="245"/>
      <c r="N354" s="244"/>
      <c r="O354" s="245"/>
      <c r="P354" s="195"/>
      <c r="Q354" s="105"/>
      <c r="R354" s="105"/>
      <c r="S354" s="105"/>
      <c r="T354" s="105"/>
    </row>
    <row r="355" hidden="1">
      <c r="A355" s="198">
        <v>372.0</v>
      </c>
      <c r="B355" s="250" t="s">
        <v>2223</v>
      </c>
      <c r="C355" s="9"/>
      <c r="D355" s="9"/>
      <c r="E355" s="10"/>
      <c r="F355" s="251"/>
      <c r="G355" s="251"/>
      <c r="H355" s="251"/>
      <c r="I355" s="252"/>
      <c r="J355" s="252"/>
      <c r="K355" s="252"/>
      <c r="L355" s="252"/>
      <c r="M355" s="252"/>
      <c r="N355" s="251"/>
      <c r="O355" s="252"/>
      <c r="P355" s="195"/>
      <c r="Q355" s="105"/>
      <c r="R355" s="105"/>
      <c r="S355" s="105"/>
      <c r="T355" s="105"/>
    </row>
    <row r="356" hidden="1">
      <c r="A356" s="196">
        <v>373.0</v>
      </c>
      <c r="B356" s="253" t="s">
        <v>1735</v>
      </c>
      <c r="C356" s="253" t="s">
        <v>1736</v>
      </c>
      <c r="D356" s="253" t="s">
        <v>1737</v>
      </c>
      <c r="E356" s="253" t="s">
        <v>1738</v>
      </c>
      <c r="F356" s="254" t="s">
        <v>1815</v>
      </c>
      <c r="G356" s="255"/>
      <c r="H356" s="255"/>
      <c r="I356" s="256" t="s">
        <v>3097</v>
      </c>
      <c r="J356" s="9"/>
      <c r="K356" s="9"/>
      <c r="L356" s="9"/>
      <c r="M356" s="9"/>
      <c r="N356" s="9"/>
      <c r="O356" s="10"/>
      <c r="P356" s="195"/>
      <c r="Q356" s="105"/>
      <c r="R356" s="105"/>
      <c r="S356" s="105"/>
      <c r="T356" s="105"/>
    </row>
    <row r="357" hidden="1">
      <c r="A357" s="198">
        <v>374.0</v>
      </c>
      <c r="B357" s="253"/>
      <c r="C357" s="253"/>
      <c r="D357" s="253"/>
      <c r="E357" s="253"/>
      <c r="F357" s="262"/>
      <c r="G357" s="263"/>
      <c r="H357" s="263" t="s">
        <v>2483</v>
      </c>
      <c r="I357" s="144" t="s">
        <v>3094</v>
      </c>
      <c r="J357" s="264" t="s">
        <v>3095</v>
      </c>
      <c r="K357" s="265" t="s">
        <v>3096</v>
      </c>
      <c r="L357" s="264" t="s">
        <v>3098</v>
      </c>
      <c r="M357" s="266" t="s">
        <v>18</v>
      </c>
      <c r="N357" s="143" t="s">
        <v>2491</v>
      </c>
      <c r="O357" s="267" t="s">
        <v>19</v>
      </c>
      <c r="P357" s="195"/>
      <c r="Q357" s="105"/>
      <c r="R357" s="105"/>
      <c r="S357" s="105"/>
      <c r="T357" s="105"/>
    </row>
    <row r="358" hidden="1">
      <c r="A358" s="196">
        <v>375.0</v>
      </c>
      <c r="B358" s="225">
        <v>1.0</v>
      </c>
      <c r="C358" s="214">
        <v>9.3390743E7</v>
      </c>
      <c r="D358" s="214">
        <v>2.42510006E8</v>
      </c>
      <c r="E358" s="214" t="s">
        <v>2224</v>
      </c>
      <c r="F358" s="99" t="s">
        <v>3099</v>
      </c>
      <c r="G358" s="215"/>
      <c r="H358" s="215" t="str">
        <f>iferror(vlookup(E358,'Kelas XI - X(32)'!$D$11:$H987,3,false),"")</f>
        <v>Amel</v>
      </c>
      <c r="I358" s="69">
        <v>1.0</v>
      </c>
      <c r="J358" s="222">
        <v>0.0</v>
      </c>
      <c r="K358" s="69">
        <v>0.0</v>
      </c>
      <c r="L358" s="223">
        <f t="shared" ref="L358:L393" si="46">K358+J358</f>
        <v>0</v>
      </c>
      <c r="M358" s="146">
        <f t="shared" ref="M358:M393" si="47">(K358+J358)/(I358+1)</f>
        <v>0</v>
      </c>
      <c r="N358" s="224"/>
      <c r="O358" s="75" t="str">
        <f t="shared" ref="O358:O366" si="48">IF(M358&gt;=50%,"A","B")</f>
        <v>B</v>
      </c>
      <c r="P358" s="195"/>
      <c r="Q358" s="105"/>
      <c r="R358" s="105"/>
      <c r="S358" s="105"/>
      <c r="T358" s="105"/>
    </row>
    <row r="359" hidden="1">
      <c r="A359" s="198">
        <v>376.0</v>
      </c>
      <c r="B359" s="225">
        <v>2.0</v>
      </c>
      <c r="C359" s="214">
        <v>9.9505768E7</v>
      </c>
      <c r="D359" s="214">
        <v>2.42510022E8</v>
      </c>
      <c r="E359" s="214" t="s">
        <v>2225</v>
      </c>
      <c r="F359" s="99" t="s">
        <v>3099</v>
      </c>
      <c r="G359" s="215"/>
      <c r="H359" s="215" t="str">
        <f>iferror(vlookup(E359,'Kelas XI - X(32)'!$D$11:$H987,3,false),"")</f>
        <v>Taufik</v>
      </c>
      <c r="I359" s="69">
        <f>iferror(vlookup(E359,'Kelas XI - X(32)'!$D$11:$H987,4,false),"")</f>
        <v>7</v>
      </c>
      <c r="J359" s="222">
        <v>0.0</v>
      </c>
      <c r="K359" s="69">
        <v>0.0</v>
      </c>
      <c r="L359" s="223">
        <f t="shared" si="46"/>
        <v>0</v>
      </c>
      <c r="M359" s="146">
        <f t="shared" si="47"/>
        <v>0</v>
      </c>
      <c r="N359" s="224"/>
      <c r="O359" s="75" t="str">
        <f t="shared" si="48"/>
        <v>B</v>
      </c>
      <c r="P359" s="195"/>
      <c r="Q359" s="105"/>
      <c r="R359" s="105"/>
      <c r="S359" s="105"/>
      <c r="T359" s="105"/>
    </row>
    <row r="360" hidden="1">
      <c r="A360" s="196">
        <v>377.0</v>
      </c>
      <c r="B360" s="225">
        <v>3.0</v>
      </c>
      <c r="C360" s="214">
        <v>9.380109E7</v>
      </c>
      <c r="D360" s="214">
        <v>2.42510035E8</v>
      </c>
      <c r="E360" s="214" t="s">
        <v>2226</v>
      </c>
      <c r="F360" s="99" t="s">
        <v>3100</v>
      </c>
      <c r="G360" s="215"/>
      <c r="H360" s="215" t="str">
        <f>iferror(vlookup(E360,'Kelas XI - X(32)'!$D$11:$H987,3,false),"")</f>
        <v/>
      </c>
      <c r="I360" s="69">
        <v>1.0</v>
      </c>
      <c r="J360" s="222">
        <v>0.0</v>
      </c>
      <c r="K360" s="69">
        <v>0.0</v>
      </c>
      <c r="L360" s="223">
        <f t="shared" si="46"/>
        <v>0</v>
      </c>
      <c r="M360" s="146">
        <f t="shared" si="47"/>
        <v>0</v>
      </c>
      <c r="N360" s="224"/>
      <c r="O360" s="75" t="str">
        <f t="shared" si="48"/>
        <v>B</v>
      </c>
      <c r="P360" s="195"/>
      <c r="Q360" s="105"/>
      <c r="R360" s="105"/>
      <c r="S360" s="105"/>
      <c r="T360" s="105"/>
    </row>
    <row r="361" hidden="1">
      <c r="A361" s="198">
        <v>378.0</v>
      </c>
      <c r="B361" s="225">
        <v>4.0</v>
      </c>
      <c r="C361" s="214">
        <v>9.7959305E7</v>
      </c>
      <c r="D361" s="214">
        <v>2.42510047E8</v>
      </c>
      <c r="E361" s="214" t="s">
        <v>2227</v>
      </c>
      <c r="F361" s="99" t="s">
        <v>3100</v>
      </c>
      <c r="G361" s="215"/>
      <c r="H361" s="215" t="str">
        <f>iferror(vlookup(E361,'Kelas XI - X(32)'!$D$11:$H987,3,false),"")</f>
        <v/>
      </c>
      <c r="I361" s="69">
        <f>iferror(vlookup(E361,'Kelas XI - X(32)'!$D$11:$H987,4,false),"")</f>
        <v>6</v>
      </c>
      <c r="J361" s="222">
        <v>0.0</v>
      </c>
      <c r="K361" s="69">
        <v>2.0</v>
      </c>
      <c r="L361" s="223">
        <f t="shared" si="46"/>
        <v>2</v>
      </c>
      <c r="M361" s="146">
        <f t="shared" si="47"/>
        <v>0.2857142857</v>
      </c>
      <c r="N361" s="224"/>
      <c r="O361" s="75" t="str">
        <f t="shared" si="48"/>
        <v>B</v>
      </c>
      <c r="P361" s="195"/>
      <c r="Q361" s="105"/>
      <c r="R361" s="105"/>
      <c r="S361" s="105"/>
      <c r="T361" s="105"/>
    </row>
    <row r="362" hidden="1">
      <c r="A362" s="196">
        <v>379.0</v>
      </c>
      <c r="B362" s="225">
        <v>5.0</v>
      </c>
      <c r="C362" s="214">
        <v>8.4789093E7</v>
      </c>
      <c r="D362" s="214">
        <v>2.42510051E8</v>
      </c>
      <c r="E362" s="214" t="s">
        <v>2228</v>
      </c>
      <c r="F362" s="99" t="s">
        <v>3099</v>
      </c>
      <c r="G362" s="215"/>
      <c r="H362" s="215" t="str">
        <f>iferror(vlookup(E362,'Kelas XI - X(32)'!$D$11:$H987,3,false),"")</f>
        <v/>
      </c>
      <c r="I362" s="69">
        <v>1.0</v>
      </c>
      <c r="J362" s="222">
        <v>0.0</v>
      </c>
      <c r="K362" s="69">
        <v>0.0</v>
      </c>
      <c r="L362" s="223">
        <f t="shared" si="46"/>
        <v>0</v>
      </c>
      <c r="M362" s="146">
        <f t="shared" si="47"/>
        <v>0</v>
      </c>
      <c r="N362" s="224"/>
      <c r="O362" s="75" t="str">
        <f t="shared" si="48"/>
        <v>B</v>
      </c>
      <c r="P362" s="195"/>
      <c r="Q362" s="105"/>
      <c r="R362" s="105"/>
      <c r="S362" s="105"/>
      <c r="T362" s="105"/>
    </row>
    <row r="363" hidden="1">
      <c r="A363" s="198">
        <v>380.0</v>
      </c>
      <c r="B363" s="225">
        <v>6.0</v>
      </c>
      <c r="C363" s="214">
        <v>2.081404817E9</v>
      </c>
      <c r="D363" s="214">
        <v>2.42510059E8</v>
      </c>
      <c r="E363" s="214" t="s">
        <v>2229</v>
      </c>
      <c r="F363" s="99" t="s">
        <v>3099</v>
      </c>
      <c r="G363" s="215"/>
      <c r="H363" s="215" t="str">
        <f>iferror(vlookup(E363,'Kelas XI - X(32)'!$D$11:$H987,3,false),"")</f>
        <v/>
      </c>
      <c r="I363" s="69">
        <f>iferror(vlookup(E363,'Kelas XI - X(32)'!$D$11:$H987,4,false),"")</f>
        <v>7</v>
      </c>
      <c r="J363" s="223">
        <f>iferror(vlookup(E363,MasterClass!$C$2:$G987,5,false),"")</f>
        <v>1</v>
      </c>
      <c r="K363" s="69">
        <f>iferror(vlookup(E363,'Kelas XI - X(32)'!$D$11:$H987,5,false),"")</f>
        <v>1</v>
      </c>
      <c r="L363" s="223">
        <f t="shared" si="46"/>
        <v>2</v>
      </c>
      <c r="M363" s="146">
        <f t="shared" si="47"/>
        <v>0.25</v>
      </c>
      <c r="N363" s="224"/>
      <c r="O363" s="75" t="str">
        <f t="shared" si="48"/>
        <v>B</v>
      </c>
      <c r="P363" s="195"/>
      <c r="Q363" s="105"/>
      <c r="R363" s="105"/>
      <c r="S363" s="105"/>
      <c r="T363" s="105"/>
    </row>
    <row r="364" hidden="1">
      <c r="A364" s="196">
        <v>381.0</v>
      </c>
      <c r="B364" s="225">
        <v>7.0</v>
      </c>
      <c r="C364" s="214">
        <v>9.8812831E7</v>
      </c>
      <c r="D364" s="214">
        <v>2.42510083E8</v>
      </c>
      <c r="E364" s="214" t="s">
        <v>2230</v>
      </c>
      <c r="F364" s="99" t="s">
        <v>3099</v>
      </c>
      <c r="G364" s="215"/>
      <c r="H364" s="215" t="str">
        <f>iferror(vlookup(E364,'Kelas XI - X(32)'!$D$11:$H987,3,false),"")</f>
        <v>Arya</v>
      </c>
      <c r="I364" s="69">
        <f>iferror(vlookup(E364,'Kelas XI - X(32)'!$D$11:$H987,4,false),"")</f>
        <v>5</v>
      </c>
      <c r="J364" s="222">
        <v>0.0</v>
      </c>
      <c r="K364" s="69">
        <f>iferror(vlookup(E364,'Kelas XI - X(32)'!$D$11:$H987,5,false),"")</f>
        <v>1</v>
      </c>
      <c r="L364" s="223">
        <f t="shared" si="46"/>
        <v>1</v>
      </c>
      <c r="M364" s="146">
        <f t="shared" si="47"/>
        <v>0.1666666667</v>
      </c>
      <c r="N364" s="224"/>
      <c r="O364" s="75" t="str">
        <f t="shared" si="48"/>
        <v>B</v>
      </c>
      <c r="P364" s="195"/>
      <c r="Q364" s="105"/>
      <c r="R364" s="105"/>
      <c r="S364" s="105"/>
      <c r="T364" s="105"/>
    </row>
    <row r="365" hidden="1">
      <c r="A365" s="198">
        <v>382.0</v>
      </c>
      <c r="B365" s="225">
        <v>8.0</v>
      </c>
      <c r="C365" s="214">
        <v>8.3352872E7</v>
      </c>
      <c r="D365" s="214">
        <v>2.42510098E8</v>
      </c>
      <c r="E365" s="214" t="s">
        <v>2231</v>
      </c>
      <c r="F365" s="99" t="s">
        <v>3100</v>
      </c>
      <c r="G365" s="215"/>
      <c r="H365" s="215" t="str">
        <f>iferror(vlookup(E365,'Kelas XI - X(32)'!$D$11:$H987,3,false),"")</f>
        <v/>
      </c>
      <c r="I365" s="69">
        <f>iferror(vlookup(E365,'Kelas XI - X(32)'!$D$11:$H987,4,false),"")</f>
        <v>4</v>
      </c>
      <c r="J365" s="222">
        <v>0.0</v>
      </c>
      <c r="K365" s="69">
        <f>iferror(vlookup(E365,'Kelas XI - X(32)'!$D$11:$H987,5,false),"")</f>
        <v>2</v>
      </c>
      <c r="L365" s="223">
        <f t="shared" si="46"/>
        <v>2</v>
      </c>
      <c r="M365" s="146">
        <f t="shared" si="47"/>
        <v>0.4</v>
      </c>
      <c r="N365" s="224"/>
      <c r="O365" s="75" t="str">
        <f t="shared" si="48"/>
        <v>B</v>
      </c>
      <c r="P365" s="195"/>
      <c r="Q365" s="105"/>
      <c r="R365" s="105"/>
      <c r="S365" s="105"/>
      <c r="T365" s="105"/>
    </row>
    <row r="366" hidden="1">
      <c r="A366" s="196">
        <v>383.0</v>
      </c>
      <c r="B366" s="225">
        <v>9.0</v>
      </c>
      <c r="C366" s="214">
        <v>8.6078004E7</v>
      </c>
      <c r="D366" s="214">
        <v>2.42510103E8</v>
      </c>
      <c r="E366" s="214" t="s">
        <v>2232</v>
      </c>
      <c r="F366" s="99" t="s">
        <v>3099</v>
      </c>
      <c r="G366" s="215"/>
      <c r="H366" s="215" t="str">
        <f>iferror(vlookup(E366,'Kelas XI - X(32)'!$D$11:$H987,3,false),"")</f>
        <v>Rafli</v>
      </c>
      <c r="I366" s="69">
        <f>iferror(vlookup(E366,'Kelas XI - X(32)'!$D$11:$H987,4,false),"")</f>
        <v>4</v>
      </c>
      <c r="J366" s="223">
        <f>iferror(vlookup(E366,MasterClass!$C$2:$G987,5,false),"")</f>
        <v>1</v>
      </c>
      <c r="K366" s="69">
        <v>0.0</v>
      </c>
      <c r="L366" s="223">
        <f t="shared" si="46"/>
        <v>1</v>
      </c>
      <c r="M366" s="146">
        <f t="shared" si="47"/>
        <v>0.2</v>
      </c>
      <c r="N366" s="224"/>
      <c r="O366" s="75" t="str">
        <f t="shared" si="48"/>
        <v>B</v>
      </c>
      <c r="P366" s="195"/>
      <c r="Q366" s="105"/>
      <c r="R366" s="105"/>
      <c r="S366" s="105"/>
      <c r="T366" s="105"/>
    </row>
    <row r="367" hidden="1">
      <c r="A367" s="198">
        <v>384.0</v>
      </c>
      <c r="B367" s="234">
        <v>10.0</v>
      </c>
      <c r="C367" s="104">
        <v>9.8775856E7</v>
      </c>
      <c r="D367" s="104">
        <v>2.42510123E8</v>
      </c>
      <c r="E367" s="104" t="s">
        <v>2233</v>
      </c>
      <c r="F367" s="246" t="s">
        <v>3099</v>
      </c>
      <c r="G367" s="235"/>
      <c r="H367" s="235" t="str">
        <f>iferror(vlookup(E367,'Kelas XI - X(32)'!$D$11:$H987,3,false),"")</f>
        <v/>
      </c>
      <c r="I367" s="150">
        <v>1.0</v>
      </c>
      <c r="J367" s="216">
        <v>0.0</v>
      </c>
      <c r="K367" s="150">
        <v>0.0</v>
      </c>
      <c r="L367" s="217">
        <f t="shared" si="46"/>
        <v>0</v>
      </c>
      <c r="M367" s="218">
        <f t="shared" si="47"/>
        <v>0</v>
      </c>
      <c r="N367" s="257" t="s">
        <v>3106</v>
      </c>
      <c r="O367" s="69" t="s">
        <v>1163</v>
      </c>
      <c r="P367" s="195"/>
      <c r="Q367" s="105"/>
      <c r="R367" s="105"/>
      <c r="S367" s="105"/>
      <c r="T367" s="105"/>
    </row>
    <row r="368" hidden="1">
      <c r="A368" s="196">
        <v>385.0</v>
      </c>
      <c r="B368" s="234">
        <v>11.0</v>
      </c>
      <c r="C368" s="104">
        <v>9.3969715E7</v>
      </c>
      <c r="D368" s="104">
        <v>2.42510128E8</v>
      </c>
      <c r="E368" s="104" t="s">
        <v>2234</v>
      </c>
      <c r="F368" s="246" t="s">
        <v>3099</v>
      </c>
      <c r="G368" s="235"/>
      <c r="H368" s="235" t="str">
        <f>iferror(vlookup(E368,'Kelas XI - X(32)'!$D$11:$H987,3,false),"")</f>
        <v/>
      </c>
      <c r="I368" s="150">
        <f>iferror(vlookup(E368,'Kelas XI - X(32)'!$D$11:$H987,4,false),"")</f>
        <v>4</v>
      </c>
      <c r="J368" s="216">
        <v>0.0</v>
      </c>
      <c r="K368" s="150">
        <v>0.0</v>
      </c>
      <c r="L368" s="217">
        <f t="shared" si="46"/>
        <v>0</v>
      </c>
      <c r="M368" s="218">
        <f t="shared" si="47"/>
        <v>0</v>
      </c>
      <c r="N368" s="219"/>
      <c r="O368" s="75" t="str">
        <f t="shared" ref="O368:O382" si="49">IF(M368&gt;=50%,"A","B")</f>
        <v>B</v>
      </c>
      <c r="P368" s="195"/>
      <c r="Q368" s="105"/>
      <c r="R368" s="105"/>
      <c r="S368" s="105"/>
      <c r="T368" s="105"/>
    </row>
    <row r="369" hidden="1">
      <c r="A369" s="198">
        <v>386.0</v>
      </c>
      <c r="B369" s="234">
        <v>12.0</v>
      </c>
      <c r="C369" s="104">
        <v>9.7062478E7</v>
      </c>
      <c r="D369" s="104">
        <v>2.42510175E8</v>
      </c>
      <c r="E369" s="104" t="s">
        <v>2235</v>
      </c>
      <c r="F369" s="246" t="s">
        <v>3099</v>
      </c>
      <c r="G369" s="235"/>
      <c r="H369" s="235" t="str">
        <f>iferror(vlookup(E369,'Kelas XI - X(32)'!$D$11:$H987,3,false),"")</f>
        <v>Rafli</v>
      </c>
      <c r="I369" s="150">
        <f>iferror(vlookup(E369,'Kelas XI - X(32)'!$D$11:$H987,4,false),"")</f>
        <v>4</v>
      </c>
      <c r="J369" s="216">
        <v>0.0</v>
      </c>
      <c r="K369" s="150">
        <v>0.0</v>
      </c>
      <c r="L369" s="217">
        <f t="shared" si="46"/>
        <v>0</v>
      </c>
      <c r="M369" s="218">
        <f t="shared" si="47"/>
        <v>0</v>
      </c>
      <c r="N369" s="219"/>
      <c r="O369" s="75" t="str">
        <f t="shared" si="49"/>
        <v>B</v>
      </c>
      <c r="P369" s="195"/>
      <c r="Q369" s="105"/>
      <c r="R369" s="105"/>
      <c r="S369" s="105"/>
      <c r="T369" s="105"/>
    </row>
    <row r="370" hidden="1">
      <c r="A370" s="196">
        <v>387.0</v>
      </c>
      <c r="B370" s="234">
        <v>13.0</v>
      </c>
      <c r="C370" s="104">
        <v>8.2185766E7</v>
      </c>
      <c r="D370" s="104">
        <v>2.42510181E8</v>
      </c>
      <c r="E370" s="104" t="s">
        <v>2236</v>
      </c>
      <c r="F370" s="246" t="s">
        <v>3100</v>
      </c>
      <c r="G370" s="235"/>
      <c r="H370" s="235" t="str">
        <f>iferror(vlookup(E370,'Kelas XI - X(32)'!$D$11:$H987,3,false),"")</f>
        <v>-</v>
      </c>
      <c r="I370" s="150">
        <v>1.0</v>
      </c>
      <c r="J370" s="216">
        <v>0.0</v>
      </c>
      <c r="K370" s="150">
        <v>0.0</v>
      </c>
      <c r="L370" s="217">
        <f t="shared" si="46"/>
        <v>0</v>
      </c>
      <c r="M370" s="218">
        <f t="shared" si="47"/>
        <v>0</v>
      </c>
      <c r="N370" s="219"/>
      <c r="O370" s="75" t="str">
        <f t="shared" si="49"/>
        <v>B</v>
      </c>
      <c r="P370" s="195"/>
      <c r="Q370" s="105"/>
      <c r="R370" s="105"/>
      <c r="S370" s="105"/>
      <c r="T370" s="105"/>
    </row>
    <row r="371" hidden="1">
      <c r="A371" s="198">
        <v>388.0</v>
      </c>
      <c r="B371" s="234">
        <v>14.0</v>
      </c>
      <c r="C371" s="104">
        <v>8.7551275E7</v>
      </c>
      <c r="D371" s="104">
        <v>2.42510211E8</v>
      </c>
      <c r="E371" s="104" t="s">
        <v>2237</v>
      </c>
      <c r="F371" s="246" t="s">
        <v>3100</v>
      </c>
      <c r="G371" s="235"/>
      <c r="H371" s="235" t="str">
        <f>iferror(vlookup(E371,'Kelas XI - X(32)'!$D$11:$H987,3,false),"")</f>
        <v/>
      </c>
      <c r="I371" s="150">
        <f>iferror(vlookup(E371,'Kelas XI - X(32)'!$D$11:$H987,4,false),"")</f>
        <v>6</v>
      </c>
      <c r="J371" s="216">
        <v>0.0</v>
      </c>
      <c r="K371" s="150">
        <f>iferror(vlookup(E371,'Kelas XI - X(32)'!$D$11:$H987,5,false),"")</f>
        <v>6</v>
      </c>
      <c r="L371" s="217">
        <f t="shared" si="46"/>
        <v>6</v>
      </c>
      <c r="M371" s="218">
        <f t="shared" si="47"/>
        <v>0.8571428571</v>
      </c>
      <c r="N371" s="219"/>
      <c r="O371" s="75" t="str">
        <f t="shared" si="49"/>
        <v>A</v>
      </c>
      <c r="P371" s="195"/>
      <c r="Q371" s="105"/>
      <c r="R371" s="105"/>
      <c r="S371" s="105"/>
      <c r="T371" s="105"/>
    </row>
    <row r="372" hidden="1">
      <c r="A372" s="196">
        <v>389.0</v>
      </c>
      <c r="B372" s="234">
        <v>15.0</v>
      </c>
      <c r="C372" s="104">
        <v>9.3479168E7</v>
      </c>
      <c r="D372" s="104">
        <v>2.42510225E8</v>
      </c>
      <c r="E372" s="104" t="s">
        <v>2238</v>
      </c>
      <c r="F372" s="246" t="s">
        <v>3100</v>
      </c>
      <c r="G372" s="235"/>
      <c r="H372" s="235" t="str">
        <f>iferror(vlookup(E372,'Kelas XI - X(32)'!$D$11:$H987,3,false),"")</f>
        <v/>
      </c>
      <c r="I372" s="150">
        <f>iferror(vlookup(E372,'Kelas XI - X(32)'!$D$11:$H987,4,false),"")</f>
        <v>7</v>
      </c>
      <c r="J372" s="216">
        <v>0.0</v>
      </c>
      <c r="K372" s="150">
        <f>iferror(vlookup(E372,'Kelas XI - X(32)'!$D$11:$H987,5,false),"")</f>
        <v>5</v>
      </c>
      <c r="L372" s="217">
        <f t="shared" si="46"/>
        <v>5</v>
      </c>
      <c r="M372" s="218">
        <f t="shared" si="47"/>
        <v>0.625</v>
      </c>
      <c r="N372" s="219"/>
      <c r="O372" s="75" t="str">
        <f t="shared" si="49"/>
        <v>A</v>
      </c>
      <c r="P372" s="195"/>
      <c r="Q372" s="105"/>
      <c r="R372" s="105"/>
      <c r="S372" s="105"/>
      <c r="T372" s="105"/>
    </row>
    <row r="373" hidden="1">
      <c r="A373" s="198">
        <v>390.0</v>
      </c>
      <c r="B373" s="234">
        <v>16.0</v>
      </c>
      <c r="C373" s="104">
        <v>9.2786372E7</v>
      </c>
      <c r="D373" s="104">
        <v>2.42510234E8</v>
      </c>
      <c r="E373" s="276" t="s">
        <v>2239</v>
      </c>
      <c r="F373" s="246" t="s">
        <v>3099</v>
      </c>
      <c r="G373" s="235"/>
      <c r="H373" s="235" t="str">
        <f>iferror(vlookup(E373,'Kelas XI - X(32)'!$D$11:$H987,3,false),"")</f>
        <v>Arya</v>
      </c>
      <c r="I373" s="150">
        <f>iferror(vlookup(E373,'Kelas XI - X(32)'!$D$11:$H987,4,false),"")</f>
        <v>5</v>
      </c>
      <c r="J373" s="216">
        <v>0.0</v>
      </c>
      <c r="K373" s="150">
        <f>iferror(vlookup(E373,'Kelas XI - X(32)'!$D$11:$H987,5,false),"")</f>
        <v>2</v>
      </c>
      <c r="L373" s="217">
        <f t="shared" si="46"/>
        <v>2</v>
      </c>
      <c r="M373" s="218">
        <f t="shared" si="47"/>
        <v>0.3333333333</v>
      </c>
      <c r="N373" s="219"/>
      <c r="O373" s="75" t="str">
        <f t="shared" si="49"/>
        <v>B</v>
      </c>
      <c r="P373" s="195"/>
      <c r="Q373" s="105"/>
      <c r="R373" s="105"/>
      <c r="S373" s="105"/>
      <c r="T373" s="105"/>
    </row>
    <row r="374" hidden="1">
      <c r="A374" s="196">
        <v>391.0</v>
      </c>
      <c r="B374" s="234">
        <v>17.0</v>
      </c>
      <c r="C374" s="104">
        <v>9.1530728E7</v>
      </c>
      <c r="D374" s="104">
        <v>2.42510235E8</v>
      </c>
      <c r="E374" s="104" t="s">
        <v>2240</v>
      </c>
      <c r="F374" s="246" t="s">
        <v>3100</v>
      </c>
      <c r="G374" s="235"/>
      <c r="H374" s="235" t="str">
        <f>iferror(vlookup(E374,'Kelas XI - X(32)'!$D$11:$H987,3,false),"")</f>
        <v/>
      </c>
      <c r="I374" s="150">
        <v>1.0</v>
      </c>
      <c r="J374" s="216">
        <v>0.0</v>
      </c>
      <c r="K374" s="150">
        <v>0.0</v>
      </c>
      <c r="L374" s="217">
        <f t="shared" si="46"/>
        <v>0</v>
      </c>
      <c r="M374" s="218">
        <f t="shared" si="47"/>
        <v>0</v>
      </c>
      <c r="N374" s="219"/>
      <c r="O374" s="75" t="str">
        <f t="shared" si="49"/>
        <v>B</v>
      </c>
      <c r="P374" s="195"/>
      <c r="Q374" s="105"/>
      <c r="R374" s="105"/>
      <c r="S374" s="105"/>
      <c r="T374" s="105"/>
    </row>
    <row r="375" hidden="1">
      <c r="A375" s="198">
        <v>392.0</v>
      </c>
      <c r="B375" s="212">
        <v>18.0</v>
      </c>
      <c r="C375" s="213">
        <v>8.5378932E7</v>
      </c>
      <c r="D375" s="213">
        <v>2.4251024E8</v>
      </c>
      <c r="E375" s="213" t="s">
        <v>2241</v>
      </c>
      <c r="F375" s="99" t="s">
        <v>3099</v>
      </c>
      <c r="G375" s="215"/>
      <c r="H375" s="215" t="str">
        <f>iferror(vlookup(E375,'Kelas XI - X(32)'!$D$11:$H987,3,false),"")</f>
        <v>Rafli</v>
      </c>
      <c r="I375" s="69">
        <f>iferror(vlookup(E375,'Kelas XI - X(32)'!$D$11:$H987,4,false),"")</f>
        <v>4</v>
      </c>
      <c r="J375" s="216">
        <v>0.0</v>
      </c>
      <c r="K375" s="150">
        <v>0.0</v>
      </c>
      <c r="L375" s="217">
        <f t="shared" si="46"/>
        <v>0</v>
      </c>
      <c r="M375" s="218">
        <f t="shared" si="47"/>
        <v>0</v>
      </c>
      <c r="N375" s="219"/>
      <c r="O375" s="75" t="str">
        <f t="shared" si="49"/>
        <v>B</v>
      </c>
      <c r="P375" s="195"/>
      <c r="Q375" s="105"/>
      <c r="R375" s="105"/>
      <c r="S375" s="105"/>
      <c r="T375" s="105"/>
    </row>
    <row r="376" hidden="1">
      <c r="A376" s="196">
        <v>393.0</v>
      </c>
      <c r="B376" s="220">
        <v>19.0</v>
      </c>
      <c r="C376" s="221">
        <v>8.6404055E7</v>
      </c>
      <c r="D376" s="221">
        <v>2.42510242E8</v>
      </c>
      <c r="E376" s="221" t="s">
        <v>2242</v>
      </c>
      <c r="F376" s="99" t="s">
        <v>3100</v>
      </c>
      <c r="G376" s="215"/>
      <c r="H376" s="215" t="str">
        <f>iferror(vlookup(E376,'Kelas XI - X(32)'!$D$11:$H987,3,false),"")</f>
        <v/>
      </c>
      <c r="I376" s="69">
        <f>iferror(vlookup(E376,'Kelas XI - X(32)'!$D$11:$H987,4,false),"")</f>
        <v>7</v>
      </c>
      <c r="J376" s="222">
        <v>0.0</v>
      </c>
      <c r="K376" s="69">
        <f>iferror(vlookup(E376,'Kelas XI - X(32)'!$D$11:$H987,5,false),"")</f>
        <v>0</v>
      </c>
      <c r="L376" s="223">
        <f t="shared" si="46"/>
        <v>0</v>
      </c>
      <c r="M376" s="146">
        <f t="shared" si="47"/>
        <v>0</v>
      </c>
      <c r="N376" s="224"/>
      <c r="O376" s="75" t="str">
        <f t="shared" si="49"/>
        <v>B</v>
      </c>
      <c r="P376" s="195"/>
      <c r="Q376" s="105"/>
      <c r="R376" s="105"/>
      <c r="S376" s="105"/>
      <c r="T376" s="105"/>
    </row>
    <row r="377" hidden="1">
      <c r="A377" s="198">
        <v>394.0</v>
      </c>
      <c r="B377" s="225">
        <v>20.0</v>
      </c>
      <c r="C377" s="247">
        <v>8.6360763E7</v>
      </c>
      <c r="D377" s="247">
        <v>2.42510252E8</v>
      </c>
      <c r="E377" s="214" t="s">
        <v>2243</v>
      </c>
      <c r="F377" s="99" t="s">
        <v>3100</v>
      </c>
      <c r="G377" s="215"/>
      <c r="H377" s="215" t="str">
        <f>iferror(vlookup(E377,'Kelas XI - X(32)'!$D$11:$H987,3,false),"")</f>
        <v>Rafli</v>
      </c>
      <c r="I377" s="69">
        <f>iferror(vlookup(E377,'Kelas XI - X(32)'!$D$11:$H987,4,false),"")</f>
        <v>4</v>
      </c>
      <c r="J377" s="222">
        <v>1.0</v>
      </c>
      <c r="K377" s="69">
        <v>0.0</v>
      </c>
      <c r="L377" s="223">
        <f t="shared" si="46"/>
        <v>1</v>
      </c>
      <c r="M377" s="146">
        <f t="shared" si="47"/>
        <v>0.2</v>
      </c>
      <c r="N377" s="224"/>
      <c r="O377" s="75" t="str">
        <f t="shared" si="49"/>
        <v>B</v>
      </c>
      <c r="P377" s="105"/>
      <c r="Q377" s="105"/>
      <c r="R377" s="105"/>
      <c r="S377" s="105"/>
      <c r="T377" s="105"/>
    </row>
    <row r="378" hidden="1">
      <c r="A378" s="196">
        <v>395.0</v>
      </c>
      <c r="B378" s="225">
        <v>21.0</v>
      </c>
      <c r="C378" s="214">
        <v>8.8924007E7</v>
      </c>
      <c r="D378" s="214">
        <v>2.42510259E8</v>
      </c>
      <c r="E378" s="237" t="s">
        <v>2244</v>
      </c>
      <c r="F378" s="99" t="s">
        <v>3099</v>
      </c>
      <c r="G378" s="215"/>
      <c r="H378" s="215" t="str">
        <f>iferror(vlookup(E378,'Kelas XI - X(32)'!$D$11:$H987,3,false),"")</f>
        <v/>
      </c>
      <c r="I378" s="69">
        <f>iferror(vlookup(E378,'Kelas XI - X(32)'!$D$11:$H987,4,false),"")</f>
        <v>4</v>
      </c>
      <c r="J378" s="222">
        <v>0.0</v>
      </c>
      <c r="K378" s="69">
        <f>iferror(vlookup(E378,'Kelas XI - X(32)'!$D$11:$H987,5,false),"")</f>
        <v>4</v>
      </c>
      <c r="L378" s="223">
        <f t="shared" si="46"/>
        <v>4</v>
      </c>
      <c r="M378" s="146">
        <f t="shared" si="47"/>
        <v>0.8</v>
      </c>
      <c r="N378" s="224"/>
      <c r="O378" s="75" t="str">
        <f t="shared" si="49"/>
        <v>A</v>
      </c>
      <c r="P378" s="105"/>
      <c r="Q378" s="105"/>
      <c r="R378" s="105"/>
      <c r="S378" s="105"/>
      <c r="T378" s="105"/>
    </row>
    <row r="379" hidden="1">
      <c r="A379" s="198">
        <v>396.0</v>
      </c>
      <c r="B379" s="225">
        <v>22.0</v>
      </c>
      <c r="C379" s="214">
        <v>9.1944011E7</v>
      </c>
      <c r="D379" s="214">
        <v>2.4251026E8</v>
      </c>
      <c r="E379" s="214" t="s">
        <v>2245</v>
      </c>
      <c r="F379" s="99" t="s">
        <v>3100</v>
      </c>
      <c r="G379" s="215"/>
      <c r="H379" s="215" t="str">
        <f>iferror(vlookup(E379,'Kelas XI - X(32)'!$D$11:$H987,3,false),"")</f>
        <v/>
      </c>
      <c r="I379" s="69">
        <f>iferror(vlookup(E379,'Kelas XI - X(32)'!$D$11:$H987,4,false),"")</f>
        <v>4</v>
      </c>
      <c r="J379" s="222">
        <v>0.0</v>
      </c>
      <c r="K379" s="69">
        <f>iferror(vlookup(E379,'Kelas XI - X(32)'!$D$11:$H987,5,false),"")</f>
        <v>4</v>
      </c>
      <c r="L379" s="223">
        <f t="shared" si="46"/>
        <v>4</v>
      </c>
      <c r="M379" s="146">
        <f t="shared" si="47"/>
        <v>0.8</v>
      </c>
      <c r="N379" s="224"/>
      <c r="O379" s="75" t="str">
        <f t="shared" si="49"/>
        <v>A</v>
      </c>
      <c r="P379" s="105"/>
      <c r="Q379" s="105"/>
      <c r="R379" s="105"/>
      <c r="S379" s="105"/>
      <c r="T379" s="105"/>
    </row>
    <row r="380" hidden="1">
      <c r="A380" s="196">
        <v>397.0</v>
      </c>
      <c r="B380" s="225">
        <v>23.0</v>
      </c>
      <c r="C380" s="214">
        <v>9.459647E7</v>
      </c>
      <c r="D380" s="214">
        <v>2.42510262E8</v>
      </c>
      <c r="E380" s="214" t="s">
        <v>2246</v>
      </c>
      <c r="F380" s="99" t="s">
        <v>3100</v>
      </c>
      <c r="G380" s="215"/>
      <c r="H380" s="215" t="str">
        <f>iferror(vlookup(E380,'Kelas XI - X(32)'!$D$11:$H987,3,false),"")</f>
        <v/>
      </c>
      <c r="I380" s="69">
        <v>1.0</v>
      </c>
      <c r="J380" s="222">
        <v>0.0</v>
      </c>
      <c r="K380" s="69">
        <v>0.0</v>
      </c>
      <c r="L380" s="223">
        <f t="shared" si="46"/>
        <v>0</v>
      </c>
      <c r="M380" s="146">
        <f t="shared" si="47"/>
        <v>0</v>
      </c>
      <c r="N380" s="224"/>
      <c r="O380" s="75" t="str">
        <f t="shared" si="49"/>
        <v>B</v>
      </c>
      <c r="P380" s="105"/>
      <c r="Q380" s="105"/>
      <c r="R380" s="105"/>
      <c r="S380" s="105"/>
      <c r="T380" s="105"/>
    </row>
    <row r="381" hidden="1">
      <c r="A381" s="198">
        <v>398.0</v>
      </c>
      <c r="B381" s="225">
        <v>24.0</v>
      </c>
      <c r="C381" s="214">
        <v>9.2404318E7</v>
      </c>
      <c r="D381" s="214">
        <v>2.42510265E8</v>
      </c>
      <c r="E381" s="214" t="s">
        <v>2247</v>
      </c>
      <c r="F381" s="99" t="s">
        <v>3100</v>
      </c>
      <c r="G381" s="215"/>
      <c r="H381" s="215" t="str">
        <f>iferror(vlookup(E381,'Kelas XI - X(32)'!$D$11:$H987,3,false),"")</f>
        <v/>
      </c>
      <c r="I381" s="69">
        <v>1.0</v>
      </c>
      <c r="J381" s="222">
        <v>0.0</v>
      </c>
      <c r="K381" s="69">
        <v>0.0</v>
      </c>
      <c r="L381" s="223">
        <f t="shared" si="46"/>
        <v>0</v>
      </c>
      <c r="M381" s="146">
        <f t="shared" si="47"/>
        <v>0</v>
      </c>
      <c r="N381" s="224"/>
      <c r="O381" s="75" t="str">
        <f t="shared" si="49"/>
        <v>B</v>
      </c>
      <c r="P381" s="105"/>
      <c r="Q381" s="105"/>
      <c r="R381" s="105"/>
      <c r="S381" s="105"/>
      <c r="T381" s="105"/>
    </row>
    <row r="382" hidden="1">
      <c r="A382" s="196">
        <v>399.0</v>
      </c>
      <c r="B382" s="225">
        <v>25.0</v>
      </c>
      <c r="C382" s="214">
        <v>9.5059901E7</v>
      </c>
      <c r="D382" s="214">
        <v>2.42510266E8</v>
      </c>
      <c r="E382" s="214" t="s">
        <v>2248</v>
      </c>
      <c r="F382" s="99" t="s">
        <v>3100</v>
      </c>
      <c r="G382" s="215"/>
      <c r="H382" s="215" t="str">
        <f>iferror(vlookup(E382,'Kelas XI - X(32)'!$D$11:$H987,3,false),"")</f>
        <v>Rafli</v>
      </c>
      <c r="I382" s="69">
        <f>iferror(vlookup(E382,'Kelas XI - X(32)'!$D$11:$H987,4,false),"")</f>
        <v>4</v>
      </c>
      <c r="J382" s="222">
        <v>0.0</v>
      </c>
      <c r="K382" s="69">
        <v>0.0</v>
      </c>
      <c r="L382" s="223">
        <f t="shared" si="46"/>
        <v>0</v>
      </c>
      <c r="M382" s="146">
        <f t="shared" si="47"/>
        <v>0</v>
      </c>
      <c r="N382" s="224"/>
      <c r="O382" s="75" t="str">
        <f t="shared" si="49"/>
        <v>B</v>
      </c>
      <c r="P382" s="105"/>
      <c r="Q382" s="105"/>
      <c r="R382" s="105"/>
      <c r="S382" s="105"/>
      <c r="T382" s="105"/>
    </row>
    <row r="383" hidden="1">
      <c r="A383" s="198">
        <v>400.0</v>
      </c>
      <c r="B383" s="225">
        <v>26.0</v>
      </c>
      <c r="C383" s="214">
        <v>9.8122055E7</v>
      </c>
      <c r="D383" s="214">
        <v>2.42510275E8</v>
      </c>
      <c r="E383" s="237" t="s">
        <v>2249</v>
      </c>
      <c r="F383" s="99" t="s">
        <v>3099</v>
      </c>
      <c r="G383" s="215"/>
      <c r="H383" s="215" t="str">
        <f>iferror(vlookup(E383,'Kelas XI - X(32)'!$D$11:$H987,3,false),"")</f>
        <v/>
      </c>
      <c r="I383" s="69">
        <f>iferror(vlookup(E383,'Kelas XI - X(32)'!$D$11:$H987,4,false),"")</f>
        <v>4</v>
      </c>
      <c r="J383" s="223">
        <f>iferror(vlookup(E383,MasterClass!$C$2:$G987,5,false),"")</f>
        <v>1</v>
      </c>
      <c r="K383" s="69">
        <v>0.0</v>
      </c>
      <c r="L383" s="223">
        <f t="shared" si="46"/>
        <v>1</v>
      </c>
      <c r="M383" s="146">
        <f t="shared" si="47"/>
        <v>0.2</v>
      </c>
      <c r="N383" s="248" t="s">
        <v>3106</v>
      </c>
      <c r="O383" s="69" t="s">
        <v>1163</v>
      </c>
      <c r="P383" s="105"/>
      <c r="Q383" s="105"/>
      <c r="R383" s="105"/>
      <c r="S383" s="105"/>
      <c r="T383" s="105"/>
    </row>
    <row r="384" hidden="1">
      <c r="A384" s="196">
        <v>401.0</v>
      </c>
      <c r="B384" s="225">
        <v>27.0</v>
      </c>
      <c r="C384" s="214">
        <v>8.6863385E7</v>
      </c>
      <c r="D384" s="214">
        <v>2.425103E8</v>
      </c>
      <c r="E384" s="214" t="s">
        <v>2250</v>
      </c>
      <c r="F384" s="99" t="s">
        <v>3099</v>
      </c>
      <c r="G384" s="215"/>
      <c r="H384" s="215" t="str">
        <f>iferror(vlookup(E384,'Kelas XI - X(32)'!$D$11:$H987,3,false),"")</f>
        <v/>
      </c>
      <c r="I384" s="69">
        <f>iferror(vlookup(E384,'Kelas XI - X(32)'!$D$11:$H987,4,false),"")</f>
        <v>7</v>
      </c>
      <c r="J384" s="222">
        <v>0.0</v>
      </c>
      <c r="K384" s="69">
        <f>iferror(vlookup(E384,'Kelas XI - X(32)'!$D$11:$H987,5,false),"")</f>
        <v>4</v>
      </c>
      <c r="L384" s="223">
        <f t="shared" si="46"/>
        <v>4</v>
      </c>
      <c r="M384" s="146">
        <f t="shared" si="47"/>
        <v>0.5</v>
      </c>
      <c r="N384" s="224"/>
      <c r="O384" s="75" t="str">
        <f t="shared" ref="O384:O389" si="50">IF(M384&gt;=50%,"A","B")</f>
        <v>A</v>
      </c>
      <c r="P384" s="105"/>
      <c r="Q384" s="105"/>
      <c r="R384" s="105"/>
      <c r="S384" s="105"/>
      <c r="T384" s="105"/>
    </row>
    <row r="385" hidden="1">
      <c r="A385" s="198">
        <v>402.0</v>
      </c>
      <c r="B385" s="225">
        <v>28.0</v>
      </c>
      <c r="C385" s="214">
        <v>8.5675402E7</v>
      </c>
      <c r="D385" s="214">
        <v>2.42510302E8</v>
      </c>
      <c r="E385" s="214" t="s">
        <v>2251</v>
      </c>
      <c r="F385" s="99" t="s">
        <v>3099</v>
      </c>
      <c r="G385" s="215"/>
      <c r="H385" s="215" t="str">
        <f>iferror(vlookup(E385,'Kelas XI - X(32)'!$D$11:$H987,3,false),"")</f>
        <v/>
      </c>
      <c r="I385" s="69">
        <f>iferror(vlookup(E385,'Kelas XI - X(32)'!$D$11:$H987,4,false),"")</f>
        <v>8</v>
      </c>
      <c r="J385" s="222">
        <v>0.0</v>
      </c>
      <c r="K385" s="69">
        <f>iferror(vlookup(E385,'Kelas XI - X(32)'!$D$11:$H987,5,false),"")</f>
        <v>3</v>
      </c>
      <c r="L385" s="223">
        <f t="shared" si="46"/>
        <v>3</v>
      </c>
      <c r="M385" s="146">
        <f t="shared" si="47"/>
        <v>0.3333333333</v>
      </c>
      <c r="N385" s="224"/>
      <c r="O385" s="75" t="str">
        <f t="shared" si="50"/>
        <v>B</v>
      </c>
      <c r="P385" s="105"/>
      <c r="Q385" s="105"/>
      <c r="R385" s="105"/>
      <c r="S385" s="105"/>
      <c r="T385" s="105"/>
    </row>
    <row r="386" hidden="1">
      <c r="A386" s="196">
        <v>403.0</v>
      </c>
      <c r="B386" s="225">
        <v>29.0</v>
      </c>
      <c r="C386" s="214">
        <v>9.6488875E7</v>
      </c>
      <c r="D386" s="214">
        <v>2.42510333E8</v>
      </c>
      <c r="E386" s="214" t="s">
        <v>2252</v>
      </c>
      <c r="F386" s="99" t="s">
        <v>3099</v>
      </c>
      <c r="G386" s="215"/>
      <c r="H386" s="215" t="str">
        <f>iferror(vlookup(E386,'Kelas XI - X(32)'!$D$11:$H987,3,false),"")</f>
        <v/>
      </c>
      <c r="I386" s="69">
        <f>iferror(vlookup(E386,'Kelas XI - X(32)'!$D$11:$H987,4,false),"")</f>
        <v>6</v>
      </c>
      <c r="J386" s="222">
        <v>0.0</v>
      </c>
      <c r="K386" s="69">
        <f>iferror(vlookup(E386,'Kelas XI - X(32)'!$D$11:$H987,5,false),"")</f>
        <v>6</v>
      </c>
      <c r="L386" s="223">
        <f t="shared" si="46"/>
        <v>6</v>
      </c>
      <c r="M386" s="146">
        <f t="shared" si="47"/>
        <v>0.8571428571</v>
      </c>
      <c r="N386" s="224"/>
      <c r="O386" s="75" t="str">
        <f t="shared" si="50"/>
        <v>A</v>
      </c>
      <c r="P386" s="105"/>
      <c r="Q386" s="105"/>
      <c r="R386" s="105"/>
      <c r="S386" s="105"/>
      <c r="T386" s="105"/>
    </row>
    <row r="387" hidden="1">
      <c r="A387" s="198">
        <v>404.0</v>
      </c>
      <c r="B387" s="225">
        <v>30.0</v>
      </c>
      <c r="C387" s="214">
        <v>9.1126559E7</v>
      </c>
      <c r="D387" s="214">
        <v>2.42510337E8</v>
      </c>
      <c r="E387" s="214" t="s">
        <v>2253</v>
      </c>
      <c r="F387" s="99" t="s">
        <v>3100</v>
      </c>
      <c r="G387" s="215"/>
      <c r="H387" s="215" t="str">
        <f>iferror(vlookup(E387,'Kelas XI - X(32)'!$D$11:$H987,3,false),"")</f>
        <v>Rafli</v>
      </c>
      <c r="I387" s="69">
        <f>iferror(vlookup(E387,'Kelas XI - X(32)'!$D$11:$H987,4,false),"")</f>
        <v>4</v>
      </c>
      <c r="J387" s="222">
        <v>0.0</v>
      </c>
      <c r="K387" s="69">
        <v>0.0</v>
      </c>
      <c r="L387" s="223">
        <f t="shared" si="46"/>
        <v>0</v>
      </c>
      <c r="M387" s="146">
        <f t="shared" si="47"/>
        <v>0</v>
      </c>
      <c r="N387" s="224"/>
      <c r="O387" s="75" t="str">
        <f t="shared" si="50"/>
        <v>B</v>
      </c>
      <c r="P387" s="105"/>
      <c r="Q387" s="105"/>
      <c r="R387" s="105"/>
      <c r="S387" s="105"/>
      <c r="T387" s="105"/>
    </row>
    <row r="388" hidden="1">
      <c r="A388" s="196">
        <v>405.0</v>
      </c>
      <c r="B388" s="225">
        <v>31.0</v>
      </c>
      <c r="C388" s="214">
        <v>9.4232336E7</v>
      </c>
      <c r="D388" s="214">
        <v>2.42510347E8</v>
      </c>
      <c r="E388" s="214" t="s">
        <v>2254</v>
      </c>
      <c r="F388" s="99" t="s">
        <v>3100</v>
      </c>
      <c r="G388" s="215"/>
      <c r="H388" s="215" t="str">
        <f>iferror(vlookup(E388,'Kelas XI - X(32)'!$D$11:$H987,3,false),"")</f>
        <v/>
      </c>
      <c r="I388" s="69">
        <f>iferror(vlookup(E388,'Kelas XI - X(32)'!$D$11:$H987,4,false),"")</f>
        <v>7</v>
      </c>
      <c r="J388" s="223">
        <f>iferror(vlookup(E388,MasterClass!$C$2:$G987,5,false),"")</f>
        <v>1</v>
      </c>
      <c r="K388" s="69">
        <f>iferror(vlookup(E388,'Kelas XI - X(32)'!$D$11:$H987,5,false),"")</f>
        <v>1</v>
      </c>
      <c r="L388" s="223">
        <f t="shared" si="46"/>
        <v>2</v>
      </c>
      <c r="M388" s="146">
        <f t="shared" si="47"/>
        <v>0.25</v>
      </c>
      <c r="N388" s="215" t="s">
        <v>3106</v>
      </c>
      <c r="O388" s="75" t="str">
        <f t="shared" si="50"/>
        <v>B</v>
      </c>
      <c r="P388" s="105"/>
      <c r="Q388" s="105"/>
      <c r="R388" s="105"/>
      <c r="S388" s="105"/>
      <c r="T388" s="105"/>
    </row>
    <row r="389" hidden="1">
      <c r="A389" s="198">
        <v>406.0</v>
      </c>
      <c r="B389" s="225">
        <v>32.0</v>
      </c>
      <c r="C389" s="214">
        <v>9.992049E7</v>
      </c>
      <c r="D389" s="214">
        <v>2.42510352E8</v>
      </c>
      <c r="E389" s="214" t="s">
        <v>2255</v>
      </c>
      <c r="F389" s="99" t="s">
        <v>3100</v>
      </c>
      <c r="G389" s="215"/>
      <c r="H389" s="215" t="str">
        <f>iferror(vlookup(E389,'Kelas XI - X(32)'!$D$11:$H987,3,false),"")</f>
        <v>Arya</v>
      </c>
      <c r="I389" s="69">
        <f>iferror(vlookup(E389,'Kelas XI - X(32)'!$D$11:$H987,4,false),"")</f>
        <v>5</v>
      </c>
      <c r="J389" s="222">
        <v>0.0</v>
      </c>
      <c r="K389" s="69">
        <f>iferror(vlookup(E389,'Kelas XI - X(32)'!$D$11:$H987,5,false),"")</f>
        <v>3</v>
      </c>
      <c r="L389" s="223">
        <f t="shared" si="46"/>
        <v>3</v>
      </c>
      <c r="M389" s="146">
        <f t="shared" si="47"/>
        <v>0.5</v>
      </c>
      <c r="N389" s="224"/>
      <c r="O389" s="75" t="str">
        <f t="shared" si="50"/>
        <v>A</v>
      </c>
      <c r="P389" s="105"/>
      <c r="Q389" s="105"/>
      <c r="R389" s="105"/>
      <c r="S389" s="105"/>
      <c r="T389" s="105"/>
    </row>
    <row r="390" hidden="1">
      <c r="A390" s="196">
        <v>407.0</v>
      </c>
      <c r="B390" s="225">
        <v>33.0</v>
      </c>
      <c r="C390" s="214">
        <v>9.4865307E7</v>
      </c>
      <c r="D390" s="214">
        <v>2.4251036E8</v>
      </c>
      <c r="E390" s="237" t="s">
        <v>2256</v>
      </c>
      <c r="F390" s="99" t="s">
        <v>3100</v>
      </c>
      <c r="G390" s="215"/>
      <c r="H390" s="215" t="str">
        <f>iferror(vlookup(E390,'Kelas XI - X(32)'!$D$11:$H987,3,false),"")</f>
        <v>Ukhti</v>
      </c>
      <c r="I390" s="69">
        <f>iferror(vlookup(E390,'Kelas XI - X(32)'!$D$11:$H987,4,false),"")</f>
        <v>13</v>
      </c>
      <c r="J390" s="222">
        <v>0.0</v>
      </c>
      <c r="K390" s="69">
        <f>iferror(vlookup(E390,'Kelas XI - X(32)'!$D$11:$H987,5,false),"")</f>
        <v>6</v>
      </c>
      <c r="L390" s="223">
        <f t="shared" si="46"/>
        <v>6</v>
      </c>
      <c r="M390" s="146">
        <f t="shared" si="47"/>
        <v>0.4285714286</v>
      </c>
      <c r="N390" s="248" t="s">
        <v>3107</v>
      </c>
      <c r="O390" s="69" t="s">
        <v>1163</v>
      </c>
      <c r="P390" s="105"/>
      <c r="Q390" s="105"/>
      <c r="R390" s="105"/>
      <c r="S390" s="105"/>
      <c r="T390" s="105"/>
    </row>
    <row r="391" hidden="1">
      <c r="A391" s="198">
        <v>408.0</v>
      </c>
      <c r="B391" s="225">
        <v>34.0</v>
      </c>
      <c r="C391" s="214">
        <v>9.3523017E7</v>
      </c>
      <c r="D391" s="214">
        <v>2.42510378E8</v>
      </c>
      <c r="E391" s="214" t="s">
        <v>2257</v>
      </c>
      <c r="F391" s="99" t="s">
        <v>3099</v>
      </c>
      <c r="G391" s="215"/>
      <c r="H391" s="215" t="str">
        <f>iferror(vlookup(E391,'Kelas XI - X(32)'!$D$11:$H987,3,false),"")</f>
        <v>Arya</v>
      </c>
      <c r="I391" s="69">
        <f>iferror(vlookup(E391,'Kelas XI - X(32)'!$D$11:$H987,4,false),"")</f>
        <v>5</v>
      </c>
      <c r="J391" s="222">
        <v>0.0</v>
      </c>
      <c r="K391" s="69">
        <f>iferror(vlookup(E391,'Kelas XI - X(32)'!$D$11:$H987,5,false),"")</f>
        <v>0</v>
      </c>
      <c r="L391" s="223">
        <f t="shared" si="46"/>
        <v>0</v>
      </c>
      <c r="M391" s="146">
        <f t="shared" si="47"/>
        <v>0</v>
      </c>
      <c r="N391" s="224"/>
      <c r="O391" s="75" t="str">
        <f t="shared" ref="O391:O392" si="51">IF(M391&gt;=50%,"A","B")</f>
        <v>B</v>
      </c>
      <c r="P391" s="105"/>
      <c r="Q391" s="105"/>
      <c r="R391" s="105"/>
      <c r="S391" s="105"/>
      <c r="T391" s="105"/>
    </row>
    <row r="392" hidden="1">
      <c r="A392" s="196">
        <v>409.0</v>
      </c>
      <c r="B392" s="225">
        <v>35.0</v>
      </c>
      <c r="C392" s="214">
        <v>9.4426892E7</v>
      </c>
      <c r="D392" s="214">
        <v>2.42510424E8</v>
      </c>
      <c r="E392" s="214" t="s">
        <v>2258</v>
      </c>
      <c r="F392" s="99" t="s">
        <v>3100</v>
      </c>
      <c r="G392" s="215"/>
      <c r="H392" s="215" t="str">
        <f>iferror(vlookup(E392,'Kelas XI - X(32)'!$D$11:$H987,3,false),"")</f>
        <v>Najmi</v>
      </c>
      <c r="I392" s="69">
        <f>iferror(vlookup(E392,'Kelas XI - X(32)'!$D$11:$H987,4,false),"")</f>
        <v>5</v>
      </c>
      <c r="J392" s="222">
        <v>0.0</v>
      </c>
      <c r="K392" s="69">
        <f>iferror(vlookup(E392,'Kelas XI - X(32)'!$D$11:$H987,5,false),"")</f>
        <v>5</v>
      </c>
      <c r="L392" s="223">
        <f t="shared" si="46"/>
        <v>5</v>
      </c>
      <c r="M392" s="146">
        <f t="shared" si="47"/>
        <v>0.8333333333</v>
      </c>
      <c r="N392" s="224"/>
      <c r="O392" s="75" t="str">
        <f t="shared" si="51"/>
        <v>A</v>
      </c>
      <c r="P392" s="105"/>
      <c r="Q392" s="105"/>
      <c r="R392" s="105"/>
      <c r="S392" s="105"/>
      <c r="T392" s="105"/>
    </row>
    <row r="393" hidden="1">
      <c r="A393" s="198">
        <v>410.0</v>
      </c>
      <c r="B393" s="225">
        <v>36.0</v>
      </c>
      <c r="C393" s="214">
        <v>8.2670071E7</v>
      </c>
      <c r="D393" s="214">
        <v>2.42510429E8</v>
      </c>
      <c r="E393" s="214" t="s">
        <v>2259</v>
      </c>
      <c r="F393" s="99" t="s">
        <v>3099</v>
      </c>
      <c r="G393" s="215"/>
      <c r="H393" s="215" t="str">
        <f>iferror(vlookup(E393,'Kelas XI - X(32)'!$D$11:$H987,3,false),"")</f>
        <v>Rafli</v>
      </c>
      <c r="I393" s="69">
        <f>iferror(vlookup(E393,'Kelas XI - X(32)'!$D$11:$H987,4,false),"")</f>
        <v>4</v>
      </c>
      <c r="J393" s="223">
        <f>iferror(vlookup(E393,MasterClass!$C$2:$G987,5,false),"")</f>
        <v>1</v>
      </c>
      <c r="K393" s="69">
        <f>iferror(vlookup(E393,'Kelas XI - X(32)'!$D$11:$H987,5,false),"")</f>
        <v>3</v>
      </c>
      <c r="L393" s="223">
        <f t="shared" si="46"/>
        <v>4</v>
      </c>
      <c r="M393" s="146">
        <f t="shared" si="47"/>
        <v>0.8</v>
      </c>
      <c r="N393" s="248" t="s">
        <v>3106</v>
      </c>
      <c r="O393" s="69" t="s">
        <v>1163</v>
      </c>
      <c r="P393" s="105"/>
      <c r="Q393" s="105"/>
      <c r="R393" s="105"/>
      <c r="S393" s="105"/>
      <c r="T393" s="105"/>
    </row>
    <row r="394" hidden="1">
      <c r="A394" s="196">
        <v>411.0</v>
      </c>
      <c r="B394" s="227"/>
      <c r="C394" s="214"/>
      <c r="D394" s="228"/>
      <c r="E394" s="214"/>
      <c r="F394" s="228"/>
      <c r="G394" s="228"/>
      <c r="H394" s="228"/>
      <c r="I394" s="229"/>
      <c r="J394" s="229"/>
      <c r="K394" s="229"/>
      <c r="L394" s="229"/>
      <c r="M394" s="229"/>
      <c r="N394" s="228"/>
      <c r="O394" s="229"/>
      <c r="P394" s="105"/>
      <c r="Q394" s="105"/>
      <c r="R394" s="105"/>
      <c r="S394" s="105"/>
      <c r="T394" s="105"/>
    </row>
    <row r="395" hidden="1">
      <c r="A395" s="198">
        <v>412.0</v>
      </c>
      <c r="B395" s="227"/>
      <c r="C395" s="214"/>
      <c r="D395" s="228"/>
      <c r="E395" s="214"/>
      <c r="F395" s="228"/>
      <c r="G395" s="228"/>
      <c r="H395" s="228"/>
      <c r="I395" s="229"/>
      <c r="J395" s="229"/>
      <c r="K395" s="229"/>
      <c r="L395" s="229"/>
      <c r="M395" s="229"/>
      <c r="N395" s="230"/>
      <c r="O395" s="231"/>
      <c r="P395" s="105"/>
      <c r="Q395" s="105"/>
      <c r="R395" s="105"/>
      <c r="S395" s="105"/>
      <c r="T395" s="105"/>
    </row>
    <row r="396" hidden="1">
      <c r="A396" s="196">
        <v>413.0</v>
      </c>
      <c r="B396" s="227"/>
      <c r="C396" s="214"/>
      <c r="D396" s="228"/>
      <c r="E396" s="214"/>
      <c r="F396" s="228"/>
      <c r="G396" s="228"/>
      <c r="H396" s="228"/>
      <c r="I396" s="229"/>
      <c r="J396" s="229"/>
      <c r="K396" s="229"/>
      <c r="L396" s="229"/>
      <c r="M396" s="229"/>
      <c r="N396" s="230"/>
      <c r="O396" s="231"/>
      <c r="P396" s="105"/>
      <c r="Q396" s="105"/>
      <c r="R396" s="105"/>
      <c r="S396" s="105"/>
      <c r="T396" s="105"/>
    </row>
    <row r="397" hidden="1">
      <c r="A397" s="198">
        <v>414.0</v>
      </c>
      <c r="B397" s="249"/>
      <c r="C397" s="241"/>
      <c r="D397" s="241"/>
      <c r="E397" s="241"/>
      <c r="F397" s="241"/>
      <c r="G397" s="241"/>
      <c r="H397" s="241"/>
      <c r="I397" s="242"/>
      <c r="J397" s="242"/>
      <c r="K397" s="242"/>
      <c r="L397" s="242"/>
      <c r="M397" s="242"/>
      <c r="N397" s="241"/>
      <c r="O397" s="242"/>
      <c r="P397" s="105"/>
      <c r="Q397" s="105"/>
      <c r="R397" s="105"/>
      <c r="S397" s="105"/>
      <c r="T397" s="105"/>
    </row>
    <row r="398">
      <c r="A398" s="196">
        <v>417.0</v>
      </c>
      <c r="B398" s="243" t="s">
        <v>2260</v>
      </c>
      <c r="C398" s="9"/>
      <c r="D398" s="9"/>
      <c r="E398" s="10"/>
      <c r="F398" s="244"/>
      <c r="G398" s="244"/>
      <c r="H398" s="244"/>
      <c r="I398" s="245"/>
      <c r="J398" s="245"/>
      <c r="K398" s="245"/>
      <c r="L398" s="245"/>
      <c r="M398" s="245"/>
      <c r="N398" s="244"/>
      <c r="O398" s="245"/>
      <c r="P398" s="105"/>
      <c r="Q398" s="105"/>
      <c r="R398" s="105"/>
      <c r="S398" s="105"/>
      <c r="T398" s="105"/>
    </row>
    <row r="399" hidden="1">
      <c r="A399" s="198">
        <v>418.0</v>
      </c>
      <c r="B399" s="250" t="s">
        <v>2261</v>
      </c>
      <c r="C399" s="9"/>
      <c r="D399" s="9"/>
      <c r="E399" s="10"/>
      <c r="F399" s="251"/>
      <c r="G399" s="251"/>
      <c r="H399" s="251"/>
      <c r="I399" s="252"/>
      <c r="J399" s="252"/>
      <c r="K399" s="252"/>
      <c r="L399" s="252"/>
      <c r="M399" s="252"/>
      <c r="N399" s="251"/>
      <c r="O399" s="252"/>
      <c r="P399" s="105"/>
      <c r="Q399" s="105"/>
      <c r="R399" s="105"/>
      <c r="S399" s="105"/>
      <c r="T399" s="105"/>
    </row>
    <row r="400" hidden="1">
      <c r="A400" s="196">
        <v>419.0</v>
      </c>
      <c r="B400" s="253" t="s">
        <v>1735</v>
      </c>
      <c r="C400" s="253" t="s">
        <v>1736</v>
      </c>
      <c r="D400" s="253" t="s">
        <v>1737</v>
      </c>
      <c r="E400" s="253" t="s">
        <v>1738</v>
      </c>
      <c r="F400" s="254" t="s">
        <v>1815</v>
      </c>
      <c r="G400" s="255"/>
      <c r="H400" s="255"/>
      <c r="I400" s="256" t="s">
        <v>3097</v>
      </c>
      <c r="J400" s="9"/>
      <c r="K400" s="9"/>
      <c r="L400" s="9"/>
      <c r="M400" s="9"/>
      <c r="N400" s="9"/>
      <c r="O400" s="10"/>
      <c r="P400" s="105"/>
      <c r="Q400" s="105"/>
      <c r="R400" s="105"/>
      <c r="S400" s="105"/>
      <c r="T400" s="105"/>
    </row>
    <row r="401" hidden="1">
      <c r="A401" s="198">
        <v>420.0</v>
      </c>
      <c r="B401" s="253"/>
      <c r="C401" s="253"/>
      <c r="D401" s="253"/>
      <c r="E401" s="253"/>
      <c r="F401" s="262"/>
      <c r="G401" s="263"/>
      <c r="H401" s="263" t="s">
        <v>2483</v>
      </c>
      <c r="I401" s="144" t="s">
        <v>3094</v>
      </c>
      <c r="J401" s="264" t="s">
        <v>3095</v>
      </c>
      <c r="K401" s="265" t="s">
        <v>3096</v>
      </c>
      <c r="L401" s="264" t="s">
        <v>3098</v>
      </c>
      <c r="M401" s="266" t="s">
        <v>18</v>
      </c>
      <c r="N401" s="143" t="s">
        <v>2491</v>
      </c>
      <c r="O401" s="267" t="s">
        <v>19</v>
      </c>
      <c r="P401" s="105"/>
      <c r="Q401" s="105"/>
      <c r="R401" s="105"/>
      <c r="S401" s="105"/>
      <c r="T401" s="105"/>
    </row>
    <row r="402" hidden="1">
      <c r="A402" s="196">
        <v>421.0</v>
      </c>
      <c r="B402" s="225">
        <v>1.0</v>
      </c>
      <c r="C402" s="214" t="s">
        <v>2262</v>
      </c>
      <c r="D402" s="99"/>
      <c r="E402" s="214" t="s">
        <v>2263</v>
      </c>
      <c r="F402" s="270" t="s">
        <v>3100</v>
      </c>
      <c r="G402" s="215"/>
      <c r="H402" s="215" t="str">
        <f>iferror(vlookup(E402,'Kelas XI - X(32)'!$D$11:$H987,3,false),"")</f>
        <v/>
      </c>
      <c r="I402" s="69">
        <f>iferror(vlookup(E402,'Kelas XI - X(32)'!$D$11:$H987,4,false),"")</f>
        <v>8</v>
      </c>
      <c r="J402" s="223">
        <f>iferror(vlookup(E402,MasterClass!$C$2:$G987,5,false),"")</f>
        <v>1</v>
      </c>
      <c r="K402" s="69">
        <f>iferror(vlookup(E402,'Kelas XI - X(32)'!$D$11:$H987,5,false),"")</f>
        <v>5</v>
      </c>
      <c r="L402" s="223">
        <f t="shared" ref="L402:L437" si="52">K402+J402</f>
        <v>6</v>
      </c>
      <c r="M402" s="146">
        <f t="shared" ref="M402:M437" si="53">(K402+J402)/(I402+1)</f>
        <v>0.6666666667</v>
      </c>
      <c r="N402" s="236" t="s">
        <v>3106</v>
      </c>
      <c r="O402" s="69" t="s">
        <v>1163</v>
      </c>
      <c r="P402" s="105"/>
      <c r="Q402" s="105"/>
      <c r="R402" s="105"/>
      <c r="S402" s="105"/>
      <c r="T402" s="105"/>
    </row>
    <row r="403" hidden="1">
      <c r="A403" s="198">
        <v>422.0</v>
      </c>
      <c r="B403" s="225">
        <v>2.0</v>
      </c>
      <c r="C403" s="214" t="s">
        <v>2264</v>
      </c>
      <c r="D403" s="99"/>
      <c r="E403" s="214" t="s">
        <v>2265</v>
      </c>
      <c r="F403" s="270" t="s">
        <v>3100</v>
      </c>
      <c r="G403" s="215"/>
      <c r="H403" s="215" t="str">
        <f>iferror(vlookup(E403,'Kelas XI - X(32)'!$D$11:$H987,3,false),"")</f>
        <v>Najmi</v>
      </c>
      <c r="I403" s="69">
        <f>iferror(vlookup(E403,'Kelas XI - X(32)'!$D$11:$H987,4,false),"")</f>
        <v>5</v>
      </c>
      <c r="J403" s="222">
        <v>0.0</v>
      </c>
      <c r="K403" s="69">
        <f>iferror(vlookup(E403,'Kelas XI - X(32)'!$D$11:$H987,5,false),"")</f>
        <v>5</v>
      </c>
      <c r="L403" s="223">
        <f t="shared" si="52"/>
        <v>5</v>
      </c>
      <c r="M403" s="146">
        <f t="shared" si="53"/>
        <v>0.8333333333</v>
      </c>
      <c r="N403" s="224"/>
      <c r="O403" s="75" t="str">
        <f t="shared" ref="O403:O412" si="54">IF(M403&gt;=50%,"A","B")</f>
        <v>A</v>
      </c>
      <c r="P403" s="105"/>
      <c r="Q403" s="105"/>
      <c r="R403" s="105"/>
      <c r="S403" s="105"/>
      <c r="T403" s="105"/>
    </row>
    <row r="404" hidden="1">
      <c r="A404" s="196">
        <v>423.0</v>
      </c>
      <c r="B404" s="225">
        <v>3.0</v>
      </c>
      <c r="C404" s="247" t="s">
        <v>2266</v>
      </c>
      <c r="D404" s="115"/>
      <c r="E404" s="247" t="s">
        <v>2267</v>
      </c>
      <c r="F404" s="270" t="s">
        <v>3099</v>
      </c>
      <c r="G404" s="215"/>
      <c r="H404" s="215" t="str">
        <f>iferror(vlookup(E404,'Kelas XI - X(32)'!$D$11:$H987,3,false),"")</f>
        <v/>
      </c>
      <c r="I404" s="69">
        <f>iferror(vlookup(E404,'Kelas XI - X(32)'!$D$11:$H987,4,false),"")</f>
        <v>7</v>
      </c>
      <c r="J404" s="222">
        <v>0.0</v>
      </c>
      <c r="K404" s="69">
        <f>iferror(vlookup(E404,'Kelas XI - X(32)'!$D$11:$H987,5,false),"")</f>
        <v>3</v>
      </c>
      <c r="L404" s="223">
        <f t="shared" si="52"/>
        <v>3</v>
      </c>
      <c r="M404" s="146">
        <f t="shared" si="53"/>
        <v>0.375</v>
      </c>
      <c r="N404" s="224"/>
      <c r="O404" s="75" t="str">
        <f t="shared" si="54"/>
        <v>B</v>
      </c>
      <c r="P404" s="105"/>
      <c r="Q404" s="105"/>
      <c r="R404" s="105"/>
      <c r="S404" s="105"/>
      <c r="T404" s="105"/>
    </row>
    <row r="405" hidden="1">
      <c r="A405" s="198">
        <v>424.0</v>
      </c>
      <c r="B405" s="225">
        <v>4.0</v>
      </c>
      <c r="C405" s="214" t="s">
        <v>2268</v>
      </c>
      <c r="D405" s="99"/>
      <c r="E405" s="214" t="s">
        <v>2269</v>
      </c>
      <c r="F405" s="270" t="s">
        <v>3100</v>
      </c>
      <c r="G405" s="215"/>
      <c r="H405" s="215" t="str">
        <f>iferror(vlookup(E405,'Kelas XI - X(32)'!$D$11:$H987,3,false),"")</f>
        <v>Taufik</v>
      </c>
      <c r="I405" s="69">
        <f>iferror(vlookup(E405,'Kelas XI - X(32)'!$D$11:$H987,4,false),"")</f>
        <v>7</v>
      </c>
      <c r="J405" s="222">
        <v>0.0</v>
      </c>
      <c r="K405" s="69">
        <f>iferror(vlookup(E405,'Kelas XI - X(32)'!$D$11:$H987,5,false),"")</f>
        <v>1</v>
      </c>
      <c r="L405" s="223">
        <f t="shared" si="52"/>
        <v>1</v>
      </c>
      <c r="M405" s="146">
        <f t="shared" si="53"/>
        <v>0.125</v>
      </c>
      <c r="N405" s="224"/>
      <c r="O405" s="75" t="str">
        <f t="shared" si="54"/>
        <v>B</v>
      </c>
      <c r="P405" s="105"/>
      <c r="Q405" s="105"/>
      <c r="R405" s="105"/>
      <c r="S405" s="105"/>
      <c r="T405" s="105"/>
    </row>
    <row r="406" hidden="1">
      <c r="A406" s="196">
        <v>425.0</v>
      </c>
      <c r="B406" s="225">
        <v>5.0</v>
      </c>
      <c r="C406" s="214" t="s">
        <v>2270</v>
      </c>
      <c r="D406" s="99"/>
      <c r="E406" s="214" t="s">
        <v>2271</v>
      </c>
      <c r="F406" s="270" t="s">
        <v>3099</v>
      </c>
      <c r="G406" s="215"/>
      <c r="H406" s="215" t="str">
        <f>iferror(vlookup(E406,'Kelas XI - X(32)'!$D$11:$H987,3,false),"")</f>
        <v/>
      </c>
      <c r="I406" s="69">
        <f>iferror(vlookup(E406,'Kelas XI - X(32)'!$D$11:$H987,4,false),"")</f>
        <v>7</v>
      </c>
      <c r="J406" s="222">
        <v>0.0</v>
      </c>
      <c r="K406" s="69">
        <f>iferror(vlookup(E406,'Kelas XI - X(32)'!$D$11:$H987,5,false),"")</f>
        <v>2</v>
      </c>
      <c r="L406" s="223">
        <f t="shared" si="52"/>
        <v>2</v>
      </c>
      <c r="M406" s="146">
        <f t="shared" si="53"/>
        <v>0.25</v>
      </c>
      <c r="N406" s="224"/>
      <c r="O406" s="75" t="str">
        <f t="shared" si="54"/>
        <v>B</v>
      </c>
      <c r="P406" s="105"/>
      <c r="Q406" s="105"/>
      <c r="R406" s="105"/>
      <c r="S406" s="105"/>
      <c r="T406" s="105"/>
    </row>
    <row r="407" hidden="1">
      <c r="A407" s="198">
        <v>426.0</v>
      </c>
      <c r="B407" s="225">
        <v>6.0</v>
      </c>
      <c r="C407" s="214" t="s">
        <v>2272</v>
      </c>
      <c r="D407" s="99"/>
      <c r="E407" s="214" t="s">
        <v>2273</v>
      </c>
      <c r="F407" s="270" t="s">
        <v>3099</v>
      </c>
      <c r="G407" s="215"/>
      <c r="H407" s="215" t="str">
        <f>iferror(vlookup(E407,'Kelas XI - X(32)'!$D$11:$H987,3,false),"")</f>
        <v/>
      </c>
      <c r="I407" s="69">
        <v>1.0</v>
      </c>
      <c r="J407" s="222">
        <v>0.0</v>
      </c>
      <c r="K407" s="69">
        <v>0.0</v>
      </c>
      <c r="L407" s="223">
        <f t="shared" si="52"/>
        <v>0</v>
      </c>
      <c r="M407" s="146">
        <f t="shared" si="53"/>
        <v>0</v>
      </c>
      <c r="N407" s="224"/>
      <c r="O407" s="75" t="str">
        <f t="shared" si="54"/>
        <v>B</v>
      </c>
      <c r="P407" s="105"/>
      <c r="Q407" s="105"/>
      <c r="R407" s="105"/>
      <c r="S407" s="105"/>
      <c r="T407" s="105"/>
    </row>
    <row r="408" hidden="1">
      <c r="A408" s="196">
        <v>427.0</v>
      </c>
      <c r="B408" s="225">
        <v>7.0</v>
      </c>
      <c r="C408" s="214" t="s">
        <v>2274</v>
      </c>
      <c r="D408" s="99"/>
      <c r="E408" s="214" t="s">
        <v>2275</v>
      </c>
      <c r="F408" s="270" t="s">
        <v>3100</v>
      </c>
      <c r="G408" s="215"/>
      <c r="H408" s="215" t="str">
        <f>iferror(vlookup(E408,'Kelas XI - X(32)'!$D$11:$H987,3,false),"")</f>
        <v/>
      </c>
      <c r="I408" s="69">
        <f>iferror(vlookup(E408,'Kelas XI - X(32)'!$D$11:$H987,4,false),"")</f>
        <v>8</v>
      </c>
      <c r="J408" s="222">
        <v>0.0</v>
      </c>
      <c r="K408" s="69">
        <f>iferror(vlookup(E408,'Kelas XI - X(32)'!$D$11:$H987,5,false),"")</f>
        <v>1</v>
      </c>
      <c r="L408" s="223">
        <f t="shared" si="52"/>
        <v>1</v>
      </c>
      <c r="M408" s="146">
        <f t="shared" si="53"/>
        <v>0.1111111111</v>
      </c>
      <c r="N408" s="224"/>
      <c r="O408" s="75" t="str">
        <f t="shared" si="54"/>
        <v>B</v>
      </c>
      <c r="P408" s="105"/>
      <c r="Q408" s="105"/>
      <c r="R408" s="105"/>
      <c r="S408" s="105"/>
      <c r="T408" s="105"/>
    </row>
    <row r="409" hidden="1">
      <c r="A409" s="198">
        <v>428.0</v>
      </c>
      <c r="B409" s="225">
        <v>8.0</v>
      </c>
      <c r="C409" s="214" t="s">
        <v>2276</v>
      </c>
      <c r="D409" s="99"/>
      <c r="E409" s="214" t="s">
        <v>2277</v>
      </c>
      <c r="F409" s="270" t="s">
        <v>3100</v>
      </c>
      <c r="G409" s="215"/>
      <c r="H409" s="215" t="str">
        <f>iferror(vlookup(E409,'Kelas XI - X(32)'!$D$11:$H987,3,false),"")</f>
        <v/>
      </c>
      <c r="I409" s="69">
        <f>iferror(vlookup(E409,'Kelas XI - X(32)'!$D$11:$H987,4,false),"")</f>
        <v>4</v>
      </c>
      <c r="J409" s="223">
        <f>iferror(vlookup(E409,MasterClass!$C$2:$G987,5,false),"")</f>
        <v>1</v>
      </c>
      <c r="K409" s="69">
        <f>iferror(vlookup(E409,'Kelas XI - X(32)'!$D$11:$H987,5,false),"")</f>
        <v>3</v>
      </c>
      <c r="L409" s="223">
        <f t="shared" si="52"/>
        <v>4</v>
      </c>
      <c r="M409" s="146">
        <f t="shared" si="53"/>
        <v>0.8</v>
      </c>
      <c r="N409" s="224"/>
      <c r="O409" s="75" t="str">
        <f t="shared" si="54"/>
        <v>A</v>
      </c>
      <c r="P409" s="105"/>
      <c r="Q409" s="105"/>
      <c r="R409" s="105"/>
      <c r="S409" s="105"/>
      <c r="T409" s="105"/>
    </row>
    <row r="410" hidden="1">
      <c r="A410" s="196">
        <v>429.0</v>
      </c>
      <c r="B410" s="225">
        <v>9.0</v>
      </c>
      <c r="C410" s="214" t="s">
        <v>2278</v>
      </c>
      <c r="D410" s="99"/>
      <c r="E410" s="214" t="s">
        <v>2279</v>
      </c>
      <c r="F410" s="270" t="s">
        <v>3100</v>
      </c>
      <c r="G410" s="215"/>
      <c r="H410" s="215" t="str">
        <f>iferror(vlookup(E410,'Kelas XI - X(32)'!$D$11:$H987,3,false),"")</f>
        <v/>
      </c>
      <c r="I410" s="69">
        <f>iferror(vlookup(E410,'Kelas XI - X(32)'!$D$11:$H987,4,false),"")</f>
        <v>7</v>
      </c>
      <c r="J410" s="222">
        <v>0.0</v>
      </c>
      <c r="K410" s="69">
        <f>iferror(vlookup(E410,'Kelas XI - X(32)'!$D$11:$H987,5,false),"")</f>
        <v>1</v>
      </c>
      <c r="L410" s="223">
        <f t="shared" si="52"/>
        <v>1</v>
      </c>
      <c r="M410" s="146">
        <f t="shared" si="53"/>
        <v>0.125</v>
      </c>
      <c r="N410" s="224"/>
      <c r="O410" s="75" t="str">
        <f t="shared" si="54"/>
        <v>B</v>
      </c>
      <c r="P410" s="105"/>
      <c r="Q410" s="105"/>
      <c r="R410" s="105"/>
      <c r="S410" s="105"/>
      <c r="T410" s="105"/>
    </row>
    <row r="411" hidden="1">
      <c r="A411" s="198">
        <v>430.0</v>
      </c>
      <c r="B411" s="225">
        <v>10.0</v>
      </c>
      <c r="C411" s="214" t="s">
        <v>2280</v>
      </c>
      <c r="D411" s="99"/>
      <c r="E411" s="214" t="s">
        <v>2281</v>
      </c>
      <c r="F411" s="270" t="s">
        <v>3100</v>
      </c>
      <c r="G411" s="215"/>
      <c r="H411" s="215" t="str">
        <f>iferror(vlookup(E411,'Kelas XI - X(32)'!$D$11:$H987,3,false),"")</f>
        <v>Rafli</v>
      </c>
      <c r="I411" s="69">
        <f>iferror(vlookup(E411,'Kelas XI - X(32)'!$D$11:$H987,4,false),"")</f>
        <v>4</v>
      </c>
      <c r="J411" s="222">
        <v>0.0</v>
      </c>
      <c r="K411" s="69">
        <v>0.0</v>
      </c>
      <c r="L411" s="223">
        <f t="shared" si="52"/>
        <v>0</v>
      </c>
      <c r="M411" s="146">
        <f t="shared" si="53"/>
        <v>0</v>
      </c>
      <c r="N411" s="224"/>
      <c r="O411" s="75" t="str">
        <f t="shared" si="54"/>
        <v>B</v>
      </c>
      <c r="P411" s="105"/>
      <c r="Q411" s="105"/>
      <c r="R411" s="105"/>
      <c r="S411" s="105"/>
      <c r="T411" s="105"/>
    </row>
    <row r="412" hidden="1">
      <c r="A412" s="196">
        <v>431.0</v>
      </c>
      <c r="B412" s="225">
        <v>11.0</v>
      </c>
      <c r="C412" s="214" t="s">
        <v>2282</v>
      </c>
      <c r="D412" s="99"/>
      <c r="E412" s="214" t="s">
        <v>2283</v>
      </c>
      <c r="F412" s="270" t="s">
        <v>3100</v>
      </c>
      <c r="G412" s="215"/>
      <c r="H412" s="215" t="str">
        <f>iferror(vlookup(E412,'Kelas XI - X(32)'!$D$11:$H987,3,false),"")</f>
        <v/>
      </c>
      <c r="I412" s="69">
        <f>iferror(vlookup(E412,'Kelas XI - X(32)'!$D$11:$H987,4,false),"")</f>
        <v>4</v>
      </c>
      <c r="J412" s="222">
        <v>0.0</v>
      </c>
      <c r="K412" s="69">
        <f>iferror(vlookup(E412,'Kelas XI - X(32)'!$D$11:$H987,5,false),"")</f>
        <v>3</v>
      </c>
      <c r="L412" s="223">
        <f t="shared" si="52"/>
        <v>3</v>
      </c>
      <c r="M412" s="146">
        <f t="shared" si="53"/>
        <v>0.6</v>
      </c>
      <c r="N412" s="224"/>
      <c r="O412" s="75" t="str">
        <f t="shared" si="54"/>
        <v>A</v>
      </c>
      <c r="P412" s="105"/>
      <c r="Q412" s="105"/>
      <c r="R412" s="105"/>
      <c r="S412" s="105"/>
      <c r="T412" s="105"/>
    </row>
    <row r="413" hidden="1">
      <c r="A413" s="198">
        <v>432.0</v>
      </c>
      <c r="B413" s="234">
        <v>12.0</v>
      </c>
      <c r="C413" s="104" t="s">
        <v>2284</v>
      </c>
      <c r="D413" s="246"/>
      <c r="E413" s="104" t="s">
        <v>2285</v>
      </c>
      <c r="F413" s="195" t="s">
        <v>3099</v>
      </c>
      <c r="G413" s="235"/>
      <c r="H413" s="235" t="str">
        <f>iferror(vlookup(E413,'Kelas XI - X(32)'!$D$11:$H987,3,false),"")</f>
        <v/>
      </c>
      <c r="I413" s="150">
        <f>iferror(vlookup(E413,'Kelas XI - X(32)'!$D$11:$H987,4,false),"")</f>
        <v>4</v>
      </c>
      <c r="J413" s="216">
        <v>0.0</v>
      </c>
      <c r="K413" s="150">
        <f>iferror(vlookup(E413,'Kelas XI - X(32)'!$D$11:$H987,5,false),"")</f>
        <v>4</v>
      </c>
      <c r="L413" s="217">
        <f t="shared" si="52"/>
        <v>4</v>
      </c>
      <c r="M413" s="218">
        <f t="shared" si="53"/>
        <v>0.8</v>
      </c>
      <c r="N413" s="257" t="s">
        <v>3106</v>
      </c>
      <c r="O413" s="69" t="s">
        <v>1163</v>
      </c>
      <c r="P413" s="195"/>
      <c r="Q413" s="105"/>
      <c r="R413" s="105"/>
      <c r="S413" s="105"/>
      <c r="T413" s="105"/>
    </row>
    <row r="414" hidden="1">
      <c r="A414" s="196">
        <v>433.0</v>
      </c>
      <c r="B414" s="234">
        <v>13.0</v>
      </c>
      <c r="C414" s="104" t="s">
        <v>2286</v>
      </c>
      <c r="D414" s="246"/>
      <c r="E414" s="104" t="s">
        <v>2287</v>
      </c>
      <c r="F414" s="195" t="s">
        <v>3100</v>
      </c>
      <c r="G414" s="235"/>
      <c r="H414" s="235" t="str">
        <f>iferror(vlookup(E414,'Kelas XI - X(32)'!$D$11:$H987,3,false),"")</f>
        <v>Arya</v>
      </c>
      <c r="I414" s="150">
        <f>iferror(vlookup(E414,'Kelas XI - X(32)'!$D$11:$H987,4,false),"")</f>
        <v>5</v>
      </c>
      <c r="J414" s="216">
        <v>0.0</v>
      </c>
      <c r="K414" s="150">
        <f>iferror(vlookup(E414,'Kelas XI - X(32)'!$D$11:$H987,5,false),"")</f>
        <v>2</v>
      </c>
      <c r="L414" s="217">
        <f t="shared" si="52"/>
        <v>2</v>
      </c>
      <c r="M414" s="218">
        <f t="shared" si="53"/>
        <v>0.3333333333</v>
      </c>
      <c r="N414" s="219"/>
      <c r="O414" s="75" t="str">
        <f t="shared" ref="O414:O437" si="55">IF(M414&gt;=50%,"A","B")</f>
        <v>B</v>
      </c>
      <c r="P414" s="195"/>
      <c r="Q414" s="105"/>
      <c r="R414" s="105"/>
      <c r="S414" s="105"/>
      <c r="T414" s="105"/>
    </row>
    <row r="415" hidden="1">
      <c r="A415" s="198">
        <v>434.0</v>
      </c>
      <c r="B415" s="234">
        <v>14.0</v>
      </c>
      <c r="C415" s="104" t="s">
        <v>2288</v>
      </c>
      <c r="D415" s="246"/>
      <c r="E415" s="104" t="s">
        <v>2289</v>
      </c>
      <c r="F415" s="195" t="s">
        <v>3100</v>
      </c>
      <c r="G415" s="235"/>
      <c r="H415" s="235" t="str">
        <f>iferror(vlookup(E415,'Kelas XI - X(32)'!$D$11:$H987,3,false),"")</f>
        <v/>
      </c>
      <c r="I415" s="150">
        <f>iferror(vlookup(E415,'Kelas XI - X(32)'!$D$11:$H987,4,false),"")</f>
        <v>7</v>
      </c>
      <c r="J415" s="216">
        <v>0.0</v>
      </c>
      <c r="K415" s="150">
        <f>iferror(vlookup(E415,'Kelas XI - X(32)'!$D$11:$H987,5,false),"")</f>
        <v>3</v>
      </c>
      <c r="L415" s="217">
        <f t="shared" si="52"/>
        <v>3</v>
      </c>
      <c r="M415" s="218">
        <f t="shared" si="53"/>
        <v>0.375</v>
      </c>
      <c r="N415" s="219"/>
      <c r="O415" s="75" t="str">
        <f t="shared" si="55"/>
        <v>B</v>
      </c>
      <c r="P415" s="195"/>
      <c r="Q415" s="105"/>
      <c r="R415" s="105"/>
      <c r="S415" s="105"/>
      <c r="T415" s="105"/>
    </row>
    <row r="416" hidden="1">
      <c r="A416" s="196">
        <v>435.0</v>
      </c>
      <c r="B416" s="234">
        <v>15.0</v>
      </c>
      <c r="C416" s="104" t="s">
        <v>2290</v>
      </c>
      <c r="D416" s="246"/>
      <c r="E416" s="104" t="s">
        <v>2291</v>
      </c>
      <c r="F416" s="195" t="s">
        <v>3100</v>
      </c>
      <c r="G416" s="235"/>
      <c r="H416" s="235" t="str">
        <f>iferror(vlookup(E416,'Kelas XI - X(32)'!$D$11:$H987,3,false),"")</f>
        <v>Arya</v>
      </c>
      <c r="I416" s="150">
        <f>iferror(vlookup(E416,'Kelas XI - X(32)'!$D$11:$H987,4,false),"")</f>
        <v>5</v>
      </c>
      <c r="J416" s="216">
        <v>0.0</v>
      </c>
      <c r="K416" s="150">
        <v>0.0</v>
      </c>
      <c r="L416" s="217">
        <f t="shared" si="52"/>
        <v>0</v>
      </c>
      <c r="M416" s="218">
        <f t="shared" si="53"/>
        <v>0</v>
      </c>
      <c r="N416" s="219"/>
      <c r="O416" s="75" t="str">
        <f t="shared" si="55"/>
        <v>B</v>
      </c>
      <c r="P416" s="195"/>
      <c r="Q416" s="105"/>
      <c r="R416" s="105"/>
      <c r="S416" s="105"/>
      <c r="T416" s="105"/>
    </row>
    <row r="417" hidden="1">
      <c r="A417" s="198">
        <v>436.0</v>
      </c>
      <c r="B417" s="234">
        <v>16.0</v>
      </c>
      <c r="C417" s="104" t="s">
        <v>2292</v>
      </c>
      <c r="D417" s="246"/>
      <c r="E417" s="104" t="s">
        <v>2293</v>
      </c>
      <c r="F417" s="195" t="s">
        <v>3100</v>
      </c>
      <c r="G417" s="235"/>
      <c r="H417" s="235" t="str">
        <f>iferror(vlookup(E417,'Kelas XI - X(32)'!$D$11:$H987,3,false),"")</f>
        <v/>
      </c>
      <c r="I417" s="150">
        <f>iferror(vlookup(E417,'Kelas XI - X(32)'!$D$11:$H987,4,false),"")</f>
        <v>7</v>
      </c>
      <c r="J417" s="216">
        <v>0.0</v>
      </c>
      <c r="K417" s="150">
        <f>iferror(vlookup(E417,'Kelas XI - X(32)'!$D$11:$H987,5,false),"")</f>
        <v>4</v>
      </c>
      <c r="L417" s="217">
        <f t="shared" si="52"/>
        <v>4</v>
      </c>
      <c r="M417" s="218">
        <f t="shared" si="53"/>
        <v>0.5</v>
      </c>
      <c r="N417" s="219"/>
      <c r="O417" s="75" t="str">
        <f t="shared" si="55"/>
        <v>A</v>
      </c>
      <c r="P417" s="195"/>
      <c r="Q417" s="105"/>
      <c r="R417" s="105"/>
      <c r="S417" s="105"/>
      <c r="T417" s="105"/>
    </row>
    <row r="418" hidden="1">
      <c r="A418" s="196">
        <v>437.0</v>
      </c>
      <c r="B418" s="234">
        <v>17.0</v>
      </c>
      <c r="C418" s="104" t="s">
        <v>2294</v>
      </c>
      <c r="D418" s="246"/>
      <c r="E418" s="104" t="s">
        <v>2295</v>
      </c>
      <c r="F418" s="195" t="s">
        <v>3099</v>
      </c>
      <c r="G418" s="235"/>
      <c r="H418" s="235" t="str">
        <f>iferror(vlookup(E418,'Kelas XI - X(32)'!$D$11:$H987,3,false),"")</f>
        <v>Arya</v>
      </c>
      <c r="I418" s="150">
        <f>iferror(vlookup(E418,'Kelas XI - X(32)'!$D$11:$H987,4,false),"")</f>
        <v>5</v>
      </c>
      <c r="J418" s="217">
        <f>iferror(vlookup(E418,MasterClass!$C$2:$G987,5,false),"")</f>
        <v>1</v>
      </c>
      <c r="K418" s="150">
        <f>iferror(vlookup(E418,'Kelas XI - X(32)'!$D$11:$H987,5,false),"")</f>
        <v>2</v>
      </c>
      <c r="L418" s="217">
        <f t="shared" si="52"/>
        <v>3</v>
      </c>
      <c r="M418" s="218">
        <f t="shared" si="53"/>
        <v>0.5</v>
      </c>
      <c r="N418" s="219"/>
      <c r="O418" s="75" t="str">
        <f t="shared" si="55"/>
        <v>A</v>
      </c>
      <c r="P418" s="195"/>
      <c r="Q418" s="105"/>
      <c r="R418" s="105"/>
      <c r="S418" s="105"/>
      <c r="T418" s="105"/>
    </row>
    <row r="419" hidden="1">
      <c r="A419" s="198">
        <v>438.0</v>
      </c>
      <c r="B419" s="234">
        <v>18.0</v>
      </c>
      <c r="C419" s="104" t="s">
        <v>2296</v>
      </c>
      <c r="D419" s="246"/>
      <c r="E419" s="104" t="s">
        <v>2297</v>
      </c>
      <c r="F419" s="195" t="s">
        <v>3099</v>
      </c>
      <c r="G419" s="235"/>
      <c r="H419" s="235" t="str">
        <f>iferror(vlookup(E419,'Kelas XI - X(32)'!$D$11:$H987,3,false),"")</f>
        <v>Arya</v>
      </c>
      <c r="I419" s="150">
        <f>iferror(vlookup(E419,'Kelas XI - X(32)'!$D$11:$H987,4,false),"")</f>
        <v>5</v>
      </c>
      <c r="J419" s="216">
        <v>0.0</v>
      </c>
      <c r="K419" s="150">
        <v>0.0</v>
      </c>
      <c r="L419" s="217">
        <f t="shared" si="52"/>
        <v>0</v>
      </c>
      <c r="M419" s="218">
        <f t="shared" si="53"/>
        <v>0</v>
      </c>
      <c r="N419" s="219"/>
      <c r="O419" s="75" t="str">
        <f t="shared" si="55"/>
        <v>B</v>
      </c>
      <c r="P419" s="195"/>
      <c r="Q419" s="105"/>
      <c r="R419" s="105"/>
      <c r="S419" s="105"/>
      <c r="T419" s="105"/>
    </row>
    <row r="420" hidden="1">
      <c r="A420" s="196">
        <v>439.0</v>
      </c>
      <c r="B420" s="234">
        <v>19.0</v>
      </c>
      <c r="C420" s="104" t="s">
        <v>2298</v>
      </c>
      <c r="D420" s="246"/>
      <c r="E420" s="104" t="s">
        <v>2299</v>
      </c>
      <c r="F420" s="195" t="s">
        <v>3100</v>
      </c>
      <c r="G420" s="235"/>
      <c r="H420" s="235" t="str">
        <f>iferror(vlookup(E420,'Kelas XI - X(32)'!$D$11:$H987,3,false),"")</f>
        <v>Arya</v>
      </c>
      <c r="I420" s="150">
        <f>iferror(vlookup(E420,'Kelas XI - X(32)'!$D$11:$H987,4,false),"")</f>
        <v>5</v>
      </c>
      <c r="J420" s="216">
        <v>0.0</v>
      </c>
      <c r="K420" s="150">
        <f>iferror(vlookup(E420,'Kelas XI - X(32)'!$D$11:$H987,5,false),"")</f>
        <v>0</v>
      </c>
      <c r="L420" s="217">
        <f t="shared" si="52"/>
        <v>0</v>
      </c>
      <c r="M420" s="218">
        <f t="shared" si="53"/>
        <v>0</v>
      </c>
      <c r="N420" s="219"/>
      <c r="O420" s="75" t="str">
        <f t="shared" si="55"/>
        <v>B</v>
      </c>
      <c r="P420" s="195"/>
      <c r="Q420" s="105"/>
      <c r="R420" s="105"/>
      <c r="S420" s="105"/>
      <c r="T420" s="105"/>
    </row>
    <row r="421" hidden="1">
      <c r="A421" s="198">
        <v>440.0</v>
      </c>
      <c r="B421" s="212">
        <v>20.0</v>
      </c>
      <c r="C421" s="213" t="s">
        <v>2300</v>
      </c>
      <c r="D421" s="258"/>
      <c r="E421" s="213" t="s">
        <v>2301</v>
      </c>
      <c r="F421" s="270" t="s">
        <v>3099</v>
      </c>
      <c r="G421" s="215"/>
      <c r="H421" s="215" t="str">
        <f>iferror(vlookup(E421,'Kelas XI - X(32)'!$D$11:$H987,3,false),"")</f>
        <v/>
      </c>
      <c r="I421" s="69">
        <f>iferror(vlookup(E421,'Kelas XI - X(32)'!$D$11:$H987,4,false),"")</f>
        <v>4</v>
      </c>
      <c r="J421" s="217">
        <f>iferror(vlookup(E421,MasterClass!$C$2:$G987,5,false),"")</f>
        <v>1</v>
      </c>
      <c r="K421" s="150">
        <v>0.0</v>
      </c>
      <c r="L421" s="217">
        <f t="shared" si="52"/>
        <v>1</v>
      </c>
      <c r="M421" s="218">
        <f t="shared" si="53"/>
        <v>0.2</v>
      </c>
      <c r="N421" s="219"/>
      <c r="O421" s="75" t="str">
        <f t="shared" si="55"/>
        <v>B</v>
      </c>
      <c r="P421" s="195"/>
      <c r="Q421" s="105"/>
      <c r="R421" s="105"/>
      <c r="S421" s="105"/>
      <c r="T421" s="105"/>
    </row>
    <row r="422" hidden="1">
      <c r="A422" s="196">
        <v>441.0</v>
      </c>
      <c r="B422" s="220">
        <v>21.0</v>
      </c>
      <c r="C422" s="221" t="s">
        <v>2302</v>
      </c>
      <c r="D422" s="259"/>
      <c r="E422" s="221" t="s">
        <v>2303</v>
      </c>
      <c r="F422" s="270" t="s">
        <v>3100</v>
      </c>
      <c r="G422" s="215"/>
      <c r="H422" s="215" t="str">
        <f>iferror(vlookup(E422,'Kelas XI - X(32)'!$D$11:$H987,3,false),"")</f>
        <v/>
      </c>
      <c r="I422" s="69">
        <v>1.0</v>
      </c>
      <c r="J422" s="222">
        <v>0.0</v>
      </c>
      <c r="K422" s="69">
        <v>0.0</v>
      </c>
      <c r="L422" s="223">
        <f t="shared" si="52"/>
        <v>0</v>
      </c>
      <c r="M422" s="146">
        <f t="shared" si="53"/>
        <v>0</v>
      </c>
      <c r="N422" s="224"/>
      <c r="O422" s="75" t="str">
        <f t="shared" si="55"/>
        <v>B</v>
      </c>
      <c r="P422" s="195"/>
      <c r="Q422" s="105"/>
      <c r="R422" s="105"/>
      <c r="S422" s="105"/>
      <c r="T422" s="105"/>
    </row>
    <row r="423" hidden="1">
      <c r="A423" s="198">
        <v>442.0</v>
      </c>
      <c r="B423" s="225">
        <v>22.0</v>
      </c>
      <c r="C423" s="214" t="s">
        <v>2304</v>
      </c>
      <c r="D423" s="99"/>
      <c r="E423" s="214" t="s">
        <v>2305</v>
      </c>
      <c r="F423" s="270" t="s">
        <v>3099</v>
      </c>
      <c r="G423" s="215"/>
      <c r="H423" s="215" t="str">
        <f>iferror(vlookup(E423,'Kelas XI - X(32)'!$D$11:$H987,3,false),"")</f>
        <v>Taufik</v>
      </c>
      <c r="I423" s="69">
        <f>iferror(vlookup(E423,'Kelas XI - X(32)'!$D$11:$H987,4,false),"")</f>
        <v>7</v>
      </c>
      <c r="J423" s="222">
        <v>0.0</v>
      </c>
      <c r="K423" s="69">
        <f>iferror(vlookup(E423,'Kelas XI - X(32)'!$D$11:$H987,5,false),"")</f>
        <v>1</v>
      </c>
      <c r="L423" s="223">
        <f t="shared" si="52"/>
        <v>1</v>
      </c>
      <c r="M423" s="146">
        <f t="shared" si="53"/>
        <v>0.125</v>
      </c>
      <c r="N423" s="224"/>
      <c r="O423" s="75" t="str">
        <f t="shared" si="55"/>
        <v>B</v>
      </c>
      <c r="P423" s="105"/>
      <c r="Q423" s="105"/>
      <c r="R423" s="105"/>
      <c r="S423" s="105"/>
      <c r="T423" s="105"/>
    </row>
    <row r="424" hidden="1">
      <c r="A424" s="196">
        <v>443.0</v>
      </c>
      <c r="B424" s="225">
        <v>23.0</v>
      </c>
      <c r="C424" s="214" t="s">
        <v>2306</v>
      </c>
      <c r="D424" s="99"/>
      <c r="E424" s="214" t="s">
        <v>2307</v>
      </c>
      <c r="F424" s="270" t="s">
        <v>3100</v>
      </c>
      <c r="G424" s="215"/>
      <c r="H424" s="215" t="str">
        <f>iferror(vlookup(E424,'Kelas XI - X(32)'!$D$11:$H987,3,false),"")</f>
        <v/>
      </c>
      <c r="I424" s="69">
        <f>iferror(vlookup(E424,'Kelas XI - X(32)'!$D$11:$H987,4,false),"")</f>
        <v>4</v>
      </c>
      <c r="J424" s="222">
        <v>0.0</v>
      </c>
      <c r="K424" s="69">
        <v>0.0</v>
      </c>
      <c r="L424" s="223">
        <f t="shared" si="52"/>
        <v>0</v>
      </c>
      <c r="M424" s="146">
        <f t="shared" si="53"/>
        <v>0</v>
      </c>
      <c r="N424" s="224"/>
      <c r="O424" s="75" t="str">
        <f t="shared" si="55"/>
        <v>B</v>
      </c>
      <c r="P424" s="105"/>
      <c r="Q424" s="105"/>
      <c r="R424" s="105"/>
      <c r="S424" s="105"/>
      <c r="T424" s="105"/>
    </row>
    <row r="425" hidden="1">
      <c r="A425" s="198">
        <v>444.0</v>
      </c>
      <c r="B425" s="225">
        <v>24.0</v>
      </c>
      <c r="C425" s="214" t="s">
        <v>2308</v>
      </c>
      <c r="D425" s="99"/>
      <c r="E425" s="214" t="s">
        <v>2309</v>
      </c>
      <c r="F425" s="270" t="s">
        <v>3100</v>
      </c>
      <c r="G425" s="215"/>
      <c r="H425" s="215" t="str">
        <f>iferror(vlookup(E425,'Kelas XI - X(32)'!$D$11:$H987,3,false),"")</f>
        <v/>
      </c>
      <c r="I425" s="69">
        <f>iferror(vlookup(E425,'Kelas XI - X(32)'!$D$11:$H987,4,false),"")</f>
        <v>7</v>
      </c>
      <c r="J425" s="223">
        <f>iferror(vlookup(E425,MasterClass!$C$2:$G987,5,false),"")</f>
        <v>1</v>
      </c>
      <c r="K425" s="69">
        <f>iferror(vlookup(E425,'Kelas XI - X(32)'!$D$11:$H987,5,false),"")</f>
        <v>4</v>
      </c>
      <c r="L425" s="223">
        <f t="shared" si="52"/>
        <v>5</v>
      </c>
      <c r="M425" s="146">
        <f t="shared" si="53"/>
        <v>0.625</v>
      </c>
      <c r="N425" s="224"/>
      <c r="O425" s="75" t="str">
        <f t="shared" si="55"/>
        <v>A</v>
      </c>
      <c r="P425" s="105"/>
      <c r="Q425" s="105"/>
      <c r="R425" s="105"/>
      <c r="S425" s="105"/>
      <c r="T425" s="105"/>
    </row>
    <row r="426" hidden="1">
      <c r="A426" s="196">
        <v>445.0</v>
      </c>
      <c r="B426" s="225">
        <v>25.0</v>
      </c>
      <c r="C426" s="214" t="s">
        <v>2310</v>
      </c>
      <c r="D426" s="99"/>
      <c r="E426" s="214" t="s">
        <v>2311</v>
      </c>
      <c r="F426" s="270" t="s">
        <v>3100</v>
      </c>
      <c r="G426" s="215"/>
      <c r="H426" s="215" t="str">
        <f>iferror(vlookup(E426,'Kelas XI - X(32)'!$D$11:$H987,3,false),"")</f>
        <v>Iga</v>
      </c>
      <c r="I426" s="69">
        <f>iferror(vlookup(E426,'Kelas XI - X(32)'!$D$11:$H987,4,false),"")</f>
        <v>4</v>
      </c>
      <c r="J426" s="222">
        <v>0.0</v>
      </c>
      <c r="K426" s="69">
        <v>0.0</v>
      </c>
      <c r="L426" s="223">
        <f t="shared" si="52"/>
        <v>0</v>
      </c>
      <c r="M426" s="146">
        <f t="shared" si="53"/>
        <v>0</v>
      </c>
      <c r="N426" s="224"/>
      <c r="O426" s="75" t="str">
        <f t="shared" si="55"/>
        <v>B</v>
      </c>
      <c r="P426" s="105"/>
      <c r="Q426" s="105"/>
      <c r="R426" s="105"/>
      <c r="S426" s="105"/>
      <c r="T426" s="105"/>
    </row>
    <row r="427" hidden="1">
      <c r="A427" s="198">
        <v>446.0</v>
      </c>
      <c r="B427" s="225">
        <v>26.0</v>
      </c>
      <c r="C427" s="214" t="s">
        <v>2312</v>
      </c>
      <c r="D427" s="99"/>
      <c r="E427" s="214" t="s">
        <v>2313</v>
      </c>
      <c r="F427" s="270" t="s">
        <v>3099</v>
      </c>
      <c r="G427" s="215"/>
      <c r="H427" s="215" t="str">
        <f>iferror(vlookup(E427,'Kelas XI - X(32)'!$D$11:$H987,3,false),"")</f>
        <v/>
      </c>
      <c r="I427" s="69">
        <f>iferror(vlookup(E427,'Kelas XI - X(32)'!$D$11:$H987,4,false),"")</f>
        <v>7</v>
      </c>
      <c r="J427" s="222">
        <v>0.0</v>
      </c>
      <c r="K427" s="69">
        <f>iferror(vlookup(E427,'Kelas XI - X(32)'!$D$11:$H987,5,false),"")</f>
        <v>2</v>
      </c>
      <c r="L427" s="223">
        <f t="shared" si="52"/>
        <v>2</v>
      </c>
      <c r="M427" s="146">
        <f t="shared" si="53"/>
        <v>0.25</v>
      </c>
      <c r="N427" s="224"/>
      <c r="O427" s="75" t="str">
        <f t="shared" si="55"/>
        <v>B</v>
      </c>
      <c r="P427" s="105"/>
      <c r="Q427" s="105"/>
      <c r="R427" s="105"/>
      <c r="S427" s="105"/>
      <c r="T427" s="105"/>
    </row>
    <row r="428" hidden="1">
      <c r="A428" s="196">
        <v>447.0</v>
      </c>
      <c r="B428" s="225">
        <v>27.0</v>
      </c>
      <c r="C428" s="214" t="s">
        <v>2314</v>
      </c>
      <c r="D428" s="99"/>
      <c r="E428" s="214" t="s">
        <v>2315</v>
      </c>
      <c r="F428" s="270" t="s">
        <v>3099</v>
      </c>
      <c r="G428" s="215"/>
      <c r="H428" s="215" t="str">
        <f>iferror(vlookup(E428,'Kelas XI - X(32)'!$D$11:$H987,3,false),"")</f>
        <v>Taufik</v>
      </c>
      <c r="I428" s="69">
        <f>iferror(vlookup(E428,'Kelas XI - X(32)'!$D$11:$H987,4,false),"")</f>
        <v>7</v>
      </c>
      <c r="J428" s="222">
        <v>0.0</v>
      </c>
      <c r="K428" s="69">
        <f>iferror(vlookup(E428,'Kelas XI - X(32)'!$D$11:$H987,5,false),"")</f>
        <v>3</v>
      </c>
      <c r="L428" s="223">
        <f t="shared" si="52"/>
        <v>3</v>
      </c>
      <c r="M428" s="146">
        <f t="shared" si="53"/>
        <v>0.375</v>
      </c>
      <c r="N428" s="224"/>
      <c r="O428" s="75" t="str">
        <f t="shared" si="55"/>
        <v>B</v>
      </c>
      <c r="P428" s="105"/>
      <c r="Q428" s="105"/>
      <c r="R428" s="105"/>
      <c r="S428" s="105"/>
      <c r="T428" s="105"/>
    </row>
    <row r="429" hidden="1">
      <c r="A429" s="198">
        <v>448.0</v>
      </c>
      <c r="B429" s="225">
        <v>28.0</v>
      </c>
      <c r="C429" s="214" t="s">
        <v>2316</v>
      </c>
      <c r="D429" s="99"/>
      <c r="E429" s="214" t="s">
        <v>2317</v>
      </c>
      <c r="F429" s="270" t="s">
        <v>3100</v>
      </c>
      <c r="G429" s="215"/>
      <c r="H429" s="215" t="str">
        <f>iferror(vlookup(E429,'Kelas XI - X(32)'!$D$11:$H987,3,false),"")</f>
        <v/>
      </c>
      <c r="I429" s="69">
        <f>iferror(vlookup(E429,'Kelas XI - X(32)'!$D$11:$H987,4,false),"")</f>
        <v>7</v>
      </c>
      <c r="J429" s="222">
        <v>0.0</v>
      </c>
      <c r="K429" s="69">
        <f>iferror(vlookup(E429,'Kelas XI - X(32)'!$D$11:$H987,5,false),"")</f>
        <v>0</v>
      </c>
      <c r="L429" s="223">
        <f t="shared" si="52"/>
        <v>0</v>
      </c>
      <c r="M429" s="146">
        <f t="shared" si="53"/>
        <v>0</v>
      </c>
      <c r="N429" s="224"/>
      <c r="O429" s="75" t="str">
        <f t="shared" si="55"/>
        <v>B</v>
      </c>
      <c r="P429" s="105"/>
      <c r="Q429" s="105"/>
      <c r="R429" s="105"/>
      <c r="S429" s="105"/>
      <c r="T429" s="105"/>
    </row>
    <row r="430" hidden="1">
      <c r="A430" s="196">
        <v>449.0</v>
      </c>
      <c r="B430" s="225">
        <v>29.0</v>
      </c>
      <c r="C430" s="214" t="s">
        <v>2318</v>
      </c>
      <c r="D430" s="99"/>
      <c r="E430" s="214" t="s">
        <v>2319</v>
      </c>
      <c r="F430" s="274" t="s">
        <v>3100</v>
      </c>
      <c r="G430" s="215"/>
      <c r="H430" s="215" t="str">
        <f>iferror(vlookup(E430,'Kelas XI - X(32)'!$D$11:$H987,3,false),"")</f>
        <v>Ramania</v>
      </c>
      <c r="I430" s="69">
        <f>iferror(vlookup(E430,'Kelas XI - X(32)'!$D$11:$H987,4,false),"")</f>
        <v>10</v>
      </c>
      <c r="J430" s="222">
        <v>0.0</v>
      </c>
      <c r="K430" s="69">
        <f>iferror(vlookup(E430,'Kelas XI - X(32)'!$D$11:$H987,5,false),"")</f>
        <v>7</v>
      </c>
      <c r="L430" s="223">
        <f t="shared" si="52"/>
        <v>7</v>
      </c>
      <c r="M430" s="146">
        <f t="shared" si="53"/>
        <v>0.6363636364</v>
      </c>
      <c r="N430" s="224"/>
      <c r="O430" s="75" t="str">
        <f t="shared" si="55"/>
        <v>A</v>
      </c>
      <c r="P430" s="105"/>
      <c r="Q430" s="105"/>
      <c r="R430" s="105"/>
      <c r="S430" s="105"/>
      <c r="T430" s="105"/>
    </row>
    <row r="431" hidden="1">
      <c r="A431" s="198">
        <v>450.0</v>
      </c>
      <c r="B431" s="225">
        <v>30.0</v>
      </c>
      <c r="C431" s="214" t="s">
        <v>2320</v>
      </c>
      <c r="D431" s="99"/>
      <c r="E431" s="214" t="s">
        <v>2321</v>
      </c>
      <c r="F431" s="270" t="s">
        <v>3100</v>
      </c>
      <c r="G431" s="215"/>
      <c r="H431" s="215" t="str">
        <f>iferror(vlookup(E431,'Kelas XI - X(32)'!$D$11:$H987,3,false),"")</f>
        <v>Iga</v>
      </c>
      <c r="I431" s="69">
        <f>iferror(vlookup(E431,'Kelas XI - X(32)'!$D$11:$H987,4,false),"")</f>
        <v>4</v>
      </c>
      <c r="J431" s="222">
        <v>0.0</v>
      </c>
      <c r="K431" s="69">
        <f>iferror(vlookup(E431,'Kelas XI - X(32)'!$D$11:$H987,5,false),"")</f>
        <v>1</v>
      </c>
      <c r="L431" s="223">
        <f t="shared" si="52"/>
        <v>1</v>
      </c>
      <c r="M431" s="146">
        <f t="shared" si="53"/>
        <v>0.2</v>
      </c>
      <c r="N431" s="224"/>
      <c r="O431" s="75" t="str">
        <f t="shared" si="55"/>
        <v>B</v>
      </c>
      <c r="P431" s="105"/>
      <c r="Q431" s="105"/>
      <c r="R431" s="105"/>
      <c r="S431" s="105"/>
      <c r="T431" s="105"/>
    </row>
    <row r="432" hidden="1">
      <c r="A432" s="196">
        <v>451.0</v>
      </c>
      <c r="B432" s="225">
        <v>31.0</v>
      </c>
      <c r="C432" s="214" t="s">
        <v>2322</v>
      </c>
      <c r="D432" s="99"/>
      <c r="E432" s="214" t="s">
        <v>2323</v>
      </c>
      <c r="F432" s="270" t="s">
        <v>3099</v>
      </c>
      <c r="G432" s="215"/>
      <c r="H432" s="215" t="str">
        <f>iferror(vlookup(E432,'Kelas XI - X(32)'!$D$11:$H987,3,false),"")</f>
        <v/>
      </c>
      <c r="I432" s="69">
        <f>iferror(vlookup(E432,'Kelas XI - X(32)'!$D$11:$H987,4,false),"")</f>
        <v>7</v>
      </c>
      <c r="J432" s="222">
        <v>0.0</v>
      </c>
      <c r="K432" s="69">
        <v>0.0</v>
      </c>
      <c r="L432" s="223">
        <f t="shared" si="52"/>
        <v>0</v>
      </c>
      <c r="M432" s="146">
        <f t="shared" si="53"/>
        <v>0</v>
      </c>
      <c r="N432" s="224"/>
      <c r="O432" s="75" t="str">
        <f t="shared" si="55"/>
        <v>B</v>
      </c>
      <c r="P432" s="105"/>
      <c r="Q432" s="105"/>
      <c r="R432" s="105"/>
      <c r="S432" s="105"/>
      <c r="T432" s="105"/>
    </row>
    <row r="433" hidden="1">
      <c r="A433" s="198">
        <v>452.0</v>
      </c>
      <c r="B433" s="225">
        <v>32.0</v>
      </c>
      <c r="C433" s="247" t="s">
        <v>2324</v>
      </c>
      <c r="D433" s="115"/>
      <c r="E433" s="247" t="s">
        <v>2325</v>
      </c>
      <c r="F433" s="270" t="s">
        <v>3100</v>
      </c>
      <c r="G433" s="215"/>
      <c r="H433" s="215" t="str">
        <f>iferror(vlookup(E433,'Kelas XI - X(32)'!$D$11:$H987,3,false),"")</f>
        <v/>
      </c>
      <c r="I433" s="69">
        <f>iferror(vlookup(E433,'Kelas XI - X(32)'!$D$11:$H987,4,false),"")</f>
        <v>4</v>
      </c>
      <c r="J433" s="222">
        <v>0.0</v>
      </c>
      <c r="K433" s="69">
        <f>iferror(vlookup(E433,'Kelas XI - X(32)'!$D$11:$H987,5,false),"")</f>
        <v>3</v>
      </c>
      <c r="L433" s="223">
        <f t="shared" si="52"/>
        <v>3</v>
      </c>
      <c r="M433" s="146">
        <f t="shared" si="53"/>
        <v>0.6</v>
      </c>
      <c r="N433" s="224"/>
      <c r="O433" s="75" t="str">
        <f t="shared" si="55"/>
        <v>A</v>
      </c>
      <c r="P433" s="105"/>
      <c r="Q433" s="105"/>
      <c r="R433" s="105"/>
      <c r="S433" s="105"/>
      <c r="T433" s="105"/>
    </row>
    <row r="434" hidden="1">
      <c r="A434" s="196">
        <v>453.0</v>
      </c>
      <c r="B434" s="225">
        <v>33.0</v>
      </c>
      <c r="C434" s="214" t="s">
        <v>2326</v>
      </c>
      <c r="D434" s="99"/>
      <c r="E434" s="214" t="s">
        <v>2327</v>
      </c>
      <c r="F434" s="270" t="s">
        <v>3100</v>
      </c>
      <c r="G434" s="215"/>
      <c r="H434" s="215" t="str">
        <f>iferror(vlookup(E434,'Kelas XI - X(32)'!$D$11:$H987,3,false),"")</f>
        <v>Rafli</v>
      </c>
      <c r="I434" s="69">
        <f>iferror(vlookup(E434,'Kelas XI - X(32)'!$D$11:$H987,4,false),"")</f>
        <v>4</v>
      </c>
      <c r="J434" s="223">
        <f>iferror(vlookup(E434,MasterClass!$C$2:$G987,5,false),"")</f>
        <v>1</v>
      </c>
      <c r="K434" s="69">
        <v>0.0</v>
      </c>
      <c r="L434" s="223">
        <f t="shared" si="52"/>
        <v>1</v>
      </c>
      <c r="M434" s="146">
        <f t="shared" si="53"/>
        <v>0.2</v>
      </c>
      <c r="N434" s="224"/>
      <c r="O434" s="75" t="str">
        <f t="shared" si="55"/>
        <v>B</v>
      </c>
      <c r="P434" s="105"/>
      <c r="Q434" s="105"/>
      <c r="R434" s="105"/>
      <c r="S434" s="105"/>
      <c r="T434" s="105"/>
    </row>
    <row r="435" hidden="1">
      <c r="A435" s="198">
        <v>454.0</v>
      </c>
      <c r="B435" s="225">
        <v>34.0</v>
      </c>
      <c r="C435" s="214" t="s">
        <v>2328</v>
      </c>
      <c r="D435" s="99"/>
      <c r="E435" s="277" t="s">
        <v>2329</v>
      </c>
      <c r="F435" s="270" t="s">
        <v>3099</v>
      </c>
      <c r="G435" s="215"/>
      <c r="H435" s="215" t="str">
        <f>iferror(vlookup(E435,'Kelas XI - X(32)'!$D$11:$H987,3,false),"")</f>
        <v/>
      </c>
      <c r="I435" s="69">
        <f>iferror(vlookup(E435,'Kelas XI - X(32)'!$D$11:$H987,4,false),"")</f>
        <v>6</v>
      </c>
      <c r="J435" s="222">
        <v>0.0</v>
      </c>
      <c r="K435" s="69">
        <f>iferror(vlookup(E435,'Kelas XI - X(32)'!$D$11:$H987,5,false),"")</f>
        <v>6</v>
      </c>
      <c r="L435" s="223">
        <f t="shared" si="52"/>
        <v>6</v>
      </c>
      <c r="M435" s="146">
        <f t="shared" si="53"/>
        <v>0.8571428571</v>
      </c>
      <c r="N435" s="224"/>
      <c r="O435" s="75" t="str">
        <f t="shared" si="55"/>
        <v>A</v>
      </c>
      <c r="P435" s="105"/>
      <c r="Q435" s="105"/>
      <c r="R435" s="105"/>
      <c r="S435" s="105"/>
      <c r="T435" s="105"/>
    </row>
    <row r="436" hidden="1">
      <c r="A436" s="196">
        <v>455.0</v>
      </c>
      <c r="B436" s="225">
        <v>35.0</v>
      </c>
      <c r="C436" s="214" t="s">
        <v>2330</v>
      </c>
      <c r="D436" s="99"/>
      <c r="E436" s="237" t="s">
        <v>2331</v>
      </c>
      <c r="F436" s="270" t="s">
        <v>3100</v>
      </c>
      <c r="G436" s="215"/>
      <c r="H436" s="215" t="str">
        <f>iferror(vlookup(E436,'Kelas XI - X(32)'!$D$11:$H987,3,false),"")</f>
        <v/>
      </c>
      <c r="I436" s="69">
        <f>iferror(vlookup(E436,'Kelas XI - X(32)'!$D$11:$H987,4,false),"")</f>
        <v>6</v>
      </c>
      <c r="J436" s="222">
        <v>0.0</v>
      </c>
      <c r="K436" s="69">
        <f>iferror(vlookup(E436,'Kelas XI - X(32)'!$D$11:$H987,5,false),"")</f>
        <v>4</v>
      </c>
      <c r="L436" s="223">
        <f t="shared" si="52"/>
        <v>4</v>
      </c>
      <c r="M436" s="146">
        <f t="shared" si="53"/>
        <v>0.5714285714</v>
      </c>
      <c r="N436" s="224"/>
      <c r="O436" s="75" t="str">
        <f t="shared" si="55"/>
        <v>A</v>
      </c>
      <c r="P436" s="105"/>
      <c r="Q436" s="105"/>
      <c r="R436" s="105"/>
      <c r="S436" s="105"/>
      <c r="T436" s="105"/>
    </row>
    <row r="437" hidden="1">
      <c r="A437" s="198">
        <v>456.0</v>
      </c>
      <c r="B437" s="225">
        <v>36.0</v>
      </c>
      <c r="C437" s="214" t="s">
        <v>2332</v>
      </c>
      <c r="D437" s="99"/>
      <c r="E437" s="214" t="s">
        <v>2333</v>
      </c>
      <c r="F437" s="270" t="s">
        <v>3100</v>
      </c>
      <c r="G437" s="215"/>
      <c r="H437" s="215" t="str">
        <f>iferror(vlookup(E437,'Kelas XI - X(32)'!$D$11:$H987,3,false),"")</f>
        <v/>
      </c>
      <c r="I437" s="69">
        <v>1.0</v>
      </c>
      <c r="J437" s="222">
        <v>0.0</v>
      </c>
      <c r="K437" s="69">
        <v>0.0</v>
      </c>
      <c r="L437" s="223">
        <f t="shared" si="52"/>
        <v>0</v>
      </c>
      <c r="M437" s="146">
        <f t="shared" si="53"/>
        <v>0</v>
      </c>
      <c r="N437" s="224"/>
      <c r="O437" s="75" t="str">
        <f t="shared" si="55"/>
        <v>B</v>
      </c>
      <c r="P437" s="105"/>
      <c r="Q437" s="105"/>
      <c r="R437" s="105"/>
      <c r="S437" s="105"/>
      <c r="T437" s="105"/>
    </row>
    <row r="438" hidden="1">
      <c r="A438" s="196">
        <v>457.0</v>
      </c>
      <c r="B438" s="227"/>
      <c r="C438" s="214"/>
      <c r="D438" s="228"/>
      <c r="E438" s="214"/>
      <c r="F438" s="228"/>
      <c r="G438" s="228"/>
      <c r="H438" s="228"/>
      <c r="I438" s="229"/>
      <c r="J438" s="229"/>
      <c r="K438" s="229"/>
      <c r="L438" s="229"/>
      <c r="M438" s="229"/>
      <c r="N438" s="228"/>
      <c r="O438" s="229"/>
      <c r="P438" s="105"/>
      <c r="Q438" s="105"/>
      <c r="R438" s="105"/>
      <c r="S438" s="105"/>
      <c r="T438" s="105"/>
    </row>
    <row r="439" hidden="1">
      <c r="A439" s="198">
        <v>458.0</v>
      </c>
      <c r="B439" s="227"/>
      <c r="C439" s="214"/>
      <c r="D439" s="228"/>
      <c r="E439" s="214"/>
      <c r="F439" s="228"/>
      <c r="G439" s="228"/>
      <c r="H439" s="228"/>
      <c r="I439" s="229"/>
      <c r="J439" s="229"/>
      <c r="K439" s="229"/>
      <c r="L439" s="229"/>
      <c r="M439" s="229"/>
      <c r="N439" s="230"/>
      <c r="O439" s="231"/>
      <c r="P439" s="105"/>
      <c r="Q439" s="105"/>
      <c r="R439" s="105"/>
      <c r="S439" s="105"/>
      <c r="T439" s="105"/>
    </row>
    <row r="440" hidden="1">
      <c r="A440" s="196">
        <v>459.0</v>
      </c>
      <c r="B440" s="227"/>
      <c r="C440" s="214"/>
      <c r="D440" s="228"/>
      <c r="E440" s="214"/>
      <c r="F440" s="228"/>
      <c r="G440" s="228"/>
      <c r="H440" s="228"/>
      <c r="I440" s="229"/>
      <c r="J440" s="229"/>
      <c r="K440" s="229"/>
      <c r="L440" s="229"/>
      <c r="M440" s="229"/>
      <c r="N440" s="230"/>
      <c r="O440" s="231"/>
      <c r="P440" s="105"/>
      <c r="Q440" s="105"/>
      <c r="R440" s="105"/>
      <c r="S440" s="105"/>
      <c r="T440" s="105"/>
    </row>
    <row r="441" hidden="1">
      <c r="A441" s="198">
        <v>460.0</v>
      </c>
      <c r="B441" s="249"/>
      <c r="C441" s="241"/>
      <c r="D441" s="241"/>
      <c r="E441" s="241"/>
      <c r="F441" s="241"/>
      <c r="G441" s="241"/>
      <c r="H441" s="241"/>
      <c r="I441" s="242"/>
      <c r="J441" s="242"/>
      <c r="K441" s="242"/>
      <c r="L441" s="242"/>
      <c r="M441" s="242"/>
      <c r="N441" s="241"/>
      <c r="O441" s="242"/>
      <c r="P441" s="105"/>
      <c r="Q441" s="105"/>
      <c r="R441" s="105"/>
      <c r="S441" s="105"/>
      <c r="T441" s="105"/>
    </row>
    <row r="442">
      <c r="A442" s="196">
        <v>463.0</v>
      </c>
      <c r="B442" s="243" t="s">
        <v>2334</v>
      </c>
      <c r="C442" s="9"/>
      <c r="D442" s="9"/>
      <c r="E442" s="10"/>
      <c r="F442" s="244"/>
      <c r="G442" s="244"/>
      <c r="H442" s="244"/>
      <c r="I442" s="245"/>
      <c r="J442" s="245"/>
      <c r="K442" s="245"/>
      <c r="L442" s="245"/>
      <c r="M442" s="245"/>
      <c r="N442" s="244"/>
      <c r="O442" s="245"/>
      <c r="P442" s="105"/>
      <c r="Q442" s="105"/>
      <c r="R442" s="105"/>
      <c r="S442" s="105"/>
      <c r="T442" s="105"/>
    </row>
    <row r="443" hidden="1">
      <c r="A443" s="198">
        <v>464.0</v>
      </c>
      <c r="B443" s="250" t="s">
        <v>2335</v>
      </c>
      <c r="C443" s="9"/>
      <c r="D443" s="9"/>
      <c r="E443" s="10"/>
      <c r="F443" s="251"/>
      <c r="G443" s="251"/>
      <c r="H443" s="251"/>
      <c r="I443" s="252"/>
      <c r="J443" s="252"/>
      <c r="K443" s="252"/>
      <c r="L443" s="252"/>
      <c r="M443" s="252"/>
      <c r="N443" s="251"/>
      <c r="O443" s="252"/>
      <c r="P443" s="105"/>
      <c r="Q443" s="105"/>
      <c r="R443" s="105"/>
      <c r="S443" s="105"/>
      <c r="T443" s="105"/>
    </row>
    <row r="444" hidden="1">
      <c r="A444" s="196">
        <v>465.0</v>
      </c>
      <c r="B444" s="253" t="s">
        <v>1735</v>
      </c>
      <c r="C444" s="253" t="s">
        <v>1736</v>
      </c>
      <c r="D444" s="253" t="s">
        <v>1737</v>
      </c>
      <c r="E444" s="253" t="s">
        <v>1738</v>
      </c>
      <c r="F444" s="254" t="s">
        <v>1815</v>
      </c>
      <c r="G444" s="255"/>
      <c r="H444" s="255"/>
      <c r="I444" s="256" t="s">
        <v>3097</v>
      </c>
      <c r="J444" s="9"/>
      <c r="K444" s="9"/>
      <c r="L444" s="9"/>
      <c r="M444" s="9"/>
      <c r="N444" s="9"/>
      <c r="O444" s="10"/>
      <c r="P444" s="105"/>
      <c r="Q444" s="105"/>
      <c r="R444" s="105"/>
      <c r="S444" s="105"/>
      <c r="T444" s="105"/>
    </row>
    <row r="445" hidden="1">
      <c r="A445" s="198">
        <v>466.0</v>
      </c>
      <c r="B445" s="253"/>
      <c r="C445" s="253"/>
      <c r="D445" s="253"/>
      <c r="E445" s="253"/>
      <c r="F445" s="262"/>
      <c r="G445" s="263"/>
      <c r="H445" s="263" t="s">
        <v>2483</v>
      </c>
      <c r="I445" s="144" t="s">
        <v>3094</v>
      </c>
      <c r="J445" s="264" t="s">
        <v>3095</v>
      </c>
      <c r="K445" s="265" t="s">
        <v>3096</v>
      </c>
      <c r="L445" s="264" t="s">
        <v>3098</v>
      </c>
      <c r="M445" s="266" t="s">
        <v>18</v>
      </c>
      <c r="N445" s="143" t="s">
        <v>2491</v>
      </c>
      <c r="O445" s="267" t="s">
        <v>19</v>
      </c>
      <c r="P445" s="105"/>
      <c r="Q445" s="105"/>
      <c r="R445" s="105"/>
      <c r="S445" s="105"/>
      <c r="T445" s="105"/>
    </row>
    <row r="446" hidden="1">
      <c r="A446" s="196">
        <v>467.0</v>
      </c>
      <c r="B446" s="225">
        <v>1.0</v>
      </c>
      <c r="C446" s="214" t="s">
        <v>2336</v>
      </c>
      <c r="D446" s="99"/>
      <c r="E446" s="214" t="s">
        <v>2337</v>
      </c>
      <c r="F446" s="99" t="s">
        <v>3099</v>
      </c>
      <c r="G446" s="215"/>
      <c r="H446" s="215" t="str">
        <f>iferror(vlookup(E446,'Kelas XI - X(32)'!$D$11:$H987,3,false),"")</f>
        <v/>
      </c>
      <c r="I446" s="69">
        <f>iferror(vlookup(E446,'Kelas XI - X(32)'!$D$11:$H987,4,false),"")</f>
        <v>6</v>
      </c>
      <c r="J446" s="222">
        <v>0.0</v>
      </c>
      <c r="K446" s="69">
        <f>iferror(vlookup(E446,'Kelas XI - X(32)'!$D$11:$H987,5,false),"")</f>
        <v>5</v>
      </c>
      <c r="L446" s="223">
        <f t="shared" ref="L446:L481" si="56">K446+J446</f>
        <v>5</v>
      </c>
      <c r="M446" s="146">
        <f t="shared" ref="M446:M481" si="57">(K446+J446)/(I446+1)</f>
        <v>0.7142857143</v>
      </c>
      <c r="N446" s="224"/>
      <c r="O446" s="75" t="str">
        <f t="shared" ref="O446:O481" si="58">IF(M446&gt;=50%,"A","B")</f>
        <v>A</v>
      </c>
      <c r="P446" s="105"/>
      <c r="Q446" s="105"/>
      <c r="R446" s="105"/>
      <c r="S446" s="105"/>
      <c r="T446" s="105"/>
    </row>
    <row r="447" hidden="1">
      <c r="A447" s="198">
        <v>468.0</v>
      </c>
      <c r="B447" s="225">
        <v>2.0</v>
      </c>
      <c r="C447" s="214" t="s">
        <v>2338</v>
      </c>
      <c r="D447" s="99"/>
      <c r="E447" s="214" t="s">
        <v>2339</v>
      </c>
      <c r="F447" s="99" t="s">
        <v>3100</v>
      </c>
      <c r="G447" s="215"/>
      <c r="H447" s="215" t="str">
        <f>iferror(vlookup(E447,'Kelas XI - X(32)'!$D$11:$H987,3,false),"")</f>
        <v>Nadira</v>
      </c>
      <c r="I447" s="69">
        <f>iferror(vlookup(E447,'Kelas XI - X(32)'!$D$11:$H987,4,false),"")</f>
        <v>5</v>
      </c>
      <c r="J447" s="222">
        <v>0.0</v>
      </c>
      <c r="K447" s="69">
        <f>iferror(vlookup(E447,'Kelas XI - X(32)'!$D$11:$H987,5,false),"")</f>
        <v>5</v>
      </c>
      <c r="L447" s="223">
        <f t="shared" si="56"/>
        <v>5</v>
      </c>
      <c r="M447" s="146">
        <f t="shared" si="57"/>
        <v>0.8333333333</v>
      </c>
      <c r="N447" s="224"/>
      <c r="O447" s="75" t="str">
        <f t="shared" si="58"/>
        <v>A</v>
      </c>
      <c r="P447" s="105"/>
      <c r="Q447" s="105"/>
      <c r="R447" s="105"/>
      <c r="S447" s="105"/>
      <c r="T447" s="105"/>
    </row>
    <row r="448" hidden="1">
      <c r="A448" s="196">
        <v>469.0</v>
      </c>
      <c r="B448" s="225">
        <v>3.0</v>
      </c>
      <c r="C448" s="247" t="s">
        <v>2340</v>
      </c>
      <c r="D448" s="115"/>
      <c r="E448" s="247" t="s">
        <v>2341</v>
      </c>
      <c r="F448" s="115" t="s">
        <v>3099</v>
      </c>
      <c r="G448" s="215"/>
      <c r="H448" s="215" t="str">
        <f>iferror(vlookup(E448,'Kelas XI - X(32)'!$D$11:$H987,3,false),"")</f>
        <v>Najmi</v>
      </c>
      <c r="I448" s="69">
        <f>iferror(vlookup(E448,'Kelas XI - X(32)'!$D$11:$H987,4,false),"")</f>
        <v>5</v>
      </c>
      <c r="J448" s="222">
        <v>0.0</v>
      </c>
      <c r="K448" s="69">
        <f>iferror(vlookup(E448,'Kelas XI - X(32)'!$D$11:$H987,5,false),"")</f>
        <v>5</v>
      </c>
      <c r="L448" s="223">
        <f t="shared" si="56"/>
        <v>5</v>
      </c>
      <c r="M448" s="146">
        <f t="shared" si="57"/>
        <v>0.8333333333</v>
      </c>
      <c r="N448" s="224"/>
      <c r="O448" s="75" t="str">
        <f t="shared" si="58"/>
        <v>A</v>
      </c>
      <c r="P448" s="105"/>
      <c r="Q448" s="105"/>
      <c r="R448" s="105"/>
      <c r="S448" s="105"/>
      <c r="T448" s="105"/>
    </row>
    <row r="449" hidden="1">
      <c r="A449" s="198">
        <v>470.0</v>
      </c>
      <c r="B449" s="225">
        <v>4.0</v>
      </c>
      <c r="C449" s="214" t="s">
        <v>2342</v>
      </c>
      <c r="D449" s="99"/>
      <c r="E449" s="214" t="s">
        <v>2343</v>
      </c>
      <c r="F449" s="99" t="s">
        <v>3099</v>
      </c>
      <c r="G449" s="215"/>
      <c r="H449" s="215" t="str">
        <f>iferror(vlookup(E449,'Kelas XI - X(32)'!$D$11:$H987,3,false),"")</f>
        <v>Najmi</v>
      </c>
      <c r="I449" s="69">
        <f>iferror(vlookup(E449,'Kelas XI - X(32)'!$D$11:$H987,4,false),"")</f>
        <v>5</v>
      </c>
      <c r="J449" s="223">
        <f>iferror(vlookup(E449,MasterClass!$C$2:$G987,5,false),"")</f>
        <v>1</v>
      </c>
      <c r="K449" s="69">
        <f>iferror(vlookup(E449,'Kelas XI - X(32)'!$D$11:$H987,5,false),"")</f>
        <v>5</v>
      </c>
      <c r="L449" s="223">
        <f t="shared" si="56"/>
        <v>6</v>
      </c>
      <c r="M449" s="146">
        <f t="shared" si="57"/>
        <v>1</v>
      </c>
      <c r="N449" s="224"/>
      <c r="O449" s="75" t="str">
        <f t="shared" si="58"/>
        <v>A</v>
      </c>
      <c r="P449" s="105"/>
      <c r="Q449" s="105"/>
      <c r="R449" s="105"/>
      <c r="S449" s="105"/>
      <c r="T449" s="105"/>
    </row>
    <row r="450" hidden="1">
      <c r="A450" s="196">
        <v>471.0</v>
      </c>
      <c r="B450" s="225">
        <v>5.0</v>
      </c>
      <c r="C450" s="214" t="s">
        <v>2344</v>
      </c>
      <c r="D450" s="99"/>
      <c r="E450" s="214" t="s">
        <v>2345</v>
      </c>
      <c r="F450" s="99" t="s">
        <v>3100</v>
      </c>
      <c r="G450" s="215"/>
      <c r="H450" s="215" t="str">
        <f>iferror(vlookup(E450,'Kelas XI - X(32)'!$D$11:$H987,3,false),"")</f>
        <v/>
      </c>
      <c r="I450" s="69">
        <v>1.0</v>
      </c>
      <c r="J450" s="222">
        <v>0.0</v>
      </c>
      <c r="K450" s="69">
        <v>0.0</v>
      </c>
      <c r="L450" s="223">
        <f t="shared" si="56"/>
        <v>0</v>
      </c>
      <c r="M450" s="146">
        <f t="shared" si="57"/>
        <v>0</v>
      </c>
      <c r="N450" s="224"/>
      <c r="O450" s="75" t="str">
        <f t="shared" si="58"/>
        <v>B</v>
      </c>
      <c r="P450" s="105"/>
      <c r="Q450" s="105"/>
      <c r="R450" s="105"/>
      <c r="S450" s="105"/>
      <c r="T450" s="105"/>
    </row>
    <row r="451" hidden="1">
      <c r="A451" s="198">
        <v>472.0</v>
      </c>
      <c r="B451" s="225">
        <v>6.0</v>
      </c>
      <c r="C451" s="214" t="s">
        <v>2346</v>
      </c>
      <c r="D451" s="99"/>
      <c r="E451" s="214" t="s">
        <v>2347</v>
      </c>
      <c r="F451" s="99" t="s">
        <v>3100</v>
      </c>
      <c r="G451" s="215"/>
      <c r="H451" s="215" t="str">
        <f>iferror(vlookup(E451,'Kelas XI - X(32)'!$D$11:$H987,3,false),"")</f>
        <v>Rafli</v>
      </c>
      <c r="I451" s="69">
        <f>iferror(vlookup(E451,'Kelas XI - X(32)'!$D$11:$H987,4,false),"")</f>
        <v>4</v>
      </c>
      <c r="J451" s="222">
        <v>0.0</v>
      </c>
      <c r="K451" s="69">
        <v>0.0</v>
      </c>
      <c r="L451" s="223">
        <f t="shared" si="56"/>
        <v>0</v>
      </c>
      <c r="M451" s="146">
        <f t="shared" si="57"/>
        <v>0</v>
      </c>
      <c r="N451" s="224"/>
      <c r="O451" s="75" t="str">
        <f t="shared" si="58"/>
        <v>B</v>
      </c>
      <c r="P451" s="105"/>
      <c r="Q451" s="105"/>
      <c r="R451" s="105"/>
      <c r="S451" s="105"/>
      <c r="T451" s="105"/>
    </row>
    <row r="452" hidden="1">
      <c r="A452" s="196">
        <v>473.0</v>
      </c>
      <c r="B452" s="225">
        <v>7.0</v>
      </c>
      <c r="C452" s="214" t="s">
        <v>2348</v>
      </c>
      <c r="D452" s="99"/>
      <c r="E452" s="214" t="s">
        <v>2349</v>
      </c>
      <c r="F452" s="99" t="s">
        <v>3100</v>
      </c>
      <c r="G452" s="215"/>
      <c r="H452" s="215" t="str">
        <f>iferror(vlookup(E452,'Kelas XI - X(32)'!$D$11:$H987,3,false),"")</f>
        <v>Najmi</v>
      </c>
      <c r="I452" s="69">
        <f>iferror(vlookup(E452,'Kelas XI - X(32)'!$D$11:$H987,4,false),"")</f>
        <v>5</v>
      </c>
      <c r="J452" s="222">
        <v>0.0</v>
      </c>
      <c r="K452" s="69">
        <f>iferror(vlookup(E452,'Kelas XI - X(32)'!$D$11:$H987,5,false),"")</f>
        <v>5</v>
      </c>
      <c r="L452" s="223">
        <f t="shared" si="56"/>
        <v>5</v>
      </c>
      <c r="M452" s="146">
        <f t="shared" si="57"/>
        <v>0.8333333333</v>
      </c>
      <c r="N452" s="224"/>
      <c r="O452" s="75" t="str">
        <f t="shared" si="58"/>
        <v>A</v>
      </c>
      <c r="P452" s="105"/>
      <c r="Q452" s="105"/>
      <c r="R452" s="105"/>
      <c r="S452" s="105"/>
      <c r="T452" s="105"/>
    </row>
    <row r="453" hidden="1">
      <c r="A453" s="198">
        <v>474.0</v>
      </c>
      <c r="B453" s="225">
        <v>8.0</v>
      </c>
      <c r="C453" s="214" t="s">
        <v>2350</v>
      </c>
      <c r="D453" s="99"/>
      <c r="E453" s="214" t="s">
        <v>2351</v>
      </c>
      <c r="F453" s="99" t="s">
        <v>3100</v>
      </c>
      <c r="G453" s="215"/>
      <c r="H453" s="215" t="str">
        <f>iferror(vlookup(E453,'Kelas XI - X(32)'!$D$11:$H987,3,false),"")</f>
        <v/>
      </c>
      <c r="I453" s="69">
        <v>1.0</v>
      </c>
      <c r="J453" s="222">
        <v>0.0</v>
      </c>
      <c r="K453" s="69">
        <v>0.0</v>
      </c>
      <c r="L453" s="223">
        <f t="shared" si="56"/>
        <v>0</v>
      </c>
      <c r="M453" s="146">
        <f t="shared" si="57"/>
        <v>0</v>
      </c>
      <c r="N453" s="224"/>
      <c r="O453" s="75" t="str">
        <f t="shared" si="58"/>
        <v>B</v>
      </c>
      <c r="P453" s="105"/>
      <c r="Q453" s="105"/>
      <c r="R453" s="105"/>
      <c r="S453" s="105"/>
      <c r="T453" s="105"/>
    </row>
    <row r="454" hidden="1">
      <c r="A454" s="196">
        <v>475.0</v>
      </c>
      <c r="B454" s="225">
        <v>9.0</v>
      </c>
      <c r="C454" s="214" t="s">
        <v>2352</v>
      </c>
      <c r="D454" s="99"/>
      <c r="E454" s="214" t="s">
        <v>2353</v>
      </c>
      <c r="F454" s="99" t="s">
        <v>3100</v>
      </c>
      <c r="G454" s="215"/>
      <c r="H454" s="215" t="str">
        <f>iferror(vlookup(E454,'Kelas XI - X(32)'!$D$11:$H987,3,false),"")</f>
        <v>Iga</v>
      </c>
      <c r="I454" s="69">
        <f>iferror(vlookup(E454,'Kelas XI - X(32)'!$D$11:$H987,4,false),"")</f>
        <v>4</v>
      </c>
      <c r="J454" s="222">
        <v>0.0</v>
      </c>
      <c r="K454" s="69">
        <f>iferror(vlookup(E454,'Kelas XI - X(32)'!$D$11:$H987,5,false),"")</f>
        <v>2</v>
      </c>
      <c r="L454" s="223">
        <f t="shared" si="56"/>
        <v>2</v>
      </c>
      <c r="M454" s="146">
        <f t="shared" si="57"/>
        <v>0.4</v>
      </c>
      <c r="N454" s="224"/>
      <c r="O454" s="75" t="str">
        <f t="shared" si="58"/>
        <v>B</v>
      </c>
      <c r="P454" s="105"/>
      <c r="Q454" s="105"/>
      <c r="R454" s="105"/>
      <c r="S454" s="105"/>
      <c r="T454" s="105"/>
    </row>
    <row r="455" hidden="1">
      <c r="A455" s="198">
        <v>476.0</v>
      </c>
      <c r="B455" s="225">
        <v>10.0</v>
      </c>
      <c r="C455" s="214" t="s">
        <v>2354</v>
      </c>
      <c r="D455" s="117"/>
      <c r="E455" s="214" t="s">
        <v>2355</v>
      </c>
      <c r="F455" s="99" t="s">
        <v>3100</v>
      </c>
      <c r="G455" s="215"/>
      <c r="H455" s="215" t="str">
        <f>iferror(vlookup(E455,'Kelas XI - X(32)'!$D$11:$H987,3,false),"")</f>
        <v>Ramania</v>
      </c>
      <c r="I455" s="69">
        <f>iferror(vlookup(E455,'Kelas XI - X(32)'!$D$11:$H987,4,false),"")</f>
        <v>10</v>
      </c>
      <c r="J455" s="223">
        <f>iferror(vlookup(E455,MasterClass!$C$2:$G987,5,false),"")</f>
        <v>1</v>
      </c>
      <c r="K455" s="69">
        <f>iferror(vlookup(E455,'Kelas XI - X(32)'!$D$11:$H987,5,false),"")</f>
        <v>8</v>
      </c>
      <c r="L455" s="223">
        <f t="shared" si="56"/>
        <v>9</v>
      </c>
      <c r="M455" s="146">
        <f t="shared" si="57"/>
        <v>0.8181818182</v>
      </c>
      <c r="N455" s="224"/>
      <c r="O455" s="75" t="str">
        <f t="shared" si="58"/>
        <v>A</v>
      </c>
      <c r="P455" s="105"/>
      <c r="Q455" s="105"/>
      <c r="R455" s="105"/>
      <c r="S455" s="105"/>
      <c r="T455" s="105"/>
    </row>
    <row r="456" hidden="1">
      <c r="A456" s="196">
        <v>477.0</v>
      </c>
      <c r="B456" s="225">
        <v>11.0</v>
      </c>
      <c r="C456" s="214" t="s">
        <v>2356</v>
      </c>
      <c r="D456" s="99"/>
      <c r="E456" s="214" t="s">
        <v>2357</v>
      </c>
      <c r="F456" s="99" t="s">
        <v>3100</v>
      </c>
      <c r="G456" s="215"/>
      <c r="H456" s="215" t="str">
        <f>iferror(vlookup(E456,'Kelas XI - X(32)'!$D$11:$H987,3,false),"")</f>
        <v/>
      </c>
      <c r="I456" s="69">
        <f>iferror(vlookup(E456,'Kelas XI - X(32)'!$D$11:$H987,4,false),"")</f>
        <v>7</v>
      </c>
      <c r="J456" s="222">
        <v>0.0</v>
      </c>
      <c r="K456" s="69">
        <f>iferror(vlookup(E456,'Kelas XI - X(32)'!$D$11:$H987,5,false),"")</f>
        <v>0</v>
      </c>
      <c r="L456" s="223">
        <f t="shared" si="56"/>
        <v>0</v>
      </c>
      <c r="M456" s="146">
        <f t="shared" si="57"/>
        <v>0</v>
      </c>
      <c r="N456" s="224"/>
      <c r="O456" s="75" t="str">
        <f t="shared" si="58"/>
        <v>B</v>
      </c>
      <c r="P456" s="105"/>
      <c r="Q456" s="105"/>
      <c r="R456" s="105"/>
      <c r="S456" s="105"/>
      <c r="T456" s="105"/>
    </row>
    <row r="457" hidden="1">
      <c r="A457" s="198">
        <v>478.0</v>
      </c>
      <c r="B457" s="225">
        <v>12.0</v>
      </c>
      <c r="C457" s="214" t="s">
        <v>2358</v>
      </c>
      <c r="D457" s="99"/>
      <c r="E457" s="214" t="s">
        <v>2359</v>
      </c>
      <c r="F457" s="99" t="s">
        <v>3100</v>
      </c>
      <c r="G457" s="215"/>
      <c r="H457" s="215" t="str">
        <f>iferror(vlookup(E457,'Kelas XI - X(32)'!$D$11:$H987,3,false),"")</f>
        <v>Ramania</v>
      </c>
      <c r="I457" s="69">
        <f>iferror(vlookup(E457,'Kelas XI - X(32)'!$D$11:$H987,4,false),"")</f>
        <v>10</v>
      </c>
      <c r="J457" s="222">
        <v>0.0</v>
      </c>
      <c r="K457" s="69">
        <f>iferror(vlookup(E457,'Kelas XI - X(32)'!$D$11:$H987,5,false),"")</f>
        <v>5</v>
      </c>
      <c r="L457" s="223">
        <f t="shared" si="56"/>
        <v>5</v>
      </c>
      <c r="M457" s="146">
        <f t="shared" si="57"/>
        <v>0.4545454545</v>
      </c>
      <c r="N457" s="224"/>
      <c r="O457" s="75" t="str">
        <f t="shared" si="58"/>
        <v>B</v>
      </c>
      <c r="P457" s="105"/>
      <c r="Q457" s="105"/>
      <c r="R457" s="105"/>
      <c r="S457" s="105"/>
      <c r="T457" s="105"/>
    </row>
    <row r="458" hidden="1">
      <c r="A458" s="196">
        <v>479.0</v>
      </c>
      <c r="B458" s="225">
        <v>13.0</v>
      </c>
      <c r="C458" s="214" t="s">
        <v>2360</v>
      </c>
      <c r="D458" s="99"/>
      <c r="E458" s="214" t="s">
        <v>2361</v>
      </c>
      <c r="F458" s="99" t="s">
        <v>3100</v>
      </c>
      <c r="G458" s="215"/>
      <c r="H458" s="215" t="str">
        <f>iferror(vlookup(E458,'Kelas XI - X(32)'!$D$11:$H987,3,false),"")</f>
        <v>Arya</v>
      </c>
      <c r="I458" s="69">
        <f>iferror(vlookup(E458,'Kelas XI - X(32)'!$D$11:$H987,4,false),"")</f>
        <v>5</v>
      </c>
      <c r="J458" s="222">
        <v>0.0</v>
      </c>
      <c r="K458" s="69">
        <v>0.0</v>
      </c>
      <c r="L458" s="223">
        <f t="shared" si="56"/>
        <v>0</v>
      </c>
      <c r="M458" s="146">
        <f t="shared" si="57"/>
        <v>0</v>
      </c>
      <c r="N458" s="224"/>
      <c r="O458" s="75" t="str">
        <f t="shared" si="58"/>
        <v>B</v>
      </c>
      <c r="P458" s="105"/>
      <c r="Q458" s="105"/>
      <c r="R458" s="105"/>
      <c r="S458" s="105"/>
      <c r="T458" s="105"/>
    </row>
    <row r="459" hidden="1">
      <c r="A459" s="198">
        <v>480.0</v>
      </c>
      <c r="B459" s="234">
        <v>14.0</v>
      </c>
      <c r="C459" s="104" t="s">
        <v>2362</v>
      </c>
      <c r="D459" s="246"/>
      <c r="E459" s="104" t="s">
        <v>2363</v>
      </c>
      <c r="F459" s="246" t="s">
        <v>3099</v>
      </c>
      <c r="G459" s="235"/>
      <c r="H459" s="235" t="str">
        <f>iferror(vlookup(E459,'Kelas XI - X(32)'!$D$11:$H987,3,false),"")</f>
        <v/>
      </c>
      <c r="I459" s="150">
        <v>1.0</v>
      </c>
      <c r="J459" s="216">
        <v>0.0</v>
      </c>
      <c r="K459" s="150">
        <v>0.0</v>
      </c>
      <c r="L459" s="217">
        <f t="shared" si="56"/>
        <v>0</v>
      </c>
      <c r="M459" s="218">
        <f t="shared" si="57"/>
        <v>0</v>
      </c>
      <c r="N459" s="219"/>
      <c r="O459" s="75" t="str">
        <f t="shared" si="58"/>
        <v>B</v>
      </c>
      <c r="P459" s="195"/>
      <c r="Q459" s="105"/>
      <c r="R459" s="105"/>
      <c r="S459" s="105"/>
      <c r="T459" s="105"/>
    </row>
    <row r="460" hidden="1">
      <c r="A460" s="196">
        <v>481.0</v>
      </c>
      <c r="B460" s="234">
        <v>15.0</v>
      </c>
      <c r="C460" s="272" t="s">
        <v>2364</v>
      </c>
      <c r="D460" s="273"/>
      <c r="E460" s="272" t="s">
        <v>2365</v>
      </c>
      <c r="F460" s="273" t="s">
        <v>3100</v>
      </c>
      <c r="G460" s="235"/>
      <c r="H460" s="235" t="str">
        <f>iferror(vlookup(E460,'Kelas XI - X(32)'!$D$11:$H987,3,false),"")</f>
        <v/>
      </c>
      <c r="I460" s="150">
        <f>iferror(vlookup(E460,'Kelas XI - X(32)'!$D$11:$H987,4,false),"")</f>
        <v>8</v>
      </c>
      <c r="J460" s="216">
        <v>0.0</v>
      </c>
      <c r="K460" s="150">
        <f>iferror(vlookup(E460,'Kelas XI - X(32)'!$D$11:$H987,5,false),"")</f>
        <v>3</v>
      </c>
      <c r="L460" s="217">
        <f t="shared" si="56"/>
        <v>3</v>
      </c>
      <c r="M460" s="218">
        <f t="shared" si="57"/>
        <v>0.3333333333</v>
      </c>
      <c r="N460" s="219"/>
      <c r="O460" s="75" t="str">
        <f t="shared" si="58"/>
        <v>B</v>
      </c>
      <c r="P460" s="195"/>
      <c r="Q460" s="105"/>
      <c r="R460" s="105"/>
      <c r="S460" s="105"/>
      <c r="T460" s="105"/>
    </row>
    <row r="461" hidden="1">
      <c r="A461" s="198">
        <v>482.0</v>
      </c>
      <c r="B461" s="234">
        <v>16.0</v>
      </c>
      <c r="C461" s="272" t="s">
        <v>2366</v>
      </c>
      <c r="D461" s="273"/>
      <c r="E461" s="272" t="s">
        <v>2367</v>
      </c>
      <c r="F461" s="273" t="s">
        <v>3099</v>
      </c>
      <c r="G461" s="235"/>
      <c r="H461" s="235" t="str">
        <f>iferror(vlookup(E461,'Kelas XI - X(32)'!$D$11:$H987,3,false),"")</f>
        <v/>
      </c>
      <c r="I461" s="150">
        <f>iferror(vlookup(E461,'Kelas XI - X(32)'!$D$11:$H987,4,false),"")</f>
        <v>7</v>
      </c>
      <c r="J461" s="216">
        <v>0.0</v>
      </c>
      <c r="K461" s="150">
        <v>0.0</v>
      </c>
      <c r="L461" s="217">
        <f t="shared" si="56"/>
        <v>0</v>
      </c>
      <c r="M461" s="218">
        <f t="shared" si="57"/>
        <v>0</v>
      </c>
      <c r="N461" s="219"/>
      <c r="O461" s="75" t="str">
        <f t="shared" si="58"/>
        <v>B</v>
      </c>
      <c r="P461" s="195"/>
      <c r="Q461" s="105"/>
      <c r="R461" s="105"/>
      <c r="S461" s="105"/>
      <c r="T461" s="105"/>
    </row>
    <row r="462" hidden="1">
      <c r="A462" s="196">
        <v>483.0</v>
      </c>
      <c r="B462" s="234">
        <v>17.0</v>
      </c>
      <c r="C462" s="104" t="s">
        <v>2368</v>
      </c>
      <c r="D462" s="246"/>
      <c r="E462" s="104" t="s">
        <v>2369</v>
      </c>
      <c r="F462" s="246" t="s">
        <v>3099</v>
      </c>
      <c r="G462" s="235"/>
      <c r="H462" s="235" t="str">
        <f>iferror(vlookup(E462,'Kelas XI - X(32)'!$D$11:$H987,3,false),"")</f>
        <v/>
      </c>
      <c r="I462" s="150">
        <v>1.0</v>
      </c>
      <c r="J462" s="217">
        <f>iferror(vlookup(E462,MasterClass!$C$2:$G987,5,false),"")</f>
        <v>1</v>
      </c>
      <c r="K462" s="150">
        <v>0.0</v>
      </c>
      <c r="L462" s="217">
        <f t="shared" si="56"/>
        <v>1</v>
      </c>
      <c r="M462" s="218">
        <f t="shared" si="57"/>
        <v>0.5</v>
      </c>
      <c r="N462" s="219"/>
      <c r="O462" s="75" t="str">
        <f t="shared" si="58"/>
        <v>A</v>
      </c>
      <c r="P462" s="195"/>
      <c r="Q462" s="105"/>
      <c r="R462" s="105"/>
      <c r="S462" s="105"/>
      <c r="T462" s="105"/>
    </row>
    <row r="463" hidden="1">
      <c r="A463" s="198">
        <v>484.0</v>
      </c>
      <c r="B463" s="234">
        <v>18.0</v>
      </c>
      <c r="C463" s="104" t="s">
        <v>2370</v>
      </c>
      <c r="D463" s="246"/>
      <c r="E463" s="104" t="s">
        <v>2371</v>
      </c>
      <c r="F463" s="246" t="s">
        <v>3099</v>
      </c>
      <c r="G463" s="235"/>
      <c r="H463" s="235" t="str">
        <f>iferror(vlookup(E463,'Kelas XI - X(32)'!$D$11:$H987,3,false),"")</f>
        <v>Najmi</v>
      </c>
      <c r="I463" s="150">
        <f>iferror(vlookup(E463,'Kelas XI - X(32)'!$D$11:$H987,4,false),"")</f>
        <v>5</v>
      </c>
      <c r="J463" s="216">
        <v>0.0</v>
      </c>
      <c r="K463" s="150">
        <f>iferror(vlookup(E463,'Kelas XI - X(32)'!$D$11:$H987,5,false),"")</f>
        <v>5</v>
      </c>
      <c r="L463" s="217">
        <f t="shared" si="56"/>
        <v>5</v>
      </c>
      <c r="M463" s="218">
        <f t="shared" si="57"/>
        <v>0.8333333333</v>
      </c>
      <c r="N463" s="219"/>
      <c r="O463" s="75" t="str">
        <f t="shared" si="58"/>
        <v>A</v>
      </c>
      <c r="P463" s="195"/>
      <c r="Q463" s="105"/>
      <c r="R463" s="105"/>
      <c r="S463" s="105"/>
      <c r="T463" s="105"/>
    </row>
    <row r="464" hidden="1">
      <c r="A464" s="196">
        <v>485.0</v>
      </c>
      <c r="B464" s="234">
        <v>19.0</v>
      </c>
      <c r="C464" s="104" t="s">
        <v>2372</v>
      </c>
      <c r="D464" s="246"/>
      <c r="E464" s="104" t="s">
        <v>2373</v>
      </c>
      <c r="F464" s="246" t="s">
        <v>3099</v>
      </c>
      <c r="G464" s="235"/>
      <c r="H464" s="235" t="str">
        <f>iferror(vlookup(E464,'Kelas XI - X(32)'!$D$11:$H987,3,false),"")</f>
        <v/>
      </c>
      <c r="I464" s="150">
        <v>1.0</v>
      </c>
      <c r="J464" s="216">
        <v>0.0</v>
      </c>
      <c r="K464" s="150">
        <v>0.0</v>
      </c>
      <c r="L464" s="217">
        <f t="shared" si="56"/>
        <v>0</v>
      </c>
      <c r="M464" s="218">
        <f t="shared" si="57"/>
        <v>0</v>
      </c>
      <c r="N464" s="219"/>
      <c r="O464" s="75" t="str">
        <f t="shared" si="58"/>
        <v>B</v>
      </c>
      <c r="P464" s="195"/>
      <c r="Q464" s="105"/>
      <c r="R464" s="105"/>
      <c r="S464" s="105"/>
      <c r="T464" s="105"/>
    </row>
    <row r="465" hidden="1">
      <c r="A465" s="198">
        <v>486.0</v>
      </c>
      <c r="B465" s="234">
        <v>20.0</v>
      </c>
      <c r="C465" s="104" t="s">
        <v>2374</v>
      </c>
      <c r="D465" s="246"/>
      <c r="E465" s="104" t="s">
        <v>2375</v>
      </c>
      <c r="F465" s="246" t="s">
        <v>3100</v>
      </c>
      <c r="G465" s="235"/>
      <c r="H465" s="235" t="str">
        <f>iferror(vlookup(E465,'Kelas XI - X(32)'!$D$11:$H987,3,false),"")</f>
        <v/>
      </c>
      <c r="I465" s="150">
        <v>1.0</v>
      </c>
      <c r="J465" s="216">
        <v>0.0</v>
      </c>
      <c r="K465" s="150">
        <v>0.0</v>
      </c>
      <c r="L465" s="217">
        <f t="shared" si="56"/>
        <v>0</v>
      </c>
      <c r="M465" s="218">
        <f t="shared" si="57"/>
        <v>0</v>
      </c>
      <c r="N465" s="219"/>
      <c r="O465" s="75" t="str">
        <f t="shared" si="58"/>
        <v>B</v>
      </c>
      <c r="P465" s="195"/>
      <c r="Q465" s="105"/>
      <c r="R465" s="105"/>
      <c r="S465" s="105"/>
      <c r="T465" s="105"/>
    </row>
    <row r="466" hidden="1">
      <c r="A466" s="196">
        <v>487.0</v>
      </c>
      <c r="B466" s="234">
        <v>21.0</v>
      </c>
      <c r="C466" s="104" t="s">
        <v>2376</v>
      </c>
      <c r="D466" s="246"/>
      <c r="E466" s="104" t="s">
        <v>2377</v>
      </c>
      <c r="F466" s="246" t="s">
        <v>3100</v>
      </c>
      <c r="G466" s="235"/>
      <c r="H466" s="235" t="str">
        <f>iferror(vlookup(E466,'Kelas XI - X(32)'!$D$11:$H987,3,false),"")</f>
        <v>Arya</v>
      </c>
      <c r="I466" s="150">
        <f>iferror(vlookup(E466,'Kelas XI - X(32)'!$D$11:$H987,4,false),"")</f>
        <v>5</v>
      </c>
      <c r="J466" s="216">
        <v>0.0</v>
      </c>
      <c r="K466" s="150">
        <v>0.0</v>
      </c>
      <c r="L466" s="217">
        <f t="shared" si="56"/>
        <v>0</v>
      </c>
      <c r="M466" s="218">
        <f t="shared" si="57"/>
        <v>0</v>
      </c>
      <c r="N466" s="219"/>
      <c r="O466" s="75" t="str">
        <f t="shared" si="58"/>
        <v>B</v>
      </c>
      <c r="P466" s="195"/>
      <c r="Q466" s="105"/>
      <c r="R466" s="105"/>
      <c r="S466" s="105"/>
      <c r="T466" s="105"/>
    </row>
    <row r="467" hidden="1">
      <c r="A467" s="198">
        <v>488.0</v>
      </c>
      <c r="B467" s="212">
        <v>22.0</v>
      </c>
      <c r="C467" s="213" t="s">
        <v>2378</v>
      </c>
      <c r="D467" s="258"/>
      <c r="E467" s="213" t="s">
        <v>2379</v>
      </c>
      <c r="F467" s="99" t="s">
        <v>3100</v>
      </c>
      <c r="G467" s="215"/>
      <c r="H467" s="215" t="str">
        <f>iferror(vlookup(E467,'Kelas XI - X(32)'!$D$11:$H987,3,false),"")</f>
        <v>Najmi</v>
      </c>
      <c r="I467" s="69">
        <f>iferror(vlookup(E467,'Kelas XI - X(32)'!$D$11:$H987,4,false),"")</f>
        <v>5</v>
      </c>
      <c r="J467" s="216">
        <v>0.0</v>
      </c>
      <c r="K467" s="150">
        <f>iferror(vlookup(E467,'Kelas XI - X(32)'!$D$11:$H987,5,false),"")</f>
        <v>5</v>
      </c>
      <c r="L467" s="217">
        <f t="shared" si="56"/>
        <v>5</v>
      </c>
      <c r="M467" s="218">
        <f t="shared" si="57"/>
        <v>0.8333333333</v>
      </c>
      <c r="N467" s="219"/>
      <c r="O467" s="75" t="str">
        <f t="shared" si="58"/>
        <v>A</v>
      </c>
      <c r="P467" s="195"/>
      <c r="Q467" s="105"/>
      <c r="R467" s="105"/>
      <c r="S467" s="105"/>
      <c r="T467" s="105"/>
    </row>
    <row r="468" hidden="1">
      <c r="A468" s="196">
        <v>489.0</v>
      </c>
      <c r="B468" s="220">
        <v>23.0</v>
      </c>
      <c r="C468" s="221" t="s">
        <v>2380</v>
      </c>
      <c r="D468" s="259"/>
      <c r="E468" s="221" t="s">
        <v>2381</v>
      </c>
      <c r="F468" s="99" t="s">
        <v>3100</v>
      </c>
      <c r="G468" s="215"/>
      <c r="H468" s="215" t="str">
        <f>iferror(vlookup(E468,'Kelas XI - X(32)'!$D$11:$H987,3,false),"")</f>
        <v/>
      </c>
      <c r="I468" s="69">
        <f>iferror(vlookup(E468,'Kelas XI - X(32)'!$D$11:$H987,4,false),"")</f>
        <v>6</v>
      </c>
      <c r="J468" s="222">
        <v>0.0</v>
      </c>
      <c r="K468" s="69">
        <f>iferror(vlookup(E468,'Kelas XI - X(32)'!$D$11:$H987,5,false),"")</f>
        <v>5</v>
      </c>
      <c r="L468" s="223">
        <f t="shared" si="56"/>
        <v>5</v>
      </c>
      <c r="M468" s="146">
        <f t="shared" si="57"/>
        <v>0.7142857143</v>
      </c>
      <c r="N468" s="224"/>
      <c r="O468" s="75" t="str">
        <f t="shared" si="58"/>
        <v>A</v>
      </c>
      <c r="P468" s="195"/>
      <c r="Q468" s="105"/>
      <c r="R468" s="105"/>
      <c r="S468" s="105"/>
      <c r="T468" s="105"/>
    </row>
    <row r="469" hidden="1">
      <c r="A469" s="198">
        <v>490.0</v>
      </c>
      <c r="B469" s="225">
        <v>24.0</v>
      </c>
      <c r="C469" s="214" t="s">
        <v>2382</v>
      </c>
      <c r="D469" s="99"/>
      <c r="E469" s="277" t="s">
        <v>2383</v>
      </c>
      <c r="F469" s="99" t="s">
        <v>3100</v>
      </c>
      <c r="G469" s="215"/>
      <c r="H469" s="215" t="str">
        <f>iferror(vlookup(E469,'Kelas XI - X(32)'!$D$11:$H987,3,false),"")</f>
        <v/>
      </c>
      <c r="I469" s="69">
        <v>1.0</v>
      </c>
      <c r="J469" s="222">
        <v>0.0</v>
      </c>
      <c r="K469" s="69">
        <v>0.0</v>
      </c>
      <c r="L469" s="223">
        <f t="shared" si="56"/>
        <v>0</v>
      </c>
      <c r="M469" s="146">
        <f t="shared" si="57"/>
        <v>0</v>
      </c>
      <c r="N469" s="224"/>
      <c r="O469" s="75" t="str">
        <f t="shared" si="58"/>
        <v>B</v>
      </c>
      <c r="P469" s="105"/>
      <c r="Q469" s="105"/>
      <c r="R469" s="105"/>
      <c r="S469" s="105"/>
      <c r="T469" s="105"/>
    </row>
    <row r="470" hidden="1">
      <c r="A470" s="196">
        <v>491.0</v>
      </c>
      <c r="B470" s="225">
        <v>25.0</v>
      </c>
      <c r="C470" s="214" t="s">
        <v>2384</v>
      </c>
      <c r="D470" s="99"/>
      <c r="E470" s="214" t="s">
        <v>2385</v>
      </c>
      <c r="F470" s="99" t="s">
        <v>3099</v>
      </c>
      <c r="G470" s="215"/>
      <c r="H470" s="215" t="str">
        <f>iferror(vlookup(E470,'Kelas XI - X(32)'!$D$11:$H987,3,false),"")</f>
        <v/>
      </c>
      <c r="I470" s="69">
        <f>iferror(vlookup(E470,'Kelas XI - X(32)'!$D$11:$H987,4,false),"")</f>
        <v>7</v>
      </c>
      <c r="J470" s="222">
        <v>1.0</v>
      </c>
      <c r="K470" s="69">
        <f>iferror(vlookup(E470,'Kelas XI - X(32)'!$D$11:$H987,5,false),"")</f>
        <v>2</v>
      </c>
      <c r="L470" s="223">
        <f t="shared" si="56"/>
        <v>3</v>
      </c>
      <c r="M470" s="146">
        <f t="shared" si="57"/>
        <v>0.375</v>
      </c>
      <c r="N470" s="224"/>
      <c r="O470" s="75" t="str">
        <f t="shared" si="58"/>
        <v>B</v>
      </c>
      <c r="P470" s="105"/>
      <c r="Q470" s="105"/>
      <c r="R470" s="105"/>
      <c r="S470" s="105"/>
      <c r="T470" s="105"/>
    </row>
    <row r="471" hidden="1">
      <c r="A471" s="198">
        <v>492.0</v>
      </c>
      <c r="B471" s="225">
        <v>26.0</v>
      </c>
      <c r="C471" s="214" t="s">
        <v>2386</v>
      </c>
      <c r="D471" s="99"/>
      <c r="E471" s="214" t="s">
        <v>2387</v>
      </c>
      <c r="F471" s="99" t="s">
        <v>3099</v>
      </c>
      <c r="G471" s="215"/>
      <c r="H471" s="215" t="str">
        <f>iferror(vlookup(E471,'Kelas XI - X(32)'!$D$11:$H987,3,false),"")</f>
        <v/>
      </c>
      <c r="I471" s="69">
        <f>iferror(vlookup(E471,'Kelas XI - X(32)'!$D$11:$H987,4,false),"")</f>
        <v>6</v>
      </c>
      <c r="J471" s="222">
        <v>0.0</v>
      </c>
      <c r="K471" s="69">
        <f>iferror(vlookup(E471,'Kelas XI - X(32)'!$D$11:$H987,5,false),"")</f>
        <v>4</v>
      </c>
      <c r="L471" s="223">
        <f t="shared" si="56"/>
        <v>4</v>
      </c>
      <c r="M471" s="146">
        <f t="shared" si="57"/>
        <v>0.5714285714</v>
      </c>
      <c r="N471" s="224"/>
      <c r="O471" s="75" t="str">
        <f t="shared" si="58"/>
        <v>A</v>
      </c>
      <c r="P471" s="105"/>
      <c r="Q471" s="105"/>
      <c r="R471" s="105"/>
      <c r="S471" s="105"/>
      <c r="T471" s="105"/>
    </row>
    <row r="472" hidden="1">
      <c r="A472" s="196">
        <v>493.0</v>
      </c>
      <c r="B472" s="225">
        <v>27.0</v>
      </c>
      <c r="C472" s="214" t="s">
        <v>2388</v>
      </c>
      <c r="D472" s="99"/>
      <c r="E472" s="214" t="s">
        <v>2389</v>
      </c>
      <c r="F472" s="99" t="s">
        <v>3100</v>
      </c>
      <c r="G472" s="215"/>
      <c r="H472" s="215" t="str">
        <f>iferror(vlookup(E472,'Kelas XI - X(32)'!$D$11:$H987,3,false),"")</f>
        <v/>
      </c>
      <c r="I472" s="69">
        <f>iferror(vlookup(E472,'Kelas XI - X(32)'!$D$11:$H987,4,false),"")</f>
        <v>8</v>
      </c>
      <c r="J472" s="222">
        <v>0.0</v>
      </c>
      <c r="K472" s="69">
        <f>iferror(vlookup(E472,'Kelas XI - X(32)'!$D$11:$H987,5,false),"")</f>
        <v>0</v>
      </c>
      <c r="L472" s="223">
        <f t="shared" si="56"/>
        <v>0</v>
      </c>
      <c r="M472" s="146">
        <f t="shared" si="57"/>
        <v>0</v>
      </c>
      <c r="N472" s="224"/>
      <c r="O472" s="75" t="str">
        <f t="shared" si="58"/>
        <v>B</v>
      </c>
      <c r="P472" s="105"/>
      <c r="Q472" s="105"/>
      <c r="R472" s="105"/>
      <c r="S472" s="105"/>
      <c r="T472" s="105"/>
    </row>
    <row r="473" hidden="1">
      <c r="A473" s="198">
        <v>494.0</v>
      </c>
      <c r="B473" s="225">
        <v>28.0</v>
      </c>
      <c r="C473" s="214" t="s">
        <v>2390</v>
      </c>
      <c r="D473" s="99"/>
      <c r="E473" s="214" t="s">
        <v>2391</v>
      </c>
      <c r="F473" s="99" t="s">
        <v>3100</v>
      </c>
      <c r="G473" s="215"/>
      <c r="H473" s="215" t="str">
        <f>iferror(vlookup(E473,'Kelas XI - X(32)'!$D$11:$H987,3,false),"")</f>
        <v/>
      </c>
      <c r="I473" s="69">
        <f>iferror(vlookup(E473,'Kelas XI - X(32)'!$D$11:$H987,4,false),"")</f>
        <v>7</v>
      </c>
      <c r="J473" s="222">
        <v>0.0</v>
      </c>
      <c r="K473" s="69">
        <f>iferror(vlookup(E473,'Kelas XI - X(32)'!$D$11:$H987,5,false),"")</f>
        <v>2</v>
      </c>
      <c r="L473" s="223">
        <f t="shared" si="56"/>
        <v>2</v>
      </c>
      <c r="M473" s="146">
        <f t="shared" si="57"/>
        <v>0.25</v>
      </c>
      <c r="N473" s="224"/>
      <c r="O473" s="75" t="str">
        <f t="shared" si="58"/>
        <v>B</v>
      </c>
      <c r="P473" s="105"/>
      <c r="Q473" s="105"/>
      <c r="R473" s="105"/>
      <c r="S473" s="105"/>
      <c r="T473" s="105"/>
    </row>
    <row r="474" hidden="1">
      <c r="A474" s="196">
        <v>495.0</v>
      </c>
      <c r="B474" s="225">
        <v>29.0</v>
      </c>
      <c r="C474" s="214" t="s">
        <v>2392</v>
      </c>
      <c r="D474" s="99"/>
      <c r="E474" s="214" t="s">
        <v>2393</v>
      </c>
      <c r="F474" s="99" t="s">
        <v>3100</v>
      </c>
      <c r="G474" s="215"/>
      <c r="H474" s="215" t="str">
        <f>iferror(vlookup(E474,'Kelas XI - X(32)'!$D$11:$H987,3,false),"")</f>
        <v/>
      </c>
      <c r="I474" s="69">
        <f>iferror(vlookup(E474,'Kelas XI - X(32)'!$D$11:$H987,4,false),"")</f>
        <v>8</v>
      </c>
      <c r="J474" s="222">
        <v>0.0</v>
      </c>
      <c r="K474" s="69">
        <f>iferror(vlookup(E474,'Kelas XI - X(32)'!$D$11:$H987,5,false),"")</f>
        <v>1</v>
      </c>
      <c r="L474" s="223">
        <f t="shared" si="56"/>
        <v>1</v>
      </c>
      <c r="M474" s="146">
        <f t="shared" si="57"/>
        <v>0.1111111111</v>
      </c>
      <c r="N474" s="224"/>
      <c r="O474" s="75" t="str">
        <f t="shared" si="58"/>
        <v>B</v>
      </c>
      <c r="P474" s="105"/>
      <c r="Q474" s="105"/>
      <c r="R474" s="105"/>
      <c r="S474" s="105"/>
      <c r="T474" s="105"/>
    </row>
    <row r="475" hidden="1">
      <c r="A475" s="198">
        <v>496.0</v>
      </c>
      <c r="B475" s="225">
        <v>30.0</v>
      </c>
      <c r="C475" s="214" t="s">
        <v>2394</v>
      </c>
      <c r="D475" s="99"/>
      <c r="E475" s="214" t="s">
        <v>2395</v>
      </c>
      <c r="F475" s="99" t="s">
        <v>3099</v>
      </c>
      <c r="G475" s="215"/>
      <c r="H475" s="215" t="str">
        <f>iferror(vlookup(E475,'Kelas XI - X(32)'!$D$11:$H987,3,false),"")</f>
        <v/>
      </c>
      <c r="I475" s="69">
        <v>1.0</v>
      </c>
      <c r="J475" s="222">
        <v>0.0</v>
      </c>
      <c r="K475" s="69">
        <v>0.0</v>
      </c>
      <c r="L475" s="223">
        <f t="shared" si="56"/>
        <v>0</v>
      </c>
      <c r="M475" s="146">
        <f t="shared" si="57"/>
        <v>0</v>
      </c>
      <c r="N475" s="224"/>
      <c r="O475" s="75" t="str">
        <f t="shared" si="58"/>
        <v>B</v>
      </c>
      <c r="P475" s="105"/>
      <c r="Q475" s="105"/>
      <c r="R475" s="105"/>
      <c r="S475" s="105"/>
      <c r="T475" s="105"/>
    </row>
    <row r="476" hidden="1">
      <c r="A476" s="196">
        <v>497.0</v>
      </c>
      <c r="B476" s="225">
        <v>31.0</v>
      </c>
      <c r="C476" s="214" t="s">
        <v>2396</v>
      </c>
      <c r="D476" s="99"/>
      <c r="E476" s="214" t="s">
        <v>2397</v>
      </c>
      <c r="F476" s="99" t="s">
        <v>3100</v>
      </c>
      <c r="G476" s="215"/>
      <c r="H476" s="215" t="str">
        <f>iferror(vlookup(E476,'Kelas XI - X(32)'!$D$11:$H987,3,false),"")</f>
        <v>Ramania</v>
      </c>
      <c r="I476" s="69">
        <f>iferror(vlookup(E476,'Kelas XI - X(32)'!$D$11:$H987,4,false),"")</f>
        <v>10</v>
      </c>
      <c r="J476" s="223">
        <f>iferror(vlookup(E476,MasterClass!$C$2:$G987,5,false),"")</f>
        <v>1</v>
      </c>
      <c r="K476" s="69">
        <f>iferror(vlookup(E476,'Kelas XI - X(32)'!$D$11:$H987,5,false),"")</f>
        <v>4</v>
      </c>
      <c r="L476" s="223">
        <f t="shared" si="56"/>
        <v>5</v>
      </c>
      <c r="M476" s="146">
        <f t="shared" si="57"/>
        <v>0.4545454545</v>
      </c>
      <c r="N476" s="224"/>
      <c r="O476" s="75" t="str">
        <f t="shared" si="58"/>
        <v>B</v>
      </c>
      <c r="P476" s="105"/>
      <c r="Q476" s="105"/>
      <c r="R476" s="105"/>
      <c r="S476" s="105"/>
      <c r="T476" s="105"/>
    </row>
    <row r="477" hidden="1">
      <c r="A477" s="198">
        <v>498.0</v>
      </c>
      <c r="B477" s="225">
        <v>32.0</v>
      </c>
      <c r="C477" s="214" t="s">
        <v>2398</v>
      </c>
      <c r="D477" s="99"/>
      <c r="E477" s="214" t="s">
        <v>2399</v>
      </c>
      <c r="F477" s="99" t="s">
        <v>3099</v>
      </c>
      <c r="G477" s="215"/>
      <c r="H477" s="215" t="str">
        <f>iferror(vlookup(E477,'Kelas XI - X(32)'!$D$11:$H987,3,false),"")</f>
        <v/>
      </c>
      <c r="I477" s="69">
        <v>1.0</v>
      </c>
      <c r="J477" s="222">
        <v>0.0</v>
      </c>
      <c r="K477" s="69">
        <v>0.0</v>
      </c>
      <c r="L477" s="223">
        <f t="shared" si="56"/>
        <v>0</v>
      </c>
      <c r="M477" s="146">
        <f t="shared" si="57"/>
        <v>0</v>
      </c>
      <c r="N477" s="224"/>
      <c r="O477" s="75" t="str">
        <f t="shared" si="58"/>
        <v>B</v>
      </c>
      <c r="P477" s="105"/>
      <c r="Q477" s="105"/>
      <c r="R477" s="105"/>
      <c r="S477" s="105"/>
      <c r="T477" s="105"/>
    </row>
    <row r="478" hidden="1">
      <c r="A478" s="196">
        <v>499.0</v>
      </c>
      <c r="B478" s="225">
        <v>33.0</v>
      </c>
      <c r="C478" s="214" t="s">
        <v>2400</v>
      </c>
      <c r="D478" s="99"/>
      <c r="E478" s="214" t="s">
        <v>2401</v>
      </c>
      <c r="F478" s="99" t="s">
        <v>3100</v>
      </c>
      <c r="G478" s="215"/>
      <c r="H478" s="215" t="str">
        <f>iferror(vlookup(E478,'Kelas XI - X(32)'!$D$11:$H987,3,false),"")</f>
        <v/>
      </c>
      <c r="I478" s="69">
        <f>iferror(vlookup(E478,'Kelas XI - X(32)'!$D$11:$H987,4,false),"")</f>
        <v>8</v>
      </c>
      <c r="J478" s="222">
        <v>0.0</v>
      </c>
      <c r="K478" s="69">
        <f>iferror(vlookup(E478,'Kelas XI - X(32)'!$D$11:$H987,5,false),"")</f>
        <v>4</v>
      </c>
      <c r="L478" s="223">
        <f t="shared" si="56"/>
        <v>4</v>
      </c>
      <c r="M478" s="146">
        <f t="shared" si="57"/>
        <v>0.4444444444</v>
      </c>
      <c r="N478" s="224"/>
      <c r="O478" s="75" t="str">
        <f t="shared" si="58"/>
        <v>B</v>
      </c>
      <c r="P478" s="105"/>
      <c r="Q478" s="105"/>
      <c r="R478" s="105"/>
      <c r="S478" s="105"/>
      <c r="T478" s="105"/>
    </row>
    <row r="479" hidden="1">
      <c r="A479" s="198">
        <v>500.0</v>
      </c>
      <c r="B479" s="225">
        <v>34.0</v>
      </c>
      <c r="C479" s="214" t="s">
        <v>2402</v>
      </c>
      <c r="D479" s="99"/>
      <c r="E479" s="214" t="s">
        <v>2403</v>
      </c>
      <c r="F479" s="99" t="s">
        <v>3100</v>
      </c>
      <c r="G479" s="215"/>
      <c r="H479" s="215" t="str">
        <f>iferror(vlookup(E479,'Kelas XI - X(32)'!$D$11:$H987,3,false),"")</f>
        <v>Najmi</v>
      </c>
      <c r="I479" s="69">
        <f>iferror(vlookup(E479,'Kelas XI - X(32)'!$D$11:$H987,4,false),"")</f>
        <v>5</v>
      </c>
      <c r="J479" s="223">
        <f>iferror(vlookup(E479,MasterClass!$C$2:$G987,5,false),"")</f>
        <v>1</v>
      </c>
      <c r="K479" s="69">
        <f>iferror(vlookup(E479,'Kelas XI - X(32)'!$D$11:$H987,5,false),"")</f>
        <v>5</v>
      </c>
      <c r="L479" s="223">
        <f t="shared" si="56"/>
        <v>6</v>
      </c>
      <c r="M479" s="146">
        <f t="shared" si="57"/>
        <v>1</v>
      </c>
      <c r="N479" s="224"/>
      <c r="O479" s="75" t="str">
        <f t="shared" si="58"/>
        <v>A</v>
      </c>
      <c r="P479" s="105"/>
      <c r="Q479" s="105"/>
      <c r="R479" s="105"/>
      <c r="S479" s="105"/>
      <c r="T479" s="105"/>
    </row>
    <row r="480" hidden="1">
      <c r="A480" s="196">
        <v>501.0</v>
      </c>
      <c r="B480" s="225">
        <v>35.0</v>
      </c>
      <c r="C480" s="214" t="s">
        <v>2404</v>
      </c>
      <c r="D480" s="99"/>
      <c r="E480" s="214" t="s">
        <v>2405</v>
      </c>
      <c r="F480" s="99" t="s">
        <v>3100</v>
      </c>
      <c r="G480" s="215"/>
      <c r="H480" s="215" t="str">
        <f>iferror(vlookup(E480,'Kelas XI - X(32)'!$D$11:$H987,3,false),"")</f>
        <v/>
      </c>
      <c r="I480" s="69">
        <f>iferror(vlookup(E480,'Kelas XI - X(32)'!$D$11:$H987,4,false),"")</f>
        <v>7</v>
      </c>
      <c r="J480" s="222">
        <v>0.0</v>
      </c>
      <c r="K480" s="69">
        <f>iferror(vlookup(E480,'Kelas XI - X(32)'!$D$11:$H987,5,false),"")</f>
        <v>3</v>
      </c>
      <c r="L480" s="223">
        <f t="shared" si="56"/>
        <v>3</v>
      </c>
      <c r="M480" s="146">
        <f t="shared" si="57"/>
        <v>0.375</v>
      </c>
      <c r="N480" s="224"/>
      <c r="O480" s="75" t="str">
        <f t="shared" si="58"/>
        <v>B</v>
      </c>
      <c r="P480" s="105"/>
      <c r="Q480" s="105"/>
      <c r="R480" s="105"/>
      <c r="S480" s="105"/>
      <c r="T480" s="105"/>
    </row>
    <row r="481" hidden="1">
      <c r="A481" s="198">
        <v>502.0</v>
      </c>
      <c r="B481" s="225">
        <v>36.0</v>
      </c>
      <c r="C481" s="214" t="s">
        <v>2406</v>
      </c>
      <c r="D481" s="99"/>
      <c r="E481" s="214" t="s">
        <v>2407</v>
      </c>
      <c r="F481" s="99" t="s">
        <v>3099</v>
      </c>
      <c r="G481" s="215"/>
      <c r="H481" s="215" t="str">
        <f>iferror(vlookup(E481,'Kelas XI - X(32)'!$D$11:$H987,3,false),"")</f>
        <v/>
      </c>
      <c r="I481" s="69">
        <v>1.0</v>
      </c>
      <c r="J481" s="222">
        <v>0.0</v>
      </c>
      <c r="K481" s="69">
        <v>0.0</v>
      </c>
      <c r="L481" s="223">
        <f t="shared" si="56"/>
        <v>0</v>
      </c>
      <c r="M481" s="146">
        <f t="shared" si="57"/>
        <v>0</v>
      </c>
      <c r="N481" s="224"/>
      <c r="O481" s="75" t="str">
        <f t="shared" si="58"/>
        <v>B</v>
      </c>
      <c r="P481" s="105"/>
      <c r="Q481" s="105"/>
      <c r="R481" s="105"/>
      <c r="S481" s="105"/>
      <c r="T481" s="105"/>
    </row>
    <row r="482" hidden="1">
      <c r="A482" s="196">
        <v>503.0</v>
      </c>
      <c r="B482" s="227"/>
      <c r="C482" s="214"/>
      <c r="D482" s="228"/>
      <c r="E482" s="214"/>
      <c r="F482" s="228"/>
      <c r="G482" s="228"/>
      <c r="H482" s="228"/>
      <c r="I482" s="229"/>
      <c r="J482" s="229"/>
      <c r="K482" s="229"/>
      <c r="L482" s="229"/>
      <c r="M482" s="229"/>
      <c r="N482" s="228"/>
      <c r="O482" s="229"/>
      <c r="P482" s="105"/>
      <c r="Q482" s="105"/>
      <c r="R482" s="105"/>
      <c r="S482" s="105"/>
      <c r="T482" s="105"/>
    </row>
    <row r="483" hidden="1">
      <c r="A483" s="198">
        <v>504.0</v>
      </c>
      <c r="B483" s="227"/>
      <c r="C483" s="214"/>
      <c r="D483" s="228"/>
      <c r="E483" s="214"/>
      <c r="F483" s="228"/>
      <c r="G483" s="228"/>
      <c r="H483" s="228"/>
      <c r="I483" s="229"/>
      <c r="J483" s="229"/>
      <c r="K483" s="229"/>
      <c r="L483" s="229"/>
      <c r="M483" s="229"/>
      <c r="N483" s="230"/>
      <c r="O483" s="231"/>
      <c r="P483" s="105"/>
      <c r="Q483" s="105"/>
      <c r="R483" s="105"/>
      <c r="S483" s="105"/>
      <c r="T483" s="105"/>
    </row>
    <row r="484" hidden="1">
      <c r="A484" s="196">
        <v>505.0</v>
      </c>
      <c r="B484" s="227"/>
      <c r="C484" s="214"/>
      <c r="D484" s="228"/>
      <c r="E484" s="214"/>
      <c r="F484" s="228"/>
      <c r="G484" s="228"/>
      <c r="H484" s="228"/>
      <c r="I484" s="229"/>
      <c r="J484" s="229"/>
      <c r="K484" s="229"/>
      <c r="L484" s="229"/>
      <c r="M484" s="229"/>
      <c r="N484" s="251"/>
      <c r="O484" s="252"/>
      <c r="P484" s="105"/>
      <c r="Q484" s="105"/>
      <c r="R484" s="105"/>
      <c r="S484" s="105"/>
      <c r="T484" s="105"/>
    </row>
    <row r="485" hidden="1">
      <c r="A485" s="198">
        <v>506.0</v>
      </c>
      <c r="B485" s="249"/>
      <c r="C485" s="241"/>
      <c r="D485" s="241"/>
      <c r="E485" s="241"/>
      <c r="F485" s="241"/>
      <c r="G485" s="241"/>
      <c r="H485" s="241"/>
      <c r="I485" s="242"/>
      <c r="J485" s="242"/>
      <c r="K485" s="242"/>
      <c r="L485" s="242"/>
      <c r="M485" s="242"/>
      <c r="N485" s="241"/>
      <c r="O485" s="242"/>
      <c r="P485" s="105"/>
      <c r="Q485" s="105"/>
      <c r="R485" s="105"/>
      <c r="S485" s="105"/>
      <c r="T485" s="105"/>
    </row>
    <row r="486">
      <c r="A486" s="196">
        <v>509.0</v>
      </c>
      <c r="B486" s="243" t="s">
        <v>2408</v>
      </c>
      <c r="C486" s="9"/>
      <c r="D486" s="9"/>
      <c r="E486" s="10"/>
      <c r="F486" s="244"/>
      <c r="G486" s="244"/>
      <c r="H486" s="244"/>
      <c r="I486" s="245"/>
      <c r="J486" s="245"/>
      <c r="K486" s="245"/>
      <c r="L486" s="245"/>
      <c r="M486" s="245"/>
      <c r="N486" s="244"/>
      <c r="O486" s="245"/>
      <c r="P486" s="105"/>
      <c r="Q486" s="105"/>
      <c r="R486" s="105"/>
      <c r="S486" s="105"/>
      <c r="T486" s="105"/>
    </row>
    <row r="487" hidden="1">
      <c r="A487" s="198">
        <v>510.0</v>
      </c>
      <c r="B487" s="250" t="s">
        <v>2409</v>
      </c>
      <c r="C487" s="9"/>
      <c r="D487" s="9"/>
      <c r="E487" s="10"/>
      <c r="F487" s="251"/>
      <c r="G487" s="251"/>
      <c r="H487" s="251"/>
      <c r="I487" s="252"/>
      <c r="J487" s="252"/>
      <c r="K487" s="252"/>
      <c r="L487" s="252"/>
      <c r="M487" s="252"/>
      <c r="N487" s="251"/>
      <c r="O487" s="252"/>
      <c r="P487" s="105"/>
      <c r="Q487" s="105"/>
      <c r="R487" s="105"/>
      <c r="S487" s="105"/>
      <c r="T487" s="105"/>
    </row>
    <row r="488" hidden="1">
      <c r="A488" s="196">
        <v>511.0</v>
      </c>
      <c r="B488" s="253" t="s">
        <v>1735</v>
      </c>
      <c r="C488" s="253" t="s">
        <v>1736</v>
      </c>
      <c r="D488" s="253" t="s">
        <v>1737</v>
      </c>
      <c r="E488" s="253" t="s">
        <v>1738</v>
      </c>
      <c r="F488" s="254" t="s">
        <v>1815</v>
      </c>
      <c r="G488" s="255"/>
      <c r="H488" s="255"/>
      <c r="I488" s="256" t="s">
        <v>3097</v>
      </c>
      <c r="J488" s="9"/>
      <c r="K488" s="9"/>
      <c r="L488" s="9"/>
      <c r="M488" s="9"/>
      <c r="N488" s="9"/>
      <c r="O488" s="10"/>
      <c r="P488" s="105"/>
      <c r="Q488" s="105"/>
      <c r="R488" s="105"/>
      <c r="S488" s="105"/>
      <c r="T488" s="105"/>
    </row>
    <row r="489" hidden="1">
      <c r="A489" s="198">
        <v>512.0</v>
      </c>
      <c r="B489" s="253"/>
      <c r="C489" s="253"/>
      <c r="D489" s="253"/>
      <c r="E489" s="253"/>
      <c r="F489" s="262"/>
      <c r="G489" s="263"/>
      <c r="H489" s="263" t="s">
        <v>2483</v>
      </c>
      <c r="I489" s="144" t="s">
        <v>3094</v>
      </c>
      <c r="J489" s="264" t="s">
        <v>3095</v>
      </c>
      <c r="K489" s="265" t="s">
        <v>3096</v>
      </c>
      <c r="L489" s="264" t="s">
        <v>3098</v>
      </c>
      <c r="M489" s="266" t="s">
        <v>18</v>
      </c>
      <c r="N489" s="143" t="s">
        <v>2491</v>
      </c>
      <c r="O489" s="267" t="s">
        <v>19</v>
      </c>
      <c r="P489" s="105"/>
      <c r="Q489" s="105"/>
      <c r="R489" s="105"/>
      <c r="S489" s="105"/>
      <c r="T489" s="105"/>
    </row>
    <row r="490" hidden="1">
      <c r="A490" s="196">
        <v>513.0</v>
      </c>
      <c r="B490" s="225">
        <v>1.0</v>
      </c>
      <c r="C490" s="214" t="s">
        <v>2410</v>
      </c>
      <c r="D490" s="99"/>
      <c r="E490" s="268" t="s">
        <v>2411</v>
      </c>
      <c r="F490" s="99" t="s">
        <v>3100</v>
      </c>
      <c r="G490" s="215"/>
      <c r="H490" s="215" t="str">
        <f>iferror(vlookup(E490,'Kelas XI - X(32)'!$D$11:$H987,3,false),"")</f>
        <v>Zalika</v>
      </c>
      <c r="I490" s="69">
        <f>iferror(vlookup(E490,'Kelas XI - X(32)'!$D$11:$H987,4,false),"")</f>
        <v>5</v>
      </c>
      <c r="J490" s="222">
        <v>0.0</v>
      </c>
      <c r="K490" s="69">
        <f>iferror(vlookup(E490,'Kelas XI - X(32)'!$D$11:$H987,5,false),"")</f>
        <v>0</v>
      </c>
      <c r="L490" s="223">
        <f t="shared" ref="L490:L525" si="59">K490+J490</f>
        <v>0</v>
      </c>
      <c r="M490" s="146">
        <f t="shared" ref="M490:M525" si="60">(K490+J490)/(I490+1)</f>
        <v>0</v>
      </c>
      <c r="N490" s="224"/>
      <c r="O490" s="75" t="str">
        <f t="shared" ref="O490:O497" si="61">IF(M490&gt;=50%,"A","B")</f>
        <v>B</v>
      </c>
      <c r="P490" s="105"/>
      <c r="Q490" s="105"/>
      <c r="R490" s="105"/>
      <c r="S490" s="105"/>
      <c r="T490" s="105"/>
    </row>
    <row r="491" hidden="1">
      <c r="A491" s="198">
        <v>514.0</v>
      </c>
      <c r="B491" s="225">
        <v>2.0</v>
      </c>
      <c r="C491" s="214" t="s">
        <v>2412</v>
      </c>
      <c r="D491" s="99"/>
      <c r="E491" s="268" t="s">
        <v>2413</v>
      </c>
      <c r="F491" s="99" t="s">
        <v>3100</v>
      </c>
      <c r="G491" s="215"/>
      <c r="H491" s="215" t="str">
        <f>iferror(vlookup(E491,'Kelas XI - X(32)'!$D$11:$H987,3,false),"")</f>
        <v>Athaya</v>
      </c>
      <c r="I491" s="69">
        <f>iferror(vlookup(E491,'Kelas XI - X(32)'!$D$11:$H987,4,false),"")</f>
        <v>8</v>
      </c>
      <c r="J491" s="222">
        <v>0.0</v>
      </c>
      <c r="K491" s="69">
        <f>iferror(vlookup(E491,'Kelas XI - X(32)'!$D$11:$H987,5,false),"")</f>
        <v>0</v>
      </c>
      <c r="L491" s="223">
        <f t="shared" si="59"/>
        <v>0</v>
      </c>
      <c r="M491" s="146">
        <f t="shared" si="60"/>
        <v>0</v>
      </c>
      <c r="N491" s="224"/>
      <c r="O491" s="75" t="str">
        <f t="shared" si="61"/>
        <v>B</v>
      </c>
      <c r="P491" s="105"/>
      <c r="Q491" s="105"/>
      <c r="R491" s="105"/>
      <c r="S491" s="105"/>
      <c r="T491" s="105"/>
    </row>
    <row r="492" hidden="1">
      <c r="A492" s="196">
        <v>515.0</v>
      </c>
      <c r="B492" s="225">
        <v>3.0</v>
      </c>
      <c r="C492" s="214" t="s">
        <v>2414</v>
      </c>
      <c r="D492" s="99"/>
      <c r="E492" s="268" t="s">
        <v>2415</v>
      </c>
      <c r="F492" s="99" t="s">
        <v>3100</v>
      </c>
      <c r="G492" s="215"/>
      <c r="H492" s="215" t="str">
        <f>iferror(vlookup(E492,'Kelas XI - X(32)'!$D$11:$H987,3,false),"")</f>
        <v>Devi</v>
      </c>
      <c r="I492" s="69">
        <v>1.0</v>
      </c>
      <c r="J492" s="222">
        <v>0.0</v>
      </c>
      <c r="K492" s="69">
        <v>0.0</v>
      </c>
      <c r="L492" s="223">
        <f t="shared" si="59"/>
        <v>0</v>
      </c>
      <c r="M492" s="146">
        <f t="shared" si="60"/>
        <v>0</v>
      </c>
      <c r="N492" s="224"/>
      <c r="O492" s="75" t="str">
        <f t="shared" si="61"/>
        <v>B</v>
      </c>
      <c r="P492" s="105"/>
      <c r="Q492" s="105"/>
      <c r="R492" s="105"/>
      <c r="S492" s="105"/>
      <c r="T492" s="105"/>
    </row>
    <row r="493" hidden="1">
      <c r="A493" s="198">
        <v>516.0</v>
      </c>
      <c r="B493" s="225">
        <v>4.0</v>
      </c>
      <c r="C493" s="214" t="s">
        <v>2416</v>
      </c>
      <c r="D493" s="99"/>
      <c r="E493" s="268" t="s">
        <v>2417</v>
      </c>
      <c r="F493" s="99" t="s">
        <v>3099</v>
      </c>
      <c r="G493" s="215"/>
      <c r="H493" s="215" t="str">
        <f>iferror(vlookup(E493,'Kelas XI - X(32)'!$D$11:$H987,3,false),"")</f>
        <v>Arya</v>
      </c>
      <c r="I493" s="69">
        <f>iferror(vlookup(E493,'Kelas XI - X(32)'!$D$11:$H987,4,false),"")</f>
        <v>5</v>
      </c>
      <c r="J493" s="222">
        <v>0.0</v>
      </c>
      <c r="K493" s="69">
        <v>0.0</v>
      </c>
      <c r="L493" s="223">
        <f t="shared" si="59"/>
        <v>0</v>
      </c>
      <c r="M493" s="146">
        <f t="shared" si="60"/>
        <v>0</v>
      </c>
      <c r="N493" s="224"/>
      <c r="O493" s="75" t="str">
        <f t="shared" si="61"/>
        <v>B</v>
      </c>
      <c r="P493" s="105"/>
      <c r="Q493" s="105"/>
      <c r="R493" s="105"/>
      <c r="S493" s="105"/>
      <c r="T493" s="105"/>
    </row>
    <row r="494" hidden="1">
      <c r="A494" s="196">
        <v>517.0</v>
      </c>
      <c r="B494" s="225">
        <v>5.0</v>
      </c>
      <c r="C494" s="214" t="s">
        <v>2418</v>
      </c>
      <c r="D494" s="99"/>
      <c r="E494" s="268" t="s">
        <v>2419</v>
      </c>
      <c r="F494" s="99" t="s">
        <v>3100</v>
      </c>
      <c r="G494" s="215"/>
      <c r="H494" s="215" t="str">
        <f>iferror(vlookup(E494,'Kelas XI - X(32)'!$D$11:$H987,3,false),"")</f>
        <v/>
      </c>
      <c r="I494" s="69">
        <v>1.0</v>
      </c>
      <c r="J494" s="222">
        <v>0.0</v>
      </c>
      <c r="K494" s="69">
        <v>0.0</v>
      </c>
      <c r="L494" s="223">
        <f t="shared" si="59"/>
        <v>0</v>
      </c>
      <c r="M494" s="146">
        <f t="shared" si="60"/>
        <v>0</v>
      </c>
      <c r="N494" s="224"/>
      <c r="O494" s="75" t="str">
        <f t="shared" si="61"/>
        <v>B</v>
      </c>
      <c r="P494" s="105"/>
      <c r="Q494" s="105"/>
      <c r="R494" s="105"/>
      <c r="S494" s="105"/>
      <c r="T494" s="105"/>
    </row>
    <row r="495" hidden="1">
      <c r="A495" s="198">
        <v>518.0</v>
      </c>
      <c r="B495" s="225">
        <v>6.0</v>
      </c>
      <c r="C495" s="214" t="s">
        <v>2420</v>
      </c>
      <c r="D495" s="99"/>
      <c r="E495" s="268" t="s">
        <v>2421</v>
      </c>
      <c r="F495" s="99" t="s">
        <v>3099</v>
      </c>
      <c r="G495" s="215"/>
      <c r="H495" s="215" t="str">
        <f>iferror(vlookup(E495,'Kelas XI - X(32)'!$D$11:$H987,3,false),"")</f>
        <v>Farisa</v>
      </c>
      <c r="I495" s="69">
        <f>iferror(vlookup(E495,'Kelas XI - X(32)'!$D$11:$H987,4,false),"")</f>
        <v>6</v>
      </c>
      <c r="J495" s="222">
        <v>0.0</v>
      </c>
      <c r="K495" s="69">
        <f>iferror(vlookup(E495,'Kelas XI - X(32)'!$D$11:$H987,5,false),"")</f>
        <v>4</v>
      </c>
      <c r="L495" s="223">
        <f t="shared" si="59"/>
        <v>4</v>
      </c>
      <c r="M495" s="146">
        <f t="shared" si="60"/>
        <v>0.5714285714</v>
      </c>
      <c r="N495" s="224"/>
      <c r="O495" s="75" t="str">
        <f t="shared" si="61"/>
        <v>A</v>
      </c>
      <c r="P495" s="105"/>
      <c r="Q495" s="105"/>
      <c r="R495" s="105"/>
      <c r="S495" s="105"/>
      <c r="T495" s="105"/>
    </row>
    <row r="496" hidden="1">
      <c r="A496" s="196">
        <v>519.0</v>
      </c>
      <c r="B496" s="225">
        <v>7.0</v>
      </c>
      <c r="C496" s="214" t="s">
        <v>2422</v>
      </c>
      <c r="D496" s="99"/>
      <c r="E496" s="268" t="s">
        <v>2423</v>
      </c>
      <c r="F496" s="99" t="s">
        <v>3100</v>
      </c>
      <c r="G496" s="215"/>
      <c r="H496" s="215" t="str">
        <f>iferror(vlookup(E496,'Kelas XI - X(32)'!$D$11:$H987,3,false),"")</f>
        <v>Iga</v>
      </c>
      <c r="I496" s="69">
        <f>iferror(vlookup(E496,'Kelas XI - X(32)'!$D$11:$H987,4,false),"")</f>
        <v>4</v>
      </c>
      <c r="J496" s="222">
        <v>0.0</v>
      </c>
      <c r="K496" s="69">
        <f>iferror(vlookup(E496,'Kelas XI - X(32)'!$D$11:$H987,5,false),"")</f>
        <v>3</v>
      </c>
      <c r="L496" s="223">
        <f t="shared" si="59"/>
        <v>3</v>
      </c>
      <c r="M496" s="146">
        <f t="shared" si="60"/>
        <v>0.6</v>
      </c>
      <c r="N496" s="224"/>
      <c r="O496" s="75" t="str">
        <f t="shared" si="61"/>
        <v>A</v>
      </c>
      <c r="P496" s="105"/>
      <c r="Q496" s="105"/>
      <c r="R496" s="105"/>
      <c r="S496" s="105"/>
      <c r="T496" s="105"/>
    </row>
    <row r="497" hidden="1">
      <c r="A497" s="198">
        <v>520.0</v>
      </c>
      <c r="B497" s="225">
        <v>8.0</v>
      </c>
      <c r="C497" s="214" t="s">
        <v>2424</v>
      </c>
      <c r="D497" s="99"/>
      <c r="E497" s="268" t="s">
        <v>2425</v>
      </c>
      <c r="F497" s="99" t="s">
        <v>3099</v>
      </c>
      <c r="G497" s="215"/>
      <c r="H497" s="215" t="str">
        <f>iferror(vlookup(E497,'Kelas XI - X(32)'!$D$11:$H987,3,false),"")</f>
        <v>Zalika</v>
      </c>
      <c r="I497" s="69">
        <f>iferror(vlookup(E497,'Kelas XI - X(32)'!$D$11:$H987,4,false),"")</f>
        <v>5</v>
      </c>
      <c r="J497" s="222">
        <v>0.0</v>
      </c>
      <c r="K497" s="69">
        <f>iferror(vlookup(E497,'Kelas XI - X(32)'!$D$11:$H987,5,false),"")</f>
        <v>4</v>
      </c>
      <c r="L497" s="223">
        <f t="shared" si="59"/>
        <v>4</v>
      </c>
      <c r="M497" s="146">
        <f t="shared" si="60"/>
        <v>0.6666666667</v>
      </c>
      <c r="N497" s="224"/>
      <c r="O497" s="75" t="str">
        <f t="shared" si="61"/>
        <v>A</v>
      </c>
      <c r="P497" s="105"/>
      <c r="Q497" s="105"/>
      <c r="R497" s="105"/>
      <c r="S497" s="105"/>
      <c r="T497" s="105"/>
    </row>
    <row r="498" hidden="1">
      <c r="A498" s="196">
        <v>521.0</v>
      </c>
      <c r="B498" s="225">
        <v>9.0</v>
      </c>
      <c r="C498" s="214" t="s">
        <v>2426</v>
      </c>
      <c r="D498" s="99"/>
      <c r="E498" s="268" t="s">
        <v>2427</v>
      </c>
      <c r="F498" s="99" t="s">
        <v>3099</v>
      </c>
      <c r="G498" s="215"/>
      <c r="H498" s="215" t="str">
        <f>iferror(vlookup(E498,'Kelas XI - X(32)'!$D$11:$H987,3,false),"")</f>
        <v>Ukhti</v>
      </c>
      <c r="I498" s="69">
        <f>iferror(vlookup(E498,'Kelas XI - X(32)'!$D$11:$H987,4,false),"")</f>
        <v>13</v>
      </c>
      <c r="J498" s="223">
        <f>iferror(vlookup(E498,MasterClass!$C$2:$G987,5,false),"")</f>
        <v>1</v>
      </c>
      <c r="K498" s="69">
        <f>iferror(vlookup(E498,'Kelas XI - X(32)'!$D$11:$H987,5,false),"")</f>
        <v>9</v>
      </c>
      <c r="L498" s="223">
        <f t="shared" si="59"/>
        <v>10</v>
      </c>
      <c r="M498" s="146">
        <f t="shared" si="60"/>
        <v>0.7142857143</v>
      </c>
      <c r="N498" s="248" t="s">
        <v>3107</v>
      </c>
      <c r="O498" s="69" t="s">
        <v>1163</v>
      </c>
      <c r="P498" s="105"/>
      <c r="Q498" s="105"/>
      <c r="R498" s="105"/>
      <c r="S498" s="105"/>
      <c r="T498" s="105"/>
    </row>
    <row r="499" hidden="1">
      <c r="A499" s="198">
        <v>522.0</v>
      </c>
      <c r="B499" s="225">
        <v>10.0</v>
      </c>
      <c r="C499" s="214" t="s">
        <v>2428</v>
      </c>
      <c r="D499" s="99"/>
      <c r="E499" s="268" t="s">
        <v>2429</v>
      </c>
      <c r="F499" s="99" t="s">
        <v>3100</v>
      </c>
      <c r="G499" s="215"/>
      <c r="H499" s="215" t="str">
        <f>iferror(vlookup(E499,'Kelas XI - X(32)'!$D$11:$H987,3,false),"")</f>
        <v>Najmi</v>
      </c>
      <c r="I499" s="69">
        <f>iferror(vlookup(E499,'Kelas XI - X(32)'!$D$11:$H987,4,false),"")</f>
        <v>5</v>
      </c>
      <c r="J499" s="223">
        <f>iferror(vlookup(E499,MasterClass!$C$2:$G987,5,false),"")</f>
        <v>1</v>
      </c>
      <c r="K499" s="69">
        <f>iferror(vlookup(E499,'Kelas XI - X(32)'!$D$11:$H987,5,false),"")</f>
        <v>5</v>
      </c>
      <c r="L499" s="223">
        <f t="shared" si="59"/>
        <v>6</v>
      </c>
      <c r="M499" s="146">
        <f t="shared" si="60"/>
        <v>1</v>
      </c>
      <c r="N499" s="224"/>
      <c r="O499" s="75" t="str">
        <f t="shared" ref="O499:O518" si="62">IF(M499&gt;=50%,"A","B")</f>
        <v>A</v>
      </c>
      <c r="P499" s="105"/>
      <c r="Q499" s="105"/>
      <c r="R499" s="105"/>
      <c r="S499" s="105"/>
      <c r="T499" s="105"/>
    </row>
    <row r="500" hidden="1">
      <c r="A500" s="196">
        <v>523.0</v>
      </c>
      <c r="B500" s="225">
        <v>11.0</v>
      </c>
      <c r="C500" s="214" t="s">
        <v>2430</v>
      </c>
      <c r="D500" s="99"/>
      <c r="E500" s="268" t="s">
        <v>2431</v>
      </c>
      <c r="F500" s="99" t="s">
        <v>3100</v>
      </c>
      <c r="G500" s="215"/>
      <c r="H500" s="215" t="str">
        <f>iferror(vlookup(E500,'Kelas XI - X(32)'!$D$11:$H987,3,false),"")</f>
        <v/>
      </c>
      <c r="I500" s="69">
        <f>iferror(vlookup(E500,'Kelas XI - X(32)'!$D$11:$H987,4,false),"")</f>
        <v>7</v>
      </c>
      <c r="J500" s="222">
        <v>0.0</v>
      </c>
      <c r="K500" s="69">
        <f>iferror(vlookup(E500,'Kelas XI - X(32)'!$D$11:$H987,5,false),"")</f>
        <v>0</v>
      </c>
      <c r="L500" s="223">
        <f t="shared" si="59"/>
        <v>0</v>
      </c>
      <c r="M500" s="146">
        <f t="shared" si="60"/>
        <v>0</v>
      </c>
      <c r="N500" s="224"/>
      <c r="O500" s="75" t="str">
        <f t="shared" si="62"/>
        <v>B</v>
      </c>
      <c r="P500" s="105"/>
      <c r="Q500" s="105"/>
      <c r="R500" s="105"/>
      <c r="S500" s="105"/>
      <c r="T500" s="105"/>
    </row>
    <row r="501" hidden="1">
      <c r="A501" s="198">
        <v>524.0</v>
      </c>
      <c r="B501" s="225">
        <v>12.0</v>
      </c>
      <c r="C501" s="214" t="s">
        <v>2432</v>
      </c>
      <c r="D501" s="99"/>
      <c r="E501" s="268" t="s">
        <v>2433</v>
      </c>
      <c r="F501" s="99" t="s">
        <v>3099</v>
      </c>
      <c r="G501" s="215"/>
      <c r="H501" s="215" t="str">
        <f>iferror(vlookup(E501,'Kelas XI - X(32)'!$D$11:$H987,3,false),"")</f>
        <v/>
      </c>
      <c r="I501" s="69">
        <f>iferror(vlookup(E501,'Kelas XI - X(32)'!$D$11:$H987,4,false),"")</f>
        <v>7</v>
      </c>
      <c r="J501" s="222">
        <v>0.0</v>
      </c>
      <c r="K501" s="69">
        <f>iferror(vlookup(E501,'Kelas XI - X(32)'!$D$11:$H987,5,false),"")</f>
        <v>0</v>
      </c>
      <c r="L501" s="223">
        <f t="shared" si="59"/>
        <v>0</v>
      </c>
      <c r="M501" s="146">
        <f t="shared" si="60"/>
        <v>0</v>
      </c>
      <c r="N501" s="224"/>
      <c r="O501" s="75" t="str">
        <f t="shared" si="62"/>
        <v>B</v>
      </c>
      <c r="P501" s="105"/>
      <c r="Q501" s="105"/>
      <c r="R501" s="105"/>
      <c r="S501" s="105"/>
      <c r="T501" s="105"/>
    </row>
    <row r="502" hidden="1">
      <c r="A502" s="196">
        <v>525.0</v>
      </c>
      <c r="B502" s="225">
        <v>13.0</v>
      </c>
      <c r="C502" s="214" t="s">
        <v>2434</v>
      </c>
      <c r="D502" s="99"/>
      <c r="E502" s="268" t="s">
        <v>2435</v>
      </c>
      <c r="F502" s="99" t="s">
        <v>3100</v>
      </c>
      <c r="G502" s="215"/>
      <c r="H502" s="215" t="str">
        <f>iferror(vlookup(E502,'Kelas XI - X(32)'!$D$11:$H987,3,false),"")</f>
        <v/>
      </c>
      <c r="I502" s="69">
        <f>iferror(vlookup(E502,'Kelas XI - X(32)'!$D$11:$H987,4,false),"")</f>
        <v>7</v>
      </c>
      <c r="J502" s="222">
        <v>0.0</v>
      </c>
      <c r="K502" s="69">
        <v>0.0</v>
      </c>
      <c r="L502" s="223">
        <f t="shared" si="59"/>
        <v>0</v>
      </c>
      <c r="M502" s="146">
        <f t="shared" si="60"/>
        <v>0</v>
      </c>
      <c r="N502" s="224"/>
      <c r="O502" s="75" t="str">
        <f t="shared" si="62"/>
        <v>B</v>
      </c>
      <c r="P502" s="105"/>
      <c r="Q502" s="105"/>
      <c r="R502" s="105"/>
      <c r="S502" s="105"/>
      <c r="T502" s="105"/>
    </row>
    <row r="503" hidden="1">
      <c r="A503" s="198">
        <v>526.0</v>
      </c>
      <c r="B503" s="225">
        <v>14.0</v>
      </c>
      <c r="C503" s="214" t="s">
        <v>2436</v>
      </c>
      <c r="D503" s="99"/>
      <c r="E503" s="268" t="s">
        <v>2437</v>
      </c>
      <c r="F503" s="99" t="s">
        <v>3100</v>
      </c>
      <c r="G503" s="215"/>
      <c r="H503" s="215" t="str">
        <f>iferror(vlookup(E503,'Kelas XI - X(32)'!$D$11:$H987,3,false),"")</f>
        <v/>
      </c>
      <c r="I503" s="69">
        <v>1.0</v>
      </c>
      <c r="J503" s="222">
        <v>0.0</v>
      </c>
      <c r="K503" s="69">
        <v>0.0</v>
      </c>
      <c r="L503" s="223">
        <f t="shared" si="59"/>
        <v>0</v>
      </c>
      <c r="M503" s="146">
        <f t="shared" si="60"/>
        <v>0</v>
      </c>
      <c r="N503" s="224"/>
      <c r="O503" s="75" t="str">
        <f t="shared" si="62"/>
        <v>B</v>
      </c>
      <c r="P503" s="105"/>
      <c r="Q503" s="105"/>
      <c r="R503" s="105"/>
      <c r="S503" s="105"/>
      <c r="T503" s="105"/>
    </row>
    <row r="504" hidden="1">
      <c r="A504" s="196">
        <v>527.0</v>
      </c>
      <c r="B504" s="225">
        <v>15.0</v>
      </c>
      <c r="C504" s="214" t="s">
        <v>2438</v>
      </c>
      <c r="D504" s="99"/>
      <c r="E504" s="268" t="s">
        <v>2439</v>
      </c>
      <c r="F504" s="99" t="s">
        <v>3100</v>
      </c>
      <c r="G504" s="215"/>
      <c r="H504" s="215" t="str">
        <f>iferror(vlookup(E504,'Kelas XI - X(32)'!$D$11:$H987,3,false),"")</f>
        <v>Najmi</v>
      </c>
      <c r="I504" s="69">
        <f>iferror(vlookup(E504,'Kelas XI - X(32)'!$D$11:$H987,4,false),"")</f>
        <v>5</v>
      </c>
      <c r="J504" s="222">
        <v>0.0</v>
      </c>
      <c r="K504" s="69">
        <f>iferror(vlookup(E504,'Kelas XI - X(32)'!$D$11:$H987,5,false),"")</f>
        <v>5</v>
      </c>
      <c r="L504" s="223">
        <f t="shared" si="59"/>
        <v>5</v>
      </c>
      <c r="M504" s="146">
        <f t="shared" si="60"/>
        <v>0.8333333333</v>
      </c>
      <c r="N504" s="224"/>
      <c r="O504" s="75" t="str">
        <f t="shared" si="62"/>
        <v>A</v>
      </c>
      <c r="P504" s="105"/>
      <c r="Q504" s="105"/>
      <c r="R504" s="105"/>
      <c r="S504" s="105"/>
      <c r="T504" s="105"/>
    </row>
    <row r="505" hidden="1">
      <c r="A505" s="198">
        <v>528.0</v>
      </c>
      <c r="B505" s="234">
        <v>16.0</v>
      </c>
      <c r="C505" s="104" t="s">
        <v>2440</v>
      </c>
      <c r="D505" s="246"/>
      <c r="E505" s="278" t="s">
        <v>2441</v>
      </c>
      <c r="F505" s="246" t="s">
        <v>3099</v>
      </c>
      <c r="G505" s="235"/>
      <c r="H505" s="235" t="str">
        <f>iferror(vlookup(E505,'Kelas XI - X(32)'!$D$11:$H987,3,false),"")</f>
        <v/>
      </c>
      <c r="I505" s="150">
        <f>iferror(vlookup(E505,'Kelas XI - X(32)'!$D$11:$H987,4,false),"")</f>
        <v>8</v>
      </c>
      <c r="J505" s="216">
        <v>0.0</v>
      </c>
      <c r="K505" s="150">
        <f>iferror(vlookup(E505,'Kelas XI - X(32)'!$D$11:$H987,5,false),"")</f>
        <v>1</v>
      </c>
      <c r="L505" s="217">
        <f t="shared" si="59"/>
        <v>1</v>
      </c>
      <c r="M505" s="218">
        <f t="shared" si="60"/>
        <v>0.1111111111</v>
      </c>
      <c r="N505" s="219"/>
      <c r="O505" s="75" t="str">
        <f t="shared" si="62"/>
        <v>B</v>
      </c>
      <c r="P505" s="195"/>
      <c r="Q505" s="105"/>
      <c r="R505" s="105"/>
      <c r="S505" s="105"/>
      <c r="T505" s="105"/>
    </row>
    <row r="506" hidden="1">
      <c r="A506" s="196">
        <v>529.0</v>
      </c>
      <c r="B506" s="234">
        <v>17.0</v>
      </c>
      <c r="C506" s="104" t="s">
        <v>2442</v>
      </c>
      <c r="D506" s="246"/>
      <c r="E506" s="278" t="s">
        <v>2443</v>
      </c>
      <c r="F506" s="246" t="s">
        <v>3100</v>
      </c>
      <c r="G506" s="235"/>
      <c r="H506" s="235" t="str">
        <f>iferror(vlookup(E506,'Kelas XI - X(32)'!$D$11:$H987,3,false),"")</f>
        <v>Zalika</v>
      </c>
      <c r="I506" s="150">
        <f>iferror(vlookup(E506,'Kelas XI - X(32)'!$D$11:$H987,4,false),"")</f>
        <v>5</v>
      </c>
      <c r="J506" s="216">
        <v>0.0</v>
      </c>
      <c r="K506" s="150">
        <f>iferror(vlookup(E506,'Kelas XI - X(32)'!$D$11:$H987,5,false),"")</f>
        <v>3</v>
      </c>
      <c r="L506" s="217">
        <f t="shared" si="59"/>
        <v>3</v>
      </c>
      <c r="M506" s="218">
        <f t="shared" si="60"/>
        <v>0.5</v>
      </c>
      <c r="N506" s="219"/>
      <c r="O506" s="75" t="str">
        <f t="shared" si="62"/>
        <v>A</v>
      </c>
      <c r="P506" s="195"/>
      <c r="Q506" s="105"/>
      <c r="R506" s="105"/>
      <c r="S506" s="105"/>
      <c r="T506" s="105"/>
    </row>
    <row r="507" hidden="1">
      <c r="A507" s="198">
        <v>530.0</v>
      </c>
      <c r="B507" s="234">
        <v>18.0</v>
      </c>
      <c r="C507" s="104" t="s">
        <v>2444</v>
      </c>
      <c r="D507" s="246"/>
      <c r="E507" s="278" t="s">
        <v>2445</v>
      </c>
      <c r="F507" s="246" t="s">
        <v>3099</v>
      </c>
      <c r="G507" s="235"/>
      <c r="H507" s="235" t="str">
        <f>iferror(vlookup(E507,'Kelas XI - X(32)'!$D$11:$H987,3,false),"")</f>
        <v/>
      </c>
      <c r="I507" s="150">
        <v>1.0</v>
      </c>
      <c r="J507" s="216">
        <v>0.0</v>
      </c>
      <c r="K507" s="150">
        <v>0.0</v>
      </c>
      <c r="L507" s="217">
        <f t="shared" si="59"/>
        <v>0</v>
      </c>
      <c r="M507" s="218">
        <f t="shared" si="60"/>
        <v>0</v>
      </c>
      <c r="N507" s="219"/>
      <c r="O507" s="75" t="str">
        <f t="shared" si="62"/>
        <v>B</v>
      </c>
      <c r="P507" s="195"/>
      <c r="Q507" s="105"/>
      <c r="R507" s="105"/>
      <c r="S507" s="105"/>
      <c r="T507" s="105"/>
    </row>
    <row r="508" hidden="1">
      <c r="A508" s="196">
        <v>531.0</v>
      </c>
      <c r="B508" s="234">
        <v>19.0</v>
      </c>
      <c r="C508" s="104" t="s">
        <v>2446</v>
      </c>
      <c r="D508" s="246"/>
      <c r="E508" s="278" t="s">
        <v>2447</v>
      </c>
      <c r="F508" s="246" t="s">
        <v>3099</v>
      </c>
      <c r="G508" s="235"/>
      <c r="H508" s="235" t="str">
        <f>iferror(vlookup(E508,'Kelas XI - X(32)'!$D$11:$H987,3,false),"")</f>
        <v>Iga</v>
      </c>
      <c r="I508" s="150">
        <f>iferror(vlookup(E508,'Kelas XI - X(32)'!$D$11:$H987,4,false),"")</f>
        <v>4</v>
      </c>
      <c r="J508" s="216">
        <v>0.0</v>
      </c>
      <c r="K508" s="150">
        <f>iferror(vlookup(E508,'Kelas XI - X(32)'!$D$11:$H987,5,false),"")</f>
        <v>1</v>
      </c>
      <c r="L508" s="217">
        <f t="shared" si="59"/>
        <v>1</v>
      </c>
      <c r="M508" s="218">
        <f t="shared" si="60"/>
        <v>0.2</v>
      </c>
      <c r="N508" s="219"/>
      <c r="O508" s="75" t="str">
        <f t="shared" si="62"/>
        <v>B</v>
      </c>
      <c r="P508" s="195"/>
      <c r="Q508" s="105"/>
      <c r="R508" s="105"/>
      <c r="S508" s="105"/>
      <c r="T508" s="105"/>
    </row>
    <row r="509" hidden="1">
      <c r="A509" s="198">
        <v>532.0</v>
      </c>
      <c r="B509" s="234">
        <v>20.0</v>
      </c>
      <c r="C509" s="104" t="s">
        <v>2448</v>
      </c>
      <c r="D509" s="246"/>
      <c r="E509" s="278" t="s">
        <v>2449</v>
      </c>
      <c r="F509" s="246" t="s">
        <v>3100</v>
      </c>
      <c r="G509" s="235"/>
      <c r="H509" s="235" t="str">
        <f>iferror(vlookup(E509,'Kelas XI - X(32)'!$D$11:$H987,3,false),"")</f>
        <v>Zalika</v>
      </c>
      <c r="I509" s="150">
        <f>iferror(vlookup(E509,'Kelas XI - X(32)'!$D$11:$H987,4,false),"")</f>
        <v>5</v>
      </c>
      <c r="J509" s="217">
        <f>iferror(vlookup(E509,MasterClass!$C$2:$G987,5,false),"")</f>
        <v>1</v>
      </c>
      <c r="K509" s="150">
        <f>iferror(vlookup(E509,'Kelas XI - X(32)'!$D$11:$H987,5,false),"")</f>
        <v>3</v>
      </c>
      <c r="L509" s="217">
        <f t="shared" si="59"/>
        <v>4</v>
      </c>
      <c r="M509" s="218">
        <f t="shared" si="60"/>
        <v>0.6666666667</v>
      </c>
      <c r="N509" s="219"/>
      <c r="O509" s="75" t="str">
        <f t="shared" si="62"/>
        <v>A</v>
      </c>
      <c r="P509" s="195"/>
      <c r="Q509" s="105"/>
      <c r="R509" s="105"/>
      <c r="S509" s="105"/>
      <c r="T509" s="105"/>
    </row>
    <row r="510" hidden="1">
      <c r="A510" s="196">
        <v>533.0</v>
      </c>
      <c r="B510" s="234">
        <v>21.0</v>
      </c>
      <c r="C510" s="104" t="s">
        <v>2450</v>
      </c>
      <c r="D510" s="246"/>
      <c r="E510" s="278" t="s">
        <v>2451</v>
      </c>
      <c r="F510" s="246" t="s">
        <v>3100</v>
      </c>
      <c r="G510" s="235"/>
      <c r="H510" s="235" t="str">
        <f>iferror(vlookup(E510,'Kelas XI - X(32)'!$D$11:$H987,3,false),"")</f>
        <v>Taufik</v>
      </c>
      <c r="I510" s="150">
        <f>iferror(vlookup(E510,'Kelas XI - X(32)'!$D$11:$H987,4,false),"")</f>
        <v>7</v>
      </c>
      <c r="J510" s="216">
        <v>0.0</v>
      </c>
      <c r="K510" s="150">
        <f>iferror(vlookup(E510,'Kelas XI - X(32)'!$D$11:$H987,5,false),"")</f>
        <v>3</v>
      </c>
      <c r="L510" s="217">
        <f t="shared" si="59"/>
        <v>3</v>
      </c>
      <c r="M510" s="218">
        <f t="shared" si="60"/>
        <v>0.375</v>
      </c>
      <c r="N510" s="219"/>
      <c r="O510" s="75" t="str">
        <f t="shared" si="62"/>
        <v>B</v>
      </c>
      <c r="P510" s="195"/>
      <c r="Q510" s="105"/>
      <c r="R510" s="105"/>
      <c r="S510" s="105"/>
      <c r="T510" s="105"/>
    </row>
    <row r="511" hidden="1">
      <c r="A511" s="198">
        <v>534.0</v>
      </c>
      <c r="B511" s="234">
        <v>22.0</v>
      </c>
      <c r="C511" s="104" t="s">
        <v>2452</v>
      </c>
      <c r="D511" s="246"/>
      <c r="E511" s="278" t="s">
        <v>2453</v>
      </c>
      <c r="F511" s="246" t="s">
        <v>3099</v>
      </c>
      <c r="G511" s="235"/>
      <c r="H511" s="235" t="str">
        <f>iferror(vlookup(E511,'Kelas XI - X(32)'!$D$11:$H987,3,false),"")</f>
        <v/>
      </c>
      <c r="I511" s="150">
        <v>1.0</v>
      </c>
      <c r="J511" s="216">
        <v>0.0</v>
      </c>
      <c r="K511" s="150">
        <v>0.0</v>
      </c>
      <c r="L511" s="217">
        <f t="shared" si="59"/>
        <v>0</v>
      </c>
      <c r="M511" s="218">
        <f t="shared" si="60"/>
        <v>0</v>
      </c>
      <c r="N511" s="219"/>
      <c r="O511" s="75" t="str">
        <f t="shared" si="62"/>
        <v>B</v>
      </c>
      <c r="P511" s="195"/>
      <c r="Q511" s="105"/>
      <c r="R511" s="105"/>
      <c r="S511" s="105"/>
      <c r="T511" s="105"/>
    </row>
    <row r="512" hidden="1">
      <c r="A512" s="196">
        <v>535.0</v>
      </c>
      <c r="B512" s="234">
        <v>23.0</v>
      </c>
      <c r="C512" s="104" t="s">
        <v>2454</v>
      </c>
      <c r="D512" s="246"/>
      <c r="E512" s="278" t="s">
        <v>2455</v>
      </c>
      <c r="F512" s="246" t="s">
        <v>3100</v>
      </c>
      <c r="G512" s="235"/>
      <c r="H512" s="235" t="str">
        <f>iferror(vlookup(E512,'Kelas XI - X(32)'!$D$11:$H987,3,false),"")</f>
        <v/>
      </c>
      <c r="I512" s="150">
        <v>1.0</v>
      </c>
      <c r="J512" s="216">
        <v>0.0</v>
      </c>
      <c r="K512" s="150">
        <v>0.0</v>
      </c>
      <c r="L512" s="217">
        <f t="shared" si="59"/>
        <v>0</v>
      </c>
      <c r="M512" s="218">
        <f t="shared" si="60"/>
        <v>0</v>
      </c>
      <c r="N512" s="219"/>
      <c r="O512" s="75" t="str">
        <f t="shared" si="62"/>
        <v>B</v>
      </c>
      <c r="P512" s="195"/>
      <c r="Q512" s="105"/>
      <c r="R512" s="105"/>
      <c r="S512" s="105"/>
      <c r="T512" s="105"/>
    </row>
    <row r="513" hidden="1">
      <c r="A513" s="198">
        <v>536.0</v>
      </c>
      <c r="B513" s="212">
        <v>24.0</v>
      </c>
      <c r="C513" s="213" t="s">
        <v>2456</v>
      </c>
      <c r="D513" s="258"/>
      <c r="E513" s="279" t="s">
        <v>2457</v>
      </c>
      <c r="F513" s="99" t="s">
        <v>3100</v>
      </c>
      <c r="G513" s="215"/>
      <c r="H513" s="215" t="str">
        <f>iferror(vlookup(E513,'Kelas XI - X(32)'!$D$11:$H987,3,false),"")</f>
        <v>Iga</v>
      </c>
      <c r="I513" s="69">
        <f>iferror(vlookup(E513,'Kelas XI - X(32)'!$D$11:$H987,4,false),"")</f>
        <v>4</v>
      </c>
      <c r="J513" s="217">
        <f>iferror(vlookup(E513,MasterClass!$C$2:$G987,5,false),"")</f>
        <v>1</v>
      </c>
      <c r="K513" s="150">
        <f>iferror(vlookup(E513,'Kelas XI - X(32)'!$D$11:$H987,5,false),"")</f>
        <v>1</v>
      </c>
      <c r="L513" s="217">
        <f t="shared" si="59"/>
        <v>2</v>
      </c>
      <c r="M513" s="218">
        <f t="shared" si="60"/>
        <v>0.4</v>
      </c>
      <c r="N513" s="219"/>
      <c r="O513" s="75" t="str">
        <f t="shared" si="62"/>
        <v>B</v>
      </c>
      <c r="P513" s="195"/>
      <c r="Q513" s="105"/>
      <c r="R513" s="105"/>
      <c r="S513" s="105"/>
      <c r="T513" s="105"/>
    </row>
    <row r="514" hidden="1">
      <c r="A514" s="196">
        <v>537.0</v>
      </c>
      <c r="B514" s="220">
        <v>25.0</v>
      </c>
      <c r="C514" s="221" t="s">
        <v>2458</v>
      </c>
      <c r="D514" s="259"/>
      <c r="E514" s="280" t="s">
        <v>2459</v>
      </c>
      <c r="F514" s="99" t="s">
        <v>3100</v>
      </c>
      <c r="G514" s="215"/>
      <c r="H514" s="215" t="str">
        <f>iferror(vlookup(E514,'Kelas XI - X(32)'!$D$11:$H987,3,false),"")</f>
        <v/>
      </c>
      <c r="I514" s="69">
        <v>1.0</v>
      </c>
      <c r="J514" s="222">
        <v>0.0</v>
      </c>
      <c r="K514" s="69">
        <v>0.0</v>
      </c>
      <c r="L514" s="223">
        <f t="shared" si="59"/>
        <v>0</v>
      </c>
      <c r="M514" s="146">
        <f t="shared" si="60"/>
        <v>0</v>
      </c>
      <c r="N514" s="224"/>
      <c r="O514" s="75" t="str">
        <f t="shared" si="62"/>
        <v>B</v>
      </c>
      <c r="P514" s="195"/>
      <c r="Q514" s="105"/>
      <c r="R514" s="105"/>
      <c r="S514" s="105"/>
      <c r="T514" s="105"/>
    </row>
    <row r="515" hidden="1">
      <c r="A515" s="198">
        <v>538.0</v>
      </c>
      <c r="B515" s="225">
        <v>26.0</v>
      </c>
      <c r="C515" s="214" t="s">
        <v>2460</v>
      </c>
      <c r="D515" s="99"/>
      <c r="E515" s="268" t="s">
        <v>2461</v>
      </c>
      <c r="F515" s="99" t="s">
        <v>3100</v>
      </c>
      <c r="G515" s="215"/>
      <c r="H515" s="215" t="str">
        <f>iferror(vlookup(E515,'Kelas XI - X(32)'!$D$11:$H987,3,false),"")</f>
        <v/>
      </c>
      <c r="I515" s="69">
        <f>iferror(vlookup(E515,'Kelas XI - X(32)'!$D$11:$H987,4,false),"")</f>
        <v>7</v>
      </c>
      <c r="J515" s="222">
        <v>0.0</v>
      </c>
      <c r="K515" s="69">
        <f>iferror(vlookup(E515,'Kelas XI - X(32)'!$D$11:$H987,5,false),"")</f>
        <v>3</v>
      </c>
      <c r="L515" s="223">
        <f t="shared" si="59"/>
        <v>3</v>
      </c>
      <c r="M515" s="146">
        <f t="shared" si="60"/>
        <v>0.375</v>
      </c>
      <c r="N515" s="224"/>
      <c r="O515" s="75" t="str">
        <f t="shared" si="62"/>
        <v>B</v>
      </c>
      <c r="P515" s="105"/>
      <c r="Q515" s="105"/>
      <c r="R515" s="105"/>
      <c r="S515" s="105"/>
      <c r="T515" s="105"/>
    </row>
    <row r="516" hidden="1">
      <c r="A516" s="196">
        <v>539.0</v>
      </c>
      <c r="B516" s="225">
        <v>27.0</v>
      </c>
      <c r="C516" s="281" t="s">
        <v>2462</v>
      </c>
      <c r="D516" s="115"/>
      <c r="E516" s="268" t="s">
        <v>2463</v>
      </c>
      <c r="F516" s="115" t="s">
        <v>3099</v>
      </c>
      <c r="G516" s="215"/>
      <c r="H516" s="215" t="str">
        <f>iferror(vlookup(E516,'Kelas XI - X(32)'!$D$11:$H987,3,false),"")</f>
        <v/>
      </c>
      <c r="I516" s="69">
        <f>iferror(vlookup(E516,'Kelas XI - X(32)'!$D$11:$H987,4,false),"")</f>
        <v>7</v>
      </c>
      <c r="J516" s="222">
        <v>0.0</v>
      </c>
      <c r="K516" s="69">
        <f>iferror(vlookup(E516,'Kelas XI - X(32)'!$D$11:$H987,5,false),"")</f>
        <v>2</v>
      </c>
      <c r="L516" s="223">
        <f t="shared" si="59"/>
        <v>2</v>
      </c>
      <c r="M516" s="146">
        <f t="shared" si="60"/>
        <v>0.25</v>
      </c>
      <c r="N516" s="224"/>
      <c r="O516" s="75" t="str">
        <f t="shared" si="62"/>
        <v>B</v>
      </c>
      <c r="P516" s="105"/>
      <c r="Q516" s="105"/>
      <c r="R516" s="105"/>
      <c r="S516" s="105"/>
      <c r="T516" s="105"/>
    </row>
    <row r="517" hidden="1">
      <c r="A517" s="198">
        <v>540.0</v>
      </c>
      <c r="B517" s="225">
        <v>28.0</v>
      </c>
      <c r="C517" s="214" t="s">
        <v>2464</v>
      </c>
      <c r="D517" s="99"/>
      <c r="E517" s="268" t="s">
        <v>2465</v>
      </c>
      <c r="F517" s="99" t="s">
        <v>3100</v>
      </c>
      <c r="G517" s="215"/>
      <c r="H517" s="215" t="str">
        <f>iferror(vlookup(E517,'Kelas XI - X(32)'!$D$11:$H987,3,false),"")</f>
        <v>Arya</v>
      </c>
      <c r="I517" s="69">
        <f>iferror(vlookup(E517,'Kelas XI - X(32)'!$D$11:$H987,4,false),"")</f>
        <v>5</v>
      </c>
      <c r="J517" s="222">
        <v>0.0</v>
      </c>
      <c r="K517" s="69">
        <f>iferror(vlookup(E517,'Kelas XI - X(32)'!$D$11:$H987,5,false),"")</f>
        <v>1</v>
      </c>
      <c r="L517" s="223">
        <f t="shared" si="59"/>
        <v>1</v>
      </c>
      <c r="M517" s="146">
        <f t="shared" si="60"/>
        <v>0.1666666667</v>
      </c>
      <c r="N517" s="224"/>
      <c r="O517" s="75" t="str">
        <f t="shared" si="62"/>
        <v>B</v>
      </c>
      <c r="P517" s="105"/>
      <c r="Q517" s="105"/>
      <c r="R517" s="105"/>
      <c r="S517" s="105"/>
      <c r="T517" s="105"/>
    </row>
    <row r="518" hidden="1">
      <c r="A518" s="196">
        <v>541.0</v>
      </c>
      <c r="B518" s="225">
        <v>29.0</v>
      </c>
      <c r="C518" s="214" t="s">
        <v>2466</v>
      </c>
      <c r="D518" s="99"/>
      <c r="E518" s="268" t="s">
        <v>2467</v>
      </c>
      <c r="F518" s="99" t="s">
        <v>3100</v>
      </c>
      <c r="G518" s="215"/>
      <c r="H518" s="215" t="str">
        <f>iferror(vlookup(E518,'Kelas XI - X(32)'!$D$11:$H987,3,false),"")</f>
        <v/>
      </c>
      <c r="I518" s="69">
        <f>iferror(vlookup(E518,'Kelas XI - X(32)'!$D$11:$H987,4,false),"")</f>
        <v>4</v>
      </c>
      <c r="J518" s="222">
        <v>0.0</v>
      </c>
      <c r="K518" s="69">
        <f>iferror(vlookup(E518,'Kelas XI - X(32)'!$D$11:$H987,5,false),"")</f>
        <v>4</v>
      </c>
      <c r="L518" s="223">
        <f t="shared" si="59"/>
        <v>4</v>
      </c>
      <c r="M518" s="146">
        <f t="shared" si="60"/>
        <v>0.8</v>
      </c>
      <c r="N518" s="224"/>
      <c r="O518" s="75" t="str">
        <f t="shared" si="62"/>
        <v>A</v>
      </c>
      <c r="P518" s="105"/>
      <c r="Q518" s="105"/>
      <c r="R518" s="105"/>
      <c r="S518" s="105"/>
      <c r="T518" s="105"/>
    </row>
    <row r="519" hidden="1">
      <c r="A519" s="198">
        <v>542.0</v>
      </c>
      <c r="B519" s="225">
        <v>31.0</v>
      </c>
      <c r="C519" s="214" t="s">
        <v>2468</v>
      </c>
      <c r="D519" s="99"/>
      <c r="E519" s="268" t="s">
        <v>2469</v>
      </c>
      <c r="F519" s="99" t="s">
        <v>3100</v>
      </c>
      <c r="G519" s="215"/>
      <c r="H519" s="215" t="str">
        <f>iferror(vlookup(E519,'Kelas XI - X(32)'!$D$11:$H987,3,false),"")</f>
        <v>Taufik</v>
      </c>
      <c r="I519" s="69">
        <f>iferror(vlookup(E519,'Kelas XI - X(32)'!$D$11:$H987,4,false),"")</f>
        <v>7</v>
      </c>
      <c r="J519" s="222">
        <v>0.0</v>
      </c>
      <c r="K519" s="69">
        <f>iferror(vlookup(E519,'Kelas XI - X(32)'!$D$11:$H987,5,false),"")</f>
        <v>4</v>
      </c>
      <c r="L519" s="223">
        <f t="shared" si="59"/>
        <v>4</v>
      </c>
      <c r="M519" s="146">
        <f t="shared" si="60"/>
        <v>0.5</v>
      </c>
      <c r="N519" s="248" t="s">
        <v>3106</v>
      </c>
      <c r="O519" s="69" t="s">
        <v>1163</v>
      </c>
      <c r="P519" s="105"/>
      <c r="Q519" s="105"/>
      <c r="R519" s="105"/>
      <c r="S519" s="105"/>
      <c r="T519" s="105"/>
    </row>
    <row r="520" hidden="1">
      <c r="A520" s="196">
        <v>543.0</v>
      </c>
      <c r="B520" s="225">
        <v>32.0</v>
      </c>
      <c r="C520" s="214" t="s">
        <v>2470</v>
      </c>
      <c r="D520" s="99"/>
      <c r="E520" s="268" t="s">
        <v>2471</v>
      </c>
      <c r="F520" s="99" t="s">
        <v>3100</v>
      </c>
      <c r="G520" s="215"/>
      <c r="H520" s="215" t="str">
        <f>iferror(vlookup(E520,'Kelas XI - X(32)'!$D$11:$H987,3,false),"")</f>
        <v/>
      </c>
      <c r="I520" s="69">
        <v>1.0</v>
      </c>
      <c r="J520" s="222">
        <v>0.0</v>
      </c>
      <c r="K520" s="69">
        <v>0.0</v>
      </c>
      <c r="L520" s="223">
        <f t="shared" si="59"/>
        <v>0</v>
      </c>
      <c r="M520" s="146">
        <f t="shared" si="60"/>
        <v>0</v>
      </c>
      <c r="N520" s="224"/>
      <c r="O520" s="75" t="str">
        <f t="shared" ref="O520:O525" si="63">IF(M520&gt;=50%,"A","B")</f>
        <v>B</v>
      </c>
      <c r="P520" s="105"/>
      <c r="Q520" s="105"/>
      <c r="R520" s="105"/>
      <c r="S520" s="105"/>
      <c r="T520" s="105"/>
    </row>
    <row r="521" hidden="1">
      <c r="A521" s="198">
        <v>544.0</v>
      </c>
      <c r="B521" s="225">
        <v>33.0</v>
      </c>
      <c r="C521" s="214" t="s">
        <v>2472</v>
      </c>
      <c r="D521" s="99"/>
      <c r="E521" s="268" t="s">
        <v>2473</v>
      </c>
      <c r="F521" s="99" t="s">
        <v>3100</v>
      </c>
      <c r="G521" s="215"/>
      <c r="H521" s="215" t="str">
        <f>iferror(vlookup(E521,'Kelas XI - X(32)'!$D$11:$H987,3,false),"")</f>
        <v>Iga</v>
      </c>
      <c r="I521" s="69">
        <f>iferror(vlookup(E521,'Kelas XI - X(32)'!$D$11:$H987,4,false),"")</f>
        <v>4</v>
      </c>
      <c r="J521" s="222">
        <v>0.0</v>
      </c>
      <c r="K521" s="69">
        <f>iferror(vlookup(E521,'Kelas XI - X(32)'!$D$11:$H987,5,false),"")</f>
        <v>1</v>
      </c>
      <c r="L521" s="223">
        <f t="shared" si="59"/>
        <v>1</v>
      </c>
      <c r="M521" s="146">
        <f t="shared" si="60"/>
        <v>0.2</v>
      </c>
      <c r="N521" s="224"/>
      <c r="O521" s="75" t="str">
        <f t="shared" si="63"/>
        <v>B</v>
      </c>
      <c r="P521" s="105"/>
      <c r="Q521" s="105"/>
      <c r="R521" s="105"/>
      <c r="S521" s="105"/>
      <c r="T521" s="105"/>
    </row>
    <row r="522" hidden="1">
      <c r="A522" s="196">
        <v>545.0</v>
      </c>
      <c r="B522" s="225">
        <v>34.0</v>
      </c>
      <c r="C522" s="214" t="s">
        <v>2474</v>
      </c>
      <c r="D522" s="99"/>
      <c r="E522" s="268" t="s">
        <v>2475</v>
      </c>
      <c r="F522" s="99" t="s">
        <v>3099</v>
      </c>
      <c r="G522" s="215"/>
      <c r="H522" s="215" t="str">
        <f>iferror(vlookup(E522,'Kelas XI - X(32)'!$D$11:$H987,3,false),"")</f>
        <v/>
      </c>
      <c r="I522" s="69">
        <v>1.0</v>
      </c>
      <c r="J522" s="222">
        <v>0.0</v>
      </c>
      <c r="K522" s="69">
        <v>0.0</v>
      </c>
      <c r="L522" s="223">
        <f t="shared" si="59"/>
        <v>0</v>
      </c>
      <c r="M522" s="146">
        <f t="shared" si="60"/>
        <v>0</v>
      </c>
      <c r="N522" s="224"/>
      <c r="O522" s="75" t="str">
        <f t="shared" si="63"/>
        <v>B</v>
      </c>
      <c r="P522" s="105"/>
      <c r="Q522" s="105"/>
      <c r="R522" s="105"/>
      <c r="S522" s="105"/>
      <c r="T522" s="105"/>
    </row>
    <row r="523" hidden="1">
      <c r="A523" s="198">
        <v>546.0</v>
      </c>
      <c r="B523" s="225">
        <v>35.0</v>
      </c>
      <c r="C523" s="214" t="s">
        <v>2476</v>
      </c>
      <c r="D523" s="99"/>
      <c r="E523" s="268" t="s">
        <v>2477</v>
      </c>
      <c r="F523" s="99" t="s">
        <v>3099</v>
      </c>
      <c r="G523" s="215"/>
      <c r="H523" s="215" t="str">
        <f>iferror(vlookup(E523,'Kelas XI - X(32)'!$D$11:$H987,3,false),"")</f>
        <v/>
      </c>
      <c r="I523" s="69">
        <v>1.0</v>
      </c>
      <c r="J523" s="222">
        <v>0.0</v>
      </c>
      <c r="K523" s="69">
        <v>0.0</v>
      </c>
      <c r="L523" s="223">
        <f t="shared" si="59"/>
        <v>0</v>
      </c>
      <c r="M523" s="146">
        <f t="shared" si="60"/>
        <v>0</v>
      </c>
      <c r="N523" s="224"/>
      <c r="O523" s="75" t="str">
        <f t="shared" si="63"/>
        <v>B</v>
      </c>
      <c r="P523" s="105"/>
      <c r="Q523" s="105"/>
      <c r="R523" s="105"/>
      <c r="S523" s="105"/>
      <c r="T523" s="105"/>
    </row>
    <row r="524" hidden="1">
      <c r="A524" s="196">
        <v>547.0</v>
      </c>
      <c r="B524" s="225">
        <v>36.0</v>
      </c>
      <c r="C524" s="268" t="s">
        <v>2478</v>
      </c>
      <c r="D524" s="228"/>
      <c r="E524" s="268" t="s">
        <v>2479</v>
      </c>
      <c r="F524" s="99" t="s">
        <v>3100</v>
      </c>
      <c r="G524" s="215"/>
      <c r="H524" s="215" t="str">
        <f>iferror(vlookup(E524,'Kelas XI - X(32)'!$D$11:$H987,3,false),"")</f>
        <v/>
      </c>
      <c r="I524" s="69">
        <v>1.0</v>
      </c>
      <c r="J524" s="222">
        <v>0.0</v>
      </c>
      <c r="K524" s="69">
        <v>0.0</v>
      </c>
      <c r="L524" s="223">
        <f t="shared" si="59"/>
        <v>0</v>
      </c>
      <c r="M524" s="146">
        <f t="shared" si="60"/>
        <v>0</v>
      </c>
      <c r="N524" s="224"/>
      <c r="O524" s="75" t="str">
        <f t="shared" si="63"/>
        <v>B</v>
      </c>
      <c r="P524" s="105"/>
      <c r="Q524" s="105"/>
      <c r="R524" s="105"/>
      <c r="S524" s="105"/>
      <c r="T524" s="105"/>
    </row>
    <row r="525" hidden="1">
      <c r="A525" s="198">
        <v>548.0</v>
      </c>
      <c r="B525" s="225">
        <v>37.0</v>
      </c>
      <c r="C525" s="214" t="s">
        <v>2480</v>
      </c>
      <c r="D525" s="99"/>
      <c r="E525" s="268" t="s">
        <v>2481</v>
      </c>
      <c r="F525" s="99" t="s">
        <v>3100</v>
      </c>
      <c r="G525" s="215"/>
      <c r="H525" s="215" t="str">
        <f>iferror(vlookup(E525,'Kelas XI - X(32)'!$D$11:$H987,3,false),"")</f>
        <v>Zalika</v>
      </c>
      <c r="I525" s="69">
        <f>iferror(vlookup(E525,'Kelas XI - X(32)'!$D$11:$H987,4,false),"")</f>
        <v>5</v>
      </c>
      <c r="J525" s="222">
        <v>0.0</v>
      </c>
      <c r="K525" s="69">
        <f>iferror(vlookup(E525,'Kelas XI - X(32)'!$D$11:$H987,5,false),"")</f>
        <v>1</v>
      </c>
      <c r="L525" s="223">
        <f t="shared" si="59"/>
        <v>1</v>
      </c>
      <c r="M525" s="146">
        <f t="shared" si="60"/>
        <v>0.1666666667</v>
      </c>
      <c r="N525" s="224"/>
      <c r="O525" s="75" t="str">
        <f t="shared" si="63"/>
        <v>B</v>
      </c>
      <c r="P525" s="105"/>
      <c r="Q525" s="105"/>
      <c r="R525" s="105"/>
      <c r="S525" s="105"/>
      <c r="T525" s="105"/>
    </row>
    <row r="526" hidden="1">
      <c r="A526" s="196">
        <v>549.0</v>
      </c>
      <c r="B526" s="282"/>
      <c r="C526" s="214"/>
      <c r="D526" s="228"/>
      <c r="E526" s="214"/>
      <c r="F526" s="228"/>
      <c r="G526" s="228"/>
      <c r="H526" s="228"/>
      <c r="I526" s="229"/>
      <c r="J526" s="229"/>
      <c r="K526" s="229"/>
      <c r="L526" s="229"/>
      <c r="M526" s="229"/>
      <c r="N526" s="228"/>
      <c r="O526" s="229"/>
      <c r="P526" s="105"/>
      <c r="Q526" s="105"/>
      <c r="R526" s="105"/>
      <c r="S526" s="105"/>
      <c r="T526" s="105"/>
    </row>
    <row r="527" hidden="1">
      <c r="A527" s="198">
        <v>550.0</v>
      </c>
      <c r="B527" s="282"/>
      <c r="C527" s="214"/>
      <c r="D527" s="228"/>
      <c r="E527" s="214"/>
      <c r="F527" s="228"/>
      <c r="G527" s="228"/>
      <c r="H527" s="228"/>
      <c r="I527" s="229"/>
      <c r="J527" s="229"/>
      <c r="K527" s="229"/>
      <c r="L527" s="231"/>
      <c r="M527" s="231"/>
      <c r="N527" s="228"/>
      <c r="O527" s="229"/>
      <c r="P527" s="105"/>
      <c r="Q527" s="105"/>
      <c r="R527" s="105"/>
      <c r="S527" s="105"/>
      <c r="T527" s="105"/>
    </row>
    <row r="528" hidden="1">
      <c r="A528" s="196">
        <v>551.0</v>
      </c>
      <c r="B528" s="282"/>
      <c r="C528" s="214"/>
      <c r="D528" s="228"/>
      <c r="E528" s="214"/>
      <c r="F528" s="228"/>
      <c r="G528" s="228"/>
      <c r="H528" s="228"/>
      <c r="I528" s="229"/>
      <c r="J528" s="229"/>
      <c r="K528" s="229"/>
      <c r="L528" s="231"/>
      <c r="M528" s="231"/>
      <c r="N528" s="230"/>
      <c r="O528" s="231"/>
      <c r="P528" s="105"/>
      <c r="Q528" s="105"/>
      <c r="R528" s="105"/>
      <c r="S528" s="105"/>
      <c r="T528" s="105"/>
    </row>
    <row r="529" hidden="1">
      <c r="A529" s="198"/>
      <c r="B529" s="283"/>
      <c r="C529" s="9"/>
      <c r="D529" s="9"/>
      <c r="E529" s="10"/>
      <c r="F529" s="284"/>
      <c r="G529" s="284"/>
      <c r="H529" s="284"/>
      <c r="I529" s="285"/>
      <c r="J529" s="285"/>
      <c r="K529" s="285"/>
      <c r="L529" s="285"/>
      <c r="M529" s="285"/>
      <c r="N529" s="284"/>
      <c r="O529" s="285"/>
      <c r="P529" s="105"/>
      <c r="Q529" s="105"/>
      <c r="R529" s="105"/>
      <c r="S529" s="105"/>
      <c r="T529" s="105"/>
    </row>
    <row r="530" hidden="1">
      <c r="A530" s="196"/>
      <c r="B530" s="286"/>
      <c r="C530" s="9"/>
      <c r="D530" s="9"/>
      <c r="E530" s="10"/>
      <c r="F530" s="284"/>
      <c r="G530" s="284"/>
      <c r="H530" s="284"/>
      <c r="I530" s="285"/>
      <c r="J530" s="285"/>
      <c r="K530" s="285"/>
      <c r="L530" s="285"/>
      <c r="M530" s="285"/>
      <c r="N530" s="284"/>
      <c r="O530" s="285"/>
      <c r="P530" s="105"/>
      <c r="Q530" s="105"/>
      <c r="R530" s="105"/>
      <c r="S530" s="105"/>
      <c r="T530" s="105"/>
    </row>
    <row r="531" hidden="1">
      <c r="A531" s="198"/>
      <c r="B531" s="283"/>
      <c r="C531" s="9"/>
      <c r="D531" s="9"/>
      <c r="E531" s="10"/>
      <c r="F531" s="284"/>
      <c r="G531" s="284"/>
      <c r="H531" s="284"/>
      <c r="I531" s="285"/>
      <c r="J531" s="285"/>
      <c r="K531" s="285"/>
      <c r="L531" s="285"/>
      <c r="M531" s="285"/>
      <c r="N531" s="284"/>
      <c r="O531" s="285"/>
      <c r="P531" s="105"/>
      <c r="Q531" s="105"/>
      <c r="R531" s="105"/>
      <c r="S531" s="105"/>
      <c r="T531" s="105"/>
    </row>
    <row r="532" hidden="1">
      <c r="A532" s="196"/>
      <c r="B532" s="286"/>
      <c r="C532" s="9"/>
      <c r="D532" s="9"/>
      <c r="E532" s="10"/>
      <c r="F532" s="284"/>
      <c r="G532" s="284"/>
      <c r="H532" s="284"/>
      <c r="I532" s="285"/>
      <c r="J532" s="285"/>
      <c r="K532" s="285"/>
      <c r="L532" s="285"/>
      <c r="M532" s="285"/>
      <c r="N532" s="284"/>
      <c r="O532" s="285"/>
      <c r="P532" s="105"/>
      <c r="Q532" s="105"/>
      <c r="R532" s="105"/>
      <c r="S532" s="105"/>
      <c r="T532" s="105"/>
    </row>
    <row r="533" hidden="1">
      <c r="A533" s="196"/>
      <c r="B533" s="283"/>
      <c r="C533" s="9"/>
      <c r="D533" s="9"/>
      <c r="E533" s="10"/>
      <c r="F533" s="284"/>
      <c r="G533" s="284"/>
      <c r="H533" s="284"/>
      <c r="I533" s="285"/>
      <c r="J533" s="285"/>
      <c r="K533" s="285"/>
      <c r="L533" s="285"/>
      <c r="M533" s="285"/>
      <c r="N533" s="284"/>
      <c r="O533" s="285"/>
      <c r="P533" s="105"/>
      <c r="Q533" s="105"/>
      <c r="R533" s="105"/>
      <c r="S533" s="105"/>
      <c r="T533" s="105"/>
    </row>
    <row r="534" hidden="1">
      <c r="A534" s="198"/>
      <c r="B534" s="283"/>
      <c r="C534" s="9"/>
      <c r="D534" s="9"/>
      <c r="E534" s="10"/>
      <c r="F534" s="284"/>
      <c r="G534" s="284"/>
      <c r="H534" s="284"/>
      <c r="I534" s="285"/>
      <c r="J534" s="285"/>
      <c r="K534" s="285"/>
      <c r="L534" s="285"/>
      <c r="M534" s="285"/>
      <c r="N534" s="284"/>
      <c r="O534" s="285"/>
      <c r="P534" s="105"/>
      <c r="Q534" s="105"/>
      <c r="R534" s="105"/>
      <c r="S534" s="105"/>
      <c r="T534" s="105"/>
    </row>
    <row r="535" hidden="1">
      <c r="A535" s="196"/>
      <c r="B535" s="283"/>
      <c r="C535" s="9"/>
      <c r="D535" s="9"/>
      <c r="E535" s="10"/>
      <c r="F535" s="284"/>
      <c r="G535" s="284"/>
      <c r="H535" s="284"/>
      <c r="I535" s="285"/>
      <c r="J535" s="285"/>
      <c r="K535" s="285"/>
      <c r="L535" s="285"/>
      <c r="M535" s="285"/>
      <c r="N535" s="284"/>
      <c r="O535" s="285"/>
      <c r="P535" s="105"/>
      <c r="Q535" s="105"/>
      <c r="R535" s="105"/>
      <c r="S535" s="105"/>
      <c r="T535" s="105"/>
    </row>
    <row r="536" hidden="1">
      <c r="A536" s="198"/>
      <c r="B536" s="283"/>
      <c r="C536" s="9"/>
      <c r="D536" s="9"/>
      <c r="E536" s="10"/>
      <c r="F536" s="284"/>
      <c r="G536" s="284"/>
      <c r="H536" s="284"/>
      <c r="I536" s="285"/>
      <c r="J536" s="285"/>
      <c r="K536" s="285"/>
      <c r="L536" s="285"/>
      <c r="M536" s="285"/>
      <c r="N536" s="284"/>
      <c r="O536" s="285"/>
      <c r="P536" s="105"/>
      <c r="Q536" s="105"/>
      <c r="R536" s="105"/>
      <c r="S536" s="105"/>
      <c r="T536" s="105"/>
    </row>
    <row r="537" hidden="1">
      <c r="A537" s="196"/>
      <c r="B537" s="283"/>
      <c r="C537" s="9"/>
      <c r="D537" s="9"/>
      <c r="E537" s="10"/>
      <c r="F537" s="284"/>
      <c r="G537" s="284"/>
      <c r="H537" s="284"/>
      <c r="I537" s="285"/>
      <c r="J537" s="285"/>
      <c r="K537" s="285"/>
      <c r="L537" s="285"/>
      <c r="M537" s="285"/>
      <c r="N537" s="284"/>
      <c r="O537" s="285"/>
      <c r="P537" s="105"/>
      <c r="Q537" s="105"/>
      <c r="R537" s="105"/>
      <c r="S537" s="105"/>
      <c r="T537" s="105"/>
    </row>
    <row r="538" hidden="1">
      <c r="A538" s="198"/>
      <c r="B538" s="283"/>
      <c r="C538" s="9"/>
      <c r="D538" s="9"/>
      <c r="E538" s="10"/>
      <c r="F538" s="284"/>
      <c r="G538" s="284"/>
      <c r="H538" s="284"/>
      <c r="I538" s="285"/>
      <c r="J538" s="285"/>
      <c r="K538" s="285"/>
      <c r="L538" s="285"/>
      <c r="M538" s="285"/>
      <c r="N538" s="284"/>
      <c r="O538" s="285"/>
      <c r="P538" s="105"/>
      <c r="Q538" s="105"/>
      <c r="R538" s="105"/>
      <c r="S538" s="105"/>
      <c r="T538" s="105"/>
    </row>
    <row r="539" hidden="1">
      <c r="A539" s="196"/>
      <c r="B539" s="283"/>
      <c r="C539" s="9"/>
      <c r="D539" s="9"/>
      <c r="E539" s="10"/>
      <c r="F539" s="284"/>
      <c r="G539" s="284"/>
      <c r="H539" s="284"/>
      <c r="I539" s="285"/>
      <c r="J539" s="285"/>
      <c r="K539" s="285"/>
      <c r="L539" s="285"/>
      <c r="M539" s="285"/>
      <c r="N539" s="284"/>
      <c r="O539" s="285"/>
      <c r="P539" s="105"/>
      <c r="Q539" s="105"/>
      <c r="R539" s="105"/>
      <c r="S539" s="105"/>
      <c r="T539" s="105"/>
    </row>
    <row r="540" hidden="1">
      <c r="A540" s="198"/>
      <c r="B540" s="283"/>
      <c r="C540" s="9"/>
      <c r="D540" s="9"/>
      <c r="E540" s="10"/>
      <c r="F540" s="284"/>
      <c r="G540" s="284"/>
      <c r="H540" s="284"/>
      <c r="I540" s="285"/>
      <c r="J540" s="285"/>
      <c r="K540" s="285"/>
      <c r="L540" s="285"/>
      <c r="M540" s="285"/>
      <c r="N540" s="284"/>
      <c r="O540" s="285"/>
      <c r="P540" s="105"/>
      <c r="Q540" s="105"/>
      <c r="R540" s="105"/>
      <c r="S540" s="105"/>
      <c r="T540" s="105"/>
    </row>
    <row r="541" hidden="1">
      <c r="A541" s="196"/>
      <c r="B541" s="283"/>
      <c r="C541" s="9"/>
      <c r="D541" s="9"/>
      <c r="E541" s="10"/>
      <c r="F541" s="284"/>
      <c r="G541" s="284"/>
      <c r="H541" s="284"/>
      <c r="I541" s="285"/>
      <c r="J541" s="285"/>
      <c r="K541" s="285"/>
      <c r="L541" s="285"/>
      <c r="M541" s="285"/>
      <c r="N541" s="284"/>
      <c r="O541" s="285"/>
      <c r="P541" s="105"/>
      <c r="Q541" s="105"/>
      <c r="R541" s="105"/>
      <c r="S541" s="105"/>
      <c r="T541" s="105"/>
    </row>
    <row r="542" hidden="1">
      <c r="A542" s="198"/>
      <c r="B542" s="283"/>
      <c r="C542" s="9"/>
      <c r="D542" s="9"/>
      <c r="E542" s="10"/>
      <c r="F542" s="284"/>
      <c r="G542" s="284"/>
      <c r="H542" s="284"/>
      <c r="I542" s="285"/>
      <c r="J542" s="285"/>
      <c r="K542" s="285"/>
      <c r="L542" s="285"/>
      <c r="M542" s="285"/>
      <c r="N542" s="284"/>
      <c r="O542" s="285"/>
      <c r="P542" s="105"/>
      <c r="Q542" s="105"/>
      <c r="R542" s="105"/>
      <c r="S542" s="105"/>
      <c r="T542" s="105"/>
    </row>
    <row r="543" hidden="1">
      <c r="A543" s="196"/>
      <c r="B543" s="283"/>
      <c r="C543" s="9"/>
      <c r="D543" s="9"/>
      <c r="E543" s="10"/>
      <c r="F543" s="284"/>
      <c r="G543" s="284"/>
      <c r="H543" s="284"/>
      <c r="I543" s="285"/>
      <c r="J543" s="285"/>
      <c r="K543" s="285"/>
      <c r="L543" s="285"/>
      <c r="M543" s="285"/>
      <c r="N543" s="284"/>
      <c r="O543" s="285"/>
      <c r="P543" s="105"/>
      <c r="Q543" s="105"/>
      <c r="R543" s="105"/>
      <c r="S543" s="105"/>
      <c r="T543" s="105"/>
    </row>
    <row r="544" hidden="1">
      <c r="A544" s="198"/>
      <c r="B544" s="283"/>
      <c r="C544" s="9"/>
      <c r="D544" s="9"/>
      <c r="E544" s="10"/>
      <c r="F544" s="284"/>
      <c r="G544" s="284"/>
      <c r="H544" s="284"/>
      <c r="I544" s="285"/>
      <c r="J544" s="285"/>
      <c r="K544" s="285"/>
      <c r="L544" s="285"/>
      <c r="M544" s="285"/>
      <c r="N544" s="284"/>
      <c r="O544" s="285"/>
      <c r="P544" s="105"/>
      <c r="Q544" s="105"/>
      <c r="R544" s="105"/>
      <c r="S544" s="105"/>
      <c r="T544" s="105"/>
    </row>
    <row r="545" hidden="1">
      <c r="A545" s="196"/>
      <c r="B545" s="283"/>
      <c r="C545" s="9"/>
      <c r="D545" s="9"/>
      <c r="E545" s="10"/>
      <c r="F545" s="284"/>
      <c r="G545" s="284"/>
      <c r="H545" s="284"/>
      <c r="I545" s="285"/>
      <c r="J545" s="285"/>
      <c r="K545" s="285"/>
      <c r="L545" s="285"/>
      <c r="M545" s="285"/>
      <c r="N545" s="284"/>
      <c r="O545" s="285"/>
      <c r="P545" s="105"/>
      <c r="Q545" s="105"/>
      <c r="R545" s="105"/>
      <c r="S545" s="105"/>
      <c r="T545" s="105"/>
    </row>
    <row r="546" hidden="1">
      <c r="A546" s="198"/>
      <c r="B546" s="283"/>
      <c r="C546" s="9"/>
      <c r="D546" s="9"/>
      <c r="E546" s="10"/>
      <c r="F546" s="284"/>
      <c r="G546" s="284"/>
      <c r="H546" s="284"/>
      <c r="I546" s="285"/>
      <c r="J546" s="285"/>
      <c r="K546" s="285"/>
      <c r="L546" s="285"/>
      <c r="M546" s="285"/>
      <c r="N546" s="284"/>
      <c r="O546" s="285"/>
      <c r="P546" s="105"/>
      <c r="Q546" s="105"/>
      <c r="R546" s="105"/>
      <c r="S546" s="105"/>
      <c r="T546" s="105"/>
    </row>
    <row r="547" hidden="1">
      <c r="A547" s="196"/>
      <c r="B547" s="283"/>
      <c r="C547" s="9"/>
      <c r="D547" s="9"/>
      <c r="E547" s="10"/>
      <c r="F547" s="284"/>
      <c r="G547" s="284"/>
      <c r="H547" s="284"/>
      <c r="I547" s="285"/>
      <c r="J547" s="285"/>
      <c r="K547" s="285"/>
      <c r="L547" s="285"/>
      <c r="M547" s="285"/>
      <c r="N547" s="284"/>
      <c r="O547" s="285"/>
      <c r="P547" s="105"/>
      <c r="Q547" s="105"/>
      <c r="R547" s="105"/>
      <c r="S547" s="105"/>
      <c r="T547" s="105"/>
    </row>
    <row r="548" hidden="1">
      <c r="A548" s="198"/>
      <c r="B548" s="283"/>
      <c r="C548" s="9"/>
      <c r="D548" s="9"/>
      <c r="E548" s="10"/>
      <c r="F548" s="284"/>
      <c r="G548" s="284"/>
      <c r="H548" s="284"/>
      <c r="I548" s="285"/>
      <c r="J548" s="285"/>
      <c r="K548" s="285"/>
      <c r="L548" s="285"/>
      <c r="M548" s="285"/>
      <c r="N548" s="284"/>
      <c r="O548" s="285"/>
      <c r="P548" s="105"/>
      <c r="Q548" s="105"/>
      <c r="R548" s="105"/>
      <c r="S548" s="105"/>
      <c r="T548" s="105"/>
    </row>
    <row r="549" hidden="1">
      <c r="A549" s="196"/>
      <c r="B549" s="283"/>
      <c r="C549" s="9"/>
      <c r="D549" s="9"/>
      <c r="E549" s="10"/>
      <c r="F549" s="284"/>
      <c r="G549" s="284"/>
      <c r="H549" s="284"/>
      <c r="I549" s="285"/>
      <c r="J549" s="285"/>
      <c r="K549" s="285"/>
      <c r="L549" s="285"/>
      <c r="M549" s="285"/>
      <c r="N549" s="284"/>
      <c r="O549" s="285"/>
      <c r="P549" s="105"/>
      <c r="Q549" s="105"/>
      <c r="R549" s="105"/>
      <c r="S549" s="105"/>
      <c r="T549" s="105"/>
    </row>
    <row r="550" hidden="1">
      <c r="A550" s="198"/>
      <c r="B550" s="283"/>
      <c r="C550" s="9"/>
      <c r="D550" s="9"/>
      <c r="E550" s="10"/>
      <c r="F550" s="284"/>
      <c r="G550" s="284"/>
      <c r="H550" s="284"/>
      <c r="I550" s="285"/>
      <c r="J550" s="285"/>
      <c r="K550" s="285"/>
      <c r="L550" s="285"/>
      <c r="M550" s="285"/>
      <c r="N550" s="284"/>
      <c r="O550" s="285"/>
      <c r="P550" s="105"/>
      <c r="Q550" s="105"/>
      <c r="R550" s="105"/>
      <c r="S550" s="105"/>
      <c r="T550" s="105"/>
    </row>
    <row r="551" hidden="1">
      <c r="A551" s="196"/>
      <c r="B551" s="113"/>
      <c r="F551" s="287"/>
      <c r="G551" s="287"/>
      <c r="H551" s="287"/>
      <c r="I551" s="114"/>
      <c r="J551" s="114"/>
      <c r="K551" s="114"/>
      <c r="L551" s="114"/>
      <c r="M551" s="114"/>
      <c r="N551" s="287"/>
      <c r="O551" s="114"/>
      <c r="P551" s="195"/>
      <c r="Q551" s="105"/>
      <c r="R551" s="105"/>
      <c r="S551" s="105"/>
      <c r="T551" s="105"/>
    </row>
    <row r="552" hidden="1">
      <c r="A552" s="198"/>
      <c r="B552" s="113"/>
      <c r="F552" s="287"/>
      <c r="G552" s="287"/>
      <c r="H552" s="287"/>
      <c r="I552" s="114"/>
      <c r="J552" s="114"/>
      <c r="K552" s="114"/>
      <c r="L552" s="114"/>
      <c r="M552" s="114"/>
      <c r="N552" s="287"/>
      <c r="O552" s="114"/>
      <c r="P552" s="195"/>
      <c r="Q552" s="105"/>
      <c r="R552" s="105"/>
      <c r="S552" s="105"/>
      <c r="T552" s="105"/>
    </row>
    <row r="553" hidden="1">
      <c r="A553" s="196"/>
      <c r="B553" s="113"/>
      <c r="C553" s="287"/>
      <c r="D553" s="287"/>
      <c r="E553" s="287"/>
      <c r="F553" s="287"/>
      <c r="G553" s="287"/>
      <c r="H553" s="287"/>
      <c r="I553" s="114"/>
      <c r="J553" s="114"/>
      <c r="K553" s="114"/>
      <c r="L553" s="114"/>
      <c r="M553" s="114"/>
      <c r="N553" s="287"/>
      <c r="O553" s="114"/>
      <c r="P553" s="195"/>
      <c r="Q553" s="105"/>
      <c r="R553" s="105"/>
      <c r="S553" s="105"/>
      <c r="T553" s="105"/>
    </row>
    <row r="554">
      <c r="A554" s="288"/>
      <c r="B554" s="289"/>
      <c r="C554" s="105"/>
      <c r="D554" s="105"/>
      <c r="E554" s="105"/>
      <c r="F554" s="105"/>
      <c r="G554" s="105"/>
      <c r="H554" s="105"/>
      <c r="I554" s="106"/>
      <c r="J554" s="106"/>
      <c r="K554" s="106"/>
      <c r="L554" s="106"/>
      <c r="M554" s="106"/>
      <c r="N554" s="105"/>
      <c r="O554" s="106"/>
      <c r="P554" s="195"/>
      <c r="Q554" s="105"/>
      <c r="R554" s="105"/>
      <c r="S554" s="105"/>
      <c r="T554" s="105"/>
    </row>
    <row r="555">
      <c r="A555" s="290"/>
      <c r="B555" s="289"/>
      <c r="C555" s="105"/>
      <c r="D555" s="105"/>
      <c r="E555" s="105"/>
      <c r="F555" s="105"/>
      <c r="G555" s="105"/>
      <c r="H555" s="105"/>
      <c r="I555" s="106"/>
      <c r="J555" s="106"/>
      <c r="K555" s="106"/>
      <c r="L555" s="106"/>
      <c r="M555" s="106"/>
      <c r="N555" s="105"/>
      <c r="O555" s="106"/>
      <c r="P555" s="195"/>
      <c r="Q555" s="105"/>
      <c r="R555" s="105"/>
      <c r="S555" s="105"/>
      <c r="T555" s="105"/>
    </row>
    <row r="556">
      <c r="A556" s="288"/>
      <c r="B556" s="289"/>
      <c r="C556" s="105"/>
      <c r="D556" s="105"/>
      <c r="E556" s="105"/>
      <c r="F556" s="105"/>
      <c r="G556" s="105"/>
      <c r="H556" s="105"/>
      <c r="I556" s="106"/>
      <c r="J556" s="106"/>
      <c r="K556" s="106"/>
      <c r="L556" s="106"/>
      <c r="M556" s="106"/>
      <c r="N556" s="105"/>
      <c r="O556" s="106"/>
      <c r="P556" s="195"/>
      <c r="Q556" s="105"/>
      <c r="R556" s="105"/>
      <c r="S556" s="105"/>
      <c r="T556" s="105"/>
    </row>
    <row r="557">
      <c r="A557" s="290"/>
      <c r="B557" s="289"/>
      <c r="C557" s="105"/>
      <c r="D557" s="105"/>
      <c r="E557" s="105"/>
      <c r="F557" s="105"/>
      <c r="G557" s="105"/>
      <c r="H557" s="105"/>
      <c r="I557" s="106"/>
      <c r="J557" s="106"/>
      <c r="K557" s="106"/>
      <c r="L557" s="106"/>
      <c r="M557" s="106"/>
      <c r="N557" s="105"/>
      <c r="O557" s="106"/>
      <c r="P557" s="195"/>
      <c r="Q557" s="105"/>
      <c r="R557" s="105"/>
      <c r="S557" s="105"/>
      <c r="T557" s="105"/>
    </row>
    <row r="558">
      <c r="A558" s="288"/>
      <c r="B558" s="289"/>
      <c r="C558" s="105"/>
      <c r="D558" s="105"/>
      <c r="E558" s="105"/>
      <c r="F558" s="105"/>
      <c r="G558" s="105"/>
      <c r="H558" s="105"/>
      <c r="I558" s="106"/>
      <c r="J558" s="106"/>
      <c r="K558" s="106"/>
      <c r="L558" s="106"/>
      <c r="M558" s="106"/>
      <c r="N558" s="105"/>
      <c r="O558" s="106"/>
      <c r="P558" s="195"/>
      <c r="Q558" s="105"/>
      <c r="R558" s="105"/>
      <c r="S558" s="105"/>
      <c r="T558" s="105"/>
    </row>
    <row r="559">
      <c r="A559" s="290"/>
      <c r="B559" s="289"/>
      <c r="C559" s="105"/>
      <c r="D559" s="105"/>
      <c r="E559" s="105"/>
      <c r="F559" s="105"/>
      <c r="G559" s="105"/>
      <c r="H559" s="105"/>
      <c r="I559" s="106"/>
      <c r="J559" s="106"/>
      <c r="K559" s="106"/>
      <c r="L559" s="106"/>
      <c r="M559" s="106"/>
      <c r="N559" s="105"/>
      <c r="O559" s="106"/>
      <c r="P559" s="195"/>
      <c r="Q559" s="105"/>
      <c r="R559" s="105"/>
      <c r="S559" s="105"/>
      <c r="T559" s="105"/>
    </row>
    <row r="560">
      <c r="A560" s="288"/>
      <c r="B560" s="289"/>
      <c r="C560" s="105"/>
      <c r="D560" s="105"/>
      <c r="E560" s="105"/>
      <c r="F560" s="105"/>
      <c r="G560" s="105"/>
      <c r="H560" s="105"/>
      <c r="I560" s="106"/>
      <c r="J560" s="106"/>
      <c r="K560" s="106"/>
      <c r="L560" s="106"/>
      <c r="M560" s="106"/>
      <c r="N560" s="105"/>
      <c r="O560" s="106"/>
      <c r="P560" s="195"/>
      <c r="Q560" s="105"/>
      <c r="R560" s="105"/>
      <c r="S560" s="105"/>
      <c r="T560" s="105"/>
    </row>
    <row r="561">
      <c r="A561" s="290"/>
      <c r="B561" s="289"/>
      <c r="C561" s="105"/>
      <c r="D561" s="105"/>
      <c r="E561" s="105"/>
      <c r="F561" s="105"/>
      <c r="G561" s="105"/>
      <c r="H561" s="105"/>
      <c r="I561" s="106"/>
      <c r="J561" s="106"/>
      <c r="K561" s="106"/>
      <c r="L561" s="106"/>
      <c r="M561" s="106"/>
      <c r="N561" s="105"/>
      <c r="O561" s="106"/>
      <c r="P561" s="195"/>
      <c r="Q561" s="105"/>
      <c r="R561" s="105"/>
      <c r="S561" s="105"/>
      <c r="T561" s="105"/>
    </row>
    <row r="562">
      <c r="A562" s="288"/>
      <c r="B562" s="289"/>
      <c r="C562" s="105"/>
      <c r="D562" s="105"/>
      <c r="E562" s="105"/>
      <c r="F562" s="105"/>
      <c r="G562" s="105"/>
      <c r="H562" s="105"/>
      <c r="I562" s="106"/>
      <c r="J562" s="106"/>
      <c r="K562" s="106"/>
      <c r="L562" s="106"/>
      <c r="M562" s="106"/>
      <c r="N562" s="105"/>
      <c r="O562" s="106"/>
      <c r="P562" s="195"/>
      <c r="Q562" s="105"/>
      <c r="R562" s="105"/>
      <c r="S562" s="105"/>
      <c r="T562" s="105"/>
    </row>
    <row r="563">
      <c r="A563" s="290"/>
      <c r="B563" s="289"/>
      <c r="C563" s="105"/>
      <c r="D563" s="105"/>
      <c r="E563" s="105"/>
      <c r="F563" s="105"/>
      <c r="G563" s="105"/>
      <c r="H563" s="105"/>
      <c r="I563" s="106"/>
      <c r="J563" s="106"/>
      <c r="K563" s="106"/>
      <c r="L563" s="106"/>
      <c r="M563" s="106"/>
      <c r="N563" s="105"/>
      <c r="O563" s="106"/>
      <c r="P563" s="195"/>
      <c r="Q563" s="105"/>
      <c r="R563" s="105"/>
      <c r="S563" s="105"/>
      <c r="T563" s="105"/>
    </row>
    <row r="564">
      <c r="A564" s="288"/>
      <c r="B564" s="289"/>
      <c r="C564" s="105"/>
      <c r="D564" s="105"/>
      <c r="E564" s="105"/>
      <c r="F564" s="105"/>
      <c r="G564" s="105"/>
      <c r="H564" s="105"/>
      <c r="I564" s="106"/>
      <c r="J564" s="106"/>
      <c r="K564" s="106"/>
      <c r="L564" s="106"/>
      <c r="M564" s="106"/>
      <c r="N564" s="105"/>
      <c r="O564" s="106"/>
      <c r="P564" s="195"/>
      <c r="Q564" s="105"/>
      <c r="R564" s="105"/>
      <c r="S564" s="105"/>
      <c r="T564" s="105"/>
    </row>
    <row r="565">
      <c r="A565" s="290"/>
      <c r="B565" s="289"/>
      <c r="C565" s="105"/>
      <c r="D565" s="105"/>
      <c r="E565" s="105"/>
      <c r="F565" s="105"/>
      <c r="G565" s="105"/>
      <c r="H565" s="105"/>
      <c r="I565" s="106"/>
      <c r="J565" s="106"/>
      <c r="K565" s="106"/>
      <c r="L565" s="106"/>
      <c r="M565" s="106"/>
      <c r="N565" s="105"/>
      <c r="O565" s="106"/>
      <c r="P565" s="195"/>
      <c r="Q565" s="105"/>
      <c r="R565" s="105"/>
      <c r="S565" s="105"/>
      <c r="T565" s="105"/>
    </row>
    <row r="566">
      <c r="A566" s="288"/>
      <c r="B566" s="289"/>
      <c r="C566" s="105"/>
      <c r="D566" s="105"/>
      <c r="E566" s="105"/>
      <c r="F566" s="105"/>
      <c r="G566" s="105"/>
      <c r="H566" s="105"/>
      <c r="I566" s="106"/>
      <c r="J566" s="106"/>
      <c r="K566" s="106"/>
      <c r="L566" s="106"/>
      <c r="M566" s="106"/>
      <c r="N566" s="105"/>
      <c r="O566" s="106"/>
      <c r="P566" s="195"/>
      <c r="Q566" s="105"/>
      <c r="R566" s="105"/>
      <c r="S566" s="105"/>
      <c r="T566" s="105"/>
    </row>
    <row r="567">
      <c r="A567" s="290"/>
      <c r="B567" s="289"/>
      <c r="C567" s="105"/>
      <c r="D567" s="105"/>
      <c r="E567" s="105"/>
      <c r="F567" s="105"/>
      <c r="G567" s="105"/>
      <c r="H567" s="105"/>
      <c r="I567" s="106"/>
      <c r="J567" s="106"/>
      <c r="K567" s="106"/>
      <c r="L567" s="106"/>
      <c r="M567" s="106"/>
      <c r="N567" s="105"/>
      <c r="O567" s="106"/>
      <c r="P567" s="195"/>
      <c r="Q567" s="105"/>
      <c r="R567" s="105"/>
      <c r="S567" s="105"/>
      <c r="T567" s="105"/>
    </row>
    <row r="568">
      <c r="A568" s="288"/>
      <c r="B568" s="289"/>
      <c r="C568" s="105"/>
      <c r="D568" s="105"/>
      <c r="E568" s="105"/>
      <c r="F568" s="105"/>
      <c r="G568" s="105"/>
      <c r="H568" s="105"/>
      <c r="I568" s="106"/>
      <c r="J568" s="106"/>
      <c r="K568" s="106"/>
      <c r="L568" s="106"/>
      <c r="M568" s="106"/>
      <c r="N568" s="105"/>
      <c r="O568" s="106"/>
      <c r="P568" s="195"/>
      <c r="Q568" s="105"/>
      <c r="R568" s="105"/>
      <c r="S568" s="105"/>
      <c r="T568" s="105"/>
    </row>
    <row r="569">
      <c r="A569" s="290"/>
      <c r="B569" s="289"/>
      <c r="C569" s="105"/>
      <c r="D569" s="105"/>
      <c r="E569" s="105"/>
      <c r="F569" s="105"/>
      <c r="G569" s="105"/>
      <c r="H569" s="105"/>
      <c r="I569" s="106"/>
      <c r="J569" s="106"/>
      <c r="K569" s="106"/>
      <c r="L569" s="106"/>
      <c r="M569" s="106"/>
      <c r="N569" s="105"/>
      <c r="O569" s="106"/>
      <c r="P569" s="195"/>
      <c r="Q569" s="105"/>
      <c r="R569" s="105"/>
      <c r="S569" s="105"/>
      <c r="T569" s="105"/>
    </row>
    <row r="570">
      <c r="A570" s="288"/>
      <c r="B570" s="289"/>
      <c r="C570" s="105"/>
      <c r="D570" s="105"/>
      <c r="E570" s="105"/>
      <c r="F570" s="105"/>
      <c r="G570" s="105"/>
      <c r="H570" s="105"/>
      <c r="I570" s="106"/>
      <c r="J570" s="106"/>
      <c r="K570" s="106"/>
      <c r="L570" s="106"/>
      <c r="M570" s="106"/>
      <c r="N570" s="105"/>
      <c r="O570" s="106"/>
      <c r="P570" s="195"/>
      <c r="Q570" s="105"/>
      <c r="R570" s="105"/>
      <c r="S570" s="105"/>
      <c r="T570" s="105"/>
    </row>
    <row r="571">
      <c r="A571" s="290"/>
      <c r="B571" s="289"/>
      <c r="C571" s="105"/>
      <c r="D571" s="105"/>
      <c r="E571" s="105"/>
      <c r="F571" s="105"/>
      <c r="G571" s="105"/>
      <c r="H571" s="105"/>
      <c r="I571" s="106"/>
      <c r="J571" s="106"/>
      <c r="K571" s="106"/>
      <c r="L571" s="106"/>
      <c r="M571" s="106"/>
      <c r="N571" s="105"/>
      <c r="O571" s="106"/>
      <c r="P571" s="195"/>
      <c r="Q571" s="105"/>
      <c r="R571" s="105"/>
      <c r="S571" s="105"/>
      <c r="T571" s="105"/>
    </row>
    <row r="572">
      <c r="A572" s="288"/>
      <c r="B572" s="289"/>
      <c r="C572" s="105"/>
      <c r="D572" s="105"/>
      <c r="E572" s="105"/>
      <c r="F572" s="105"/>
      <c r="G572" s="105"/>
      <c r="H572" s="105"/>
      <c r="I572" s="106"/>
      <c r="J572" s="106"/>
      <c r="K572" s="106"/>
      <c r="L572" s="106"/>
      <c r="M572" s="106"/>
      <c r="N572" s="105"/>
      <c r="O572" s="106"/>
      <c r="P572" s="195"/>
      <c r="Q572" s="105"/>
      <c r="R572" s="105"/>
      <c r="S572" s="105"/>
      <c r="T572" s="105"/>
    </row>
    <row r="573">
      <c r="A573" s="290"/>
      <c r="B573" s="289"/>
      <c r="C573" s="105"/>
      <c r="D573" s="105"/>
      <c r="E573" s="105"/>
      <c r="F573" s="105"/>
      <c r="G573" s="105"/>
      <c r="H573" s="105"/>
      <c r="I573" s="106"/>
      <c r="J573" s="106"/>
      <c r="K573" s="106"/>
      <c r="L573" s="106"/>
      <c r="M573" s="106"/>
      <c r="N573" s="105"/>
      <c r="O573" s="106"/>
      <c r="P573" s="195"/>
      <c r="Q573" s="105"/>
      <c r="R573" s="105"/>
      <c r="S573" s="105"/>
      <c r="T573" s="105"/>
    </row>
    <row r="574">
      <c r="A574" s="288"/>
      <c r="B574" s="289"/>
      <c r="C574" s="105"/>
      <c r="D574" s="105"/>
      <c r="E574" s="105"/>
      <c r="F574" s="105"/>
      <c r="G574" s="105"/>
      <c r="H574" s="105"/>
      <c r="I574" s="106"/>
      <c r="J574" s="106"/>
      <c r="K574" s="106"/>
      <c r="L574" s="106"/>
      <c r="M574" s="106"/>
      <c r="N574" s="105"/>
      <c r="O574" s="106"/>
      <c r="P574" s="195"/>
      <c r="Q574" s="105"/>
      <c r="R574" s="105"/>
      <c r="S574" s="105"/>
      <c r="T574" s="105"/>
    </row>
    <row r="575">
      <c r="A575" s="290"/>
      <c r="B575" s="289"/>
      <c r="C575" s="105"/>
      <c r="D575" s="105"/>
      <c r="E575" s="105"/>
      <c r="F575" s="105"/>
      <c r="G575" s="105"/>
      <c r="H575" s="105"/>
      <c r="I575" s="106"/>
      <c r="J575" s="106"/>
      <c r="K575" s="106"/>
      <c r="L575" s="106"/>
      <c r="M575" s="106"/>
      <c r="N575" s="105"/>
      <c r="O575" s="106"/>
      <c r="P575" s="195"/>
      <c r="Q575" s="105"/>
      <c r="R575" s="105"/>
      <c r="S575" s="105"/>
      <c r="T575" s="105"/>
    </row>
    <row r="576">
      <c r="A576" s="288"/>
      <c r="B576" s="289"/>
      <c r="C576" s="105"/>
      <c r="D576" s="105"/>
      <c r="E576" s="105"/>
      <c r="F576" s="105"/>
      <c r="G576" s="105"/>
      <c r="H576" s="105"/>
      <c r="I576" s="106"/>
      <c r="J576" s="106"/>
      <c r="K576" s="106"/>
      <c r="L576" s="106"/>
      <c r="M576" s="106"/>
      <c r="N576" s="105"/>
      <c r="O576" s="106"/>
      <c r="P576" s="195"/>
      <c r="Q576" s="105"/>
      <c r="R576" s="105"/>
      <c r="S576" s="105"/>
      <c r="T576" s="105"/>
    </row>
    <row r="577">
      <c r="A577" s="291"/>
      <c r="B577" s="289"/>
      <c r="C577" s="105"/>
      <c r="D577" s="105"/>
      <c r="E577" s="105"/>
      <c r="F577" s="105"/>
      <c r="G577" s="105"/>
      <c r="H577" s="105"/>
      <c r="I577" s="106"/>
      <c r="J577" s="106"/>
      <c r="K577" s="106"/>
      <c r="L577" s="106"/>
      <c r="M577" s="106"/>
      <c r="N577" s="105"/>
      <c r="O577" s="106"/>
      <c r="P577" s="195"/>
      <c r="Q577" s="105"/>
      <c r="R577" s="105"/>
      <c r="S577" s="105"/>
      <c r="T577" s="105"/>
    </row>
    <row r="578">
      <c r="A578" s="291"/>
      <c r="B578" s="289"/>
      <c r="C578" s="105"/>
      <c r="D578" s="105"/>
      <c r="E578" s="105"/>
      <c r="F578" s="105"/>
      <c r="G578" s="105"/>
      <c r="H578" s="105"/>
      <c r="I578" s="106"/>
      <c r="J578" s="106"/>
      <c r="K578" s="106"/>
      <c r="L578" s="106"/>
      <c r="M578" s="106"/>
      <c r="N578" s="105"/>
      <c r="O578" s="106"/>
      <c r="P578" s="195"/>
      <c r="Q578" s="105"/>
      <c r="R578" s="105"/>
      <c r="S578" s="105"/>
      <c r="T578" s="105"/>
    </row>
    <row r="579">
      <c r="A579" s="291"/>
      <c r="B579" s="289"/>
      <c r="C579" s="105"/>
      <c r="D579" s="105"/>
      <c r="E579" s="105"/>
      <c r="F579" s="105"/>
      <c r="G579" s="105"/>
      <c r="H579" s="105"/>
      <c r="I579" s="106"/>
      <c r="J579" s="106"/>
      <c r="K579" s="106"/>
      <c r="L579" s="106"/>
      <c r="M579" s="106"/>
      <c r="N579" s="105"/>
      <c r="O579" s="106"/>
      <c r="P579" s="195"/>
      <c r="Q579" s="105"/>
      <c r="R579" s="105"/>
      <c r="S579" s="105"/>
      <c r="T579" s="105"/>
    </row>
    <row r="580">
      <c r="A580" s="291"/>
      <c r="B580" s="289"/>
      <c r="C580" s="105"/>
      <c r="D580" s="105"/>
      <c r="E580" s="105"/>
      <c r="F580" s="105"/>
      <c r="G580" s="105"/>
      <c r="H580" s="105"/>
      <c r="I580" s="106"/>
      <c r="J580" s="106"/>
      <c r="K580" s="106"/>
      <c r="L580" s="106"/>
      <c r="M580" s="106"/>
      <c r="N580" s="105"/>
      <c r="O580" s="106"/>
      <c r="P580" s="195"/>
      <c r="Q580" s="105"/>
      <c r="R580" s="105"/>
      <c r="S580" s="105"/>
      <c r="T580" s="105"/>
    </row>
    <row r="581">
      <c r="A581" s="291"/>
      <c r="B581" s="289"/>
      <c r="C581" s="105"/>
      <c r="D581" s="105"/>
      <c r="E581" s="105"/>
      <c r="F581" s="105"/>
      <c r="G581" s="105"/>
      <c r="H581" s="105"/>
      <c r="I581" s="106"/>
      <c r="J581" s="106"/>
      <c r="K581" s="106"/>
      <c r="L581" s="106"/>
      <c r="M581" s="106"/>
      <c r="N581" s="105"/>
      <c r="O581" s="106"/>
      <c r="P581" s="195"/>
      <c r="Q581" s="105"/>
      <c r="R581" s="105"/>
      <c r="S581" s="105"/>
      <c r="T581" s="105"/>
    </row>
    <row r="582">
      <c r="A582" s="291"/>
      <c r="B582" s="289"/>
      <c r="C582" s="105"/>
      <c r="D582" s="105"/>
      <c r="E582" s="105"/>
      <c r="F582" s="105"/>
      <c r="G582" s="105"/>
      <c r="H582" s="105"/>
      <c r="I582" s="106"/>
      <c r="J582" s="106"/>
      <c r="K582" s="106"/>
      <c r="L582" s="106"/>
      <c r="M582" s="106"/>
      <c r="N582" s="105"/>
      <c r="O582" s="106"/>
      <c r="P582" s="195"/>
      <c r="Q582" s="105"/>
      <c r="R582" s="105"/>
      <c r="S582" s="105"/>
      <c r="T582" s="105"/>
    </row>
    <row r="583">
      <c r="A583" s="291"/>
      <c r="B583" s="289"/>
      <c r="C583" s="105"/>
      <c r="D583" s="105"/>
      <c r="E583" s="105"/>
      <c r="F583" s="105"/>
      <c r="G583" s="105"/>
      <c r="H583" s="105"/>
      <c r="I583" s="106"/>
      <c r="J583" s="106"/>
      <c r="K583" s="106"/>
      <c r="L583" s="106"/>
      <c r="M583" s="106"/>
      <c r="N583" s="105"/>
      <c r="O583" s="106"/>
      <c r="P583" s="195"/>
      <c r="Q583" s="105"/>
      <c r="R583" s="105"/>
      <c r="S583" s="105"/>
      <c r="T583" s="105"/>
    </row>
    <row r="584">
      <c r="A584" s="291"/>
      <c r="B584" s="289"/>
      <c r="C584" s="105"/>
      <c r="D584" s="105"/>
      <c r="E584" s="105"/>
      <c r="F584" s="105"/>
      <c r="G584" s="105"/>
      <c r="H584" s="105"/>
      <c r="I584" s="106"/>
      <c r="J584" s="106"/>
      <c r="K584" s="106"/>
      <c r="L584" s="106"/>
      <c r="M584" s="106"/>
      <c r="N584" s="105"/>
      <c r="O584" s="106"/>
      <c r="P584" s="195"/>
      <c r="Q584" s="105"/>
      <c r="R584" s="105"/>
      <c r="S584" s="105"/>
      <c r="T584" s="105"/>
    </row>
    <row r="585">
      <c r="A585" s="291"/>
      <c r="B585" s="289"/>
      <c r="C585" s="105"/>
      <c r="D585" s="105"/>
      <c r="E585" s="105"/>
      <c r="F585" s="105"/>
      <c r="G585" s="105"/>
      <c r="H585" s="105"/>
      <c r="I585" s="106"/>
      <c r="J585" s="106"/>
      <c r="K585" s="106"/>
      <c r="L585" s="106"/>
      <c r="M585" s="106"/>
      <c r="N585" s="105"/>
      <c r="O585" s="106"/>
      <c r="P585" s="195"/>
      <c r="Q585" s="105"/>
      <c r="R585" s="105"/>
      <c r="S585" s="105"/>
      <c r="T585" s="105"/>
    </row>
    <row r="586">
      <c r="A586" s="291"/>
      <c r="B586" s="289"/>
      <c r="C586" s="105"/>
      <c r="D586" s="105"/>
      <c r="E586" s="105"/>
      <c r="F586" s="105"/>
      <c r="G586" s="105"/>
      <c r="H586" s="105"/>
      <c r="I586" s="106"/>
      <c r="J586" s="106"/>
      <c r="K586" s="106"/>
      <c r="L586" s="106"/>
      <c r="M586" s="106"/>
      <c r="N586" s="105"/>
      <c r="O586" s="106"/>
      <c r="P586" s="195"/>
      <c r="Q586" s="105"/>
      <c r="R586" s="105"/>
      <c r="S586" s="105"/>
      <c r="T586" s="105"/>
    </row>
    <row r="587">
      <c r="A587" s="291"/>
      <c r="B587" s="289"/>
      <c r="C587" s="105"/>
      <c r="D587" s="105"/>
      <c r="E587" s="105"/>
      <c r="F587" s="105"/>
      <c r="G587" s="105"/>
      <c r="H587" s="105"/>
      <c r="I587" s="106"/>
      <c r="J587" s="106"/>
      <c r="K587" s="106"/>
      <c r="L587" s="106"/>
      <c r="M587" s="106"/>
      <c r="N587" s="105"/>
      <c r="O587" s="106"/>
      <c r="P587" s="195"/>
      <c r="Q587" s="105"/>
      <c r="R587" s="105"/>
      <c r="S587" s="105"/>
      <c r="T587" s="105"/>
    </row>
    <row r="588">
      <c r="A588" s="291"/>
      <c r="B588" s="289"/>
      <c r="C588" s="105"/>
      <c r="D588" s="105"/>
      <c r="E588" s="105"/>
      <c r="F588" s="105"/>
      <c r="G588" s="105"/>
      <c r="H588" s="105"/>
      <c r="I588" s="106"/>
      <c r="J588" s="106"/>
      <c r="K588" s="106"/>
      <c r="L588" s="106"/>
      <c r="M588" s="106"/>
      <c r="N588" s="105"/>
      <c r="O588" s="106"/>
      <c r="P588" s="195"/>
      <c r="Q588" s="105"/>
      <c r="R588" s="105"/>
      <c r="S588" s="105"/>
      <c r="T588" s="105"/>
    </row>
    <row r="589">
      <c r="A589" s="291"/>
      <c r="B589" s="289"/>
      <c r="C589" s="105"/>
      <c r="D589" s="105"/>
      <c r="E589" s="105"/>
      <c r="F589" s="105"/>
      <c r="G589" s="105"/>
      <c r="H589" s="105"/>
      <c r="I589" s="106"/>
      <c r="J589" s="106"/>
      <c r="K589" s="106"/>
      <c r="L589" s="106"/>
      <c r="M589" s="106"/>
      <c r="N589" s="105"/>
      <c r="O589" s="106"/>
      <c r="P589" s="195"/>
      <c r="Q589" s="105"/>
      <c r="R589" s="105"/>
      <c r="S589" s="105"/>
      <c r="T589" s="105"/>
    </row>
    <row r="590">
      <c r="A590" s="291"/>
      <c r="B590" s="289"/>
      <c r="C590" s="105"/>
      <c r="D590" s="105"/>
      <c r="E590" s="105"/>
      <c r="F590" s="105"/>
      <c r="G590" s="105"/>
      <c r="H590" s="105"/>
      <c r="I590" s="106"/>
      <c r="J590" s="106"/>
      <c r="K590" s="106"/>
      <c r="L590" s="106"/>
      <c r="M590" s="106"/>
      <c r="N590" s="105"/>
      <c r="O590" s="106"/>
      <c r="P590" s="195"/>
      <c r="Q590" s="105"/>
      <c r="R590" s="105"/>
      <c r="S590" s="105"/>
      <c r="T590" s="105"/>
    </row>
    <row r="591">
      <c r="A591" s="291"/>
      <c r="B591" s="289"/>
      <c r="C591" s="105"/>
      <c r="D591" s="105"/>
      <c r="E591" s="105"/>
      <c r="F591" s="105"/>
      <c r="G591" s="105"/>
      <c r="H591" s="105"/>
      <c r="I591" s="106"/>
      <c r="J591" s="106"/>
      <c r="K591" s="106"/>
      <c r="L591" s="106"/>
      <c r="M591" s="106"/>
      <c r="N591" s="105"/>
      <c r="O591" s="106"/>
      <c r="P591" s="195"/>
      <c r="Q591" s="105"/>
      <c r="R591" s="105"/>
      <c r="S591" s="105"/>
      <c r="T591" s="105"/>
    </row>
    <row r="592">
      <c r="A592" s="291"/>
      <c r="B592" s="289"/>
      <c r="C592" s="105"/>
      <c r="D592" s="105"/>
      <c r="E592" s="105"/>
      <c r="F592" s="105"/>
      <c r="G592" s="105"/>
      <c r="H592" s="105"/>
      <c r="I592" s="106"/>
      <c r="J592" s="106"/>
      <c r="K592" s="106"/>
      <c r="L592" s="106"/>
      <c r="M592" s="106"/>
      <c r="N592" s="105"/>
      <c r="O592" s="106"/>
      <c r="P592" s="195"/>
      <c r="Q592" s="105"/>
      <c r="R592" s="105"/>
      <c r="S592" s="105"/>
      <c r="T592" s="105"/>
    </row>
    <row r="593">
      <c r="A593" s="291"/>
      <c r="B593" s="289"/>
      <c r="C593" s="105"/>
      <c r="D593" s="105"/>
      <c r="E593" s="105"/>
      <c r="F593" s="105"/>
      <c r="G593" s="105"/>
      <c r="H593" s="105"/>
      <c r="I593" s="106"/>
      <c r="J593" s="106"/>
      <c r="K593" s="106"/>
      <c r="L593" s="106"/>
      <c r="M593" s="106"/>
      <c r="N593" s="105"/>
      <c r="O593" s="106"/>
      <c r="P593" s="195"/>
      <c r="Q593" s="105"/>
      <c r="R593" s="105"/>
      <c r="S593" s="105"/>
      <c r="T593" s="105"/>
    </row>
    <row r="594">
      <c r="A594" s="291"/>
      <c r="B594" s="289"/>
      <c r="C594" s="105"/>
      <c r="D594" s="105"/>
      <c r="E594" s="105"/>
      <c r="F594" s="105"/>
      <c r="G594" s="105"/>
      <c r="H594" s="105"/>
      <c r="I594" s="106"/>
      <c r="J594" s="106"/>
      <c r="K594" s="106"/>
      <c r="L594" s="106"/>
      <c r="M594" s="106"/>
      <c r="N594" s="105"/>
      <c r="O594" s="106"/>
      <c r="P594" s="195"/>
      <c r="Q594" s="105"/>
      <c r="R594" s="105"/>
      <c r="S594" s="105"/>
      <c r="T594" s="105"/>
    </row>
    <row r="595">
      <c r="A595" s="291"/>
      <c r="B595" s="289"/>
      <c r="C595" s="105"/>
      <c r="D595" s="105"/>
      <c r="E595" s="105"/>
      <c r="F595" s="105"/>
      <c r="G595" s="105"/>
      <c r="H595" s="105"/>
      <c r="I595" s="106"/>
      <c r="J595" s="106"/>
      <c r="K595" s="106"/>
      <c r="L595" s="106"/>
      <c r="M595" s="106"/>
      <c r="N595" s="105"/>
      <c r="O595" s="106"/>
      <c r="P595" s="195"/>
      <c r="Q595" s="105"/>
      <c r="R595" s="105"/>
      <c r="S595" s="105"/>
      <c r="T595" s="105"/>
    </row>
    <row r="596">
      <c r="A596" s="291"/>
      <c r="B596" s="289"/>
      <c r="C596" s="105"/>
      <c r="D596" s="105"/>
      <c r="E596" s="105"/>
      <c r="F596" s="105"/>
      <c r="G596" s="105"/>
      <c r="H596" s="105"/>
      <c r="I596" s="106"/>
      <c r="J596" s="106"/>
      <c r="K596" s="106"/>
      <c r="L596" s="106"/>
      <c r="M596" s="106"/>
      <c r="N596" s="105"/>
      <c r="O596" s="106"/>
      <c r="P596" s="195"/>
      <c r="Q596" s="105"/>
      <c r="R596" s="105"/>
      <c r="S596" s="105"/>
      <c r="T596" s="105"/>
    </row>
    <row r="597">
      <c r="A597" s="291"/>
      <c r="B597" s="289"/>
      <c r="C597" s="105"/>
      <c r="D597" s="105"/>
      <c r="E597" s="105"/>
      <c r="F597" s="105"/>
      <c r="G597" s="105"/>
      <c r="H597" s="105"/>
      <c r="I597" s="106"/>
      <c r="J597" s="106"/>
      <c r="K597" s="106"/>
      <c r="L597" s="106"/>
      <c r="M597" s="106"/>
      <c r="N597" s="105"/>
      <c r="O597" s="106"/>
      <c r="P597" s="195"/>
      <c r="Q597" s="105"/>
      <c r="R597" s="105"/>
      <c r="S597" s="105"/>
      <c r="T597" s="105"/>
    </row>
    <row r="598">
      <c r="A598" s="291"/>
      <c r="B598" s="289"/>
      <c r="C598" s="105"/>
      <c r="D598" s="105"/>
      <c r="E598" s="105"/>
      <c r="F598" s="105"/>
      <c r="G598" s="105"/>
      <c r="H598" s="105"/>
      <c r="I598" s="106"/>
      <c r="J598" s="106"/>
      <c r="K598" s="106"/>
      <c r="L598" s="106"/>
      <c r="M598" s="106"/>
      <c r="N598" s="105"/>
      <c r="O598" s="106"/>
      <c r="P598" s="195"/>
      <c r="Q598" s="105"/>
      <c r="R598" s="105"/>
      <c r="S598" s="105"/>
      <c r="T598" s="105"/>
    </row>
    <row r="599">
      <c r="A599" s="291"/>
      <c r="B599" s="289"/>
      <c r="C599" s="105"/>
      <c r="D599" s="105"/>
      <c r="E599" s="105"/>
      <c r="F599" s="105"/>
      <c r="G599" s="105"/>
      <c r="H599" s="105"/>
      <c r="I599" s="106"/>
      <c r="J599" s="106"/>
      <c r="K599" s="106"/>
      <c r="L599" s="106"/>
      <c r="M599" s="106"/>
      <c r="N599" s="105"/>
      <c r="O599" s="106"/>
      <c r="P599" s="195"/>
      <c r="Q599" s="105"/>
      <c r="R599" s="105"/>
      <c r="S599" s="105"/>
      <c r="T599" s="105"/>
    </row>
    <row r="600">
      <c r="A600" s="291"/>
      <c r="B600" s="289"/>
      <c r="C600" s="105"/>
      <c r="D600" s="105"/>
      <c r="E600" s="105"/>
      <c r="F600" s="105"/>
      <c r="G600" s="105"/>
      <c r="H600" s="105"/>
      <c r="I600" s="106"/>
      <c r="J600" s="106"/>
      <c r="K600" s="106"/>
      <c r="L600" s="106"/>
      <c r="M600" s="106"/>
      <c r="N600" s="105"/>
      <c r="O600" s="106"/>
      <c r="P600" s="195"/>
      <c r="Q600" s="105"/>
      <c r="R600" s="105"/>
      <c r="S600" s="105"/>
      <c r="T600" s="105"/>
    </row>
    <row r="601">
      <c r="A601" s="291"/>
      <c r="B601" s="289"/>
      <c r="C601" s="105"/>
      <c r="D601" s="105"/>
      <c r="E601" s="105"/>
      <c r="F601" s="105"/>
      <c r="G601" s="105"/>
      <c r="H601" s="105"/>
      <c r="I601" s="106"/>
      <c r="J601" s="106"/>
      <c r="K601" s="106"/>
      <c r="L601" s="106"/>
      <c r="M601" s="106"/>
      <c r="N601" s="105"/>
      <c r="O601" s="106"/>
      <c r="P601" s="195"/>
      <c r="Q601" s="105"/>
      <c r="R601" s="105"/>
      <c r="S601" s="105"/>
      <c r="T601" s="105"/>
    </row>
    <row r="602">
      <c r="A602" s="291"/>
      <c r="B602" s="289"/>
      <c r="C602" s="105"/>
      <c r="D602" s="105"/>
      <c r="E602" s="105"/>
      <c r="F602" s="105"/>
      <c r="G602" s="105"/>
      <c r="H602" s="105"/>
      <c r="I602" s="106"/>
      <c r="J602" s="106"/>
      <c r="K602" s="106"/>
      <c r="L602" s="106"/>
      <c r="M602" s="106"/>
      <c r="N602" s="105"/>
      <c r="O602" s="106"/>
      <c r="P602" s="195"/>
      <c r="Q602" s="105"/>
      <c r="R602" s="105"/>
      <c r="S602" s="105"/>
      <c r="T602" s="105"/>
    </row>
    <row r="603">
      <c r="A603" s="291"/>
      <c r="B603" s="289"/>
      <c r="C603" s="105"/>
      <c r="D603" s="105"/>
      <c r="E603" s="105"/>
      <c r="F603" s="105"/>
      <c r="G603" s="105"/>
      <c r="H603" s="105"/>
      <c r="I603" s="106"/>
      <c r="J603" s="106"/>
      <c r="K603" s="106"/>
      <c r="L603" s="106"/>
      <c r="M603" s="106"/>
      <c r="N603" s="105"/>
      <c r="O603" s="106"/>
      <c r="P603" s="195"/>
      <c r="Q603" s="105"/>
      <c r="R603" s="105"/>
      <c r="S603" s="105"/>
      <c r="T603" s="105"/>
    </row>
    <row r="604">
      <c r="A604" s="291"/>
      <c r="B604" s="289"/>
      <c r="C604" s="105"/>
      <c r="D604" s="105"/>
      <c r="E604" s="105"/>
      <c r="F604" s="105"/>
      <c r="G604" s="105"/>
      <c r="H604" s="105"/>
      <c r="I604" s="106"/>
      <c r="J604" s="106"/>
      <c r="K604" s="106"/>
      <c r="L604" s="106"/>
      <c r="M604" s="106"/>
      <c r="N604" s="105"/>
      <c r="O604" s="106"/>
      <c r="P604" s="195"/>
      <c r="Q604" s="105"/>
      <c r="R604" s="105"/>
      <c r="S604" s="105"/>
      <c r="T604" s="105"/>
    </row>
    <row r="605">
      <c r="A605" s="291"/>
      <c r="B605" s="289"/>
      <c r="C605" s="105"/>
      <c r="D605" s="105"/>
      <c r="E605" s="105"/>
      <c r="F605" s="105"/>
      <c r="G605" s="105"/>
      <c r="H605" s="105"/>
      <c r="I605" s="106"/>
      <c r="J605" s="106"/>
      <c r="K605" s="106"/>
      <c r="L605" s="106"/>
      <c r="M605" s="106"/>
      <c r="N605" s="105"/>
      <c r="O605" s="106"/>
      <c r="P605" s="195"/>
      <c r="Q605" s="105"/>
      <c r="R605" s="105"/>
      <c r="S605" s="105"/>
      <c r="T605" s="105"/>
    </row>
    <row r="606">
      <c r="A606" s="291"/>
      <c r="B606" s="289"/>
      <c r="C606" s="105"/>
      <c r="D606" s="105"/>
      <c r="E606" s="105"/>
      <c r="F606" s="105"/>
      <c r="G606" s="105"/>
      <c r="H606" s="105"/>
      <c r="I606" s="106"/>
      <c r="J606" s="106"/>
      <c r="K606" s="106"/>
      <c r="L606" s="106"/>
      <c r="M606" s="106"/>
      <c r="N606" s="105"/>
      <c r="O606" s="106"/>
      <c r="P606" s="195"/>
      <c r="Q606" s="105"/>
      <c r="R606" s="105"/>
      <c r="S606" s="105"/>
      <c r="T606" s="105"/>
    </row>
    <row r="607">
      <c r="A607" s="291"/>
      <c r="B607" s="289"/>
      <c r="C607" s="105"/>
      <c r="D607" s="105"/>
      <c r="E607" s="105"/>
      <c r="F607" s="105"/>
      <c r="G607" s="105"/>
      <c r="H607" s="105"/>
      <c r="I607" s="106"/>
      <c r="J607" s="106"/>
      <c r="K607" s="106"/>
      <c r="L607" s="106"/>
      <c r="M607" s="106"/>
      <c r="N607" s="105"/>
      <c r="O607" s="106"/>
      <c r="P607" s="195"/>
      <c r="Q607" s="105"/>
      <c r="R607" s="105"/>
      <c r="S607" s="105"/>
      <c r="T607" s="105"/>
    </row>
    <row r="608">
      <c r="A608" s="291"/>
      <c r="B608" s="289"/>
      <c r="C608" s="105"/>
      <c r="D608" s="105"/>
      <c r="E608" s="105"/>
      <c r="F608" s="105"/>
      <c r="G608" s="105"/>
      <c r="H608" s="105"/>
      <c r="I608" s="106"/>
      <c r="J608" s="106"/>
      <c r="K608" s="106"/>
      <c r="L608" s="106"/>
      <c r="M608" s="106"/>
      <c r="N608" s="105"/>
      <c r="O608" s="106"/>
      <c r="P608" s="195"/>
      <c r="Q608" s="105"/>
      <c r="R608" s="105"/>
      <c r="S608" s="105"/>
      <c r="T608" s="105"/>
    </row>
    <row r="609">
      <c r="A609" s="291"/>
      <c r="B609" s="289"/>
      <c r="C609" s="105"/>
      <c r="D609" s="105"/>
      <c r="E609" s="105"/>
      <c r="F609" s="105"/>
      <c r="G609" s="105"/>
      <c r="H609" s="105"/>
      <c r="I609" s="106"/>
      <c r="J609" s="106"/>
      <c r="K609" s="106"/>
      <c r="L609" s="106"/>
      <c r="M609" s="106"/>
      <c r="N609" s="105"/>
      <c r="O609" s="106"/>
      <c r="P609" s="195"/>
      <c r="Q609" s="105"/>
      <c r="R609" s="105"/>
      <c r="S609" s="105"/>
      <c r="T609" s="105"/>
    </row>
    <row r="610">
      <c r="A610" s="291"/>
      <c r="B610" s="289"/>
      <c r="C610" s="105"/>
      <c r="D610" s="105"/>
      <c r="E610" s="105"/>
      <c r="F610" s="105"/>
      <c r="G610" s="105"/>
      <c r="H610" s="105"/>
      <c r="I610" s="106"/>
      <c r="J610" s="106"/>
      <c r="K610" s="106"/>
      <c r="L610" s="106"/>
      <c r="M610" s="106"/>
      <c r="N610" s="105"/>
      <c r="O610" s="106"/>
      <c r="P610" s="195"/>
      <c r="Q610" s="105"/>
      <c r="R610" s="105"/>
      <c r="S610" s="105"/>
      <c r="T610" s="105"/>
    </row>
    <row r="611">
      <c r="A611" s="291"/>
      <c r="B611" s="289"/>
      <c r="C611" s="105"/>
      <c r="D611" s="105"/>
      <c r="E611" s="105"/>
      <c r="F611" s="105"/>
      <c r="G611" s="105"/>
      <c r="H611" s="105"/>
      <c r="I611" s="106"/>
      <c r="J611" s="106"/>
      <c r="K611" s="106"/>
      <c r="L611" s="106"/>
      <c r="M611" s="106"/>
      <c r="N611" s="105"/>
      <c r="O611" s="106"/>
      <c r="P611" s="195"/>
      <c r="Q611" s="105"/>
      <c r="R611" s="105"/>
      <c r="S611" s="105"/>
      <c r="T611" s="105"/>
    </row>
    <row r="612">
      <c r="A612" s="291"/>
      <c r="B612" s="289"/>
      <c r="C612" s="105"/>
      <c r="D612" s="105"/>
      <c r="E612" s="105"/>
      <c r="F612" s="105"/>
      <c r="G612" s="105"/>
      <c r="H612" s="105"/>
      <c r="I612" s="106"/>
      <c r="J612" s="106"/>
      <c r="K612" s="106"/>
      <c r="L612" s="106"/>
      <c r="M612" s="106"/>
      <c r="N612" s="105"/>
      <c r="O612" s="106"/>
      <c r="P612" s="195"/>
      <c r="Q612" s="105"/>
      <c r="R612" s="105"/>
      <c r="S612" s="105"/>
      <c r="T612" s="105"/>
    </row>
    <row r="613">
      <c r="A613" s="291"/>
      <c r="B613" s="289"/>
      <c r="C613" s="105"/>
      <c r="D613" s="105"/>
      <c r="E613" s="105"/>
      <c r="F613" s="105"/>
      <c r="G613" s="105"/>
      <c r="H613" s="105"/>
      <c r="I613" s="106"/>
      <c r="J613" s="106"/>
      <c r="K613" s="106"/>
      <c r="L613" s="106"/>
      <c r="M613" s="106"/>
      <c r="N613" s="105"/>
      <c r="O613" s="106"/>
      <c r="P613" s="195"/>
      <c r="Q613" s="105"/>
      <c r="R613" s="105"/>
      <c r="S613" s="105"/>
      <c r="T613" s="105"/>
    </row>
    <row r="614">
      <c r="A614" s="291"/>
      <c r="B614" s="289"/>
      <c r="C614" s="105"/>
      <c r="D614" s="105"/>
      <c r="E614" s="105"/>
      <c r="F614" s="105"/>
      <c r="G614" s="105"/>
      <c r="H614" s="105"/>
      <c r="I614" s="106"/>
      <c r="J614" s="106"/>
      <c r="K614" s="106"/>
      <c r="L614" s="106"/>
      <c r="M614" s="106"/>
      <c r="N614" s="105"/>
      <c r="O614" s="106"/>
      <c r="P614" s="195"/>
      <c r="Q614" s="105"/>
      <c r="R614" s="105"/>
      <c r="S614" s="105"/>
      <c r="T614" s="105"/>
    </row>
    <row r="615">
      <c r="A615" s="291"/>
      <c r="B615" s="289"/>
      <c r="C615" s="105"/>
      <c r="D615" s="105"/>
      <c r="E615" s="105"/>
      <c r="F615" s="105"/>
      <c r="G615" s="105"/>
      <c r="H615" s="105"/>
      <c r="I615" s="106"/>
      <c r="J615" s="106"/>
      <c r="K615" s="106"/>
      <c r="L615" s="106"/>
      <c r="M615" s="106"/>
      <c r="N615" s="105"/>
      <c r="O615" s="106"/>
      <c r="P615" s="195"/>
      <c r="Q615" s="105"/>
      <c r="R615" s="105"/>
      <c r="S615" s="105"/>
      <c r="T615" s="105"/>
    </row>
    <row r="616">
      <c r="A616" s="291"/>
      <c r="B616" s="289"/>
      <c r="C616" s="105"/>
      <c r="D616" s="105"/>
      <c r="E616" s="105"/>
      <c r="F616" s="105"/>
      <c r="G616" s="105"/>
      <c r="H616" s="105"/>
      <c r="I616" s="106"/>
      <c r="J616" s="106"/>
      <c r="K616" s="106"/>
      <c r="L616" s="106"/>
      <c r="M616" s="106"/>
      <c r="N616" s="105"/>
      <c r="O616" s="106"/>
      <c r="P616" s="195"/>
      <c r="Q616" s="105"/>
      <c r="R616" s="105"/>
      <c r="S616" s="105"/>
      <c r="T616" s="105"/>
    </row>
    <row r="617">
      <c r="A617" s="291"/>
      <c r="B617" s="289"/>
      <c r="C617" s="105"/>
      <c r="D617" s="105"/>
      <c r="E617" s="105"/>
      <c r="F617" s="105"/>
      <c r="G617" s="105"/>
      <c r="H617" s="105"/>
      <c r="I617" s="106"/>
      <c r="J617" s="106"/>
      <c r="K617" s="106"/>
      <c r="L617" s="106"/>
      <c r="M617" s="106"/>
      <c r="N617" s="105"/>
      <c r="O617" s="106"/>
      <c r="P617" s="195"/>
      <c r="Q617" s="105"/>
      <c r="R617" s="105"/>
      <c r="S617" s="105"/>
      <c r="T617" s="105"/>
    </row>
    <row r="618">
      <c r="A618" s="291"/>
      <c r="B618" s="289"/>
      <c r="C618" s="105"/>
      <c r="D618" s="105"/>
      <c r="E618" s="105"/>
      <c r="F618" s="105"/>
      <c r="G618" s="105"/>
      <c r="H618" s="105"/>
      <c r="I618" s="106"/>
      <c r="J618" s="106"/>
      <c r="K618" s="106"/>
      <c r="L618" s="106"/>
      <c r="M618" s="106"/>
      <c r="N618" s="105"/>
      <c r="O618" s="106"/>
      <c r="P618" s="195"/>
      <c r="Q618" s="105"/>
      <c r="R618" s="105"/>
      <c r="S618" s="105"/>
      <c r="T618" s="105"/>
    </row>
    <row r="619">
      <c r="A619" s="291"/>
      <c r="B619" s="289"/>
      <c r="C619" s="105"/>
      <c r="D619" s="105"/>
      <c r="E619" s="105"/>
      <c r="F619" s="105"/>
      <c r="G619" s="105"/>
      <c r="H619" s="105"/>
      <c r="I619" s="106"/>
      <c r="J619" s="106"/>
      <c r="K619" s="106"/>
      <c r="L619" s="106"/>
      <c r="M619" s="106"/>
      <c r="N619" s="105"/>
      <c r="O619" s="106"/>
      <c r="P619" s="195"/>
      <c r="Q619" s="105"/>
      <c r="R619" s="105"/>
      <c r="S619" s="105"/>
      <c r="T619" s="105"/>
    </row>
    <row r="620">
      <c r="A620" s="291"/>
      <c r="B620" s="289"/>
      <c r="C620" s="105"/>
      <c r="D620" s="105"/>
      <c r="E620" s="105"/>
      <c r="F620" s="105"/>
      <c r="G620" s="105"/>
      <c r="H620" s="105"/>
      <c r="I620" s="106"/>
      <c r="J620" s="106"/>
      <c r="K620" s="106"/>
      <c r="L620" s="106"/>
      <c r="M620" s="106"/>
      <c r="N620" s="105"/>
      <c r="O620" s="106"/>
      <c r="P620" s="195"/>
      <c r="Q620" s="105"/>
      <c r="R620" s="105"/>
      <c r="S620" s="105"/>
      <c r="T620" s="105"/>
    </row>
    <row r="621">
      <c r="A621" s="291"/>
      <c r="B621" s="289"/>
      <c r="C621" s="105"/>
      <c r="D621" s="105"/>
      <c r="E621" s="105"/>
      <c r="F621" s="105"/>
      <c r="G621" s="105"/>
      <c r="H621" s="105"/>
      <c r="I621" s="106"/>
      <c r="J621" s="106"/>
      <c r="K621" s="106"/>
      <c r="L621" s="106"/>
      <c r="M621" s="106"/>
      <c r="N621" s="105"/>
      <c r="O621" s="106"/>
      <c r="P621" s="195"/>
      <c r="Q621" s="105"/>
      <c r="R621" s="105"/>
      <c r="S621" s="105"/>
      <c r="T621" s="105"/>
    </row>
    <row r="622">
      <c r="A622" s="291"/>
      <c r="B622" s="289"/>
      <c r="C622" s="105"/>
      <c r="D622" s="105"/>
      <c r="E622" s="105"/>
      <c r="F622" s="105"/>
      <c r="G622" s="105"/>
      <c r="H622" s="105"/>
      <c r="I622" s="106"/>
      <c r="J622" s="106"/>
      <c r="K622" s="106"/>
      <c r="L622" s="106"/>
      <c r="M622" s="106"/>
      <c r="N622" s="105"/>
      <c r="O622" s="106"/>
      <c r="P622" s="195"/>
      <c r="Q622" s="105"/>
      <c r="R622" s="105"/>
      <c r="S622" s="105"/>
      <c r="T622" s="105"/>
    </row>
    <row r="623">
      <c r="A623" s="291"/>
      <c r="B623" s="289"/>
      <c r="C623" s="105"/>
      <c r="D623" s="105"/>
      <c r="E623" s="105"/>
      <c r="F623" s="105"/>
      <c r="G623" s="105"/>
      <c r="H623" s="105"/>
      <c r="I623" s="106"/>
      <c r="J623" s="106"/>
      <c r="K623" s="106"/>
      <c r="L623" s="106"/>
      <c r="M623" s="106"/>
      <c r="N623" s="105"/>
      <c r="O623" s="106"/>
      <c r="P623" s="195"/>
      <c r="Q623" s="105"/>
      <c r="R623" s="105"/>
      <c r="S623" s="105"/>
      <c r="T623" s="105"/>
    </row>
    <row r="624">
      <c r="A624" s="291"/>
      <c r="B624" s="289"/>
      <c r="C624" s="105"/>
      <c r="D624" s="105"/>
      <c r="E624" s="105"/>
      <c r="F624" s="105"/>
      <c r="G624" s="105"/>
      <c r="H624" s="105"/>
      <c r="I624" s="106"/>
      <c r="J624" s="106"/>
      <c r="K624" s="106"/>
      <c r="L624" s="106"/>
      <c r="M624" s="106"/>
      <c r="N624" s="105"/>
      <c r="O624" s="106"/>
      <c r="P624" s="195"/>
      <c r="Q624" s="105"/>
      <c r="R624" s="105"/>
      <c r="S624" s="105"/>
      <c r="T624" s="105"/>
    </row>
    <row r="625">
      <c r="A625" s="291"/>
      <c r="B625" s="289"/>
      <c r="C625" s="105"/>
      <c r="D625" s="105"/>
      <c r="E625" s="105"/>
      <c r="F625" s="105"/>
      <c r="G625" s="105"/>
      <c r="H625" s="105"/>
      <c r="I625" s="106"/>
      <c r="J625" s="106"/>
      <c r="K625" s="106"/>
      <c r="L625" s="106"/>
      <c r="M625" s="106"/>
      <c r="N625" s="105"/>
      <c r="O625" s="106"/>
      <c r="P625" s="195"/>
      <c r="Q625" s="105"/>
      <c r="R625" s="105"/>
      <c r="S625" s="105"/>
      <c r="T625" s="105"/>
    </row>
    <row r="626">
      <c r="A626" s="291"/>
      <c r="B626" s="289"/>
      <c r="C626" s="105"/>
      <c r="D626" s="105"/>
      <c r="E626" s="105"/>
      <c r="F626" s="105"/>
      <c r="G626" s="105"/>
      <c r="H626" s="105"/>
      <c r="I626" s="106"/>
      <c r="J626" s="106"/>
      <c r="K626" s="106"/>
      <c r="L626" s="106"/>
      <c r="M626" s="106"/>
      <c r="N626" s="105"/>
      <c r="O626" s="106"/>
      <c r="P626" s="195"/>
      <c r="Q626" s="105"/>
      <c r="R626" s="105"/>
      <c r="S626" s="105"/>
      <c r="T626" s="105"/>
    </row>
    <row r="627">
      <c r="A627" s="291"/>
      <c r="B627" s="289"/>
      <c r="C627" s="105"/>
      <c r="D627" s="105"/>
      <c r="E627" s="105"/>
      <c r="F627" s="105"/>
      <c r="G627" s="105"/>
      <c r="H627" s="105"/>
      <c r="I627" s="106"/>
      <c r="J627" s="106"/>
      <c r="K627" s="106"/>
      <c r="L627" s="106"/>
      <c r="M627" s="106"/>
      <c r="N627" s="105"/>
      <c r="O627" s="106"/>
      <c r="P627" s="195"/>
      <c r="Q627" s="105"/>
      <c r="R627" s="105"/>
      <c r="S627" s="105"/>
      <c r="T627" s="105"/>
    </row>
    <row r="628">
      <c r="A628" s="291"/>
      <c r="B628" s="289"/>
      <c r="C628" s="105"/>
      <c r="D628" s="105"/>
      <c r="E628" s="105"/>
      <c r="F628" s="105"/>
      <c r="G628" s="105"/>
      <c r="H628" s="105"/>
      <c r="I628" s="106"/>
      <c r="J628" s="106"/>
      <c r="K628" s="106"/>
      <c r="L628" s="106"/>
      <c r="M628" s="106"/>
      <c r="N628" s="105"/>
      <c r="O628" s="106"/>
      <c r="P628" s="195"/>
      <c r="Q628" s="105"/>
      <c r="R628" s="105"/>
      <c r="S628" s="105"/>
      <c r="T628" s="105"/>
    </row>
    <row r="629">
      <c r="A629" s="291"/>
      <c r="B629" s="289"/>
      <c r="C629" s="105"/>
      <c r="D629" s="105"/>
      <c r="E629" s="105"/>
      <c r="F629" s="105"/>
      <c r="G629" s="105"/>
      <c r="H629" s="105"/>
      <c r="I629" s="106"/>
      <c r="J629" s="106"/>
      <c r="K629" s="106"/>
      <c r="L629" s="106"/>
      <c r="M629" s="106"/>
      <c r="N629" s="105"/>
      <c r="O629" s="106"/>
      <c r="P629" s="195"/>
      <c r="Q629" s="105"/>
      <c r="R629" s="105"/>
      <c r="S629" s="105"/>
      <c r="T629" s="105"/>
    </row>
    <row r="630">
      <c r="A630" s="291"/>
      <c r="B630" s="289"/>
      <c r="C630" s="105"/>
      <c r="D630" s="105"/>
      <c r="E630" s="105"/>
      <c r="F630" s="105"/>
      <c r="G630" s="105"/>
      <c r="H630" s="105"/>
      <c r="I630" s="106"/>
      <c r="J630" s="106"/>
      <c r="K630" s="106"/>
      <c r="L630" s="106"/>
      <c r="M630" s="106"/>
      <c r="N630" s="105"/>
      <c r="O630" s="106"/>
      <c r="P630" s="195"/>
      <c r="Q630" s="105"/>
      <c r="R630" s="105"/>
      <c r="S630" s="105"/>
      <c r="T630" s="105"/>
    </row>
    <row r="631">
      <c r="A631" s="291"/>
      <c r="B631" s="289"/>
      <c r="C631" s="105"/>
      <c r="D631" s="105"/>
      <c r="E631" s="105"/>
      <c r="F631" s="105"/>
      <c r="G631" s="105"/>
      <c r="H631" s="105"/>
      <c r="I631" s="106"/>
      <c r="J631" s="106"/>
      <c r="K631" s="106"/>
      <c r="L631" s="106"/>
      <c r="M631" s="106"/>
      <c r="N631" s="105"/>
      <c r="O631" s="106"/>
      <c r="P631" s="195"/>
      <c r="Q631" s="105"/>
      <c r="R631" s="105"/>
      <c r="S631" s="105"/>
      <c r="T631" s="105"/>
    </row>
    <row r="632">
      <c r="A632" s="291"/>
      <c r="B632" s="289"/>
      <c r="C632" s="105"/>
      <c r="D632" s="105"/>
      <c r="E632" s="105"/>
      <c r="F632" s="105"/>
      <c r="G632" s="105"/>
      <c r="H632" s="105"/>
      <c r="I632" s="106"/>
      <c r="J632" s="106"/>
      <c r="K632" s="106"/>
      <c r="L632" s="106"/>
      <c r="M632" s="106"/>
      <c r="N632" s="105"/>
      <c r="O632" s="106"/>
      <c r="P632" s="195"/>
      <c r="Q632" s="105"/>
      <c r="R632" s="105"/>
      <c r="S632" s="105"/>
      <c r="T632" s="105"/>
    </row>
    <row r="633">
      <c r="A633" s="291"/>
      <c r="B633" s="289"/>
      <c r="C633" s="105"/>
      <c r="D633" s="105"/>
      <c r="E633" s="105"/>
      <c r="F633" s="105"/>
      <c r="G633" s="105"/>
      <c r="H633" s="105"/>
      <c r="I633" s="106"/>
      <c r="J633" s="106"/>
      <c r="K633" s="106"/>
      <c r="L633" s="106"/>
      <c r="M633" s="106"/>
      <c r="N633" s="105"/>
      <c r="O633" s="106"/>
      <c r="P633" s="195"/>
      <c r="Q633" s="105"/>
      <c r="R633" s="105"/>
      <c r="S633" s="105"/>
      <c r="T633" s="105"/>
    </row>
    <row r="634">
      <c r="A634" s="291"/>
      <c r="B634" s="289"/>
      <c r="C634" s="105"/>
      <c r="D634" s="105"/>
      <c r="E634" s="105"/>
      <c r="F634" s="105"/>
      <c r="G634" s="105"/>
      <c r="H634" s="105"/>
      <c r="I634" s="106"/>
      <c r="J634" s="106"/>
      <c r="K634" s="106"/>
      <c r="L634" s="106"/>
      <c r="M634" s="106"/>
      <c r="N634" s="105"/>
      <c r="O634" s="106"/>
      <c r="P634" s="195"/>
      <c r="Q634" s="105"/>
      <c r="R634" s="105"/>
      <c r="S634" s="105"/>
      <c r="T634" s="105"/>
    </row>
    <row r="635">
      <c r="A635" s="291"/>
      <c r="B635" s="289"/>
      <c r="C635" s="105"/>
      <c r="D635" s="105"/>
      <c r="E635" s="105"/>
      <c r="F635" s="105"/>
      <c r="G635" s="105"/>
      <c r="H635" s="105"/>
      <c r="I635" s="106"/>
      <c r="J635" s="106"/>
      <c r="K635" s="106"/>
      <c r="L635" s="106"/>
      <c r="M635" s="106"/>
      <c r="N635" s="105"/>
      <c r="O635" s="106"/>
      <c r="P635" s="195"/>
      <c r="Q635" s="105"/>
      <c r="R635" s="105"/>
      <c r="S635" s="105"/>
      <c r="T635" s="105"/>
    </row>
    <row r="636">
      <c r="A636" s="291"/>
      <c r="B636" s="289"/>
      <c r="C636" s="105"/>
      <c r="D636" s="105"/>
      <c r="E636" s="105"/>
      <c r="F636" s="105"/>
      <c r="G636" s="105"/>
      <c r="H636" s="105"/>
      <c r="I636" s="106"/>
      <c r="J636" s="106"/>
      <c r="K636" s="106"/>
      <c r="L636" s="106"/>
      <c r="M636" s="106"/>
      <c r="N636" s="105"/>
      <c r="O636" s="106"/>
      <c r="P636" s="195"/>
      <c r="Q636" s="105"/>
      <c r="R636" s="105"/>
      <c r="S636" s="105"/>
      <c r="T636" s="105"/>
    </row>
    <row r="637">
      <c r="A637" s="291"/>
      <c r="B637" s="289"/>
      <c r="C637" s="105"/>
      <c r="D637" s="105"/>
      <c r="E637" s="105"/>
      <c r="F637" s="105"/>
      <c r="G637" s="105"/>
      <c r="H637" s="105"/>
      <c r="I637" s="106"/>
      <c r="J637" s="106"/>
      <c r="K637" s="106"/>
      <c r="L637" s="106"/>
      <c r="M637" s="106"/>
      <c r="N637" s="105"/>
      <c r="O637" s="106"/>
      <c r="P637" s="195"/>
      <c r="Q637" s="105"/>
      <c r="R637" s="105"/>
      <c r="S637" s="105"/>
      <c r="T637" s="105"/>
    </row>
    <row r="638">
      <c r="A638" s="291"/>
      <c r="B638" s="289"/>
      <c r="C638" s="105"/>
      <c r="D638" s="105"/>
      <c r="E638" s="105"/>
      <c r="F638" s="105"/>
      <c r="G638" s="105"/>
      <c r="H638" s="105"/>
      <c r="I638" s="106"/>
      <c r="J638" s="106"/>
      <c r="K638" s="106"/>
      <c r="L638" s="106"/>
      <c r="M638" s="106"/>
      <c r="N638" s="105"/>
      <c r="O638" s="106"/>
      <c r="P638" s="195"/>
      <c r="Q638" s="105"/>
      <c r="R638" s="105"/>
      <c r="S638" s="105"/>
      <c r="T638" s="105"/>
    </row>
    <row r="639">
      <c r="A639" s="291"/>
      <c r="B639" s="289"/>
      <c r="C639" s="105"/>
      <c r="D639" s="105"/>
      <c r="E639" s="105"/>
      <c r="F639" s="105"/>
      <c r="G639" s="105"/>
      <c r="H639" s="105"/>
      <c r="I639" s="106"/>
      <c r="J639" s="106"/>
      <c r="K639" s="106"/>
      <c r="L639" s="106"/>
      <c r="M639" s="106"/>
      <c r="N639" s="105"/>
      <c r="O639" s="106"/>
      <c r="P639" s="195"/>
      <c r="Q639" s="105"/>
      <c r="R639" s="105"/>
      <c r="S639" s="105"/>
      <c r="T639" s="105"/>
    </row>
    <row r="640">
      <c r="A640" s="291"/>
      <c r="B640" s="289"/>
      <c r="C640" s="105"/>
      <c r="D640" s="105"/>
      <c r="E640" s="105"/>
      <c r="F640" s="105"/>
      <c r="G640" s="105"/>
      <c r="H640" s="105"/>
      <c r="I640" s="106"/>
      <c r="J640" s="106"/>
      <c r="K640" s="106"/>
      <c r="L640" s="106"/>
      <c r="M640" s="106"/>
      <c r="N640" s="105"/>
      <c r="O640" s="106"/>
      <c r="P640" s="195"/>
      <c r="Q640" s="105"/>
      <c r="R640" s="105"/>
      <c r="S640" s="105"/>
      <c r="T640" s="105"/>
    </row>
    <row r="641">
      <c r="A641" s="291"/>
      <c r="B641" s="289"/>
      <c r="C641" s="105"/>
      <c r="D641" s="105"/>
      <c r="E641" s="105"/>
      <c r="F641" s="105"/>
      <c r="G641" s="105"/>
      <c r="H641" s="105"/>
      <c r="I641" s="106"/>
      <c r="J641" s="106"/>
      <c r="K641" s="106"/>
      <c r="L641" s="106"/>
      <c r="M641" s="106"/>
      <c r="N641" s="105"/>
      <c r="O641" s="106"/>
      <c r="P641" s="195"/>
      <c r="Q641" s="105"/>
      <c r="R641" s="105"/>
      <c r="S641" s="105"/>
      <c r="T641" s="105"/>
    </row>
    <row r="642">
      <c r="A642" s="291"/>
      <c r="B642" s="289"/>
      <c r="C642" s="105"/>
      <c r="D642" s="105"/>
      <c r="E642" s="105"/>
      <c r="F642" s="105"/>
      <c r="G642" s="105"/>
      <c r="H642" s="105"/>
      <c r="I642" s="106"/>
      <c r="J642" s="106"/>
      <c r="K642" s="106"/>
      <c r="L642" s="106"/>
      <c r="M642" s="106"/>
      <c r="N642" s="105"/>
      <c r="O642" s="106"/>
      <c r="P642" s="195"/>
      <c r="Q642" s="105"/>
      <c r="R642" s="105"/>
      <c r="S642" s="105"/>
      <c r="T642" s="105"/>
    </row>
    <row r="643">
      <c r="A643" s="291"/>
      <c r="B643" s="289"/>
      <c r="C643" s="105"/>
      <c r="D643" s="105"/>
      <c r="E643" s="105"/>
      <c r="F643" s="105"/>
      <c r="G643" s="105"/>
      <c r="H643" s="105"/>
      <c r="I643" s="106"/>
      <c r="J643" s="106"/>
      <c r="K643" s="106"/>
      <c r="L643" s="106"/>
      <c r="M643" s="106"/>
      <c r="N643" s="105"/>
      <c r="O643" s="106"/>
      <c r="P643" s="195"/>
      <c r="Q643" s="105"/>
      <c r="R643" s="105"/>
      <c r="S643" s="105"/>
      <c r="T643" s="105"/>
    </row>
    <row r="644">
      <c r="A644" s="291"/>
      <c r="B644" s="289"/>
      <c r="C644" s="105"/>
      <c r="D644" s="105"/>
      <c r="E644" s="105"/>
      <c r="F644" s="105"/>
      <c r="G644" s="105"/>
      <c r="H644" s="105"/>
      <c r="I644" s="106"/>
      <c r="J644" s="106"/>
      <c r="K644" s="106"/>
      <c r="L644" s="106"/>
      <c r="M644" s="106"/>
      <c r="N644" s="105"/>
      <c r="O644" s="106"/>
      <c r="P644" s="195"/>
      <c r="Q644" s="105"/>
      <c r="R644" s="105"/>
      <c r="S644" s="105"/>
      <c r="T644" s="105"/>
    </row>
    <row r="645">
      <c r="A645" s="291"/>
      <c r="B645" s="289"/>
      <c r="C645" s="105"/>
      <c r="D645" s="105"/>
      <c r="E645" s="105"/>
      <c r="F645" s="105"/>
      <c r="G645" s="105"/>
      <c r="H645" s="105"/>
      <c r="I645" s="106"/>
      <c r="J645" s="106"/>
      <c r="K645" s="106"/>
      <c r="L645" s="106"/>
      <c r="M645" s="106"/>
      <c r="N645" s="105"/>
      <c r="O645" s="106"/>
      <c r="P645" s="195"/>
      <c r="Q645" s="105"/>
      <c r="R645" s="105"/>
      <c r="S645" s="105"/>
      <c r="T645" s="105"/>
    </row>
    <row r="646">
      <c r="A646" s="291"/>
      <c r="B646" s="289"/>
      <c r="C646" s="105"/>
      <c r="D646" s="105"/>
      <c r="E646" s="105"/>
      <c r="F646" s="105"/>
      <c r="G646" s="105"/>
      <c r="H646" s="105"/>
      <c r="I646" s="106"/>
      <c r="J646" s="106"/>
      <c r="K646" s="106"/>
      <c r="L646" s="106"/>
      <c r="M646" s="106"/>
      <c r="N646" s="105"/>
      <c r="O646" s="106"/>
      <c r="P646" s="195"/>
      <c r="Q646" s="105"/>
      <c r="R646" s="105"/>
      <c r="S646" s="105"/>
      <c r="T646" s="105"/>
    </row>
    <row r="647">
      <c r="A647" s="291"/>
      <c r="B647" s="289"/>
      <c r="C647" s="105"/>
      <c r="D647" s="105"/>
      <c r="E647" s="105"/>
      <c r="F647" s="105"/>
      <c r="G647" s="105"/>
      <c r="H647" s="105"/>
      <c r="I647" s="106"/>
      <c r="J647" s="106"/>
      <c r="K647" s="106"/>
      <c r="L647" s="106"/>
      <c r="M647" s="106"/>
      <c r="N647" s="105"/>
      <c r="O647" s="106"/>
      <c r="P647" s="195"/>
      <c r="Q647" s="105"/>
      <c r="R647" s="105"/>
      <c r="S647" s="105"/>
      <c r="T647" s="105"/>
    </row>
    <row r="648">
      <c r="A648" s="291"/>
      <c r="B648" s="289"/>
      <c r="C648" s="105"/>
      <c r="D648" s="105"/>
      <c r="E648" s="105"/>
      <c r="F648" s="105"/>
      <c r="G648" s="105"/>
      <c r="H648" s="105"/>
      <c r="I648" s="106"/>
      <c r="J648" s="106"/>
      <c r="K648" s="106"/>
      <c r="L648" s="106"/>
      <c r="M648" s="106"/>
      <c r="N648" s="105"/>
      <c r="O648" s="106"/>
      <c r="P648" s="195"/>
      <c r="Q648" s="105"/>
      <c r="R648" s="105"/>
      <c r="S648" s="105"/>
      <c r="T648" s="105"/>
    </row>
    <row r="649">
      <c r="A649" s="291"/>
      <c r="B649" s="289"/>
      <c r="C649" s="105"/>
      <c r="D649" s="105"/>
      <c r="E649" s="105"/>
      <c r="F649" s="105"/>
      <c r="G649" s="105"/>
      <c r="H649" s="105"/>
      <c r="I649" s="106"/>
      <c r="J649" s="106"/>
      <c r="K649" s="106"/>
      <c r="L649" s="106"/>
      <c r="M649" s="106"/>
      <c r="N649" s="105"/>
      <c r="O649" s="106"/>
      <c r="P649" s="195"/>
      <c r="Q649" s="105"/>
      <c r="R649" s="105"/>
      <c r="S649" s="105"/>
      <c r="T649" s="105"/>
    </row>
    <row r="650">
      <c r="A650" s="291"/>
      <c r="B650" s="289"/>
      <c r="C650" s="105"/>
      <c r="D650" s="105"/>
      <c r="E650" s="105"/>
      <c r="F650" s="105"/>
      <c r="G650" s="105"/>
      <c r="H650" s="105"/>
      <c r="I650" s="106"/>
      <c r="J650" s="106"/>
      <c r="K650" s="106"/>
      <c r="L650" s="106"/>
      <c r="M650" s="106"/>
      <c r="N650" s="105"/>
      <c r="O650" s="106"/>
      <c r="P650" s="195"/>
      <c r="Q650" s="105"/>
      <c r="R650" s="105"/>
      <c r="S650" s="105"/>
      <c r="T650" s="105"/>
    </row>
    <row r="651">
      <c r="A651" s="291"/>
      <c r="B651" s="289"/>
      <c r="C651" s="105"/>
      <c r="D651" s="105"/>
      <c r="E651" s="105"/>
      <c r="F651" s="105"/>
      <c r="G651" s="105"/>
      <c r="H651" s="105"/>
      <c r="I651" s="106"/>
      <c r="J651" s="106"/>
      <c r="K651" s="106"/>
      <c r="L651" s="106"/>
      <c r="M651" s="106"/>
      <c r="N651" s="105"/>
      <c r="O651" s="106"/>
      <c r="P651" s="195"/>
      <c r="Q651" s="105"/>
      <c r="R651" s="105"/>
      <c r="S651" s="105"/>
      <c r="T651" s="105"/>
    </row>
    <row r="652">
      <c r="A652" s="291"/>
      <c r="B652" s="289"/>
      <c r="C652" s="105"/>
      <c r="D652" s="105"/>
      <c r="E652" s="105"/>
      <c r="F652" s="105"/>
      <c r="G652" s="105"/>
      <c r="H652" s="105"/>
      <c r="I652" s="106"/>
      <c r="J652" s="106"/>
      <c r="K652" s="106"/>
      <c r="L652" s="106"/>
      <c r="M652" s="106"/>
      <c r="N652" s="105"/>
      <c r="O652" s="106"/>
      <c r="P652" s="195"/>
      <c r="Q652" s="105"/>
      <c r="R652" s="105"/>
      <c r="S652" s="105"/>
      <c r="T652" s="105"/>
    </row>
    <row r="653">
      <c r="A653" s="291"/>
      <c r="B653" s="289"/>
      <c r="C653" s="105"/>
      <c r="D653" s="105"/>
      <c r="E653" s="105"/>
      <c r="F653" s="105"/>
      <c r="G653" s="105"/>
      <c r="H653" s="105"/>
      <c r="I653" s="106"/>
      <c r="J653" s="106"/>
      <c r="K653" s="106"/>
      <c r="L653" s="106"/>
      <c r="M653" s="106"/>
      <c r="N653" s="105"/>
      <c r="O653" s="106"/>
      <c r="P653" s="195"/>
      <c r="Q653" s="105"/>
      <c r="R653" s="105"/>
      <c r="S653" s="105"/>
      <c r="T653" s="105"/>
    </row>
    <row r="654">
      <c r="A654" s="291"/>
      <c r="B654" s="289"/>
      <c r="C654" s="105"/>
      <c r="D654" s="105"/>
      <c r="E654" s="105"/>
      <c r="F654" s="105"/>
      <c r="G654" s="105"/>
      <c r="H654" s="105"/>
      <c r="I654" s="106"/>
      <c r="J654" s="106"/>
      <c r="K654" s="106"/>
      <c r="L654" s="106"/>
      <c r="M654" s="106"/>
      <c r="N654" s="105"/>
      <c r="O654" s="106"/>
      <c r="P654" s="195"/>
      <c r="Q654" s="105"/>
      <c r="R654" s="105"/>
      <c r="S654" s="105"/>
      <c r="T654" s="105"/>
    </row>
    <row r="655">
      <c r="A655" s="291"/>
      <c r="B655" s="289"/>
      <c r="C655" s="105"/>
      <c r="D655" s="105"/>
      <c r="E655" s="105"/>
      <c r="F655" s="105"/>
      <c r="G655" s="105"/>
      <c r="H655" s="105"/>
      <c r="I655" s="106"/>
      <c r="J655" s="106"/>
      <c r="K655" s="106"/>
      <c r="L655" s="106"/>
      <c r="M655" s="106"/>
      <c r="N655" s="105"/>
      <c r="O655" s="106"/>
      <c r="P655" s="195"/>
      <c r="Q655" s="105"/>
      <c r="R655" s="105"/>
      <c r="S655" s="105"/>
      <c r="T655" s="105"/>
    </row>
    <row r="656">
      <c r="A656" s="291"/>
      <c r="B656" s="289"/>
      <c r="C656" s="105"/>
      <c r="D656" s="105"/>
      <c r="E656" s="105"/>
      <c r="F656" s="105"/>
      <c r="G656" s="105"/>
      <c r="H656" s="105"/>
      <c r="I656" s="106"/>
      <c r="J656" s="106"/>
      <c r="K656" s="106"/>
      <c r="L656" s="106"/>
      <c r="M656" s="106"/>
      <c r="N656" s="105"/>
      <c r="O656" s="106"/>
      <c r="P656" s="195"/>
      <c r="Q656" s="105"/>
      <c r="R656" s="105"/>
      <c r="S656" s="105"/>
      <c r="T656" s="105"/>
    </row>
    <row r="657">
      <c r="A657" s="291"/>
      <c r="B657" s="289"/>
      <c r="C657" s="105"/>
      <c r="D657" s="105"/>
      <c r="E657" s="105"/>
      <c r="F657" s="105"/>
      <c r="G657" s="105"/>
      <c r="H657" s="105"/>
      <c r="I657" s="106"/>
      <c r="J657" s="106"/>
      <c r="K657" s="106"/>
      <c r="L657" s="106"/>
      <c r="M657" s="106"/>
      <c r="N657" s="105"/>
      <c r="O657" s="106"/>
      <c r="P657" s="195"/>
      <c r="Q657" s="105"/>
      <c r="R657" s="105"/>
      <c r="S657" s="105"/>
      <c r="T657" s="105"/>
    </row>
    <row r="658">
      <c r="A658" s="291"/>
      <c r="B658" s="289"/>
      <c r="C658" s="105"/>
      <c r="D658" s="105"/>
      <c r="E658" s="105"/>
      <c r="F658" s="105"/>
      <c r="G658" s="105"/>
      <c r="H658" s="105"/>
      <c r="I658" s="106"/>
      <c r="J658" s="106"/>
      <c r="K658" s="106"/>
      <c r="L658" s="106"/>
      <c r="M658" s="106"/>
      <c r="N658" s="105"/>
      <c r="O658" s="106"/>
      <c r="P658" s="195"/>
      <c r="Q658" s="105"/>
      <c r="R658" s="105"/>
      <c r="S658" s="105"/>
      <c r="T658" s="105"/>
    </row>
    <row r="659">
      <c r="A659" s="291"/>
      <c r="B659" s="289"/>
      <c r="C659" s="105"/>
      <c r="D659" s="105"/>
      <c r="E659" s="105"/>
      <c r="F659" s="105"/>
      <c r="G659" s="105"/>
      <c r="H659" s="105"/>
      <c r="I659" s="106"/>
      <c r="J659" s="106"/>
      <c r="K659" s="106"/>
      <c r="L659" s="106"/>
      <c r="M659" s="106"/>
      <c r="N659" s="105"/>
      <c r="O659" s="106"/>
      <c r="P659" s="195"/>
      <c r="Q659" s="105"/>
      <c r="R659" s="105"/>
      <c r="S659" s="105"/>
      <c r="T659" s="105"/>
    </row>
    <row r="660">
      <c r="A660" s="291"/>
      <c r="B660" s="289"/>
      <c r="C660" s="105"/>
      <c r="D660" s="105"/>
      <c r="E660" s="105"/>
      <c r="F660" s="105"/>
      <c r="G660" s="105"/>
      <c r="H660" s="105"/>
      <c r="I660" s="106"/>
      <c r="J660" s="106"/>
      <c r="K660" s="106"/>
      <c r="L660" s="106"/>
      <c r="M660" s="106"/>
      <c r="N660" s="105"/>
      <c r="O660" s="106"/>
      <c r="P660" s="195"/>
      <c r="Q660" s="105"/>
      <c r="R660" s="105"/>
      <c r="S660" s="105"/>
      <c r="T660" s="105"/>
    </row>
    <row r="661">
      <c r="A661" s="291"/>
      <c r="B661" s="289"/>
      <c r="C661" s="105"/>
      <c r="D661" s="105"/>
      <c r="E661" s="105"/>
      <c r="F661" s="105"/>
      <c r="G661" s="105"/>
      <c r="H661" s="105"/>
      <c r="I661" s="106"/>
      <c r="J661" s="106"/>
      <c r="K661" s="106"/>
      <c r="L661" s="106"/>
      <c r="M661" s="106"/>
      <c r="N661" s="105"/>
      <c r="O661" s="106"/>
      <c r="P661" s="195"/>
      <c r="Q661" s="105"/>
      <c r="R661" s="105"/>
      <c r="S661" s="105"/>
      <c r="T661" s="105"/>
    </row>
    <row r="662">
      <c r="A662" s="291"/>
      <c r="B662" s="289"/>
      <c r="C662" s="105"/>
      <c r="D662" s="105"/>
      <c r="E662" s="105"/>
      <c r="F662" s="105"/>
      <c r="G662" s="105"/>
      <c r="H662" s="105"/>
      <c r="I662" s="106"/>
      <c r="J662" s="106"/>
      <c r="K662" s="106"/>
      <c r="L662" s="106"/>
      <c r="M662" s="106"/>
      <c r="N662" s="105"/>
      <c r="O662" s="106"/>
      <c r="P662" s="195"/>
      <c r="Q662" s="105"/>
      <c r="R662" s="105"/>
      <c r="S662" s="105"/>
      <c r="T662" s="105"/>
    </row>
    <row r="663">
      <c r="A663" s="291"/>
      <c r="B663" s="289"/>
      <c r="C663" s="105"/>
      <c r="D663" s="105"/>
      <c r="E663" s="105"/>
      <c r="F663" s="105"/>
      <c r="G663" s="105"/>
      <c r="H663" s="105"/>
      <c r="I663" s="106"/>
      <c r="J663" s="106"/>
      <c r="K663" s="106"/>
      <c r="L663" s="106"/>
      <c r="M663" s="106"/>
      <c r="N663" s="105"/>
      <c r="O663" s="106"/>
      <c r="P663" s="195"/>
      <c r="Q663" s="105"/>
      <c r="R663" s="105"/>
      <c r="S663" s="105"/>
      <c r="T663" s="105"/>
    </row>
    <row r="664">
      <c r="A664" s="291"/>
      <c r="B664" s="289"/>
      <c r="C664" s="105"/>
      <c r="D664" s="105"/>
      <c r="E664" s="105"/>
      <c r="F664" s="105"/>
      <c r="G664" s="105"/>
      <c r="H664" s="105"/>
      <c r="I664" s="106"/>
      <c r="J664" s="106"/>
      <c r="K664" s="106"/>
      <c r="L664" s="106"/>
      <c r="M664" s="106"/>
      <c r="N664" s="105"/>
      <c r="O664" s="106"/>
      <c r="P664" s="195"/>
      <c r="Q664" s="105"/>
      <c r="R664" s="105"/>
      <c r="S664" s="105"/>
      <c r="T664" s="105"/>
    </row>
    <row r="665">
      <c r="A665" s="291"/>
      <c r="B665" s="289"/>
      <c r="C665" s="105"/>
      <c r="D665" s="105"/>
      <c r="E665" s="105"/>
      <c r="F665" s="105"/>
      <c r="G665" s="105"/>
      <c r="H665" s="105"/>
      <c r="I665" s="106"/>
      <c r="J665" s="106"/>
      <c r="K665" s="106"/>
      <c r="L665" s="106"/>
      <c r="M665" s="106"/>
      <c r="N665" s="105"/>
      <c r="O665" s="106"/>
      <c r="P665" s="195"/>
      <c r="Q665" s="105"/>
      <c r="R665" s="105"/>
      <c r="S665" s="105"/>
      <c r="T665" s="105"/>
    </row>
    <row r="666">
      <c r="A666" s="291"/>
      <c r="B666" s="289"/>
      <c r="C666" s="105"/>
      <c r="D666" s="105"/>
      <c r="E666" s="105"/>
      <c r="F666" s="105"/>
      <c r="G666" s="105"/>
      <c r="H666" s="105"/>
      <c r="I666" s="106"/>
      <c r="J666" s="106"/>
      <c r="K666" s="106"/>
      <c r="L666" s="106"/>
      <c r="M666" s="106"/>
      <c r="N666" s="105"/>
      <c r="O666" s="106"/>
      <c r="P666" s="195"/>
      <c r="Q666" s="105"/>
      <c r="R666" s="105"/>
      <c r="S666" s="105"/>
      <c r="T666" s="105"/>
    </row>
    <row r="667">
      <c r="A667" s="291"/>
      <c r="B667" s="289"/>
      <c r="C667" s="105"/>
      <c r="D667" s="105"/>
      <c r="E667" s="105"/>
      <c r="F667" s="105"/>
      <c r="G667" s="105"/>
      <c r="H667" s="105"/>
      <c r="I667" s="106"/>
      <c r="J667" s="106"/>
      <c r="K667" s="106"/>
      <c r="L667" s="106"/>
      <c r="M667" s="106"/>
      <c r="N667" s="105"/>
      <c r="O667" s="106"/>
      <c r="P667" s="195"/>
      <c r="Q667" s="105"/>
      <c r="R667" s="105"/>
      <c r="S667" s="105"/>
      <c r="T667" s="105"/>
    </row>
    <row r="668">
      <c r="A668" s="291"/>
      <c r="B668" s="289"/>
      <c r="C668" s="105"/>
      <c r="D668" s="105"/>
      <c r="E668" s="105"/>
      <c r="F668" s="105"/>
      <c r="G668" s="105"/>
      <c r="H668" s="105"/>
      <c r="I668" s="106"/>
      <c r="J668" s="106"/>
      <c r="K668" s="106"/>
      <c r="L668" s="106"/>
      <c r="M668" s="106"/>
      <c r="N668" s="105"/>
      <c r="O668" s="106"/>
      <c r="P668" s="195"/>
      <c r="Q668" s="105"/>
      <c r="R668" s="105"/>
      <c r="S668" s="105"/>
      <c r="T668" s="105"/>
    </row>
    <row r="669">
      <c r="A669" s="291"/>
      <c r="B669" s="289"/>
      <c r="C669" s="105"/>
      <c r="D669" s="105"/>
      <c r="E669" s="105"/>
      <c r="F669" s="105"/>
      <c r="G669" s="105"/>
      <c r="H669" s="105"/>
      <c r="I669" s="106"/>
      <c r="J669" s="106"/>
      <c r="K669" s="106"/>
      <c r="L669" s="106"/>
      <c r="M669" s="106"/>
      <c r="N669" s="105"/>
      <c r="O669" s="106"/>
      <c r="P669" s="195"/>
      <c r="Q669" s="105"/>
      <c r="R669" s="105"/>
      <c r="S669" s="105"/>
      <c r="T669" s="105"/>
    </row>
    <row r="670">
      <c r="A670" s="291"/>
      <c r="B670" s="289"/>
      <c r="C670" s="105"/>
      <c r="D670" s="105"/>
      <c r="E670" s="105"/>
      <c r="F670" s="105"/>
      <c r="G670" s="105"/>
      <c r="H670" s="105"/>
      <c r="I670" s="106"/>
      <c r="J670" s="106"/>
      <c r="K670" s="106"/>
      <c r="L670" s="106"/>
      <c r="M670" s="106"/>
      <c r="N670" s="105"/>
      <c r="O670" s="106"/>
      <c r="P670" s="195"/>
      <c r="Q670" s="105"/>
      <c r="R670" s="105"/>
      <c r="S670" s="105"/>
      <c r="T670" s="105"/>
    </row>
    <row r="671">
      <c r="A671" s="291"/>
      <c r="B671" s="289"/>
      <c r="C671" s="105"/>
      <c r="D671" s="105"/>
      <c r="E671" s="105"/>
      <c r="F671" s="105"/>
      <c r="G671" s="105"/>
      <c r="H671" s="105"/>
      <c r="I671" s="106"/>
      <c r="J671" s="106"/>
      <c r="K671" s="106"/>
      <c r="L671" s="106"/>
      <c r="M671" s="106"/>
      <c r="N671" s="105"/>
      <c r="O671" s="106"/>
      <c r="P671" s="195"/>
      <c r="Q671" s="105"/>
      <c r="R671" s="105"/>
      <c r="S671" s="105"/>
      <c r="T671" s="105"/>
    </row>
    <row r="672">
      <c r="A672" s="291"/>
      <c r="B672" s="289"/>
      <c r="C672" s="105"/>
      <c r="D672" s="105"/>
      <c r="E672" s="105"/>
      <c r="F672" s="105"/>
      <c r="G672" s="105"/>
      <c r="H672" s="105"/>
      <c r="I672" s="106"/>
      <c r="J672" s="106"/>
      <c r="K672" s="106"/>
      <c r="L672" s="106"/>
      <c r="M672" s="106"/>
      <c r="N672" s="105"/>
      <c r="O672" s="106"/>
      <c r="P672" s="195"/>
      <c r="Q672" s="105"/>
      <c r="R672" s="105"/>
      <c r="S672" s="105"/>
      <c r="T672" s="105"/>
    </row>
    <row r="673">
      <c r="A673" s="291"/>
      <c r="B673" s="289"/>
      <c r="C673" s="105"/>
      <c r="D673" s="105"/>
      <c r="E673" s="105"/>
      <c r="F673" s="105"/>
      <c r="G673" s="105"/>
      <c r="H673" s="105"/>
      <c r="I673" s="106"/>
      <c r="J673" s="106"/>
      <c r="K673" s="106"/>
      <c r="L673" s="106"/>
      <c r="M673" s="106"/>
      <c r="N673" s="105"/>
      <c r="O673" s="106"/>
      <c r="P673" s="195"/>
      <c r="Q673" s="105"/>
      <c r="R673" s="105"/>
      <c r="S673" s="105"/>
      <c r="T673" s="105"/>
    </row>
    <row r="674">
      <c r="A674" s="291"/>
      <c r="B674" s="289"/>
      <c r="C674" s="105"/>
      <c r="D674" s="105"/>
      <c r="E674" s="105"/>
      <c r="F674" s="105"/>
      <c r="G674" s="105"/>
      <c r="H674" s="105"/>
      <c r="I674" s="106"/>
      <c r="J674" s="106"/>
      <c r="K674" s="106"/>
      <c r="L674" s="106"/>
      <c r="M674" s="106"/>
      <c r="N674" s="105"/>
      <c r="O674" s="106"/>
      <c r="P674" s="195"/>
      <c r="Q674" s="105"/>
      <c r="R674" s="105"/>
      <c r="S674" s="105"/>
      <c r="T674" s="105"/>
    </row>
    <row r="675">
      <c r="A675" s="291"/>
      <c r="B675" s="289"/>
      <c r="C675" s="105"/>
      <c r="D675" s="105"/>
      <c r="E675" s="105"/>
      <c r="F675" s="105"/>
      <c r="G675" s="105"/>
      <c r="H675" s="105"/>
      <c r="I675" s="106"/>
      <c r="J675" s="106"/>
      <c r="K675" s="106"/>
      <c r="L675" s="106"/>
      <c r="M675" s="106"/>
      <c r="N675" s="105"/>
      <c r="O675" s="106"/>
      <c r="P675" s="195"/>
      <c r="Q675" s="105"/>
      <c r="R675" s="105"/>
      <c r="S675" s="105"/>
      <c r="T675" s="105"/>
    </row>
    <row r="676">
      <c r="A676" s="291"/>
      <c r="B676" s="289"/>
      <c r="C676" s="105"/>
      <c r="D676" s="105"/>
      <c r="E676" s="105"/>
      <c r="F676" s="105"/>
      <c r="G676" s="105"/>
      <c r="H676" s="105"/>
      <c r="I676" s="106"/>
      <c r="J676" s="106"/>
      <c r="K676" s="106"/>
      <c r="L676" s="106"/>
      <c r="M676" s="106"/>
      <c r="N676" s="105"/>
      <c r="O676" s="106"/>
      <c r="P676" s="195"/>
      <c r="Q676" s="105"/>
      <c r="R676" s="105"/>
      <c r="S676" s="105"/>
      <c r="T676" s="105"/>
    </row>
    <row r="677">
      <c r="A677" s="291"/>
      <c r="B677" s="289"/>
      <c r="C677" s="105"/>
      <c r="D677" s="105"/>
      <c r="E677" s="105"/>
      <c r="F677" s="105"/>
      <c r="G677" s="105"/>
      <c r="H677" s="105"/>
      <c r="I677" s="106"/>
      <c r="J677" s="106"/>
      <c r="K677" s="106"/>
      <c r="L677" s="106"/>
      <c r="M677" s="106"/>
      <c r="N677" s="105"/>
      <c r="O677" s="106"/>
      <c r="P677" s="195"/>
      <c r="Q677" s="105"/>
      <c r="R677" s="105"/>
      <c r="S677" s="105"/>
      <c r="T677" s="105"/>
    </row>
    <row r="678">
      <c r="A678" s="291"/>
      <c r="B678" s="289"/>
      <c r="C678" s="105"/>
      <c r="D678" s="105"/>
      <c r="E678" s="105"/>
      <c r="F678" s="105"/>
      <c r="G678" s="105"/>
      <c r="H678" s="105"/>
      <c r="I678" s="106"/>
      <c r="J678" s="106"/>
      <c r="K678" s="106"/>
      <c r="L678" s="106"/>
      <c r="M678" s="106"/>
      <c r="N678" s="105"/>
      <c r="O678" s="106"/>
      <c r="P678" s="195"/>
      <c r="Q678" s="105"/>
      <c r="R678" s="105"/>
      <c r="S678" s="105"/>
      <c r="T678" s="105"/>
    </row>
    <row r="679">
      <c r="A679" s="291"/>
      <c r="B679" s="289"/>
      <c r="C679" s="105"/>
      <c r="D679" s="105"/>
      <c r="E679" s="105"/>
      <c r="F679" s="105"/>
      <c r="G679" s="105"/>
      <c r="H679" s="105"/>
      <c r="I679" s="106"/>
      <c r="J679" s="106"/>
      <c r="K679" s="106"/>
      <c r="L679" s="106"/>
      <c r="M679" s="106"/>
      <c r="N679" s="105"/>
      <c r="O679" s="106"/>
      <c r="P679" s="195"/>
      <c r="Q679" s="105"/>
      <c r="R679" s="105"/>
      <c r="S679" s="105"/>
      <c r="T679" s="105"/>
    </row>
    <row r="680">
      <c r="A680" s="291"/>
      <c r="B680" s="289"/>
      <c r="C680" s="105"/>
      <c r="D680" s="105"/>
      <c r="E680" s="105"/>
      <c r="F680" s="105"/>
      <c r="G680" s="105"/>
      <c r="H680" s="105"/>
      <c r="I680" s="106"/>
      <c r="J680" s="106"/>
      <c r="K680" s="106"/>
      <c r="L680" s="106"/>
      <c r="M680" s="106"/>
      <c r="N680" s="105"/>
      <c r="O680" s="106"/>
      <c r="P680" s="195"/>
      <c r="Q680" s="105"/>
      <c r="R680" s="105"/>
      <c r="S680" s="105"/>
      <c r="T680" s="105"/>
    </row>
    <row r="681">
      <c r="A681" s="291"/>
      <c r="B681" s="289"/>
      <c r="C681" s="105"/>
      <c r="D681" s="105"/>
      <c r="E681" s="105"/>
      <c r="F681" s="105"/>
      <c r="G681" s="105"/>
      <c r="H681" s="105"/>
      <c r="I681" s="106"/>
      <c r="J681" s="106"/>
      <c r="K681" s="106"/>
      <c r="L681" s="106"/>
      <c r="M681" s="106"/>
      <c r="N681" s="105"/>
      <c r="O681" s="106"/>
      <c r="P681" s="195"/>
      <c r="Q681" s="105"/>
      <c r="R681" s="105"/>
      <c r="S681" s="105"/>
      <c r="T681" s="105"/>
    </row>
    <row r="682">
      <c r="A682" s="291"/>
      <c r="B682" s="289"/>
      <c r="C682" s="105"/>
      <c r="D682" s="105"/>
      <c r="E682" s="105"/>
      <c r="F682" s="105"/>
      <c r="G682" s="105"/>
      <c r="H682" s="105"/>
      <c r="I682" s="106"/>
      <c r="J682" s="106"/>
      <c r="K682" s="106"/>
      <c r="L682" s="106"/>
      <c r="M682" s="106"/>
      <c r="N682" s="105"/>
      <c r="O682" s="106"/>
      <c r="P682" s="195"/>
      <c r="Q682" s="105"/>
      <c r="R682" s="105"/>
      <c r="S682" s="105"/>
      <c r="T682" s="105"/>
    </row>
    <row r="683">
      <c r="A683" s="291"/>
      <c r="B683" s="289"/>
      <c r="C683" s="105"/>
      <c r="D683" s="105"/>
      <c r="E683" s="105"/>
      <c r="F683" s="105"/>
      <c r="G683" s="105"/>
      <c r="H683" s="105"/>
      <c r="I683" s="106"/>
      <c r="J683" s="106"/>
      <c r="K683" s="106"/>
      <c r="L683" s="106"/>
      <c r="M683" s="106"/>
      <c r="N683" s="105"/>
      <c r="O683" s="106"/>
      <c r="P683" s="195"/>
      <c r="Q683" s="105"/>
      <c r="R683" s="105"/>
      <c r="S683" s="105"/>
      <c r="T683" s="105"/>
    </row>
    <row r="684">
      <c r="A684" s="291"/>
      <c r="B684" s="289"/>
      <c r="C684" s="105"/>
      <c r="D684" s="105"/>
      <c r="E684" s="105"/>
      <c r="F684" s="105"/>
      <c r="G684" s="105"/>
      <c r="H684" s="105"/>
      <c r="I684" s="106"/>
      <c r="J684" s="106"/>
      <c r="K684" s="106"/>
      <c r="L684" s="106"/>
      <c r="M684" s="106"/>
      <c r="N684" s="105"/>
      <c r="O684" s="106"/>
      <c r="P684" s="195"/>
      <c r="Q684" s="105"/>
      <c r="R684" s="105"/>
      <c r="S684" s="105"/>
      <c r="T684" s="105"/>
    </row>
    <row r="685">
      <c r="A685" s="291"/>
      <c r="B685" s="289"/>
      <c r="C685" s="105"/>
      <c r="D685" s="105"/>
      <c r="E685" s="105"/>
      <c r="F685" s="105"/>
      <c r="G685" s="105"/>
      <c r="H685" s="105"/>
      <c r="I685" s="106"/>
      <c r="J685" s="106"/>
      <c r="K685" s="106"/>
      <c r="L685" s="106"/>
      <c r="M685" s="106"/>
      <c r="N685" s="105"/>
      <c r="O685" s="106"/>
      <c r="P685" s="195"/>
      <c r="Q685" s="105"/>
      <c r="R685" s="105"/>
      <c r="S685" s="105"/>
      <c r="T685" s="105"/>
    </row>
    <row r="686">
      <c r="A686" s="291"/>
      <c r="B686" s="289"/>
      <c r="C686" s="105"/>
      <c r="D686" s="105"/>
      <c r="E686" s="105"/>
      <c r="F686" s="105"/>
      <c r="G686" s="105"/>
      <c r="H686" s="105"/>
      <c r="I686" s="106"/>
      <c r="J686" s="106"/>
      <c r="K686" s="106"/>
      <c r="L686" s="106"/>
      <c r="M686" s="106"/>
      <c r="N686" s="105"/>
      <c r="O686" s="106"/>
      <c r="P686" s="195"/>
      <c r="Q686" s="105"/>
      <c r="R686" s="105"/>
      <c r="S686" s="105"/>
      <c r="T686" s="105"/>
    </row>
    <row r="687">
      <c r="A687" s="291"/>
      <c r="B687" s="289"/>
      <c r="C687" s="105"/>
      <c r="D687" s="105"/>
      <c r="E687" s="105"/>
      <c r="F687" s="105"/>
      <c r="G687" s="105"/>
      <c r="H687" s="105"/>
      <c r="I687" s="106"/>
      <c r="J687" s="106"/>
      <c r="K687" s="106"/>
      <c r="L687" s="106"/>
      <c r="M687" s="106"/>
      <c r="N687" s="105"/>
      <c r="O687" s="106"/>
      <c r="P687" s="195"/>
      <c r="Q687" s="105"/>
      <c r="R687" s="105"/>
      <c r="S687" s="105"/>
      <c r="T687" s="105"/>
    </row>
    <row r="688">
      <c r="A688" s="291"/>
      <c r="B688" s="289"/>
      <c r="C688" s="105"/>
      <c r="D688" s="105"/>
      <c r="E688" s="105"/>
      <c r="F688" s="105"/>
      <c r="G688" s="105"/>
      <c r="H688" s="105"/>
      <c r="I688" s="106"/>
      <c r="J688" s="106"/>
      <c r="K688" s="106"/>
      <c r="L688" s="106"/>
      <c r="M688" s="106"/>
      <c r="N688" s="105"/>
      <c r="O688" s="106"/>
      <c r="P688" s="195"/>
      <c r="Q688" s="105"/>
      <c r="R688" s="105"/>
      <c r="S688" s="105"/>
      <c r="T688" s="105"/>
    </row>
    <row r="689">
      <c r="A689" s="291"/>
      <c r="B689" s="289"/>
      <c r="C689" s="105"/>
      <c r="D689" s="105"/>
      <c r="E689" s="105"/>
      <c r="F689" s="105"/>
      <c r="G689" s="105"/>
      <c r="H689" s="105"/>
      <c r="I689" s="106"/>
      <c r="J689" s="106"/>
      <c r="K689" s="106"/>
      <c r="L689" s="106"/>
      <c r="M689" s="106"/>
      <c r="N689" s="105"/>
      <c r="O689" s="106"/>
      <c r="P689" s="195"/>
      <c r="Q689" s="105"/>
      <c r="R689" s="105"/>
      <c r="S689" s="105"/>
      <c r="T689" s="105"/>
    </row>
    <row r="690">
      <c r="A690" s="291"/>
      <c r="B690" s="289"/>
      <c r="C690" s="105"/>
      <c r="D690" s="105"/>
      <c r="E690" s="105"/>
      <c r="F690" s="105"/>
      <c r="G690" s="105"/>
      <c r="H690" s="105"/>
      <c r="I690" s="106"/>
      <c r="J690" s="106"/>
      <c r="K690" s="106"/>
      <c r="L690" s="106"/>
      <c r="M690" s="106"/>
      <c r="N690" s="105"/>
      <c r="O690" s="106"/>
      <c r="P690" s="195"/>
      <c r="Q690" s="105"/>
      <c r="R690" s="105"/>
      <c r="S690" s="105"/>
      <c r="T690" s="105"/>
    </row>
    <row r="691">
      <c r="A691" s="291"/>
      <c r="B691" s="289"/>
      <c r="C691" s="105"/>
      <c r="D691" s="105"/>
      <c r="E691" s="105"/>
      <c r="F691" s="105"/>
      <c r="G691" s="105"/>
      <c r="H691" s="105"/>
      <c r="I691" s="106"/>
      <c r="J691" s="106"/>
      <c r="K691" s="106"/>
      <c r="L691" s="106"/>
      <c r="M691" s="106"/>
      <c r="N691" s="105"/>
      <c r="O691" s="106"/>
      <c r="P691" s="195"/>
      <c r="Q691" s="105"/>
      <c r="R691" s="105"/>
      <c r="S691" s="105"/>
      <c r="T691" s="105"/>
    </row>
    <row r="692">
      <c r="A692" s="291"/>
      <c r="B692" s="289"/>
      <c r="C692" s="105"/>
      <c r="D692" s="105"/>
      <c r="E692" s="105"/>
      <c r="F692" s="105"/>
      <c r="G692" s="105"/>
      <c r="H692" s="105"/>
      <c r="I692" s="106"/>
      <c r="J692" s="106"/>
      <c r="K692" s="106"/>
      <c r="L692" s="106"/>
      <c r="M692" s="106"/>
      <c r="N692" s="105"/>
      <c r="O692" s="106"/>
      <c r="P692" s="195"/>
      <c r="Q692" s="105"/>
      <c r="R692" s="105"/>
      <c r="S692" s="105"/>
      <c r="T692" s="105"/>
    </row>
    <row r="693">
      <c r="A693" s="291"/>
      <c r="B693" s="289"/>
      <c r="C693" s="105"/>
      <c r="D693" s="105"/>
      <c r="E693" s="105"/>
      <c r="F693" s="105"/>
      <c r="G693" s="105"/>
      <c r="H693" s="105"/>
      <c r="I693" s="106"/>
      <c r="J693" s="106"/>
      <c r="K693" s="106"/>
      <c r="L693" s="106"/>
      <c r="M693" s="106"/>
      <c r="N693" s="105"/>
      <c r="O693" s="106"/>
      <c r="P693" s="195"/>
      <c r="Q693" s="105"/>
      <c r="R693" s="105"/>
      <c r="S693" s="105"/>
      <c r="T693" s="105"/>
    </row>
    <row r="694">
      <c r="A694" s="291"/>
      <c r="B694" s="289"/>
      <c r="C694" s="105"/>
      <c r="D694" s="105"/>
      <c r="E694" s="105"/>
      <c r="F694" s="105"/>
      <c r="G694" s="105"/>
      <c r="H694" s="105"/>
      <c r="I694" s="106"/>
      <c r="J694" s="106"/>
      <c r="K694" s="106"/>
      <c r="L694" s="106"/>
      <c r="M694" s="106"/>
      <c r="N694" s="105"/>
      <c r="O694" s="106"/>
      <c r="P694" s="195"/>
      <c r="Q694" s="105"/>
      <c r="R694" s="105"/>
      <c r="S694" s="105"/>
      <c r="T694" s="105"/>
    </row>
    <row r="695">
      <c r="A695" s="291"/>
      <c r="B695" s="289"/>
      <c r="C695" s="105"/>
      <c r="D695" s="105"/>
      <c r="E695" s="105"/>
      <c r="F695" s="105"/>
      <c r="G695" s="105"/>
      <c r="H695" s="105"/>
      <c r="I695" s="106"/>
      <c r="J695" s="106"/>
      <c r="K695" s="106"/>
      <c r="L695" s="106"/>
      <c r="M695" s="106"/>
      <c r="N695" s="105"/>
      <c r="O695" s="106"/>
      <c r="P695" s="195"/>
      <c r="Q695" s="105"/>
      <c r="R695" s="105"/>
      <c r="S695" s="105"/>
      <c r="T695" s="105"/>
    </row>
    <row r="696">
      <c r="A696" s="291"/>
      <c r="B696" s="289"/>
      <c r="C696" s="105"/>
      <c r="D696" s="105"/>
      <c r="E696" s="105"/>
      <c r="F696" s="105"/>
      <c r="G696" s="105"/>
      <c r="H696" s="105"/>
      <c r="I696" s="106"/>
      <c r="J696" s="106"/>
      <c r="K696" s="106"/>
      <c r="L696" s="106"/>
      <c r="M696" s="106"/>
      <c r="N696" s="105"/>
      <c r="O696" s="106"/>
      <c r="P696" s="195"/>
      <c r="Q696" s="105"/>
      <c r="R696" s="105"/>
      <c r="S696" s="105"/>
      <c r="T696" s="105"/>
    </row>
    <row r="697">
      <c r="A697" s="291"/>
      <c r="B697" s="289"/>
      <c r="C697" s="105"/>
      <c r="D697" s="105"/>
      <c r="E697" s="105"/>
      <c r="F697" s="105"/>
      <c r="G697" s="105"/>
      <c r="H697" s="105"/>
      <c r="I697" s="106"/>
      <c r="J697" s="106"/>
      <c r="K697" s="106"/>
      <c r="L697" s="106"/>
      <c r="M697" s="106"/>
      <c r="N697" s="105"/>
      <c r="O697" s="106"/>
      <c r="P697" s="195"/>
      <c r="Q697" s="105"/>
      <c r="R697" s="105"/>
      <c r="S697" s="105"/>
      <c r="T697" s="105"/>
    </row>
    <row r="698">
      <c r="A698" s="291"/>
      <c r="B698" s="289"/>
      <c r="C698" s="105"/>
      <c r="D698" s="105"/>
      <c r="E698" s="105"/>
      <c r="F698" s="105"/>
      <c r="G698" s="105"/>
      <c r="H698" s="105"/>
      <c r="I698" s="106"/>
      <c r="J698" s="106"/>
      <c r="K698" s="106"/>
      <c r="L698" s="106"/>
      <c r="M698" s="106"/>
      <c r="N698" s="105"/>
      <c r="O698" s="106"/>
      <c r="P698" s="195"/>
      <c r="Q698" s="105"/>
      <c r="R698" s="105"/>
      <c r="S698" s="105"/>
      <c r="T698" s="105"/>
    </row>
    <row r="699">
      <c r="A699" s="291"/>
      <c r="B699" s="289"/>
      <c r="C699" s="105"/>
      <c r="D699" s="105"/>
      <c r="E699" s="105"/>
      <c r="F699" s="105"/>
      <c r="G699" s="105"/>
      <c r="H699" s="105"/>
      <c r="I699" s="106"/>
      <c r="J699" s="106"/>
      <c r="K699" s="106"/>
      <c r="L699" s="106"/>
      <c r="M699" s="106"/>
      <c r="N699" s="105"/>
      <c r="O699" s="106"/>
      <c r="P699" s="195"/>
      <c r="Q699" s="105"/>
      <c r="R699" s="105"/>
      <c r="S699" s="105"/>
      <c r="T699" s="105"/>
    </row>
    <row r="700">
      <c r="A700" s="291"/>
      <c r="B700" s="289"/>
      <c r="C700" s="105"/>
      <c r="D700" s="105"/>
      <c r="E700" s="105"/>
      <c r="F700" s="105"/>
      <c r="G700" s="105"/>
      <c r="H700" s="105"/>
      <c r="I700" s="106"/>
      <c r="J700" s="106"/>
      <c r="K700" s="106"/>
      <c r="L700" s="106"/>
      <c r="M700" s="106"/>
      <c r="N700" s="105"/>
      <c r="O700" s="106"/>
      <c r="P700" s="195"/>
      <c r="Q700" s="105"/>
      <c r="R700" s="105"/>
      <c r="S700" s="105"/>
      <c r="T700" s="105"/>
    </row>
    <row r="701">
      <c r="A701" s="291"/>
      <c r="B701" s="289"/>
      <c r="C701" s="105"/>
      <c r="D701" s="105"/>
      <c r="E701" s="105"/>
      <c r="F701" s="105"/>
      <c r="G701" s="105"/>
      <c r="H701" s="105"/>
      <c r="I701" s="106"/>
      <c r="J701" s="106"/>
      <c r="K701" s="106"/>
      <c r="L701" s="106"/>
      <c r="M701" s="106"/>
      <c r="N701" s="105"/>
      <c r="O701" s="106"/>
      <c r="P701" s="195"/>
      <c r="Q701" s="105"/>
      <c r="R701" s="105"/>
      <c r="S701" s="105"/>
      <c r="T701" s="105"/>
    </row>
    <row r="702">
      <c r="A702" s="291"/>
      <c r="B702" s="289"/>
      <c r="C702" s="105"/>
      <c r="D702" s="105"/>
      <c r="E702" s="105"/>
      <c r="F702" s="105"/>
      <c r="G702" s="105"/>
      <c r="H702" s="105"/>
      <c r="I702" s="106"/>
      <c r="J702" s="106"/>
      <c r="K702" s="106"/>
      <c r="L702" s="106"/>
      <c r="M702" s="106"/>
      <c r="N702" s="105"/>
      <c r="O702" s="106"/>
      <c r="P702" s="195"/>
      <c r="Q702" s="105"/>
      <c r="R702" s="105"/>
      <c r="S702" s="105"/>
      <c r="T702" s="105"/>
    </row>
    <row r="703">
      <c r="A703" s="291"/>
      <c r="B703" s="289"/>
      <c r="C703" s="105"/>
      <c r="D703" s="105"/>
      <c r="E703" s="105"/>
      <c r="F703" s="105"/>
      <c r="G703" s="105"/>
      <c r="H703" s="105"/>
      <c r="I703" s="106"/>
      <c r="J703" s="106"/>
      <c r="K703" s="106"/>
      <c r="L703" s="106"/>
      <c r="M703" s="106"/>
      <c r="N703" s="105"/>
      <c r="O703" s="106"/>
      <c r="P703" s="195"/>
      <c r="Q703" s="105"/>
      <c r="R703" s="105"/>
      <c r="S703" s="105"/>
      <c r="T703" s="105"/>
    </row>
    <row r="704">
      <c r="A704" s="291"/>
      <c r="B704" s="289"/>
      <c r="C704" s="105"/>
      <c r="D704" s="105"/>
      <c r="E704" s="105"/>
      <c r="F704" s="105"/>
      <c r="G704" s="105"/>
      <c r="H704" s="105"/>
      <c r="I704" s="106"/>
      <c r="J704" s="106"/>
      <c r="K704" s="106"/>
      <c r="L704" s="106"/>
      <c r="M704" s="106"/>
      <c r="N704" s="105"/>
      <c r="O704" s="106"/>
      <c r="P704" s="195"/>
      <c r="Q704" s="105"/>
      <c r="R704" s="105"/>
      <c r="S704" s="105"/>
      <c r="T704" s="105"/>
    </row>
    <row r="705">
      <c r="A705" s="291"/>
      <c r="B705" s="289"/>
      <c r="C705" s="105"/>
      <c r="D705" s="105"/>
      <c r="E705" s="105"/>
      <c r="F705" s="105"/>
      <c r="G705" s="105"/>
      <c r="H705" s="105"/>
      <c r="I705" s="106"/>
      <c r="J705" s="106"/>
      <c r="K705" s="106"/>
      <c r="L705" s="106"/>
      <c r="M705" s="106"/>
      <c r="N705" s="105"/>
      <c r="O705" s="106"/>
      <c r="P705" s="195"/>
      <c r="Q705" s="105"/>
      <c r="R705" s="105"/>
      <c r="S705" s="105"/>
      <c r="T705" s="105"/>
    </row>
    <row r="706">
      <c r="A706" s="291"/>
      <c r="B706" s="289"/>
      <c r="C706" s="105"/>
      <c r="D706" s="105"/>
      <c r="E706" s="105"/>
      <c r="F706" s="105"/>
      <c r="G706" s="105"/>
      <c r="H706" s="105"/>
      <c r="I706" s="106"/>
      <c r="J706" s="106"/>
      <c r="K706" s="106"/>
      <c r="L706" s="106"/>
      <c r="M706" s="106"/>
      <c r="N706" s="105"/>
      <c r="O706" s="106"/>
      <c r="P706" s="195"/>
      <c r="Q706" s="105"/>
      <c r="R706" s="105"/>
      <c r="S706" s="105"/>
      <c r="T706" s="105"/>
    </row>
    <row r="707">
      <c r="A707" s="291"/>
      <c r="B707" s="289"/>
      <c r="C707" s="105"/>
      <c r="D707" s="105"/>
      <c r="E707" s="105"/>
      <c r="F707" s="105"/>
      <c r="G707" s="105"/>
      <c r="H707" s="105"/>
      <c r="I707" s="106"/>
      <c r="J707" s="106"/>
      <c r="K707" s="106"/>
      <c r="L707" s="106"/>
      <c r="M707" s="106"/>
      <c r="N707" s="105"/>
      <c r="O707" s="106"/>
      <c r="P707" s="195"/>
      <c r="Q707" s="105"/>
      <c r="R707" s="105"/>
      <c r="S707" s="105"/>
      <c r="T707" s="105"/>
    </row>
    <row r="708">
      <c r="A708" s="291"/>
      <c r="B708" s="289"/>
      <c r="C708" s="105"/>
      <c r="D708" s="105"/>
      <c r="E708" s="105"/>
      <c r="F708" s="105"/>
      <c r="G708" s="105"/>
      <c r="H708" s="105"/>
      <c r="I708" s="106"/>
      <c r="J708" s="106"/>
      <c r="K708" s="106"/>
      <c r="L708" s="106"/>
      <c r="M708" s="106"/>
      <c r="N708" s="105"/>
      <c r="O708" s="106"/>
      <c r="P708" s="195"/>
      <c r="Q708" s="105"/>
      <c r="R708" s="105"/>
      <c r="S708" s="105"/>
      <c r="T708" s="105"/>
    </row>
    <row r="709">
      <c r="A709" s="291"/>
      <c r="B709" s="289"/>
      <c r="C709" s="105"/>
      <c r="D709" s="105"/>
      <c r="E709" s="105"/>
      <c r="F709" s="105"/>
      <c r="G709" s="105"/>
      <c r="H709" s="105"/>
      <c r="I709" s="106"/>
      <c r="J709" s="106"/>
      <c r="K709" s="106"/>
      <c r="L709" s="106"/>
      <c r="M709" s="106"/>
      <c r="N709" s="105"/>
      <c r="O709" s="106"/>
      <c r="P709" s="195"/>
      <c r="Q709" s="105"/>
      <c r="R709" s="105"/>
      <c r="S709" s="105"/>
      <c r="T709" s="105"/>
    </row>
    <row r="710">
      <c r="A710" s="291"/>
      <c r="B710" s="289"/>
      <c r="C710" s="105"/>
      <c r="D710" s="105"/>
      <c r="E710" s="105"/>
      <c r="F710" s="105"/>
      <c r="G710" s="105"/>
      <c r="H710" s="105"/>
      <c r="I710" s="106"/>
      <c r="J710" s="106"/>
      <c r="K710" s="106"/>
      <c r="L710" s="106"/>
      <c r="M710" s="106"/>
      <c r="N710" s="105"/>
      <c r="O710" s="106"/>
      <c r="P710" s="195"/>
      <c r="Q710" s="105"/>
      <c r="R710" s="105"/>
      <c r="S710" s="105"/>
      <c r="T710" s="105"/>
    </row>
    <row r="711">
      <c r="A711" s="291"/>
      <c r="B711" s="289"/>
      <c r="C711" s="105"/>
      <c r="D711" s="105"/>
      <c r="E711" s="105"/>
      <c r="F711" s="105"/>
      <c r="G711" s="105"/>
      <c r="H711" s="105"/>
      <c r="I711" s="106"/>
      <c r="J711" s="106"/>
      <c r="K711" s="106"/>
      <c r="L711" s="106"/>
      <c r="M711" s="106"/>
      <c r="N711" s="105"/>
      <c r="O711" s="106"/>
      <c r="P711" s="195"/>
      <c r="Q711" s="105"/>
      <c r="R711" s="105"/>
      <c r="S711" s="105"/>
      <c r="T711" s="105"/>
    </row>
    <row r="712">
      <c r="A712" s="291"/>
      <c r="B712" s="289"/>
      <c r="C712" s="105"/>
      <c r="D712" s="105"/>
      <c r="E712" s="105"/>
      <c r="F712" s="105"/>
      <c r="G712" s="105"/>
      <c r="H712" s="105"/>
      <c r="I712" s="106"/>
      <c r="J712" s="106"/>
      <c r="K712" s="106"/>
      <c r="L712" s="106"/>
      <c r="M712" s="106"/>
      <c r="N712" s="105"/>
      <c r="O712" s="106"/>
      <c r="P712" s="195"/>
      <c r="Q712" s="105"/>
      <c r="R712" s="105"/>
      <c r="S712" s="105"/>
      <c r="T712" s="105"/>
    </row>
    <row r="713">
      <c r="A713" s="291"/>
      <c r="B713" s="289"/>
      <c r="C713" s="105"/>
      <c r="D713" s="105"/>
      <c r="E713" s="105"/>
      <c r="F713" s="105"/>
      <c r="G713" s="105"/>
      <c r="H713" s="105"/>
      <c r="I713" s="106"/>
      <c r="J713" s="106"/>
      <c r="K713" s="106"/>
      <c r="L713" s="106"/>
      <c r="M713" s="106"/>
      <c r="N713" s="105"/>
      <c r="O713" s="106"/>
      <c r="P713" s="195"/>
      <c r="Q713" s="105"/>
      <c r="R713" s="105"/>
      <c r="S713" s="105"/>
      <c r="T713" s="105"/>
    </row>
    <row r="714">
      <c r="A714" s="291"/>
      <c r="B714" s="289"/>
      <c r="C714" s="105"/>
      <c r="D714" s="105"/>
      <c r="E714" s="105"/>
      <c r="F714" s="105"/>
      <c r="G714" s="105"/>
      <c r="H714" s="105"/>
      <c r="I714" s="106"/>
      <c r="J714" s="106"/>
      <c r="K714" s="106"/>
      <c r="L714" s="106"/>
      <c r="M714" s="106"/>
      <c r="N714" s="105"/>
      <c r="O714" s="106"/>
      <c r="P714" s="195"/>
      <c r="Q714" s="105"/>
      <c r="R714" s="105"/>
      <c r="S714" s="105"/>
      <c r="T714" s="105"/>
    </row>
    <row r="715">
      <c r="A715" s="291"/>
      <c r="B715" s="289"/>
      <c r="C715" s="105"/>
      <c r="D715" s="105"/>
      <c r="E715" s="105"/>
      <c r="F715" s="105"/>
      <c r="G715" s="105"/>
      <c r="H715" s="105"/>
      <c r="I715" s="106"/>
      <c r="J715" s="106"/>
      <c r="K715" s="106"/>
      <c r="L715" s="106"/>
      <c r="M715" s="106"/>
      <c r="N715" s="105"/>
      <c r="O715" s="106"/>
      <c r="P715" s="195"/>
      <c r="Q715" s="105"/>
      <c r="R715" s="105"/>
      <c r="S715" s="105"/>
      <c r="T715" s="105"/>
    </row>
    <row r="716">
      <c r="A716" s="291"/>
      <c r="B716" s="289"/>
      <c r="C716" s="105"/>
      <c r="D716" s="105"/>
      <c r="E716" s="105"/>
      <c r="F716" s="105"/>
      <c r="G716" s="105"/>
      <c r="H716" s="105"/>
      <c r="I716" s="106"/>
      <c r="J716" s="106"/>
      <c r="K716" s="106"/>
      <c r="L716" s="106"/>
      <c r="M716" s="106"/>
      <c r="N716" s="105"/>
      <c r="O716" s="106"/>
      <c r="P716" s="195"/>
      <c r="Q716" s="105"/>
      <c r="R716" s="105"/>
      <c r="S716" s="105"/>
      <c r="T716" s="105"/>
    </row>
    <row r="717">
      <c r="A717" s="291"/>
      <c r="B717" s="289"/>
      <c r="C717" s="105"/>
      <c r="D717" s="105"/>
      <c r="E717" s="105"/>
      <c r="F717" s="105"/>
      <c r="G717" s="105"/>
      <c r="H717" s="105"/>
      <c r="I717" s="106"/>
      <c r="J717" s="106"/>
      <c r="K717" s="106"/>
      <c r="L717" s="106"/>
      <c r="M717" s="106"/>
      <c r="N717" s="105"/>
      <c r="O717" s="106"/>
      <c r="P717" s="195"/>
      <c r="Q717" s="105"/>
      <c r="R717" s="105"/>
      <c r="S717" s="105"/>
      <c r="T717" s="105"/>
    </row>
    <row r="718">
      <c r="A718" s="291"/>
      <c r="B718" s="289"/>
      <c r="C718" s="105"/>
      <c r="D718" s="105"/>
      <c r="E718" s="105"/>
      <c r="F718" s="105"/>
      <c r="G718" s="105"/>
      <c r="H718" s="105"/>
      <c r="I718" s="106"/>
      <c r="J718" s="106"/>
      <c r="K718" s="106"/>
      <c r="L718" s="106"/>
      <c r="M718" s="106"/>
      <c r="N718" s="105"/>
      <c r="O718" s="106"/>
      <c r="P718" s="195"/>
      <c r="Q718" s="105"/>
      <c r="R718" s="105"/>
      <c r="S718" s="105"/>
      <c r="T718" s="105"/>
    </row>
    <row r="719">
      <c r="A719" s="291"/>
      <c r="B719" s="289"/>
      <c r="C719" s="105"/>
      <c r="D719" s="105"/>
      <c r="E719" s="105"/>
      <c r="F719" s="105"/>
      <c r="G719" s="105"/>
      <c r="H719" s="105"/>
      <c r="I719" s="106"/>
      <c r="J719" s="106"/>
      <c r="K719" s="106"/>
      <c r="L719" s="106"/>
      <c r="M719" s="106"/>
      <c r="N719" s="105"/>
      <c r="O719" s="106"/>
      <c r="P719" s="195"/>
      <c r="Q719" s="105"/>
      <c r="R719" s="105"/>
      <c r="S719" s="105"/>
      <c r="T719" s="105"/>
    </row>
    <row r="720">
      <c r="A720" s="291"/>
      <c r="B720" s="289"/>
      <c r="C720" s="105"/>
      <c r="D720" s="105"/>
      <c r="E720" s="105"/>
      <c r="F720" s="105"/>
      <c r="G720" s="105"/>
      <c r="H720" s="105"/>
      <c r="I720" s="106"/>
      <c r="J720" s="106"/>
      <c r="K720" s="106"/>
      <c r="L720" s="106"/>
      <c r="M720" s="106"/>
      <c r="N720" s="105"/>
      <c r="O720" s="106"/>
      <c r="P720" s="195"/>
      <c r="Q720" s="105"/>
      <c r="R720" s="105"/>
      <c r="S720" s="105"/>
      <c r="T720" s="105"/>
    </row>
    <row r="721">
      <c r="A721" s="291"/>
      <c r="B721" s="289"/>
      <c r="C721" s="105"/>
      <c r="D721" s="105"/>
      <c r="E721" s="105"/>
      <c r="F721" s="105"/>
      <c r="G721" s="105"/>
      <c r="H721" s="105"/>
      <c r="I721" s="106"/>
      <c r="J721" s="106"/>
      <c r="K721" s="106"/>
      <c r="L721" s="106"/>
      <c r="M721" s="106"/>
      <c r="N721" s="105"/>
      <c r="O721" s="106"/>
      <c r="P721" s="195"/>
      <c r="Q721" s="105"/>
      <c r="R721" s="105"/>
      <c r="S721" s="105"/>
      <c r="T721" s="105"/>
    </row>
    <row r="722">
      <c r="A722" s="291"/>
      <c r="B722" s="289"/>
      <c r="C722" s="105"/>
      <c r="D722" s="105"/>
      <c r="E722" s="105"/>
      <c r="F722" s="105"/>
      <c r="G722" s="105"/>
      <c r="H722" s="105"/>
      <c r="I722" s="106"/>
      <c r="J722" s="106"/>
      <c r="K722" s="106"/>
      <c r="L722" s="106"/>
      <c r="M722" s="106"/>
      <c r="N722" s="105"/>
      <c r="O722" s="106"/>
      <c r="P722" s="195"/>
      <c r="Q722" s="105"/>
      <c r="R722" s="105"/>
      <c r="S722" s="105"/>
      <c r="T722" s="105"/>
    </row>
    <row r="723">
      <c r="A723" s="291"/>
      <c r="B723" s="289"/>
      <c r="C723" s="105"/>
      <c r="D723" s="105"/>
      <c r="E723" s="105"/>
      <c r="F723" s="105"/>
      <c r="G723" s="105"/>
      <c r="H723" s="105"/>
      <c r="I723" s="106"/>
      <c r="J723" s="106"/>
      <c r="K723" s="106"/>
      <c r="L723" s="106"/>
      <c r="M723" s="106"/>
      <c r="N723" s="105"/>
      <c r="O723" s="106"/>
      <c r="P723" s="195"/>
      <c r="Q723" s="105"/>
      <c r="R723" s="105"/>
      <c r="S723" s="105"/>
      <c r="T723" s="105"/>
    </row>
    <row r="724">
      <c r="A724" s="291"/>
      <c r="B724" s="289"/>
      <c r="C724" s="105"/>
      <c r="D724" s="105"/>
      <c r="E724" s="105"/>
      <c r="F724" s="105"/>
      <c r="G724" s="105"/>
      <c r="H724" s="105"/>
      <c r="I724" s="106"/>
      <c r="J724" s="106"/>
      <c r="K724" s="106"/>
      <c r="L724" s="106"/>
      <c r="M724" s="106"/>
      <c r="N724" s="105"/>
      <c r="O724" s="106"/>
      <c r="P724" s="195"/>
      <c r="Q724" s="105"/>
      <c r="R724" s="105"/>
      <c r="S724" s="105"/>
      <c r="T724" s="105"/>
    </row>
    <row r="725">
      <c r="A725" s="291"/>
      <c r="B725" s="289"/>
      <c r="C725" s="105"/>
      <c r="D725" s="105"/>
      <c r="E725" s="105"/>
      <c r="F725" s="105"/>
      <c r="G725" s="105"/>
      <c r="H725" s="105"/>
      <c r="I725" s="106"/>
      <c r="J725" s="106"/>
      <c r="K725" s="106"/>
      <c r="L725" s="106"/>
      <c r="M725" s="106"/>
      <c r="N725" s="105"/>
      <c r="O725" s="106"/>
      <c r="P725" s="195"/>
      <c r="Q725" s="105"/>
      <c r="R725" s="105"/>
      <c r="S725" s="105"/>
      <c r="T725" s="105"/>
    </row>
    <row r="726">
      <c r="A726" s="291"/>
      <c r="B726" s="289"/>
      <c r="C726" s="105"/>
      <c r="D726" s="105"/>
      <c r="E726" s="105"/>
      <c r="F726" s="105"/>
      <c r="G726" s="105"/>
      <c r="H726" s="105"/>
      <c r="I726" s="106"/>
      <c r="J726" s="106"/>
      <c r="K726" s="106"/>
      <c r="L726" s="106"/>
      <c r="M726" s="106"/>
      <c r="N726" s="105"/>
      <c r="O726" s="106"/>
      <c r="P726" s="195"/>
      <c r="Q726" s="105"/>
      <c r="R726" s="105"/>
      <c r="S726" s="105"/>
      <c r="T726" s="105"/>
    </row>
    <row r="727">
      <c r="A727" s="291"/>
      <c r="B727" s="289"/>
      <c r="C727" s="105"/>
      <c r="D727" s="105"/>
      <c r="E727" s="105"/>
      <c r="F727" s="105"/>
      <c r="G727" s="105"/>
      <c r="H727" s="105"/>
      <c r="I727" s="106"/>
      <c r="J727" s="106"/>
      <c r="K727" s="106"/>
      <c r="L727" s="106"/>
      <c r="M727" s="106"/>
      <c r="N727" s="105"/>
      <c r="O727" s="106"/>
      <c r="P727" s="195"/>
      <c r="Q727" s="105"/>
      <c r="R727" s="105"/>
      <c r="S727" s="105"/>
      <c r="T727" s="105"/>
    </row>
    <row r="728">
      <c r="A728" s="291"/>
      <c r="B728" s="289"/>
      <c r="C728" s="105"/>
      <c r="D728" s="105"/>
      <c r="E728" s="105"/>
      <c r="F728" s="105"/>
      <c r="G728" s="105"/>
      <c r="H728" s="105"/>
      <c r="I728" s="106"/>
      <c r="J728" s="106"/>
      <c r="K728" s="106"/>
      <c r="L728" s="106"/>
      <c r="M728" s="106"/>
      <c r="N728" s="105"/>
      <c r="O728" s="106"/>
      <c r="P728" s="195"/>
      <c r="Q728" s="105"/>
      <c r="R728" s="105"/>
      <c r="S728" s="105"/>
      <c r="T728" s="105"/>
    </row>
    <row r="729">
      <c r="A729" s="291"/>
      <c r="B729" s="289"/>
      <c r="C729" s="105"/>
      <c r="D729" s="105"/>
      <c r="E729" s="105"/>
      <c r="F729" s="105"/>
      <c r="G729" s="105"/>
      <c r="H729" s="105"/>
      <c r="I729" s="106"/>
      <c r="J729" s="106"/>
      <c r="K729" s="106"/>
      <c r="L729" s="106"/>
      <c r="M729" s="106"/>
      <c r="N729" s="105"/>
      <c r="O729" s="106"/>
      <c r="P729" s="195"/>
      <c r="Q729" s="105"/>
      <c r="R729" s="105"/>
      <c r="S729" s="105"/>
      <c r="T729" s="105"/>
    </row>
    <row r="730">
      <c r="A730" s="291"/>
      <c r="B730" s="289"/>
      <c r="C730" s="105"/>
      <c r="D730" s="105"/>
      <c r="E730" s="105"/>
      <c r="F730" s="105"/>
      <c r="G730" s="105"/>
      <c r="H730" s="105"/>
      <c r="I730" s="106"/>
      <c r="J730" s="106"/>
      <c r="K730" s="106"/>
      <c r="L730" s="106"/>
      <c r="M730" s="106"/>
      <c r="N730" s="105"/>
      <c r="O730" s="106"/>
      <c r="P730" s="195"/>
      <c r="Q730" s="105"/>
      <c r="R730" s="105"/>
      <c r="S730" s="105"/>
      <c r="T730" s="105"/>
    </row>
    <row r="731">
      <c r="A731" s="291"/>
      <c r="B731" s="289"/>
      <c r="C731" s="105"/>
      <c r="D731" s="105"/>
      <c r="E731" s="105"/>
      <c r="F731" s="105"/>
      <c r="G731" s="105"/>
      <c r="H731" s="105"/>
      <c r="I731" s="106"/>
      <c r="J731" s="106"/>
      <c r="K731" s="106"/>
      <c r="L731" s="106"/>
      <c r="M731" s="106"/>
      <c r="N731" s="105"/>
      <c r="O731" s="106"/>
      <c r="P731" s="195"/>
      <c r="Q731" s="105"/>
      <c r="R731" s="105"/>
      <c r="S731" s="105"/>
      <c r="T731" s="105"/>
    </row>
    <row r="732">
      <c r="A732" s="291"/>
      <c r="B732" s="289"/>
      <c r="C732" s="105"/>
      <c r="D732" s="105"/>
      <c r="E732" s="105"/>
      <c r="F732" s="105"/>
      <c r="G732" s="105"/>
      <c r="H732" s="105"/>
      <c r="I732" s="106"/>
      <c r="J732" s="106"/>
      <c r="K732" s="106"/>
      <c r="L732" s="106"/>
      <c r="M732" s="106"/>
      <c r="N732" s="105"/>
      <c r="O732" s="106"/>
      <c r="P732" s="195"/>
      <c r="Q732" s="105"/>
      <c r="R732" s="105"/>
      <c r="S732" s="105"/>
      <c r="T732" s="105"/>
    </row>
    <row r="733">
      <c r="A733" s="291"/>
      <c r="B733" s="289"/>
      <c r="C733" s="105"/>
      <c r="D733" s="105"/>
      <c r="E733" s="105"/>
      <c r="F733" s="105"/>
      <c r="G733" s="105"/>
      <c r="H733" s="105"/>
      <c r="I733" s="106"/>
      <c r="J733" s="106"/>
      <c r="K733" s="106"/>
      <c r="L733" s="106"/>
      <c r="M733" s="106"/>
      <c r="N733" s="105"/>
      <c r="O733" s="106"/>
      <c r="P733" s="195"/>
      <c r="Q733" s="105"/>
      <c r="R733" s="105"/>
      <c r="S733" s="105"/>
      <c r="T733" s="105"/>
    </row>
    <row r="734">
      <c r="A734" s="291"/>
      <c r="B734" s="289"/>
      <c r="C734" s="105"/>
      <c r="D734" s="105"/>
      <c r="E734" s="105"/>
      <c r="F734" s="105"/>
      <c r="G734" s="105"/>
      <c r="H734" s="105"/>
      <c r="I734" s="106"/>
      <c r="J734" s="106"/>
      <c r="K734" s="106"/>
      <c r="L734" s="106"/>
      <c r="M734" s="106"/>
      <c r="N734" s="105"/>
      <c r="O734" s="106"/>
      <c r="P734" s="195"/>
      <c r="Q734" s="105"/>
      <c r="R734" s="105"/>
      <c r="S734" s="105"/>
      <c r="T734" s="105"/>
    </row>
    <row r="735">
      <c r="A735" s="291"/>
      <c r="B735" s="289"/>
      <c r="C735" s="105"/>
      <c r="D735" s="105"/>
      <c r="E735" s="105"/>
      <c r="F735" s="105"/>
      <c r="G735" s="105"/>
      <c r="H735" s="105"/>
      <c r="I735" s="106"/>
      <c r="J735" s="106"/>
      <c r="K735" s="106"/>
      <c r="L735" s="106"/>
      <c r="M735" s="106"/>
      <c r="N735" s="105"/>
      <c r="O735" s="106"/>
      <c r="P735" s="195"/>
      <c r="Q735" s="105"/>
      <c r="R735" s="105"/>
      <c r="S735" s="105"/>
      <c r="T735" s="105"/>
    </row>
    <row r="736">
      <c r="A736" s="291"/>
      <c r="B736" s="289"/>
      <c r="C736" s="105"/>
      <c r="D736" s="105"/>
      <c r="E736" s="105"/>
      <c r="F736" s="105"/>
      <c r="G736" s="105"/>
      <c r="H736" s="105"/>
      <c r="I736" s="106"/>
      <c r="J736" s="106"/>
      <c r="K736" s="106"/>
      <c r="L736" s="106"/>
      <c r="M736" s="106"/>
      <c r="N736" s="105"/>
      <c r="O736" s="106"/>
      <c r="P736" s="195"/>
      <c r="Q736" s="105"/>
      <c r="R736" s="105"/>
      <c r="S736" s="105"/>
      <c r="T736" s="105"/>
    </row>
    <row r="737">
      <c r="A737" s="291"/>
      <c r="B737" s="289"/>
      <c r="C737" s="105"/>
      <c r="D737" s="105"/>
      <c r="E737" s="105"/>
      <c r="F737" s="105"/>
      <c r="G737" s="105"/>
      <c r="H737" s="105"/>
      <c r="I737" s="106"/>
      <c r="J737" s="106"/>
      <c r="K737" s="106"/>
      <c r="L737" s="106"/>
      <c r="M737" s="106"/>
      <c r="N737" s="105"/>
      <c r="O737" s="106"/>
      <c r="P737" s="195"/>
      <c r="Q737" s="105"/>
      <c r="R737" s="105"/>
      <c r="S737" s="105"/>
      <c r="T737" s="105"/>
    </row>
    <row r="738">
      <c r="A738" s="291"/>
      <c r="B738" s="289"/>
      <c r="C738" s="105"/>
      <c r="D738" s="105"/>
      <c r="E738" s="105"/>
      <c r="F738" s="105"/>
      <c r="G738" s="105"/>
      <c r="H738" s="105"/>
      <c r="I738" s="106"/>
      <c r="J738" s="106"/>
      <c r="K738" s="106"/>
      <c r="L738" s="106"/>
      <c r="M738" s="106"/>
      <c r="N738" s="105"/>
      <c r="O738" s="106"/>
      <c r="P738" s="195"/>
      <c r="Q738" s="105"/>
      <c r="R738" s="105"/>
      <c r="S738" s="105"/>
      <c r="T738" s="105"/>
    </row>
    <row r="739">
      <c r="A739" s="291"/>
      <c r="B739" s="289"/>
      <c r="C739" s="105"/>
      <c r="D739" s="105"/>
      <c r="E739" s="105"/>
      <c r="F739" s="105"/>
      <c r="G739" s="105"/>
      <c r="H739" s="105"/>
      <c r="I739" s="106"/>
      <c r="J739" s="106"/>
      <c r="K739" s="106"/>
      <c r="L739" s="106"/>
      <c r="M739" s="106"/>
      <c r="N739" s="105"/>
      <c r="O739" s="106"/>
      <c r="P739" s="195"/>
      <c r="Q739" s="105"/>
      <c r="R739" s="105"/>
      <c r="S739" s="105"/>
      <c r="T739" s="105"/>
    </row>
    <row r="740">
      <c r="A740" s="291"/>
      <c r="B740" s="289"/>
      <c r="C740" s="105"/>
      <c r="D740" s="105"/>
      <c r="E740" s="105"/>
      <c r="F740" s="105"/>
      <c r="G740" s="105"/>
      <c r="H740" s="105"/>
      <c r="I740" s="106"/>
      <c r="J740" s="106"/>
      <c r="K740" s="106"/>
      <c r="L740" s="106"/>
      <c r="M740" s="106"/>
      <c r="N740" s="105"/>
      <c r="O740" s="106"/>
      <c r="P740" s="195"/>
      <c r="Q740" s="105"/>
      <c r="R740" s="105"/>
      <c r="S740" s="105"/>
      <c r="T740" s="105"/>
    </row>
    <row r="741">
      <c r="A741" s="291"/>
      <c r="B741" s="289"/>
      <c r="C741" s="105"/>
      <c r="D741" s="105"/>
      <c r="E741" s="105"/>
      <c r="F741" s="105"/>
      <c r="G741" s="105"/>
      <c r="H741" s="105"/>
      <c r="I741" s="106"/>
      <c r="J741" s="106"/>
      <c r="K741" s="106"/>
      <c r="L741" s="106"/>
      <c r="M741" s="106"/>
      <c r="N741" s="105"/>
      <c r="O741" s="106"/>
      <c r="P741" s="195"/>
      <c r="Q741" s="105"/>
      <c r="R741" s="105"/>
      <c r="S741" s="105"/>
      <c r="T741" s="105"/>
    </row>
    <row r="742">
      <c r="A742" s="291"/>
      <c r="B742" s="289"/>
      <c r="C742" s="105"/>
      <c r="D742" s="105"/>
      <c r="E742" s="105"/>
      <c r="F742" s="105"/>
      <c r="G742" s="105"/>
      <c r="H742" s="105"/>
      <c r="I742" s="106"/>
      <c r="J742" s="106"/>
      <c r="K742" s="106"/>
      <c r="L742" s="106"/>
      <c r="M742" s="106"/>
      <c r="N742" s="105"/>
      <c r="O742" s="106"/>
      <c r="P742" s="195"/>
      <c r="Q742" s="105"/>
      <c r="R742" s="105"/>
      <c r="S742" s="105"/>
      <c r="T742" s="105"/>
    </row>
    <row r="743">
      <c r="A743" s="291"/>
      <c r="B743" s="289"/>
      <c r="C743" s="105"/>
      <c r="D743" s="105"/>
      <c r="E743" s="105"/>
      <c r="F743" s="105"/>
      <c r="G743" s="105"/>
      <c r="H743" s="105"/>
      <c r="I743" s="106"/>
      <c r="J743" s="106"/>
      <c r="K743" s="106"/>
      <c r="L743" s="106"/>
      <c r="M743" s="106"/>
      <c r="N743" s="105"/>
      <c r="O743" s="106"/>
      <c r="P743" s="195"/>
      <c r="Q743" s="105"/>
      <c r="R743" s="105"/>
      <c r="S743" s="105"/>
      <c r="T743" s="105"/>
    </row>
    <row r="744">
      <c r="A744" s="291"/>
      <c r="B744" s="289"/>
      <c r="C744" s="105"/>
      <c r="D744" s="105"/>
      <c r="E744" s="105"/>
      <c r="F744" s="105"/>
      <c r="G744" s="105"/>
      <c r="H744" s="105"/>
      <c r="I744" s="106"/>
      <c r="J744" s="106"/>
      <c r="K744" s="106"/>
      <c r="L744" s="106"/>
      <c r="M744" s="106"/>
      <c r="N744" s="105"/>
      <c r="O744" s="106"/>
      <c r="P744" s="195"/>
      <c r="Q744" s="105"/>
      <c r="R744" s="105"/>
      <c r="S744" s="105"/>
      <c r="T744" s="105"/>
    </row>
    <row r="745">
      <c r="A745" s="291"/>
      <c r="B745" s="289"/>
      <c r="C745" s="105"/>
      <c r="D745" s="105"/>
      <c r="E745" s="105"/>
      <c r="F745" s="105"/>
      <c r="G745" s="105"/>
      <c r="H745" s="105"/>
      <c r="I745" s="106"/>
      <c r="J745" s="106"/>
      <c r="K745" s="106"/>
      <c r="L745" s="106"/>
      <c r="M745" s="106"/>
      <c r="N745" s="105"/>
      <c r="O745" s="106"/>
      <c r="P745" s="195"/>
      <c r="Q745" s="105"/>
      <c r="R745" s="105"/>
      <c r="S745" s="105"/>
      <c r="T745" s="105"/>
    </row>
    <row r="746">
      <c r="A746" s="291"/>
      <c r="B746" s="289"/>
      <c r="C746" s="105"/>
      <c r="D746" s="105"/>
      <c r="E746" s="105"/>
      <c r="F746" s="105"/>
      <c r="G746" s="105"/>
      <c r="H746" s="105"/>
      <c r="I746" s="106"/>
      <c r="J746" s="106"/>
      <c r="K746" s="106"/>
      <c r="L746" s="106"/>
      <c r="M746" s="106"/>
      <c r="N746" s="105"/>
      <c r="O746" s="106"/>
      <c r="P746" s="195"/>
      <c r="Q746" s="105"/>
      <c r="R746" s="105"/>
      <c r="S746" s="105"/>
      <c r="T746" s="105"/>
    </row>
    <row r="747">
      <c r="A747" s="291"/>
      <c r="B747" s="289"/>
      <c r="C747" s="105"/>
      <c r="D747" s="105"/>
      <c r="E747" s="105"/>
      <c r="F747" s="105"/>
      <c r="G747" s="105"/>
      <c r="H747" s="105"/>
      <c r="I747" s="106"/>
      <c r="J747" s="106"/>
      <c r="K747" s="106"/>
      <c r="L747" s="106"/>
      <c r="M747" s="106"/>
      <c r="N747" s="105"/>
      <c r="O747" s="106"/>
      <c r="P747" s="195"/>
      <c r="Q747" s="105"/>
      <c r="R747" s="105"/>
      <c r="S747" s="105"/>
      <c r="T747" s="105"/>
    </row>
    <row r="748">
      <c r="A748" s="291"/>
      <c r="B748" s="289"/>
      <c r="C748" s="105"/>
      <c r="D748" s="105"/>
      <c r="E748" s="105"/>
      <c r="F748" s="105"/>
      <c r="G748" s="105"/>
      <c r="H748" s="105"/>
      <c r="I748" s="106"/>
      <c r="J748" s="106"/>
      <c r="K748" s="106"/>
      <c r="L748" s="106"/>
      <c r="M748" s="106"/>
      <c r="N748" s="105"/>
      <c r="O748" s="106"/>
      <c r="P748" s="195"/>
      <c r="Q748" s="105"/>
      <c r="R748" s="105"/>
      <c r="S748" s="105"/>
      <c r="T748" s="105"/>
    </row>
    <row r="749">
      <c r="A749" s="291"/>
      <c r="B749" s="289"/>
      <c r="C749" s="105"/>
      <c r="D749" s="105"/>
      <c r="E749" s="105"/>
      <c r="F749" s="105"/>
      <c r="G749" s="105"/>
      <c r="H749" s="105"/>
      <c r="I749" s="106"/>
      <c r="J749" s="106"/>
      <c r="K749" s="106"/>
      <c r="L749" s="106"/>
      <c r="M749" s="106"/>
      <c r="N749" s="105"/>
      <c r="O749" s="106"/>
      <c r="P749" s="195"/>
      <c r="Q749" s="105"/>
      <c r="R749" s="105"/>
      <c r="S749" s="105"/>
      <c r="T749" s="105"/>
    </row>
    <row r="750">
      <c r="A750" s="291"/>
      <c r="B750" s="289"/>
      <c r="C750" s="105"/>
      <c r="D750" s="105"/>
      <c r="E750" s="105"/>
      <c r="F750" s="105"/>
      <c r="G750" s="105"/>
      <c r="H750" s="105"/>
      <c r="I750" s="106"/>
      <c r="J750" s="106"/>
      <c r="K750" s="106"/>
      <c r="L750" s="106"/>
      <c r="M750" s="106"/>
      <c r="N750" s="105"/>
      <c r="O750" s="106"/>
      <c r="P750" s="195"/>
      <c r="Q750" s="105"/>
      <c r="R750" s="105"/>
      <c r="S750" s="105"/>
      <c r="T750" s="105"/>
    </row>
    <row r="751">
      <c r="A751" s="291"/>
      <c r="B751" s="289"/>
      <c r="C751" s="105"/>
      <c r="D751" s="105"/>
      <c r="E751" s="105"/>
      <c r="F751" s="105"/>
      <c r="G751" s="105"/>
      <c r="H751" s="105"/>
      <c r="I751" s="106"/>
      <c r="J751" s="106"/>
      <c r="K751" s="106"/>
      <c r="L751" s="106"/>
      <c r="M751" s="106"/>
      <c r="N751" s="105"/>
      <c r="O751" s="106"/>
      <c r="P751" s="195"/>
      <c r="Q751" s="105"/>
      <c r="R751" s="105"/>
      <c r="S751" s="105"/>
      <c r="T751" s="105"/>
    </row>
    <row r="752">
      <c r="A752" s="291"/>
      <c r="B752" s="289"/>
      <c r="C752" s="105"/>
      <c r="D752" s="105"/>
      <c r="E752" s="105"/>
      <c r="F752" s="105"/>
      <c r="G752" s="105"/>
      <c r="H752" s="105"/>
      <c r="I752" s="106"/>
      <c r="J752" s="106"/>
      <c r="K752" s="106"/>
      <c r="L752" s="106"/>
      <c r="M752" s="106"/>
      <c r="N752" s="105"/>
      <c r="O752" s="106"/>
      <c r="P752" s="195"/>
      <c r="Q752" s="105"/>
      <c r="R752" s="105"/>
      <c r="S752" s="105"/>
      <c r="T752" s="105"/>
    </row>
    <row r="753">
      <c r="A753" s="291"/>
      <c r="B753" s="289"/>
      <c r="C753" s="105"/>
      <c r="D753" s="105"/>
      <c r="E753" s="105"/>
      <c r="F753" s="105"/>
      <c r="G753" s="105"/>
      <c r="H753" s="105"/>
      <c r="I753" s="106"/>
      <c r="J753" s="106"/>
      <c r="K753" s="106"/>
      <c r="L753" s="106"/>
      <c r="M753" s="106"/>
      <c r="N753" s="105"/>
      <c r="O753" s="106"/>
      <c r="P753" s="195"/>
      <c r="Q753" s="105"/>
      <c r="R753" s="105"/>
      <c r="S753" s="105"/>
      <c r="T753" s="105"/>
    </row>
    <row r="754">
      <c r="A754" s="292"/>
      <c r="B754" s="103"/>
      <c r="C754" s="105"/>
      <c r="D754" s="105"/>
      <c r="E754" s="105"/>
      <c r="F754" s="105"/>
      <c r="G754" s="105"/>
      <c r="H754" s="105"/>
      <c r="I754" s="106"/>
      <c r="J754" s="106"/>
      <c r="K754" s="106"/>
      <c r="L754" s="106"/>
      <c r="M754" s="106"/>
      <c r="N754" s="105"/>
      <c r="O754" s="106"/>
      <c r="P754" s="105"/>
      <c r="Q754" s="105"/>
      <c r="R754" s="105"/>
      <c r="S754" s="105"/>
      <c r="T754" s="105"/>
    </row>
    <row r="755">
      <c r="A755" s="292"/>
      <c r="B755" s="103"/>
      <c r="C755" s="105"/>
      <c r="D755" s="105"/>
      <c r="E755" s="105"/>
      <c r="F755" s="105"/>
      <c r="G755" s="105"/>
      <c r="H755" s="105"/>
      <c r="I755" s="106"/>
      <c r="J755" s="106"/>
      <c r="K755" s="106"/>
      <c r="L755" s="106"/>
      <c r="M755" s="106"/>
      <c r="N755" s="105"/>
      <c r="O755" s="106"/>
      <c r="P755" s="105"/>
      <c r="Q755" s="105"/>
      <c r="R755" s="105"/>
      <c r="S755" s="105"/>
      <c r="T755" s="105"/>
    </row>
    <row r="756">
      <c r="A756" s="292"/>
      <c r="B756" s="103"/>
      <c r="C756" s="105"/>
      <c r="D756" s="105"/>
      <c r="E756" s="105"/>
      <c r="F756" s="105"/>
      <c r="G756" s="105"/>
      <c r="H756" s="105"/>
      <c r="I756" s="106"/>
      <c r="J756" s="106"/>
      <c r="K756" s="106"/>
      <c r="L756" s="106"/>
      <c r="M756" s="106"/>
      <c r="N756" s="105"/>
      <c r="O756" s="106"/>
      <c r="P756" s="105"/>
      <c r="Q756" s="105"/>
      <c r="R756" s="105"/>
      <c r="S756" s="105"/>
      <c r="T756" s="105"/>
    </row>
    <row r="757">
      <c r="A757" s="292"/>
      <c r="B757" s="103"/>
      <c r="C757" s="105"/>
      <c r="D757" s="105"/>
      <c r="E757" s="105"/>
      <c r="F757" s="105"/>
      <c r="G757" s="105"/>
      <c r="H757" s="105"/>
      <c r="I757" s="106"/>
      <c r="J757" s="106"/>
      <c r="K757" s="106"/>
      <c r="L757" s="106"/>
      <c r="M757" s="106"/>
      <c r="N757" s="105"/>
      <c r="O757" s="106"/>
      <c r="P757" s="105"/>
      <c r="Q757" s="105"/>
      <c r="R757" s="105"/>
      <c r="S757" s="105"/>
      <c r="T757" s="105"/>
    </row>
    <row r="758">
      <c r="A758" s="292"/>
      <c r="B758" s="103"/>
      <c r="C758" s="105"/>
      <c r="D758" s="105"/>
      <c r="E758" s="105"/>
      <c r="F758" s="105"/>
      <c r="G758" s="105"/>
      <c r="H758" s="105"/>
      <c r="I758" s="106"/>
      <c r="J758" s="106"/>
      <c r="K758" s="106"/>
      <c r="L758" s="106"/>
      <c r="M758" s="106"/>
      <c r="N758" s="105"/>
      <c r="O758" s="106"/>
      <c r="P758" s="105"/>
      <c r="Q758" s="105"/>
      <c r="R758" s="105"/>
      <c r="S758" s="105"/>
      <c r="T758" s="105"/>
    </row>
    <row r="759">
      <c r="A759" s="292"/>
      <c r="B759" s="103"/>
      <c r="C759" s="105"/>
      <c r="D759" s="105"/>
      <c r="E759" s="105"/>
      <c r="F759" s="105"/>
      <c r="G759" s="105"/>
      <c r="H759" s="105"/>
      <c r="I759" s="106"/>
      <c r="J759" s="106"/>
      <c r="K759" s="106"/>
      <c r="L759" s="106"/>
      <c r="M759" s="106"/>
      <c r="N759" s="105"/>
      <c r="O759" s="106"/>
      <c r="P759" s="105"/>
      <c r="Q759" s="105"/>
      <c r="R759" s="105"/>
      <c r="S759" s="105"/>
      <c r="T759" s="105"/>
    </row>
    <row r="760">
      <c r="A760" s="292"/>
      <c r="B760" s="103"/>
      <c r="C760" s="105"/>
      <c r="D760" s="105"/>
      <c r="E760" s="105"/>
      <c r="F760" s="105"/>
      <c r="G760" s="105"/>
      <c r="H760" s="105"/>
      <c r="I760" s="106"/>
      <c r="J760" s="106"/>
      <c r="K760" s="106"/>
      <c r="L760" s="106"/>
      <c r="M760" s="106"/>
      <c r="N760" s="105"/>
      <c r="O760" s="106"/>
      <c r="P760" s="105"/>
      <c r="Q760" s="105"/>
      <c r="R760" s="105"/>
      <c r="S760" s="105"/>
      <c r="T760" s="105"/>
    </row>
    <row r="761">
      <c r="A761" s="292"/>
      <c r="B761" s="103"/>
      <c r="C761" s="105"/>
      <c r="D761" s="105"/>
      <c r="E761" s="105"/>
      <c r="F761" s="105"/>
      <c r="G761" s="105"/>
      <c r="H761" s="105"/>
      <c r="I761" s="106"/>
      <c r="J761" s="106"/>
      <c r="K761" s="106"/>
      <c r="L761" s="106"/>
      <c r="M761" s="106"/>
      <c r="N761" s="105"/>
      <c r="O761" s="106"/>
      <c r="P761" s="105"/>
      <c r="Q761" s="105"/>
      <c r="R761" s="105"/>
      <c r="S761" s="105"/>
      <c r="T761" s="105"/>
    </row>
    <row r="762">
      <c r="A762" s="292"/>
      <c r="B762" s="103"/>
      <c r="C762" s="105"/>
      <c r="D762" s="105"/>
      <c r="E762" s="105"/>
      <c r="F762" s="105"/>
      <c r="G762" s="105"/>
      <c r="H762" s="105"/>
      <c r="I762" s="106"/>
      <c r="J762" s="106"/>
      <c r="K762" s="106"/>
      <c r="L762" s="106"/>
      <c r="M762" s="106"/>
      <c r="N762" s="105"/>
      <c r="O762" s="106"/>
      <c r="P762" s="105"/>
      <c r="Q762" s="105"/>
      <c r="R762" s="105"/>
      <c r="S762" s="105"/>
      <c r="T762" s="105"/>
    </row>
    <row r="763">
      <c r="A763" s="292"/>
      <c r="B763" s="103"/>
      <c r="C763" s="105"/>
      <c r="D763" s="105"/>
      <c r="E763" s="105"/>
      <c r="F763" s="105"/>
      <c r="G763" s="105"/>
      <c r="H763" s="105"/>
      <c r="I763" s="106"/>
      <c r="J763" s="106"/>
      <c r="K763" s="106"/>
      <c r="L763" s="106"/>
      <c r="M763" s="106"/>
      <c r="N763" s="105"/>
      <c r="O763" s="106"/>
      <c r="P763" s="105"/>
      <c r="Q763" s="105"/>
      <c r="R763" s="105"/>
      <c r="S763" s="105"/>
      <c r="T763" s="105"/>
    </row>
    <row r="764">
      <c r="A764" s="292"/>
      <c r="B764" s="103"/>
      <c r="C764" s="105"/>
      <c r="D764" s="105"/>
      <c r="E764" s="105"/>
      <c r="F764" s="105"/>
      <c r="G764" s="105"/>
      <c r="H764" s="105"/>
      <c r="I764" s="106"/>
      <c r="J764" s="106"/>
      <c r="K764" s="106"/>
      <c r="L764" s="106"/>
      <c r="M764" s="106"/>
      <c r="N764" s="105"/>
      <c r="O764" s="106"/>
      <c r="P764" s="105"/>
      <c r="Q764" s="105"/>
      <c r="R764" s="105"/>
      <c r="S764" s="105"/>
      <c r="T764" s="105"/>
    </row>
    <row r="765">
      <c r="A765" s="292"/>
      <c r="B765" s="103"/>
      <c r="C765" s="105"/>
      <c r="D765" s="105"/>
      <c r="E765" s="105"/>
      <c r="F765" s="105"/>
      <c r="G765" s="105"/>
      <c r="H765" s="105"/>
      <c r="I765" s="106"/>
      <c r="J765" s="106"/>
      <c r="K765" s="106"/>
      <c r="L765" s="106"/>
      <c r="M765" s="106"/>
      <c r="N765" s="105"/>
      <c r="O765" s="106"/>
      <c r="P765" s="105"/>
      <c r="Q765" s="105"/>
      <c r="R765" s="105"/>
      <c r="S765" s="105"/>
      <c r="T765" s="105"/>
    </row>
    <row r="766">
      <c r="A766" s="292"/>
      <c r="B766" s="103"/>
      <c r="C766" s="105"/>
      <c r="D766" s="105"/>
      <c r="E766" s="105"/>
      <c r="F766" s="105"/>
      <c r="G766" s="105"/>
      <c r="H766" s="105"/>
      <c r="I766" s="106"/>
      <c r="J766" s="106"/>
      <c r="K766" s="106"/>
      <c r="L766" s="106"/>
      <c r="M766" s="106"/>
      <c r="N766" s="105"/>
      <c r="O766" s="106"/>
      <c r="P766" s="105"/>
      <c r="Q766" s="105"/>
      <c r="R766" s="105"/>
      <c r="S766" s="105"/>
      <c r="T766" s="105"/>
    </row>
    <row r="767">
      <c r="A767" s="292"/>
      <c r="B767" s="103"/>
      <c r="C767" s="105"/>
      <c r="D767" s="105"/>
      <c r="E767" s="105"/>
      <c r="F767" s="105"/>
      <c r="G767" s="105"/>
      <c r="H767" s="105"/>
      <c r="I767" s="106"/>
      <c r="J767" s="106"/>
      <c r="K767" s="106"/>
      <c r="L767" s="106"/>
      <c r="M767" s="106"/>
      <c r="N767" s="105"/>
      <c r="O767" s="106"/>
      <c r="P767" s="105"/>
      <c r="Q767" s="105"/>
      <c r="R767" s="105"/>
      <c r="S767" s="105"/>
      <c r="T767" s="105"/>
    </row>
    <row r="768">
      <c r="A768" s="292"/>
      <c r="B768" s="103"/>
      <c r="C768" s="105"/>
      <c r="D768" s="105"/>
      <c r="E768" s="105"/>
      <c r="F768" s="105"/>
      <c r="G768" s="105"/>
      <c r="H768" s="105"/>
      <c r="I768" s="106"/>
      <c r="J768" s="106"/>
      <c r="K768" s="106"/>
      <c r="L768" s="106"/>
      <c r="M768" s="106"/>
      <c r="N768" s="105"/>
      <c r="O768" s="106"/>
      <c r="P768" s="105"/>
      <c r="Q768" s="105"/>
      <c r="R768" s="105"/>
      <c r="S768" s="105"/>
      <c r="T768" s="105"/>
    </row>
    <row r="769">
      <c r="A769" s="292"/>
      <c r="B769" s="103"/>
      <c r="C769" s="105"/>
      <c r="D769" s="105"/>
      <c r="E769" s="105"/>
      <c r="F769" s="105"/>
      <c r="G769" s="105"/>
      <c r="H769" s="105"/>
      <c r="I769" s="106"/>
      <c r="J769" s="106"/>
      <c r="K769" s="106"/>
      <c r="L769" s="106"/>
      <c r="M769" s="106"/>
      <c r="N769" s="105"/>
      <c r="O769" s="106"/>
      <c r="P769" s="105"/>
      <c r="Q769" s="105"/>
      <c r="R769" s="105"/>
      <c r="S769" s="105"/>
      <c r="T769" s="105"/>
    </row>
    <row r="770">
      <c r="A770" s="292"/>
      <c r="B770" s="103"/>
      <c r="C770" s="105"/>
      <c r="D770" s="105"/>
      <c r="E770" s="105"/>
      <c r="F770" s="105"/>
      <c r="G770" s="105"/>
      <c r="H770" s="105"/>
      <c r="I770" s="106"/>
      <c r="J770" s="106"/>
      <c r="K770" s="106"/>
      <c r="L770" s="106"/>
      <c r="M770" s="106"/>
      <c r="N770" s="105"/>
      <c r="O770" s="106"/>
      <c r="P770" s="105"/>
      <c r="Q770" s="105"/>
      <c r="R770" s="105"/>
      <c r="S770" s="105"/>
      <c r="T770" s="105"/>
    </row>
    <row r="771">
      <c r="A771" s="292"/>
      <c r="B771" s="103"/>
      <c r="C771" s="105"/>
      <c r="D771" s="105"/>
      <c r="E771" s="105"/>
      <c r="F771" s="105"/>
      <c r="G771" s="105"/>
      <c r="H771" s="105"/>
      <c r="I771" s="106"/>
      <c r="J771" s="106"/>
      <c r="K771" s="106"/>
      <c r="L771" s="106"/>
      <c r="M771" s="106"/>
      <c r="N771" s="105"/>
      <c r="O771" s="106"/>
      <c r="P771" s="105"/>
      <c r="Q771" s="105"/>
      <c r="R771" s="105"/>
      <c r="S771" s="105"/>
      <c r="T771" s="105"/>
    </row>
    <row r="772">
      <c r="A772" s="292"/>
      <c r="B772" s="103"/>
      <c r="C772" s="105"/>
      <c r="D772" s="105"/>
      <c r="E772" s="105"/>
      <c r="F772" s="105"/>
      <c r="G772" s="105"/>
      <c r="H772" s="105"/>
      <c r="I772" s="106"/>
      <c r="J772" s="106"/>
      <c r="K772" s="106"/>
      <c r="L772" s="106"/>
      <c r="M772" s="106"/>
      <c r="N772" s="105"/>
      <c r="O772" s="106"/>
      <c r="P772" s="105"/>
      <c r="Q772" s="105"/>
      <c r="R772" s="105"/>
      <c r="S772" s="105"/>
      <c r="T772" s="105"/>
    </row>
    <row r="773">
      <c r="A773" s="292"/>
      <c r="B773" s="103"/>
      <c r="C773" s="105"/>
      <c r="D773" s="105"/>
      <c r="E773" s="105"/>
      <c r="F773" s="105"/>
      <c r="G773" s="105"/>
      <c r="H773" s="105"/>
      <c r="I773" s="106"/>
      <c r="J773" s="106"/>
      <c r="K773" s="106"/>
      <c r="L773" s="106"/>
      <c r="M773" s="106"/>
      <c r="N773" s="105"/>
      <c r="O773" s="106"/>
      <c r="P773" s="105"/>
      <c r="Q773" s="105"/>
      <c r="R773" s="105"/>
      <c r="S773" s="105"/>
      <c r="T773" s="105"/>
    </row>
    <row r="774">
      <c r="A774" s="292"/>
      <c r="B774" s="103"/>
      <c r="C774" s="105"/>
      <c r="D774" s="105"/>
      <c r="E774" s="105"/>
      <c r="F774" s="105"/>
      <c r="G774" s="105"/>
      <c r="H774" s="105"/>
      <c r="I774" s="106"/>
      <c r="J774" s="106"/>
      <c r="K774" s="106"/>
      <c r="L774" s="106"/>
      <c r="M774" s="106"/>
      <c r="N774" s="105"/>
      <c r="O774" s="106"/>
      <c r="P774" s="105"/>
      <c r="Q774" s="105"/>
      <c r="R774" s="105"/>
      <c r="S774" s="105"/>
      <c r="T774" s="105"/>
    </row>
    <row r="775">
      <c r="A775" s="292"/>
      <c r="B775" s="103"/>
      <c r="C775" s="105"/>
      <c r="D775" s="105"/>
      <c r="E775" s="105"/>
      <c r="F775" s="105"/>
      <c r="G775" s="105"/>
      <c r="H775" s="105"/>
      <c r="I775" s="106"/>
      <c r="J775" s="106"/>
      <c r="K775" s="106"/>
      <c r="L775" s="106"/>
      <c r="M775" s="106"/>
      <c r="N775" s="105"/>
      <c r="O775" s="106"/>
      <c r="P775" s="105"/>
      <c r="Q775" s="105"/>
      <c r="R775" s="105"/>
      <c r="S775" s="105"/>
      <c r="T775" s="105"/>
    </row>
    <row r="776">
      <c r="A776" s="292"/>
      <c r="B776" s="103"/>
      <c r="C776" s="105"/>
      <c r="D776" s="105"/>
      <c r="E776" s="105"/>
      <c r="F776" s="105"/>
      <c r="G776" s="105"/>
      <c r="H776" s="105"/>
      <c r="I776" s="106"/>
      <c r="J776" s="106"/>
      <c r="K776" s="106"/>
      <c r="L776" s="106"/>
      <c r="M776" s="106"/>
      <c r="N776" s="105"/>
      <c r="O776" s="106"/>
      <c r="P776" s="105"/>
      <c r="Q776" s="105"/>
      <c r="R776" s="105"/>
      <c r="S776" s="105"/>
      <c r="T776" s="105"/>
    </row>
    <row r="777">
      <c r="A777" s="292"/>
      <c r="B777" s="103"/>
      <c r="C777" s="105"/>
      <c r="D777" s="105"/>
      <c r="E777" s="105"/>
      <c r="F777" s="105"/>
      <c r="G777" s="105"/>
      <c r="H777" s="105"/>
      <c r="I777" s="106"/>
      <c r="J777" s="106"/>
      <c r="K777" s="106"/>
      <c r="L777" s="106"/>
      <c r="M777" s="106"/>
      <c r="N777" s="105"/>
      <c r="O777" s="106"/>
      <c r="P777" s="105"/>
      <c r="Q777" s="105"/>
      <c r="R777" s="105"/>
      <c r="S777" s="105"/>
      <c r="T777" s="105"/>
    </row>
    <row r="778">
      <c r="A778" s="292"/>
      <c r="B778" s="103"/>
      <c r="C778" s="105"/>
      <c r="D778" s="105"/>
      <c r="E778" s="105"/>
      <c r="F778" s="105"/>
      <c r="G778" s="105"/>
      <c r="H778" s="105"/>
      <c r="I778" s="106"/>
      <c r="J778" s="106"/>
      <c r="K778" s="106"/>
      <c r="L778" s="106"/>
      <c r="M778" s="106"/>
      <c r="N778" s="105"/>
      <c r="O778" s="106"/>
      <c r="P778" s="105"/>
      <c r="Q778" s="105"/>
      <c r="R778" s="105"/>
      <c r="S778" s="105"/>
      <c r="T778" s="105"/>
    </row>
    <row r="779">
      <c r="A779" s="292"/>
      <c r="B779" s="103"/>
      <c r="C779" s="105"/>
      <c r="D779" s="105"/>
      <c r="E779" s="105"/>
      <c r="F779" s="105"/>
      <c r="G779" s="105"/>
      <c r="H779" s="105"/>
      <c r="I779" s="106"/>
      <c r="J779" s="106"/>
      <c r="K779" s="106"/>
      <c r="L779" s="106"/>
      <c r="M779" s="106"/>
      <c r="N779" s="105"/>
      <c r="O779" s="106"/>
      <c r="P779" s="105"/>
      <c r="Q779" s="105"/>
      <c r="R779" s="105"/>
      <c r="S779" s="105"/>
      <c r="T779" s="105"/>
    </row>
    <row r="780">
      <c r="A780" s="292"/>
      <c r="B780" s="103"/>
      <c r="C780" s="105"/>
      <c r="D780" s="105"/>
      <c r="E780" s="105"/>
      <c r="F780" s="105"/>
      <c r="G780" s="105"/>
      <c r="H780" s="105"/>
      <c r="I780" s="106"/>
      <c r="J780" s="106"/>
      <c r="K780" s="106"/>
      <c r="L780" s="106"/>
      <c r="M780" s="106"/>
      <c r="N780" s="105"/>
      <c r="O780" s="106"/>
      <c r="P780" s="105"/>
      <c r="Q780" s="105"/>
      <c r="R780" s="105"/>
      <c r="S780" s="105"/>
      <c r="T780" s="105"/>
    </row>
    <row r="781">
      <c r="A781" s="292"/>
      <c r="B781" s="103"/>
      <c r="C781" s="105"/>
      <c r="D781" s="105"/>
      <c r="E781" s="105"/>
      <c r="F781" s="105"/>
      <c r="G781" s="105"/>
      <c r="H781" s="105"/>
      <c r="I781" s="106"/>
      <c r="J781" s="106"/>
      <c r="K781" s="106"/>
      <c r="L781" s="106"/>
      <c r="M781" s="106"/>
      <c r="N781" s="105"/>
      <c r="O781" s="106"/>
      <c r="P781" s="105"/>
      <c r="Q781" s="105"/>
      <c r="R781" s="105"/>
      <c r="S781" s="105"/>
      <c r="T781" s="105"/>
    </row>
    <row r="782">
      <c r="A782" s="292"/>
      <c r="B782" s="103"/>
      <c r="C782" s="105"/>
      <c r="D782" s="105"/>
      <c r="E782" s="105"/>
      <c r="F782" s="105"/>
      <c r="G782" s="105"/>
      <c r="H782" s="105"/>
      <c r="I782" s="106"/>
      <c r="J782" s="106"/>
      <c r="K782" s="106"/>
      <c r="L782" s="106"/>
      <c r="M782" s="106"/>
      <c r="N782" s="105"/>
      <c r="O782" s="106"/>
      <c r="P782" s="105"/>
      <c r="Q782" s="105"/>
      <c r="R782" s="105"/>
      <c r="S782" s="105"/>
      <c r="T782" s="105"/>
    </row>
    <row r="783">
      <c r="A783" s="292"/>
      <c r="B783" s="103"/>
      <c r="C783" s="105"/>
      <c r="D783" s="105"/>
      <c r="E783" s="105"/>
      <c r="F783" s="105"/>
      <c r="G783" s="105"/>
      <c r="H783" s="105"/>
      <c r="I783" s="106"/>
      <c r="J783" s="106"/>
      <c r="K783" s="106"/>
      <c r="L783" s="106"/>
      <c r="M783" s="106"/>
      <c r="N783" s="105"/>
      <c r="O783" s="106"/>
      <c r="P783" s="105"/>
      <c r="Q783" s="105"/>
      <c r="R783" s="105"/>
      <c r="S783" s="105"/>
      <c r="T783" s="105"/>
    </row>
    <row r="784">
      <c r="A784" s="292"/>
      <c r="B784" s="103"/>
      <c r="C784" s="105"/>
      <c r="D784" s="105"/>
      <c r="E784" s="105"/>
      <c r="F784" s="105"/>
      <c r="G784" s="105"/>
      <c r="H784" s="105"/>
      <c r="I784" s="106"/>
      <c r="J784" s="106"/>
      <c r="K784" s="106"/>
      <c r="L784" s="106"/>
      <c r="M784" s="106"/>
      <c r="N784" s="105"/>
      <c r="O784" s="106"/>
      <c r="P784" s="105"/>
      <c r="Q784" s="105"/>
      <c r="R784" s="105"/>
      <c r="S784" s="105"/>
      <c r="T784" s="105"/>
    </row>
    <row r="785">
      <c r="A785" s="292"/>
      <c r="B785" s="103"/>
      <c r="C785" s="105"/>
      <c r="D785" s="105"/>
      <c r="E785" s="105"/>
      <c r="F785" s="105"/>
      <c r="G785" s="105"/>
      <c r="H785" s="105"/>
      <c r="I785" s="106"/>
      <c r="J785" s="106"/>
      <c r="K785" s="106"/>
      <c r="L785" s="106"/>
      <c r="M785" s="106"/>
      <c r="N785" s="105"/>
      <c r="O785" s="106"/>
      <c r="P785" s="105"/>
      <c r="Q785" s="105"/>
      <c r="R785" s="105"/>
      <c r="S785" s="105"/>
      <c r="T785" s="105"/>
    </row>
    <row r="786">
      <c r="A786" s="292"/>
      <c r="B786" s="103"/>
      <c r="C786" s="105"/>
      <c r="D786" s="105"/>
      <c r="E786" s="105"/>
      <c r="F786" s="105"/>
      <c r="G786" s="105"/>
      <c r="H786" s="105"/>
      <c r="I786" s="106"/>
      <c r="J786" s="106"/>
      <c r="K786" s="106"/>
      <c r="L786" s="106"/>
      <c r="M786" s="106"/>
      <c r="N786" s="105"/>
      <c r="O786" s="106"/>
      <c r="P786" s="105"/>
      <c r="Q786" s="105"/>
      <c r="R786" s="105"/>
      <c r="S786" s="105"/>
      <c r="T786" s="105"/>
    </row>
    <row r="787">
      <c r="A787" s="292"/>
      <c r="B787" s="103"/>
      <c r="C787" s="105"/>
      <c r="D787" s="105"/>
      <c r="E787" s="105"/>
      <c r="F787" s="105"/>
      <c r="G787" s="105"/>
      <c r="H787" s="105"/>
      <c r="I787" s="106"/>
      <c r="J787" s="106"/>
      <c r="K787" s="106"/>
      <c r="L787" s="106"/>
      <c r="M787" s="106"/>
      <c r="N787" s="105"/>
      <c r="O787" s="106"/>
      <c r="P787" s="105"/>
      <c r="Q787" s="105"/>
      <c r="R787" s="105"/>
      <c r="S787" s="105"/>
      <c r="T787" s="105"/>
    </row>
    <row r="788">
      <c r="A788" s="292"/>
      <c r="B788" s="103"/>
      <c r="C788" s="105"/>
      <c r="D788" s="105"/>
      <c r="E788" s="105"/>
      <c r="F788" s="105"/>
      <c r="G788" s="105"/>
      <c r="H788" s="105"/>
      <c r="I788" s="106"/>
      <c r="J788" s="106"/>
      <c r="K788" s="106"/>
      <c r="L788" s="106"/>
      <c r="M788" s="106"/>
      <c r="N788" s="105"/>
      <c r="O788" s="106"/>
      <c r="P788" s="105"/>
      <c r="Q788" s="105"/>
      <c r="R788" s="105"/>
      <c r="S788" s="105"/>
      <c r="T788" s="105"/>
    </row>
    <row r="789">
      <c r="A789" s="292"/>
      <c r="B789" s="103"/>
      <c r="C789" s="105"/>
      <c r="D789" s="105"/>
      <c r="E789" s="105"/>
      <c r="F789" s="105"/>
      <c r="G789" s="105"/>
      <c r="H789" s="105"/>
      <c r="I789" s="106"/>
      <c r="J789" s="106"/>
      <c r="K789" s="106"/>
      <c r="L789" s="106"/>
      <c r="M789" s="106"/>
      <c r="N789" s="105"/>
      <c r="O789" s="106"/>
      <c r="P789" s="105"/>
      <c r="Q789" s="105"/>
      <c r="R789" s="105"/>
      <c r="S789" s="105"/>
      <c r="T789" s="105"/>
    </row>
    <row r="790">
      <c r="A790" s="292"/>
      <c r="B790" s="103"/>
      <c r="C790" s="105"/>
      <c r="D790" s="105"/>
      <c r="E790" s="105"/>
      <c r="F790" s="105"/>
      <c r="G790" s="105"/>
      <c r="H790" s="105"/>
      <c r="I790" s="106"/>
      <c r="J790" s="106"/>
      <c r="K790" s="106"/>
      <c r="L790" s="106"/>
      <c r="M790" s="106"/>
      <c r="N790" s="105"/>
      <c r="O790" s="106"/>
      <c r="P790" s="105"/>
      <c r="Q790" s="105"/>
      <c r="R790" s="105"/>
      <c r="S790" s="105"/>
      <c r="T790" s="105"/>
    </row>
    <row r="791">
      <c r="A791" s="292"/>
      <c r="B791" s="103"/>
      <c r="C791" s="105"/>
      <c r="D791" s="105"/>
      <c r="E791" s="105"/>
      <c r="F791" s="105"/>
      <c r="G791" s="105"/>
      <c r="H791" s="105"/>
      <c r="I791" s="106"/>
      <c r="J791" s="106"/>
      <c r="K791" s="106"/>
      <c r="L791" s="106"/>
      <c r="M791" s="106"/>
      <c r="N791" s="105"/>
      <c r="O791" s="106"/>
      <c r="P791" s="105"/>
      <c r="Q791" s="105"/>
      <c r="R791" s="105"/>
      <c r="S791" s="105"/>
      <c r="T791" s="105"/>
    </row>
    <row r="792">
      <c r="A792" s="292"/>
      <c r="B792" s="103"/>
      <c r="C792" s="105"/>
      <c r="D792" s="105"/>
      <c r="E792" s="105"/>
      <c r="F792" s="105"/>
      <c r="G792" s="105"/>
      <c r="H792" s="105"/>
      <c r="I792" s="106"/>
      <c r="J792" s="106"/>
      <c r="K792" s="106"/>
      <c r="L792" s="106"/>
      <c r="M792" s="106"/>
      <c r="N792" s="105"/>
      <c r="O792" s="106"/>
      <c r="P792" s="105"/>
      <c r="Q792" s="105"/>
      <c r="R792" s="105"/>
      <c r="S792" s="105"/>
      <c r="T792" s="105"/>
    </row>
    <row r="793">
      <c r="A793" s="292"/>
      <c r="B793" s="103"/>
      <c r="C793" s="105"/>
      <c r="D793" s="105"/>
      <c r="E793" s="105"/>
      <c r="F793" s="105"/>
      <c r="G793" s="105"/>
      <c r="H793" s="105"/>
      <c r="I793" s="106"/>
      <c r="J793" s="106"/>
      <c r="K793" s="106"/>
      <c r="L793" s="106"/>
      <c r="M793" s="106"/>
      <c r="N793" s="105"/>
      <c r="O793" s="106"/>
      <c r="P793" s="105"/>
      <c r="Q793" s="105"/>
      <c r="R793" s="105"/>
      <c r="S793" s="105"/>
      <c r="T793" s="105"/>
    </row>
    <row r="794">
      <c r="A794" s="292"/>
      <c r="B794" s="103"/>
      <c r="C794" s="105"/>
      <c r="D794" s="105"/>
      <c r="E794" s="105"/>
      <c r="F794" s="105"/>
      <c r="G794" s="105"/>
      <c r="H794" s="105"/>
      <c r="I794" s="106"/>
      <c r="J794" s="106"/>
      <c r="K794" s="106"/>
      <c r="L794" s="106"/>
      <c r="M794" s="106"/>
      <c r="N794" s="105"/>
      <c r="O794" s="106"/>
      <c r="P794" s="105"/>
      <c r="Q794" s="105"/>
      <c r="R794" s="105"/>
      <c r="S794" s="105"/>
      <c r="T794" s="105"/>
    </row>
    <row r="795">
      <c r="A795" s="292"/>
      <c r="B795" s="103"/>
      <c r="C795" s="105"/>
      <c r="D795" s="105"/>
      <c r="E795" s="105"/>
      <c r="F795" s="105"/>
      <c r="G795" s="105"/>
      <c r="H795" s="105"/>
      <c r="I795" s="106"/>
      <c r="J795" s="106"/>
      <c r="K795" s="106"/>
      <c r="L795" s="106"/>
      <c r="M795" s="106"/>
      <c r="N795" s="105"/>
      <c r="O795" s="106"/>
      <c r="P795" s="105"/>
      <c r="Q795" s="105"/>
      <c r="R795" s="105"/>
      <c r="S795" s="105"/>
      <c r="T795" s="105"/>
    </row>
    <row r="796">
      <c r="A796" s="292"/>
      <c r="B796" s="103"/>
      <c r="C796" s="105"/>
      <c r="D796" s="105"/>
      <c r="E796" s="105"/>
      <c r="F796" s="105"/>
      <c r="G796" s="105"/>
      <c r="H796" s="105"/>
      <c r="I796" s="106"/>
      <c r="J796" s="106"/>
      <c r="K796" s="106"/>
      <c r="L796" s="106"/>
      <c r="M796" s="106"/>
      <c r="N796" s="105"/>
      <c r="O796" s="106"/>
      <c r="P796" s="105"/>
      <c r="Q796" s="105"/>
      <c r="R796" s="105"/>
      <c r="S796" s="105"/>
      <c r="T796" s="105"/>
    </row>
    <row r="797">
      <c r="A797" s="292"/>
      <c r="B797" s="103"/>
      <c r="C797" s="105"/>
      <c r="D797" s="105"/>
      <c r="E797" s="105"/>
      <c r="F797" s="105"/>
      <c r="G797" s="105"/>
      <c r="H797" s="105"/>
      <c r="I797" s="106"/>
      <c r="J797" s="106"/>
      <c r="K797" s="106"/>
      <c r="L797" s="106"/>
      <c r="M797" s="106"/>
      <c r="N797" s="105"/>
      <c r="O797" s="106"/>
      <c r="P797" s="105"/>
      <c r="Q797" s="105"/>
      <c r="R797" s="105"/>
      <c r="S797" s="105"/>
      <c r="T797" s="105"/>
    </row>
    <row r="798">
      <c r="A798" s="292"/>
      <c r="B798" s="103"/>
      <c r="C798" s="105"/>
      <c r="D798" s="105"/>
      <c r="E798" s="105"/>
      <c r="F798" s="105"/>
      <c r="G798" s="105"/>
      <c r="H798" s="105"/>
      <c r="I798" s="106"/>
      <c r="J798" s="106"/>
      <c r="K798" s="106"/>
      <c r="L798" s="106"/>
      <c r="M798" s="106"/>
      <c r="N798" s="105"/>
      <c r="O798" s="106"/>
      <c r="P798" s="105"/>
      <c r="Q798" s="105"/>
      <c r="R798" s="105"/>
      <c r="S798" s="105"/>
      <c r="T798" s="105"/>
    </row>
    <row r="799">
      <c r="A799" s="292"/>
      <c r="B799" s="103"/>
      <c r="C799" s="105"/>
      <c r="D799" s="105"/>
      <c r="E799" s="105"/>
      <c r="F799" s="105"/>
      <c r="G799" s="105"/>
      <c r="H799" s="105"/>
      <c r="I799" s="106"/>
      <c r="J799" s="106"/>
      <c r="K799" s="106"/>
      <c r="L799" s="106"/>
      <c r="M799" s="106"/>
      <c r="N799" s="105"/>
      <c r="O799" s="106"/>
      <c r="P799" s="105"/>
      <c r="Q799" s="105"/>
      <c r="R799" s="105"/>
      <c r="S799" s="105"/>
      <c r="T799" s="105"/>
    </row>
    <row r="800">
      <c r="A800" s="292"/>
      <c r="B800" s="103"/>
      <c r="C800" s="105"/>
      <c r="D800" s="105"/>
      <c r="E800" s="105"/>
      <c r="F800" s="105"/>
      <c r="G800" s="105"/>
      <c r="H800" s="105"/>
      <c r="I800" s="106"/>
      <c r="J800" s="106"/>
      <c r="K800" s="106"/>
      <c r="L800" s="106"/>
      <c r="M800" s="106"/>
      <c r="N800" s="105"/>
      <c r="O800" s="106"/>
      <c r="P800" s="105"/>
      <c r="Q800" s="105"/>
      <c r="R800" s="105"/>
      <c r="S800" s="105"/>
      <c r="T800" s="105"/>
    </row>
    <row r="801">
      <c r="A801" s="292"/>
      <c r="B801" s="103"/>
      <c r="C801" s="105"/>
      <c r="D801" s="105"/>
      <c r="E801" s="105"/>
      <c r="F801" s="105"/>
      <c r="G801" s="105"/>
      <c r="H801" s="105"/>
      <c r="I801" s="106"/>
      <c r="J801" s="106"/>
      <c r="K801" s="106"/>
      <c r="L801" s="106"/>
      <c r="M801" s="106"/>
      <c r="N801" s="105"/>
      <c r="O801" s="106"/>
      <c r="P801" s="105"/>
      <c r="Q801" s="105"/>
      <c r="R801" s="105"/>
      <c r="S801" s="105"/>
      <c r="T801" s="105"/>
    </row>
    <row r="802">
      <c r="A802" s="292"/>
      <c r="B802" s="103"/>
      <c r="C802" s="105"/>
      <c r="D802" s="105"/>
      <c r="E802" s="105"/>
      <c r="F802" s="105"/>
      <c r="G802" s="105"/>
      <c r="H802" s="105"/>
      <c r="I802" s="106"/>
      <c r="J802" s="106"/>
      <c r="K802" s="106"/>
      <c r="L802" s="106"/>
      <c r="M802" s="106"/>
      <c r="N802" s="105"/>
      <c r="O802" s="106"/>
      <c r="P802" s="105"/>
      <c r="Q802" s="105"/>
      <c r="R802" s="105"/>
      <c r="S802" s="105"/>
      <c r="T802" s="105"/>
    </row>
    <row r="803">
      <c r="A803" s="292"/>
      <c r="B803" s="103"/>
      <c r="C803" s="105"/>
      <c r="D803" s="105"/>
      <c r="E803" s="105"/>
      <c r="F803" s="105"/>
      <c r="G803" s="105"/>
      <c r="H803" s="105"/>
      <c r="I803" s="106"/>
      <c r="J803" s="106"/>
      <c r="K803" s="106"/>
      <c r="L803" s="106"/>
      <c r="M803" s="106"/>
      <c r="N803" s="105"/>
      <c r="O803" s="106"/>
      <c r="P803" s="105"/>
      <c r="Q803" s="105"/>
      <c r="R803" s="105"/>
      <c r="S803" s="105"/>
      <c r="T803" s="105"/>
    </row>
    <row r="804">
      <c r="A804" s="292"/>
      <c r="B804" s="103"/>
      <c r="C804" s="105"/>
      <c r="D804" s="105"/>
      <c r="E804" s="105"/>
      <c r="F804" s="105"/>
      <c r="G804" s="105"/>
      <c r="H804" s="105"/>
      <c r="I804" s="106"/>
      <c r="J804" s="106"/>
      <c r="K804" s="106"/>
      <c r="L804" s="106"/>
      <c r="M804" s="106"/>
      <c r="N804" s="105"/>
      <c r="O804" s="106"/>
      <c r="P804" s="105"/>
      <c r="Q804" s="105"/>
      <c r="R804" s="105"/>
      <c r="S804" s="105"/>
      <c r="T804" s="105"/>
    </row>
    <row r="805">
      <c r="A805" s="292"/>
      <c r="B805" s="103"/>
      <c r="C805" s="105"/>
      <c r="D805" s="105"/>
      <c r="E805" s="105"/>
      <c r="F805" s="105"/>
      <c r="G805" s="105"/>
      <c r="H805" s="105"/>
      <c r="I805" s="106"/>
      <c r="J805" s="106"/>
      <c r="K805" s="106"/>
      <c r="L805" s="106"/>
      <c r="M805" s="106"/>
      <c r="N805" s="105"/>
      <c r="O805" s="106"/>
      <c r="P805" s="105"/>
      <c r="Q805" s="105"/>
      <c r="R805" s="105"/>
      <c r="S805" s="105"/>
      <c r="T805" s="105"/>
    </row>
    <row r="806">
      <c r="A806" s="292"/>
      <c r="B806" s="103"/>
      <c r="C806" s="105"/>
      <c r="D806" s="105"/>
      <c r="E806" s="105"/>
      <c r="F806" s="105"/>
      <c r="G806" s="105"/>
      <c r="H806" s="105"/>
      <c r="I806" s="106"/>
      <c r="J806" s="106"/>
      <c r="K806" s="106"/>
      <c r="L806" s="106"/>
      <c r="M806" s="106"/>
      <c r="N806" s="105"/>
      <c r="O806" s="106"/>
      <c r="P806" s="105"/>
      <c r="Q806" s="105"/>
      <c r="R806" s="105"/>
      <c r="S806" s="105"/>
      <c r="T806" s="105"/>
    </row>
    <row r="807">
      <c r="A807" s="292"/>
      <c r="B807" s="103"/>
      <c r="C807" s="105"/>
      <c r="D807" s="105"/>
      <c r="E807" s="105"/>
      <c r="F807" s="105"/>
      <c r="G807" s="105"/>
      <c r="H807" s="105"/>
      <c r="I807" s="106"/>
      <c r="J807" s="106"/>
      <c r="K807" s="106"/>
      <c r="L807" s="106"/>
      <c r="M807" s="106"/>
      <c r="N807" s="105"/>
      <c r="O807" s="106"/>
      <c r="P807" s="105"/>
      <c r="Q807" s="105"/>
      <c r="R807" s="105"/>
      <c r="S807" s="105"/>
      <c r="T807" s="105"/>
    </row>
    <row r="808">
      <c r="A808" s="292"/>
      <c r="B808" s="103"/>
      <c r="C808" s="105"/>
      <c r="D808" s="105"/>
      <c r="E808" s="105"/>
      <c r="F808" s="105"/>
      <c r="G808" s="105"/>
      <c r="H808" s="105"/>
      <c r="I808" s="106"/>
      <c r="J808" s="106"/>
      <c r="K808" s="106"/>
      <c r="L808" s="106"/>
      <c r="M808" s="106"/>
      <c r="N808" s="105"/>
      <c r="O808" s="106"/>
      <c r="P808" s="105"/>
      <c r="Q808" s="105"/>
      <c r="R808" s="105"/>
      <c r="S808" s="105"/>
      <c r="T808" s="105"/>
    </row>
    <row r="809">
      <c r="A809" s="292"/>
      <c r="B809" s="103"/>
      <c r="C809" s="105"/>
      <c r="D809" s="105"/>
      <c r="E809" s="105"/>
      <c r="F809" s="105"/>
      <c r="G809" s="105"/>
      <c r="H809" s="105"/>
      <c r="I809" s="106"/>
      <c r="J809" s="106"/>
      <c r="K809" s="106"/>
      <c r="L809" s="106"/>
      <c r="M809" s="106"/>
      <c r="N809" s="105"/>
      <c r="O809" s="106"/>
      <c r="P809" s="105"/>
      <c r="Q809" s="105"/>
      <c r="R809" s="105"/>
      <c r="S809" s="105"/>
      <c r="T809" s="105"/>
    </row>
    <row r="810">
      <c r="A810" s="292"/>
      <c r="B810" s="103"/>
      <c r="C810" s="105"/>
      <c r="D810" s="105"/>
      <c r="E810" s="105"/>
      <c r="F810" s="105"/>
      <c r="G810" s="105"/>
      <c r="H810" s="105"/>
      <c r="I810" s="106"/>
      <c r="J810" s="106"/>
      <c r="K810" s="106"/>
      <c r="L810" s="106"/>
      <c r="M810" s="106"/>
      <c r="N810" s="105"/>
      <c r="O810" s="106"/>
      <c r="P810" s="105"/>
      <c r="Q810" s="105"/>
      <c r="R810" s="105"/>
      <c r="S810" s="105"/>
      <c r="T810" s="105"/>
    </row>
    <row r="811">
      <c r="A811" s="292"/>
      <c r="B811" s="103"/>
      <c r="C811" s="105"/>
      <c r="D811" s="105"/>
      <c r="E811" s="105"/>
      <c r="F811" s="105"/>
      <c r="G811" s="105"/>
      <c r="H811" s="105"/>
      <c r="I811" s="106"/>
      <c r="J811" s="106"/>
      <c r="K811" s="106"/>
      <c r="L811" s="106"/>
      <c r="M811" s="106"/>
      <c r="N811" s="105"/>
      <c r="O811" s="106"/>
      <c r="P811" s="105"/>
      <c r="Q811" s="105"/>
      <c r="R811" s="105"/>
      <c r="S811" s="105"/>
      <c r="T811" s="105"/>
    </row>
    <row r="812">
      <c r="A812" s="292"/>
      <c r="B812" s="103"/>
      <c r="C812" s="105"/>
      <c r="D812" s="105"/>
      <c r="E812" s="105"/>
      <c r="F812" s="105"/>
      <c r="G812" s="105"/>
      <c r="H812" s="105"/>
      <c r="I812" s="106"/>
      <c r="J812" s="106"/>
      <c r="K812" s="106"/>
      <c r="L812" s="106"/>
      <c r="M812" s="106"/>
      <c r="N812" s="105"/>
      <c r="O812" s="106"/>
      <c r="P812" s="105"/>
      <c r="Q812" s="105"/>
      <c r="R812" s="105"/>
      <c r="S812" s="105"/>
      <c r="T812" s="105"/>
    </row>
    <row r="813">
      <c r="A813" s="292"/>
      <c r="B813" s="103"/>
      <c r="C813" s="105"/>
      <c r="D813" s="105"/>
      <c r="E813" s="105"/>
      <c r="F813" s="105"/>
      <c r="G813" s="105"/>
      <c r="H813" s="105"/>
      <c r="I813" s="106"/>
      <c r="J813" s="106"/>
      <c r="K813" s="106"/>
      <c r="L813" s="106"/>
      <c r="M813" s="106"/>
      <c r="N813" s="105"/>
      <c r="O813" s="106"/>
      <c r="P813" s="105"/>
      <c r="Q813" s="105"/>
      <c r="R813" s="105"/>
      <c r="S813" s="105"/>
      <c r="T813" s="105"/>
    </row>
    <row r="814">
      <c r="A814" s="292"/>
      <c r="B814" s="103"/>
      <c r="C814" s="105"/>
      <c r="D814" s="105"/>
      <c r="E814" s="105"/>
      <c r="F814" s="105"/>
      <c r="G814" s="105"/>
      <c r="H814" s="105"/>
      <c r="I814" s="106"/>
      <c r="J814" s="106"/>
      <c r="K814" s="106"/>
      <c r="L814" s="106"/>
      <c r="M814" s="106"/>
      <c r="N814" s="105"/>
      <c r="O814" s="106"/>
      <c r="P814" s="105"/>
      <c r="Q814" s="105"/>
      <c r="R814" s="105"/>
      <c r="S814" s="105"/>
      <c r="T814" s="105"/>
    </row>
    <row r="815">
      <c r="A815" s="292"/>
      <c r="B815" s="103"/>
      <c r="C815" s="105"/>
      <c r="D815" s="105"/>
      <c r="E815" s="105"/>
      <c r="F815" s="105"/>
      <c r="G815" s="105"/>
      <c r="H815" s="105"/>
      <c r="I815" s="106"/>
      <c r="J815" s="106"/>
      <c r="K815" s="106"/>
      <c r="L815" s="106"/>
      <c r="M815" s="106"/>
      <c r="N815" s="105"/>
      <c r="O815" s="106"/>
      <c r="P815" s="105"/>
      <c r="Q815" s="105"/>
      <c r="R815" s="105"/>
      <c r="S815" s="105"/>
      <c r="T815" s="105"/>
    </row>
    <row r="816">
      <c r="A816" s="292"/>
      <c r="B816" s="103"/>
      <c r="C816" s="105"/>
      <c r="D816" s="105"/>
      <c r="E816" s="105"/>
      <c r="F816" s="105"/>
      <c r="G816" s="105"/>
      <c r="H816" s="105"/>
      <c r="I816" s="106"/>
      <c r="J816" s="106"/>
      <c r="K816" s="106"/>
      <c r="L816" s="106"/>
      <c r="M816" s="106"/>
      <c r="N816" s="105"/>
      <c r="O816" s="106"/>
      <c r="P816" s="105"/>
      <c r="Q816" s="105"/>
      <c r="R816" s="105"/>
      <c r="S816" s="105"/>
      <c r="T816" s="105"/>
    </row>
    <row r="817">
      <c r="A817" s="292"/>
      <c r="B817" s="103"/>
      <c r="C817" s="105"/>
      <c r="D817" s="105"/>
      <c r="E817" s="105"/>
      <c r="F817" s="105"/>
      <c r="G817" s="105"/>
      <c r="H817" s="105"/>
      <c r="I817" s="106"/>
      <c r="J817" s="106"/>
      <c r="K817" s="106"/>
      <c r="L817" s="106"/>
      <c r="M817" s="106"/>
      <c r="N817" s="105"/>
      <c r="O817" s="106"/>
      <c r="P817" s="105"/>
      <c r="Q817" s="105"/>
      <c r="R817" s="105"/>
      <c r="S817" s="105"/>
      <c r="T817" s="105"/>
    </row>
    <row r="818">
      <c r="A818" s="292"/>
      <c r="B818" s="103"/>
      <c r="C818" s="105"/>
      <c r="D818" s="105"/>
      <c r="E818" s="105"/>
      <c r="F818" s="105"/>
      <c r="G818" s="105"/>
      <c r="H818" s="105"/>
      <c r="I818" s="106"/>
      <c r="J818" s="106"/>
      <c r="K818" s="106"/>
      <c r="L818" s="106"/>
      <c r="M818" s="106"/>
      <c r="N818" s="105"/>
      <c r="O818" s="106"/>
      <c r="P818" s="105"/>
      <c r="Q818" s="105"/>
      <c r="R818" s="105"/>
      <c r="S818" s="105"/>
      <c r="T818" s="105"/>
    </row>
    <row r="819">
      <c r="A819" s="292"/>
      <c r="B819" s="103"/>
      <c r="C819" s="105"/>
      <c r="D819" s="105"/>
      <c r="E819" s="105"/>
      <c r="F819" s="105"/>
      <c r="G819" s="105"/>
      <c r="H819" s="105"/>
      <c r="I819" s="106"/>
      <c r="J819" s="106"/>
      <c r="K819" s="106"/>
      <c r="L819" s="106"/>
      <c r="M819" s="106"/>
      <c r="N819" s="105"/>
      <c r="O819" s="106"/>
      <c r="P819" s="105"/>
      <c r="Q819" s="105"/>
      <c r="R819" s="105"/>
      <c r="S819" s="105"/>
      <c r="T819" s="105"/>
    </row>
    <row r="820">
      <c r="A820" s="292"/>
      <c r="B820" s="103"/>
      <c r="C820" s="105"/>
      <c r="D820" s="105"/>
      <c r="E820" s="105"/>
      <c r="F820" s="105"/>
      <c r="G820" s="105"/>
      <c r="H820" s="105"/>
      <c r="I820" s="106"/>
      <c r="J820" s="106"/>
      <c r="K820" s="106"/>
      <c r="L820" s="106"/>
      <c r="M820" s="106"/>
      <c r="N820" s="105"/>
      <c r="O820" s="106"/>
      <c r="P820" s="105"/>
      <c r="Q820" s="105"/>
      <c r="R820" s="105"/>
      <c r="S820" s="105"/>
      <c r="T820" s="105"/>
    </row>
    <row r="821">
      <c r="A821" s="292"/>
      <c r="B821" s="103"/>
      <c r="C821" s="105"/>
      <c r="D821" s="105"/>
      <c r="E821" s="105"/>
      <c r="F821" s="105"/>
      <c r="G821" s="105"/>
      <c r="H821" s="105"/>
      <c r="I821" s="106"/>
      <c r="J821" s="106"/>
      <c r="K821" s="106"/>
      <c r="L821" s="106"/>
      <c r="M821" s="106"/>
      <c r="N821" s="105"/>
      <c r="O821" s="106"/>
      <c r="P821" s="105"/>
      <c r="Q821" s="105"/>
      <c r="R821" s="105"/>
      <c r="S821" s="105"/>
      <c r="T821" s="105"/>
    </row>
    <row r="822">
      <c r="A822" s="292"/>
      <c r="B822" s="103"/>
      <c r="C822" s="105"/>
      <c r="D822" s="105"/>
      <c r="E822" s="105"/>
      <c r="F822" s="105"/>
      <c r="G822" s="105"/>
      <c r="H822" s="105"/>
      <c r="I822" s="106"/>
      <c r="J822" s="106"/>
      <c r="K822" s="106"/>
      <c r="L822" s="106"/>
      <c r="M822" s="106"/>
      <c r="N822" s="105"/>
      <c r="O822" s="106"/>
      <c r="P822" s="105"/>
      <c r="Q822" s="105"/>
      <c r="R822" s="105"/>
      <c r="S822" s="105"/>
      <c r="T822" s="105"/>
    </row>
    <row r="823">
      <c r="A823" s="292"/>
      <c r="B823" s="103"/>
      <c r="C823" s="105"/>
      <c r="D823" s="105"/>
      <c r="E823" s="105"/>
      <c r="F823" s="105"/>
      <c r="G823" s="105"/>
      <c r="H823" s="105"/>
      <c r="I823" s="106"/>
      <c r="J823" s="106"/>
      <c r="K823" s="106"/>
      <c r="L823" s="106"/>
      <c r="M823" s="106"/>
      <c r="N823" s="105"/>
      <c r="O823" s="106"/>
      <c r="P823" s="105"/>
      <c r="Q823" s="105"/>
      <c r="R823" s="105"/>
      <c r="S823" s="105"/>
      <c r="T823" s="105"/>
    </row>
    <row r="824">
      <c r="A824" s="292"/>
      <c r="B824" s="103"/>
      <c r="C824" s="105"/>
      <c r="D824" s="105"/>
      <c r="E824" s="105"/>
      <c r="F824" s="105"/>
      <c r="G824" s="105"/>
      <c r="H824" s="105"/>
      <c r="I824" s="106"/>
      <c r="J824" s="106"/>
      <c r="K824" s="106"/>
      <c r="L824" s="106"/>
      <c r="M824" s="106"/>
      <c r="N824" s="105"/>
      <c r="O824" s="106"/>
      <c r="P824" s="105"/>
      <c r="Q824" s="105"/>
      <c r="R824" s="105"/>
      <c r="S824" s="105"/>
      <c r="T824" s="105"/>
    </row>
    <row r="825">
      <c r="A825" s="292"/>
      <c r="B825" s="103"/>
      <c r="C825" s="105"/>
      <c r="D825" s="105"/>
      <c r="E825" s="105"/>
      <c r="F825" s="105"/>
      <c r="G825" s="105"/>
      <c r="H825" s="105"/>
      <c r="I825" s="106"/>
      <c r="J825" s="106"/>
      <c r="K825" s="106"/>
      <c r="L825" s="106"/>
      <c r="M825" s="106"/>
      <c r="N825" s="105"/>
      <c r="O825" s="106"/>
      <c r="P825" s="105"/>
      <c r="Q825" s="105"/>
      <c r="R825" s="105"/>
      <c r="S825" s="105"/>
      <c r="T825" s="105"/>
    </row>
    <row r="826">
      <c r="A826" s="292"/>
      <c r="B826" s="103"/>
      <c r="C826" s="105"/>
      <c r="D826" s="105"/>
      <c r="E826" s="105"/>
      <c r="F826" s="105"/>
      <c r="G826" s="105"/>
      <c r="H826" s="105"/>
      <c r="I826" s="106"/>
      <c r="J826" s="106"/>
      <c r="K826" s="106"/>
      <c r="L826" s="106"/>
      <c r="M826" s="106"/>
      <c r="N826" s="105"/>
      <c r="O826" s="106"/>
      <c r="P826" s="105"/>
      <c r="Q826" s="105"/>
      <c r="R826" s="105"/>
      <c r="S826" s="105"/>
      <c r="T826" s="105"/>
    </row>
    <row r="827">
      <c r="A827" s="292"/>
      <c r="B827" s="103"/>
      <c r="C827" s="105"/>
      <c r="D827" s="105"/>
      <c r="E827" s="105"/>
      <c r="F827" s="105"/>
      <c r="G827" s="105"/>
      <c r="H827" s="105"/>
      <c r="I827" s="106"/>
      <c r="J827" s="106"/>
      <c r="K827" s="106"/>
      <c r="L827" s="106"/>
      <c r="M827" s="106"/>
      <c r="N827" s="105"/>
      <c r="O827" s="106"/>
      <c r="P827" s="105"/>
      <c r="Q827" s="105"/>
      <c r="R827" s="105"/>
      <c r="S827" s="105"/>
      <c r="T827" s="105"/>
    </row>
    <row r="828">
      <c r="A828" s="292"/>
      <c r="B828" s="103"/>
      <c r="C828" s="105"/>
      <c r="D828" s="105"/>
      <c r="E828" s="105"/>
      <c r="F828" s="105"/>
      <c r="G828" s="105"/>
      <c r="H828" s="105"/>
      <c r="I828" s="106"/>
      <c r="J828" s="106"/>
      <c r="K828" s="106"/>
      <c r="L828" s="106"/>
      <c r="M828" s="106"/>
      <c r="N828" s="105"/>
      <c r="O828" s="106"/>
      <c r="P828" s="105"/>
      <c r="Q828" s="105"/>
      <c r="R828" s="105"/>
      <c r="S828" s="105"/>
      <c r="T828" s="105"/>
    </row>
    <row r="829">
      <c r="A829" s="292"/>
      <c r="B829" s="103"/>
      <c r="C829" s="105"/>
      <c r="D829" s="105"/>
      <c r="E829" s="105"/>
      <c r="F829" s="105"/>
      <c r="G829" s="105"/>
      <c r="H829" s="105"/>
      <c r="I829" s="106"/>
      <c r="J829" s="106"/>
      <c r="K829" s="106"/>
      <c r="L829" s="106"/>
      <c r="M829" s="106"/>
      <c r="N829" s="105"/>
      <c r="O829" s="106"/>
      <c r="P829" s="105"/>
      <c r="Q829" s="105"/>
      <c r="R829" s="105"/>
      <c r="S829" s="105"/>
      <c r="T829" s="105"/>
    </row>
    <row r="830">
      <c r="A830" s="292"/>
      <c r="B830" s="103"/>
      <c r="C830" s="105"/>
      <c r="D830" s="105"/>
      <c r="E830" s="105"/>
      <c r="F830" s="105"/>
      <c r="G830" s="105"/>
      <c r="H830" s="105"/>
      <c r="I830" s="106"/>
      <c r="J830" s="106"/>
      <c r="K830" s="106"/>
      <c r="L830" s="106"/>
      <c r="M830" s="106"/>
      <c r="N830" s="105"/>
      <c r="O830" s="106"/>
      <c r="P830" s="105"/>
      <c r="Q830" s="105"/>
      <c r="R830" s="105"/>
      <c r="S830" s="105"/>
      <c r="T830" s="105"/>
    </row>
    <row r="831">
      <c r="A831" s="292"/>
      <c r="B831" s="103"/>
      <c r="C831" s="105"/>
      <c r="D831" s="105"/>
      <c r="E831" s="105"/>
      <c r="F831" s="105"/>
      <c r="G831" s="105"/>
      <c r="H831" s="105"/>
      <c r="I831" s="106"/>
      <c r="J831" s="106"/>
      <c r="K831" s="106"/>
      <c r="L831" s="106"/>
      <c r="M831" s="106"/>
      <c r="N831" s="105"/>
      <c r="O831" s="106"/>
      <c r="P831" s="105"/>
      <c r="Q831" s="105"/>
      <c r="R831" s="105"/>
      <c r="S831" s="105"/>
      <c r="T831" s="105"/>
    </row>
    <row r="832">
      <c r="A832" s="292"/>
      <c r="B832" s="103"/>
      <c r="C832" s="105"/>
      <c r="D832" s="105"/>
      <c r="E832" s="105"/>
      <c r="F832" s="105"/>
      <c r="G832" s="105"/>
      <c r="H832" s="105"/>
      <c r="I832" s="106"/>
      <c r="J832" s="106"/>
      <c r="K832" s="106"/>
      <c r="L832" s="106"/>
      <c r="M832" s="106"/>
      <c r="N832" s="105"/>
      <c r="O832" s="106"/>
      <c r="P832" s="105"/>
      <c r="Q832" s="105"/>
      <c r="R832" s="105"/>
      <c r="S832" s="105"/>
      <c r="T832" s="105"/>
    </row>
    <row r="833">
      <c r="A833" s="292"/>
      <c r="B833" s="103"/>
      <c r="C833" s="105"/>
      <c r="D833" s="105"/>
      <c r="E833" s="105"/>
      <c r="F833" s="105"/>
      <c r="G833" s="105"/>
      <c r="H833" s="105"/>
      <c r="I833" s="106"/>
      <c r="J833" s="106"/>
      <c r="K833" s="106"/>
      <c r="L833" s="106"/>
      <c r="M833" s="106"/>
      <c r="N833" s="105"/>
      <c r="O833" s="106"/>
      <c r="P833" s="105"/>
      <c r="Q833" s="105"/>
      <c r="R833" s="105"/>
      <c r="S833" s="105"/>
      <c r="T833" s="105"/>
    </row>
    <row r="834">
      <c r="A834" s="292"/>
      <c r="B834" s="103"/>
      <c r="C834" s="105"/>
      <c r="D834" s="105"/>
      <c r="E834" s="105"/>
      <c r="F834" s="105"/>
      <c r="G834" s="105"/>
      <c r="H834" s="105"/>
      <c r="I834" s="106"/>
      <c r="J834" s="106"/>
      <c r="K834" s="106"/>
      <c r="L834" s="106"/>
      <c r="M834" s="106"/>
      <c r="N834" s="105"/>
      <c r="O834" s="106"/>
      <c r="P834" s="105"/>
      <c r="Q834" s="105"/>
      <c r="R834" s="105"/>
      <c r="S834" s="105"/>
      <c r="T834" s="105"/>
    </row>
    <row r="835">
      <c r="A835" s="292"/>
      <c r="B835" s="103"/>
      <c r="C835" s="105"/>
      <c r="D835" s="105"/>
      <c r="E835" s="105"/>
      <c r="F835" s="105"/>
      <c r="G835" s="105"/>
      <c r="H835" s="105"/>
      <c r="I835" s="106"/>
      <c r="J835" s="106"/>
      <c r="K835" s="106"/>
      <c r="L835" s="106"/>
      <c r="M835" s="106"/>
      <c r="N835" s="105"/>
      <c r="O835" s="106"/>
      <c r="P835" s="105"/>
      <c r="Q835" s="105"/>
      <c r="R835" s="105"/>
      <c r="S835" s="105"/>
      <c r="T835" s="105"/>
    </row>
    <row r="836">
      <c r="A836" s="292"/>
      <c r="B836" s="103"/>
      <c r="C836" s="105"/>
      <c r="D836" s="105"/>
      <c r="E836" s="105"/>
      <c r="F836" s="105"/>
      <c r="G836" s="105"/>
      <c r="H836" s="105"/>
      <c r="I836" s="106"/>
      <c r="J836" s="106"/>
      <c r="K836" s="106"/>
      <c r="L836" s="106"/>
      <c r="M836" s="106"/>
      <c r="N836" s="105"/>
      <c r="O836" s="106"/>
      <c r="P836" s="105"/>
      <c r="Q836" s="105"/>
      <c r="R836" s="105"/>
      <c r="S836" s="105"/>
      <c r="T836" s="105"/>
    </row>
    <row r="837">
      <c r="A837" s="292"/>
      <c r="B837" s="103"/>
      <c r="C837" s="105"/>
      <c r="D837" s="105"/>
      <c r="E837" s="105"/>
      <c r="F837" s="105"/>
      <c r="G837" s="105"/>
      <c r="H837" s="105"/>
      <c r="I837" s="106"/>
      <c r="J837" s="106"/>
      <c r="K837" s="106"/>
      <c r="L837" s="106"/>
      <c r="M837" s="106"/>
      <c r="N837" s="105"/>
      <c r="O837" s="106"/>
      <c r="P837" s="105"/>
      <c r="Q837" s="105"/>
      <c r="R837" s="105"/>
      <c r="S837" s="105"/>
      <c r="T837" s="105"/>
    </row>
    <row r="838">
      <c r="A838" s="292"/>
      <c r="B838" s="103"/>
      <c r="C838" s="105"/>
      <c r="D838" s="105"/>
      <c r="E838" s="105"/>
      <c r="F838" s="105"/>
      <c r="G838" s="105"/>
      <c r="H838" s="105"/>
      <c r="I838" s="106"/>
      <c r="J838" s="106"/>
      <c r="K838" s="106"/>
      <c r="L838" s="106"/>
      <c r="M838" s="106"/>
      <c r="N838" s="105"/>
      <c r="O838" s="106"/>
      <c r="P838" s="105"/>
      <c r="Q838" s="105"/>
      <c r="R838" s="105"/>
      <c r="S838" s="105"/>
      <c r="T838" s="105"/>
    </row>
    <row r="839">
      <c r="A839" s="292"/>
      <c r="B839" s="103"/>
      <c r="C839" s="105"/>
      <c r="D839" s="105"/>
      <c r="E839" s="105"/>
      <c r="F839" s="105"/>
      <c r="G839" s="105"/>
      <c r="H839" s="105"/>
      <c r="I839" s="106"/>
      <c r="J839" s="106"/>
      <c r="K839" s="106"/>
      <c r="L839" s="106"/>
      <c r="M839" s="106"/>
      <c r="N839" s="105"/>
      <c r="O839" s="106"/>
      <c r="P839" s="105"/>
      <c r="Q839" s="105"/>
      <c r="R839" s="105"/>
      <c r="S839" s="105"/>
      <c r="T839" s="105"/>
    </row>
    <row r="840">
      <c r="A840" s="292"/>
      <c r="B840" s="103"/>
      <c r="C840" s="105"/>
      <c r="D840" s="105"/>
      <c r="E840" s="105"/>
      <c r="F840" s="105"/>
      <c r="G840" s="105"/>
      <c r="H840" s="105"/>
      <c r="I840" s="106"/>
      <c r="J840" s="106"/>
      <c r="K840" s="106"/>
      <c r="L840" s="106"/>
      <c r="M840" s="106"/>
      <c r="N840" s="105"/>
      <c r="O840" s="106"/>
      <c r="P840" s="105"/>
      <c r="Q840" s="105"/>
      <c r="R840" s="105"/>
      <c r="S840" s="105"/>
      <c r="T840" s="105"/>
    </row>
    <row r="841">
      <c r="A841" s="292"/>
      <c r="B841" s="103"/>
      <c r="C841" s="105"/>
      <c r="D841" s="105"/>
      <c r="E841" s="105"/>
      <c r="F841" s="105"/>
      <c r="G841" s="105"/>
      <c r="H841" s="105"/>
      <c r="I841" s="106"/>
      <c r="J841" s="106"/>
      <c r="K841" s="106"/>
      <c r="L841" s="106"/>
      <c r="M841" s="106"/>
      <c r="N841" s="105"/>
      <c r="O841" s="106"/>
      <c r="P841" s="105"/>
      <c r="Q841" s="105"/>
      <c r="R841" s="105"/>
      <c r="S841" s="105"/>
      <c r="T841" s="105"/>
    </row>
    <row r="842">
      <c r="A842" s="292"/>
      <c r="B842" s="103"/>
      <c r="C842" s="105"/>
      <c r="D842" s="105"/>
      <c r="E842" s="105"/>
      <c r="F842" s="105"/>
      <c r="G842" s="105"/>
      <c r="H842" s="105"/>
      <c r="I842" s="106"/>
      <c r="J842" s="106"/>
      <c r="K842" s="106"/>
      <c r="L842" s="106"/>
      <c r="M842" s="106"/>
      <c r="N842" s="105"/>
      <c r="O842" s="106"/>
      <c r="P842" s="105"/>
      <c r="Q842" s="105"/>
      <c r="R842" s="105"/>
      <c r="S842" s="105"/>
      <c r="T842" s="105"/>
    </row>
    <row r="843">
      <c r="A843" s="292"/>
      <c r="B843" s="103"/>
      <c r="C843" s="105"/>
      <c r="D843" s="105"/>
      <c r="E843" s="105"/>
      <c r="F843" s="105"/>
      <c r="G843" s="105"/>
      <c r="H843" s="105"/>
      <c r="I843" s="106"/>
      <c r="J843" s="106"/>
      <c r="K843" s="106"/>
      <c r="L843" s="106"/>
      <c r="M843" s="106"/>
      <c r="N843" s="105"/>
      <c r="O843" s="106"/>
      <c r="P843" s="105"/>
      <c r="Q843" s="105"/>
      <c r="R843" s="105"/>
      <c r="S843" s="105"/>
      <c r="T843" s="105"/>
    </row>
    <row r="844">
      <c r="A844" s="292"/>
      <c r="B844" s="103"/>
      <c r="C844" s="105"/>
      <c r="D844" s="105"/>
      <c r="E844" s="105"/>
      <c r="F844" s="105"/>
      <c r="G844" s="105"/>
      <c r="H844" s="105"/>
      <c r="I844" s="106"/>
      <c r="J844" s="106"/>
      <c r="K844" s="106"/>
      <c r="L844" s="106"/>
      <c r="M844" s="106"/>
      <c r="N844" s="105"/>
      <c r="O844" s="106"/>
      <c r="P844" s="105"/>
      <c r="Q844" s="105"/>
      <c r="R844" s="105"/>
      <c r="S844" s="105"/>
      <c r="T844" s="105"/>
    </row>
    <row r="845">
      <c r="A845" s="292"/>
      <c r="B845" s="103"/>
      <c r="C845" s="105"/>
      <c r="D845" s="105"/>
      <c r="E845" s="105"/>
      <c r="F845" s="105"/>
      <c r="G845" s="105"/>
      <c r="H845" s="105"/>
      <c r="I845" s="106"/>
      <c r="J845" s="106"/>
      <c r="K845" s="106"/>
      <c r="L845" s="106"/>
      <c r="M845" s="106"/>
      <c r="N845" s="105"/>
      <c r="O845" s="106"/>
      <c r="P845" s="105"/>
      <c r="Q845" s="105"/>
      <c r="R845" s="105"/>
      <c r="S845" s="105"/>
      <c r="T845" s="105"/>
    </row>
    <row r="846">
      <c r="A846" s="292"/>
      <c r="B846" s="103"/>
      <c r="C846" s="105"/>
      <c r="D846" s="105"/>
      <c r="E846" s="105"/>
      <c r="F846" s="105"/>
      <c r="G846" s="105"/>
      <c r="H846" s="105"/>
      <c r="I846" s="106"/>
      <c r="J846" s="106"/>
      <c r="K846" s="106"/>
      <c r="L846" s="106"/>
      <c r="M846" s="106"/>
      <c r="N846" s="105"/>
      <c r="O846" s="106"/>
      <c r="P846" s="105"/>
      <c r="Q846" s="105"/>
      <c r="R846" s="105"/>
      <c r="S846" s="105"/>
      <c r="T846" s="105"/>
    </row>
    <row r="847">
      <c r="A847" s="292"/>
      <c r="B847" s="103"/>
      <c r="C847" s="105"/>
      <c r="D847" s="105"/>
      <c r="E847" s="105"/>
      <c r="F847" s="105"/>
      <c r="G847" s="105"/>
      <c r="H847" s="105"/>
      <c r="I847" s="106"/>
      <c r="J847" s="106"/>
      <c r="K847" s="106"/>
      <c r="L847" s="106"/>
      <c r="M847" s="106"/>
      <c r="N847" s="105"/>
      <c r="O847" s="106"/>
      <c r="P847" s="105"/>
      <c r="Q847" s="105"/>
      <c r="R847" s="105"/>
      <c r="S847" s="105"/>
      <c r="T847" s="105"/>
    </row>
    <row r="848">
      <c r="A848" s="292"/>
      <c r="B848" s="103"/>
      <c r="C848" s="105"/>
      <c r="D848" s="105"/>
      <c r="E848" s="105"/>
      <c r="F848" s="105"/>
      <c r="G848" s="105"/>
      <c r="H848" s="105"/>
      <c r="I848" s="106"/>
      <c r="J848" s="106"/>
      <c r="K848" s="106"/>
      <c r="L848" s="106"/>
      <c r="M848" s="106"/>
      <c r="N848" s="105"/>
      <c r="O848" s="106"/>
      <c r="P848" s="105"/>
      <c r="Q848" s="105"/>
      <c r="R848" s="105"/>
      <c r="S848" s="105"/>
      <c r="T848" s="105"/>
    </row>
    <row r="849">
      <c r="A849" s="292"/>
      <c r="B849" s="103"/>
      <c r="C849" s="105"/>
      <c r="D849" s="105"/>
      <c r="E849" s="105"/>
      <c r="F849" s="105"/>
      <c r="G849" s="105"/>
      <c r="H849" s="105"/>
      <c r="I849" s="106"/>
      <c r="J849" s="106"/>
      <c r="K849" s="106"/>
      <c r="L849" s="106"/>
      <c r="M849" s="106"/>
      <c r="N849" s="105"/>
      <c r="O849" s="106"/>
      <c r="P849" s="105"/>
      <c r="Q849" s="105"/>
      <c r="R849" s="105"/>
      <c r="S849" s="105"/>
      <c r="T849" s="105"/>
    </row>
    <row r="850">
      <c r="A850" s="292"/>
      <c r="B850" s="103"/>
      <c r="C850" s="105"/>
      <c r="D850" s="105"/>
      <c r="E850" s="105"/>
      <c r="F850" s="105"/>
      <c r="G850" s="105"/>
      <c r="H850" s="105"/>
      <c r="I850" s="106"/>
      <c r="J850" s="106"/>
      <c r="K850" s="106"/>
      <c r="L850" s="106"/>
      <c r="M850" s="106"/>
      <c r="N850" s="105"/>
      <c r="O850" s="106"/>
      <c r="P850" s="105"/>
      <c r="Q850" s="105"/>
      <c r="R850" s="105"/>
      <c r="S850" s="105"/>
      <c r="T850" s="105"/>
    </row>
    <row r="851">
      <c r="A851" s="292"/>
      <c r="B851" s="103"/>
      <c r="C851" s="105"/>
      <c r="D851" s="105"/>
      <c r="E851" s="105"/>
      <c r="F851" s="105"/>
      <c r="G851" s="105"/>
      <c r="H851" s="105"/>
      <c r="I851" s="106"/>
      <c r="J851" s="106"/>
      <c r="K851" s="106"/>
      <c r="L851" s="106"/>
      <c r="M851" s="106"/>
      <c r="N851" s="105"/>
      <c r="O851" s="106"/>
      <c r="P851" s="105"/>
      <c r="Q851" s="105"/>
      <c r="R851" s="105"/>
      <c r="S851" s="105"/>
      <c r="T851" s="105"/>
    </row>
    <row r="852">
      <c r="A852" s="292"/>
      <c r="B852" s="103"/>
      <c r="C852" s="105"/>
      <c r="D852" s="105"/>
      <c r="E852" s="105"/>
      <c r="F852" s="105"/>
      <c r="G852" s="105"/>
      <c r="H852" s="105"/>
      <c r="I852" s="106"/>
      <c r="J852" s="106"/>
      <c r="K852" s="106"/>
      <c r="L852" s="106"/>
      <c r="M852" s="106"/>
      <c r="N852" s="105"/>
      <c r="O852" s="106"/>
      <c r="P852" s="105"/>
      <c r="Q852" s="105"/>
      <c r="R852" s="105"/>
      <c r="S852" s="105"/>
      <c r="T852" s="105"/>
    </row>
    <row r="853">
      <c r="A853" s="292"/>
      <c r="B853" s="103"/>
      <c r="C853" s="105"/>
      <c r="D853" s="105"/>
      <c r="E853" s="105"/>
      <c r="F853" s="105"/>
      <c r="G853" s="105"/>
      <c r="H853" s="105"/>
      <c r="I853" s="106"/>
      <c r="J853" s="106"/>
      <c r="K853" s="106"/>
      <c r="L853" s="106"/>
      <c r="M853" s="106"/>
      <c r="N853" s="105"/>
      <c r="O853" s="106"/>
      <c r="P853" s="105"/>
      <c r="Q853" s="105"/>
      <c r="R853" s="105"/>
      <c r="S853" s="105"/>
      <c r="T853" s="105"/>
    </row>
    <row r="854">
      <c r="A854" s="292"/>
      <c r="B854" s="103"/>
      <c r="C854" s="105"/>
      <c r="D854" s="105"/>
      <c r="E854" s="105"/>
      <c r="F854" s="105"/>
      <c r="G854" s="105"/>
      <c r="H854" s="105"/>
      <c r="I854" s="106"/>
      <c r="J854" s="106"/>
      <c r="K854" s="106"/>
      <c r="L854" s="106"/>
      <c r="M854" s="106"/>
      <c r="N854" s="105"/>
      <c r="O854" s="106"/>
      <c r="P854" s="105"/>
      <c r="Q854" s="105"/>
      <c r="R854" s="105"/>
      <c r="S854" s="105"/>
      <c r="T854" s="105"/>
    </row>
    <row r="855">
      <c r="A855" s="292"/>
      <c r="B855" s="103"/>
      <c r="C855" s="105"/>
      <c r="D855" s="105"/>
      <c r="E855" s="105"/>
      <c r="F855" s="105"/>
      <c r="G855" s="105"/>
      <c r="H855" s="105"/>
      <c r="I855" s="106"/>
      <c r="J855" s="106"/>
      <c r="K855" s="106"/>
      <c r="L855" s="106"/>
      <c r="M855" s="106"/>
      <c r="N855" s="105"/>
      <c r="O855" s="106"/>
      <c r="P855" s="105"/>
      <c r="Q855" s="105"/>
      <c r="R855" s="105"/>
      <c r="S855" s="105"/>
      <c r="T855" s="105"/>
    </row>
    <row r="856">
      <c r="A856" s="292"/>
      <c r="B856" s="103"/>
      <c r="C856" s="105"/>
      <c r="D856" s="105"/>
      <c r="E856" s="105"/>
      <c r="F856" s="105"/>
      <c r="G856" s="105"/>
      <c r="H856" s="105"/>
      <c r="I856" s="106"/>
      <c r="J856" s="106"/>
      <c r="K856" s="106"/>
      <c r="L856" s="106"/>
      <c r="M856" s="106"/>
      <c r="N856" s="105"/>
      <c r="O856" s="106"/>
      <c r="P856" s="105"/>
      <c r="Q856" s="105"/>
      <c r="R856" s="105"/>
      <c r="S856" s="105"/>
      <c r="T856" s="105"/>
    </row>
    <row r="857">
      <c r="A857" s="292"/>
      <c r="B857" s="103"/>
      <c r="C857" s="105"/>
      <c r="D857" s="105"/>
      <c r="E857" s="105"/>
      <c r="F857" s="105"/>
      <c r="G857" s="105"/>
      <c r="H857" s="105"/>
      <c r="I857" s="106"/>
      <c r="J857" s="106"/>
      <c r="K857" s="106"/>
      <c r="L857" s="106"/>
      <c r="M857" s="106"/>
      <c r="N857" s="105"/>
      <c r="O857" s="106"/>
      <c r="P857" s="105"/>
      <c r="Q857" s="105"/>
      <c r="R857" s="105"/>
      <c r="S857" s="105"/>
      <c r="T857" s="105"/>
    </row>
    <row r="858">
      <c r="A858" s="292"/>
      <c r="B858" s="103"/>
      <c r="C858" s="105"/>
      <c r="D858" s="105"/>
      <c r="E858" s="105"/>
      <c r="F858" s="105"/>
      <c r="G858" s="105"/>
      <c r="H858" s="105"/>
      <c r="I858" s="106"/>
      <c r="J858" s="106"/>
      <c r="K858" s="106"/>
      <c r="L858" s="106"/>
      <c r="M858" s="106"/>
      <c r="N858" s="105"/>
      <c r="O858" s="106"/>
      <c r="P858" s="105"/>
      <c r="Q858" s="105"/>
      <c r="R858" s="105"/>
      <c r="S858" s="105"/>
      <c r="T858" s="105"/>
    </row>
    <row r="859">
      <c r="A859" s="292"/>
      <c r="B859" s="103"/>
      <c r="C859" s="105"/>
      <c r="D859" s="105"/>
      <c r="E859" s="105"/>
      <c r="F859" s="105"/>
      <c r="G859" s="105"/>
      <c r="H859" s="105"/>
      <c r="I859" s="106"/>
      <c r="J859" s="106"/>
      <c r="K859" s="106"/>
      <c r="L859" s="106"/>
      <c r="M859" s="106"/>
      <c r="N859" s="105"/>
      <c r="O859" s="106"/>
      <c r="P859" s="105"/>
      <c r="Q859" s="105"/>
      <c r="R859" s="105"/>
      <c r="S859" s="105"/>
      <c r="T859" s="105"/>
    </row>
    <row r="860">
      <c r="A860" s="292"/>
      <c r="B860" s="103"/>
      <c r="C860" s="105"/>
      <c r="D860" s="105"/>
      <c r="E860" s="105"/>
      <c r="F860" s="105"/>
      <c r="G860" s="105"/>
      <c r="H860" s="105"/>
      <c r="I860" s="106"/>
      <c r="J860" s="106"/>
      <c r="K860" s="106"/>
      <c r="L860" s="106"/>
      <c r="M860" s="106"/>
      <c r="N860" s="105"/>
      <c r="O860" s="106"/>
      <c r="P860" s="105"/>
      <c r="Q860" s="105"/>
      <c r="R860" s="105"/>
      <c r="S860" s="105"/>
      <c r="T860" s="105"/>
    </row>
    <row r="861">
      <c r="A861" s="292"/>
      <c r="B861" s="103"/>
      <c r="C861" s="105"/>
      <c r="D861" s="105"/>
      <c r="E861" s="105"/>
      <c r="F861" s="105"/>
      <c r="G861" s="105"/>
      <c r="H861" s="105"/>
      <c r="I861" s="106"/>
      <c r="J861" s="106"/>
      <c r="K861" s="106"/>
      <c r="L861" s="106"/>
      <c r="M861" s="106"/>
      <c r="N861" s="105"/>
      <c r="O861" s="106"/>
      <c r="P861" s="105"/>
      <c r="Q861" s="105"/>
      <c r="R861" s="105"/>
      <c r="S861" s="105"/>
      <c r="T861" s="105"/>
    </row>
    <row r="862">
      <c r="A862" s="292"/>
      <c r="B862" s="103"/>
      <c r="C862" s="105"/>
      <c r="D862" s="105"/>
      <c r="E862" s="105"/>
      <c r="F862" s="105"/>
      <c r="G862" s="105"/>
      <c r="H862" s="105"/>
      <c r="I862" s="106"/>
      <c r="J862" s="106"/>
      <c r="K862" s="106"/>
      <c r="L862" s="106"/>
      <c r="M862" s="106"/>
      <c r="N862" s="105"/>
      <c r="O862" s="106"/>
      <c r="P862" s="105"/>
      <c r="Q862" s="105"/>
      <c r="R862" s="105"/>
      <c r="S862" s="105"/>
      <c r="T862" s="105"/>
    </row>
    <row r="863">
      <c r="A863" s="292"/>
      <c r="B863" s="103"/>
      <c r="C863" s="105"/>
      <c r="D863" s="105"/>
      <c r="E863" s="105"/>
      <c r="F863" s="105"/>
      <c r="G863" s="105"/>
      <c r="H863" s="105"/>
      <c r="I863" s="106"/>
      <c r="J863" s="106"/>
      <c r="K863" s="106"/>
      <c r="L863" s="106"/>
      <c r="M863" s="106"/>
      <c r="N863" s="105"/>
      <c r="O863" s="106"/>
      <c r="P863" s="105"/>
      <c r="Q863" s="105"/>
      <c r="R863" s="105"/>
      <c r="S863" s="105"/>
      <c r="T863" s="105"/>
    </row>
    <row r="864">
      <c r="A864" s="292"/>
      <c r="B864" s="103"/>
      <c r="C864" s="105"/>
      <c r="D864" s="105"/>
      <c r="E864" s="105"/>
      <c r="F864" s="105"/>
      <c r="G864" s="105"/>
      <c r="H864" s="105"/>
      <c r="I864" s="106"/>
      <c r="J864" s="106"/>
      <c r="K864" s="106"/>
      <c r="L864" s="106"/>
      <c r="M864" s="106"/>
      <c r="N864" s="105"/>
      <c r="O864" s="106"/>
      <c r="P864" s="105"/>
      <c r="Q864" s="105"/>
      <c r="R864" s="105"/>
      <c r="S864" s="105"/>
      <c r="T864" s="105"/>
    </row>
    <row r="865">
      <c r="A865" s="292"/>
      <c r="B865" s="103"/>
      <c r="C865" s="105"/>
      <c r="D865" s="105"/>
      <c r="E865" s="105"/>
      <c r="F865" s="105"/>
      <c r="G865" s="105"/>
      <c r="H865" s="105"/>
      <c r="I865" s="106"/>
      <c r="J865" s="106"/>
      <c r="K865" s="106"/>
      <c r="L865" s="106"/>
      <c r="M865" s="106"/>
      <c r="N865" s="105"/>
      <c r="O865" s="106"/>
      <c r="P865" s="105"/>
      <c r="Q865" s="105"/>
      <c r="R865" s="105"/>
      <c r="S865" s="105"/>
      <c r="T865" s="105"/>
    </row>
    <row r="866">
      <c r="A866" s="292"/>
      <c r="B866" s="103"/>
      <c r="C866" s="105"/>
      <c r="D866" s="105"/>
      <c r="E866" s="105"/>
      <c r="F866" s="105"/>
      <c r="G866" s="105"/>
      <c r="H866" s="105"/>
      <c r="I866" s="106"/>
      <c r="J866" s="106"/>
      <c r="K866" s="106"/>
      <c r="L866" s="106"/>
      <c r="M866" s="106"/>
      <c r="N866" s="105"/>
      <c r="O866" s="106"/>
      <c r="P866" s="105"/>
      <c r="Q866" s="105"/>
      <c r="R866" s="105"/>
      <c r="S866" s="105"/>
      <c r="T866" s="105"/>
    </row>
    <row r="867">
      <c r="A867" s="292"/>
      <c r="B867" s="103"/>
      <c r="C867" s="105"/>
      <c r="D867" s="105"/>
      <c r="E867" s="105"/>
      <c r="F867" s="105"/>
      <c r="G867" s="105"/>
      <c r="H867" s="105"/>
      <c r="I867" s="106"/>
      <c r="J867" s="106"/>
      <c r="K867" s="106"/>
      <c r="L867" s="106"/>
      <c r="M867" s="106"/>
      <c r="N867" s="105"/>
      <c r="O867" s="106"/>
      <c r="P867" s="105"/>
      <c r="Q867" s="105"/>
      <c r="R867" s="105"/>
      <c r="S867" s="105"/>
      <c r="T867" s="105"/>
    </row>
    <row r="868">
      <c r="A868" s="292"/>
      <c r="B868" s="103"/>
      <c r="C868" s="105"/>
      <c r="D868" s="105"/>
      <c r="E868" s="105"/>
      <c r="F868" s="105"/>
      <c r="G868" s="105"/>
      <c r="H868" s="105"/>
      <c r="I868" s="106"/>
      <c r="J868" s="106"/>
      <c r="K868" s="106"/>
      <c r="L868" s="106"/>
      <c r="M868" s="106"/>
      <c r="N868" s="105"/>
      <c r="O868" s="106"/>
      <c r="P868" s="105"/>
      <c r="Q868" s="105"/>
      <c r="R868" s="105"/>
      <c r="S868" s="105"/>
      <c r="T868" s="105"/>
    </row>
    <row r="869">
      <c r="A869" s="292"/>
      <c r="B869" s="103"/>
      <c r="C869" s="105"/>
      <c r="D869" s="105"/>
      <c r="E869" s="105"/>
      <c r="F869" s="105"/>
      <c r="G869" s="105"/>
      <c r="H869" s="105"/>
      <c r="I869" s="106"/>
      <c r="J869" s="106"/>
      <c r="K869" s="106"/>
      <c r="L869" s="106"/>
      <c r="M869" s="106"/>
      <c r="N869" s="105"/>
      <c r="O869" s="106"/>
      <c r="P869" s="105"/>
      <c r="Q869" s="105"/>
      <c r="R869" s="105"/>
      <c r="S869" s="105"/>
      <c r="T869" s="105"/>
    </row>
    <row r="870">
      <c r="A870" s="292"/>
      <c r="B870" s="103"/>
      <c r="C870" s="105"/>
      <c r="D870" s="105"/>
      <c r="E870" s="105"/>
      <c r="F870" s="105"/>
      <c r="G870" s="105"/>
      <c r="H870" s="105"/>
      <c r="I870" s="106"/>
      <c r="J870" s="106"/>
      <c r="K870" s="106"/>
      <c r="L870" s="106"/>
      <c r="M870" s="106"/>
      <c r="N870" s="105"/>
      <c r="O870" s="106"/>
      <c r="P870" s="105"/>
      <c r="Q870" s="105"/>
      <c r="R870" s="105"/>
      <c r="S870" s="105"/>
      <c r="T870" s="105"/>
    </row>
    <row r="871">
      <c r="A871" s="292"/>
      <c r="B871" s="103"/>
      <c r="C871" s="105"/>
      <c r="D871" s="105"/>
      <c r="E871" s="105"/>
      <c r="F871" s="105"/>
      <c r="G871" s="105"/>
      <c r="H871" s="105"/>
      <c r="I871" s="106"/>
      <c r="J871" s="106"/>
      <c r="K871" s="106"/>
      <c r="L871" s="106"/>
      <c r="M871" s="106"/>
      <c r="N871" s="105"/>
      <c r="O871" s="106"/>
      <c r="P871" s="105"/>
      <c r="Q871" s="105"/>
      <c r="R871" s="105"/>
      <c r="S871" s="105"/>
      <c r="T871" s="105"/>
    </row>
    <row r="872">
      <c r="A872" s="292"/>
      <c r="B872" s="103"/>
      <c r="C872" s="105"/>
      <c r="D872" s="105"/>
      <c r="E872" s="105"/>
      <c r="F872" s="105"/>
      <c r="G872" s="105"/>
      <c r="H872" s="105"/>
      <c r="I872" s="106"/>
      <c r="J872" s="106"/>
      <c r="K872" s="106"/>
      <c r="L872" s="106"/>
      <c r="M872" s="106"/>
      <c r="N872" s="105"/>
      <c r="O872" s="106"/>
      <c r="P872" s="105"/>
      <c r="Q872" s="105"/>
      <c r="R872" s="105"/>
      <c r="S872" s="105"/>
      <c r="T872" s="105"/>
    </row>
    <row r="873">
      <c r="A873" s="292"/>
      <c r="B873" s="103"/>
      <c r="C873" s="105"/>
      <c r="D873" s="105"/>
      <c r="E873" s="105"/>
      <c r="F873" s="105"/>
      <c r="G873" s="105"/>
      <c r="H873" s="105"/>
      <c r="I873" s="106"/>
      <c r="J873" s="106"/>
      <c r="K873" s="106"/>
      <c r="L873" s="106"/>
      <c r="M873" s="106"/>
      <c r="N873" s="105"/>
      <c r="O873" s="106"/>
      <c r="P873" s="105"/>
      <c r="Q873" s="105"/>
      <c r="R873" s="105"/>
      <c r="S873" s="105"/>
      <c r="T873" s="105"/>
    </row>
    <row r="874">
      <c r="A874" s="292"/>
      <c r="B874" s="103"/>
      <c r="C874" s="105"/>
      <c r="D874" s="105"/>
      <c r="E874" s="105"/>
      <c r="F874" s="105"/>
      <c r="G874" s="105"/>
      <c r="H874" s="105"/>
      <c r="I874" s="106"/>
      <c r="J874" s="106"/>
      <c r="K874" s="106"/>
      <c r="L874" s="106"/>
      <c r="M874" s="106"/>
      <c r="N874" s="105"/>
      <c r="O874" s="106"/>
      <c r="P874" s="105"/>
      <c r="Q874" s="105"/>
      <c r="R874" s="105"/>
      <c r="S874" s="105"/>
      <c r="T874" s="105"/>
    </row>
    <row r="875">
      <c r="A875" s="292"/>
      <c r="B875" s="103"/>
      <c r="C875" s="105"/>
      <c r="D875" s="105"/>
      <c r="E875" s="105"/>
      <c r="F875" s="105"/>
      <c r="G875" s="105"/>
      <c r="H875" s="105"/>
      <c r="I875" s="106"/>
      <c r="J875" s="106"/>
      <c r="K875" s="106"/>
      <c r="L875" s="106"/>
      <c r="M875" s="106"/>
      <c r="N875" s="105"/>
      <c r="O875" s="106"/>
      <c r="P875" s="105"/>
      <c r="Q875" s="105"/>
      <c r="R875" s="105"/>
      <c r="S875" s="105"/>
      <c r="T875" s="105"/>
    </row>
    <row r="876">
      <c r="A876" s="292"/>
      <c r="B876" s="103"/>
      <c r="C876" s="105"/>
      <c r="D876" s="105"/>
      <c r="E876" s="105"/>
      <c r="F876" s="105"/>
      <c r="G876" s="105"/>
      <c r="H876" s="105"/>
      <c r="I876" s="106"/>
      <c r="J876" s="106"/>
      <c r="K876" s="106"/>
      <c r="L876" s="106"/>
      <c r="M876" s="106"/>
      <c r="N876" s="105"/>
      <c r="O876" s="106"/>
      <c r="P876" s="105"/>
      <c r="Q876" s="105"/>
      <c r="R876" s="105"/>
      <c r="S876" s="105"/>
      <c r="T876" s="105"/>
    </row>
    <row r="877">
      <c r="A877" s="292"/>
      <c r="B877" s="103"/>
      <c r="C877" s="105"/>
      <c r="D877" s="105"/>
      <c r="E877" s="105"/>
      <c r="F877" s="105"/>
      <c r="G877" s="105"/>
      <c r="H877" s="105"/>
      <c r="I877" s="106"/>
      <c r="J877" s="106"/>
      <c r="K877" s="106"/>
      <c r="L877" s="106"/>
      <c r="M877" s="106"/>
      <c r="N877" s="105"/>
      <c r="O877" s="106"/>
      <c r="P877" s="105"/>
      <c r="Q877" s="105"/>
      <c r="R877" s="105"/>
      <c r="S877" s="105"/>
      <c r="T877" s="105"/>
    </row>
    <row r="878">
      <c r="A878" s="292"/>
      <c r="B878" s="103"/>
      <c r="C878" s="105"/>
      <c r="D878" s="105"/>
      <c r="E878" s="105"/>
      <c r="F878" s="105"/>
      <c r="G878" s="105"/>
      <c r="H878" s="105"/>
      <c r="I878" s="106"/>
      <c r="J878" s="106"/>
      <c r="K878" s="106"/>
      <c r="L878" s="106"/>
      <c r="M878" s="106"/>
      <c r="N878" s="105"/>
      <c r="O878" s="106"/>
      <c r="P878" s="105"/>
      <c r="Q878" s="105"/>
      <c r="R878" s="105"/>
      <c r="S878" s="105"/>
      <c r="T878" s="105"/>
    </row>
    <row r="879">
      <c r="A879" s="292"/>
      <c r="B879" s="103"/>
      <c r="C879" s="105"/>
      <c r="D879" s="105"/>
      <c r="E879" s="105"/>
      <c r="F879" s="105"/>
      <c r="G879" s="105"/>
      <c r="H879" s="105"/>
      <c r="I879" s="106"/>
      <c r="J879" s="106"/>
      <c r="K879" s="106"/>
      <c r="L879" s="106"/>
      <c r="M879" s="106"/>
      <c r="N879" s="105"/>
      <c r="O879" s="106"/>
      <c r="P879" s="105"/>
      <c r="Q879" s="105"/>
      <c r="R879" s="105"/>
      <c r="S879" s="105"/>
      <c r="T879" s="105"/>
    </row>
    <row r="880">
      <c r="A880" s="292"/>
      <c r="B880" s="103"/>
      <c r="C880" s="105"/>
      <c r="D880" s="105"/>
      <c r="E880" s="105"/>
      <c r="F880" s="105"/>
      <c r="G880" s="105"/>
      <c r="H880" s="105"/>
      <c r="I880" s="106"/>
      <c r="J880" s="106"/>
      <c r="K880" s="106"/>
      <c r="L880" s="106"/>
      <c r="M880" s="106"/>
      <c r="N880" s="105"/>
      <c r="O880" s="106"/>
      <c r="P880" s="105"/>
      <c r="Q880" s="105"/>
      <c r="R880" s="105"/>
      <c r="S880" s="105"/>
      <c r="T880" s="105"/>
    </row>
    <row r="881">
      <c r="A881" s="292"/>
      <c r="B881" s="103"/>
      <c r="C881" s="105"/>
      <c r="D881" s="105"/>
      <c r="E881" s="105"/>
      <c r="F881" s="105"/>
      <c r="G881" s="105"/>
      <c r="H881" s="105"/>
      <c r="I881" s="106"/>
      <c r="J881" s="106"/>
      <c r="K881" s="106"/>
      <c r="L881" s="106"/>
      <c r="M881" s="106"/>
      <c r="N881" s="105"/>
      <c r="O881" s="106"/>
      <c r="P881" s="105"/>
      <c r="Q881" s="105"/>
      <c r="R881" s="105"/>
      <c r="S881" s="105"/>
      <c r="T881" s="105"/>
    </row>
    <row r="882">
      <c r="A882" s="292"/>
      <c r="B882" s="103"/>
      <c r="C882" s="105"/>
      <c r="D882" s="105"/>
      <c r="E882" s="105"/>
      <c r="F882" s="105"/>
      <c r="G882" s="105"/>
      <c r="H882" s="105"/>
      <c r="I882" s="106"/>
      <c r="J882" s="106"/>
      <c r="K882" s="106"/>
      <c r="L882" s="106"/>
      <c r="M882" s="106"/>
      <c r="N882" s="105"/>
      <c r="O882" s="106"/>
      <c r="P882" s="105"/>
      <c r="Q882" s="105"/>
      <c r="R882" s="105"/>
      <c r="S882" s="105"/>
      <c r="T882" s="105"/>
    </row>
    <row r="883">
      <c r="A883" s="292"/>
      <c r="B883" s="103"/>
      <c r="C883" s="105"/>
      <c r="D883" s="105"/>
      <c r="E883" s="105"/>
      <c r="F883" s="105"/>
      <c r="G883" s="105"/>
      <c r="H883" s="105"/>
      <c r="I883" s="106"/>
      <c r="J883" s="106"/>
      <c r="K883" s="106"/>
      <c r="L883" s="106"/>
      <c r="M883" s="106"/>
      <c r="N883" s="105"/>
      <c r="O883" s="106"/>
      <c r="P883" s="105"/>
      <c r="Q883" s="105"/>
      <c r="R883" s="105"/>
      <c r="S883" s="105"/>
      <c r="T883" s="105"/>
    </row>
    <row r="884">
      <c r="A884" s="292"/>
      <c r="B884" s="103"/>
      <c r="C884" s="105"/>
      <c r="D884" s="105"/>
      <c r="E884" s="105"/>
      <c r="F884" s="105"/>
      <c r="G884" s="105"/>
      <c r="H884" s="105"/>
      <c r="I884" s="106"/>
      <c r="J884" s="106"/>
      <c r="K884" s="106"/>
      <c r="L884" s="106"/>
      <c r="M884" s="106"/>
      <c r="N884" s="105"/>
      <c r="O884" s="106"/>
      <c r="P884" s="105"/>
      <c r="Q884" s="105"/>
      <c r="R884" s="105"/>
      <c r="S884" s="105"/>
      <c r="T884" s="105"/>
    </row>
    <row r="885">
      <c r="A885" s="292"/>
      <c r="B885" s="103"/>
      <c r="C885" s="105"/>
      <c r="D885" s="105"/>
      <c r="E885" s="105"/>
      <c r="F885" s="105"/>
      <c r="G885" s="105"/>
      <c r="H885" s="105"/>
      <c r="I885" s="106"/>
      <c r="J885" s="106"/>
      <c r="K885" s="106"/>
      <c r="L885" s="106"/>
      <c r="M885" s="106"/>
      <c r="N885" s="105"/>
      <c r="O885" s="106"/>
      <c r="P885" s="105"/>
      <c r="Q885" s="105"/>
      <c r="R885" s="105"/>
      <c r="S885" s="105"/>
      <c r="T885" s="105"/>
    </row>
    <row r="886">
      <c r="A886" s="292"/>
      <c r="B886" s="103"/>
      <c r="C886" s="105"/>
      <c r="D886" s="105"/>
      <c r="E886" s="105"/>
      <c r="F886" s="105"/>
      <c r="G886" s="105"/>
      <c r="H886" s="105"/>
      <c r="I886" s="106"/>
      <c r="J886" s="106"/>
      <c r="K886" s="106"/>
      <c r="L886" s="106"/>
      <c r="M886" s="106"/>
      <c r="N886" s="105"/>
      <c r="O886" s="106"/>
      <c r="P886" s="105"/>
      <c r="Q886" s="105"/>
      <c r="R886" s="105"/>
      <c r="S886" s="105"/>
      <c r="T886" s="105"/>
    </row>
    <row r="887">
      <c r="A887" s="292"/>
      <c r="B887" s="103"/>
      <c r="C887" s="105"/>
      <c r="D887" s="105"/>
      <c r="E887" s="105"/>
      <c r="F887" s="105"/>
      <c r="G887" s="105"/>
      <c r="H887" s="105"/>
      <c r="I887" s="106"/>
      <c r="J887" s="106"/>
      <c r="K887" s="106"/>
      <c r="L887" s="106"/>
      <c r="M887" s="106"/>
      <c r="N887" s="105"/>
      <c r="O887" s="106"/>
      <c r="P887" s="105"/>
      <c r="Q887" s="105"/>
      <c r="R887" s="105"/>
      <c r="S887" s="105"/>
      <c r="T887" s="105"/>
    </row>
    <row r="888">
      <c r="A888" s="292"/>
      <c r="B888" s="103"/>
      <c r="C888" s="105"/>
      <c r="D888" s="105"/>
      <c r="E888" s="105"/>
      <c r="F888" s="105"/>
      <c r="G888" s="105"/>
      <c r="H888" s="105"/>
      <c r="I888" s="106"/>
      <c r="J888" s="106"/>
      <c r="K888" s="106"/>
      <c r="L888" s="106"/>
      <c r="M888" s="106"/>
      <c r="N888" s="105"/>
      <c r="O888" s="106"/>
      <c r="P888" s="105"/>
      <c r="Q888" s="105"/>
      <c r="R888" s="105"/>
      <c r="S888" s="105"/>
      <c r="T888" s="105"/>
    </row>
    <row r="889">
      <c r="A889" s="292"/>
      <c r="B889" s="103"/>
      <c r="C889" s="105"/>
      <c r="D889" s="105"/>
      <c r="E889" s="105"/>
      <c r="F889" s="105"/>
      <c r="G889" s="105"/>
      <c r="H889" s="105"/>
      <c r="I889" s="106"/>
      <c r="J889" s="106"/>
      <c r="K889" s="106"/>
      <c r="L889" s="106"/>
      <c r="M889" s="106"/>
      <c r="N889" s="105"/>
      <c r="O889" s="106"/>
      <c r="P889" s="105"/>
      <c r="Q889" s="105"/>
      <c r="R889" s="105"/>
      <c r="S889" s="105"/>
      <c r="T889" s="105"/>
    </row>
    <row r="890">
      <c r="A890" s="292"/>
      <c r="B890" s="103"/>
      <c r="C890" s="105"/>
      <c r="D890" s="105"/>
      <c r="E890" s="105"/>
      <c r="F890" s="105"/>
      <c r="G890" s="105"/>
      <c r="H890" s="105"/>
      <c r="I890" s="106"/>
      <c r="J890" s="106"/>
      <c r="K890" s="106"/>
      <c r="L890" s="106"/>
      <c r="M890" s="106"/>
      <c r="N890" s="105"/>
      <c r="O890" s="106"/>
      <c r="P890" s="105"/>
      <c r="Q890" s="105"/>
      <c r="R890" s="105"/>
      <c r="S890" s="105"/>
      <c r="T890" s="105"/>
    </row>
    <row r="891">
      <c r="A891" s="292"/>
      <c r="B891" s="103"/>
      <c r="C891" s="105"/>
      <c r="D891" s="105"/>
      <c r="E891" s="105"/>
      <c r="F891" s="105"/>
      <c r="G891" s="105"/>
      <c r="H891" s="105"/>
      <c r="I891" s="106"/>
      <c r="J891" s="106"/>
      <c r="K891" s="106"/>
      <c r="L891" s="106"/>
      <c r="M891" s="106"/>
      <c r="N891" s="105"/>
      <c r="O891" s="106"/>
      <c r="P891" s="105"/>
      <c r="Q891" s="105"/>
      <c r="R891" s="105"/>
      <c r="S891" s="105"/>
      <c r="T891" s="105"/>
    </row>
    <row r="892">
      <c r="A892" s="292"/>
      <c r="B892" s="103"/>
      <c r="C892" s="105"/>
      <c r="D892" s="105"/>
      <c r="E892" s="105"/>
      <c r="F892" s="105"/>
      <c r="G892" s="105"/>
      <c r="H892" s="105"/>
      <c r="I892" s="106"/>
      <c r="J892" s="106"/>
      <c r="K892" s="106"/>
      <c r="L892" s="106"/>
      <c r="M892" s="106"/>
      <c r="N892" s="105"/>
      <c r="O892" s="106"/>
      <c r="P892" s="105"/>
      <c r="Q892" s="105"/>
      <c r="R892" s="105"/>
      <c r="S892" s="105"/>
      <c r="T892" s="105"/>
    </row>
    <row r="893">
      <c r="A893" s="292"/>
      <c r="B893" s="103"/>
      <c r="C893" s="105"/>
      <c r="D893" s="105"/>
      <c r="E893" s="105"/>
      <c r="F893" s="105"/>
      <c r="G893" s="105"/>
      <c r="H893" s="105"/>
      <c r="I893" s="106"/>
      <c r="J893" s="106"/>
      <c r="K893" s="106"/>
      <c r="L893" s="106"/>
      <c r="M893" s="106"/>
      <c r="N893" s="105"/>
      <c r="O893" s="106"/>
      <c r="P893" s="105"/>
      <c r="Q893" s="105"/>
      <c r="R893" s="105"/>
      <c r="S893" s="105"/>
      <c r="T893" s="105"/>
    </row>
    <row r="894">
      <c r="A894" s="292"/>
      <c r="B894" s="103"/>
      <c r="C894" s="105"/>
      <c r="D894" s="105"/>
      <c r="E894" s="105"/>
      <c r="F894" s="105"/>
      <c r="G894" s="105"/>
      <c r="H894" s="105"/>
      <c r="I894" s="106"/>
      <c r="J894" s="106"/>
      <c r="K894" s="106"/>
      <c r="L894" s="106"/>
      <c r="M894" s="106"/>
      <c r="N894" s="105"/>
      <c r="O894" s="106"/>
      <c r="P894" s="105"/>
      <c r="Q894" s="105"/>
      <c r="R894" s="105"/>
      <c r="S894" s="105"/>
      <c r="T894" s="105"/>
    </row>
    <row r="895">
      <c r="A895" s="292"/>
      <c r="B895" s="103"/>
      <c r="C895" s="105"/>
      <c r="D895" s="105"/>
      <c r="E895" s="105"/>
      <c r="F895" s="105"/>
      <c r="G895" s="105"/>
      <c r="H895" s="105"/>
      <c r="I895" s="106"/>
      <c r="J895" s="106"/>
      <c r="K895" s="106"/>
      <c r="L895" s="106"/>
      <c r="M895" s="106"/>
      <c r="N895" s="105"/>
      <c r="O895" s="106"/>
      <c r="P895" s="105"/>
      <c r="Q895" s="105"/>
      <c r="R895" s="105"/>
      <c r="S895" s="105"/>
      <c r="T895" s="105"/>
    </row>
    <row r="896">
      <c r="A896" s="292"/>
      <c r="B896" s="103"/>
      <c r="C896" s="105"/>
      <c r="D896" s="105"/>
      <c r="E896" s="105"/>
      <c r="F896" s="105"/>
      <c r="G896" s="105"/>
      <c r="H896" s="105"/>
      <c r="I896" s="106"/>
      <c r="J896" s="106"/>
      <c r="K896" s="106"/>
      <c r="L896" s="106"/>
      <c r="M896" s="106"/>
      <c r="N896" s="105"/>
      <c r="O896" s="106"/>
      <c r="P896" s="105"/>
      <c r="Q896" s="105"/>
      <c r="R896" s="105"/>
      <c r="S896" s="105"/>
      <c r="T896" s="105"/>
    </row>
    <row r="897">
      <c r="A897" s="292"/>
      <c r="B897" s="103"/>
      <c r="C897" s="105"/>
      <c r="D897" s="105"/>
      <c r="E897" s="105"/>
      <c r="F897" s="105"/>
      <c r="G897" s="105"/>
      <c r="H897" s="105"/>
      <c r="I897" s="106"/>
      <c r="J897" s="106"/>
      <c r="K897" s="106"/>
      <c r="L897" s="106"/>
      <c r="M897" s="106"/>
      <c r="N897" s="105"/>
      <c r="O897" s="106"/>
      <c r="P897" s="105"/>
      <c r="Q897" s="105"/>
      <c r="R897" s="105"/>
      <c r="S897" s="105"/>
      <c r="T897" s="105"/>
    </row>
    <row r="898">
      <c r="A898" s="292"/>
      <c r="B898" s="103"/>
      <c r="C898" s="105"/>
      <c r="D898" s="105"/>
      <c r="E898" s="105"/>
      <c r="F898" s="105"/>
      <c r="G898" s="105"/>
      <c r="H898" s="105"/>
      <c r="I898" s="106"/>
      <c r="J898" s="106"/>
      <c r="K898" s="106"/>
      <c r="L898" s="106"/>
      <c r="M898" s="106"/>
      <c r="N898" s="105"/>
      <c r="O898" s="106"/>
      <c r="P898" s="105"/>
      <c r="Q898" s="105"/>
      <c r="R898" s="105"/>
      <c r="S898" s="105"/>
      <c r="T898" s="105"/>
    </row>
    <row r="899">
      <c r="A899" s="292"/>
      <c r="B899" s="103"/>
      <c r="C899" s="105"/>
      <c r="D899" s="105"/>
      <c r="E899" s="105"/>
      <c r="F899" s="105"/>
      <c r="G899" s="105"/>
      <c r="H899" s="105"/>
      <c r="I899" s="106"/>
      <c r="J899" s="106"/>
      <c r="K899" s="106"/>
      <c r="L899" s="106"/>
      <c r="M899" s="106"/>
      <c r="N899" s="105"/>
      <c r="O899" s="106"/>
      <c r="P899" s="105"/>
      <c r="Q899" s="105"/>
      <c r="R899" s="105"/>
      <c r="S899" s="105"/>
      <c r="T899" s="105"/>
    </row>
    <row r="900">
      <c r="A900" s="292"/>
      <c r="B900" s="103"/>
      <c r="C900" s="105"/>
      <c r="D900" s="105"/>
      <c r="E900" s="105"/>
      <c r="F900" s="105"/>
      <c r="G900" s="105"/>
      <c r="H900" s="105"/>
      <c r="I900" s="106"/>
      <c r="J900" s="106"/>
      <c r="K900" s="106"/>
      <c r="L900" s="106"/>
      <c r="M900" s="106"/>
      <c r="N900" s="105"/>
      <c r="O900" s="106"/>
      <c r="P900" s="105"/>
      <c r="Q900" s="105"/>
      <c r="R900" s="105"/>
      <c r="S900" s="105"/>
      <c r="T900" s="105"/>
    </row>
    <row r="901">
      <c r="A901" s="292"/>
      <c r="B901" s="103"/>
      <c r="C901" s="105"/>
      <c r="D901" s="105"/>
      <c r="E901" s="105"/>
      <c r="F901" s="105"/>
      <c r="G901" s="105"/>
      <c r="H901" s="105"/>
      <c r="I901" s="106"/>
      <c r="J901" s="106"/>
      <c r="K901" s="106"/>
      <c r="L901" s="106"/>
      <c r="M901" s="106"/>
      <c r="N901" s="105"/>
      <c r="O901" s="106"/>
      <c r="P901" s="105"/>
      <c r="Q901" s="105"/>
      <c r="R901" s="105"/>
      <c r="S901" s="105"/>
      <c r="T901" s="105"/>
    </row>
    <row r="902">
      <c r="A902" s="292"/>
      <c r="B902" s="103"/>
      <c r="C902" s="105"/>
      <c r="D902" s="105"/>
      <c r="E902" s="105"/>
      <c r="F902" s="105"/>
      <c r="G902" s="105"/>
      <c r="H902" s="105"/>
      <c r="I902" s="106"/>
      <c r="J902" s="106"/>
      <c r="K902" s="106"/>
      <c r="L902" s="106"/>
      <c r="M902" s="106"/>
      <c r="N902" s="105"/>
      <c r="O902" s="106"/>
      <c r="P902" s="105"/>
      <c r="Q902" s="105"/>
      <c r="R902" s="105"/>
      <c r="S902" s="105"/>
      <c r="T902" s="105"/>
    </row>
    <row r="903">
      <c r="A903" s="292"/>
      <c r="B903" s="103"/>
      <c r="C903" s="105"/>
      <c r="D903" s="105"/>
      <c r="E903" s="105"/>
      <c r="F903" s="105"/>
      <c r="G903" s="105"/>
      <c r="H903" s="105"/>
      <c r="I903" s="106"/>
      <c r="J903" s="106"/>
      <c r="K903" s="106"/>
      <c r="L903" s="106"/>
      <c r="M903" s="106"/>
      <c r="N903" s="105"/>
      <c r="O903" s="106"/>
      <c r="P903" s="105"/>
      <c r="Q903" s="105"/>
      <c r="R903" s="105"/>
      <c r="S903" s="105"/>
      <c r="T903" s="105"/>
    </row>
    <row r="904">
      <c r="A904" s="292"/>
      <c r="B904" s="103"/>
      <c r="C904" s="105"/>
      <c r="D904" s="105"/>
      <c r="E904" s="105"/>
      <c r="F904" s="105"/>
      <c r="G904" s="105"/>
      <c r="H904" s="105"/>
      <c r="I904" s="106"/>
      <c r="J904" s="106"/>
      <c r="K904" s="106"/>
      <c r="L904" s="106"/>
      <c r="M904" s="106"/>
      <c r="N904" s="105"/>
      <c r="O904" s="106"/>
      <c r="P904" s="105"/>
      <c r="Q904" s="105"/>
      <c r="R904" s="105"/>
      <c r="S904" s="105"/>
      <c r="T904" s="105"/>
    </row>
    <row r="905">
      <c r="A905" s="292"/>
      <c r="B905" s="103"/>
      <c r="C905" s="105"/>
      <c r="D905" s="105"/>
      <c r="E905" s="105"/>
      <c r="F905" s="105"/>
      <c r="G905" s="105"/>
      <c r="H905" s="105"/>
      <c r="I905" s="106"/>
      <c r="J905" s="106"/>
      <c r="K905" s="106"/>
      <c r="L905" s="106"/>
      <c r="M905" s="106"/>
      <c r="N905" s="105"/>
      <c r="O905" s="106"/>
      <c r="P905" s="105"/>
      <c r="Q905" s="105"/>
      <c r="R905" s="105"/>
      <c r="S905" s="105"/>
      <c r="T905" s="105"/>
    </row>
    <row r="906">
      <c r="A906" s="292"/>
      <c r="B906" s="103"/>
      <c r="C906" s="105"/>
      <c r="D906" s="105"/>
      <c r="E906" s="105"/>
      <c r="F906" s="105"/>
      <c r="G906" s="105"/>
      <c r="H906" s="105"/>
      <c r="I906" s="106"/>
      <c r="J906" s="106"/>
      <c r="K906" s="106"/>
      <c r="L906" s="106"/>
      <c r="M906" s="106"/>
      <c r="N906" s="105"/>
      <c r="O906" s="106"/>
      <c r="P906" s="105"/>
      <c r="Q906" s="105"/>
      <c r="R906" s="105"/>
      <c r="S906" s="105"/>
      <c r="T906" s="105"/>
    </row>
    <row r="907">
      <c r="A907" s="292"/>
      <c r="B907" s="103"/>
      <c r="C907" s="105"/>
      <c r="D907" s="105"/>
      <c r="E907" s="105"/>
      <c r="F907" s="105"/>
      <c r="G907" s="105"/>
      <c r="H907" s="105"/>
      <c r="I907" s="106"/>
      <c r="J907" s="106"/>
      <c r="K907" s="106"/>
      <c r="L907" s="106"/>
      <c r="M907" s="106"/>
      <c r="N907" s="105"/>
      <c r="O907" s="106"/>
      <c r="P907" s="105"/>
      <c r="Q907" s="105"/>
      <c r="R907" s="105"/>
      <c r="S907" s="105"/>
      <c r="T907" s="105"/>
    </row>
    <row r="908">
      <c r="A908" s="292"/>
      <c r="B908" s="103"/>
      <c r="C908" s="105"/>
      <c r="D908" s="105"/>
      <c r="E908" s="105"/>
      <c r="F908" s="105"/>
      <c r="G908" s="105"/>
      <c r="H908" s="105"/>
      <c r="I908" s="106"/>
      <c r="J908" s="106"/>
      <c r="K908" s="106"/>
      <c r="L908" s="106"/>
      <c r="M908" s="106"/>
      <c r="N908" s="105"/>
      <c r="O908" s="106"/>
      <c r="P908" s="105"/>
      <c r="Q908" s="105"/>
      <c r="R908" s="105"/>
      <c r="S908" s="105"/>
      <c r="T908" s="105"/>
    </row>
    <row r="909">
      <c r="A909" s="292"/>
      <c r="B909" s="103"/>
      <c r="C909" s="105"/>
      <c r="D909" s="105"/>
      <c r="E909" s="105"/>
      <c r="F909" s="105"/>
      <c r="G909" s="105"/>
      <c r="H909" s="105"/>
      <c r="I909" s="106"/>
      <c r="J909" s="106"/>
      <c r="K909" s="106"/>
      <c r="L909" s="106"/>
      <c r="M909" s="106"/>
      <c r="N909" s="105"/>
      <c r="O909" s="106"/>
      <c r="P909" s="105"/>
      <c r="Q909" s="105"/>
      <c r="R909" s="105"/>
      <c r="S909" s="105"/>
      <c r="T909" s="105"/>
    </row>
    <row r="910">
      <c r="A910" s="292"/>
      <c r="B910" s="103"/>
      <c r="C910" s="105"/>
      <c r="D910" s="105"/>
      <c r="E910" s="105"/>
      <c r="F910" s="105"/>
      <c r="G910" s="105"/>
      <c r="H910" s="105"/>
      <c r="I910" s="106"/>
      <c r="J910" s="106"/>
      <c r="K910" s="106"/>
      <c r="L910" s="106"/>
      <c r="M910" s="106"/>
      <c r="N910" s="105"/>
      <c r="O910" s="106"/>
      <c r="P910" s="105"/>
      <c r="Q910" s="105"/>
      <c r="R910" s="105"/>
      <c r="S910" s="105"/>
      <c r="T910" s="105"/>
    </row>
    <row r="911">
      <c r="A911" s="292"/>
      <c r="B911" s="103"/>
      <c r="C911" s="105"/>
      <c r="D911" s="105"/>
      <c r="E911" s="105"/>
      <c r="F911" s="105"/>
      <c r="G911" s="105"/>
      <c r="H911" s="105"/>
      <c r="I911" s="106"/>
      <c r="J911" s="106"/>
      <c r="K911" s="106"/>
      <c r="L911" s="106"/>
      <c r="M911" s="106"/>
      <c r="N911" s="105"/>
      <c r="O911" s="106"/>
      <c r="P911" s="105"/>
      <c r="Q911" s="105"/>
      <c r="R911" s="105"/>
      <c r="S911" s="105"/>
      <c r="T911" s="105"/>
    </row>
    <row r="912">
      <c r="A912" s="292"/>
      <c r="B912" s="103"/>
      <c r="C912" s="105"/>
      <c r="D912" s="105"/>
      <c r="E912" s="105"/>
      <c r="F912" s="105"/>
      <c r="G912" s="105"/>
      <c r="H912" s="105"/>
      <c r="I912" s="106"/>
      <c r="J912" s="106"/>
      <c r="K912" s="106"/>
      <c r="L912" s="106"/>
      <c r="M912" s="106"/>
      <c r="N912" s="105"/>
      <c r="O912" s="106"/>
      <c r="P912" s="105"/>
      <c r="Q912" s="105"/>
      <c r="R912" s="105"/>
      <c r="S912" s="105"/>
      <c r="T912" s="105"/>
    </row>
    <row r="913">
      <c r="A913" s="292"/>
      <c r="B913" s="103"/>
      <c r="C913" s="105"/>
      <c r="D913" s="105"/>
      <c r="E913" s="105"/>
      <c r="F913" s="105"/>
      <c r="G913" s="105"/>
      <c r="H913" s="105"/>
      <c r="I913" s="106"/>
      <c r="J913" s="106"/>
      <c r="K913" s="106"/>
      <c r="L913" s="106"/>
      <c r="M913" s="106"/>
      <c r="N913" s="105"/>
      <c r="O913" s="106"/>
      <c r="P913" s="105"/>
      <c r="Q913" s="105"/>
      <c r="R913" s="105"/>
      <c r="S913" s="105"/>
      <c r="T913" s="105"/>
    </row>
    <row r="914">
      <c r="A914" s="292"/>
      <c r="B914" s="103"/>
      <c r="C914" s="105"/>
      <c r="D914" s="105"/>
      <c r="E914" s="105"/>
      <c r="F914" s="105"/>
      <c r="G914" s="105"/>
      <c r="H914" s="105"/>
      <c r="I914" s="106"/>
      <c r="J914" s="106"/>
      <c r="K914" s="106"/>
      <c r="L914" s="106"/>
      <c r="M914" s="106"/>
      <c r="N914" s="105"/>
      <c r="O914" s="106"/>
      <c r="P914" s="105"/>
      <c r="Q914" s="105"/>
      <c r="R914" s="105"/>
      <c r="S914" s="105"/>
      <c r="T914" s="105"/>
    </row>
    <row r="915">
      <c r="A915" s="292"/>
      <c r="B915" s="103"/>
      <c r="C915" s="105"/>
      <c r="D915" s="105"/>
      <c r="E915" s="105"/>
      <c r="F915" s="105"/>
      <c r="G915" s="105"/>
      <c r="H915" s="105"/>
      <c r="I915" s="106"/>
      <c r="J915" s="106"/>
      <c r="K915" s="106"/>
      <c r="L915" s="106"/>
      <c r="M915" s="106"/>
      <c r="N915" s="105"/>
      <c r="O915" s="106"/>
      <c r="P915" s="105"/>
      <c r="Q915" s="105"/>
      <c r="R915" s="105"/>
      <c r="S915" s="105"/>
      <c r="T915" s="105"/>
    </row>
    <row r="916">
      <c r="A916" s="292"/>
      <c r="B916" s="103"/>
      <c r="C916" s="105"/>
      <c r="D916" s="105"/>
      <c r="E916" s="105"/>
      <c r="F916" s="105"/>
      <c r="G916" s="105"/>
      <c r="H916" s="105"/>
      <c r="I916" s="106"/>
      <c r="J916" s="106"/>
      <c r="K916" s="106"/>
      <c r="L916" s="106"/>
      <c r="M916" s="106"/>
      <c r="N916" s="105"/>
      <c r="O916" s="106"/>
      <c r="P916" s="105"/>
      <c r="Q916" s="105"/>
      <c r="R916" s="105"/>
      <c r="S916" s="105"/>
      <c r="T916" s="105"/>
    </row>
    <row r="917">
      <c r="A917" s="292"/>
      <c r="B917" s="103"/>
      <c r="C917" s="105"/>
      <c r="D917" s="105"/>
      <c r="E917" s="105"/>
      <c r="F917" s="105"/>
      <c r="G917" s="105"/>
      <c r="H917" s="105"/>
      <c r="I917" s="106"/>
      <c r="J917" s="106"/>
      <c r="K917" s="106"/>
      <c r="L917" s="106"/>
      <c r="M917" s="106"/>
      <c r="N917" s="105"/>
      <c r="O917" s="106"/>
      <c r="P917" s="105"/>
      <c r="Q917" s="105"/>
      <c r="R917" s="105"/>
      <c r="S917" s="105"/>
      <c r="T917" s="105"/>
    </row>
    <row r="918">
      <c r="A918" s="292"/>
      <c r="B918" s="103"/>
      <c r="C918" s="105"/>
      <c r="D918" s="105"/>
      <c r="E918" s="105"/>
      <c r="F918" s="105"/>
      <c r="G918" s="105"/>
      <c r="H918" s="105"/>
      <c r="I918" s="106"/>
      <c r="J918" s="106"/>
      <c r="K918" s="106"/>
      <c r="L918" s="106"/>
      <c r="M918" s="106"/>
      <c r="N918" s="105"/>
      <c r="O918" s="106"/>
      <c r="P918" s="105"/>
      <c r="Q918" s="105"/>
      <c r="R918" s="105"/>
      <c r="S918" s="105"/>
      <c r="T918" s="105"/>
    </row>
    <row r="919">
      <c r="A919" s="292"/>
      <c r="B919" s="103"/>
      <c r="C919" s="105"/>
      <c r="D919" s="105"/>
      <c r="E919" s="105"/>
      <c r="F919" s="105"/>
      <c r="G919" s="105"/>
      <c r="H919" s="105"/>
      <c r="I919" s="106"/>
      <c r="J919" s="106"/>
      <c r="K919" s="106"/>
      <c r="L919" s="106"/>
      <c r="M919" s="106"/>
      <c r="N919" s="105"/>
      <c r="O919" s="106"/>
      <c r="P919" s="105"/>
      <c r="Q919" s="105"/>
      <c r="R919" s="105"/>
      <c r="S919" s="105"/>
      <c r="T919" s="105"/>
    </row>
    <row r="920">
      <c r="A920" s="292"/>
      <c r="B920" s="103"/>
      <c r="C920" s="105"/>
      <c r="D920" s="105"/>
      <c r="E920" s="105"/>
      <c r="F920" s="105"/>
      <c r="G920" s="105"/>
      <c r="H920" s="105"/>
      <c r="I920" s="106"/>
      <c r="J920" s="106"/>
      <c r="K920" s="106"/>
      <c r="L920" s="106"/>
      <c r="M920" s="106"/>
      <c r="N920" s="105"/>
      <c r="O920" s="106"/>
      <c r="P920" s="105"/>
      <c r="Q920" s="105"/>
      <c r="R920" s="105"/>
      <c r="S920" s="105"/>
      <c r="T920" s="105"/>
    </row>
    <row r="921">
      <c r="A921" s="292"/>
      <c r="B921" s="103"/>
      <c r="C921" s="105"/>
      <c r="D921" s="105"/>
      <c r="E921" s="105"/>
      <c r="F921" s="105"/>
      <c r="G921" s="105"/>
      <c r="H921" s="105"/>
      <c r="I921" s="106"/>
      <c r="J921" s="106"/>
      <c r="K921" s="106"/>
      <c r="L921" s="106"/>
      <c r="M921" s="106"/>
      <c r="N921" s="105"/>
      <c r="O921" s="106"/>
      <c r="P921" s="105"/>
      <c r="Q921" s="105"/>
      <c r="R921" s="105"/>
      <c r="S921" s="105"/>
      <c r="T921" s="105"/>
    </row>
    <row r="922">
      <c r="A922" s="292"/>
      <c r="B922" s="103"/>
      <c r="C922" s="105"/>
      <c r="D922" s="105"/>
      <c r="E922" s="105"/>
      <c r="F922" s="105"/>
      <c r="G922" s="105"/>
      <c r="H922" s="105"/>
      <c r="I922" s="106"/>
      <c r="J922" s="106"/>
      <c r="K922" s="106"/>
      <c r="L922" s="106"/>
      <c r="M922" s="106"/>
      <c r="N922" s="105"/>
      <c r="O922" s="106"/>
      <c r="P922" s="105"/>
      <c r="Q922" s="105"/>
      <c r="R922" s="105"/>
      <c r="S922" s="105"/>
      <c r="T922" s="105"/>
    </row>
    <row r="923">
      <c r="A923" s="292"/>
      <c r="B923" s="103"/>
      <c r="C923" s="105"/>
      <c r="D923" s="105"/>
      <c r="E923" s="105"/>
      <c r="F923" s="105"/>
      <c r="G923" s="105"/>
      <c r="H923" s="105"/>
      <c r="I923" s="106"/>
      <c r="J923" s="106"/>
      <c r="K923" s="106"/>
      <c r="L923" s="106"/>
      <c r="M923" s="106"/>
      <c r="N923" s="105"/>
      <c r="O923" s="106"/>
      <c r="P923" s="105"/>
      <c r="Q923" s="105"/>
      <c r="R923" s="105"/>
      <c r="S923" s="105"/>
      <c r="T923" s="105"/>
    </row>
    <row r="924">
      <c r="A924" s="292"/>
      <c r="B924" s="103"/>
      <c r="C924" s="105"/>
      <c r="D924" s="105"/>
      <c r="E924" s="105"/>
      <c r="F924" s="105"/>
      <c r="G924" s="105"/>
      <c r="H924" s="105"/>
      <c r="I924" s="106"/>
      <c r="J924" s="106"/>
      <c r="K924" s="106"/>
      <c r="L924" s="106"/>
      <c r="M924" s="106"/>
      <c r="N924" s="105"/>
      <c r="O924" s="106"/>
      <c r="P924" s="105"/>
      <c r="Q924" s="105"/>
      <c r="R924" s="105"/>
      <c r="S924" s="105"/>
      <c r="T924" s="105"/>
    </row>
    <row r="925">
      <c r="A925" s="292"/>
      <c r="B925" s="103"/>
      <c r="C925" s="105"/>
      <c r="D925" s="105"/>
      <c r="E925" s="105"/>
      <c r="F925" s="105"/>
      <c r="G925" s="105"/>
      <c r="H925" s="105"/>
      <c r="I925" s="106"/>
      <c r="J925" s="106"/>
      <c r="K925" s="106"/>
      <c r="L925" s="106"/>
      <c r="M925" s="106"/>
      <c r="N925" s="105"/>
      <c r="O925" s="106"/>
      <c r="P925" s="105"/>
      <c r="Q925" s="105"/>
      <c r="R925" s="105"/>
      <c r="S925" s="105"/>
      <c r="T925" s="105"/>
    </row>
    <row r="926">
      <c r="A926" s="292"/>
      <c r="B926" s="103"/>
      <c r="C926" s="105"/>
      <c r="D926" s="105"/>
      <c r="E926" s="105"/>
      <c r="F926" s="105"/>
      <c r="G926" s="105"/>
      <c r="H926" s="105"/>
      <c r="I926" s="106"/>
      <c r="J926" s="106"/>
      <c r="K926" s="106"/>
      <c r="L926" s="106"/>
      <c r="M926" s="106"/>
      <c r="N926" s="105"/>
      <c r="O926" s="106"/>
      <c r="P926" s="105"/>
      <c r="Q926" s="105"/>
      <c r="R926" s="105"/>
      <c r="S926" s="105"/>
      <c r="T926" s="105"/>
    </row>
    <row r="927">
      <c r="A927" s="292"/>
      <c r="B927" s="103"/>
      <c r="C927" s="105"/>
      <c r="D927" s="105"/>
      <c r="E927" s="105"/>
      <c r="F927" s="105"/>
      <c r="G927" s="105"/>
      <c r="H927" s="105"/>
      <c r="I927" s="106"/>
      <c r="J927" s="106"/>
      <c r="K927" s="106"/>
      <c r="L927" s="106"/>
      <c r="M927" s="106"/>
      <c r="N927" s="105"/>
      <c r="O927" s="106"/>
      <c r="P927" s="105"/>
      <c r="Q927" s="105"/>
      <c r="R927" s="105"/>
      <c r="S927" s="105"/>
      <c r="T927" s="105"/>
    </row>
    <row r="928">
      <c r="A928" s="292"/>
      <c r="B928" s="103"/>
      <c r="C928" s="105"/>
      <c r="D928" s="105"/>
      <c r="E928" s="105"/>
      <c r="F928" s="105"/>
      <c r="G928" s="105"/>
      <c r="H928" s="105"/>
      <c r="I928" s="106"/>
      <c r="J928" s="106"/>
      <c r="K928" s="106"/>
      <c r="L928" s="106"/>
      <c r="M928" s="106"/>
      <c r="N928" s="105"/>
      <c r="O928" s="106"/>
      <c r="P928" s="105"/>
      <c r="Q928" s="105"/>
      <c r="R928" s="105"/>
      <c r="S928" s="105"/>
      <c r="T928" s="105"/>
    </row>
    <row r="929">
      <c r="A929" s="292"/>
      <c r="B929" s="103"/>
      <c r="C929" s="105"/>
      <c r="D929" s="105"/>
      <c r="E929" s="105"/>
      <c r="F929" s="105"/>
      <c r="G929" s="105"/>
      <c r="H929" s="105"/>
      <c r="I929" s="106"/>
      <c r="J929" s="106"/>
      <c r="K929" s="106"/>
      <c r="L929" s="106"/>
      <c r="M929" s="106"/>
      <c r="N929" s="105"/>
      <c r="O929" s="106"/>
      <c r="P929" s="105"/>
      <c r="Q929" s="105"/>
      <c r="R929" s="105"/>
      <c r="S929" s="105"/>
      <c r="T929" s="105"/>
    </row>
    <row r="930">
      <c r="A930" s="292"/>
      <c r="B930" s="103"/>
      <c r="C930" s="105"/>
      <c r="D930" s="105"/>
      <c r="E930" s="105"/>
      <c r="F930" s="105"/>
      <c r="G930" s="105"/>
      <c r="H930" s="105"/>
      <c r="I930" s="106"/>
      <c r="J930" s="106"/>
      <c r="K930" s="106"/>
      <c r="L930" s="106"/>
      <c r="M930" s="106"/>
      <c r="N930" s="105"/>
      <c r="O930" s="106"/>
      <c r="P930" s="105"/>
      <c r="Q930" s="105"/>
      <c r="R930" s="105"/>
      <c r="S930" s="105"/>
      <c r="T930" s="105"/>
    </row>
    <row r="931">
      <c r="A931" s="292"/>
      <c r="B931" s="103"/>
      <c r="C931" s="105"/>
      <c r="D931" s="105"/>
      <c r="E931" s="105"/>
      <c r="F931" s="105"/>
      <c r="G931" s="105"/>
      <c r="H931" s="105"/>
      <c r="I931" s="106"/>
      <c r="J931" s="106"/>
      <c r="K931" s="106"/>
      <c r="L931" s="106"/>
      <c r="M931" s="106"/>
      <c r="N931" s="105"/>
      <c r="O931" s="106"/>
      <c r="P931" s="105"/>
      <c r="Q931" s="105"/>
      <c r="R931" s="105"/>
      <c r="S931" s="105"/>
      <c r="T931" s="105"/>
    </row>
    <row r="932">
      <c r="A932" s="292"/>
      <c r="B932" s="103"/>
      <c r="C932" s="105"/>
      <c r="D932" s="105"/>
      <c r="E932" s="105"/>
      <c r="F932" s="105"/>
      <c r="G932" s="105"/>
      <c r="H932" s="105"/>
      <c r="I932" s="106"/>
      <c r="J932" s="106"/>
      <c r="K932" s="106"/>
      <c r="L932" s="106"/>
      <c r="M932" s="106"/>
      <c r="N932" s="105"/>
      <c r="O932" s="106"/>
      <c r="P932" s="105"/>
      <c r="Q932" s="105"/>
      <c r="R932" s="105"/>
      <c r="S932" s="105"/>
      <c r="T932" s="105"/>
    </row>
    <row r="933">
      <c r="A933" s="292"/>
      <c r="B933" s="103"/>
      <c r="C933" s="105"/>
      <c r="D933" s="105"/>
      <c r="E933" s="105"/>
      <c r="F933" s="105"/>
      <c r="G933" s="105"/>
      <c r="H933" s="105"/>
      <c r="I933" s="106"/>
      <c r="J933" s="106"/>
      <c r="K933" s="106"/>
      <c r="L933" s="106"/>
      <c r="M933" s="106"/>
      <c r="N933" s="105"/>
      <c r="O933" s="106"/>
      <c r="P933" s="105"/>
      <c r="Q933" s="105"/>
      <c r="R933" s="105"/>
      <c r="S933" s="105"/>
      <c r="T933" s="105"/>
    </row>
    <row r="934">
      <c r="A934" s="292"/>
      <c r="B934" s="103"/>
      <c r="C934" s="105"/>
      <c r="D934" s="105"/>
      <c r="E934" s="105"/>
      <c r="F934" s="105"/>
      <c r="G934" s="105"/>
      <c r="H934" s="105"/>
      <c r="I934" s="106"/>
      <c r="J934" s="106"/>
      <c r="K934" s="106"/>
      <c r="L934" s="106"/>
      <c r="M934" s="106"/>
      <c r="N934" s="105"/>
      <c r="O934" s="106"/>
      <c r="P934" s="105"/>
      <c r="Q934" s="105"/>
      <c r="R934" s="105"/>
      <c r="S934" s="105"/>
      <c r="T934" s="105"/>
    </row>
    <row r="935">
      <c r="A935" s="292"/>
      <c r="B935" s="103"/>
      <c r="C935" s="105"/>
      <c r="D935" s="105"/>
      <c r="E935" s="105"/>
      <c r="F935" s="105"/>
      <c r="G935" s="105"/>
      <c r="H935" s="105"/>
      <c r="I935" s="106"/>
      <c r="J935" s="106"/>
      <c r="K935" s="106"/>
      <c r="L935" s="106"/>
      <c r="M935" s="106"/>
      <c r="N935" s="105"/>
      <c r="O935" s="106"/>
      <c r="P935" s="105"/>
      <c r="Q935" s="105"/>
      <c r="R935" s="105"/>
      <c r="S935" s="105"/>
      <c r="T935" s="105"/>
    </row>
    <row r="936">
      <c r="A936" s="292"/>
      <c r="B936" s="103"/>
      <c r="C936" s="105"/>
      <c r="D936" s="105"/>
      <c r="E936" s="105"/>
      <c r="F936" s="105"/>
      <c r="G936" s="105"/>
      <c r="H936" s="105"/>
      <c r="I936" s="106"/>
      <c r="J936" s="106"/>
      <c r="K936" s="106"/>
      <c r="L936" s="106"/>
      <c r="M936" s="106"/>
      <c r="N936" s="105"/>
      <c r="O936" s="106"/>
      <c r="P936" s="105"/>
      <c r="Q936" s="105"/>
      <c r="R936" s="105"/>
      <c r="S936" s="105"/>
      <c r="T936" s="105"/>
    </row>
    <row r="937">
      <c r="A937" s="292"/>
      <c r="B937" s="103"/>
      <c r="C937" s="105"/>
      <c r="D937" s="105"/>
      <c r="E937" s="105"/>
      <c r="F937" s="105"/>
      <c r="G937" s="105"/>
      <c r="H937" s="105"/>
      <c r="I937" s="106"/>
      <c r="J937" s="106"/>
      <c r="K937" s="106"/>
      <c r="L937" s="106"/>
      <c r="M937" s="106"/>
      <c r="N937" s="105"/>
      <c r="O937" s="106"/>
      <c r="P937" s="105"/>
      <c r="Q937" s="105"/>
      <c r="R937" s="105"/>
      <c r="S937" s="105"/>
      <c r="T937" s="105"/>
    </row>
    <row r="938">
      <c r="A938" s="292"/>
      <c r="B938" s="103"/>
      <c r="C938" s="105"/>
      <c r="D938" s="105"/>
      <c r="E938" s="105"/>
      <c r="F938" s="105"/>
      <c r="G938" s="105"/>
      <c r="H938" s="105"/>
      <c r="I938" s="106"/>
      <c r="J938" s="106"/>
      <c r="K938" s="106"/>
      <c r="L938" s="106"/>
      <c r="M938" s="106"/>
      <c r="N938" s="105"/>
      <c r="O938" s="106"/>
      <c r="P938" s="105"/>
      <c r="Q938" s="105"/>
      <c r="R938" s="105"/>
      <c r="S938" s="105"/>
      <c r="T938" s="105"/>
    </row>
    <row r="939">
      <c r="A939" s="292"/>
      <c r="B939" s="103"/>
      <c r="C939" s="105"/>
      <c r="D939" s="105"/>
      <c r="E939" s="105"/>
      <c r="F939" s="105"/>
      <c r="G939" s="105"/>
      <c r="H939" s="105"/>
      <c r="I939" s="106"/>
      <c r="J939" s="106"/>
      <c r="K939" s="106"/>
      <c r="L939" s="106"/>
      <c r="M939" s="106"/>
      <c r="N939" s="105"/>
      <c r="O939" s="106"/>
      <c r="P939" s="105"/>
      <c r="Q939" s="105"/>
      <c r="R939" s="105"/>
      <c r="S939" s="105"/>
      <c r="T939" s="105"/>
    </row>
    <row r="940">
      <c r="A940" s="292"/>
      <c r="B940" s="103"/>
      <c r="C940" s="105"/>
      <c r="D940" s="105"/>
      <c r="E940" s="105"/>
      <c r="F940" s="105"/>
      <c r="G940" s="105"/>
      <c r="H940" s="105"/>
      <c r="I940" s="106"/>
      <c r="J940" s="106"/>
      <c r="K940" s="106"/>
      <c r="L940" s="106"/>
      <c r="M940" s="106"/>
      <c r="N940" s="105"/>
      <c r="O940" s="106"/>
      <c r="P940" s="105"/>
      <c r="Q940" s="105"/>
      <c r="R940" s="105"/>
      <c r="S940" s="105"/>
      <c r="T940" s="105"/>
    </row>
    <row r="941">
      <c r="A941" s="292"/>
      <c r="B941" s="103"/>
      <c r="C941" s="105"/>
      <c r="D941" s="105"/>
      <c r="E941" s="105"/>
      <c r="F941" s="105"/>
      <c r="G941" s="105"/>
      <c r="H941" s="105"/>
      <c r="I941" s="106"/>
      <c r="J941" s="106"/>
      <c r="K941" s="106"/>
      <c r="L941" s="106"/>
      <c r="M941" s="106"/>
      <c r="N941" s="105"/>
      <c r="O941" s="106"/>
      <c r="P941" s="105"/>
      <c r="Q941" s="105"/>
      <c r="R941" s="105"/>
      <c r="S941" s="105"/>
      <c r="T941" s="105"/>
    </row>
    <row r="942">
      <c r="A942" s="292"/>
      <c r="B942" s="103"/>
      <c r="C942" s="105"/>
      <c r="D942" s="105"/>
      <c r="E942" s="105"/>
      <c r="F942" s="105"/>
      <c r="G942" s="105"/>
      <c r="H942" s="105"/>
      <c r="I942" s="106"/>
      <c r="J942" s="106"/>
      <c r="K942" s="106"/>
      <c r="L942" s="106"/>
      <c r="M942" s="106"/>
      <c r="N942" s="105"/>
      <c r="O942" s="106"/>
      <c r="P942" s="105"/>
      <c r="Q942" s="105"/>
      <c r="R942" s="105"/>
      <c r="S942" s="105"/>
      <c r="T942" s="105"/>
    </row>
    <row r="943">
      <c r="A943" s="292"/>
      <c r="B943" s="103"/>
      <c r="C943" s="105"/>
      <c r="D943" s="105"/>
      <c r="E943" s="105"/>
      <c r="F943" s="105"/>
      <c r="G943" s="105"/>
      <c r="H943" s="105"/>
      <c r="I943" s="106"/>
      <c r="J943" s="106"/>
      <c r="K943" s="106"/>
      <c r="L943" s="106"/>
      <c r="M943" s="106"/>
      <c r="N943" s="105"/>
      <c r="O943" s="106"/>
      <c r="P943" s="105"/>
      <c r="Q943" s="105"/>
      <c r="R943" s="105"/>
      <c r="S943" s="105"/>
      <c r="T943" s="105"/>
    </row>
    <row r="944">
      <c r="A944" s="292"/>
      <c r="B944" s="103"/>
      <c r="C944" s="105"/>
      <c r="D944" s="105"/>
      <c r="E944" s="105"/>
      <c r="F944" s="105"/>
      <c r="G944" s="105"/>
      <c r="H944" s="105"/>
      <c r="I944" s="106"/>
      <c r="J944" s="106"/>
      <c r="K944" s="106"/>
      <c r="L944" s="106"/>
      <c r="M944" s="106"/>
      <c r="N944" s="105"/>
      <c r="O944" s="106"/>
      <c r="P944" s="105"/>
      <c r="Q944" s="105"/>
      <c r="R944" s="105"/>
      <c r="S944" s="105"/>
      <c r="T944" s="105"/>
    </row>
    <row r="945">
      <c r="A945" s="292"/>
      <c r="B945" s="103"/>
      <c r="C945" s="105"/>
      <c r="D945" s="105"/>
      <c r="E945" s="105"/>
      <c r="F945" s="105"/>
      <c r="G945" s="105"/>
      <c r="H945" s="105"/>
      <c r="I945" s="106"/>
      <c r="J945" s="106"/>
      <c r="K945" s="106"/>
      <c r="L945" s="106"/>
      <c r="M945" s="106"/>
      <c r="N945" s="105"/>
      <c r="O945" s="106"/>
      <c r="P945" s="105"/>
      <c r="Q945" s="105"/>
      <c r="R945" s="105"/>
      <c r="S945" s="105"/>
      <c r="T945" s="105"/>
    </row>
    <row r="946">
      <c r="A946" s="292"/>
      <c r="B946" s="103"/>
      <c r="C946" s="105"/>
      <c r="D946" s="105"/>
      <c r="E946" s="105"/>
      <c r="F946" s="105"/>
      <c r="G946" s="105"/>
      <c r="H946" s="105"/>
      <c r="I946" s="106"/>
      <c r="J946" s="106"/>
      <c r="K946" s="106"/>
      <c r="L946" s="106"/>
      <c r="M946" s="106"/>
      <c r="N946" s="105"/>
      <c r="O946" s="106"/>
      <c r="P946" s="105"/>
      <c r="Q946" s="105"/>
      <c r="R946" s="105"/>
      <c r="S946" s="105"/>
      <c r="T946" s="105"/>
    </row>
    <row r="947">
      <c r="A947" s="292"/>
      <c r="B947" s="103"/>
      <c r="C947" s="105"/>
      <c r="D947" s="105"/>
      <c r="E947" s="105"/>
      <c r="F947" s="105"/>
      <c r="G947" s="105"/>
      <c r="H947" s="105"/>
      <c r="I947" s="106"/>
      <c r="J947" s="106"/>
      <c r="K947" s="106"/>
      <c r="L947" s="106"/>
      <c r="M947" s="106"/>
      <c r="N947" s="105"/>
      <c r="O947" s="106"/>
      <c r="P947" s="105"/>
      <c r="Q947" s="105"/>
      <c r="R947" s="105"/>
      <c r="S947" s="105"/>
      <c r="T947" s="105"/>
    </row>
    <row r="948">
      <c r="A948" s="292"/>
      <c r="B948" s="103"/>
      <c r="C948" s="105"/>
      <c r="D948" s="105"/>
      <c r="E948" s="105"/>
      <c r="F948" s="105"/>
      <c r="G948" s="105"/>
      <c r="H948" s="105"/>
      <c r="I948" s="106"/>
      <c r="J948" s="106"/>
      <c r="K948" s="106"/>
      <c r="L948" s="106"/>
      <c r="M948" s="106"/>
      <c r="N948" s="105"/>
      <c r="O948" s="106"/>
      <c r="P948" s="105"/>
      <c r="Q948" s="105"/>
      <c r="R948" s="105"/>
      <c r="S948" s="105"/>
      <c r="T948" s="105"/>
    </row>
    <row r="949">
      <c r="A949" s="292"/>
      <c r="B949" s="103"/>
      <c r="C949" s="105"/>
      <c r="D949" s="105"/>
      <c r="E949" s="105"/>
      <c r="F949" s="105"/>
      <c r="G949" s="105"/>
      <c r="H949" s="105"/>
      <c r="I949" s="106"/>
      <c r="J949" s="106"/>
      <c r="K949" s="106"/>
      <c r="L949" s="106"/>
      <c r="M949" s="106"/>
      <c r="N949" s="105"/>
      <c r="O949" s="106"/>
      <c r="P949" s="105"/>
      <c r="Q949" s="105"/>
      <c r="R949" s="105"/>
      <c r="S949" s="105"/>
      <c r="T949" s="105"/>
    </row>
    <row r="950">
      <c r="A950" s="292"/>
      <c r="B950" s="103"/>
      <c r="C950" s="105"/>
      <c r="D950" s="105"/>
      <c r="E950" s="105"/>
      <c r="F950" s="105"/>
      <c r="G950" s="105"/>
      <c r="H950" s="105"/>
      <c r="I950" s="106"/>
      <c r="J950" s="106"/>
      <c r="K950" s="106"/>
      <c r="L950" s="106"/>
      <c r="M950" s="106"/>
      <c r="N950" s="105"/>
      <c r="O950" s="106"/>
      <c r="P950" s="105"/>
      <c r="Q950" s="105"/>
      <c r="R950" s="105"/>
      <c r="S950" s="105"/>
      <c r="T950" s="105"/>
    </row>
    <row r="951">
      <c r="A951" s="292"/>
      <c r="B951" s="103"/>
      <c r="C951" s="105"/>
      <c r="D951" s="105"/>
      <c r="E951" s="105"/>
      <c r="F951" s="105"/>
      <c r="G951" s="105"/>
      <c r="H951" s="105"/>
      <c r="I951" s="106"/>
      <c r="J951" s="106"/>
      <c r="K951" s="106"/>
      <c r="L951" s="106"/>
      <c r="M951" s="106"/>
      <c r="N951" s="105"/>
      <c r="O951" s="106"/>
      <c r="P951" s="105"/>
      <c r="Q951" s="105"/>
      <c r="R951" s="105"/>
      <c r="S951" s="105"/>
      <c r="T951" s="105"/>
    </row>
    <row r="952">
      <c r="A952" s="292"/>
      <c r="B952" s="103"/>
      <c r="C952" s="105"/>
      <c r="D952" s="105"/>
      <c r="E952" s="105"/>
      <c r="F952" s="105"/>
      <c r="G952" s="105"/>
      <c r="H952" s="105"/>
      <c r="I952" s="106"/>
      <c r="J952" s="106"/>
      <c r="K952" s="106"/>
      <c r="L952" s="106"/>
      <c r="M952" s="106"/>
      <c r="N952" s="105"/>
      <c r="O952" s="106"/>
      <c r="P952" s="105"/>
      <c r="Q952" s="105"/>
      <c r="R952" s="105"/>
      <c r="S952" s="105"/>
      <c r="T952" s="105"/>
    </row>
    <row r="953">
      <c r="A953" s="292"/>
      <c r="B953" s="103"/>
      <c r="C953" s="105"/>
      <c r="D953" s="105"/>
      <c r="E953" s="105"/>
      <c r="F953" s="105"/>
      <c r="G953" s="105"/>
      <c r="H953" s="105"/>
      <c r="I953" s="106"/>
      <c r="J953" s="106"/>
      <c r="K953" s="106"/>
      <c r="L953" s="106"/>
      <c r="M953" s="106"/>
      <c r="N953" s="105"/>
      <c r="O953" s="106"/>
      <c r="P953" s="105"/>
      <c r="Q953" s="105"/>
      <c r="R953" s="105"/>
      <c r="S953" s="105"/>
      <c r="T953" s="105"/>
    </row>
    <row r="954">
      <c r="A954" s="292"/>
      <c r="B954" s="103"/>
      <c r="C954" s="105"/>
      <c r="D954" s="105"/>
      <c r="E954" s="105"/>
      <c r="F954" s="105"/>
      <c r="G954" s="105"/>
      <c r="H954" s="105"/>
      <c r="I954" s="106"/>
      <c r="J954" s="106"/>
      <c r="K954" s="106"/>
      <c r="L954" s="106"/>
      <c r="M954" s="106"/>
      <c r="N954" s="105"/>
      <c r="O954" s="106"/>
      <c r="P954" s="105"/>
      <c r="Q954" s="105"/>
      <c r="R954" s="105"/>
      <c r="S954" s="105"/>
      <c r="T954" s="105"/>
    </row>
    <row r="955">
      <c r="A955" s="292"/>
      <c r="B955" s="103"/>
      <c r="C955" s="105"/>
      <c r="D955" s="105"/>
      <c r="E955" s="105"/>
      <c r="F955" s="105"/>
      <c r="G955" s="105"/>
      <c r="H955" s="105"/>
      <c r="I955" s="106"/>
      <c r="J955" s="106"/>
      <c r="K955" s="106"/>
      <c r="L955" s="106"/>
      <c r="M955" s="106"/>
      <c r="N955" s="105"/>
      <c r="O955" s="106"/>
      <c r="P955" s="105"/>
      <c r="Q955" s="105"/>
      <c r="R955" s="105"/>
      <c r="S955" s="105"/>
      <c r="T955" s="105"/>
    </row>
    <row r="956">
      <c r="A956" s="292"/>
      <c r="B956" s="103"/>
      <c r="C956" s="105"/>
      <c r="D956" s="105"/>
      <c r="E956" s="105"/>
      <c r="F956" s="105"/>
      <c r="G956" s="105"/>
      <c r="H956" s="105"/>
      <c r="I956" s="106"/>
      <c r="J956" s="106"/>
      <c r="K956" s="106"/>
      <c r="L956" s="106"/>
      <c r="M956" s="106"/>
      <c r="N956" s="105"/>
      <c r="O956" s="106"/>
      <c r="P956" s="105"/>
      <c r="Q956" s="105"/>
      <c r="R956" s="105"/>
      <c r="S956" s="105"/>
      <c r="T956" s="105"/>
    </row>
    <row r="957">
      <c r="A957" s="292"/>
      <c r="B957" s="103"/>
      <c r="C957" s="105"/>
      <c r="D957" s="105"/>
      <c r="E957" s="105"/>
      <c r="F957" s="105"/>
      <c r="G957" s="105"/>
      <c r="H957" s="105"/>
      <c r="I957" s="106"/>
      <c r="J957" s="106"/>
      <c r="K957" s="106"/>
      <c r="L957" s="106"/>
      <c r="M957" s="106"/>
      <c r="N957" s="105"/>
      <c r="O957" s="106"/>
      <c r="P957" s="105"/>
      <c r="Q957" s="105"/>
      <c r="R957" s="105"/>
      <c r="S957" s="105"/>
      <c r="T957" s="105"/>
    </row>
    <row r="958">
      <c r="A958" s="292"/>
      <c r="B958" s="103"/>
      <c r="C958" s="105"/>
      <c r="D958" s="105"/>
      <c r="E958" s="105"/>
      <c r="F958" s="105"/>
      <c r="G958" s="105"/>
      <c r="H958" s="105"/>
      <c r="I958" s="106"/>
      <c r="J958" s="106"/>
      <c r="K958" s="106"/>
      <c r="L958" s="106"/>
      <c r="M958" s="106"/>
      <c r="N958" s="105"/>
      <c r="O958" s="106"/>
      <c r="P958" s="105"/>
      <c r="Q958" s="105"/>
      <c r="R958" s="105"/>
      <c r="S958" s="105"/>
      <c r="T958" s="105"/>
    </row>
    <row r="959">
      <c r="A959" s="292"/>
      <c r="B959" s="103"/>
      <c r="C959" s="105"/>
      <c r="D959" s="105"/>
      <c r="E959" s="105"/>
      <c r="F959" s="105"/>
      <c r="G959" s="105"/>
      <c r="H959" s="105"/>
      <c r="I959" s="106"/>
      <c r="J959" s="106"/>
      <c r="K959" s="106"/>
      <c r="L959" s="106"/>
      <c r="M959" s="106"/>
      <c r="N959" s="105"/>
      <c r="O959" s="106"/>
      <c r="P959" s="105"/>
      <c r="Q959" s="105"/>
      <c r="R959" s="105"/>
      <c r="S959" s="105"/>
      <c r="T959" s="105"/>
    </row>
    <row r="960">
      <c r="A960" s="292"/>
      <c r="B960" s="103"/>
      <c r="C960" s="105"/>
      <c r="D960" s="105"/>
      <c r="E960" s="105"/>
      <c r="F960" s="105"/>
      <c r="G960" s="105"/>
      <c r="H960" s="105"/>
      <c r="I960" s="106"/>
      <c r="J960" s="106"/>
      <c r="K960" s="106"/>
      <c r="L960" s="106"/>
      <c r="M960" s="106"/>
      <c r="N960" s="105"/>
      <c r="O960" s="106"/>
      <c r="P960" s="105"/>
      <c r="Q960" s="105"/>
      <c r="R960" s="105"/>
      <c r="S960" s="105"/>
      <c r="T960" s="105"/>
    </row>
    <row r="961">
      <c r="A961" s="292"/>
      <c r="B961" s="103"/>
      <c r="C961" s="105"/>
      <c r="D961" s="105"/>
      <c r="E961" s="105"/>
      <c r="F961" s="105"/>
      <c r="G961" s="105"/>
      <c r="H961" s="105"/>
      <c r="I961" s="106"/>
      <c r="J961" s="106"/>
      <c r="K961" s="106"/>
      <c r="L961" s="106"/>
      <c r="M961" s="106"/>
      <c r="N961" s="105"/>
      <c r="O961" s="106"/>
      <c r="P961" s="105"/>
      <c r="Q961" s="105"/>
      <c r="R961" s="105"/>
      <c r="S961" s="105"/>
      <c r="T961" s="105"/>
    </row>
    <row r="962">
      <c r="A962" s="292"/>
      <c r="B962" s="103"/>
      <c r="C962" s="105"/>
      <c r="D962" s="105"/>
      <c r="E962" s="105"/>
      <c r="F962" s="105"/>
      <c r="G962" s="105"/>
      <c r="H962" s="105"/>
      <c r="I962" s="106"/>
      <c r="J962" s="106"/>
      <c r="K962" s="106"/>
      <c r="L962" s="106"/>
      <c r="M962" s="106"/>
      <c r="N962" s="105"/>
      <c r="O962" s="106"/>
      <c r="P962" s="105"/>
      <c r="Q962" s="105"/>
      <c r="R962" s="105"/>
      <c r="S962" s="105"/>
      <c r="T962" s="105"/>
    </row>
    <row r="963">
      <c r="A963" s="292"/>
      <c r="B963" s="103"/>
      <c r="C963" s="105"/>
      <c r="D963" s="105"/>
      <c r="E963" s="105"/>
      <c r="F963" s="105"/>
      <c r="G963" s="105"/>
      <c r="H963" s="105"/>
      <c r="I963" s="106"/>
      <c r="J963" s="106"/>
      <c r="K963" s="106"/>
      <c r="L963" s="106"/>
      <c r="M963" s="106"/>
      <c r="N963" s="105"/>
      <c r="O963" s="106"/>
      <c r="P963" s="105"/>
      <c r="Q963" s="105"/>
      <c r="R963" s="105"/>
      <c r="S963" s="105"/>
      <c r="T963" s="105"/>
    </row>
    <row r="964">
      <c r="A964" s="292"/>
      <c r="B964" s="103"/>
      <c r="C964" s="105"/>
      <c r="D964" s="105"/>
      <c r="E964" s="105"/>
      <c r="F964" s="105"/>
      <c r="G964" s="105"/>
      <c r="H964" s="105"/>
      <c r="I964" s="106"/>
      <c r="J964" s="106"/>
      <c r="K964" s="106"/>
      <c r="L964" s="106"/>
      <c r="M964" s="106"/>
      <c r="N964" s="105"/>
      <c r="O964" s="106"/>
      <c r="P964" s="105"/>
      <c r="Q964" s="105"/>
      <c r="R964" s="105"/>
      <c r="S964" s="105"/>
      <c r="T964" s="105"/>
    </row>
    <row r="965">
      <c r="A965" s="292"/>
      <c r="B965" s="103"/>
      <c r="C965" s="105"/>
      <c r="D965" s="105"/>
      <c r="E965" s="105"/>
      <c r="F965" s="105"/>
      <c r="G965" s="105"/>
      <c r="H965" s="105"/>
      <c r="I965" s="106"/>
      <c r="J965" s="106"/>
      <c r="K965" s="106"/>
      <c r="L965" s="106"/>
      <c r="M965" s="106"/>
      <c r="N965" s="105"/>
      <c r="O965" s="106"/>
      <c r="P965" s="105"/>
      <c r="Q965" s="105"/>
      <c r="R965" s="105"/>
      <c r="S965" s="105"/>
      <c r="T965" s="105"/>
    </row>
    <row r="966">
      <c r="A966" s="292"/>
      <c r="B966" s="103"/>
      <c r="C966" s="105"/>
      <c r="D966" s="105"/>
      <c r="E966" s="105"/>
      <c r="F966" s="105"/>
      <c r="G966" s="105"/>
      <c r="H966" s="105"/>
      <c r="I966" s="106"/>
      <c r="J966" s="106"/>
      <c r="K966" s="106"/>
      <c r="L966" s="106"/>
      <c r="M966" s="106"/>
      <c r="N966" s="105"/>
      <c r="O966" s="106"/>
      <c r="P966" s="105"/>
      <c r="Q966" s="105"/>
      <c r="R966" s="105"/>
      <c r="S966" s="105"/>
      <c r="T966" s="105"/>
    </row>
    <row r="967">
      <c r="A967" s="292"/>
      <c r="B967" s="103"/>
      <c r="C967" s="105"/>
      <c r="D967" s="105"/>
      <c r="E967" s="105"/>
      <c r="F967" s="105"/>
      <c r="G967" s="105"/>
      <c r="H967" s="105"/>
      <c r="I967" s="106"/>
      <c r="J967" s="106"/>
      <c r="K967" s="106"/>
      <c r="L967" s="106"/>
      <c r="M967" s="106"/>
      <c r="N967" s="105"/>
      <c r="O967" s="106"/>
      <c r="P967" s="105"/>
      <c r="Q967" s="105"/>
      <c r="R967" s="105"/>
      <c r="S967" s="105"/>
      <c r="T967" s="105"/>
    </row>
    <row r="968">
      <c r="A968" s="292"/>
      <c r="B968" s="103"/>
      <c r="C968" s="105"/>
      <c r="D968" s="105"/>
      <c r="E968" s="105"/>
      <c r="F968" s="105"/>
      <c r="G968" s="105"/>
      <c r="H968" s="105"/>
      <c r="I968" s="106"/>
      <c r="J968" s="106"/>
      <c r="K968" s="106"/>
      <c r="L968" s="106"/>
      <c r="M968" s="106"/>
      <c r="N968" s="105"/>
      <c r="O968" s="106"/>
      <c r="P968" s="105"/>
      <c r="Q968" s="105"/>
      <c r="R968" s="105"/>
      <c r="S968" s="105"/>
      <c r="T968" s="105"/>
    </row>
    <row r="969">
      <c r="A969" s="292"/>
      <c r="B969" s="103"/>
      <c r="C969" s="105"/>
      <c r="D969" s="105"/>
      <c r="E969" s="105"/>
      <c r="F969" s="105"/>
      <c r="G969" s="105"/>
      <c r="H969" s="105"/>
      <c r="I969" s="106"/>
      <c r="J969" s="106"/>
      <c r="K969" s="106"/>
      <c r="L969" s="106"/>
      <c r="M969" s="106"/>
      <c r="N969" s="105"/>
      <c r="O969" s="106"/>
      <c r="P969" s="105"/>
      <c r="Q969" s="105"/>
      <c r="R969" s="105"/>
      <c r="S969" s="105"/>
      <c r="T969" s="105"/>
    </row>
    <row r="970">
      <c r="A970" s="292"/>
      <c r="B970" s="103"/>
      <c r="C970" s="105"/>
      <c r="D970" s="105"/>
      <c r="E970" s="105"/>
      <c r="F970" s="105"/>
      <c r="G970" s="105"/>
      <c r="H970" s="105"/>
      <c r="I970" s="106"/>
      <c r="J970" s="106"/>
      <c r="K970" s="106"/>
      <c r="L970" s="106"/>
      <c r="M970" s="106"/>
      <c r="N970" s="105"/>
      <c r="O970" s="106"/>
      <c r="P970" s="105"/>
      <c r="Q970" s="105"/>
      <c r="R970" s="105"/>
      <c r="S970" s="105"/>
      <c r="T970" s="105"/>
    </row>
    <row r="971">
      <c r="A971" s="292"/>
      <c r="B971" s="103"/>
      <c r="C971" s="105"/>
      <c r="D971" s="105"/>
      <c r="E971" s="105"/>
      <c r="F971" s="105"/>
      <c r="G971" s="105"/>
      <c r="H971" s="105"/>
      <c r="I971" s="106"/>
      <c r="J971" s="106"/>
      <c r="K971" s="106"/>
      <c r="L971" s="106"/>
      <c r="M971" s="106"/>
      <c r="N971" s="105"/>
      <c r="O971" s="106"/>
      <c r="P971" s="105"/>
      <c r="Q971" s="105"/>
      <c r="R971" s="105"/>
      <c r="S971" s="105"/>
      <c r="T971" s="105"/>
    </row>
    <row r="972">
      <c r="A972" s="292"/>
      <c r="B972" s="103"/>
      <c r="C972" s="105"/>
      <c r="D972" s="105"/>
      <c r="E972" s="105"/>
      <c r="F972" s="105"/>
      <c r="G972" s="105"/>
      <c r="H972" s="105"/>
      <c r="I972" s="106"/>
      <c r="J972" s="106"/>
      <c r="K972" s="106"/>
      <c r="L972" s="106"/>
      <c r="M972" s="106"/>
      <c r="N972" s="105"/>
      <c r="O972" s="106"/>
      <c r="P972" s="105"/>
      <c r="Q972" s="105"/>
      <c r="R972" s="105"/>
      <c r="S972" s="105"/>
      <c r="T972" s="105"/>
    </row>
    <row r="973">
      <c r="A973" s="292"/>
      <c r="B973" s="103"/>
      <c r="C973" s="105"/>
      <c r="D973" s="105"/>
      <c r="E973" s="105"/>
      <c r="F973" s="105"/>
      <c r="G973" s="105"/>
      <c r="H973" s="105"/>
      <c r="I973" s="106"/>
      <c r="J973" s="106"/>
      <c r="K973" s="106"/>
      <c r="L973" s="106"/>
      <c r="M973" s="106"/>
      <c r="N973" s="105"/>
      <c r="O973" s="106"/>
      <c r="P973" s="105"/>
      <c r="Q973" s="105"/>
      <c r="R973" s="105"/>
      <c r="S973" s="105"/>
      <c r="T973" s="105"/>
    </row>
    <row r="974">
      <c r="A974" s="292"/>
      <c r="B974" s="103"/>
      <c r="C974" s="105"/>
      <c r="D974" s="105"/>
      <c r="E974" s="105"/>
      <c r="F974" s="105"/>
      <c r="G974" s="105"/>
      <c r="H974" s="105"/>
      <c r="I974" s="106"/>
      <c r="J974" s="106"/>
      <c r="K974" s="106"/>
      <c r="L974" s="106"/>
      <c r="M974" s="106"/>
      <c r="N974" s="105"/>
      <c r="O974" s="106"/>
      <c r="P974" s="105"/>
      <c r="Q974" s="105"/>
      <c r="R974" s="105"/>
      <c r="S974" s="105"/>
      <c r="T974" s="105"/>
    </row>
    <row r="975">
      <c r="A975" s="292"/>
      <c r="B975" s="103"/>
      <c r="C975" s="105"/>
      <c r="D975" s="105"/>
      <c r="E975" s="105"/>
      <c r="F975" s="105"/>
      <c r="G975" s="105"/>
      <c r="H975" s="105"/>
      <c r="I975" s="106"/>
      <c r="J975" s="106"/>
      <c r="K975" s="106"/>
      <c r="L975" s="106"/>
      <c r="M975" s="106"/>
      <c r="N975" s="105"/>
      <c r="O975" s="106"/>
      <c r="P975" s="105"/>
      <c r="Q975" s="105"/>
      <c r="R975" s="105"/>
      <c r="S975" s="105"/>
      <c r="T975" s="105"/>
    </row>
    <row r="976">
      <c r="A976" s="292"/>
      <c r="B976" s="103"/>
      <c r="C976" s="105"/>
      <c r="D976" s="105"/>
      <c r="E976" s="105"/>
      <c r="F976" s="105"/>
      <c r="G976" s="105"/>
      <c r="H976" s="105"/>
      <c r="I976" s="106"/>
      <c r="J976" s="106"/>
      <c r="K976" s="106"/>
      <c r="L976" s="106"/>
      <c r="M976" s="106"/>
      <c r="N976" s="105"/>
      <c r="O976" s="106"/>
      <c r="P976" s="105"/>
      <c r="Q976" s="105"/>
      <c r="R976" s="105"/>
      <c r="S976" s="105"/>
      <c r="T976" s="105"/>
    </row>
    <row r="977">
      <c r="A977" s="292"/>
      <c r="B977" s="103"/>
      <c r="C977" s="105"/>
      <c r="D977" s="105"/>
      <c r="E977" s="105"/>
      <c r="F977" s="105"/>
      <c r="G977" s="105"/>
      <c r="H977" s="105"/>
      <c r="I977" s="106"/>
      <c r="J977" s="106"/>
      <c r="K977" s="106"/>
      <c r="L977" s="106"/>
      <c r="M977" s="106"/>
      <c r="N977" s="105"/>
      <c r="O977" s="106"/>
      <c r="P977" s="105"/>
      <c r="Q977" s="105"/>
      <c r="R977" s="105"/>
      <c r="S977" s="105"/>
      <c r="T977" s="105"/>
    </row>
    <row r="978">
      <c r="A978" s="292"/>
      <c r="B978" s="103"/>
      <c r="C978" s="105"/>
      <c r="D978" s="105"/>
      <c r="E978" s="105"/>
      <c r="F978" s="105"/>
      <c r="G978" s="105"/>
      <c r="H978" s="105"/>
      <c r="I978" s="106"/>
      <c r="J978" s="106"/>
      <c r="K978" s="106"/>
      <c r="L978" s="106"/>
      <c r="M978" s="106"/>
      <c r="N978" s="105"/>
      <c r="O978" s="106"/>
      <c r="P978" s="105"/>
      <c r="Q978" s="105"/>
      <c r="R978" s="105"/>
      <c r="S978" s="105"/>
      <c r="T978" s="105"/>
    </row>
    <row r="979">
      <c r="A979" s="292"/>
      <c r="B979" s="103"/>
      <c r="C979" s="105"/>
      <c r="D979" s="105"/>
      <c r="E979" s="105"/>
      <c r="F979" s="105"/>
      <c r="G979" s="105"/>
      <c r="H979" s="105"/>
      <c r="I979" s="106"/>
      <c r="J979" s="106"/>
      <c r="K979" s="106"/>
      <c r="L979" s="106"/>
      <c r="M979" s="106"/>
      <c r="N979" s="105"/>
      <c r="O979" s="106"/>
      <c r="P979" s="105"/>
      <c r="Q979" s="105"/>
      <c r="R979" s="105"/>
      <c r="S979" s="105"/>
      <c r="T979" s="105"/>
    </row>
    <row r="980">
      <c r="A980" s="292"/>
      <c r="B980" s="103"/>
      <c r="C980" s="105"/>
      <c r="D980" s="105"/>
      <c r="E980" s="105"/>
      <c r="F980" s="105"/>
      <c r="G980" s="105"/>
      <c r="H980" s="105"/>
      <c r="I980" s="106"/>
      <c r="J980" s="106"/>
      <c r="K980" s="106"/>
      <c r="L980" s="106"/>
      <c r="M980" s="106"/>
      <c r="N980" s="105"/>
      <c r="O980" s="106"/>
      <c r="P980" s="105"/>
      <c r="Q980" s="105"/>
      <c r="R980" s="105"/>
      <c r="S980" s="105"/>
      <c r="T980" s="105"/>
    </row>
    <row r="981">
      <c r="A981" s="292"/>
      <c r="B981" s="103"/>
      <c r="C981" s="105"/>
      <c r="D981" s="105"/>
      <c r="E981" s="105"/>
      <c r="F981" s="105"/>
      <c r="G981" s="105"/>
      <c r="H981" s="105"/>
      <c r="I981" s="106"/>
      <c r="J981" s="106"/>
      <c r="K981" s="106"/>
      <c r="L981" s="106"/>
      <c r="M981" s="106"/>
      <c r="N981" s="105"/>
      <c r="O981" s="106"/>
      <c r="P981" s="105"/>
      <c r="Q981" s="105"/>
      <c r="R981" s="105"/>
      <c r="S981" s="105"/>
      <c r="T981" s="105"/>
    </row>
    <row r="982">
      <c r="A982" s="292"/>
      <c r="B982" s="103"/>
      <c r="C982" s="105"/>
      <c r="D982" s="105"/>
      <c r="E982" s="105"/>
      <c r="F982" s="105"/>
      <c r="G982" s="105"/>
      <c r="H982" s="105"/>
      <c r="I982" s="106"/>
      <c r="J982" s="106"/>
      <c r="K982" s="106"/>
      <c r="L982" s="106"/>
      <c r="M982" s="106"/>
      <c r="N982" s="105"/>
      <c r="O982" s="106"/>
      <c r="P982" s="105"/>
      <c r="Q982" s="105"/>
      <c r="R982" s="105"/>
      <c r="S982" s="105"/>
      <c r="T982" s="105"/>
    </row>
    <row r="983">
      <c r="A983" s="292"/>
      <c r="B983" s="103"/>
      <c r="C983" s="105"/>
      <c r="D983" s="105"/>
      <c r="E983" s="105"/>
      <c r="F983" s="105"/>
      <c r="G983" s="105"/>
      <c r="H983" s="105"/>
      <c r="I983" s="106"/>
      <c r="J983" s="106"/>
      <c r="K983" s="106"/>
      <c r="L983" s="106"/>
      <c r="M983" s="106"/>
      <c r="N983" s="105"/>
      <c r="O983" s="106"/>
      <c r="P983" s="105"/>
      <c r="Q983" s="105"/>
      <c r="R983" s="105"/>
      <c r="S983" s="105"/>
      <c r="T983" s="105"/>
    </row>
    <row r="984">
      <c r="A984" s="292"/>
      <c r="B984" s="103"/>
      <c r="C984" s="105"/>
      <c r="D984" s="105"/>
      <c r="E984" s="105"/>
      <c r="F984" s="105"/>
      <c r="G984" s="105"/>
      <c r="H984" s="105"/>
      <c r="I984" s="106"/>
      <c r="J984" s="106"/>
      <c r="K984" s="106"/>
      <c r="L984" s="106"/>
      <c r="M984" s="106"/>
      <c r="N984" s="105"/>
      <c r="O984" s="106"/>
      <c r="P984" s="105"/>
      <c r="Q984" s="105"/>
      <c r="R984" s="105"/>
      <c r="S984" s="105"/>
      <c r="T984" s="105"/>
    </row>
    <row r="985">
      <c r="A985" s="292"/>
      <c r="B985" s="103"/>
      <c r="C985" s="105"/>
      <c r="D985" s="105"/>
      <c r="E985" s="105"/>
      <c r="F985" s="105"/>
      <c r="G985" s="105"/>
      <c r="H985" s="105"/>
      <c r="I985" s="106"/>
      <c r="J985" s="106"/>
      <c r="K985" s="106"/>
      <c r="L985" s="106"/>
      <c r="M985" s="106"/>
      <c r="N985" s="105"/>
      <c r="O985" s="106"/>
      <c r="P985" s="105"/>
      <c r="Q985" s="105"/>
      <c r="R985" s="105"/>
      <c r="S985" s="105"/>
      <c r="T985" s="105"/>
    </row>
    <row r="986">
      <c r="A986" s="292"/>
      <c r="B986" s="103"/>
      <c r="C986" s="105"/>
      <c r="D986" s="105"/>
      <c r="E986" s="105"/>
      <c r="F986" s="105"/>
      <c r="G986" s="105"/>
      <c r="H986" s="105"/>
      <c r="I986" s="106"/>
      <c r="J986" s="106"/>
      <c r="K986" s="106"/>
      <c r="L986" s="106"/>
      <c r="M986" s="106"/>
      <c r="N986" s="105"/>
      <c r="O986" s="106"/>
      <c r="P986" s="105"/>
      <c r="Q986" s="105"/>
      <c r="R986" s="105"/>
      <c r="S986" s="105"/>
      <c r="T986" s="105"/>
    </row>
    <row r="987">
      <c r="A987" s="292"/>
      <c r="B987" s="103"/>
      <c r="C987" s="105"/>
      <c r="D987" s="105"/>
      <c r="E987" s="105"/>
      <c r="F987" s="105"/>
      <c r="G987" s="105"/>
      <c r="H987" s="105"/>
      <c r="I987" s="106"/>
      <c r="J987" s="106"/>
      <c r="K987" s="106"/>
      <c r="L987" s="106"/>
      <c r="M987" s="106"/>
      <c r="N987" s="105"/>
      <c r="O987" s="106"/>
      <c r="P987" s="105"/>
      <c r="Q987" s="105"/>
      <c r="R987" s="105"/>
      <c r="S987" s="105"/>
      <c r="T987" s="105"/>
    </row>
  </sheetData>
  <autoFilter ref="$A$2:$O$553">
    <filterColumn colId="3">
      <filters>
        <filter val="KELAS  XI D-3"/>
        <filter val="KELAS  XI D-2"/>
        <filter val="KELAS  XI D-1"/>
        <filter val="KELAS  XI F-2"/>
        <filter val="KELAS  XI B-1"/>
        <filter val="KELAS  XI F-1"/>
        <filter val="KELAS  XI B-2"/>
        <filter val="KELAS  XI C"/>
        <filter val="KELAS  XI A-1"/>
        <filter val="KELAS  XI A-2"/>
        <filter val="KELAS  XI E-2"/>
        <filter val="KELAS  XI E-1"/>
      </filters>
    </filterColumn>
    <sortState ref="A2:O553">
      <sortCondition ref="A2:A553"/>
      <sortCondition ref="M2:M553"/>
    </sortState>
  </autoFilter>
  <mergeCells count="60">
    <mergeCell ref="B549:E549"/>
    <mergeCell ref="B550:E550"/>
    <mergeCell ref="B551:E551"/>
    <mergeCell ref="B552:E552"/>
    <mergeCell ref="B542:E542"/>
    <mergeCell ref="B543:E543"/>
    <mergeCell ref="B544:E544"/>
    <mergeCell ref="B545:E545"/>
    <mergeCell ref="B546:E546"/>
    <mergeCell ref="B547:E547"/>
    <mergeCell ref="B548:E548"/>
    <mergeCell ref="B3:E3"/>
    <mergeCell ref="B4:E4"/>
    <mergeCell ref="I5:O5"/>
    <mergeCell ref="B47:E47"/>
    <mergeCell ref="B48:E48"/>
    <mergeCell ref="I49:O49"/>
    <mergeCell ref="B90:E90"/>
    <mergeCell ref="B91:E91"/>
    <mergeCell ref="I92:O92"/>
    <mergeCell ref="B134:E134"/>
    <mergeCell ref="B135:E135"/>
    <mergeCell ref="I136:O136"/>
    <mergeCell ref="B178:E178"/>
    <mergeCell ref="I180:O180"/>
    <mergeCell ref="B179:E179"/>
    <mergeCell ref="B222:E222"/>
    <mergeCell ref="B223:E223"/>
    <mergeCell ref="I224:O224"/>
    <mergeCell ref="B266:E266"/>
    <mergeCell ref="B267:E267"/>
    <mergeCell ref="I268:O268"/>
    <mergeCell ref="B310:E310"/>
    <mergeCell ref="B311:E311"/>
    <mergeCell ref="I312:O312"/>
    <mergeCell ref="B354:E354"/>
    <mergeCell ref="B355:E355"/>
    <mergeCell ref="I356:O356"/>
    <mergeCell ref="B398:E398"/>
    <mergeCell ref="B399:E399"/>
    <mergeCell ref="I400:O400"/>
    <mergeCell ref="B442:E442"/>
    <mergeCell ref="B443:E443"/>
    <mergeCell ref="I444:O444"/>
    <mergeCell ref="B486:E486"/>
    <mergeCell ref="I488:O488"/>
    <mergeCell ref="B487:E487"/>
    <mergeCell ref="B529:E529"/>
    <mergeCell ref="B530:E530"/>
    <mergeCell ref="B531:E531"/>
    <mergeCell ref="B532:E532"/>
    <mergeCell ref="B533:E533"/>
    <mergeCell ref="B534:E534"/>
    <mergeCell ref="B535:E535"/>
    <mergeCell ref="B536:E536"/>
    <mergeCell ref="B537:E537"/>
    <mergeCell ref="B538:E538"/>
    <mergeCell ref="B539:E539"/>
    <mergeCell ref="B540:E540"/>
    <mergeCell ref="B541:E541"/>
  </mergeCells>
  <printOptions gridLines="1" horizontalCentered="1"/>
  <pageMargins bottom="0.75" footer="0.0" header="0.0" left="0.7" right="0.7" top="0.75"/>
  <pageSetup fitToHeight="0"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hidden="1" min="1" max="1" width="12.57"/>
    <col customWidth="1" min="2" max="2" width="8.29"/>
    <col customWidth="1" min="5" max="5" width="37.86"/>
    <col customWidth="1" hidden="1" min="6" max="6" width="8.43"/>
    <col hidden="1" min="7" max="8" width="14.43"/>
    <col customWidth="1" min="12" max="12" width="11.71"/>
    <col customWidth="1" min="14" max="14" width="21.43"/>
  </cols>
  <sheetData>
    <row r="1">
      <c r="A1" s="189"/>
      <c r="B1" s="197"/>
      <c r="C1" s="189"/>
      <c r="D1" s="189"/>
      <c r="E1" s="189"/>
      <c r="F1" s="189"/>
      <c r="G1" s="293" t="s">
        <v>5</v>
      </c>
      <c r="H1" s="293" t="s">
        <v>2483</v>
      </c>
      <c r="I1" s="192" t="s">
        <v>3109</v>
      </c>
      <c r="J1" s="191" t="s">
        <v>3095</v>
      </c>
      <c r="K1" s="192" t="s">
        <v>3110</v>
      </c>
      <c r="L1" s="294"/>
      <c r="M1" s="294" t="s">
        <v>18</v>
      </c>
      <c r="N1" s="295" t="s">
        <v>2491</v>
      </c>
      <c r="O1" s="296" t="s">
        <v>19</v>
      </c>
      <c r="P1" s="105"/>
      <c r="Q1" s="105"/>
      <c r="R1" s="105"/>
      <c r="S1" s="105"/>
    </row>
    <row r="2">
      <c r="A2" s="297" t="s">
        <v>2482</v>
      </c>
      <c r="B2" s="197"/>
      <c r="C2" s="189"/>
      <c r="D2" s="189"/>
      <c r="E2" s="189"/>
      <c r="F2" s="189"/>
      <c r="G2" s="189"/>
      <c r="H2" s="189"/>
      <c r="I2" s="197"/>
      <c r="J2" s="197"/>
      <c r="K2" s="197"/>
      <c r="L2" s="197"/>
      <c r="M2" s="197"/>
      <c r="N2" s="189"/>
      <c r="O2" s="189"/>
      <c r="P2" s="105"/>
      <c r="Q2" s="105"/>
      <c r="R2" s="105"/>
      <c r="S2" s="105"/>
    </row>
    <row r="3">
      <c r="A3" s="196">
        <v>1.0</v>
      </c>
      <c r="B3" s="114" t="s">
        <v>3111</v>
      </c>
      <c r="F3" s="114"/>
      <c r="G3" s="114"/>
      <c r="H3" s="114"/>
      <c r="I3" s="114"/>
      <c r="J3" s="114"/>
      <c r="K3" s="114"/>
      <c r="L3" s="114"/>
      <c r="M3" s="114"/>
      <c r="N3" s="114"/>
      <c r="O3" s="114"/>
      <c r="P3" s="105"/>
      <c r="Q3" s="105"/>
      <c r="R3" s="105"/>
      <c r="S3" s="105"/>
    </row>
    <row r="4">
      <c r="A4" s="198">
        <v>2.0</v>
      </c>
      <c r="B4" s="114" t="s">
        <v>3112</v>
      </c>
      <c r="F4" s="114"/>
      <c r="G4" s="114"/>
      <c r="H4" s="114"/>
      <c r="I4" s="114"/>
      <c r="J4" s="114"/>
      <c r="K4" s="114"/>
      <c r="L4" s="114"/>
      <c r="M4" s="114"/>
      <c r="N4" s="114"/>
      <c r="O4" s="114"/>
      <c r="P4" s="105"/>
      <c r="Q4" s="105"/>
      <c r="R4" s="105"/>
      <c r="S4" s="105"/>
    </row>
    <row r="5">
      <c r="A5" s="196">
        <v>3.0</v>
      </c>
      <c r="B5" s="110" t="s">
        <v>3113</v>
      </c>
      <c r="F5" s="110"/>
      <c r="G5" s="110"/>
      <c r="H5" s="110"/>
      <c r="I5" s="110"/>
      <c r="J5" s="110"/>
      <c r="K5" s="110"/>
      <c r="L5" s="110"/>
      <c r="M5" s="110"/>
      <c r="N5" s="110"/>
      <c r="O5" s="110"/>
      <c r="P5" s="105"/>
      <c r="Q5" s="105"/>
      <c r="R5" s="105"/>
      <c r="S5" s="105"/>
    </row>
    <row r="6">
      <c r="A6" s="198">
        <v>4.0</v>
      </c>
      <c r="B6" s="298" t="s">
        <v>3114</v>
      </c>
      <c r="F6" s="200"/>
      <c r="G6" s="200"/>
      <c r="H6" s="200"/>
      <c r="I6" s="93"/>
      <c r="J6" s="93"/>
      <c r="K6" s="93"/>
      <c r="L6" s="93"/>
      <c r="M6" s="93"/>
      <c r="N6" s="200"/>
      <c r="O6" s="200"/>
      <c r="P6" s="105"/>
      <c r="Q6" s="105"/>
      <c r="R6" s="105"/>
      <c r="S6" s="105"/>
    </row>
    <row r="7">
      <c r="A7" s="196">
        <v>5.0</v>
      </c>
      <c r="B7" s="299" t="s">
        <v>1735</v>
      </c>
      <c r="C7" s="299" t="s">
        <v>1737</v>
      </c>
      <c r="D7" s="299" t="s">
        <v>1736</v>
      </c>
      <c r="E7" s="299" t="s">
        <v>1738</v>
      </c>
      <c r="F7" s="262" t="s">
        <v>1815</v>
      </c>
      <c r="G7" s="255"/>
      <c r="H7" s="255"/>
      <c r="I7" s="256" t="s">
        <v>3097</v>
      </c>
      <c r="J7" s="9"/>
      <c r="K7" s="9"/>
      <c r="L7" s="9"/>
      <c r="M7" s="9"/>
      <c r="N7" s="9"/>
      <c r="O7" s="10"/>
      <c r="P7" s="105"/>
      <c r="Q7" s="105"/>
      <c r="R7" s="105"/>
      <c r="S7" s="105"/>
    </row>
    <row r="8">
      <c r="A8" s="198">
        <v>6.0</v>
      </c>
      <c r="B8" s="11"/>
      <c r="C8" s="11"/>
      <c r="D8" s="11"/>
      <c r="E8" s="11"/>
      <c r="F8" s="262"/>
      <c r="G8" s="300"/>
      <c r="H8" s="300" t="s">
        <v>2483</v>
      </c>
      <c r="I8" s="301" t="s">
        <v>3109</v>
      </c>
      <c r="J8" s="302" t="s">
        <v>3095</v>
      </c>
      <c r="K8" s="301" t="s">
        <v>3110</v>
      </c>
      <c r="L8" s="302" t="s">
        <v>3098</v>
      </c>
      <c r="M8" s="303" t="s">
        <v>18</v>
      </c>
      <c r="N8" s="302" t="s">
        <v>2491</v>
      </c>
      <c r="O8" s="304" t="s">
        <v>19</v>
      </c>
      <c r="P8" s="105"/>
      <c r="Q8" s="105"/>
      <c r="R8" s="105"/>
      <c r="S8" s="105"/>
    </row>
    <row r="9">
      <c r="A9" s="196">
        <v>7.0</v>
      </c>
      <c r="B9" s="20"/>
      <c r="C9" s="20"/>
      <c r="D9" s="20"/>
      <c r="E9" s="20"/>
      <c r="F9" s="262"/>
      <c r="G9" s="300"/>
      <c r="H9" s="300"/>
      <c r="I9" s="20"/>
      <c r="J9" s="20"/>
      <c r="K9" s="20"/>
      <c r="L9" s="20"/>
      <c r="M9" s="20"/>
      <c r="N9" s="20"/>
      <c r="O9" s="20"/>
      <c r="P9" s="105"/>
      <c r="Q9" s="105"/>
      <c r="R9" s="105"/>
      <c r="S9" s="105"/>
    </row>
    <row r="10">
      <c r="A10" s="198">
        <v>8.0</v>
      </c>
      <c r="B10" s="100">
        <v>1.0</v>
      </c>
      <c r="C10" s="99">
        <v>2.3241003E8</v>
      </c>
      <c r="D10" s="99" t="s">
        <v>3115</v>
      </c>
      <c r="E10" s="99" t="s">
        <v>3116</v>
      </c>
      <c r="F10" s="99" t="s">
        <v>3100</v>
      </c>
      <c r="G10" s="215"/>
      <c r="H10" s="215"/>
      <c r="I10" s="69">
        <v>1.0</v>
      </c>
      <c r="J10" s="222">
        <v>0.0</v>
      </c>
      <c r="K10" s="69">
        <v>0.0</v>
      </c>
      <c r="L10" s="223">
        <f t="shared" ref="L10:L45" si="1">K10+J10</f>
        <v>0</v>
      </c>
      <c r="M10" s="146">
        <f t="shared" ref="M10:M45" si="2">(K10+J10)/(I10+1)</f>
        <v>0</v>
      </c>
      <c r="N10" s="305"/>
      <c r="O10" s="306"/>
      <c r="P10" s="105"/>
      <c r="Q10" s="105"/>
      <c r="R10" s="105"/>
      <c r="S10" s="105"/>
    </row>
    <row r="11">
      <c r="A11" s="196">
        <v>9.0</v>
      </c>
      <c r="B11" s="100">
        <v>2.0</v>
      </c>
      <c r="C11" s="99">
        <v>2.32410047E8</v>
      </c>
      <c r="D11" s="307" t="s">
        <v>3117</v>
      </c>
      <c r="E11" s="99" t="s">
        <v>3118</v>
      </c>
      <c r="F11" s="99" t="s">
        <v>3100</v>
      </c>
      <c r="G11" s="215"/>
      <c r="H11" s="215"/>
      <c r="I11" s="69">
        <v>1.0</v>
      </c>
      <c r="J11" s="222">
        <v>0.0</v>
      </c>
      <c r="K11" s="69">
        <v>0.0</v>
      </c>
      <c r="L11" s="223">
        <f t="shared" si="1"/>
        <v>0</v>
      </c>
      <c r="M11" s="146">
        <f t="shared" si="2"/>
        <v>0</v>
      </c>
      <c r="N11" s="305"/>
      <c r="O11" s="306"/>
      <c r="P11" s="105"/>
      <c r="Q11" s="105"/>
      <c r="R11" s="105"/>
      <c r="S11" s="105"/>
    </row>
    <row r="12">
      <c r="A12" s="198">
        <v>10.0</v>
      </c>
      <c r="B12" s="100">
        <v>3.0</v>
      </c>
      <c r="C12" s="99">
        <v>2.32410054E8</v>
      </c>
      <c r="D12" s="99" t="s">
        <v>3119</v>
      </c>
      <c r="E12" s="99" t="s">
        <v>3120</v>
      </c>
      <c r="F12" s="99" t="s">
        <v>3099</v>
      </c>
      <c r="G12" s="215"/>
      <c r="H12" s="215"/>
      <c r="I12" s="69">
        <v>1.0</v>
      </c>
      <c r="J12" s="222">
        <v>0.0</v>
      </c>
      <c r="K12" s="69">
        <v>0.0</v>
      </c>
      <c r="L12" s="223">
        <f t="shared" si="1"/>
        <v>0</v>
      </c>
      <c r="M12" s="146">
        <f t="shared" si="2"/>
        <v>0</v>
      </c>
      <c r="N12" s="305"/>
      <c r="O12" s="306"/>
      <c r="P12" s="105"/>
      <c r="Q12" s="105"/>
      <c r="R12" s="105"/>
      <c r="S12" s="105"/>
    </row>
    <row r="13">
      <c r="A13" s="196">
        <v>11.0</v>
      </c>
      <c r="B13" s="100">
        <v>4.0</v>
      </c>
      <c r="C13" s="99">
        <v>2.32410056E8</v>
      </c>
      <c r="D13" s="307" t="s">
        <v>3121</v>
      </c>
      <c r="E13" s="99" t="s">
        <v>3122</v>
      </c>
      <c r="F13" s="99" t="s">
        <v>3100</v>
      </c>
      <c r="G13" s="215"/>
      <c r="H13" s="215"/>
      <c r="I13" s="69">
        <v>3.0</v>
      </c>
      <c r="J13" s="222">
        <v>0.0</v>
      </c>
      <c r="K13" s="69">
        <v>1.0</v>
      </c>
      <c r="L13" s="223">
        <f t="shared" si="1"/>
        <v>1</v>
      </c>
      <c r="M13" s="146">
        <f t="shared" si="2"/>
        <v>0.25</v>
      </c>
      <c r="N13" s="305"/>
      <c r="O13" s="306"/>
      <c r="P13" s="105"/>
      <c r="Q13" s="105"/>
      <c r="R13" s="105"/>
      <c r="S13" s="105"/>
    </row>
    <row r="14">
      <c r="A14" s="198">
        <v>12.0</v>
      </c>
      <c r="B14" s="100">
        <v>5.0</v>
      </c>
      <c r="C14" s="99">
        <v>2.32410066E8</v>
      </c>
      <c r="D14" s="307" t="s">
        <v>3123</v>
      </c>
      <c r="E14" s="99" t="s">
        <v>3124</v>
      </c>
      <c r="F14" s="99" t="s">
        <v>3100</v>
      </c>
      <c r="G14" s="215"/>
      <c r="H14" s="215"/>
      <c r="I14" s="69">
        <v>1.0</v>
      </c>
      <c r="J14" s="222">
        <v>0.0</v>
      </c>
      <c r="K14" s="69">
        <v>0.0</v>
      </c>
      <c r="L14" s="223">
        <f t="shared" si="1"/>
        <v>0</v>
      </c>
      <c r="M14" s="146">
        <f t="shared" si="2"/>
        <v>0</v>
      </c>
      <c r="N14" s="305"/>
      <c r="O14" s="306"/>
      <c r="P14" s="105"/>
      <c r="Q14" s="105"/>
      <c r="R14" s="105"/>
      <c r="S14" s="105"/>
    </row>
    <row r="15">
      <c r="A15" s="196">
        <v>13.0</v>
      </c>
      <c r="B15" s="100">
        <v>6.0</v>
      </c>
      <c r="C15" s="99">
        <v>2.32410119E8</v>
      </c>
      <c r="D15" s="307" t="s">
        <v>3125</v>
      </c>
      <c r="E15" s="99" t="s">
        <v>3126</v>
      </c>
      <c r="F15" s="99" t="s">
        <v>3100</v>
      </c>
      <c r="G15" s="215"/>
      <c r="H15" s="215"/>
      <c r="I15" s="69">
        <v>1.0</v>
      </c>
      <c r="J15" s="222">
        <v>0.0</v>
      </c>
      <c r="K15" s="69">
        <v>0.0</v>
      </c>
      <c r="L15" s="223">
        <f t="shared" si="1"/>
        <v>0</v>
      </c>
      <c r="M15" s="146">
        <f t="shared" si="2"/>
        <v>0</v>
      </c>
      <c r="N15" s="305"/>
      <c r="O15" s="306"/>
      <c r="P15" s="105"/>
      <c r="Q15" s="105"/>
      <c r="R15" s="105"/>
      <c r="S15" s="105"/>
    </row>
    <row r="16">
      <c r="A16" s="198">
        <v>14.0</v>
      </c>
      <c r="B16" s="100">
        <v>7.0</v>
      </c>
      <c r="C16" s="99">
        <v>2.32410122E8</v>
      </c>
      <c r="D16" s="307" t="s">
        <v>3127</v>
      </c>
      <c r="E16" s="99" t="s">
        <v>3128</v>
      </c>
      <c r="F16" s="99" t="s">
        <v>3100</v>
      </c>
      <c r="G16" s="215"/>
      <c r="H16" s="215"/>
      <c r="I16" s="69">
        <v>1.0</v>
      </c>
      <c r="J16" s="222">
        <v>0.0</v>
      </c>
      <c r="K16" s="69">
        <v>0.0</v>
      </c>
      <c r="L16" s="223">
        <f t="shared" si="1"/>
        <v>0</v>
      </c>
      <c r="M16" s="146">
        <f t="shared" si="2"/>
        <v>0</v>
      </c>
      <c r="N16" s="305"/>
      <c r="O16" s="306"/>
      <c r="P16" s="105"/>
      <c r="Q16" s="105"/>
      <c r="R16" s="105"/>
      <c r="S16" s="105"/>
    </row>
    <row r="17">
      <c r="A17" s="196">
        <v>15.0</v>
      </c>
      <c r="B17" s="100">
        <v>8.0</v>
      </c>
      <c r="C17" s="99">
        <v>2.32410154E8</v>
      </c>
      <c r="D17" s="307" t="s">
        <v>3129</v>
      </c>
      <c r="E17" s="99" t="s">
        <v>3130</v>
      </c>
      <c r="F17" s="99" t="s">
        <v>3100</v>
      </c>
      <c r="G17" s="215"/>
      <c r="H17" s="215"/>
      <c r="I17" s="69">
        <v>1.0</v>
      </c>
      <c r="J17" s="222">
        <v>0.0</v>
      </c>
      <c r="K17" s="69">
        <v>0.0</v>
      </c>
      <c r="L17" s="223">
        <f t="shared" si="1"/>
        <v>0</v>
      </c>
      <c r="M17" s="146">
        <f t="shared" si="2"/>
        <v>0</v>
      </c>
      <c r="N17" s="305"/>
      <c r="O17" s="306"/>
      <c r="P17" s="105"/>
      <c r="Q17" s="105"/>
      <c r="R17" s="105"/>
      <c r="S17" s="105"/>
    </row>
    <row r="18">
      <c r="A18" s="198">
        <v>16.0</v>
      </c>
      <c r="B18" s="100">
        <v>9.0</v>
      </c>
      <c r="C18" s="99">
        <v>2.32410178E8</v>
      </c>
      <c r="D18" s="307" t="s">
        <v>3131</v>
      </c>
      <c r="E18" s="99" t="s">
        <v>3132</v>
      </c>
      <c r="F18" s="99" t="s">
        <v>3100</v>
      </c>
      <c r="G18" s="215"/>
      <c r="H18" s="215"/>
      <c r="I18" s="69">
        <v>1.0</v>
      </c>
      <c r="J18" s="222">
        <v>0.0</v>
      </c>
      <c r="K18" s="69">
        <v>0.0</v>
      </c>
      <c r="L18" s="223">
        <f t="shared" si="1"/>
        <v>0</v>
      </c>
      <c r="M18" s="146">
        <f t="shared" si="2"/>
        <v>0</v>
      </c>
      <c r="N18" s="305"/>
      <c r="O18" s="306"/>
      <c r="P18" s="105"/>
      <c r="Q18" s="105"/>
      <c r="R18" s="105"/>
      <c r="S18" s="105"/>
    </row>
    <row r="19">
      <c r="A19" s="196">
        <v>17.0</v>
      </c>
      <c r="B19" s="100">
        <v>10.0</v>
      </c>
      <c r="C19" s="99">
        <v>2.32410182E8</v>
      </c>
      <c r="D19" s="307" t="s">
        <v>3133</v>
      </c>
      <c r="E19" s="99" t="s">
        <v>3134</v>
      </c>
      <c r="F19" s="99" t="s">
        <v>3100</v>
      </c>
      <c r="G19" s="215"/>
      <c r="H19" s="215"/>
      <c r="I19" s="69">
        <v>1.0</v>
      </c>
      <c r="J19" s="222">
        <v>0.0</v>
      </c>
      <c r="K19" s="69">
        <v>0.0</v>
      </c>
      <c r="L19" s="223">
        <f t="shared" si="1"/>
        <v>0</v>
      </c>
      <c r="M19" s="146">
        <f t="shared" si="2"/>
        <v>0</v>
      </c>
      <c r="N19" s="305"/>
      <c r="O19" s="306"/>
      <c r="P19" s="105"/>
      <c r="Q19" s="105"/>
      <c r="R19" s="105"/>
      <c r="S19" s="105"/>
    </row>
    <row r="20">
      <c r="A20" s="198">
        <v>18.0</v>
      </c>
      <c r="B20" s="100">
        <v>11.0</v>
      </c>
      <c r="C20" s="99">
        <v>2.32410209E8</v>
      </c>
      <c r="D20" s="307" t="s">
        <v>3135</v>
      </c>
      <c r="E20" s="99" t="s">
        <v>3136</v>
      </c>
      <c r="F20" s="99" t="s">
        <v>3100</v>
      </c>
      <c r="G20" s="215"/>
      <c r="H20" s="215"/>
      <c r="I20" s="69">
        <v>1.0</v>
      </c>
      <c r="J20" s="222">
        <v>0.0</v>
      </c>
      <c r="K20" s="69">
        <v>0.0</v>
      </c>
      <c r="L20" s="223">
        <f t="shared" si="1"/>
        <v>0</v>
      </c>
      <c r="M20" s="146">
        <f t="shared" si="2"/>
        <v>0</v>
      </c>
      <c r="N20" s="305"/>
      <c r="O20" s="306"/>
      <c r="P20" s="105"/>
      <c r="Q20" s="105"/>
      <c r="R20" s="105"/>
      <c r="S20" s="105"/>
    </row>
    <row r="21">
      <c r="A21" s="196">
        <v>19.0</v>
      </c>
      <c r="B21" s="100">
        <v>12.0</v>
      </c>
      <c r="C21" s="99">
        <v>2.32410226E8</v>
      </c>
      <c r="D21" s="307" t="s">
        <v>3137</v>
      </c>
      <c r="E21" s="99" t="s">
        <v>3138</v>
      </c>
      <c r="F21" s="99" t="s">
        <v>3100</v>
      </c>
      <c r="G21" s="215"/>
      <c r="H21" s="215"/>
      <c r="I21" s="69">
        <v>4.0</v>
      </c>
      <c r="J21" s="222">
        <v>0.0</v>
      </c>
      <c r="K21" s="69">
        <v>2.0</v>
      </c>
      <c r="L21" s="223">
        <f t="shared" si="1"/>
        <v>2</v>
      </c>
      <c r="M21" s="146">
        <f t="shared" si="2"/>
        <v>0.4</v>
      </c>
      <c r="N21" s="305"/>
      <c r="O21" s="306"/>
      <c r="P21" s="105"/>
      <c r="Q21" s="105"/>
      <c r="R21" s="105"/>
      <c r="S21" s="105"/>
    </row>
    <row r="22">
      <c r="A22" s="198">
        <v>20.0</v>
      </c>
      <c r="B22" s="100">
        <v>13.0</v>
      </c>
      <c r="C22" s="99">
        <v>2.32410227E8</v>
      </c>
      <c r="D22" s="307" t="s">
        <v>3139</v>
      </c>
      <c r="E22" s="99" t="s">
        <v>3140</v>
      </c>
      <c r="F22" s="99" t="s">
        <v>3100</v>
      </c>
      <c r="G22" s="215"/>
      <c r="H22" s="215"/>
      <c r="I22" s="69">
        <v>1.0</v>
      </c>
      <c r="J22" s="222">
        <v>0.0</v>
      </c>
      <c r="K22" s="69">
        <v>0.0</v>
      </c>
      <c r="L22" s="223">
        <f t="shared" si="1"/>
        <v>0</v>
      </c>
      <c r="M22" s="146">
        <f t="shared" si="2"/>
        <v>0</v>
      </c>
      <c r="N22" s="305"/>
      <c r="O22" s="306"/>
      <c r="P22" s="105"/>
      <c r="Q22" s="105"/>
      <c r="R22" s="105"/>
      <c r="S22" s="105"/>
    </row>
    <row r="23">
      <c r="A23" s="196">
        <v>21.0</v>
      </c>
      <c r="B23" s="100">
        <v>14.0</v>
      </c>
      <c r="C23" s="99">
        <v>2.32410236E8</v>
      </c>
      <c r="D23" s="307" t="s">
        <v>3141</v>
      </c>
      <c r="E23" s="99" t="s">
        <v>3142</v>
      </c>
      <c r="F23" s="99" t="s">
        <v>3099</v>
      </c>
      <c r="G23" s="215"/>
      <c r="H23" s="215"/>
      <c r="I23" s="69">
        <v>1.0</v>
      </c>
      <c r="J23" s="222">
        <v>0.0</v>
      </c>
      <c r="K23" s="69">
        <v>0.0</v>
      </c>
      <c r="L23" s="223">
        <f t="shared" si="1"/>
        <v>0</v>
      </c>
      <c r="M23" s="146">
        <f t="shared" si="2"/>
        <v>0</v>
      </c>
      <c r="N23" s="305"/>
      <c r="O23" s="306"/>
      <c r="P23" s="105"/>
      <c r="Q23" s="105"/>
      <c r="R23" s="105"/>
      <c r="S23" s="105"/>
    </row>
    <row r="24">
      <c r="A24" s="198">
        <v>22.0</v>
      </c>
      <c r="B24" s="100">
        <v>15.0</v>
      </c>
      <c r="C24" s="99">
        <v>2.32410229E8</v>
      </c>
      <c r="D24" s="307" t="s">
        <v>3143</v>
      </c>
      <c r="E24" s="99" t="s">
        <v>3144</v>
      </c>
      <c r="F24" s="99" t="s">
        <v>3099</v>
      </c>
      <c r="G24" s="215"/>
      <c r="H24" s="215"/>
      <c r="I24" s="69">
        <v>1.0</v>
      </c>
      <c r="J24" s="222">
        <v>0.0</v>
      </c>
      <c r="K24" s="69">
        <v>0.0</v>
      </c>
      <c r="L24" s="223">
        <f t="shared" si="1"/>
        <v>0</v>
      </c>
      <c r="M24" s="146">
        <f t="shared" si="2"/>
        <v>0</v>
      </c>
      <c r="N24" s="305"/>
      <c r="O24" s="306"/>
      <c r="P24" s="195"/>
      <c r="Q24" s="195"/>
      <c r="R24" s="195"/>
      <c r="S24" s="195"/>
    </row>
    <row r="25">
      <c r="A25" s="196">
        <v>23.0</v>
      </c>
      <c r="B25" s="100">
        <v>16.0</v>
      </c>
      <c r="C25" s="99">
        <v>2.3241024E8</v>
      </c>
      <c r="D25" s="307" t="s">
        <v>3145</v>
      </c>
      <c r="E25" s="99" t="s">
        <v>3146</v>
      </c>
      <c r="F25" s="99" t="s">
        <v>3099</v>
      </c>
      <c r="G25" s="215"/>
      <c r="H25" s="215"/>
      <c r="I25" s="69">
        <v>1.0</v>
      </c>
      <c r="J25" s="222">
        <v>0.0</v>
      </c>
      <c r="K25" s="69">
        <v>0.0</v>
      </c>
      <c r="L25" s="223">
        <f t="shared" si="1"/>
        <v>0</v>
      </c>
      <c r="M25" s="146">
        <f t="shared" si="2"/>
        <v>0</v>
      </c>
      <c r="N25" s="305"/>
      <c r="O25" s="306"/>
      <c r="P25" s="105"/>
      <c r="Q25" s="105"/>
      <c r="R25" s="105"/>
      <c r="S25" s="105"/>
    </row>
    <row r="26">
      <c r="A26" s="198">
        <v>24.0</v>
      </c>
      <c r="B26" s="100">
        <v>17.0</v>
      </c>
      <c r="C26" s="99">
        <v>2.32410228E8</v>
      </c>
      <c r="D26" s="99" t="s">
        <v>3147</v>
      </c>
      <c r="E26" s="99" t="s">
        <v>3148</v>
      </c>
      <c r="F26" s="99" t="s">
        <v>3099</v>
      </c>
      <c r="G26" s="215"/>
      <c r="H26" s="215"/>
      <c r="I26" s="69">
        <v>1.0</v>
      </c>
      <c r="J26" s="222">
        <v>0.0</v>
      </c>
      <c r="K26" s="69">
        <v>0.0</v>
      </c>
      <c r="L26" s="223">
        <f t="shared" si="1"/>
        <v>0</v>
      </c>
      <c r="M26" s="146">
        <f t="shared" si="2"/>
        <v>0</v>
      </c>
      <c r="N26" s="305"/>
      <c r="O26" s="306"/>
      <c r="P26" s="105"/>
      <c r="Q26" s="105"/>
      <c r="R26" s="105"/>
      <c r="S26" s="105"/>
    </row>
    <row r="27">
      <c r="A27" s="196">
        <v>25.0</v>
      </c>
      <c r="B27" s="100">
        <v>18.0</v>
      </c>
      <c r="C27" s="99">
        <v>2.32410271E8</v>
      </c>
      <c r="D27" s="99" t="s">
        <v>3149</v>
      </c>
      <c r="E27" s="308" t="s">
        <v>3150</v>
      </c>
      <c r="F27" s="99" t="s">
        <v>3100</v>
      </c>
      <c r="G27" s="215"/>
      <c r="H27" s="215"/>
      <c r="I27" s="69">
        <v>1.0</v>
      </c>
      <c r="J27" s="222">
        <v>0.0</v>
      </c>
      <c r="K27" s="69">
        <v>0.0</v>
      </c>
      <c r="L27" s="223">
        <f t="shared" si="1"/>
        <v>0</v>
      </c>
      <c r="M27" s="146">
        <f t="shared" si="2"/>
        <v>0</v>
      </c>
      <c r="N27" s="305"/>
      <c r="O27" s="306"/>
      <c r="P27" s="105"/>
      <c r="Q27" s="105"/>
      <c r="R27" s="105"/>
      <c r="S27" s="105"/>
    </row>
    <row r="28">
      <c r="A28" s="198">
        <v>26.0</v>
      </c>
      <c r="B28" s="100">
        <v>19.0</v>
      </c>
      <c r="C28" s="99">
        <v>2.32410273E8</v>
      </c>
      <c r="D28" s="99" t="s">
        <v>3151</v>
      </c>
      <c r="E28" s="99" t="s">
        <v>3152</v>
      </c>
      <c r="F28" s="99" t="s">
        <v>3100</v>
      </c>
      <c r="G28" s="215"/>
      <c r="H28" s="215"/>
      <c r="I28" s="69">
        <v>1.0</v>
      </c>
      <c r="J28" s="222">
        <v>0.0</v>
      </c>
      <c r="K28" s="69">
        <v>0.0</v>
      </c>
      <c r="L28" s="223">
        <f t="shared" si="1"/>
        <v>0</v>
      </c>
      <c r="M28" s="146">
        <f t="shared" si="2"/>
        <v>0</v>
      </c>
      <c r="N28" s="305"/>
      <c r="O28" s="306"/>
      <c r="P28" s="105"/>
      <c r="Q28" s="105"/>
      <c r="R28" s="105"/>
      <c r="S28" s="105"/>
    </row>
    <row r="29">
      <c r="A29" s="196">
        <v>27.0</v>
      </c>
      <c r="B29" s="100">
        <v>20.0</v>
      </c>
      <c r="C29" s="99">
        <v>2.32410292E8</v>
      </c>
      <c r="D29" s="99" t="s">
        <v>3153</v>
      </c>
      <c r="E29" s="99" t="s">
        <v>3154</v>
      </c>
      <c r="F29" s="99" t="s">
        <v>3100</v>
      </c>
      <c r="G29" s="215"/>
      <c r="H29" s="215"/>
      <c r="I29" s="69">
        <v>4.0</v>
      </c>
      <c r="J29" s="222">
        <v>0.0</v>
      </c>
      <c r="K29" s="69">
        <v>0.0</v>
      </c>
      <c r="L29" s="223">
        <f t="shared" si="1"/>
        <v>0</v>
      </c>
      <c r="M29" s="146">
        <f t="shared" si="2"/>
        <v>0</v>
      </c>
      <c r="N29" s="305"/>
      <c r="O29" s="306"/>
      <c r="P29" s="105"/>
      <c r="Q29" s="105"/>
      <c r="R29" s="105"/>
      <c r="S29" s="105"/>
    </row>
    <row r="30">
      <c r="A30" s="198">
        <v>28.0</v>
      </c>
      <c r="B30" s="100">
        <v>21.0</v>
      </c>
      <c r="C30" s="99">
        <v>2.32410299E8</v>
      </c>
      <c r="D30" s="99" t="s">
        <v>3155</v>
      </c>
      <c r="E30" s="99" t="s">
        <v>3156</v>
      </c>
      <c r="F30" s="99" t="s">
        <v>3100</v>
      </c>
      <c r="G30" s="215"/>
      <c r="H30" s="215"/>
      <c r="I30" s="69">
        <v>1.0</v>
      </c>
      <c r="J30" s="222">
        <v>0.0</v>
      </c>
      <c r="K30" s="69">
        <v>0.0</v>
      </c>
      <c r="L30" s="223">
        <f t="shared" si="1"/>
        <v>0</v>
      </c>
      <c r="M30" s="146">
        <f t="shared" si="2"/>
        <v>0</v>
      </c>
      <c r="N30" s="305"/>
      <c r="O30" s="306"/>
      <c r="P30" s="105"/>
      <c r="Q30" s="105"/>
      <c r="R30" s="105"/>
      <c r="S30" s="105"/>
    </row>
    <row r="31">
      <c r="A31" s="196">
        <v>29.0</v>
      </c>
      <c r="B31" s="100">
        <v>22.0</v>
      </c>
      <c r="C31" s="99">
        <v>2.32410302E8</v>
      </c>
      <c r="D31" s="99" t="s">
        <v>3157</v>
      </c>
      <c r="E31" s="99" t="s">
        <v>3158</v>
      </c>
      <c r="F31" s="99" t="s">
        <v>3100</v>
      </c>
      <c r="G31" s="215"/>
      <c r="H31" s="215"/>
      <c r="I31" s="69">
        <v>1.0</v>
      </c>
      <c r="J31" s="222">
        <v>0.0</v>
      </c>
      <c r="K31" s="69">
        <v>0.0</v>
      </c>
      <c r="L31" s="223">
        <f t="shared" si="1"/>
        <v>0</v>
      </c>
      <c r="M31" s="146">
        <f t="shared" si="2"/>
        <v>0</v>
      </c>
      <c r="N31" s="305"/>
      <c r="O31" s="306"/>
      <c r="P31" s="105"/>
      <c r="Q31" s="105"/>
      <c r="R31" s="105"/>
      <c r="S31" s="105"/>
    </row>
    <row r="32">
      <c r="A32" s="198">
        <v>30.0</v>
      </c>
      <c r="B32" s="100">
        <v>23.0</v>
      </c>
      <c r="C32" s="99">
        <v>2.32410306E8</v>
      </c>
      <c r="D32" s="99" t="s">
        <v>3159</v>
      </c>
      <c r="E32" s="99" t="s">
        <v>3160</v>
      </c>
      <c r="F32" s="99" t="s">
        <v>3100</v>
      </c>
      <c r="G32" s="215"/>
      <c r="H32" s="215"/>
      <c r="I32" s="69">
        <v>1.0</v>
      </c>
      <c r="J32" s="222">
        <v>0.0</v>
      </c>
      <c r="K32" s="69">
        <v>0.0</v>
      </c>
      <c r="L32" s="223">
        <f t="shared" si="1"/>
        <v>0</v>
      </c>
      <c r="M32" s="146">
        <f t="shared" si="2"/>
        <v>0</v>
      </c>
      <c r="N32" s="305"/>
      <c r="O32" s="306"/>
      <c r="P32" s="105"/>
      <c r="Q32" s="105"/>
      <c r="R32" s="105"/>
      <c r="S32" s="105"/>
    </row>
    <row r="33">
      <c r="A33" s="196">
        <v>31.0</v>
      </c>
      <c r="B33" s="100">
        <v>24.0</v>
      </c>
      <c r="C33" s="99">
        <v>2.32410318E8</v>
      </c>
      <c r="D33" s="99" t="s">
        <v>3161</v>
      </c>
      <c r="E33" s="99" t="s">
        <v>3162</v>
      </c>
      <c r="F33" s="99" t="s">
        <v>3100</v>
      </c>
      <c r="G33" s="215"/>
      <c r="H33" s="215"/>
      <c r="I33" s="69">
        <v>1.0</v>
      </c>
      <c r="J33" s="222">
        <v>0.0</v>
      </c>
      <c r="K33" s="69">
        <v>0.0</v>
      </c>
      <c r="L33" s="223">
        <f t="shared" si="1"/>
        <v>0</v>
      </c>
      <c r="M33" s="146">
        <f t="shared" si="2"/>
        <v>0</v>
      </c>
      <c r="N33" s="305"/>
      <c r="O33" s="306"/>
      <c r="P33" s="105"/>
      <c r="Q33" s="105"/>
      <c r="R33" s="105"/>
      <c r="S33" s="105"/>
    </row>
    <row r="34">
      <c r="A34" s="198">
        <v>32.0</v>
      </c>
      <c r="B34" s="100">
        <v>25.0</v>
      </c>
      <c r="C34" s="99">
        <v>2.32410322E8</v>
      </c>
      <c r="D34" s="99" t="s">
        <v>3163</v>
      </c>
      <c r="E34" s="99" t="s">
        <v>3164</v>
      </c>
      <c r="F34" s="99" t="s">
        <v>3099</v>
      </c>
      <c r="G34" s="215"/>
      <c r="H34" s="215"/>
      <c r="I34" s="69">
        <v>1.0</v>
      </c>
      <c r="J34" s="222">
        <v>0.0</v>
      </c>
      <c r="K34" s="69">
        <v>0.0</v>
      </c>
      <c r="L34" s="223">
        <f t="shared" si="1"/>
        <v>0</v>
      </c>
      <c r="M34" s="146">
        <f t="shared" si="2"/>
        <v>0</v>
      </c>
      <c r="N34" s="305"/>
      <c r="O34" s="306"/>
      <c r="P34" s="105"/>
      <c r="Q34" s="105"/>
      <c r="R34" s="105"/>
      <c r="S34" s="105"/>
    </row>
    <row r="35">
      <c r="A35" s="196">
        <v>33.0</v>
      </c>
      <c r="B35" s="100">
        <v>26.0</v>
      </c>
      <c r="C35" s="99">
        <v>2.32410338E8</v>
      </c>
      <c r="D35" s="99" t="s">
        <v>3165</v>
      </c>
      <c r="E35" s="99" t="s">
        <v>3166</v>
      </c>
      <c r="F35" s="99" t="s">
        <v>3100</v>
      </c>
      <c r="G35" s="215"/>
      <c r="H35" s="215"/>
      <c r="I35" s="69">
        <v>1.0</v>
      </c>
      <c r="J35" s="222">
        <v>0.0</v>
      </c>
      <c r="K35" s="69">
        <v>0.0</v>
      </c>
      <c r="L35" s="223">
        <f t="shared" si="1"/>
        <v>0</v>
      </c>
      <c r="M35" s="146">
        <f t="shared" si="2"/>
        <v>0</v>
      </c>
      <c r="N35" s="305"/>
      <c r="O35" s="306"/>
      <c r="P35" s="105"/>
      <c r="Q35" s="105"/>
      <c r="R35" s="105"/>
      <c r="S35" s="105"/>
    </row>
    <row r="36">
      <c r="A36" s="198">
        <v>34.0</v>
      </c>
      <c r="B36" s="100">
        <v>27.0</v>
      </c>
      <c r="C36" s="99">
        <v>2.32410357E8</v>
      </c>
      <c r="D36" s="99" t="s">
        <v>3167</v>
      </c>
      <c r="E36" s="99" t="s">
        <v>3168</v>
      </c>
      <c r="F36" s="99" t="s">
        <v>3100</v>
      </c>
      <c r="G36" s="215"/>
      <c r="H36" s="215"/>
      <c r="I36" s="69">
        <v>1.0</v>
      </c>
      <c r="J36" s="222">
        <v>0.0</v>
      </c>
      <c r="K36" s="69">
        <v>0.0</v>
      </c>
      <c r="L36" s="223">
        <f t="shared" si="1"/>
        <v>0</v>
      </c>
      <c r="M36" s="146">
        <f t="shared" si="2"/>
        <v>0</v>
      </c>
      <c r="N36" s="305"/>
      <c r="O36" s="306"/>
      <c r="P36" s="105"/>
      <c r="Q36" s="105"/>
      <c r="R36" s="105"/>
      <c r="S36" s="105"/>
    </row>
    <row r="37">
      <c r="A37" s="196">
        <v>35.0</v>
      </c>
      <c r="B37" s="100">
        <v>28.0</v>
      </c>
      <c r="C37" s="99">
        <v>2.32410362E8</v>
      </c>
      <c r="D37" s="99" t="s">
        <v>3169</v>
      </c>
      <c r="E37" s="99" t="s">
        <v>3170</v>
      </c>
      <c r="F37" s="99" t="s">
        <v>3100</v>
      </c>
      <c r="G37" s="215"/>
      <c r="H37" s="215"/>
      <c r="I37" s="69">
        <v>1.0</v>
      </c>
      <c r="J37" s="222">
        <v>0.0</v>
      </c>
      <c r="K37" s="69">
        <v>0.0</v>
      </c>
      <c r="L37" s="223">
        <f t="shared" si="1"/>
        <v>0</v>
      </c>
      <c r="M37" s="146">
        <f t="shared" si="2"/>
        <v>0</v>
      </c>
      <c r="N37" s="305"/>
      <c r="O37" s="306"/>
      <c r="P37" s="105"/>
      <c r="Q37" s="105"/>
      <c r="R37" s="105"/>
      <c r="S37" s="105"/>
    </row>
    <row r="38">
      <c r="A38" s="198">
        <v>36.0</v>
      </c>
      <c r="B38" s="100">
        <v>29.0</v>
      </c>
      <c r="C38" s="99">
        <v>2.32410378E8</v>
      </c>
      <c r="D38" s="99" t="s">
        <v>3171</v>
      </c>
      <c r="E38" s="99" t="s">
        <v>3172</v>
      </c>
      <c r="F38" s="99" t="s">
        <v>3100</v>
      </c>
      <c r="G38" s="215"/>
      <c r="H38" s="215"/>
      <c r="I38" s="69">
        <v>3.0</v>
      </c>
      <c r="J38" s="222">
        <v>0.0</v>
      </c>
      <c r="K38" s="69">
        <v>2.0</v>
      </c>
      <c r="L38" s="223">
        <f t="shared" si="1"/>
        <v>2</v>
      </c>
      <c r="M38" s="146">
        <f t="shared" si="2"/>
        <v>0.5</v>
      </c>
      <c r="N38" s="305"/>
      <c r="O38" s="306"/>
      <c r="P38" s="105"/>
      <c r="Q38" s="105"/>
      <c r="R38" s="105"/>
      <c r="S38" s="105"/>
    </row>
    <row r="39">
      <c r="A39" s="196">
        <v>37.0</v>
      </c>
      <c r="B39" s="100">
        <v>30.0</v>
      </c>
      <c r="C39" s="99">
        <v>2.32410379E8</v>
      </c>
      <c r="D39" s="99" t="s">
        <v>3173</v>
      </c>
      <c r="E39" s="99" t="s">
        <v>3174</v>
      </c>
      <c r="F39" s="99" t="s">
        <v>3100</v>
      </c>
      <c r="G39" s="215"/>
      <c r="H39" s="215"/>
      <c r="I39" s="69">
        <v>1.0</v>
      </c>
      <c r="J39" s="222">
        <v>0.0</v>
      </c>
      <c r="K39" s="69">
        <v>0.0</v>
      </c>
      <c r="L39" s="223">
        <f t="shared" si="1"/>
        <v>0</v>
      </c>
      <c r="M39" s="146">
        <f t="shared" si="2"/>
        <v>0</v>
      </c>
      <c r="N39" s="305"/>
      <c r="O39" s="306"/>
      <c r="P39" s="105"/>
      <c r="Q39" s="105"/>
      <c r="R39" s="105"/>
      <c r="S39" s="105"/>
    </row>
    <row r="40">
      <c r="A40" s="198">
        <v>38.0</v>
      </c>
      <c r="B40" s="100">
        <v>31.0</v>
      </c>
      <c r="C40" s="99">
        <v>2.32410382E8</v>
      </c>
      <c r="D40" s="99" t="s">
        <v>3175</v>
      </c>
      <c r="E40" s="99" t="s">
        <v>3176</v>
      </c>
      <c r="F40" s="99" t="s">
        <v>3100</v>
      </c>
      <c r="G40" s="215"/>
      <c r="H40" s="215"/>
      <c r="I40" s="69">
        <v>1.0</v>
      </c>
      <c r="J40" s="222">
        <v>0.0</v>
      </c>
      <c r="K40" s="69">
        <v>0.0</v>
      </c>
      <c r="L40" s="223">
        <f t="shared" si="1"/>
        <v>0</v>
      </c>
      <c r="M40" s="146">
        <f t="shared" si="2"/>
        <v>0</v>
      </c>
      <c r="N40" s="305"/>
      <c r="O40" s="306"/>
      <c r="P40" s="105"/>
      <c r="Q40" s="105"/>
      <c r="R40" s="105"/>
      <c r="S40" s="105"/>
    </row>
    <row r="41">
      <c r="A41" s="196">
        <v>39.0</v>
      </c>
      <c r="B41" s="100">
        <v>32.0</v>
      </c>
      <c r="C41" s="99">
        <v>2.32410384E8</v>
      </c>
      <c r="D41" s="307" t="s">
        <v>3177</v>
      </c>
      <c r="E41" s="99" t="s">
        <v>3178</v>
      </c>
      <c r="F41" s="99" t="s">
        <v>3100</v>
      </c>
      <c r="G41" s="215"/>
      <c r="H41" s="215"/>
      <c r="I41" s="69">
        <v>1.0</v>
      </c>
      <c r="J41" s="222">
        <v>0.0</v>
      </c>
      <c r="K41" s="69">
        <v>0.0</v>
      </c>
      <c r="L41" s="223">
        <f t="shared" si="1"/>
        <v>0</v>
      </c>
      <c r="M41" s="146">
        <f t="shared" si="2"/>
        <v>0</v>
      </c>
      <c r="N41" s="305"/>
      <c r="O41" s="306"/>
      <c r="P41" s="105"/>
      <c r="Q41" s="105"/>
      <c r="R41" s="105"/>
      <c r="S41" s="105"/>
    </row>
    <row r="42">
      <c r="A42" s="198">
        <v>40.0</v>
      </c>
      <c r="B42" s="100">
        <v>33.0</v>
      </c>
      <c r="C42" s="99">
        <v>2.32410386E8</v>
      </c>
      <c r="D42" s="307" t="s">
        <v>3179</v>
      </c>
      <c r="E42" s="99" t="s">
        <v>3180</v>
      </c>
      <c r="F42" s="99" t="s">
        <v>3099</v>
      </c>
      <c r="G42" s="215"/>
      <c r="H42" s="215"/>
      <c r="I42" s="69">
        <v>1.0</v>
      </c>
      <c r="J42" s="222">
        <v>0.0</v>
      </c>
      <c r="K42" s="69">
        <v>0.0</v>
      </c>
      <c r="L42" s="223">
        <f t="shared" si="1"/>
        <v>0</v>
      </c>
      <c r="M42" s="146">
        <f t="shared" si="2"/>
        <v>0</v>
      </c>
      <c r="N42" s="305"/>
      <c r="O42" s="306"/>
      <c r="P42" s="105"/>
      <c r="Q42" s="105"/>
      <c r="R42" s="105"/>
      <c r="S42" s="105"/>
    </row>
    <row r="43">
      <c r="A43" s="196">
        <v>41.0</v>
      </c>
      <c r="B43" s="100">
        <v>34.0</v>
      </c>
      <c r="C43" s="99">
        <v>2.32410395E8</v>
      </c>
      <c r="D43" s="99" t="s">
        <v>3181</v>
      </c>
      <c r="E43" s="99" t="s">
        <v>3182</v>
      </c>
      <c r="F43" s="99" t="s">
        <v>3100</v>
      </c>
      <c r="G43" s="215"/>
      <c r="H43" s="215"/>
      <c r="I43" s="69">
        <v>1.0</v>
      </c>
      <c r="J43" s="222">
        <v>0.0</v>
      </c>
      <c r="K43" s="69">
        <v>0.0</v>
      </c>
      <c r="L43" s="223">
        <f t="shared" si="1"/>
        <v>0</v>
      </c>
      <c r="M43" s="146">
        <f t="shared" si="2"/>
        <v>0</v>
      </c>
      <c r="N43" s="305"/>
      <c r="O43" s="306"/>
      <c r="P43" s="105"/>
      <c r="Q43" s="105"/>
      <c r="R43" s="105"/>
      <c r="S43" s="105"/>
    </row>
    <row r="44">
      <c r="A44" s="198">
        <v>42.0</v>
      </c>
      <c r="B44" s="100">
        <v>35.0</v>
      </c>
      <c r="C44" s="99">
        <v>2.32410398E8</v>
      </c>
      <c r="D44" s="99" t="s">
        <v>3183</v>
      </c>
      <c r="E44" s="99" t="s">
        <v>3184</v>
      </c>
      <c r="F44" s="99" t="s">
        <v>3099</v>
      </c>
      <c r="G44" s="215"/>
      <c r="H44" s="215"/>
      <c r="I44" s="69">
        <v>1.0</v>
      </c>
      <c r="J44" s="222">
        <v>0.0</v>
      </c>
      <c r="K44" s="69">
        <v>0.0</v>
      </c>
      <c r="L44" s="223">
        <f t="shared" si="1"/>
        <v>0</v>
      </c>
      <c r="M44" s="146">
        <f t="shared" si="2"/>
        <v>0</v>
      </c>
      <c r="N44" s="305"/>
      <c r="O44" s="306"/>
      <c r="P44" s="105"/>
      <c r="Q44" s="105"/>
      <c r="R44" s="105"/>
      <c r="S44" s="105"/>
    </row>
    <row r="45">
      <c r="A45" s="196">
        <v>43.0</v>
      </c>
      <c r="B45" s="100">
        <v>36.0</v>
      </c>
      <c r="C45" s="99" t="s">
        <v>3185</v>
      </c>
      <c r="D45" s="99" t="s">
        <v>3186</v>
      </c>
      <c r="E45" s="99" t="s">
        <v>3187</v>
      </c>
      <c r="F45" s="99" t="s">
        <v>3099</v>
      </c>
      <c r="G45" s="215"/>
      <c r="H45" s="215"/>
      <c r="I45" s="69">
        <v>3.0</v>
      </c>
      <c r="J45" s="222">
        <v>0.0</v>
      </c>
      <c r="K45" s="69">
        <v>3.0</v>
      </c>
      <c r="L45" s="223">
        <f t="shared" si="1"/>
        <v>3</v>
      </c>
      <c r="M45" s="146">
        <f t="shared" si="2"/>
        <v>0.75</v>
      </c>
      <c r="N45" s="215" t="s">
        <v>3188</v>
      </c>
      <c r="O45" s="306"/>
      <c r="P45" s="105"/>
      <c r="Q45" s="105"/>
      <c r="R45" s="105"/>
      <c r="S45" s="105"/>
    </row>
    <row r="46">
      <c r="A46" s="198">
        <v>44.0</v>
      </c>
      <c r="B46" s="106"/>
      <c r="C46" s="309" t="s">
        <v>3101</v>
      </c>
      <c r="D46" s="105"/>
      <c r="E46" s="246">
        <f>COUNTIF(F10:F48,"L")</f>
        <v>9</v>
      </c>
      <c r="F46" s="105"/>
      <c r="G46" s="105"/>
      <c r="H46" s="105"/>
      <c r="I46" s="106"/>
      <c r="J46" s="106"/>
      <c r="K46" s="106"/>
      <c r="L46" s="218"/>
      <c r="M46" s="106"/>
      <c r="N46" s="105"/>
      <c r="O46" s="105"/>
      <c r="P46" s="105"/>
      <c r="Q46" s="105"/>
      <c r="R46" s="105"/>
      <c r="S46" s="105"/>
    </row>
    <row r="47">
      <c r="A47" s="196">
        <v>45.0</v>
      </c>
      <c r="B47" s="106"/>
      <c r="C47" s="309" t="s">
        <v>3102</v>
      </c>
      <c r="D47" s="105"/>
      <c r="E47" s="246">
        <f>COUNTIF(F10:F48,"P")</f>
        <v>27</v>
      </c>
      <c r="F47" s="105"/>
      <c r="G47" s="105"/>
      <c r="H47" s="105"/>
      <c r="I47" s="106"/>
      <c r="J47" s="106"/>
      <c r="K47" s="106"/>
      <c r="L47" s="218"/>
      <c r="M47" s="106"/>
      <c r="N47" s="105"/>
      <c r="O47" s="232"/>
      <c r="P47" s="105"/>
      <c r="Q47" s="105"/>
      <c r="R47" s="105"/>
      <c r="S47" s="105"/>
    </row>
    <row r="48">
      <c r="A48" s="198">
        <v>46.0</v>
      </c>
      <c r="B48" s="106"/>
      <c r="C48" s="309" t="s">
        <v>3104</v>
      </c>
      <c r="D48" s="105"/>
      <c r="E48" s="246">
        <f>E46+E47</f>
        <v>36</v>
      </c>
      <c r="F48" s="105"/>
      <c r="G48" s="105"/>
      <c r="H48" s="105"/>
      <c r="I48" s="106"/>
      <c r="J48" s="106"/>
      <c r="K48" s="106"/>
      <c r="L48" s="218"/>
      <c r="M48" s="106"/>
      <c r="N48" s="105"/>
      <c r="O48" s="232"/>
      <c r="P48" s="105"/>
      <c r="Q48" s="105"/>
      <c r="R48" s="105"/>
      <c r="S48" s="105"/>
    </row>
    <row r="49">
      <c r="A49" s="196">
        <v>47.0</v>
      </c>
      <c r="B49" s="197"/>
      <c r="C49" s="189"/>
      <c r="D49" s="189"/>
      <c r="E49" s="189"/>
      <c r="F49" s="189"/>
      <c r="G49" s="189"/>
      <c r="H49" s="189"/>
      <c r="I49" s="197"/>
      <c r="J49" s="197"/>
      <c r="K49" s="197"/>
      <c r="L49" s="197"/>
      <c r="M49" s="197"/>
      <c r="N49" s="189"/>
      <c r="O49" s="189"/>
      <c r="P49" s="105"/>
      <c r="Q49" s="105"/>
      <c r="R49" s="105"/>
      <c r="S49" s="105"/>
    </row>
    <row r="50">
      <c r="A50" s="198">
        <v>48.0</v>
      </c>
      <c r="B50" s="114" t="s">
        <v>3111</v>
      </c>
      <c r="F50" s="287"/>
      <c r="G50" s="287"/>
      <c r="H50" s="287"/>
      <c r="I50" s="114"/>
      <c r="J50" s="114"/>
      <c r="K50" s="114"/>
      <c r="L50" s="114"/>
      <c r="M50" s="114"/>
      <c r="N50" s="287"/>
      <c r="O50" s="287"/>
      <c r="P50" s="105"/>
      <c r="Q50" s="105"/>
      <c r="R50" s="105"/>
      <c r="S50" s="105"/>
    </row>
    <row r="51">
      <c r="A51" s="196">
        <v>49.0</v>
      </c>
      <c r="B51" s="114" t="s">
        <v>3112</v>
      </c>
      <c r="F51" s="287"/>
      <c r="G51" s="287"/>
      <c r="H51" s="287"/>
      <c r="I51" s="114"/>
      <c r="J51" s="114"/>
      <c r="K51" s="114"/>
      <c r="L51" s="114"/>
      <c r="M51" s="114"/>
      <c r="N51" s="287"/>
      <c r="O51" s="287"/>
      <c r="P51" s="105"/>
      <c r="Q51" s="105"/>
      <c r="R51" s="105"/>
      <c r="S51" s="105"/>
    </row>
    <row r="52">
      <c r="A52" s="198">
        <v>50.0</v>
      </c>
      <c r="B52" s="110" t="s">
        <v>3189</v>
      </c>
      <c r="F52" s="310"/>
      <c r="G52" s="310"/>
      <c r="H52" s="310"/>
      <c r="I52" s="110"/>
      <c r="J52" s="110"/>
      <c r="K52" s="110"/>
      <c r="L52" s="110"/>
      <c r="M52" s="110"/>
      <c r="N52" s="310"/>
      <c r="O52" s="310"/>
      <c r="P52" s="105"/>
      <c r="Q52" s="105"/>
      <c r="R52" s="105"/>
      <c r="S52" s="105"/>
    </row>
    <row r="53">
      <c r="A53" s="196">
        <v>51.0</v>
      </c>
      <c r="B53" s="298" t="s">
        <v>3190</v>
      </c>
      <c r="F53" s="200"/>
      <c r="G53" s="200"/>
      <c r="H53" s="200"/>
      <c r="I53" s="93"/>
      <c r="J53" s="93"/>
      <c r="K53" s="93"/>
      <c r="L53" s="93"/>
      <c r="M53" s="93"/>
      <c r="N53" s="200"/>
      <c r="O53" s="200"/>
      <c r="P53" s="105"/>
      <c r="Q53" s="105"/>
      <c r="R53" s="105"/>
      <c r="S53" s="105"/>
    </row>
    <row r="54">
      <c r="A54" s="198">
        <v>52.0</v>
      </c>
      <c r="B54" s="299" t="s">
        <v>1735</v>
      </c>
      <c r="C54" s="299" t="s">
        <v>1737</v>
      </c>
      <c r="D54" s="299" t="s">
        <v>1736</v>
      </c>
      <c r="E54" s="299" t="s">
        <v>1738</v>
      </c>
      <c r="F54" s="262" t="s">
        <v>1815</v>
      </c>
      <c r="G54" s="255"/>
      <c r="H54" s="255"/>
      <c r="I54" s="256" t="s">
        <v>3097</v>
      </c>
      <c r="J54" s="9"/>
      <c r="K54" s="9"/>
      <c r="L54" s="9"/>
      <c r="M54" s="9"/>
      <c r="N54" s="9"/>
      <c r="O54" s="10"/>
      <c r="P54" s="105"/>
      <c r="Q54" s="105"/>
      <c r="R54" s="105"/>
      <c r="S54" s="105"/>
    </row>
    <row r="55">
      <c r="A55" s="196">
        <v>53.0</v>
      </c>
      <c r="B55" s="11"/>
      <c r="C55" s="11"/>
      <c r="D55" s="11"/>
      <c r="E55" s="11"/>
      <c r="F55" s="262"/>
      <c r="G55" s="300"/>
      <c r="H55" s="300" t="s">
        <v>2483</v>
      </c>
      <c r="I55" s="301" t="s">
        <v>3109</v>
      </c>
      <c r="J55" s="302" t="s">
        <v>3095</v>
      </c>
      <c r="K55" s="301" t="s">
        <v>3110</v>
      </c>
      <c r="L55" s="302" t="s">
        <v>3098</v>
      </c>
      <c r="M55" s="303" t="s">
        <v>18</v>
      </c>
      <c r="N55" s="302" t="s">
        <v>2491</v>
      </c>
      <c r="O55" s="304" t="s">
        <v>19</v>
      </c>
      <c r="P55" s="105"/>
      <c r="Q55" s="105"/>
      <c r="R55" s="105"/>
      <c r="S55" s="105"/>
    </row>
    <row r="56">
      <c r="A56" s="198">
        <v>54.0</v>
      </c>
      <c r="B56" s="20"/>
      <c r="C56" s="20"/>
      <c r="D56" s="20"/>
      <c r="E56" s="20"/>
      <c r="F56" s="262"/>
      <c r="G56" s="300"/>
      <c r="H56" s="300"/>
      <c r="I56" s="20"/>
      <c r="J56" s="20"/>
      <c r="K56" s="20"/>
      <c r="L56" s="20"/>
      <c r="M56" s="20"/>
      <c r="N56" s="20"/>
      <c r="O56" s="20"/>
      <c r="P56" s="105"/>
      <c r="Q56" s="105"/>
      <c r="R56" s="105"/>
      <c r="S56" s="105"/>
    </row>
    <row r="57">
      <c r="A57" s="196">
        <v>55.0</v>
      </c>
      <c r="B57" s="100">
        <v>1.0</v>
      </c>
      <c r="C57" s="99">
        <v>2.32410073E8</v>
      </c>
      <c r="D57" s="307" t="s">
        <v>3191</v>
      </c>
      <c r="E57" s="99" t="s">
        <v>3192</v>
      </c>
      <c r="F57" s="99" t="s">
        <v>3100</v>
      </c>
      <c r="G57" s="215"/>
      <c r="H57" s="215"/>
      <c r="I57" s="69">
        <v>1.0</v>
      </c>
      <c r="J57" s="222">
        <v>0.0</v>
      </c>
      <c r="K57" s="69">
        <v>0.0</v>
      </c>
      <c r="L57" s="223">
        <f t="shared" ref="L57:L91" si="3">K57+J57</f>
        <v>0</v>
      </c>
      <c r="M57" s="146">
        <f t="shared" ref="M57:M91" si="4">(K57+J57)/(I57+1)</f>
        <v>0</v>
      </c>
      <c r="N57" s="305"/>
      <c r="O57" s="306"/>
      <c r="P57" s="105"/>
      <c r="Q57" s="105"/>
      <c r="R57" s="105"/>
      <c r="S57" s="105"/>
    </row>
    <row r="58">
      <c r="A58" s="198">
        <v>56.0</v>
      </c>
      <c r="B58" s="100">
        <v>2.0</v>
      </c>
      <c r="C58" s="99">
        <v>2.3241009E8</v>
      </c>
      <c r="D58" s="99" t="s">
        <v>3193</v>
      </c>
      <c r="E58" s="99" t="s">
        <v>3194</v>
      </c>
      <c r="F58" s="99" t="s">
        <v>3100</v>
      </c>
      <c r="G58" s="215"/>
      <c r="H58" s="215"/>
      <c r="I58" s="69">
        <v>12.0</v>
      </c>
      <c r="J58" s="222">
        <v>0.0</v>
      </c>
      <c r="K58" s="69">
        <v>5.0</v>
      </c>
      <c r="L58" s="223">
        <f t="shared" si="3"/>
        <v>5</v>
      </c>
      <c r="M58" s="146">
        <f t="shared" si="4"/>
        <v>0.3846153846</v>
      </c>
      <c r="N58" s="215" t="s">
        <v>2508</v>
      </c>
      <c r="O58" s="311"/>
      <c r="P58" s="105"/>
      <c r="Q58" s="105"/>
      <c r="R58" s="105"/>
      <c r="S58" s="105"/>
    </row>
    <row r="59">
      <c r="A59" s="196">
        <v>57.0</v>
      </c>
      <c r="B59" s="100">
        <v>3.0</v>
      </c>
      <c r="C59" s="99">
        <v>2.32410092E8</v>
      </c>
      <c r="D59" s="307" t="s">
        <v>3195</v>
      </c>
      <c r="E59" s="99" t="s">
        <v>3196</v>
      </c>
      <c r="F59" s="99" t="s">
        <v>3100</v>
      </c>
      <c r="G59" s="215"/>
      <c r="H59" s="215"/>
      <c r="I59" s="69">
        <v>1.0</v>
      </c>
      <c r="J59" s="222">
        <v>0.0</v>
      </c>
      <c r="K59" s="69">
        <v>0.0</v>
      </c>
      <c r="L59" s="223">
        <f t="shared" si="3"/>
        <v>0</v>
      </c>
      <c r="M59" s="146">
        <f t="shared" si="4"/>
        <v>0</v>
      </c>
      <c r="N59" s="305"/>
      <c r="O59" s="306"/>
      <c r="P59" s="105"/>
      <c r="Q59" s="105"/>
      <c r="R59" s="105"/>
      <c r="S59" s="105"/>
    </row>
    <row r="60">
      <c r="A60" s="198">
        <v>58.0</v>
      </c>
      <c r="B60" s="100">
        <v>4.0</v>
      </c>
      <c r="C60" s="99">
        <v>2.32410095E8</v>
      </c>
      <c r="D60" s="307" t="s">
        <v>3197</v>
      </c>
      <c r="E60" s="99" t="s">
        <v>3198</v>
      </c>
      <c r="F60" s="99" t="s">
        <v>3099</v>
      </c>
      <c r="G60" s="215"/>
      <c r="H60" s="215"/>
      <c r="I60" s="69">
        <v>1.0</v>
      </c>
      <c r="J60" s="222">
        <v>0.0</v>
      </c>
      <c r="K60" s="69">
        <v>0.0</v>
      </c>
      <c r="L60" s="223">
        <f t="shared" si="3"/>
        <v>0</v>
      </c>
      <c r="M60" s="146">
        <f t="shared" si="4"/>
        <v>0</v>
      </c>
      <c r="N60" s="305"/>
      <c r="O60" s="306"/>
      <c r="P60" s="105"/>
      <c r="Q60" s="105"/>
      <c r="R60" s="105"/>
      <c r="S60" s="105"/>
    </row>
    <row r="61">
      <c r="A61" s="196">
        <v>59.0</v>
      </c>
      <c r="B61" s="100">
        <v>5.0</v>
      </c>
      <c r="C61" s="99">
        <v>2.32410108E8</v>
      </c>
      <c r="D61" s="307" t="s">
        <v>3199</v>
      </c>
      <c r="E61" s="99" t="s">
        <v>3200</v>
      </c>
      <c r="F61" s="99" t="s">
        <v>3099</v>
      </c>
      <c r="G61" s="215"/>
      <c r="H61" s="215"/>
      <c r="I61" s="69">
        <v>1.0</v>
      </c>
      <c r="J61" s="222">
        <v>0.0</v>
      </c>
      <c r="K61" s="69">
        <v>0.0</v>
      </c>
      <c r="L61" s="223">
        <f t="shared" si="3"/>
        <v>0</v>
      </c>
      <c r="M61" s="146">
        <f t="shared" si="4"/>
        <v>0</v>
      </c>
      <c r="N61" s="305"/>
      <c r="O61" s="306"/>
      <c r="P61" s="105"/>
      <c r="Q61" s="105"/>
      <c r="R61" s="105"/>
      <c r="S61" s="105"/>
    </row>
    <row r="62">
      <c r="A62" s="198">
        <v>60.0</v>
      </c>
      <c r="B62" s="100">
        <v>6.0</v>
      </c>
      <c r="C62" s="99">
        <v>2.3241011E8</v>
      </c>
      <c r="D62" s="307" t="s">
        <v>3201</v>
      </c>
      <c r="E62" s="99" t="s">
        <v>3202</v>
      </c>
      <c r="F62" s="99" t="s">
        <v>3100</v>
      </c>
      <c r="G62" s="215"/>
      <c r="H62" s="215"/>
      <c r="I62" s="69">
        <v>1.0</v>
      </c>
      <c r="J62" s="222">
        <v>0.0</v>
      </c>
      <c r="K62" s="69">
        <v>0.0</v>
      </c>
      <c r="L62" s="223">
        <f t="shared" si="3"/>
        <v>0</v>
      </c>
      <c r="M62" s="146">
        <f t="shared" si="4"/>
        <v>0</v>
      </c>
      <c r="N62" s="305"/>
      <c r="O62" s="306"/>
      <c r="P62" s="105"/>
      <c r="Q62" s="105"/>
      <c r="R62" s="105"/>
      <c r="S62" s="105"/>
    </row>
    <row r="63">
      <c r="A63" s="196">
        <v>61.0</v>
      </c>
      <c r="B63" s="100">
        <v>7.0</v>
      </c>
      <c r="C63" s="99">
        <v>2.32410118E8</v>
      </c>
      <c r="D63" s="99" t="s">
        <v>3203</v>
      </c>
      <c r="E63" s="99" t="s">
        <v>3204</v>
      </c>
      <c r="F63" s="99" t="s">
        <v>3100</v>
      </c>
      <c r="G63" s="215"/>
      <c r="H63" s="215"/>
      <c r="I63" s="69">
        <v>1.0</v>
      </c>
      <c r="J63" s="222">
        <v>0.0</v>
      </c>
      <c r="K63" s="69">
        <v>0.0</v>
      </c>
      <c r="L63" s="223">
        <f t="shared" si="3"/>
        <v>0</v>
      </c>
      <c r="M63" s="146">
        <f t="shared" si="4"/>
        <v>0</v>
      </c>
      <c r="N63" s="305"/>
      <c r="O63" s="306"/>
      <c r="P63" s="105"/>
      <c r="Q63" s="105"/>
      <c r="R63" s="105"/>
      <c r="S63" s="105"/>
    </row>
    <row r="64">
      <c r="A64" s="198">
        <v>62.0</v>
      </c>
      <c r="B64" s="100">
        <v>8.0</v>
      </c>
      <c r="C64" s="99">
        <v>2.3241013E8</v>
      </c>
      <c r="D64" s="99" t="s">
        <v>3205</v>
      </c>
      <c r="E64" s="99" t="s">
        <v>3206</v>
      </c>
      <c r="F64" s="99" t="s">
        <v>3099</v>
      </c>
      <c r="G64" s="215"/>
      <c r="H64" s="215"/>
      <c r="I64" s="69">
        <v>1.0</v>
      </c>
      <c r="J64" s="223">
        <f>iferror(vlookup(E64,MasterClass!$C$2:$G1001,5,false),"")</f>
        <v>1</v>
      </c>
      <c r="K64" s="69">
        <v>0.0</v>
      </c>
      <c r="L64" s="223">
        <f t="shared" si="3"/>
        <v>1</v>
      </c>
      <c r="M64" s="146">
        <f t="shared" si="4"/>
        <v>0.5</v>
      </c>
      <c r="N64" s="305"/>
      <c r="O64" s="306"/>
      <c r="P64" s="105"/>
      <c r="Q64" s="105"/>
      <c r="R64" s="105"/>
      <c r="S64" s="105"/>
    </row>
    <row r="65">
      <c r="A65" s="196">
        <v>63.0</v>
      </c>
      <c r="B65" s="100">
        <v>9.0</v>
      </c>
      <c r="C65" s="99">
        <v>2.32410147E8</v>
      </c>
      <c r="D65" s="99" t="s">
        <v>3207</v>
      </c>
      <c r="E65" s="99" t="s">
        <v>3208</v>
      </c>
      <c r="F65" s="99" t="s">
        <v>3100</v>
      </c>
      <c r="G65" s="215"/>
      <c r="H65" s="215"/>
      <c r="I65" s="69">
        <v>1.0</v>
      </c>
      <c r="J65" s="222">
        <v>0.0</v>
      </c>
      <c r="K65" s="69">
        <v>0.0</v>
      </c>
      <c r="L65" s="223">
        <f t="shared" si="3"/>
        <v>0</v>
      </c>
      <c r="M65" s="146">
        <f t="shared" si="4"/>
        <v>0</v>
      </c>
      <c r="N65" s="305"/>
      <c r="O65" s="306"/>
      <c r="P65" s="105"/>
      <c r="Q65" s="105"/>
      <c r="R65" s="105"/>
      <c r="S65" s="105"/>
    </row>
    <row r="66">
      <c r="A66" s="198">
        <v>64.0</v>
      </c>
      <c r="B66" s="100">
        <v>10.0</v>
      </c>
      <c r="C66" s="99">
        <v>2.32410152E8</v>
      </c>
      <c r="D66" s="99" t="s">
        <v>3209</v>
      </c>
      <c r="E66" s="99" t="s">
        <v>3210</v>
      </c>
      <c r="F66" s="99" t="s">
        <v>3099</v>
      </c>
      <c r="G66" s="215"/>
      <c r="H66" s="215"/>
      <c r="I66" s="69">
        <v>1.0</v>
      </c>
      <c r="J66" s="222">
        <v>0.0</v>
      </c>
      <c r="K66" s="69">
        <v>0.0</v>
      </c>
      <c r="L66" s="223">
        <f t="shared" si="3"/>
        <v>0</v>
      </c>
      <c r="M66" s="146">
        <f t="shared" si="4"/>
        <v>0</v>
      </c>
      <c r="N66" s="305"/>
      <c r="O66" s="306"/>
      <c r="P66" s="105"/>
      <c r="Q66" s="105"/>
      <c r="R66" s="105"/>
      <c r="S66" s="105"/>
    </row>
    <row r="67">
      <c r="A67" s="196">
        <v>65.0</v>
      </c>
      <c r="B67" s="100">
        <v>11.0</v>
      </c>
      <c r="C67" s="99">
        <v>2.32410157E8</v>
      </c>
      <c r="D67" s="307" t="s">
        <v>3211</v>
      </c>
      <c r="E67" s="99" t="s">
        <v>3212</v>
      </c>
      <c r="F67" s="99" t="s">
        <v>3100</v>
      </c>
      <c r="G67" s="215"/>
      <c r="H67" s="215"/>
      <c r="I67" s="69">
        <v>1.0</v>
      </c>
      <c r="J67" s="222">
        <v>0.0</v>
      </c>
      <c r="K67" s="69">
        <v>0.0</v>
      </c>
      <c r="L67" s="223">
        <f t="shared" si="3"/>
        <v>0</v>
      </c>
      <c r="M67" s="146">
        <f t="shared" si="4"/>
        <v>0</v>
      </c>
      <c r="N67" s="305"/>
      <c r="O67" s="306"/>
      <c r="P67" s="105"/>
      <c r="Q67" s="105"/>
      <c r="R67" s="105"/>
      <c r="S67" s="105"/>
    </row>
    <row r="68">
      <c r="A68" s="198">
        <v>66.0</v>
      </c>
      <c r="B68" s="100">
        <v>12.0</v>
      </c>
      <c r="C68" s="99">
        <v>2.32410165E8</v>
      </c>
      <c r="D68" s="307" t="s">
        <v>3213</v>
      </c>
      <c r="E68" s="99" t="s">
        <v>3214</v>
      </c>
      <c r="F68" s="99" t="s">
        <v>3099</v>
      </c>
      <c r="G68" s="215"/>
      <c r="H68" s="215"/>
      <c r="I68" s="69">
        <v>1.0</v>
      </c>
      <c r="J68" s="222">
        <v>0.0</v>
      </c>
      <c r="K68" s="69">
        <v>0.0</v>
      </c>
      <c r="L68" s="223">
        <f t="shared" si="3"/>
        <v>0</v>
      </c>
      <c r="M68" s="146">
        <f t="shared" si="4"/>
        <v>0</v>
      </c>
      <c r="N68" s="305"/>
      <c r="O68" s="306"/>
      <c r="P68" s="105"/>
      <c r="Q68" s="105"/>
      <c r="R68" s="105"/>
      <c r="S68" s="105"/>
    </row>
    <row r="69">
      <c r="A69" s="196">
        <v>67.0</v>
      </c>
      <c r="B69" s="100">
        <v>13.0</v>
      </c>
      <c r="C69" s="99">
        <v>2.32410189E8</v>
      </c>
      <c r="D69" s="307" t="s">
        <v>3215</v>
      </c>
      <c r="E69" s="260" t="s">
        <v>3216</v>
      </c>
      <c r="F69" s="99" t="s">
        <v>3099</v>
      </c>
      <c r="G69" s="215"/>
      <c r="H69" s="215"/>
      <c r="I69" s="69">
        <v>1.0</v>
      </c>
      <c r="J69" s="223">
        <f>iferror(vlookup(E69,MasterClass!$C$2:$G1001,5,false),"")</f>
        <v>1</v>
      </c>
      <c r="K69" s="69">
        <v>0.0</v>
      </c>
      <c r="L69" s="223">
        <f t="shared" si="3"/>
        <v>1</v>
      </c>
      <c r="M69" s="146">
        <f t="shared" si="4"/>
        <v>0.5</v>
      </c>
      <c r="N69" s="305"/>
      <c r="O69" s="306"/>
      <c r="P69" s="105"/>
      <c r="Q69" s="105"/>
      <c r="R69" s="105"/>
      <c r="S69" s="105"/>
    </row>
    <row r="70">
      <c r="A70" s="198">
        <v>68.0</v>
      </c>
      <c r="B70" s="100">
        <v>14.0</v>
      </c>
      <c r="C70" s="99">
        <v>2.32410194E8</v>
      </c>
      <c r="D70" s="307" t="s">
        <v>3217</v>
      </c>
      <c r="E70" s="99" t="s">
        <v>3218</v>
      </c>
      <c r="F70" s="99" t="s">
        <v>3100</v>
      </c>
      <c r="G70" s="215"/>
      <c r="H70" s="215"/>
      <c r="I70" s="69">
        <v>1.0</v>
      </c>
      <c r="J70" s="222">
        <v>0.0</v>
      </c>
      <c r="K70" s="69">
        <v>0.0</v>
      </c>
      <c r="L70" s="223">
        <f t="shared" si="3"/>
        <v>0</v>
      </c>
      <c r="M70" s="146">
        <f t="shared" si="4"/>
        <v>0</v>
      </c>
      <c r="N70" s="305"/>
      <c r="O70" s="306"/>
      <c r="P70" s="105"/>
      <c r="Q70" s="105"/>
      <c r="R70" s="105"/>
      <c r="S70" s="105"/>
    </row>
    <row r="71">
      <c r="A71" s="196">
        <v>69.0</v>
      </c>
      <c r="B71" s="100">
        <v>15.0</v>
      </c>
      <c r="C71" s="99">
        <v>2.32410246E8</v>
      </c>
      <c r="D71" s="307" t="s">
        <v>3219</v>
      </c>
      <c r="E71" s="99" t="s">
        <v>3220</v>
      </c>
      <c r="F71" s="99" t="s">
        <v>3099</v>
      </c>
      <c r="G71" s="215"/>
      <c r="H71" s="215"/>
      <c r="I71" s="69">
        <v>1.0</v>
      </c>
      <c r="J71" s="222">
        <v>0.0</v>
      </c>
      <c r="K71" s="69">
        <v>0.0</v>
      </c>
      <c r="L71" s="223">
        <f t="shared" si="3"/>
        <v>0</v>
      </c>
      <c r="M71" s="146">
        <f t="shared" si="4"/>
        <v>0</v>
      </c>
      <c r="N71" s="305"/>
      <c r="O71" s="306"/>
      <c r="P71" s="105"/>
      <c r="Q71" s="105"/>
      <c r="R71" s="105"/>
      <c r="S71" s="105"/>
    </row>
    <row r="72">
      <c r="A72" s="198">
        <v>70.0</v>
      </c>
      <c r="B72" s="100">
        <v>16.0</v>
      </c>
      <c r="C72" s="99">
        <v>2.02107217E8</v>
      </c>
      <c r="D72" s="307" t="s">
        <v>3221</v>
      </c>
      <c r="E72" s="99" t="s">
        <v>3222</v>
      </c>
      <c r="F72" s="99" t="s">
        <v>3100</v>
      </c>
      <c r="G72" s="215"/>
      <c r="H72" s="215"/>
      <c r="I72" s="69">
        <v>1.0</v>
      </c>
      <c r="J72" s="222">
        <v>0.0</v>
      </c>
      <c r="K72" s="69">
        <v>0.0</v>
      </c>
      <c r="L72" s="223">
        <f t="shared" si="3"/>
        <v>0</v>
      </c>
      <c r="M72" s="146">
        <f t="shared" si="4"/>
        <v>0</v>
      </c>
      <c r="N72" s="305"/>
      <c r="O72" s="306"/>
      <c r="P72" s="105"/>
      <c r="Q72" s="105"/>
      <c r="R72" s="105"/>
      <c r="S72" s="105"/>
    </row>
    <row r="73">
      <c r="A73" s="196">
        <v>71.0</v>
      </c>
      <c r="B73" s="100">
        <v>17.0</v>
      </c>
      <c r="C73" s="99">
        <v>2.32410021E8</v>
      </c>
      <c r="D73" s="307" t="s">
        <v>3223</v>
      </c>
      <c r="E73" s="99" t="s">
        <v>3224</v>
      </c>
      <c r="F73" s="99" t="s">
        <v>3100</v>
      </c>
      <c r="G73" s="215"/>
      <c r="H73" s="215"/>
      <c r="I73" s="69">
        <v>1.0</v>
      </c>
      <c r="J73" s="222">
        <v>0.0</v>
      </c>
      <c r="K73" s="69">
        <v>0.0</v>
      </c>
      <c r="L73" s="223">
        <f t="shared" si="3"/>
        <v>0</v>
      </c>
      <c r="M73" s="146">
        <f t="shared" si="4"/>
        <v>0</v>
      </c>
      <c r="N73" s="305"/>
      <c r="O73" s="306"/>
      <c r="P73" s="105"/>
      <c r="Q73" s="105"/>
      <c r="R73" s="105"/>
      <c r="S73" s="105"/>
    </row>
    <row r="74">
      <c r="A74" s="198">
        <v>72.0</v>
      </c>
      <c r="B74" s="100">
        <v>18.0</v>
      </c>
      <c r="C74" s="99">
        <v>2.32410282E8</v>
      </c>
      <c r="D74" s="307" t="s">
        <v>3225</v>
      </c>
      <c r="E74" s="99" t="s">
        <v>3226</v>
      </c>
      <c r="F74" s="99" t="s">
        <v>3100</v>
      </c>
      <c r="G74" s="215"/>
      <c r="H74" s="215"/>
      <c r="I74" s="69">
        <v>1.0</v>
      </c>
      <c r="J74" s="222">
        <v>0.0</v>
      </c>
      <c r="K74" s="69">
        <v>0.0</v>
      </c>
      <c r="L74" s="223">
        <f t="shared" si="3"/>
        <v>0</v>
      </c>
      <c r="M74" s="146">
        <f t="shared" si="4"/>
        <v>0</v>
      </c>
      <c r="N74" s="305"/>
      <c r="O74" s="306"/>
      <c r="P74" s="105"/>
      <c r="Q74" s="105"/>
      <c r="R74" s="105"/>
      <c r="S74" s="105"/>
    </row>
    <row r="75">
      <c r="A75" s="196">
        <v>73.0</v>
      </c>
      <c r="B75" s="100">
        <v>19.0</v>
      </c>
      <c r="C75" s="99">
        <v>2.32410283E8</v>
      </c>
      <c r="D75" s="307" t="s">
        <v>3227</v>
      </c>
      <c r="E75" s="99" t="s">
        <v>3228</v>
      </c>
      <c r="F75" s="99" t="s">
        <v>3100</v>
      </c>
      <c r="G75" s="215"/>
      <c r="H75" s="215"/>
      <c r="I75" s="69">
        <v>1.0</v>
      </c>
      <c r="J75" s="222">
        <v>0.0</v>
      </c>
      <c r="K75" s="69">
        <v>0.0</v>
      </c>
      <c r="L75" s="223">
        <f t="shared" si="3"/>
        <v>0</v>
      </c>
      <c r="M75" s="146">
        <f t="shared" si="4"/>
        <v>0</v>
      </c>
      <c r="N75" s="305"/>
      <c r="O75" s="306"/>
      <c r="P75" s="105"/>
      <c r="Q75" s="105"/>
      <c r="R75" s="105"/>
      <c r="S75" s="105"/>
    </row>
    <row r="76">
      <c r="A76" s="198">
        <v>74.0</v>
      </c>
      <c r="B76" s="100">
        <v>20.0</v>
      </c>
      <c r="C76" s="99">
        <v>2.32410284E8</v>
      </c>
      <c r="D76" s="307" t="s">
        <v>3229</v>
      </c>
      <c r="E76" s="99" t="s">
        <v>3230</v>
      </c>
      <c r="F76" s="99" t="s">
        <v>3099</v>
      </c>
      <c r="G76" s="215"/>
      <c r="H76" s="215"/>
      <c r="I76" s="69">
        <v>1.0</v>
      </c>
      <c r="J76" s="222">
        <v>0.0</v>
      </c>
      <c r="K76" s="69">
        <v>0.0</v>
      </c>
      <c r="L76" s="223">
        <f t="shared" si="3"/>
        <v>0</v>
      </c>
      <c r="M76" s="146">
        <f t="shared" si="4"/>
        <v>0</v>
      </c>
      <c r="N76" s="305"/>
      <c r="O76" s="306"/>
      <c r="P76" s="105"/>
      <c r="Q76" s="105"/>
      <c r="R76" s="105"/>
      <c r="S76" s="105"/>
    </row>
    <row r="77">
      <c r="A77" s="196">
        <v>75.0</v>
      </c>
      <c r="B77" s="100">
        <v>21.0</v>
      </c>
      <c r="C77" s="99">
        <v>2.32410287E8</v>
      </c>
      <c r="D77" s="307" t="s">
        <v>3231</v>
      </c>
      <c r="E77" s="99" t="s">
        <v>3232</v>
      </c>
      <c r="F77" s="99" t="s">
        <v>3100</v>
      </c>
      <c r="G77" s="215"/>
      <c r="H77" s="215"/>
      <c r="I77" s="69">
        <v>1.0</v>
      </c>
      <c r="J77" s="222">
        <v>0.0</v>
      </c>
      <c r="K77" s="69">
        <v>0.0</v>
      </c>
      <c r="L77" s="223">
        <f t="shared" si="3"/>
        <v>0</v>
      </c>
      <c r="M77" s="146">
        <f t="shared" si="4"/>
        <v>0</v>
      </c>
      <c r="N77" s="305"/>
      <c r="O77" s="306"/>
      <c r="P77" s="105"/>
      <c r="Q77" s="105"/>
      <c r="R77" s="105"/>
      <c r="S77" s="105"/>
    </row>
    <row r="78">
      <c r="A78" s="198">
        <v>76.0</v>
      </c>
      <c r="B78" s="100">
        <v>22.0</v>
      </c>
      <c r="C78" s="312">
        <v>2.32410293E8</v>
      </c>
      <c r="D78" s="307" t="s">
        <v>3233</v>
      </c>
      <c r="E78" s="260" t="s">
        <v>3234</v>
      </c>
      <c r="F78" s="99" t="s">
        <v>3100</v>
      </c>
      <c r="G78" s="215"/>
      <c r="H78" s="215"/>
      <c r="I78" s="69">
        <v>1.0</v>
      </c>
      <c r="J78" s="222">
        <v>0.0</v>
      </c>
      <c r="K78" s="69">
        <v>0.0</v>
      </c>
      <c r="L78" s="223">
        <f t="shared" si="3"/>
        <v>0</v>
      </c>
      <c r="M78" s="146">
        <f t="shared" si="4"/>
        <v>0</v>
      </c>
      <c r="N78" s="305"/>
      <c r="O78" s="306"/>
      <c r="P78" s="105"/>
      <c r="Q78" s="105"/>
      <c r="R78" s="105"/>
      <c r="S78" s="105"/>
    </row>
    <row r="79">
      <c r="A79" s="196">
        <v>77.0</v>
      </c>
      <c r="B79" s="100">
        <v>23.0</v>
      </c>
      <c r="C79" s="312">
        <v>2.32410296E8</v>
      </c>
      <c r="D79" s="307" t="s">
        <v>3235</v>
      </c>
      <c r="E79" s="99" t="s">
        <v>3236</v>
      </c>
      <c r="F79" s="99" t="s">
        <v>3100</v>
      </c>
      <c r="G79" s="215"/>
      <c r="H79" s="215"/>
      <c r="I79" s="69">
        <v>1.0</v>
      </c>
      <c r="J79" s="222">
        <v>0.0</v>
      </c>
      <c r="K79" s="69">
        <v>0.0</v>
      </c>
      <c r="L79" s="223">
        <f t="shared" si="3"/>
        <v>0</v>
      </c>
      <c r="M79" s="146">
        <f t="shared" si="4"/>
        <v>0</v>
      </c>
      <c r="N79" s="305"/>
      <c r="O79" s="306"/>
      <c r="P79" s="105"/>
      <c r="Q79" s="105"/>
      <c r="R79" s="105"/>
      <c r="S79" s="105"/>
    </row>
    <row r="80">
      <c r="A80" s="198">
        <v>78.0</v>
      </c>
      <c r="B80" s="100">
        <v>24.0</v>
      </c>
      <c r="C80" s="99" t="s">
        <v>3237</v>
      </c>
      <c r="D80" s="307" t="s">
        <v>3238</v>
      </c>
      <c r="E80" s="99" t="s">
        <v>3239</v>
      </c>
      <c r="F80" s="99" t="s">
        <v>3100</v>
      </c>
      <c r="G80" s="215"/>
      <c r="H80" s="215"/>
      <c r="I80" s="69">
        <v>1.0</v>
      </c>
      <c r="J80" s="222">
        <v>0.0</v>
      </c>
      <c r="K80" s="69">
        <v>0.0</v>
      </c>
      <c r="L80" s="223">
        <f t="shared" si="3"/>
        <v>0</v>
      </c>
      <c r="M80" s="146">
        <f t="shared" si="4"/>
        <v>0</v>
      </c>
      <c r="N80" s="305"/>
      <c r="O80" s="306"/>
      <c r="P80" s="105"/>
      <c r="Q80" s="105"/>
      <c r="R80" s="105"/>
      <c r="S80" s="105"/>
    </row>
    <row r="81">
      <c r="A81" s="196">
        <v>79.0</v>
      </c>
      <c r="B81" s="100">
        <v>25.0</v>
      </c>
      <c r="C81" s="99">
        <v>2.32410308E8</v>
      </c>
      <c r="D81" s="307" t="s">
        <v>3240</v>
      </c>
      <c r="E81" s="99" t="s">
        <v>3241</v>
      </c>
      <c r="F81" s="99" t="s">
        <v>3100</v>
      </c>
      <c r="G81" s="215"/>
      <c r="H81" s="215"/>
      <c r="I81" s="69">
        <v>1.0</v>
      </c>
      <c r="J81" s="222">
        <v>0.0</v>
      </c>
      <c r="K81" s="69">
        <v>0.0</v>
      </c>
      <c r="L81" s="223">
        <f t="shared" si="3"/>
        <v>0</v>
      </c>
      <c r="M81" s="146">
        <f t="shared" si="4"/>
        <v>0</v>
      </c>
      <c r="N81" s="305"/>
      <c r="O81" s="306"/>
      <c r="P81" s="105"/>
      <c r="Q81" s="105"/>
      <c r="R81" s="105"/>
      <c r="S81" s="105"/>
    </row>
    <row r="82">
      <c r="A82" s="198">
        <v>80.0</v>
      </c>
      <c r="B82" s="100">
        <v>26.0</v>
      </c>
      <c r="C82" s="99">
        <v>2.32410315E8</v>
      </c>
      <c r="D82" s="307" t="s">
        <v>3242</v>
      </c>
      <c r="E82" s="99" t="s">
        <v>3243</v>
      </c>
      <c r="F82" s="99" t="s">
        <v>3100</v>
      </c>
      <c r="G82" s="215"/>
      <c r="H82" s="215"/>
      <c r="I82" s="69">
        <v>1.0</v>
      </c>
      <c r="J82" s="222">
        <v>0.0</v>
      </c>
      <c r="K82" s="69">
        <v>0.0</v>
      </c>
      <c r="L82" s="223">
        <f t="shared" si="3"/>
        <v>0</v>
      </c>
      <c r="M82" s="146">
        <f t="shared" si="4"/>
        <v>0</v>
      </c>
      <c r="N82" s="305"/>
      <c r="O82" s="306"/>
      <c r="P82" s="105"/>
      <c r="Q82" s="105"/>
      <c r="R82" s="105"/>
      <c r="S82" s="105"/>
    </row>
    <row r="83">
      <c r="A83" s="196">
        <v>81.0</v>
      </c>
      <c r="B83" s="100">
        <v>27.0</v>
      </c>
      <c r="C83" s="99">
        <v>2.32410325E8</v>
      </c>
      <c r="D83" s="307" t="s">
        <v>3244</v>
      </c>
      <c r="E83" s="99" t="s">
        <v>3245</v>
      </c>
      <c r="F83" s="99" t="s">
        <v>3100</v>
      </c>
      <c r="G83" s="215"/>
      <c r="H83" s="215"/>
      <c r="I83" s="69">
        <v>1.0</v>
      </c>
      <c r="J83" s="222">
        <v>0.0</v>
      </c>
      <c r="K83" s="69">
        <v>0.0</v>
      </c>
      <c r="L83" s="223">
        <f t="shared" si="3"/>
        <v>0</v>
      </c>
      <c r="M83" s="146">
        <f t="shared" si="4"/>
        <v>0</v>
      </c>
      <c r="N83" s="305"/>
      <c r="O83" s="306"/>
      <c r="P83" s="105"/>
      <c r="Q83" s="105"/>
      <c r="R83" s="105"/>
      <c r="S83" s="105"/>
    </row>
    <row r="84">
      <c r="A84" s="198">
        <v>82.0</v>
      </c>
      <c r="B84" s="100">
        <v>28.0</v>
      </c>
      <c r="C84" s="99">
        <v>2.32410345E8</v>
      </c>
      <c r="D84" s="307" t="s">
        <v>3246</v>
      </c>
      <c r="E84" s="99" t="s">
        <v>3247</v>
      </c>
      <c r="F84" s="99" t="s">
        <v>3100</v>
      </c>
      <c r="G84" s="215"/>
      <c r="H84" s="215"/>
      <c r="I84" s="69">
        <v>1.0</v>
      </c>
      <c r="J84" s="222">
        <v>0.0</v>
      </c>
      <c r="K84" s="69">
        <v>0.0</v>
      </c>
      <c r="L84" s="223">
        <f t="shared" si="3"/>
        <v>0</v>
      </c>
      <c r="M84" s="146">
        <f t="shared" si="4"/>
        <v>0</v>
      </c>
      <c r="N84" s="305"/>
      <c r="O84" s="306"/>
      <c r="P84" s="105"/>
      <c r="Q84" s="105"/>
      <c r="R84" s="105"/>
      <c r="S84" s="105"/>
    </row>
    <row r="85">
      <c r="A85" s="196">
        <v>83.0</v>
      </c>
      <c r="B85" s="100">
        <v>29.0</v>
      </c>
      <c r="C85" s="99">
        <v>2.32410353E8</v>
      </c>
      <c r="D85" s="307" t="s">
        <v>3248</v>
      </c>
      <c r="E85" s="99" t="s">
        <v>3249</v>
      </c>
      <c r="F85" s="99" t="s">
        <v>3100</v>
      </c>
      <c r="G85" s="215"/>
      <c r="H85" s="215"/>
      <c r="I85" s="69">
        <v>1.0</v>
      </c>
      <c r="J85" s="223">
        <f>iferror(vlookup(E85,MasterClass!$C$2:$G1001,5,false),"")</f>
        <v>1</v>
      </c>
      <c r="K85" s="69">
        <v>0.0</v>
      </c>
      <c r="L85" s="223">
        <f t="shared" si="3"/>
        <v>1</v>
      </c>
      <c r="M85" s="146">
        <f t="shared" si="4"/>
        <v>0.5</v>
      </c>
      <c r="N85" s="305"/>
      <c r="O85" s="306"/>
      <c r="P85" s="105"/>
      <c r="Q85" s="105"/>
      <c r="R85" s="105"/>
      <c r="S85" s="105"/>
    </row>
    <row r="86">
      <c r="A86" s="198">
        <v>84.0</v>
      </c>
      <c r="B86" s="100">
        <v>30.0</v>
      </c>
      <c r="C86" s="99">
        <v>2.32410361E8</v>
      </c>
      <c r="D86" s="99" t="s">
        <v>3250</v>
      </c>
      <c r="E86" s="99" t="s">
        <v>3251</v>
      </c>
      <c r="F86" s="99" t="s">
        <v>3100</v>
      </c>
      <c r="G86" s="215"/>
      <c r="H86" s="215"/>
      <c r="I86" s="69">
        <v>1.0</v>
      </c>
      <c r="J86" s="222">
        <v>0.0</v>
      </c>
      <c r="K86" s="69">
        <v>0.0</v>
      </c>
      <c r="L86" s="223">
        <f t="shared" si="3"/>
        <v>0</v>
      </c>
      <c r="M86" s="146">
        <f t="shared" si="4"/>
        <v>0</v>
      </c>
      <c r="N86" s="305"/>
      <c r="O86" s="306"/>
      <c r="P86" s="105"/>
      <c r="Q86" s="105"/>
      <c r="R86" s="105"/>
      <c r="S86" s="105"/>
    </row>
    <row r="87">
      <c r="A87" s="196">
        <v>85.0</v>
      </c>
      <c r="B87" s="100">
        <v>31.0</v>
      </c>
      <c r="C87" s="99">
        <v>2.32410388E8</v>
      </c>
      <c r="D87" s="307" t="s">
        <v>3252</v>
      </c>
      <c r="E87" s="99" t="s">
        <v>3253</v>
      </c>
      <c r="F87" s="99" t="s">
        <v>3100</v>
      </c>
      <c r="G87" s="215"/>
      <c r="H87" s="215"/>
      <c r="I87" s="69">
        <v>1.0</v>
      </c>
      <c r="J87" s="222">
        <v>0.0</v>
      </c>
      <c r="K87" s="69">
        <v>0.0</v>
      </c>
      <c r="L87" s="223">
        <f t="shared" si="3"/>
        <v>0</v>
      </c>
      <c r="M87" s="146">
        <f t="shared" si="4"/>
        <v>0</v>
      </c>
      <c r="N87" s="305"/>
      <c r="O87" s="306"/>
      <c r="P87" s="105"/>
      <c r="Q87" s="105"/>
      <c r="R87" s="105"/>
      <c r="S87" s="105"/>
    </row>
    <row r="88">
      <c r="A88" s="198">
        <v>86.0</v>
      </c>
      <c r="B88" s="100">
        <v>32.0</v>
      </c>
      <c r="C88" s="99">
        <v>2.32410394E8</v>
      </c>
      <c r="D88" s="307" t="s">
        <v>3254</v>
      </c>
      <c r="E88" s="99" t="s">
        <v>3255</v>
      </c>
      <c r="F88" s="99" t="s">
        <v>3100</v>
      </c>
      <c r="G88" s="215"/>
      <c r="H88" s="215"/>
      <c r="I88" s="69">
        <v>1.0</v>
      </c>
      <c r="J88" s="222">
        <v>0.0</v>
      </c>
      <c r="K88" s="69">
        <v>0.0</v>
      </c>
      <c r="L88" s="223">
        <f t="shared" si="3"/>
        <v>0</v>
      </c>
      <c r="M88" s="146">
        <f t="shared" si="4"/>
        <v>0</v>
      </c>
      <c r="N88" s="305"/>
      <c r="O88" s="306"/>
      <c r="P88" s="105"/>
      <c r="Q88" s="105"/>
      <c r="R88" s="105"/>
      <c r="S88" s="105"/>
    </row>
    <row r="89">
      <c r="A89" s="196">
        <v>87.0</v>
      </c>
      <c r="B89" s="100">
        <v>33.0</v>
      </c>
      <c r="C89" s="99">
        <v>2.02107907E8</v>
      </c>
      <c r="D89" s="307" t="s">
        <v>3256</v>
      </c>
      <c r="E89" s="99" t="s">
        <v>3257</v>
      </c>
      <c r="F89" s="99" t="s">
        <v>3100</v>
      </c>
      <c r="G89" s="215"/>
      <c r="H89" s="215"/>
      <c r="I89" s="69">
        <v>12.0</v>
      </c>
      <c r="J89" s="222">
        <v>0.0</v>
      </c>
      <c r="K89" s="69">
        <v>6.0</v>
      </c>
      <c r="L89" s="223">
        <f t="shared" si="3"/>
        <v>6</v>
      </c>
      <c r="M89" s="146">
        <f t="shared" si="4"/>
        <v>0.4615384615</v>
      </c>
      <c r="N89" s="215" t="s">
        <v>3188</v>
      </c>
      <c r="O89" s="311"/>
      <c r="P89" s="105"/>
      <c r="Q89" s="105"/>
      <c r="R89" s="105"/>
      <c r="S89" s="105"/>
    </row>
    <row r="90">
      <c r="A90" s="198">
        <v>88.0</v>
      </c>
      <c r="B90" s="100">
        <v>34.0</v>
      </c>
      <c r="C90" s="99">
        <v>2.32410422E8</v>
      </c>
      <c r="D90" s="307" t="s">
        <v>3258</v>
      </c>
      <c r="E90" s="99" t="s">
        <v>3259</v>
      </c>
      <c r="F90" s="99" t="s">
        <v>3100</v>
      </c>
      <c r="G90" s="215"/>
      <c r="H90" s="215"/>
      <c r="I90" s="69">
        <v>1.0</v>
      </c>
      <c r="J90" s="222">
        <v>0.0</v>
      </c>
      <c r="K90" s="69">
        <v>0.0</v>
      </c>
      <c r="L90" s="223">
        <f t="shared" si="3"/>
        <v>0</v>
      </c>
      <c r="M90" s="146">
        <f t="shared" si="4"/>
        <v>0</v>
      </c>
      <c r="N90" s="305"/>
      <c r="O90" s="306"/>
      <c r="P90" s="105"/>
      <c r="Q90" s="105"/>
      <c r="R90" s="105"/>
      <c r="S90" s="105"/>
    </row>
    <row r="91">
      <c r="A91" s="196">
        <v>89.0</v>
      </c>
      <c r="B91" s="100">
        <v>35.0</v>
      </c>
      <c r="C91" s="99">
        <v>2.32410423E8</v>
      </c>
      <c r="D91" s="307" t="s">
        <v>3260</v>
      </c>
      <c r="E91" s="99" t="s">
        <v>3261</v>
      </c>
      <c r="F91" s="99" t="s">
        <v>3100</v>
      </c>
      <c r="G91" s="228"/>
      <c r="H91" s="228"/>
      <c r="I91" s="313">
        <v>1.0</v>
      </c>
      <c r="J91" s="222">
        <v>0.0</v>
      </c>
      <c r="K91" s="69">
        <v>0.0</v>
      </c>
      <c r="L91" s="223">
        <f t="shared" si="3"/>
        <v>0</v>
      </c>
      <c r="M91" s="146">
        <f t="shared" si="4"/>
        <v>0</v>
      </c>
      <c r="N91" s="305"/>
      <c r="O91" s="306"/>
      <c r="P91" s="105"/>
      <c r="Q91" s="105"/>
      <c r="R91" s="105"/>
      <c r="S91" s="105"/>
    </row>
    <row r="92">
      <c r="A92" s="198">
        <v>90.0</v>
      </c>
      <c r="B92" s="106"/>
      <c r="C92" s="309" t="s">
        <v>3101</v>
      </c>
      <c r="D92" s="105"/>
      <c r="E92" s="246">
        <f>COUNTIF(F57:F91,"L")</f>
        <v>8</v>
      </c>
      <c r="F92" s="105"/>
      <c r="G92" s="105"/>
      <c r="H92" s="105"/>
      <c r="I92" s="106"/>
      <c r="J92" s="106"/>
      <c r="K92" s="106"/>
      <c r="L92" s="106"/>
      <c r="M92" s="106"/>
      <c r="N92" s="105"/>
      <c r="O92" s="105"/>
      <c r="P92" s="105"/>
      <c r="Q92" s="105"/>
      <c r="R92" s="105"/>
      <c r="S92" s="105"/>
    </row>
    <row r="93">
      <c r="A93" s="196">
        <v>91.0</v>
      </c>
      <c r="B93" s="106"/>
      <c r="C93" s="309" t="s">
        <v>3102</v>
      </c>
      <c r="D93" s="105"/>
      <c r="E93" s="246">
        <f>COUNTIF(F57:F91,"P")</f>
        <v>27</v>
      </c>
      <c r="F93" s="105"/>
      <c r="G93" s="105"/>
      <c r="H93" s="105"/>
      <c r="I93" s="106"/>
      <c r="J93" s="106"/>
      <c r="K93" s="106"/>
      <c r="L93" s="106"/>
      <c r="M93" s="106"/>
      <c r="N93" s="105"/>
      <c r="O93" s="232"/>
      <c r="P93" s="105"/>
      <c r="Q93" s="105"/>
      <c r="R93" s="105"/>
      <c r="S93" s="105"/>
    </row>
    <row r="94">
      <c r="A94" s="198">
        <v>92.0</v>
      </c>
      <c r="B94" s="106"/>
      <c r="C94" s="309" t="s">
        <v>3104</v>
      </c>
      <c r="D94" s="105"/>
      <c r="E94" s="246">
        <f>E92+E93</f>
        <v>35</v>
      </c>
      <c r="F94" s="105"/>
      <c r="G94" s="105"/>
      <c r="H94" s="105"/>
      <c r="I94" s="106"/>
      <c r="J94" s="106"/>
      <c r="K94" s="106"/>
      <c r="L94" s="106"/>
      <c r="M94" s="106"/>
      <c r="N94" s="105"/>
      <c r="O94" s="232"/>
      <c r="P94" s="105"/>
      <c r="Q94" s="105"/>
      <c r="R94" s="105"/>
      <c r="S94" s="105"/>
    </row>
    <row r="95">
      <c r="A95" s="196">
        <v>93.0</v>
      </c>
      <c r="B95" s="197"/>
      <c r="C95" s="189"/>
      <c r="D95" s="189"/>
      <c r="E95" s="189"/>
      <c r="F95" s="189"/>
      <c r="G95" s="189"/>
      <c r="H95" s="189"/>
      <c r="I95" s="197"/>
      <c r="J95" s="197"/>
      <c r="K95" s="197"/>
      <c r="L95" s="197"/>
      <c r="M95" s="197"/>
      <c r="N95" s="189"/>
      <c r="O95" s="189"/>
      <c r="P95" s="105"/>
      <c r="Q95" s="105"/>
      <c r="R95" s="105"/>
      <c r="S95" s="105"/>
    </row>
    <row r="96">
      <c r="A96" s="198">
        <v>94.0</v>
      </c>
      <c r="B96" s="114" t="s">
        <v>3111</v>
      </c>
      <c r="F96" s="287"/>
      <c r="G96" s="287"/>
      <c r="H96" s="287"/>
      <c r="I96" s="114"/>
      <c r="J96" s="114"/>
      <c r="K96" s="114"/>
      <c r="L96" s="114"/>
      <c r="M96" s="114"/>
      <c r="N96" s="287"/>
      <c r="O96" s="287"/>
      <c r="P96" s="105"/>
      <c r="Q96" s="105"/>
      <c r="R96" s="105"/>
      <c r="S96" s="105"/>
    </row>
    <row r="97">
      <c r="A97" s="196">
        <v>95.0</v>
      </c>
      <c r="B97" s="114" t="s">
        <v>3262</v>
      </c>
      <c r="F97" s="287"/>
      <c r="G97" s="287"/>
      <c r="H97" s="287"/>
      <c r="I97" s="114"/>
      <c r="J97" s="114"/>
      <c r="K97" s="114"/>
      <c r="L97" s="114"/>
      <c r="M97" s="114"/>
      <c r="N97" s="287"/>
      <c r="O97" s="287"/>
      <c r="P97" s="105"/>
      <c r="Q97" s="105"/>
      <c r="R97" s="105"/>
      <c r="S97" s="105"/>
    </row>
    <row r="98">
      <c r="A98" s="198">
        <v>96.0</v>
      </c>
      <c r="B98" s="110" t="s">
        <v>3263</v>
      </c>
      <c r="F98" s="310"/>
      <c r="G98" s="310"/>
      <c r="H98" s="310"/>
      <c r="I98" s="110"/>
      <c r="J98" s="110"/>
      <c r="K98" s="110"/>
      <c r="L98" s="110"/>
      <c r="M98" s="110"/>
      <c r="N98" s="310"/>
      <c r="O98" s="310"/>
      <c r="P98" s="105"/>
      <c r="Q98" s="105"/>
      <c r="R98" s="105"/>
      <c r="S98" s="105"/>
    </row>
    <row r="99">
      <c r="A99" s="196">
        <v>97.0</v>
      </c>
      <c r="B99" s="298" t="s">
        <v>3264</v>
      </c>
      <c r="F99" s="200"/>
      <c r="G99" s="200"/>
      <c r="H99" s="200"/>
      <c r="I99" s="93"/>
      <c r="J99" s="93"/>
      <c r="K99" s="93"/>
      <c r="L99" s="93"/>
      <c r="M99" s="93"/>
      <c r="N99" s="200"/>
      <c r="O99" s="200"/>
      <c r="P99" s="105"/>
      <c r="Q99" s="105"/>
      <c r="R99" s="105"/>
      <c r="S99" s="105"/>
    </row>
    <row r="100">
      <c r="A100" s="198">
        <v>98.0</v>
      </c>
      <c r="B100" s="299" t="s">
        <v>1735</v>
      </c>
      <c r="C100" s="299" t="s">
        <v>1737</v>
      </c>
      <c r="D100" s="299" t="s">
        <v>1736</v>
      </c>
      <c r="E100" s="299" t="s">
        <v>1738</v>
      </c>
      <c r="F100" s="262" t="s">
        <v>1815</v>
      </c>
      <c r="G100" s="255"/>
      <c r="H100" s="255"/>
      <c r="I100" s="256" t="s">
        <v>3097</v>
      </c>
      <c r="J100" s="9"/>
      <c r="K100" s="9"/>
      <c r="L100" s="9"/>
      <c r="M100" s="9"/>
      <c r="N100" s="9"/>
      <c r="O100" s="10"/>
      <c r="P100" s="105"/>
      <c r="Q100" s="105"/>
      <c r="R100" s="105"/>
      <c r="S100" s="105"/>
    </row>
    <row r="101">
      <c r="A101" s="196">
        <v>99.0</v>
      </c>
      <c r="B101" s="11"/>
      <c r="C101" s="11"/>
      <c r="D101" s="11"/>
      <c r="E101" s="11"/>
      <c r="F101" s="262"/>
      <c r="G101" s="300"/>
      <c r="H101" s="300" t="s">
        <v>2483</v>
      </c>
      <c r="I101" s="301" t="s">
        <v>3109</v>
      </c>
      <c r="J101" s="302" t="s">
        <v>3095</v>
      </c>
      <c r="K101" s="301" t="s">
        <v>3110</v>
      </c>
      <c r="L101" s="302" t="s">
        <v>3098</v>
      </c>
      <c r="M101" s="303" t="s">
        <v>18</v>
      </c>
      <c r="N101" s="302" t="s">
        <v>2491</v>
      </c>
      <c r="O101" s="304" t="s">
        <v>19</v>
      </c>
      <c r="P101" s="105"/>
      <c r="Q101" s="105"/>
      <c r="R101" s="105"/>
      <c r="S101" s="105"/>
    </row>
    <row r="102">
      <c r="A102" s="198">
        <v>100.0</v>
      </c>
      <c r="B102" s="20"/>
      <c r="C102" s="20"/>
      <c r="D102" s="20"/>
      <c r="E102" s="20"/>
      <c r="F102" s="262"/>
      <c r="G102" s="300"/>
      <c r="H102" s="300"/>
      <c r="I102" s="20"/>
      <c r="J102" s="20"/>
      <c r="K102" s="20"/>
      <c r="L102" s="20"/>
      <c r="M102" s="20"/>
      <c r="N102" s="20"/>
      <c r="O102" s="20"/>
      <c r="P102" s="105"/>
      <c r="Q102" s="105"/>
      <c r="R102" s="105"/>
      <c r="S102" s="105"/>
    </row>
    <row r="103">
      <c r="A103" s="196">
        <v>101.0</v>
      </c>
      <c r="B103" s="100">
        <v>1.0</v>
      </c>
      <c r="C103" s="99">
        <v>2.32410004E8</v>
      </c>
      <c r="D103" s="307" t="s">
        <v>3265</v>
      </c>
      <c r="E103" s="99" t="s">
        <v>3266</v>
      </c>
      <c r="F103" s="99" t="s">
        <v>3099</v>
      </c>
      <c r="G103" s="215"/>
      <c r="H103" s="215"/>
      <c r="I103" s="69">
        <v>1.0</v>
      </c>
      <c r="J103" s="223">
        <f>iferror(vlookup(E103,MasterClass!$C$2:$G1001,5,false),"")</f>
        <v>1</v>
      </c>
      <c r="K103" s="69">
        <v>0.0</v>
      </c>
      <c r="L103" s="223">
        <f t="shared" ref="L103:L138" si="5">K103+J103</f>
        <v>1</v>
      </c>
      <c r="M103" s="146">
        <f t="shared" ref="M103:M138" si="6">(K103+J103)/(I103+1)</f>
        <v>0.5</v>
      </c>
      <c r="N103" s="305"/>
      <c r="O103" s="306"/>
      <c r="P103" s="105"/>
      <c r="Q103" s="105"/>
      <c r="R103" s="105"/>
      <c r="S103" s="105"/>
    </row>
    <row r="104">
      <c r="A104" s="198">
        <v>102.0</v>
      </c>
      <c r="B104" s="100">
        <v>2.0</v>
      </c>
      <c r="C104" s="99">
        <v>2.32410007E8</v>
      </c>
      <c r="D104" s="307" t="s">
        <v>3267</v>
      </c>
      <c r="E104" s="99" t="s">
        <v>3268</v>
      </c>
      <c r="F104" s="99" t="s">
        <v>3099</v>
      </c>
      <c r="G104" s="215"/>
      <c r="H104" s="215"/>
      <c r="I104" s="69">
        <v>1.0</v>
      </c>
      <c r="J104" s="222">
        <v>0.0</v>
      </c>
      <c r="K104" s="69">
        <v>0.0</v>
      </c>
      <c r="L104" s="223">
        <f t="shared" si="5"/>
        <v>0</v>
      </c>
      <c r="M104" s="146">
        <f t="shared" si="6"/>
        <v>0</v>
      </c>
      <c r="N104" s="305"/>
      <c r="O104" s="306"/>
      <c r="P104" s="105"/>
      <c r="Q104" s="105"/>
      <c r="R104" s="105"/>
      <c r="S104" s="105"/>
    </row>
    <row r="105">
      <c r="A105" s="196">
        <v>103.0</v>
      </c>
      <c r="B105" s="100">
        <v>3.0</v>
      </c>
      <c r="C105" s="99">
        <v>2.32410022E8</v>
      </c>
      <c r="D105" s="307" t="s">
        <v>3269</v>
      </c>
      <c r="E105" s="99" t="s">
        <v>3270</v>
      </c>
      <c r="F105" s="99" t="s">
        <v>3100</v>
      </c>
      <c r="G105" s="215"/>
      <c r="H105" s="215"/>
      <c r="I105" s="69">
        <v>1.0</v>
      </c>
      <c r="J105" s="222">
        <v>0.0</v>
      </c>
      <c r="K105" s="69">
        <v>0.0</v>
      </c>
      <c r="L105" s="223">
        <f t="shared" si="5"/>
        <v>0</v>
      </c>
      <c r="M105" s="146">
        <f t="shared" si="6"/>
        <v>0</v>
      </c>
      <c r="N105" s="305"/>
      <c r="O105" s="306"/>
      <c r="P105" s="105"/>
      <c r="Q105" s="105"/>
      <c r="R105" s="105"/>
      <c r="S105" s="105"/>
    </row>
    <row r="106">
      <c r="A106" s="198">
        <v>104.0</v>
      </c>
      <c r="B106" s="100">
        <v>4.0</v>
      </c>
      <c r="C106" s="99" t="s">
        <v>3271</v>
      </c>
      <c r="D106" s="307" t="s">
        <v>3272</v>
      </c>
      <c r="E106" s="99" t="s">
        <v>3273</v>
      </c>
      <c r="F106" s="99" t="s">
        <v>3099</v>
      </c>
      <c r="G106" s="215"/>
      <c r="H106" s="215"/>
      <c r="I106" s="69">
        <v>1.0</v>
      </c>
      <c r="J106" s="222">
        <v>0.0</v>
      </c>
      <c r="K106" s="69">
        <v>0.0</v>
      </c>
      <c r="L106" s="223">
        <f t="shared" si="5"/>
        <v>0</v>
      </c>
      <c r="M106" s="146">
        <f t="shared" si="6"/>
        <v>0</v>
      </c>
      <c r="N106" s="305"/>
      <c r="O106" s="306"/>
      <c r="P106" s="105"/>
      <c r="Q106" s="105"/>
      <c r="R106" s="105"/>
      <c r="S106" s="105"/>
    </row>
    <row r="107">
      <c r="A107" s="196">
        <v>105.0</v>
      </c>
      <c r="B107" s="100">
        <v>5.0</v>
      </c>
      <c r="C107" s="99">
        <v>2.32410089E8</v>
      </c>
      <c r="D107" s="307" t="s">
        <v>3274</v>
      </c>
      <c r="E107" s="99" t="s">
        <v>3275</v>
      </c>
      <c r="F107" s="99" t="s">
        <v>3100</v>
      </c>
      <c r="G107" s="215"/>
      <c r="H107" s="215"/>
      <c r="I107" s="69">
        <v>1.0</v>
      </c>
      <c r="J107" s="222">
        <v>0.0</v>
      </c>
      <c r="K107" s="69">
        <v>0.0</v>
      </c>
      <c r="L107" s="223">
        <f t="shared" si="5"/>
        <v>0</v>
      </c>
      <c r="M107" s="146">
        <f t="shared" si="6"/>
        <v>0</v>
      </c>
      <c r="N107" s="305"/>
      <c r="O107" s="306"/>
      <c r="P107" s="105"/>
      <c r="Q107" s="105"/>
      <c r="R107" s="105"/>
      <c r="S107" s="105"/>
    </row>
    <row r="108">
      <c r="A108" s="198">
        <v>106.0</v>
      </c>
      <c r="B108" s="100">
        <v>6.0</v>
      </c>
      <c r="C108" s="99">
        <v>2.32410109E8</v>
      </c>
      <c r="D108" s="307" t="s">
        <v>3199</v>
      </c>
      <c r="E108" s="99" t="s">
        <v>3276</v>
      </c>
      <c r="F108" s="99" t="s">
        <v>3099</v>
      </c>
      <c r="G108" s="215"/>
      <c r="H108" s="215"/>
      <c r="I108" s="69">
        <v>1.0</v>
      </c>
      <c r="J108" s="222">
        <v>0.0</v>
      </c>
      <c r="K108" s="69">
        <v>0.0</v>
      </c>
      <c r="L108" s="223">
        <f t="shared" si="5"/>
        <v>0</v>
      </c>
      <c r="M108" s="146">
        <f t="shared" si="6"/>
        <v>0</v>
      </c>
      <c r="N108" s="305"/>
      <c r="O108" s="306"/>
      <c r="P108" s="105"/>
      <c r="Q108" s="105"/>
      <c r="R108" s="105"/>
      <c r="S108" s="105"/>
    </row>
    <row r="109">
      <c r="A109" s="196">
        <v>107.0</v>
      </c>
      <c r="B109" s="100">
        <v>7.0</v>
      </c>
      <c r="C109" s="99">
        <v>2.32410138E8</v>
      </c>
      <c r="D109" s="99" t="s">
        <v>3277</v>
      </c>
      <c r="E109" s="99" t="s">
        <v>3278</v>
      </c>
      <c r="F109" s="99" t="s">
        <v>3099</v>
      </c>
      <c r="G109" s="215"/>
      <c r="H109" s="215"/>
      <c r="I109" s="69">
        <v>1.0</v>
      </c>
      <c r="J109" s="222">
        <v>0.0</v>
      </c>
      <c r="K109" s="69">
        <v>0.0</v>
      </c>
      <c r="L109" s="223">
        <f t="shared" si="5"/>
        <v>0</v>
      </c>
      <c r="M109" s="146">
        <f t="shared" si="6"/>
        <v>0</v>
      </c>
      <c r="N109" s="305"/>
      <c r="O109" s="306"/>
      <c r="P109" s="105"/>
      <c r="Q109" s="105"/>
      <c r="R109" s="105"/>
      <c r="S109" s="105"/>
    </row>
    <row r="110">
      <c r="A110" s="198">
        <v>108.0</v>
      </c>
      <c r="B110" s="100">
        <v>8.0</v>
      </c>
      <c r="C110" s="99">
        <v>2.3241016E8</v>
      </c>
      <c r="D110" s="307" t="s">
        <v>3279</v>
      </c>
      <c r="E110" s="99" t="s">
        <v>3280</v>
      </c>
      <c r="F110" s="99" t="s">
        <v>3099</v>
      </c>
      <c r="G110" s="215"/>
      <c r="H110" s="215"/>
      <c r="I110" s="69">
        <v>1.0</v>
      </c>
      <c r="J110" s="222">
        <v>0.0</v>
      </c>
      <c r="K110" s="69">
        <v>0.0</v>
      </c>
      <c r="L110" s="223">
        <f t="shared" si="5"/>
        <v>0</v>
      </c>
      <c r="M110" s="146">
        <f t="shared" si="6"/>
        <v>0</v>
      </c>
      <c r="N110" s="305"/>
      <c r="O110" s="306"/>
      <c r="P110" s="105"/>
      <c r="Q110" s="105"/>
      <c r="R110" s="105"/>
      <c r="S110" s="105"/>
    </row>
    <row r="111">
      <c r="A111" s="196">
        <v>109.0</v>
      </c>
      <c r="B111" s="100">
        <v>9.0</v>
      </c>
      <c r="C111" s="99">
        <v>2.32410166E8</v>
      </c>
      <c r="D111" s="307" t="s">
        <v>3281</v>
      </c>
      <c r="E111" s="99" t="s">
        <v>3282</v>
      </c>
      <c r="F111" s="99" t="s">
        <v>3099</v>
      </c>
      <c r="G111" s="215"/>
      <c r="H111" s="215"/>
      <c r="I111" s="69">
        <v>1.0</v>
      </c>
      <c r="J111" s="222">
        <v>0.0</v>
      </c>
      <c r="K111" s="69">
        <v>0.0</v>
      </c>
      <c r="L111" s="223">
        <f t="shared" si="5"/>
        <v>0</v>
      </c>
      <c r="M111" s="146">
        <f t="shared" si="6"/>
        <v>0</v>
      </c>
      <c r="N111" s="305"/>
      <c r="O111" s="306"/>
      <c r="P111" s="105"/>
      <c r="Q111" s="105"/>
      <c r="R111" s="105"/>
      <c r="S111" s="105"/>
    </row>
    <row r="112">
      <c r="A112" s="198">
        <v>110.0</v>
      </c>
      <c r="B112" s="100">
        <v>10.0</v>
      </c>
      <c r="C112" s="99">
        <v>2.32410173E8</v>
      </c>
      <c r="D112" s="307" t="s">
        <v>3283</v>
      </c>
      <c r="E112" s="99" t="s">
        <v>3284</v>
      </c>
      <c r="F112" s="99" t="s">
        <v>3100</v>
      </c>
      <c r="G112" s="215"/>
      <c r="H112" s="215"/>
      <c r="I112" s="69">
        <v>1.0</v>
      </c>
      <c r="J112" s="222">
        <v>0.0</v>
      </c>
      <c r="K112" s="69">
        <v>0.0</v>
      </c>
      <c r="L112" s="223">
        <f t="shared" si="5"/>
        <v>0</v>
      </c>
      <c r="M112" s="146">
        <f t="shared" si="6"/>
        <v>0</v>
      </c>
      <c r="N112" s="305"/>
      <c r="O112" s="306"/>
      <c r="P112" s="105"/>
      <c r="Q112" s="105"/>
      <c r="R112" s="105"/>
      <c r="S112" s="105"/>
    </row>
    <row r="113">
      <c r="A113" s="196">
        <v>111.0</v>
      </c>
      <c r="B113" s="100">
        <v>11.0</v>
      </c>
      <c r="C113" s="99">
        <v>2.32410177E8</v>
      </c>
      <c r="D113" s="99" t="s">
        <v>3285</v>
      </c>
      <c r="E113" s="99" t="s">
        <v>3286</v>
      </c>
      <c r="F113" s="99" t="s">
        <v>3099</v>
      </c>
      <c r="G113" s="215"/>
      <c r="H113" s="215"/>
      <c r="I113" s="69">
        <v>1.0</v>
      </c>
      <c r="J113" s="222">
        <v>0.0</v>
      </c>
      <c r="K113" s="69">
        <v>0.0</v>
      </c>
      <c r="L113" s="223">
        <f t="shared" si="5"/>
        <v>0</v>
      </c>
      <c r="M113" s="146">
        <f t="shared" si="6"/>
        <v>0</v>
      </c>
      <c r="N113" s="305"/>
      <c r="O113" s="306"/>
      <c r="P113" s="105"/>
      <c r="Q113" s="105"/>
      <c r="R113" s="105"/>
      <c r="S113" s="105"/>
    </row>
    <row r="114">
      <c r="A114" s="198">
        <v>112.0</v>
      </c>
      <c r="B114" s="100">
        <v>12.0</v>
      </c>
      <c r="C114" s="99">
        <v>2.3241019E8</v>
      </c>
      <c r="D114" s="307" t="s">
        <v>3287</v>
      </c>
      <c r="E114" s="99" t="s">
        <v>3288</v>
      </c>
      <c r="F114" s="99" t="s">
        <v>3100</v>
      </c>
      <c r="G114" s="215"/>
      <c r="H114" s="215"/>
      <c r="I114" s="69">
        <v>1.0</v>
      </c>
      <c r="J114" s="222">
        <v>0.0</v>
      </c>
      <c r="K114" s="69">
        <v>0.0</v>
      </c>
      <c r="L114" s="223">
        <f t="shared" si="5"/>
        <v>0</v>
      </c>
      <c r="M114" s="146">
        <f t="shared" si="6"/>
        <v>0</v>
      </c>
      <c r="N114" s="305"/>
      <c r="O114" s="306"/>
      <c r="P114" s="105"/>
      <c r="Q114" s="105"/>
      <c r="R114" s="105"/>
      <c r="S114" s="105"/>
    </row>
    <row r="115">
      <c r="A115" s="196">
        <v>113.0</v>
      </c>
      <c r="B115" s="100">
        <v>13.0</v>
      </c>
      <c r="C115" s="99">
        <v>2.32410191E8</v>
      </c>
      <c r="D115" s="307" t="s">
        <v>3289</v>
      </c>
      <c r="E115" s="99" t="s">
        <v>3290</v>
      </c>
      <c r="F115" s="99" t="s">
        <v>3100</v>
      </c>
      <c r="G115" s="215"/>
      <c r="H115" s="215"/>
      <c r="I115" s="69">
        <v>1.0</v>
      </c>
      <c r="J115" s="222">
        <v>0.0</v>
      </c>
      <c r="K115" s="69">
        <v>0.0</v>
      </c>
      <c r="L115" s="223">
        <f t="shared" si="5"/>
        <v>0</v>
      </c>
      <c r="M115" s="146">
        <f t="shared" si="6"/>
        <v>0</v>
      </c>
      <c r="N115" s="305"/>
      <c r="O115" s="306"/>
      <c r="P115" s="105"/>
      <c r="Q115" s="105"/>
      <c r="R115" s="105"/>
      <c r="S115" s="105"/>
    </row>
    <row r="116">
      <c r="A116" s="198">
        <v>114.0</v>
      </c>
      <c r="B116" s="100">
        <v>14.0</v>
      </c>
      <c r="C116" s="99">
        <v>2.32410214E8</v>
      </c>
      <c r="D116" s="307" t="s">
        <v>3291</v>
      </c>
      <c r="E116" s="99" t="s">
        <v>3292</v>
      </c>
      <c r="F116" s="99" t="s">
        <v>3100</v>
      </c>
      <c r="G116" s="215"/>
      <c r="H116" s="215"/>
      <c r="I116" s="69">
        <v>1.0</v>
      </c>
      <c r="J116" s="222">
        <v>0.0</v>
      </c>
      <c r="K116" s="69">
        <v>0.0</v>
      </c>
      <c r="L116" s="223">
        <f t="shared" si="5"/>
        <v>0</v>
      </c>
      <c r="M116" s="146">
        <f t="shared" si="6"/>
        <v>0</v>
      </c>
      <c r="N116" s="305"/>
      <c r="O116" s="306"/>
      <c r="P116" s="105"/>
      <c r="Q116" s="105"/>
      <c r="R116" s="105"/>
      <c r="S116" s="105"/>
    </row>
    <row r="117">
      <c r="A117" s="196">
        <v>115.0</v>
      </c>
      <c r="B117" s="100">
        <v>15.0</v>
      </c>
      <c r="C117" s="99">
        <v>2.3241022E8</v>
      </c>
      <c r="D117" s="99" t="s">
        <v>3293</v>
      </c>
      <c r="E117" s="99" t="s">
        <v>3294</v>
      </c>
      <c r="F117" s="99" t="s">
        <v>3099</v>
      </c>
      <c r="G117" s="215"/>
      <c r="H117" s="215"/>
      <c r="I117" s="69">
        <v>1.0</v>
      </c>
      <c r="J117" s="222">
        <v>0.0</v>
      </c>
      <c r="K117" s="69">
        <v>0.0</v>
      </c>
      <c r="L117" s="223">
        <f t="shared" si="5"/>
        <v>0</v>
      </c>
      <c r="M117" s="146">
        <f t="shared" si="6"/>
        <v>0</v>
      </c>
      <c r="N117" s="305"/>
      <c r="O117" s="306"/>
      <c r="P117" s="105"/>
      <c r="Q117" s="105"/>
      <c r="R117" s="105"/>
      <c r="S117" s="105"/>
    </row>
    <row r="118">
      <c r="A118" s="198">
        <v>116.0</v>
      </c>
      <c r="B118" s="100">
        <v>16.0</v>
      </c>
      <c r="C118" s="99">
        <v>2.32410222E8</v>
      </c>
      <c r="D118" s="307" t="s">
        <v>3295</v>
      </c>
      <c r="E118" s="99" t="s">
        <v>3296</v>
      </c>
      <c r="F118" s="99" t="s">
        <v>3100</v>
      </c>
      <c r="G118" s="215"/>
      <c r="H118" s="215"/>
      <c r="I118" s="69">
        <v>1.0</v>
      </c>
      <c r="J118" s="222">
        <v>0.0</v>
      </c>
      <c r="K118" s="69">
        <v>0.0</v>
      </c>
      <c r="L118" s="223">
        <f t="shared" si="5"/>
        <v>0</v>
      </c>
      <c r="M118" s="146">
        <f t="shared" si="6"/>
        <v>0</v>
      </c>
      <c r="N118" s="305"/>
      <c r="O118" s="306"/>
      <c r="P118" s="105"/>
      <c r="Q118" s="105"/>
      <c r="R118" s="105"/>
      <c r="S118" s="105"/>
    </row>
    <row r="119">
      <c r="A119" s="196">
        <v>117.0</v>
      </c>
      <c r="B119" s="100">
        <v>17.0</v>
      </c>
      <c r="C119" s="115">
        <v>2.4251244E8</v>
      </c>
      <c r="D119" s="314" t="s">
        <v>3297</v>
      </c>
      <c r="E119" s="115" t="s">
        <v>3298</v>
      </c>
      <c r="F119" s="115" t="s">
        <v>3099</v>
      </c>
      <c r="G119" s="215"/>
      <c r="H119" s="215"/>
      <c r="I119" s="69">
        <v>1.0</v>
      </c>
      <c r="J119" s="222">
        <v>0.0</v>
      </c>
      <c r="K119" s="69">
        <v>0.0</v>
      </c>
      <c r="L119" s="223">
        <f t="shared" si="5"/>
        <v>0</v>
      </c>
      <c r="M119" s="146">
        <f t="shared" si="6"/>
        <v>0</v>
      </c>
      <c r="N119" s="305"/>
      <c r="O119" s="306"/>
      <c r="P119" s="105"/>
      <c r="Q119" s="105"/>
      <c r="R119" s="105"/>
      <c r="S119" s="105"/>
    </row>
    <row r="120">
      <c r="A120" s="198">
        <v>118.0</v>
      </c>
      <c r="B120" s="100">
        <v>18.0</v>
      </c>
      <c r="C120" s="99">
        <v>2.32410241E8</v>
      </c>
      <c r="D120" s="307" t="s">
        <v>3299</v>
      </c>
      <c r="E120" s="99" t="s">
        <v>3300</v>
      </c>
      <c r="F120" s="99" t="s">
        <v>3099</v>
      </c>
      <c r="G120" s="215"/>
      <c r="H120" s="215"/>
      <c r="I120" s="69">
        <v>1.0</v>
      </c>
      <c r="J120" s="222">
        <v>0.0</v>
      </c>
      <c r="K120" s="69">
        <v>1.0</v>
      </c>
      <c r="L120" s="223">
        <f t="shared" si="5"/>
        <v>1</v>
      </c>
      <c r="M120" s="146">
        <f t="shared" si="6"/>
        <v>0.5</v>
      </c>
      <c r="N120" s="215" t="s">
        <v>3188</v>
      </c>
      <c r="O120" s="306"/>
      <c r="P120" s="105"/>
      <c r="Q120" s="105"/>
      <c r="R120" s="105"/>
      <c r="S120" s="105"/>
    </row>
    <row r="121">
      <c r="A121" s="196">
        <v>119.0</v>
      </c>
      <c r="B121" s="100">
        <v>19.0</v>
      </c>
      <c r="C121" s="99">
        <v>2.32410257E8</v>
      </c>
      <c r="D121" s="99" t="s">
        <v>3301</v>
      </c>
      <c r="E121" s="99" t="s">
        <v>3302</v>
      </c>
      <c r="F121" s="99" t="s">
        <v>3100</v>
      </c>
      <c r="G121" s="215"/>
      <c r="H121" s="215"/>
      <c r="I121" s="69">
        <v>1.0</v>
      </c>
      <c r="J121" s="222">
        <v>0.0</v>
      </c>
      <c r="K121" s="69">
        <v>0.0</v>
      </c>
      <c r="L121" s="223">
        <f t="shared" si="5"/>
        <v>0</v>
      </c>
      <c r="M121" s="146">
        <f t="shared" si="6"/>
        <v>0</v>
      </c>
      <c r="N121" s="305"/>
      <c r="O121" s="306"/>
      <c r="P121" s="105"/>
      <c r="Q121" s="105"/>
      <c r="R121" s="105"/>
      <c r="S121" s="105"/>
    </row>
    <row r="122">
      <c r="A122" s="198">
        <v>120.0</v>
      </c>
      <c r="B122" s="100">
        <v>20.0</v>
      </c>
      <c r="C122" s="99">
        <v>2.32410266E8</v>
      </c>
      <c r="D122" s="307" t="s">
        <v>3303</v>
      </c>
      <c r="E122" s="99" t="s">
        <v>3304</v>
      </c>
      <c r="F122" s="99" t="s">
        <v>3100</v>
      </c>
      <c r="G122" s="215"/>
      <c r="H122" s="215"/>
      <c r="I122" s="69">
        <v>1.0</v>
      </c>
      <c r="J122" s="223">
        <f>iferror(vlookup(E122,MasterClass!$C$2:$G1001,5,false),"")</f>
        <v>1</v>
      </c>
      <c r="K122" s="69">
        <v>0.0</v>
      </c>
      <c r="L122" s="223">
        <f t="shared" si="5"/>
        <v>1</v>
      </c>
      <c r="M122" s="146">
        <f t="shared" si="6"/>
        <v>0.5</v>
      </c>
      <c r="N122" s="305"/>
      <c r="O122" s="306"/>
      <c r="P122" s="105"/>
      <c r="Q122" s="105"/>
      <c r="R122" s="105"/>
      <c r="S122" s="105"/>
    </row>
    <row r="123">
      <c r="A123" s="196">
        <v>121.0</v>
      </c>
      <c r="B123" s="100">
        <v>21.0</v>
      </c>
      <c r="C123" s="99">
        <v>2.32410268E8</v>
      </c>
      <c r="D123" s="99" t="s">
        <v>3305</v>
      </c>
      <c r="E123" s="99" t="s">
        <v>3306</v>
      </c>
      <c r="F123" s="99" t="s">
        <v>3100</v>
      </c>
      <c r="G123" s="215"/>
      <c r="H123" s="215"/>
      <c r="I123" s="69">
        <v>1.0</v>
      </c>
      <c r="J123" s="222">
        <v>0.0</v>
      </c>
      <c r="K123" s="69">
        <v>0.0</v>
      </c>
      <c r="L123" s="223">
        <f t="shared" si="5"/>
        <v>0</v>
      </c>
      <c r="M123" s="146">
        <f t="shared" si="6"/>
        <v>0</v>
      </c>
      <c r="N123" s="305"/>
      <c r="O123" s="306"/>
      <c r="P123" s="105"/>
      <c r="Q123" s="105"/>
      <c r="R123" s="105"/>
      <c r="S123" s="105"/>
    </row>
    <row r="124">
      <c r="A124" s="198">
        <v>122.0</v>
      </c>
      <c r="B124" s="100">
        <v>22.0</v>
      </c>
      <c r="C124" s="99">
        <v>2.32410274E8</v>
      </c>
      <c r="D124" s="307" t="s">
        <v>3307</v>
      </c>
      <c r="E124" s="99" t="s">
        <v>3308</v>
      </c>
      <c r="F124" s="99" t="s">
        <v>3100</v>
      </c>
      <c r="G124" s="215"/>
      <c r="H124" s="215"/>
      <c r="I124" s="69">
        <v>1.0</v>
      </c>
      <c r="J124" s="222">
        <v>0.0</v>
      </c>
      <c r="K124" s="69">
        <v>0.0</v>
      </c>
      <c r="L124" s="223">
        <f t="shared" si="5"/>
        <v>0</v>
      </c>
      <c r="M124" s="146">
        <f t="shared" si="6"/>
        <v>0</v>
      </c>
      <c r="N124" s="305"/>
      <c r="O124" s="306"/>
      <c r="P124" s="105"/>
      <c r="Q124" s="105"/>
      <c r="R124" s="105"/>
      <c r="S124" s="105"/>
    </row>
    <row r="125">
      <c r="A125" s="196">
        <v>123.0</v>
      </c>
      <c r="B125" s="100">
        <v>23.0</v>
      </c>
      <c r="C125" s="99">
        <v>2.32410278E8</v>
      </c>
      <c r="D125" s="307" t="s">
        <v>3309</v>
      </c>
      <c r="E125" s="99" t="s">
        <v>3310</v>
      </c>
      <c r="F125" s="99" t="s">
        <v>3100</v>
      </c>
      <c r="G125" s="215"/>
      <c r="H125" s="215"/>
      <c r="I125" s="69">
        <v>1.0</v>
      </c>
      <c r="J125" s="222">
        <v>0.0</v>
      </c>
      <c r="K125" s="69">
        <v>0.0</v>
      </c>
      <c r="L125" s="223">
        <f t="shared" si="5"/>
        <v>0</v>
      </c>
      <c r="M125" s="146">
        <f t="shared" si="6"/>
        <v>0</v>
      </c>
      <c r="N125" s="305"/>
      <c r="O125" s="306"/>
      <c r="P125" s="105"/>
      <c r="Q125" s="105"/>
      <c r="R125" s="105"/>
      <c r="S125" s="105"/>
    </row>
    <row r="126">
      <c r="A126" s="198">
        <v>124.0</v>
      </c>
      <c r="B126" s="100">
        <v>24.0</v>
      </c>
      <c r="C126" s="99">
        <v>2.32410303E8</v>
      </c>
      <c r="D126" s="307" t="s">
        <v>3311</v>
      </c>
      <c r="E126" s="99" t="s">
        <v>3312</v>
      </c>
      <c r="F126" s="99" t="s">
        <v>3099</v>
      </c>
      <c r="G126" s="215"/>
      <c r="H126" s="215"/>
      <c r="I126" s="69">
        <v>3.0</v>
      </c>
      <c r="J126" s="222">
        <v>0.0</v>
      </c>
      <c r="K126" s="69">
        <v>1.0</v>
      </c>
      <c r="L126" s="223">
        <f t="shared" si="5"/>
        <v>1</v>
      </c>
      <c r="M126" s="146">
        <f t="shared" si="6"/>
        <v>0.25</v>
      </c>
      <c r="N126" s="215" t="s">
        <v>3188</v>
      </c>
      <c r="O126" s="306"/>
      <c r="P126" s="105"/>
      <c r="Q126" s="105"/>
      <c r="R126" s="105"/>
      <c r="S126" s="105"/>
    </row>
    <row r="127">
      <c r="A127" s="196">
        <v>125.0</v>
      </c>
      <c r="B127" s="100">
        <v>25.0</v>
      </c>
      <c r="C127" s="99">
        <v>2.32410305E8</v>
      </c>
      <c r="D127" s="307" t="s">
        <v>3313</v>
      </c>
      <c r="E127" s="99" t="s">
        <v>3314</v>
      </c>
      <c r="F127" s="99" t="s">
        <v>3099</v>
      </c>
      <c r="G127" s="215"/>
      <c r="H127" s="215"/>
      <c r="I127" s="69">
        <v>1.0</v>
      </c>
      <c r="J127" s="222">
        <v>0.0</v>
      </c>
      <c r="K127" s="69">
        <v>0.0</v>
      </c>
      <c r="L127" s="223">
        <f t="shared" si="5"/>
        <v>0</v>
      </c>
      <c r="M127" s="146">
        <f t="shared" si="6"/>
        <v>0</v>
      </c>
      <c r="N127" s="305"/>
      <c r="O127" s="306"/>
      <c r="P127" s="105"/>
      <c r="Q127" s="105"/>
      <c r="R127" s="105"/>
      <c r="S127" s="105"/>
    </row>
    <row r="128">
      <c r="A128" s="198">
        <v>126.0</v>
      </c>
      <c r="B128" s="100">
        <v>26.0</v>
      </c>
      <c r="C128" s="99">
        <v>2.32410323E8</v>
      </c>
      <c r="D128" s="307" t="s">
        <v>3315</v>
      </c>
      <c r="E128" s="99" t="s">
        <v>3316</v>
      </c>
      <c r="F128" s="99" t="s">
        <v>3100</v>
      </c>
      <c r="G128" s="215"/>
      <c r="H128" s="215"/>
      <c r="I128" s="69">
        <v>1.0</v>
      </c>
      <c r="J128" s="222">
        <v>0.0</v>
      </c>
      <c r="K128" s="69">
        <v>0.0</v>
      </c>
      <c r="L128" s="223">
        <f t="shared" si="5"/>
        <v>0</v>
      </c>
      <c r="M128" s="146">
        <f t="shared" si="6"/>
        <v>0</v>
      </c>
      <c r="N128" s="215" t="s">
        <v>3188</v>
      </c>
      <c r="O128" s="306"/>
      <c r="P128" s="105"/>
      <c r="Q128" s="105"/>
      <c r="R128" s="105"/>
      <c r="S128" s="105"/>
    </row>
    <row r="129">
      <c r="A129" s="196">
        <v>127.0</v>
      </c>
      <c r="B129" s="100">
        <v>27.0</v>
      </c>
      <c r="C129" s="99">
        <v>2.32410328E8</v>
      </c>
      <c r="D129" s="307" t="s">
        <v>3317</v>
      </c>
      <c r="E129" s="99" t="s">
        <v>3318</v>
      </c>
      <c r="F129" s="99" t="s">
        <v>3099</v>
      </c>
      <c r="G129" s="215"/>
      <c r="H129" s="215"/>
      <c r="I129" s="69">
        <v>7.0</v>
      </c>
      <c r="J129" s="222">
        <v>0.0</v>
      </c>
      <c r="K129" s="69">
        <v>4.0</v>
      </c>
      <c r="L129" s="223">
        <f t="shared" si="5"/>
        <v>4</v>
      </c>
      <c r="M129" s="146">
        <f t="shared" si="6"/>
        <v>0.5</v>
      </c>
      <c r="N129" s="215" t="s">
        <v>2508</v>
      </c>
      <c r="O129" s="311"/>
      <c r="P129" s="105"/>
      <c r="Q129" s="105"/>
      <c r="R129" s="105"/>
      <c r="S129" s="105"/>
    </row>
    <row r="130">
      <c r="A130" s="198">
        <v>128.0</v>
      </c>
      <c r="B130" s="100">
        <v>28.0</v>
      </c>
      <c r="C130" s="99">
        <v>2.32410346E8</v>
      </c>
      <c r="D130" s="307" t="s">
        <v>3319</v>
      </c>
      <c r="E130" s="99" t="s">
        <v>3320</v>
      </c>
      <c r="F130" s="99" t="s">
        <v>3099</v>
      </c>
      <c r="G130" s="215"/>
      <c r="H130" s="215"/>
      <c r="I130" s="69">
        <v>7.0</v>
      </c>
      <c r="J130" s="223">
        <f>iferror(vlookup(E130,MasterClass!$C$2:$G1001,5,false),"")</f>
        <v>1</v>
      </c>
      <c r="K130" s="69">
        <v>5.0</v>
      </c>
      <c r="L130" s="223">
        <f t="shared" si="5"/>
        <v>6</v>
      </c>
      <c r="M130" s="146">
        <f t="shared" si="6"/>
        <v>0.75</v>
      </c>
      <c r="N130" s="215" t="s">
        <v>2508</v>
      </c>
      <c r="O130" s="311"/>
      <c r="P130" s="105"/>
      <c r="Q130" s="105"/>
      <c r="R130" s="105"/>
      <c r="S130" s="105"/>
    </row>
    <row r="131">
      <c r="A131" s="196">
        <v>129.0</v>
      </c>
      <c r="B131" s="100">
        <v>29.0</v>
      </c>
      <c r="C131" s="99">
        <v>2.32410356E8</v>
      </c>
      <c r="D131" s="307" t="s">
        <v>3321</v>
      </c>
      <c r="E131" s="99" t="s">
        <v>3322</v>
      </c>
      <c r="F131" s="99" t="s">
        <v>3099</v>
      </c>
      <c r="G131" s="215"/>
      <c r="H131" s="215"/>
      <c r="I131" s="69">
        <v>1.0</v>
      </c>
      <c r="J131" s="222">
        <v>0.0</v>
      </c>
      <c r="K131" s="69">
        <v>0.0</v>
      </c>
      <c r="L131" s="223">
        <f t="shared" si="5"/>
        <v>0</v>
      </c>
      <c r="M131" s="146">
        <f t="shared" si="6"/>
        <v>0</v>
      </c>
      <c r="N131" s="305"/>
      <c r="O131" s="306"/>
      <c r="P131" s="105"/>
      <c r="Q131" s="105"/>
      <c r="R131" s="105"/>
      <c r="S131" s="105"/>
    </row>
    <row r="132">
      <c r="A132" s="198">
        <v>130.0</v>
      </c>
      <c r="B132" s="100">
        <v>30.0</v>
      </c>
      <c r="C132" s="99">
        <v>2.32410359E8</v>
      </c>
      <c r="D132" s="99" t="s">
        <v>3323</v>
      </c>
      <c r="E132" s="99" t="s">
        <v>3324</v>
      </c>
      <c r="F132" s="99" t="s">
        <v>3100</v>
      </c>
      <c r="G132" s="215"/>
      <c r="H132" s="215"/>
      <c r="I132" s="69">
        <v>4.0</v>
      </c>
      <c r="J132" s="222">
        <v>0.0</v>
      </c>
      <c r="K132" s="69">
        <v>3.0</v>
      </c>
      <c r="L132" s="223">
        <f t="shared" si="5"/>
        <v>3</v>
      </c>
      <c r="M132" s="146">
        <f t="shared" si="6"/>
        <v>0.6</v>
      </c>
      <c r="N132" s="305"/>
      <c r="O132" s="306"/>
      <c r="P132" s="105"/>
      <c r="Q132" s="105"/>
      <c r="R132" s="105"/>
      <c r="S132" s="105"/>
    </row>
    <row r="133">
      <c r="A133" s="196">
        <v>131.0</v>
      </c>
      <c r="B133" s="100">
        <v>31.0</v>
      </c>
      <c r="C133" s="99">
        <v>2.32410372E8</v>
      </c>
      <c r="D133" s="307" t="s">
        <v>3325</v>
      </c>
      <c r="E133" s="99" t="s">
        <v>3326</v>
      </c>
      <c r="F133" s="99" t="s">
        <v>3100</v>
      </c>
      <c r="G133" s="215"/>
      <c r="H133" s="215"/>
      <c r="I133" s="69">
        <v>1.0</v>
      </c>
      <c r="J133" s="222">
        <v>0.0</v>
      </c>
      <c r="K133" s="69">
        <v>0.0</v>
      </c>
      <c r="L133" s="223">
        <f t="shared" si="5"/>
        <v>0</v>
      </c>
      <c r="M133" s="146">
        <f t="shared" si="6"/>
        <v>0</v>
      </c>
      <c r="N133" s="305"/>
      <c r="O133" s="306"/>
      <c r="P133" s="105"/>
      <c r="Q133" s="105"/>
      <c r="R133" s="105"/>
      <c r="S133" s="105"/>
    </row>
    <row r="134">
      <c r="A134" s="198">
        <v>132.0</v>
      </c>
      <c r="B134" s="100">
        <v>32.0</v>
      </c>
      <c r="C134" s="99">
        <v>2.32410376E8</v>
      </c>
      <c r="D134" s="99" t="s">
        <v>3327</v>
      </c>
      <c r="E134" s="99" t="s">
        <v>3328</v>
      </c>
      <c r="F134" s="99" t="s">
        <v>3100</v>
      </c>
      <c r="G134" s="215"/>
      <c r="H134" s="215"/>
      <c r="I134" s="69">
        <v>1.0</v>
      </c>
      <c r="J134" s="222">
        <v>0.0</v>
      </c>
      <c r="K134" s="69">
        <v>0.0</v>
      </c>
      <c r="L134" s="223">
        <f t="shared" si="5"/>
        <v>0</v>
      </c>
      <c r="M134" s="146">
        <f t="shared" si="6"/>
        <v>0</v>
      </c>
      <c r="N134" s="305"/>
      <c r="O134" s="306"/>
      <c r="P134" s="105"/>
      <c r="Q134" s="105"/>
      <c r="R134" s="105"/>
      <c r="S134" s="105"/>
    </row>
    <row r="135">
      <c r="A135" s="196">
        <v>133.0</v>
      </c>
      <c r="B135" s="100">
        <v>33.0</v>
      </c>
      <c r="C135" s="99">
        <v>2.32410401E8</v>
      </c>
      <c r="D135" s="99" t="s">
        <v>3329</v>
      </c>
      <c r="E135" s="99" t="s">
        <v>3330</v>
      </c>
      <c r="F135" s="99" t="s">
        <v>3099</v>
      </c>
      <c r="G135" s="215"/>
      <c r="H135" s="215"/>
      <c r="I135" s="69">
        <v>1.0</v>
      </c>
      <c r="J135" s="222">
        <v>0.0</v>
      </c>
      <c r="K135" s="69">
        <v>0.0</v>
      </c>
      <c r="L135" s="223">
        <f t="shared" si="5"/>
        <v>0</v>
      </c>
      <c r="M135" s="146">
        <f t="shared" si="6"/>
        <v>0</v>
      </c>
      <c r="N135" s="305"/>
      <c r="O135" s="306"/>
      <c r="P135" s="105"/>
      <c r="Q135" s="105"/>
      <c r="R135" s="105"/>
      <c r="S135" s="105"/>
    </row>
    <row r="136">
      <c r="A136" s="198">
        <v>134.0</v>
      </c>
      <c r="B136" s="100">
        <v>34.0</v>
      </c>
      <c r="C136" s="99" t="s">
        <v>3331</v>
      </c>
      <c r="D136" s="307" t="s">
        <v>3332</v>
      </c>
      <c r="E136" s="99" t="s">
        <v>3333</v>
      </c>
      <c r="F136" s="99" t="s">
        <v>3100</v>
      </c>
      <c r="G136" s="215"/>
      <c r="H136" s="215"/>
      <c r="I136" s="69">
        <v>1.0</v>
      </c>
      <c r="J136" s="222">
        <v>0.0</v>
      </c>
      <c r="K136" s="69">
        <v>0.0</v>
      </c>
      <c r="L136" s="223">
        <f t="shared" si="5"/>
        <v>0</v>
      </c>
      <c r="M136" s="146">
        <f t="shared" si="6"/>
        <v>0</v>
      </c>
      <c r="N136" s="305"/>
      <c r="O136" s="306"/>
      <c r="P136" s="105"/>
      <c r="Q136" s="105"/>
      <c r="R136" s="105"/>
      <c r="S136" s="105"/>
    </row>
    <row r="137">
      <c r="A137" s="196">
        <v>135.0</v>
      </c>
      <c r="B137" s="100">
        <v>35.0</v>
      </c>
      <c r="C137" s="99" t="s">
        <v>3334</v>
      </c>
      <c r="D137" s="307" t="s">
        <v>3335</v>
      </c>
      <c r="E137" s="99" t="s">
        <v>3336</v>
      </c>
      <c r="F137" s="99" t="s">
        <v>3100</v>
      </c>
      <c r="G137" s="228"/>
      <c r="H137" s="228"/>
      <c r="I137" s="69">
        <v>1.0</v>
      </c>
      <c r="J137" s="222">
        <v>0.0</v>
      </c>
      <c r="K137" s="69">
        <v>0.0</v>
      </c>
      <c r="L137" s="223">
        <f t="shared" si="5"/>
        <v>0</v>
      </c>
      <c r="M137" s="146">
        <f t="shared" si="6"/>
        <v>0</v>
      </c>
      <c r="N137" s="305"/>
      <c r="O137" s="306"/>
      <c r="P137" s="105"/>
      <c r="Q137" s="105"/>
      <c r="R137" s="105"/>
      <c r="S137" s="105"/>
    </row>
    <row r="138">
      <c r="A138" s="198">
        <v>136.0</v>
      </c>
      <c r="B138" s="100">
        <v>36.0</v>
      </c>
      <c r="C138" s="99" t="s">
        <v>3337</v>
      </c>
      <c r="D138" s="307" t="s">
        <v>3338</v>
      </c>
      <c r="E138" s="99" t="s">
        <v>3339</v>
      </c>
      <c r="F138" s="99" t="s">
        <v>3100</v>
      </c>
      <c r="G138" s="228"/>
      <c r="H138" s="228"/>
      <c r="I138" s="69">
        <v>1.0</v>
      </c>
      <c r="J138" s="222">
        <v>0.0</v>
      </c>
      <c r="K138" s="69">
        <v>0.0</v>
      </c>
      <c r="L138" s="223">
        <f t="shared" si="5"/>
        <v>0</v>
      </c>
      <c r="M138" s="146">
        <f t="shared" si="6"/>
        <v>0</v>
      </c>
      <c r="N138" s="305"/>
      <c r="O138" s="306"/>
      <c r="P138" s="105"/>
      <c r="Q138" s="105"/>
      <c r="R138" s="105"/>
      <c r="S138" s="105"/>
    </row>
    <row r="139">
      <c r="A139" s="196">
        <v>137.0</v>
      </c>
      <c r="B139" s="106"/>
      <c r="C139" s="309" t="s">
        <v>3101</v>
      </c>
      <c r="D139" s="105"/>
      <c r="E139" s="246">
        <f>COUNTIF(F103:F138,"L")</f>
        <v>17</v>
      </c>
      <c r="F139" s="105"/>
      <c r="G139" s="105"/>
      <c r="H139" s="105"/>
      <c r="I139" s="106"/>
      <c r="J139" s="106"/>
      <c r="K139" s="106"/>
      <c r="L139" s="106"/>
      <c r="M139" s="106"/>
      <c r="N139" s="105"/>
      <c r="O139" s="232"/>
      <c r="P139" s="105"/>
      <c r="Q139" s="105"/>
      <c r="R139" s="105"/>
      <c r="S139" s="105"/>
    </row>
    <row r="140">
      <c r="A140" s="198">
        <v>138.0</v>
      </c>
      <c r="B140" s="106"/>
      <c r="C140" s="309" t="s">
        <v>3102</v>
      </c>
      <c r="D140" s="105"/>
      <c r="E140" s="246">
        <f>COUNTIF(F103:F138,"P")</f>
        <v>19</v>
      </c>
      <c r="F140" s="105"/>
      <c r="G140" s="105"/>
      <c r="H140" s="105"/>
      <c r="I140" s="106"/>
      <c r="J140" s="106"/>
      <c r="K140" s="106"/>
      <c r="L140" s="106"/>
      <c r="M140" s="106"/>
      <c r="N140" s="105"/>
      <c r="O140" s="232"/>
      <c r="P140" s="105"/>
      <c r="Q140" s="105"/>
      <c r="R140" s="105"/>
      <c r="S140" s="105"/>
    </row>
    <row r="141">
      <c r="A141" s="196">
        <v>139.0</v>
      </c>
      <c r="B141" s="106"/>
      <c r="C141" s="309" t="s">
        <v>3104</v>
      </c>
      <c r="D141" s="105"/>
      <c r="E141" s="246">
        <f>E139+E140</f>
        <v>36</v>
      </c>
      <c r="F141" s="105"/>
      <c r="G141" s="105"/>
      <c r="H141" s="105"/>
      <c r="I141" s="106"/>
      <c r="J141" s="106"/>
      <c r="K141" s="106"/>
      <c r="L141" s="106"/>
      <c r="M141" s="106"/>
      <c r="N141" s="105"/>
      <c r="O141" s="105"/>
      <c r="P141" s="105"/>
      <c r="Q141" s="105"/>
      <c r="R141" s="105"/>
      <c r="S141" s="105"/>
    </row>
    <row r="142">
      <c r="A142" s="198">
        <v>140.0</v>
      </c>
      <c r="B142" s="197"/>
      <c r="C142" s="189"/>
      <c r="D142" s="189"/>
      <c r="E142" s="189"/>
      <c r="F142" s="189"/>
      <c r="G142" s="189"/>
      <c r="H142" s="189"/>
      <c r="I142" s="197"/>
      <c r="J142" s="197"/>
      <c r="K142" s="197"/>
      <c r="L142" s="197"/>
      <c r="M142" s="197"/>
      <c r="N142" s="189"/>
      <c r="O142" s="189"/>
      <c r="P142" s="105"/>
      <c r="Q142" s="105"/>
      <c r="R142" s="105"/>
      <c r="S142" s="105"/>
    </row>
    <row r="143">
      <c r="A143" s="196">
        <v>141.0</v>
      </c>
      <c r="B143" s="114" t="s">
        <v>3111</v>
      </c>
      <c r="F143" s="287"/>
      <c r="G143" s="287"/>
      <c r="H143" s="287"/>
      <c r="I143" s="114"/>
      <c r="J143" s="114"/>
      <c r="K143" s="114"/>
      <c r="L143" s="114"/>
      <c r="M143" s="114"/>
      <c r="N143" s="287"/>
      <c r="O143" s="287"/>
      <c r="P143" s="105"/>
      <c r="Q143" s="105"/>
      <c r="R143" s="105"/>
      <c r="S143" s="105"/>
    </row>
    <row r="144">
      <c r="A144" s="198">
        <v>142.0</v>
      </c>
      <c r="B144" s="114" t="s">
        <v>3112</v>
      </c>
      <c r="F144" s="287"/>
      <c r="G144" s="287"/>
      <c r="H144" s="287"/>
      <c r="I144" s="114"/>
      <c r="J144" s="114"/>
      <c r="K144" s="114"/>
      <c r="L144" s="114"/>
      <c r="M144" s="114"/>
      <c r="N144" s="287"/>
      <c r="O144" s="287"/>
      <c r="P144" s="105"/>
      <c r="Q144" s="105"/>
      <c r="R144" s="105"/>
      <c r="S144" s="105"/>
    </row>
    <row r="145">
      <c r="A145" s="196">
        <v>143.0</v>
      </c>
      <c r="B145" s="110" t="s">
        <v>3340</v>
      </c>
      <c r="F145" s="310"/>
      <c r="G145" s="310"/>
      <c r="H145" s="310"/>
      <c r="I145" s="110"/>
      <c r="J145" s="110"/>
      <c r="K145" s="110"/>
      <c r="L145" s="110"/>
      <c r="M145" s="110"/>
      <c r="N145" s="310"/>
      <c r="O145" s="310"/>
      <c r="P145" s="105"/>
      <c r="Q145" s="105"/>
      <c r="R145" s="105"/>
      <c r="S145" s="105"/>
    </row>
    <row r="146">
      <c r="A146" s="198">
        <v>144.0</v>
      </c>
      <c r="B146" s="298" t="s">
        <v>3341</v>
      </c>
      <c r="F146" s="200"/>
      <c r="G146" s="200"/>
      <c r="H146" s="200"/>
      <c r="I146" s="93"/>
      <c r="J146" s="93"/>
      <c r="K146" s="93"/>
      <c r="L146" s="93"/>
      <c r="M146" s="93"/>
      <c r="N146" s="200"/>
      <c r="O146" s="200"/>
      <c r="P146" s="105"/>
      <c r="Q146" s="105"/>
      <c r="R146" s="105"/>
      <c r="S146" s="105"/>
    </row>
    <row r="147">
      <c r="A147" s="196">
        <v>145.0</v>
      </c>
      <c r="B147" s="299" t="s">
        <v>1735</v>
      </c>
      <c r="C147" s="299" t="s">
        <v>1737</v>
      </c>
      <c r="D147" s="299" t="s">
        <v>1736</v>
      </c>
      <c r="E147" s="299" t="s">
        <v>1738</v>
      </c>
      <c r="F147" s="262" t="s">
        <v>1815</v>
      </c>
      <c r="G147" s="255"/>
      <c r="H147" s="255"/>
      <c r="I147" s="256" t="s">
        <v>3097</v>
      </c>
      <c r="J147" s="9"/>
      <c r="K147" s="9"/>
      <c r="L147" s="9"/>
      <c r="M147" s="9"/>
      <c r="N147" s="9"/>
      <c r="O147" s="10"/>
      <c r="P147" s="105"/>
      <c r="Q147" s="105"/>
      <c r="R147" s="105"/>
      <c r="S147" s="105"/>
    </row>
    <row r="148">
      <c r="A148" s="198">
        <v>146.0</v>
      </c>
      <c r="B148" s="11"/>
      <c r="C148" s="11"/>
      <c r="D148" s="11"/>
      <c r="E148" s="11"/>
      <c r="F148" s="262"/>
      <c r="G148" s="300"/>
      <c r="H148" s="300" t="s">
        <v>2483</v>
      </c>
      <c r="I148" s="301" t="s">
        <v>3109</v>
      </c>
      <c r="J148" s="302" t="s">
        <v>3095</v>
      </c>
      <c r="K148" s="301" t="s">
        <v>3110</v>
      </c>
      <c r="L148" s="302" t="s">
        <v>3098</v>
      </c>
      <c r="M148" s="303" t="s">
        <v>18</v>
      </c>
      <c r="N148" s="302" t="s">
        <v>2491</v>
      </c>
      <c r="O148" s="304" t="s">
        <v>19</v>
      </c>
      <c r="P148" s="105"/>
      <c r="Q148" s="105"/>
      <c r="R148" s="105"/>
      <c r="S148" s="105"/>
    </row>
    <row r="149">
      <c r="A149" s="196">
        <v>147.0</v>
      </c>
      <c r="B149" s="20"/>
      <c r="C149" s="20"/>
      <c r="D149" s="20"/>
      <c r="E149" s="20"/>
      <c r="F149" s="262"/>
      <c r="G149" s="300"/>
      <c r="H149" s="300"/>
      <c r="I149" s="20"/>
      <c r="J149" s="20"/>
      <c r="K149" s="20"/>
      <c r="L149" s="20"/>
      <c r="M149" s="20"/>
      <c r="N149" s="20"/>
      <c r="O149" s="20"/>
      <c r="P149" s="105"/>
      <c r="Q149" s="105"/>
      <c r="R149" s="105"/>
      <c r="S149" s="105"/>
    </row>
    <row r="150">
      <c r="A150" s="198">
        <v>148.0</v>
      </c>
      <c r="B150" s="100">
        <v>1.0</v>
      </c>
      <c r="C150" s="99">
        <v>2.32410002E8</v>
      </c>
      <c r="D150" s="99" t="s">
        <v>3342</v>
      </c>
      <c r="E150" s="99" t="s">
        <v>3343</v>
      </c>
      <c r="F150" s="99" t="s">
        <v>3099</v>
      </c>
      <c r="G150" s="215"/>
      <c r="H150" s="215"/>
      <c r="I150" s="69">
        <v>1.0</v>
      </c>
      <c r="J150" s="222">
        <v>0.0</v>
      </c>
      <c r="K150" s="69">
        <v>0.0</v>
      </c>
      <c r="L150" s="223">
        <f t="shared" ref="L150:L185" si="7">K150+J150</f>
        <v>0</v>
      </c>
      <c r="M150" s="146">
        <f t="shared" ref="M150:M185" si="8">(K150+J150)/(I150+1)</f>
        <v>0</v>
      </c>
      <c r="N150" s="305"/>
      <c r="O150" s="306"/>
      <c r="P150" s="105"/>
      <c r="Q150" s="105"/>
      <c r="R150" s="105"/>
      <c r="S150" s="105"/>
    </row>
    <row r="151">
      <c r="A151" s="196">
        <v>149.0</v>
      </c>
      <c r="B151" s="100">
        <v>2.0</v>
      </c>
      <c r="C151" s="99">
        <v>2.32410011E8</v>
      </c>
      <c r="D151" s="307" t="s">
        <v>3344</v>
      </c>
      <c r="E151" s="99" t="s">
        <v>3345</v>
      </c>
      <c r="F151" s="99" t="s">
        <v>3099</v>
      </c>
      <c r="G151" s="215"/>
      <c r="H151" s="215"/>
      <c r="I151" s="69">
        <v>1.0</v>
      </c>
      <c r="J151" s="223">
        <f>iferror(vlookup(E151,MasterClass!$C$2:$G1001,5,false),"")</f>
        <v>1</v>
      </c>
      <c r="K151" s="69">
        <v>0.0</v>
      </c>
      <c r="L151" s="223">
        <f t="shared" si="7"/>
        <v>1</v>
      </c>
      <c r="M151" s="146">
        <f t="shared" si="8"/>
        <v>0.5</v>
      </c>
      <c r="N151" s="305"/>
      <c r="O151" s="306"/>
      <c r="P151" s="105"/>
      <c r="Q151" s="105"/>
      <c r="R151" s="105"/>
      <c r="S151" s="105"/>
    </row>
    <row r="152">
      <c r="A152" s="198">
        <v>150.0</v>
      </c>
      <c r="B152" s="100">
        <v>3.0</v>
      </c>
      <c r="C152" s="99">
        <v>2.32410032E8</v>
      </c>
      <c r="D152" s="307" t="s">
        <v>3346</v>
      </c>
      <c r="E152" s="99" t="s">
        <v>3347</v>
      </c>
      <c r="F152" s="99" t="s">
        <v>3100</v>
      </c>
      <c r="G152" s="215"/>
      <c r="H152" s="215"/>
      <c r="I152" s="69">
        <v>1.0</v>
      </c>
      <c r="J152" s="222">
        <v>0.0</v>
      </c>
      <c r="K152" s="69">
        <v>0.0</v>
      </c>
      <c r="L152" s="223">
        <f t="shared" si="7"/>
        <v>0</v>
      </c>
      <c r="M152" s="146">
        <f t="shared" si="8"/>
        <v>0</v>
      </c>
      <c r="N152" s="305"/>
      <c r="O152" s="306"/>
      <c r="P152" s="105"/>
      <c r="Q152" s="105"/>
      <c r="R152" s="105"/>
      <c r="S152" s="105"/>
    </row>
    <row r="153">
      <c r="A153" s="196">
        <v>151.0</v>
      </c>
      <c r="B153" s="100">
        <v>4.0</v>
      </c>
      <c r="C153" s="99">
        <v>2.32410043E8</v>
      </c>
      <c r="D153" s="99" t="s">
        <v>3348</v>
      </c>
      <c r="E153" s="99" t="s">
        <v>3349</v>
      </c>
      <c r="F153" s="99" t="s">
        <v>3100</v>
      </c>
      <c r="G153" s="215"/>
      <c r="H153" s="215"/>
      <c r="I153" s="69">
        <v>1.0</v>
      </c>
      <c r="J153" s="222">
        <v>0.0</v>
      </c>
      <c r="K153" s="69">
        <v>0.0</v>
      </c>
      <c r="L153" s="223">
        <f t="shared" si="7"/>
        <v>0</v>
      </c>
      <c r="M153" s="146">
        <f t="shared" si="8"/>
        <v>0</v>
      </c>
      <c r="N153" s="305"/>
      <c r="O153" s="306"/>
      <c r="P153" s="105"/>
      <c r="Q153" s="105"/>
      <c r="R153" s="105"/>
      <c r="S153" s="105"/>
    </row>
    <row r="154">
      <c r="A154" s="198">
        <v>152.0</v>
      </c>
      <c r="B154" s="100">
        <v>5.0</v>
      </c>
      <c r="C154" s="99">
        <v>2.32410045E8</v>
      </c>
      <c r="D154" s="99" t="s">
        <v>3350</v>
      </c>
      <c r="E154" s="99" t="s">
        <v>3351</v>
      </c>
      <c r="F154" s="99" t="s">
        <v>3100</v>
      </c>
      <c r="G154" s="215"/>
      <c r="H154" s="215"/>
      <c r="I154" s="69">
        <v>1.0</v>
      </c>
      <c r="J154" s="222">
        <v>0.0</v>
      </c>
      <c r="K154" s="69">
        <v>0.0</v>
      </c>
      <c r="L154" s="223">
        <f t="shared" si="7"/>
        <v>0</v>
      </c>
      <c r="M154" s="146">
        <f t="shared" si="8"/>
        <v>0</v>
      </c>
      <c r="N154" s="305"/>
      <c r="O154" s="306"/>
      <c r="P154" s="105"/>
      <c r="Q154" s="105"/>
      <c r="R154" s="105"/>
      <c r="S154" s="105"/>
    </row>
    <row r="155">
      <c r="A155" s="196">
        <v>153.0</v>
      </c>
      <c r="B155" s="100">
        <v>6.0</v>
      </c>
      <c r="C155" s="99">
        <v>2.32410052E8</v>
      </c>
      <c r="D155" s="99" t="s">
        <v>3352</v>
      </c>
      <c r="E155" s="99" t="s">
        <v>3353</v>
      </c>
      <c r="F155" s="99" t="s">
        <v>3099</v>
      </c>
      <c r="G155" s="215"/>
      <c r="H155" s="215"/>
      <c r="I155" s="69">
        <v>1.0</v>
      </c>
      <c r="J155" s="222">
        <v>0.0</v>
      </c>
      <c r="K155" s="69">
        <v>0.0</v>
      </c>
      <c r="L155" s="223">
        <f t="shared" si="7"/>
        <v>0</v>
      </c>
      <c r="M155" s="146">
        <f t="shared" si="8"/>
        <v>0</v>
      </c>
      <c r="N155" s="305"/>
      <c r="O155" s="306"/>
      <c r="P155" s="105"/>
      <c r="Q155" s="105"/>
      <c r="R155" s="105"/>
      <c r="S155" s="105"/>
    </row>
    <row r="156">
      <c r="A156" s="198">
        <v>154.0</v>
      </c>
      <c r="B156" s="100">
        <v>7.0</v>
      </c>
      <c r="C156" s="99">
        <v>2.32410062E8</v>
      </c>
      <c r="D156" s="99" t="s">
        <v>3354</v>
      </c>
      <c r="E156" s="99" t="s">
        <v>3355</v>
      </c>
      <c r="F156" s="99" t="s">
        <v>3100</v>
      </c>
      <c r="G156" s="215"/>
      <c r="H156" s="215"/>
      <c r="I156" s="69">
        <v>1.0</v>
      </c>
      <c r="J156" s="222">
        <v>0.0</v>
      </c>
      <c r="K156" s="69">
        <v>0.0</v>
      </c>
      <c r="L156" s="223">
        <f t="shared" si="7"/>
        <v>0</v>
      </c>
      <c r="M156" s="146">
        <f t="shared" si="8"/>
        <v>0</v>
      </c>
      <c r="N156" s="305"/>
      <c r="O156" s="306"/>
      <c r="P156" s="105"/>
      <c r="Q156" s="105"/>
      <c r="R156" s="105"/>
      <c r="S156" s="105"/>
    </row>
    <row r="157">
      <c r="A157" s="196">
        <v>155.0</v>
      </c>
      <c r="B157" s="100">
        <v>8.0</v>
      </c>
      <c r="C157" s="99" t="s">
        <v>3356</v>
      </c>
      <c r="D157" s="307" t="s">
        <v>3357</v>
      </c>
      <c r="E157" s="99" t="s">
        <v>3358</v>
      </c>
      <c r="F157" s="99" t="s">
        <v>3099</v>
      </c>
      <c r="G157" s="215"/>
      <c r="H157" s="215"/>
      <c r="I157" s="69">
        <v>1.0</v>
      </c>
      <c r="J157" s="223">
        <f>iferror(vlookup(E157,MasterClass!$C$2:$G1001,5,false),"")</f>
        <v>1</v>
      </c>
      <c r="K157" s="69">
        <v>0.0</v>
      </c>
      <c r="L157" s="223">
        <f t="shared" si="7"/>
        <v>1</v>
      </c>
      <c r="M157" s="146">
        <f t="shared" si="8"/>
        <v>0.5</v>
      </c>
      <c r="N157" s="305"/>
      <c r="O157" s="306"/>
      <c r="P157" s="105"/>
      <c r="Q157" s="105"/>
      <c r="R157" s="105"/>
      <c r="S157" s="105"/>
    </row>
    <row r="158">
      <c r="A158" s="198">
        <v>156.0</v>
      </c>
      <c r="B158" s="100">
        <v>9.0</v>
      </c>
      <c r="C158" s="99">
        <v>2.324101E8</v>
      </c>
      <c r="D158" s="99" t="s">
        <v>3357</v>
      </c>
      <c r="E158" s="99" t="s">
        <v>3359</v>
      </c>
      <c r="F158" s="99" t="s">
        <v>3099</v>
      </c>
      <c r="G158" s="215"/>
      <c r="H158" s="215"/>
      <c r="I158" s="69">
        <v>1.0</v>
      </c>
      <c r="J158" s="222">
        <v>0.0</v>
      </c>
      <c r="K158" s="69">
        <v>0.0</v>
      </c>
      <c r="L158" s="223">
        <f t="shared" si="7"/>
        <v>0</v>
      </c>
      <c r="M158" s="146">
        <f t="shared" si="8"/>
        <v>0</v>
      </c>
      <c r="N158" s="305"/>
      <c r="O158" s="306"/>
      <c r="P158" s="105"/>
      <c r="Q158" s="105"/>
      <c r="R158" s="105"/>
      <c r="S158" s="105"/>
    </row>
    <row r="159">
      <c r="A159" s="196">
        <v>157.0</v>
      </c>
      <c r="B159" s="100">
        <v>10.0</v>
      </c>
      <c r="C159" s="99">
        <v>2.32410111E8</v>
      </c>
      <c r="D159" s="307" t="s">
        <v>3360</v>
      </c>
      <c r="E159" s="99" t="s">
        <v>3361</v>
      </c>
      <c r="F159" s="99" t="s">
        <v>3100</v>
      </c>
      <c r="G159" s="215"/>
      <c r="H159" s="215"/>
      <c r="I159" s="69">
        <v>1.0</v>
      </c>
      <c r="J159" s="222">
        <v>0.0</v>
      </c>
      <c r="K159" s="69">
        <v>0.0</v>
      </c>
      <c r="L159" s="223">
        <f t="shared" si="7"/>
        <v>0</v>
      </c>
      <c r="M159" s="146">
        <f t="shared" si="8"/>
        <v>0</v>
      </c>
      <c r="N159" s="305"/>
      <c r="O159" s="306"/>
      <c r="P159" s="105"/>
      <c r="Q159" s="105"/>
      <c r="R159" s="105"/>
      <c r="S159" s="105"/>
    </row>
    <row r="160">
      <c r="A160" s="198">
        <v>158.0</v>
      </c>
      <c r="B160" s="100">
        <v>11.0</v>
      </c>
      <c r="C160" s="99">
        <v>2.32410436E8</v>
      </c>
      <c r="D160" s="307" t="s">
        <v>3362</v>
      </c>
      <c r="E160" s="99" t="s">
        <v>3363</v>
      </c>
      <c r="F160" s="99" t="s">
        <v>3099</v>
      </c>
      <c r="G160" s="215"/>
      <c r="H160" s="215"/>
      <c r="I160" s="69">
        <v>1.0</v>
      </c>
      <c r="J160" s="222">
        <v>0.0</v>
      </c>
      <c r="K160" s="69">
        <v>0.0</v>
      </c>
      <c r="L160" s="223">
        <f t="shared" si="7"/>
        <v>0</v>
      </c>
      <c r="M160" s="146">
        <f t="shared" si="8"/>
        <v>0</v>
      </c>
      <c r="N160" s="305"/>
      <c r="O160" s="306"/>
      <c r="P160" s="105"/>
      <c r="Q160" s="105"/>
      <c r="R160" s="105"/>
      <c r="S160" s="105"/>
    </row>
    <row r="161">
      <c r="A161" s="196">
        <v>159.0</v>
      </c>
      <c r="B161" s="100">
        <v>12.0</v>
      </c>
      <c r="C161" s="99" t="s">
        <v>3364</v>
      </c>
      <c r="D161" s="99" t="s">
        <v>3365</v>
      </c>
      <c r="E161" s="99" t="s">
        <v>3366</v>
      </c>
      <c r="F161" s="99" t="s">
        <v>3099</v>
      </c>
      <c r="G161" s="215"/>
      <c r="H161" s="215"/>
      <c r="I161" s="69">
        <v>1.0</v>
      </c>
      <c r="J161" s="222">
        <v>0.0</v>
      </c>
      <c r="K161" s="69">
        <v>0.0</v>
      </c>
      <c r="L161" s="223">
        <f t="shared" si="7"/>
        <v>0</v>
      </c>
      <c r="M161" s="146">
        <f t="shared" si="8"/>
        <v>0</v>
      </c>
      <c r="N161" s="305"/>
      <c r="O161" s="306"/>
      <c r="P161" s="105"/>
      <c r="Q161" s="105"/>
      <c r="R161" s="105"/>
      <c r="S161" s="105"/>
    </row>
    <row r="162">
      <c r="A162" s="198">
        <v>160.0</v>
      </c>
      <c r="B162" s="100">
        <v>13.0</v>
      </c>
      <c r="C162" s="99" t="s">
        <v>3367</v>
      </c>
      <c r="D162" s="99" t="s">
        <v>3368</v>
      </c>
      <c r="E162" s="99" t="s">
        <v>3369</v>
      </c>
      <c r="F162" s="99" t="s">
        <v>3100</v>
      </c>
      <c r="G162" s="215"/>
      <c r="H162" s="215"/>
      <c r="I162" s="69">
        <v>1.0</v>
      </c>
      <c r="J162" s="222">
        <v>0.0</v>
      </c>
      <c r="K162" s="69">
        <v>0.0</v>
      </c>
      <c r="L162" s="223">
        <f t="shared" si="7"/>
        <v>0</v>
      </c>
      <c r="M162" s="146">
        <f t="shared" si="8"/>
        <v>0</v>
      </c>
      <c r="N162" s="305"/>
      <c r="O162" s="306"/>
      <c r="P162" s="105"/>
      <c r="Q162" s="105"/>
      <c r="R162" s="105"/>
      <c r="S162" s="105"/>
    </row>
    <row r="163">
      <c r="A163" s="196">
        <v>161.0</v>
      </c>
      <c r="B163" s="100">
        <v>14.0</v>
      </c>
      <c r="C163" s="99" t="s">
        <v>3370</v>
      </c>
      <c r="D163" s="99" t="s">
        <v>3371</v>
      </c>
      <c r="E163" s="99" t="s">
        <v>3372</v>
      </c>
      <c r="F163" s="99" t="s">
        <v>3099</v>
      </c>
      <c r="G163" s="215"/>
      <c r="H163" s="215"/>
      <c r="I163" s="69">
        <v>1.0</v>
      </c>
      <c r="J163" s="222">
        <v>0.0</v>
      </c>
      <c r="K163" s="69">
        <v>0.0</v>
      </c>
      <c r="L163" s="223">
        <f t="shared" si="7"/>
        <v>0</v>
      </c>
      <c r="M163" s="146">
        <f t="shared" si="8"/>
        <v>0</v>
      </c>
      <c r="N163" s="305"/>
      <c r="O163" s="306"/>
      <c r="P163" s="105"/>
      <c r="Q163" s="105"/>
      <c r="R163" s="105"/>
      <c r="S163" s="105"/>
    </row>
    <row r="164">
      <c r="A164" s="198">
        <v>162.0</v>
      </c>
      <c r="B164" s="100">
        <v>15.0</v>
      </c>
      <c r="C164" s="99" t="s">
        <v>3373</v>
      </c>
      <c r="D164" s="99" t="s">
        <v>3374</v>
      </c>
      <c r="E164" s="99" t="s">
        <v>3375</v>
      </c>
      <c r="F164" s="99" t="s">
        <v>3100</v>
      </c>
      <c r="G164" s="215"/>
      <c r="H164" s="215"/>
      <c r="I164" s="69">
        <v>1.0</v>
      </c>
      <c r="J164" s="223">
        <f>iferror(vlookup(E164,MasterClass!$C$2:$G1001,5,false),"")</f>
        <v>1</v>
      </c>
      <c r="K164" s="69">
        <v>0.0</v>
      </c>
      <c r="L164" s="223">
        <f t="shared" si="7"/>
        <v>1</v>
      </c>
      <c r="M164" s="146">
        <f t="shared" si="8"/>
        <v>0.5</v>
      </c>
      <c r="N164" s="305"/>
      <c r="O164" s="306"/>
      <c r="P164" s="105"/>
      <c r="Q164" s="105"/>
      <c r="R164" s="105"/>
      <c r="S164" s="105"/>
    </row>
    <row r="165">
      <c r="A165" s="196">
        <v>163.0</v>
      </c>
      <c r="B165" s="100">
        <v>16.0</v>
      </c>
      <c r="C165" s="99" t="s">
        <v>3376</v>
      </c>
      <c r="D165" s="99" t="s">
        <v>3377</v>
      </c>
      <c r="E165" s="99" t="s">
        <v>3378</v>
      </c>
      <c r="F165" s="99" t="s">
        <v>3099</v>
      </c>
      <c r="G165" s="215"/>
      <c r="H165" s="215"/>
      <c r="I165" s="69">
        <v>1.0</v>
      </c>
      <c r="J165" s="222">
        <v>0.0</v>
      </c>
      <c r="K165" s="69">
        <v>0.0</v>
      </c>
      <c r="L165" s="223">
        <f t="shared" si="7"/>
        <v>0</v>
      </c>
      <c r="M165" s="146">
        <f t="shared" si="8"/>
        <v>0</v>
      </c>
      <c r="N165" s="305"/>
      <c r="O165" s="306"/>
      <c r="P165" s="105"/>
      <c r="Q165" s="105"/>
      <c r="R165" s="105"/>
      <c r="S165" s="105"/>
    </row>
    <row r="166">
      <c r="A166" s="198">
        <v>164.0</v>
      </c>
      <c r="B166" s="100">
        <v>17.0</v>
      </c>
      <c r="C166" s="99" t="s">
        <v>3379</v>
      </c>
      <c r="D166" s="307" t="s">
        <v>3380</v>
      </c>
      <c r="E166" s="99" t="s">
        <v>3381</v>
      </c>
      <c r="F166" s="99" t="s">
        <v>3100</v>
      </c>
      <c r="G166" s="215"/>
      <c r="H166" s="215"/>
      <c r="I166" s="69">
        <v>1.0</v>
      </c>
      <c r="J166" s="222">
        <v>0.0</v>
      </c>
      <c r="K166" s="69">
        <v>0.0</v>
      </c>
      <c r="L166" s="223">
        <f t="shared" si="7"/>
        <v>0</v>
      </c>
      <c r="M166" s="146">
        <f t="shared" si="8"/>
        <v>0</v>
      </c>
      <c r="N166" s="305"/>
      <c r="O166" s="306"/>
      <c r="P166" s="105"/>
      <c r="Q166" s="105"/>
      <c r="R166" s="105"/>
      <c r="S166" s="105"/>
    </row>
    <row r="167">
      <c r="A167" s="196">
        <v>165.0</v>
      </c>
      <c r="B167" s="100">
        <v>18.0</v>
      </c>
      <c r="C167" s="99" t="s">
        <v>3382</v>
      </c>
      <c r="D167" s="307" t="s">
        <v>3383</v>
      </c>
      <c r="E167" s="99" t="s">
        <v>3384</v>
      </c>
      <c r="F167" s="99" t="s">
        <v>3100</v>
      </c>
      <c r="G167" s="215"/>
      <c r="H167" s="215"/>
      <c r="I167" s="69">
        <v>12.0</v>
      </c>
      <c r="J167" s="222">
        <v>0.0</v>
      </c>
      <c r="K167" s="69">
        <v>1.0</v>
      </c>
      <c r="L167" s="223">
        <f t="shared" si="7"/>
        <v>1</v>
      </c>
      <c r="M167" s="146">
        <f t="shared" si="8"/>
        <v>0.07692307692</v>
      </c>
      <c r="N167" s="215" t="s">
        <v>2508</v>
      </c>
      <c r="O167" s="311"/>
      <c r="P167" s="105"/>
      <c r="Q167" s="105"/>
      <c r="R167" s="105"/>
      <c r="S167" s="105"/>
    </row>
    <row r="168">
      <c r="A168" s="198">
        <v>166.0</v>
      </c>
      <c r="B168" s="100">
        <v>19.0</v>
      </c>
      <c r="C168" s="99" t="s">
        <v>3385</v>
      </c>
      <c r="D168" s="307" t="s">
        <v>3386</v>
      </c>
      <c r="E168" s="99" t="s">
        <v>3387</v>
      </c>
      <c r="F168" s="99" t="s">
        <v>3100</v>
      </c>
      <c r="G168" s="215"/>
      <c r="H168" s="215"/>
      <c r="I168" s="69">
        <v>4.0</v>
      </c>
      <c r="J168" s="223">
        <f>iferror(vlookup(E168,MasterClass!$C$2:$G1001,5,false),"")</f>
        <v>1</v>
      </c>
      <c r="K168" s="69">
        <v>3.0</v>
      </c>
      <c r="L168" s="223">
        <f t="shared" si="7"/>
        <v>4</v>
      </c>
      <c r="M168" s="146">
        <f t="shared" si="8"/>
        <v>0.8</v>
      </c>
      <c r="N168" s="305"/>
      <c r="O168" s="306"/>
      <c r="P168" s="105"/>
      <c r="Q168" s="105"/>
      <c r="R168" s="105"/>
      <c r="S168" s="105"/>
    </row>
    <row r="169">
      <c r="A169" s="196">
        <v>167.0</v>
      </c>
      <c r="B169" s="100">
        <v>20.0</v>
      </c>
      <c r="C169" s="99" t="s">
        <v>3388</v>
      </c>
      <c r="D169" s="99" t="s">
        <v>3389</v>
      </c>
      <c r="E169" s="99" t="s">
        <v>3390</v>
      </c>
      <c r="F169" s="99" t="s">
        <v>3099</v>
      </c>
      <c r="G169" s="215"/>
      <c r="H169" s="215"/>
      <c r="I169" s="69">
        <v>1.0</v>
      </c>
      <c r="J169" s="222">
        <v>0.0</v>
      </c>
      <c r="K169" s="69">
        <v>0.0</v>
      </c>
      <c r="L169" s="223">
        <f t="shared" si="7"/>
        <v>0</v>
      </c>
      <c r="M169" s="146">
        <f t="shared" si="8"/>
        <v>0</v>
      </c>
      <c r="N169" s="305"/>
      <c r="O169" s="306"/>
      <c r="P169" s="105"/>
      <c r="Q169" s="105"/>
      <c r="R169" s="105"/>
      <c r="S169" s="105"/>
    </row>
    <row r="170">
      <c r="A170" s="198">
        <v>168.0</v>
      </c>
      <c r="B170" s="100">
        <v>21.0</v>
      </c>
      <c r="C170" s="99" t="s">
        <v>3391</v>
      </c>
      <c r="D170" s="99" t="s">
        <v>3392</v>
      </c>
      <c r="E170" s="99" t="s">
        <v>3393</v>
      </c>
      <c r="F170" s="99" t="s">
        <v>3100</v>
      </c>
      <c r="G170" s="215"/>
      <c r="H170" s="215"/>
      <c r="I170" s="69">
        <v>1.0</v>
      </c>
      <c r="J170" s="222">
        <v>0.0</v>
      </c>
      <c r="K170" s="69">
        <v>0.0</v>
      </c>
      <c r="L170" s="223">
        <f t="shared" si="7"/>
        <v>0</v>
      </c>
      <c r="M170" s="146">
        <f t="shared" si="8"/>
        <v>0</v>
      </c>
      <c r="N170" s="305"/>
      <c r="O170" s="306"/>
      <c r="P170" s="105"/>
      <c r="Q170" s="105"/>
      <c r="R170" s="105"/>
      <c r="S170" s="105"/>
    </row>
    <row r="171">
      <c r="A171" s="196">
        <v>169.0</v>
      </c>
      <c r="B171" s="100">
        <v>22.0</v>
      </c>
      <c r="C171" s="99" t="s">
        <v>3394</v>
      </c>
      <c r="D171" s="99" t="s">
        <v>3395</v>
      </c>
      <c r="E171" s="99" t="s">
        <v>3396</v>
      </c>
      <c r="F171" s="99" t="s">
        <v>3099</v>
      </c>
      <c r="G171" s="215"/>
      <c r="H171" s="215"/>
      <c r="I171" s="69">
        <v>1.0</v>
      </c>
      <c r="J171" s="222">
        <v>0.0</v>
      </c>
      <c r="K171" s="69">
        <v>0.0</v>
      </c>
      <c r="L171" s="223">
        <f t="shared" si="7"/>
        <v>0</v>
      </c>
      <c r="M171" s="146">
        <f t="shared" si="8"/>
        <v>0</v>
      </c>
      <c r="N171" s="215" t="s">
        <v>3188</v>
      </c>
      <c r="O171" s="306"/>
      <c r="P171" s="105"/>
      <c r="Q171" s="105"/>
      <c r="R171" s="105"/>
      <c r="S171" s="105"/>
    </row>
    <row r="172">
      <c r="A172" s="198">
        <v>170.0</v>
      </c>
      <c r="B172" s="100">
        <v>23.0</v>
      </c>
      <c r="C172" s="115" t="s">
        <v>3397</v>
      </c>
      <c r="D172" s="115" t="s">
        <v>3398</v>
      </c>
      <c r="E172" s="99" t="s">
        <v>3399</v>
      </c>
      <c r="F172" s="99" t="s">
        <v>3100</v>
      </c>
      <c r="G172" s="215"/>
      <c r="H172" s="215"/>
      <c r="I172" s="69">
        <v>1.0</v>
      </c>
      <c r="J172" s="222">
        <v>0.0</v>
      </c>
      <c r="K172" s="69">
        <v>0.0</v>
      </c>
      <c r="L172" s="223">
        <f t="shared" si="7"/>
        <v>0</v>
      </c>
      <c r="M172" s="146">
        <f t="shared" si="8"/>
        <v>0</v>
      </c>
      <c r="N172" s="305"/>
      <c r="O172" s="306"/>
      <c r="P172" s="105"/>
      <c r="Q172" s="105"/>
      <c r="R172" s="105"/>
      <c r="S172" s="105"/>
    </row>
    <row r="173">
      <c r="A173" s="196">
        <v>171.0</v>
      </c>
      <c r="B173" s="100">
        <v>24.0</v>
      </c>
      <c r="C173" s="99" t="s">
        <v>3400</v>
      </c>
      <c r="D173" s="99" t="s">
        <v>3401</v>
      </c>
      <c r="E173" s="99" t="s">
        <v>3402</v>
      </c>
      <c r="F173" s="99" t="s">
        <v>3099</v>
      </c>
      <c r="G173" s="215"/>
      <c r="H173" s="215"/>
      <c r="I173" s="69">
        <v>1.0</v>
      </c>
      <c r="J173" s="222">
        <v>0.0</v>
      </c>
      <c r="K173" s="69">
        <v>0.0</v>
      </c>
      <c r="L173" s="223">
        <f t="shared" si="7"/>
        <v>0</v>
      </c>
      <c r="M173" s="146">
        <f t="shared" si="8"/>
        <v>0</v>
      </c>
      <c r="N173" s="305"/>
      <c r="O173" s="306"/>
      <c r="P173" s="105"/>
      <c r="Q173" s="105"/>
      <c r="R173" s="105"/>
      <c r="S173" s="105"/>
    </row>
    <row r="174">
      <c r="A174" s="198">
        <v>172.0</v>
      </c>
      <c r="B174" s="100">
        <v>25.0</v>
      </c>
      <c r="C174" s="99" t="s">
        <v>3403</v>
      </c>
      <c r="D174" s="99" t="s">
        <v>3404</v>
      </c>
      <c r="E174" s="99" t="s">
        <v>3405</v>
      </c>
      <c r="F174" s="99" t="s">
        <v>3100</v>
      </c>
      <c r="G174" s="215"/>
      <c r="H174" s="215"/>
      <c r="I174" s="69">
        <v>1.0</v>
      </c>
      <c r="J174" s="222">
        <v>0.0</v>
      </c>
      <c r="K174" s="69">
        <v>0.0</v>
      </c>
      <c r="L174" s="223">
        <f t="shared" si="7"/>
        <v>0</v>
      </c>
      <c r="M174" s="146">
        <f t="shared" si="8"/>
        <v>0</v>
      </c>
      <c r="N174" s="305"/>
      <c r="O174" s="306"/>
      <c r="P174" s="105"/>
      <c r="Q174" s="105"/>
      <c r="R174" s="105"/>
      <c r="S174" s="105"/>
    </row>
    <row r="175">
      <c r="A175" s="196">
        <v>173.0</v>
      </c>
      <c r="B175" s="100">
        <v>26.0</v>
      </c>
      <c r="C175" s="99" t="s">
        <v>3406</v>
      </c>
      <c r="D175" s="99" t="s">
        <v>3407</v>
      </c>
      <c r="E175" s="99" t="s">
        <v>3408</v>
      </c>
      <c r="F175" s="99" t="s">
        <v>3100</v>
      </c>
      <c r="G175" s="215"/>
      <c r="H175" s="215"/>
      <c r="I175" s="69">
        <v>1.0</v>
      </c>
      <c r="J175" s="222">
        <v>0.0</v>
      </c>
      <c r="K175" s="69">
        <v>0.0</v>
      </c>
      <c r="L175" s="223">
        <f t="shared" si="7"/>
        <v>0</v>
      </c>
      <c r="M175" s="146">
        <f t="shared" si="8"/>
        <v>0</v>
      </c>
      <c r="N175" s="305"/>
      <c r="O175" s="306"/>
      <c r="P175" s="105"/>
      <c r="Q175" s="105"/>
      <c r="R175" s="105"/>
      <c r="S175" s="105"/>
    </row>
    <row r="176">
      <c r="A176" s="198">
        <v>174.0</v>
      </c>
      <c r="B176" s="100">
        <v>27.0</v>
      </c>
      <c r="C176" s="99" t="s">
        <v>3409</v>
      </c>
      <c r="D176" s="99" t="s">
        <v>3410</v>
      </c>
      <c r="E176" s="99" t="s">
        <v>3411</v>
      </c>
      <c r="F176" s="99" t="s">
        <v>3100</v>
      </c>
      <c r="G176" s="215"/>
      <c r="H176" s="215"/>
      <c r="I176" s="69">
        <v>1.0</v>
      </c>
      <c r="J176" s="222">
        <v>0.0</v>
      </c>
      <c r="K176" s="69">
        <v>0.0</v>
      </c>
      <c r="L176" s="223">
        <f t="shared" si="7"/>
        <v>0</v>
      </c>
      <c r="M176" s="146">
        <f t="shared" si="8"/>
        <v>0</v>
      </c>
      <c r="N176" s="305"/>
      <c r="O176" s="306"/>
      <c r="P176" s="105"/>
      <c r="Q176" s="105"/>
      <c r="R176" s="105"/>
      <c r="S176" s="105"/>
    </row>
    <row r="177">
      <c r="A177" s="196">
        <v>175.0</v>
      </c>
      <c r="B177" s="100">
        <v>28.0</v>
      </c>
      <c r="C177" s="99" t="s">
        <v>3412</v>
      </c>
      <c r="D177" s="99" t="s">
        <v>3413</v>
      </c>
      <c r="E177" s="99" t="s">
        <v>3414</v>
      </c>
      <c r="F177" s="99" t="s">
        <v>3099</v>
      </c>
      <c r="G177" s="215"/>
      <c r="H177" s="215"/>
      <c r="I177" s="69">
        <v>1.0</v>
      </c>
      <c r="J177" s="222">
        <v>0.0</v>
      </c>
      <c r="K177" s="69">
        <v>0.0</v>
      </c>
      <c r="L177" s="223">
        <f t="shared" si="7"/>
        <v>0</v>
      </c>
      <c r="M177" s="146">
        <f t="shared" si="8"/>
        <v>0</v>
      </c>
      <c r="N177" s="305"/>
      <c r="O177" s="306"/>
      <c r="P177" s="105"/>
      <c r="Q177" s="105"/>
      <c r="R177" s="105"/>
      <c r="S177" s="105"/>
    </row>
    <row r="178">
      <c r="A178" s="198">
        <v>176.0</v>
      </c>
      <c r="B178" s="100">
        <v>29.0</v>
      </c>
      <c r="C178" s="99" t="s">
        <v>3415</v>
      </c>
      <c r="D178" s="99" t="s">
        <v>3416</v>
      </c>
      <c r="E178" s="99" t="s">
        <v>3417</v>
      </c>
      <c r="F178" s="99" t="s">
        <v>3099</v>
      </c>
      <c r="G178" s="215"/>
      <c r="H178" s="215"/>
      <c r="I178" s="69">
        <v>1.0</v>
      </c>
      <c r="J178" s="222">
        <v>0.0</v>
      </c>
      <c r="K178" s="69">
        <v>0.0</v>
      </c>
      <c r="L178" s="223">
        <f t="shared" si="7"/>
        <v>0</v>
      </c>
      <c r="M178" s="146">
        <f t="shared" si="8"/>
        <v>0</v>
      </c>
      <c r="N178" s="305"/>
      <c r="O178" s="306"/>
      <c r="P178" s="105"/>
      <c r="Q178" s="105"/>
      <c r="R178" s="105"/>
      <c r="S178" s="105"/>
    </row>
    <row r="179">
      <c r="A179" s="196">
        <v>177.0</v>
      </c>
      <c r="B179" s="100">
        <v>30.0</v>
      </c>
      <c r="C179" s="99" t="s">
        <v>3418</v>
      </c>
      <c r="D179" s="99" t="s">
        <v>3419</v>
      </c>
      <c r="E179" s="99" t="s">
        <v>3420</v>
      </c>
      <c r="F179" s="99" t="s">
        <v>3100</v>
      </c>
      <c r="G179" s="215"/>
      <c r="H179" s="215"/>
      <c r="I179" s="69">
        <v>12.0</v>
      </c>
      <c r="J179" s="222">
        <v>0.0</v>
      </c>
      <c r="K179" s="69">
        <v>2.0</v>
      </c>
      <c r="L179" s="223">
        <f t="shared" si="7"/>
        <v>2</v>
      </c>
      <c r="M179" s="146">
        <f t="shared" si="8"/>
        <v>0.1538461538</v>
      </c>
      <c r="N179" s="215" t="s">
        <v>2508</v>
      </c>
      <c r="O179" s="311"/>
      <c r="P179" s="105"/>
      <c r="Q179" s="105"/>
      <c r="R179" s="105"/>
      <c r="S179" s="105"/>
    </row>
    <row r="180">
      <c r="A180" s="198">
        <v>178.0</v>
      </c>
      <c r="B180" s="100">
        <v>31.0</v>
      </c>
      <c r="C180" s="99" t="s">
        <v>3421</v>
      </c>
      <c r="D180" s="99" t="s">
        <v>3422</v>
      </c>
      <c r="E180" s="99" t="s">
        <v>3423</v>
      </c>
      <c r="F180" s="99" t="s">
        <v>3100</v>
      </c>
      <c r="G180" s="215"/>
      <c r="H180" s="215"/>
      <c r="I180" s="69">
        <v>1.0</v>
      </c>
      <c r="J180" s="222">
        <v>0.0</v>
      </c>
      <c r="K180" s="69">
        <v>0.0</v>
      </c>
      <c r="L180" s="223">
        <f t="shared" si="7"/>
        <v>0</v>
      </c>
      <c r="M180" s="146">
        <f t="shared" si="8"/>
        <v>0</v>
      </c>
      <c r="N180" s="305"/>
      <c r="O180" s="306"/>
      <c r="P180" s="105"/>
      <c r="Q180" s="105"/>
      <c r="R180" s="105"/>
      <c r="S180" s="105"/>
    </row>
    <row r="181">
      <c r="A181" s="196">
        <v>179.0</v>
      </c>
      <c r="B181" s="100">
        <v>32.0</v>
      </c>
      <c r="C181" s="99" t="s">
        <v>3424</v>
      </c>
      <c r="D181" s="99" t="s">
        <v>3425</v>
      </c>
      <c r="E181" s="99" t="s">
        <v>3426</v>
      </c>
      <c r="F181" s="99" t="s">
        <v>3100</v>
      </c>
      <c r="G181" s="215"/>
      <c r="H181" s="215"/>
      <c r="I181" s="69">
        <v>1.0</v>
      </c>
      <c r="J181" s="222">
        <v>0.0</v>
      </c>
      <c r="K181" s="69">
        <v>0.0</v>
      </c>
      <c r="L181" s="223">
        <f t="shared" si="7"/>
        <v>0</v>
      </c>
      <c r="M181" s="146">
        <f t="shared" si="8"/>
        <v>0</v>
      </c>
      <c r="N181" s="305"/>
      <c r="O181" s="306"/>
      <c r="P181" s="105"/>
      <c r="Q181" s="105"/>
      <c r="R181" s="105"/>
      <c r="S181" s="105"/>
    </row>
    <row r="182">
      <c r="A182" s="198">
        <v>180.0</v>
      </c>
      <c r="B182" s="100">
        <v>33.0</v>
      </c>
      <c r="C182" s="99" t="s">
        <v>3427</v>
      </c>
      <c r="D182" s="99" t="s">
        <v>3428</v>
      </c>
      <c r="E182" s="99" t="s">
        <v>3429</v>
      </c>
      <c r="F182" s="99" t="s">
        <v>3100</v>
      </c>
      <c r="G182" s="215"/>
      <c r="H182" s="215"/>
      <c r="I182" s="69">
        <v>1.0</v>
      </c>
      <c r="J182" s="222">
        <v>0.0</v>
      </c>
      <c r="K182" s="69">
        <v>0.0</v>
      </c>
      <c r="L182" s="223">
        <f t="shared" si="7"/>
        <v>0</v>
      </c>
      <c r="M182" s="146">
        <f t="shared" si="8"/>
        <v>0</v>
      </c>
      <c r="N182" s="305"/>
      <c r="O182" s="306"/>
      <c r="P182" s="105"/>
      <c r="Q182" s="105"/>
      <c r="R182" s="105"/>
      <c r="S182" s="105"/>
    </row>
    <row r="183">
      <c r="A183" s="196">
        <v>181.0</v>
      </c>
      <c r="B183" s="100">
        <v>34.0</v>
      </c>
      <c r="C183" s="99" t="s">
        <v>3430</v>
      </c>
      <c r="D183" s="307" t="s">
        <v>3431</v>
      </c>
      <c r="E183" s="99" t="s">
        <v>3432</v>
      </c>
      <c r="F183" s="99" t="s">
        <v>3100</v>
      </c>
      <c r="G183" s="215"/>
      <c r="H183" s="215"/>
      <c r="I183" s="69">
        <v>1.0</v>
      </c>
      <c r="J183" s="222">
        <v>0.0</v>
      </c>
      <c r="K183" s="69">
        <v>0.0</v>
      </c>
      <c r="L183" s="223">
        <f t="shared" si="7"/>
        <v>0</v>
      </c>
      <c r="M183" s="146">
        <f t="shared" si="8"/>
        <v>0</v>
      </c>
      <c r="N183" s="305"/>
      <c r="O183" s="306"/>
      <c r="P183" s="105"/>
      <c r="Q183" s="105"/>
      <c r="R183" s="105"/>
      <c r="S183" s="105"/>
    </row>
    <row r="184">
      <c r="A184" s="198">
        <v>182.0</v>
      </c>
      <c r="B184" s="100">
        <v>35.0</v>
      </c>
      <c r="C184" s="99" t="s">
        <v>3433</v>
      </c>
      <c r="D184" s="307" t="s">
        <v>3434</v>
      </c>
      <c r="E184" s="99" t="s">
        <v>3435</v>
      </c>
      <c r="F184" s="99" t="s">
        <v>3099</v>
      </c>
      <c r="G184" s="228"/>
      <c r="H184" s="228"/>
      <c r="I184" s="69">
        <v>1.0</v>
      </c>
      <c r="J184" s="222">
        <v>0.0</v>
      </c>
      <c r="K184" s="69">
        <v>0.0</v>
      </c>
      <c r="L184" s="223">
        <f t="shared" si="7"/>
        <v>0</v>
      </c>
      <c r="M184" s="146">
        <f t="shared" si="8"/>
        <v>0</v>
      </c>
      <c r="N184" s="305"/>
      <c r="O184" s="306"/>
      <c r="P184" s="105"/>
      <c r="Q184" s="105"/>
      <c r="R184" s="105"/>
      <c r="S184" s="105"/>
    </row>
    <row r="185">
      <c r="A185" s="196">
        <v>183.0</v>
      </c>
      <c r="B185" s="100">
        <v>36.0</v>
      </c>
      <c r="C185" s="99" t="s">
        <v>3436</v>
      </c>
      <c r="D185" s="307" t="s">
        <v>3437</v>
      </c>
      <c r="E185" s="99" t="s">
        <v>3438</v>
      </c>
      <c r="F185" s="260" t="s">
        <v>3100</v>
      </c>
      <c r="G185" s="228"/>
      <c r="H185" s="228"/>
      <c r="I185" s="69">
        <v>1.0</v>
      </c>
      <c r="J185" s="222">
        <v>0.0</v>
      </c>
      <c r="K185" s="69">
        <v>0.0</v>
      </c>
      <c r="L185" s="223">
        <f t="shared" si="7"/>
        <v>0</v>
      </c>
      <c r="M185" s="146">
        <f t="shared" si="8"/>
        <v>0</v>
      </c>
      <c r="N185" s="305"/>
      <c r="O185" s="306"/>
      <c r="P185" s="105"/>
      <c r="Q185" s="105"/>
      <c r="R185" s="105"/>
      <c r="S185" s="105"/>
    </row>
    <row r="186">
      <c r="A186" s="198">
        <v>184.0</v>
      </c>
      <c r="B186" s="106"/>
      <c r="C186" s="309" t="s">
        <v>3101</v>
      </c>
      <c r="D186" s="105"/>
      <c r="E186" s="246">
        <f>COUNTIF(F150:F185,"L")</f>
        <v>15</v>
      </c>
      <c r="F186" s="105"/>
      <c r="G186" s="105"/>
      <c r="H186" s="105"/>
      <c r="I186" s="106"/>
      <c r="J186" s="106"/>
      <c r="K186" s="106"/>
      <c r="L186" s="106"/>
      <c r="M186" s="106"/>
      <c r="N186" s="105"/>
      <c r="O186" s="105"/>
      <c r="P186" s="105"/>
      <c r="Q186" s="105"/>
      <c r="R186" s="105"/>
      <c r="S186" s="105"/>
    </row>
    <row r="187">
      <c r="A187" s="196">
        <v>185.0</v>
      </c>
      <c r="B187" s="106"/>
      <c r="C187" s="309" t="s">
        <v>3102</v>
      </c>
      <c r="D187" s="105"/>
      <c r="E187" s="246">
        <f>COUNTIF(F150:F185,"P")</f>
        <v>21</v>
      </c>
      <c r="F187" s="105"/>
      <c r="G187" s="105"/>
      <c r="H187" s="105"/>
      <c r="I187" s="106"/>
      <c r="J187" s="106"/>
      <c r="K187" s="106"/>
      <c r="L187" s="106"/>
      <c r="M187" s="106"/>
      <c r="N187" s="105"/>
      <c r="O187" s="232"/>
      <c r="P187" s="105"/>
      <c r="Q187" s="105"/>
      <c r="R187" s="105"/>
      <c r="S187" s="105"/>
    </row>
    <row r="188">
      <c r="A188" s="198">
        <v>186.0</v>
      </c>
      <c r="B188" s="106"/>
      <c r="C188" s="309" t="s">
        <v>3104</v>
      </c>
      <c r="D188" s="105"/>
      <c r="E188" s="246">
        <f>SUM(E186:E187)</f>
        <v>36</v>
      </c>
      <c r="F188" s="105"/>
      <c r="G188" s="105"/>
      <c r="H188" s="105"/>
      <c r="I188" s="106"/>
      <c r="J188" s="106"/>
      <c r="K188" s="106"/>
      <c r="L188" s="106"/>
      <c r="M188" s="106"/>
      <c r="N188" s="105"/>
      <c r="O188" s="232"/>
      <c r="P188" s="105"/>
      <c r="Q188" s="105"/>
      <c r="R188" s="105"/>
      <c r="S188" s="105"/>
    </row>
    <row r="189">
      <c r="A189" s="196">
        <v>187.0</v>
      </c>
      <c r="B189" s="197"/>
      <c r="C189" s="189"/>
      <c r="D189" s="189"/>
      <c r="E189" s="189"/>
      <c r="F189" s="189"/>
      <c r="G189" s="189"/>
      <c r="H189" s="189"/>
      <c r="I189" s="197"/>
      <c r="J189" s="197"/>
      <c r="K189" s="197"/>
      <c r="L189" s="197"/>
      <c r="M189" s="197"/>
      <c r="N189" s="189"/>
      <c r="O189" s="189"/>
      <c r="P189" s="105"/>
      <c r="Q189" s="105"/>
      <c r="R189" s="105"/>
      <c r="S189" s="105"/>
    </row>
    <row r="190">
      <c r="A190" s="198">
        <v>188.0</v>
      </c>
      <c r="B190" s="114" t="s">
        <v>3111</v>
      </c>
      <c r="F190" s="287"/>
      <c r="G190" s="287"/>
      <c r="H190" s="287"/>
      <c r="I190" s="114"/>
      <c r="J190" s="114"/>
      <c r="K190" s="114"/>
      <c r="L190" s="114"/>
      <c r="M190" s="114"/>
      <c r="N190" s="287"/>
      <c r="O190" s="287"/>
      <c r="P190" s="105"/>
      <c r="Q190" s="105"/>
      <c r="R190" s="105"/>
      <c r="S190" s="105"/>
    </row>
    <row r="191">
      <c r="A191" s="196">
        <v>189.0</v>
      </c>
      <c r="B191" s="114" t="s">
        <v>3112</v>
      </c>
      <c r="F191" s="287"/>
      <c r="G191" s="287"/>
      <c r="H191" s="287"/>
      <c r="I191" s="114"/>
      <c r="J191" s="114"/>
      <c r="K191" s="114"/>
      <c r="L191" s="114"/>
      <c r="M191" s="114"/>
      <c r="N191" s="287"/>
      <c r="O191" s="287"/>
      <c r="P191" s="105"/>
      <c r="Q191" s="105"/>
      <c r="R191" s="105"/>
      <c r="S191" s="105"/>
    </row>
    <row r="192">
      <c r="A192" s="198">
        <v>190.0</v>
      </c>
      <c r="B192" s="110" t="s">
        <v>3439</v>
      </c>
      <c r="F192" s="310"/>
      <c r="G192" s="310"/>
      <c r="H192" s="310"/>
      <c r="I192" s="110"/>
      <c r="J192" s="110"/>
      <c r="K192" s="110"/>
      <c r="L192" s="110"/>
      <c r="M192" s="110"/>
      <c r="N192" s="310"/>
      <c r="O192" s="310"/>
      <c r="P192" s="105"/>
      <c r="Q192" s="105"/>
      <c r="R192" s="105"/>
      <c r="S192" s="105"/>
    </row>
    <row r="193">
      <c r="A193" s="196">
        <v>191.0</v>
      </c>
      <c r="B193" s="298" t="s">
        <v>3440</v>
      </c>
      <c r="F193" s="200"/>
      <c r="G193" s="200"/>
      <c r="H193" s="200"/>
      <c r="I193" s="93"/>
      <c r="J193" s="93"/>
      <c r="K193" s="93"/>
      <c r="L193" s="93"/>
      <c r="M193" s="93"/>
      <c r="N193" s="200"/>
      <c r="O193" s="200"/>
      <c r="P193" s="105"/>
      <c r="Q193" s="105"/>
      <c r="R193" s="105"/>
      <c r="S193" s="105"/>
    </row>
    <row r="194">
      <c r="A194" s="198">
        <v>192.0</v>
      </c>
      <c r="B194" s="299" t="s">
        <v>1735</v>
      </c>
      <c r="C194" s="299" t="s">
        <v>1737</v>
      </c>
      <c r="D194" s="299" t="s">
        <v>1736</v>
      </c>
      <c r="E194" s="299" t="s">
        <v>1738</v>
      </c>
      <c r="F194" s="262" t="s">
        <v>1815</v>
      </c>
      <c r="G194" s="255"/>
      <c r="H194" s="255"/>
      <c r="I194" s="256" t="s">
        <v>3097</v>
      </c>
      <c r="J194" s="9"/>
      <c r="K194" s="9"/>
      <c r="L194" s="9"/>
      <c r="M194" s="9"/>
      <c r="N194" s="9"/>
      <c r="O194" s="10"/>
      <c r="P194" s="105"/>
      <c r="Q194" s="105"/>
      <c r="R194" s="105"/>
      <c r="S194" s="105"/>
    </row>
    <row r="195">
      <c r="A195" s="196">
        <v>193.0</v>
      </c>
      <c r="B195" s="11"/>
      <c r="C195" s="11"/>
      <c r="D195" s="11"/>
      <c r="E195" s="11"/>
      <c r="F195" s="262"/>
      <c r="G195" s="300"/>
      <c r="H195" s="300" t="s">
        <v>2483</v>
      </c>
      <c r="I195" s="301" t="s">
        <v>3109</v>
      </c>
      <c r="J195" s="302" t="s">
        <v>3095</v>
      </c>
      <c r="K195" s="301" t="s">
        <v>3110</v>
      </c>
      <c r="L195" s="302" t="s">
        <v>3098</v>
      </c>
      <c r="M195" s="303" t="s">
        <v>18</v>
      </c>
      <c r="N195" s="302" t="s">
        <v>2491</v>
      </c>
      <c r="O195" s="304" t="s">
        <v>19</v>
      </c>
      <c r="P195" s="105"/>
      <c r="Q195" s="105"/>
      <c r="R195" s="105"/>
      <c r="S195" s="105"/>
    </row>
    <row r="196">
      <c r="A196" s="198">
        <v>194.0</v>
      </c>
      <c r="B196" s="20"/>
      <c r="C196" s="20"/>
      <c r="D196" s="20"/>
      <c r="E196" s="20"/>
      <c r="F196" s="262"/>
      <c r="G196" s="300"/>
      <c r="H196" s="300"/>
      <c r="I196" s="20"/>
      <c r="J196" s="20"/>
      <c r="K196" s="20"/>
      <c r="L196" s="20"/>
      <c r="M196" s="20"/>
      <c r="N196" s="20"/>
      <c r="O196" s="20"/>
      <c r="P196" s="105"/>
      <c r="Q196" s="105"/>
      <c r="R196" s="105"/>
      <c r="S196" s="105"/>
    </row>
    <row r="197">
      <c r="A197" s="196">
        <v>195.0</v>
      </c>
      <c r="B197" s="100">
        <v>1.0</v>
      </c>
      <c r="C197" s="307" t="s">
        <v>3441</v>
      </c>
      <c r="D197" s="99" t="s">
        <v>3442</v>
      </c>
      <c r="E197" s="99" t="s">
        <v>3443</v>
      </c>
      <c r="F197" s="99" t="s">
        <v>3099</v>
      </c>
      <c r="G197" s="215"/>
      <c r="H197" s="215"/>
      <c r="I197" s="69">
        <v>7.0</v>
      </c>
      <c r="J197" s="223">
        <f>iferror(vlookup(E197,MasterClass!$C$2:$G1001,5,false),"")</f>
        <v>1</v>
      </c>
      <c r="K197" s="69">
        <v>3.0</v>
      </c>
      <c r="L197" s="223">
        <f t="shared" ref="L197:L232" si="9">K197+J197</f>
        <v>4</v>
      </c>
      <c r="M197" s="146">
        <f t="shared" ref="M197:M232" si="10">(K197+J197)/(I197+1)</f>
        <v>0.5</v>
      </c>
      <c r="N197" s="215" t="s">
        <v>2508</v>
      </c>
      <c r="O197" s="311"/>
      <c r="P197" s="105"/>
      <c r="Q197" s="105"/>
      <c r="R197" s="105"/>
      <c r="S197" s="105"/>
    </row>
    <row r="198">
      <c r="A198" s="198">
        <v>196.0</v>
      </c>
      <c r="B198" s="100">
        <v>2.0</v>
      </c>
      <c r="C198" s="99" t="s">
        <v>3444</v>
      </c>
      <c r="D198" s="99" t="s">
        <v>3445</v>
      </c>
      <c r="E198" s="99" t="s">
        <v>3446</v>
      </c>
      <c r="F198" s="99" t="s">
        <v>3100</v>
      </c>
      <c r="G198" s="215"/>
      <c r="H198" s="215"/>
      <c r="I198" s="69">
        <v>1.0</v>
      </c>
      <c r="J198" s="222">
        <v>0.0</v>
      </c>
      <c r="K198" s="69">
        <v>0.0</v>
      </c>
      <c r="L198" s="223">
        <f t="shared" si="9"/>
        <v>0</v>
      </c>
      <c r="M198" s="146">
        <f t="shared" si="10"/>
        <v>0</v>
      </c>
      <c r="N198" s="305"/>
      <c r="O198" s="306"/>
      <c r="P198" s="105"/>
      <c r="Q198" s="105"/>
      <c r="R198" s="105"/>
      <c r="S198" s="105"/>
    </row>
    <row r="199">
      <c r="A199" s="196">
        <v>197.0</v>
      </c>
      <c r="B199" s="100">
        <v>3.0</v>
      </c>
      <c r="C199" s="99" t="s">
        <v>3447</v>
      </c>
      <c r="D199" s="307" t="s">
        <v>3448</v>
      </c>
      <c r="E199" s="99" t="s">
        <v>3449</v>
      </c>
      <c r="F199" s="99" t="s">
        <v>3100</v>
      </c>
      <c r="G199" s="215"/>
      <c r="H199" s="215"/>
      <c r="I199" s="69">
        <v>1.0</v>
      </c>
      <c r="J199" s="222">
        <v>0.0</v>
      </c>
      <c r="K199" s="69">
        <v>0.0</v>
      </c>
      <c r="L199" s="223">
        <f t="shared" si="9"/>
        <v>0</v>
      </c>
      <c r="M199" s="146">
        <f t="shared" si="10"/>
        <v>0</v>
      </c>
      <c r="N199" s="305"/>
      <c r="O199" s="306"/>
      <c r="P199" s="105"/>
      <c r="Q199" s="105"/>
      <c r="R199" s="105"/>
      <c r="S199" s="105"/>
    </row>
    <row r="200">
      <c r="A200" s="198">
        <v>198.0</v>
      </c>
      <c r="B200" s="100">
        <v>4.0</v>
      </c>
      <c r="C200" s="99" t="s">
        <v>3450</v>
      </c>
      <c r="D200" s="99" t="s">
        <v>3451</v>
      </c>
      <c r="E200" s="99" t="s">
        <v>3452</v>
      </c>
      <c r="F200" s="99" t="s">
        <v>3099</v>
      </c>
      <c r="G200" s="215"/>
      <c r="H200" s="215"/>
      <c r="I200" s="69">
        <v>1.0</v>
      </c>
      <c r="J200" s="222">
        <v>0.0</v>
      </c>
      <c r="K200" s="69">
        <v>0.0</v>
      </c>
      <c r="L200" s="223">
        <f t="shared" si="9"/>
        <v>0</v>
      </c>
      <c r="M200" s="146">
        <f t="shared" si="10"/>
        <v>0</v>
      </c>
      <c r="N200" s="305"/>
      <c r="O200" s="306"/>
      <c r="P200" s="105"/>
      <c r="Q200" s="105"/>
      <c r="R200" s="105"/>
      <c r="S200" s="105"/>
    </row>
    <row r="201">
      <c r="A201" s="196">
        <v>199.0</v>
      </c>
      <c r="B201" s="100">
        <v>5.0</v>
      </c>
      <c r="C201" s="99" t="s">
        <v>3453</v>
      </c>
      <c r="D201" s="307" t="s">
        <v>3454</v>
      </c>
      <c r="E201" s="99" t="s">
        <v>3455</v>
      </c>
      <c r="F201" s="99" t="s">
        <v>3100</v>
      </c>
      <c r="G201" s="215"/>
      <c r="H201" s="215"/>
      <c r="I201" s="69">
        <v>1.0</v>
      </c>
      <c r="J201" s="222">
        <v>0.0</v>
      </c>
      <c r="K201" s="69">
        <v>0.0</v>
      </c>
      <c r="L201" s="223">
        <f t="shared" si="9"/>
        <v>0</v>
      </c>
      <c r="M201" s="146">
        <f t="shared" si="10"/>
        <v>0</v>
      </c>
      <c r="N201" s="305"/>
      <c r="O201" s="306"/>
      <c r="P201" s="105"/>
      <c r="Q201" s="105"/>
      <c r="R201" s="105"/>
      <c r="S201" s="105"/>
    </row>
    <row r="202">
      <c r="A202" s="198">
        <v>200.0</v>
      </c>
      <c r="B202" s="100">
        <v>6.0</v>
      </c>
      <c r="C202" s="99" t="s">
        <v>3456</v>
      </c>
      <c r="D202" s="99" t="s">
        <v>3457</v>
      </c>
      <c r="E202" s="99" t="s">
        <v>3458</v>
      </c>
      <c r="F202" s="99" t="s">
        <v>3099</v>
      </c>
      <c r="G202" s="215"/>
      <c r="H202" s="215"/>
      <c r="I202" s="69">
        <v>1.0</v>
      </c>
      <c r="J202" s="222">
        <v>0.0</v>
      </c>
      <c r="K202" s="69">
        <v>0.0</v>
      </c>
      <c r="L202" s="223">
        <f t="shared" si="9"/>
        <v>0</v>
      </c>
      <c r="M202" s="146">
        <f t="shared" si="10"/>
        <v>0</v>
      </c>
      <c r="N202" s="305"/>
      <c r="O202" s="306"/>
      <c r="P202" s="105"/>
      <c r="Q202" s="105"/>
      <c r="R202" s="105"/>
      <c r="S202" s="105"/>
    </row>
    <row r="203">
      <c r="A203" s="196">
        <v>201.0</v>
      </c>
      <c r="B203" s="100">
        <v>7.0</v>
      </c>
      <c r="C203" s="99" t="s">
        <v>3459</v>
      </c>
      <c r="D203" s="99" t="s">
        <v>3460</v>
      </c>
      <c r="E203" s="99" t="s">
        <v>3461</v>
      </c>
      <c r="F203" s="99" t="s">
        <v>3100</v>
      </c>
      <c r="G203" s="215"/>
      <c r="H203" s="215"/>
      <c r="I203" s="69">
        <v>1.0</v>
      </c>
      <c r="J203" s="222">
        <v>0.0</v>
      </c>
      <c r="K203" s="69">
        <v>0.0</v>
      </c>
      <c r="L203" s="223">
        <f t="shared" si="9"/>
        <v>0</v>
      </c>
      <c r="M203" s="146">
        <f t="shared" si="10"/>
        <v>0</v>
      </c>
      <c r="N203" s="305"/>
      <c r="O203" s="306"/>
      <c r="P203" s="105"/>
      <c r="Q203" s="105"/>
      <c r="R203" s="105"/>
      <c r="S203" s="105"/>
    </row>
    <row r="204">
      <c r="A204" s="198">
        <v>202.0</v>
      </c>
      <c r="B204" s="100">
        <v>8.0</v>
      </c>
      <c r="C204" s="99" t="s">
        <v>3462</v>
      </c>
      <c r="D204" s="99" t="s">
        <v>3463</v>
      </c>
      <c r="E204" s="99" t="s">
        <v>3464</v>
      </c>
      <c r="F204" s="99" t="s">
        <v>3099</v>
      </c>
      <c r="G204" s="215"/>
      <c r="H204" s="215"/>
      <c r="I204" s="69">
        <v>1.0</v>
      </c>
      <c r="J204" s="222">
        <v>0.0</v>
      </c>
      <c r="K204" s="69">
        <v>0.0</v>
      </c>
      <c r="L204" s="223">
        <f t="shared" si="9"/>
        <v>0</v>
      </c>
      <c r="M204" s="146">
        <f t="shared" si="10"/>
        <v>0</v>
      </c>
      <c r="N204" s="305"/>
      <c r="O204" s="306"/>
      <c r="P204" s="105"/>
      <c r="Q204" s="105"/>
      <c r="R204" s="105"/>
      <c r="S204" s="105"/>
    </row>
    <row r="205">
      <c r="A205" s="196">
        <v>203.0</v>
      </c>
      <c r="B205" s="100">
        <v>9.0</v>
      </c>
      <c r="C205" s="99" t="s">
        <v>3465</v>
      </c>
      <c r="D205" s="99" t="s">
        <v>3466</v>
      </c>
      <c r="E205" s="99" t="s">
        <v>3467</v>
      </c>
      <c r="F205" s="99" t="s">
        <v>3099</v>
      </c>
      <c r="G205" s="215"/>
      <c r="H205" s="215"/>
      <c r="I205" s="69">
        <v>1.0</v>
      </c>
      <c r="J205" s="222">
        <v>0.0</v>
      </c>
      <c r="K205" s="69">
        <v>0.0</v>
      </c>
      <c r="L205" s="223">
        <f t="shared" si="9"/>
        <v>0</v>
      </c>
      <c r="M205" s="146">
        <f t="shared" si="10"/>
        <v>0</v>
      </c>
      <c r="N205" s="305"/>
      <c r="O205" s="306"/>
      <c r="P205" s="105"/>
      <c r="Q205" s="105"/>
      <c r="R205" s="105"/>
      <c r="S205" s="105"/>
    </row>
    <row r="206">
      <c r="A206" s="198">
        <v>204.0</v>
      </c>
      <c r="B206" s="100">
        <v>10.0</v>
      </c>
      <c r="C206" s="99" t="s">
        <v>3468</v>
      </c>
      <c r="D206" s="99" t="s">
        <v>3469</v>
      </c>
      <c r="E206" s="99" t="s">
        <v>3470</v>
      </c>
      <c r="F206" s="99" t="s">
        <v>3099</v>
      </c>
      <c r="G206" s="215"/>
      <c r="H206" s="215"/>
      <c r="I206" s="69">
        <v>1.0</v>
      </c>
      <c r="J206" s="222">
        <v>0.0</v>
      </c>
      <c r="K206" s="69">
        <v>0.0</v>
      </c>
      <c r="L206" s="223">
        <f t="shared" si="9"/>
        <v>0</v>
      </c>
      <c r="M206" s="146">
        <f t="shared" si="10"/>
        <v>0</v>
      </c>
      <c r="N206" s="305"/>
      <c r="O206" s="306"/>
      <c r="P206" s="105"/>
      <c r="Q206" s="105"/>
      <c r="R206" s="105"/>
      <c r="S206" s="105"/>
    </row>
    <row r="207">
      <c r="A207" s="196">
        <v>205.0</v>
      </c>
      <c r="B207" s="100">
        <v>11.0</v>
      </c>
      <c r="C207" s="99" t="s">
        <v>3471</v>
      </c>
      <c r="D207" s="99" t="s">
        <v>3472</v>
      </c>
      <c r="E207" s="99" t="s">
        <v>3473</v>
      </c>
      <c r="F207" s="99" t="s">
        <v>3099</v>
      </c>
      <c r="G207" s="215"/>
      <c r="H207" s="215"/>
      <c r="I207" s="69">
        <v>1.0</v>
      </c>
      <c r="J207" s="222">
        <v>0.0</v>
      </c>
      <c r="K207" s="69">
        <v>0.0</v>
      </c>
      <c r="L207" s="223">
        <f t="shared" si="9"/>
        <v>0</v>
      </c>
      <c r="M207" s="146">
        <f t="shared" si="10"/>
        <v>0</v>
      </c>
      <c r="N207" s="305"/>
      <c r="O207" s="306"/>
      <c r="P207" s="105"/>
      <c r="Q207" s="105"/>
      <c r="R207" s="105"/>
      <c r="S207" s="105"/>
    </row>
    <row r="208">
      <c r="A208" s="198">
        <v>206.0</v>
      </c>
      <c r="B208" s="100">
        <v>12.0</v>
      </c>
      <c r="C208" s="99" t="s">
        <v>3474</v>
      </c>
      <c r="D208" s="307" t="s">
        <v>3475</v>
      </c>
      <c r="E208" s="99" t="s">
        <v>3476</v>
      </c>
      <c r="F208" s="99" t="s">
        <v>3099</v>
      </c>
      <c r="G208" s="215"/>
      <c r="H208" s="215"/>
      <c r="I208" s="69">
        <v>1.0</v>
      </c>
      <c r="J208" s="222">
        <v>0.0</v>
      </c>
      <c r="K208" s="69">
        <v>0.0</v>
      </c>
      <c r="L208" s="223">
        <f t="shared" si="9"/>
        <v>0</v>
      </c>
      <c r="M208" s="146">
        <f t="shared" si="10"/>
        <v>0</v>
      </c>
      <c r="N208" s="305"/>
      <c r="O208" s="306"/>
      <c r="P208" s="105"/>
      <c r="Q208" s="105"/>
      <c r="R208" s="105"/>
      <c r="S208" s="105"/>
    </row>
    <row r="209">
      <c r="A209" s="196">
        <v>207.0</v>
      </c>
      <c r="B209" s="100">
        <v>13.0</v>
      </c>
      <c r="C209" s="99" t="s">
        <v>3477</v>
      </c>
      <c r="D209" s="99" t="s">
        <v>3478</v>
      </c>
      <c r="E209" s="99" t="s">
        <v>3479</v>
      </c>
      <c r="F209" s="99" t="s">
        <v>3100</v>
      </c>
      <c r="G209" s="215"/>
      <c r="H209" s="215"/>
      <c r="I209" s="69">
        <v>1.0</v>
      </c>
      <c r="J209" s="222">
        <v>0.0</v>
      </c>
      <c r="K209" s="69">
        <v>0.0</v>
      </c>
      <c r="L209" s="223">
        <f t="shared" si="9"/>
        <v>0</v>
      </c>
      <c r="M209" s="146">
        <f t="shared" si="10"/>
        <v>0</v>
      </c>
      <c r="N209" s="305"/>
      <c r="O209" s="306"/>
      <c r="P209" s="105"/>
      <c r="Q209" s="105"/>
      <c r="R209" s="105"/>
      <c r="S209" s="105"/>
    </row>
    <row r="210">
      <c r="A210" s="198">
        <v>208.0</v>
      </c>
      <c r="B210" s="100">
        <v>14.0</v>
      </c>
      <c r="C210" s="99" t="s">
        <v>3480</v>
      </c>
      <c r="D210" s="99" t="s">
        <v>3481</v>
      </c>
      <c r="E210" s="99" t="s">
        <v>3482</v>
      </c>
      <c r="F210" s="99" t="s">
        <v>3099</v>
      </c>
      <c r="G210" s="215"/>
      <c r="H210" s="215"/>
      <c r="I210" s="69">
        <v>1.0</v>
      </c>
      <c r="J210" s="222">
        <v>0.0</v>
      </c>
      <c r="K210" s="69">
        <v>0.0</v>
      </c>
      <c r="L210" s="223">
        <f t="shared" si="9"/>
        <v>0</v>
      </c>
      <c r="M210" s="146">
        <f t="shared" si="10"/>
        <v>0</v>
      </c>
      <c r="N210" s="305"/>
      <c r="O210" s="306"/>
      <c r="P210" s="105"/>
      <c r="Q210" s="105"/>
      <c r="R210" s="105"/>
      <c r="S210" s="105"/>
    </row>
    <row r="211">
      <c r="A211" s="196">
        <v>209.0</v>
      </c>
      <c r="B211" s="100">
        <v>15.0</v>
      </c>
      <c r="C211" s="99" t="s">
        <v>3483</v>
      </c>
      <c r="D211" s="99" t="s">
        <v>3484</v>
      </c>
      <c r="E211" s="99" t="s">
        <v>3485</v>
      </c>
      <c r="F211" s="99" t="s">
        <v>3099</v>
      </c>
      <c r="G211" s="215"/>
      <c r="H211" s="215"/>
      <c r="I211" s="69">
        <v>1.0</v>
      </c>
      <c r="J211" s="222">
        <v>0.0</v>
      </c>
      <c r="K211" s="69">
        <v>0.0</v>
      </c>
      <c r="L211" s="223">
        <f t="shared" si="9"/>
        <v>0</v>
      </c>
      <c r="M211" s="146">
        <f t="shared" si="10"/>
        <v>0</v>
      </c>
      <c r="N211" s="305"/>
      <c r="O211" s="306"/>
      <c r="P211" s="105"/>
      <c r="Q211" s="105"/>
      <c r="R211" s="105"/>
      <c r="S211" s="105"/>
    </row>
    <row r="212">
      <c r="A212" s="198">
        <v>210.0</v>
      </c>
      <c r="B212" s="100">
        <v>16.0</v>
      </c>
      <c r="C212" s="99" t="s">
        <v>3486</v>
      </c>
      <c r="D212" s="307" t="s">
        <v>3487</v>
      </c>
      <c r="E212" s="99" t="s">
        <v>3488</v>
      </c>
      <c r="F212" s="99" t="s">
        <v>3099</v>
      </c>
      <c r="G212" s="215"/>
      <c r="H212" s="215"/>
      <c r="I212" s="69">
        <v>1.0</v>
      </c>
      <c r="J212" s="222">
        <v>0.0</v>
      </c>
      <c r="K212" s="69">
        <v>0.0</v>
      </c>
      <c r="L212" s="223">
        <f t="shared" si="9"/>
        <v>0</v>
      </c>
      <c r="M212" s="146">
        <f t="shared" si="10"/>
        <v>0</v>
      </c>
      <c r="N212" s="305"/>
      <c r="O212" s="306"/>
      <c r="P212" s="105"/>
      <c r="Q212" s="105"/>
      <c r="R212" s="105"/>
      <c r="S212" s="105"/>
    </row>
    <row r="213">
      <c r="A213" s="196">
        <v>211.0</v>
      </c>
      <c r="B213" s="100">
        <v>17.0</v>
      </c>
      <c r="C213" s="99" t="s">
        <v>3489</v>
      </c>
      <c r="D213" s="99" t="s">
        <v>3490</v>
      </c>
      <c r="E213" s="99" t="s">
        <v>3491</v>
      </c>
      <c r="F213" s="99" t="s">
        <v>3100</v>
      </c>
      <c r="G213" s="215"/>
      <c r="H213" s="215"/>
      <c r="I213" s="69">
        <v>1.0</v>
      </c>
      <c r="J213" s="222">
        <v>0.0</v>
      </c>
      <c r="K213" s="69">
        <v>0.0</v>
      </c>
      <c r="L213" s="223">
        <f t="shared" si="9"/>
        <v>0</v>
      </c>
      <c r="M213" s="146">
        <f t="shared" si="10"/>
        <v>0</v>
      </c>
      <c r="N213" s="305"/>
      <c r="O213" s="306"/>
      <c r="P213" s="105"/>
      <c r="Q213" s="105"/>
      <c r="R213" s="105"/>
      <c r="S213" s="105"/>
    </row>
    <row r="214">
      <c r="A214" s="198">
        <v>212.0</v>
      </c>
      <c r="B214" s="100">
        <v>18.0</v>
      </c>
      <c r="C214" s="99" t="s">
        <v>3492</v>
      </c>
      <c r="D214" s="307" t="s">
        <v>3493</v>
      </c>
      <c r="E214" s="99" t="s">
        <v>3494</v>
      </c>
      <c r="F214" s="99" t="s">
        <v>3100</v>
      </c>
      <c r="G214" s="215"/>
      <c r="H214" s="215"/>
      <c r="I214" s="69">
        <v>1.0</v>
      </c>
      <c r="J214" s="222">
        <v>0.0</v>
      </c>
      <c r="K214" s="69">
        <v>0.0</v>
      </c>
      <c r="L214" s="223">
        <f t="shared" si="9"/>
        <v>0</v>
      </c>
      <c r="M214" s="146">
        <f t="shared" si="10"/>
        <v>0</v>
      </c>
      <c r="N214" s="305"/>
      <c r="O214" s="306"/>
      <c r="P214" s="105"/>
      <c r="Q214" s="105"/>
      <c r="R214" s="105"/>
      <c r="S214" s="105"/>
    </row>
    <row r="215">
      <c r="A215" s="196">
        <v>213.0</v>
      </c>
      <c r="B215" s="100">
        <v>19.0</v>
      </c>
      <c r="C215" s="99" t="s">
        <v>3495</v>
      </c>
      <c r="D215" s="307" t="s">
        <v>3496</v>
      </c>
      <c r="E215" s="99" t="s">
        <v>3497</v>
      </c>
      <c r="F215" s="99" t="s">
        <v>3100</v>
      </c>
      <c r="G215" s="215"/>
      <c r="H215" s="215"/>
      <c r="I215" s="69">
        <v>1.0</v>
      </c>
      <c r="J215" s="222">
        <v>0.0</v>
      </c>
      <c r="K215" s="69">
        <v>0.0</v>
      </c>
      <c r="L215" s="223">
        <f t="shared" si="9"/>
        <v>0</v>
      </c>
      <c r="M215" s="146">
        <f t="shared" si="10"/>
        <v>0</v>
      </c>
      <c r="N215" s="305"/>
      <c r="O215" s="306"/>
      <c r="P215" s="105"/>
      <c r="Q215" s="105"/>
      <c r="R215" s="105"/>
      <c r="S215" s="105"/>
    </row>
    <row r="216">
      <c r="A216" s="198">
        <v>214.0</v>
      </c>
      <c r="B216" s="100">
        <v>20.0</v>
      </c>
      <c r="C216" s="99" t="s">
        <v>3498</v>
      </c>
      <c r="D216" s="99" t="s">
        <v>3499</v>
      </c>
      <c r="E216" s="99" t="s">
        <v>3500</v>
      </c>
      <c r="F216" s="99" t="s">
        <v>3100</v>
      </c>
      <c r="G216" s="215"/>
      <c r="H216" s="215"/>
      <c r="I216" s="69">
        <v>1.0</v>
      </c>
      <c r="J216" s="222">
        <v>0.0</v>
      </c>
      <c r="K216" s="69">
        <v>0.0</v>
      </c>
      <c r="L216" s="223">
        <f t="shared" si="9"/>
        <v>0</v>
      </c>
      <c r="M216" s="146">
        <f t="shared" si="10"/>
        <v>0</v>
      </c>
      <c r="N216" s="305"/>
      <c r="O216" s="306"/>
      <c r="P216" s="105"/>
      <c r="Q216" s="105"/>
      <c r="R216" s="105"/>
      <c r="S216" s="105"/>
    </row>
    <row r="217">
      <c r="A217" s="196">
        <v>215.0</v>
      </c>
      <c r="B217" s="100">
        <v>21.0</v>
      </c>
      <c r="C217" s="99" t="s">
        <v>3501</v>
      </c>
      <c r="D217" s="307" t="s">
        <v>3502</v>
      </c>
      <c r="E217" s="99" t="s">
        <v>3503</v>
      </c>
      <c r="F217" s="99" t="s">
        <v>3099</v>
      </c>
      <c r="G217" s="215"/>
      <c r="H217" s="215"/>
      <c r="I217" s="69">
        <v>1.0</v>
      </c>
      <c r="J217" s="222">
        <v>0.0</v>
      </c>
      <c r="K217" s="69">
        <v>0.0</v>
      </c>
      <c r="L217" s="223">
        <f t="shared" si="9"/>
        <v>0</v>
      </c>
      <c r="M217" s="146">
        <f t="shared" si="10"/>
        <v>0</v>
      </c>
      <c r="N217" s="305"/>
      <c r="O217" s="306"/>
      <c r="P217" s="105"/>
      <c r="Q217" s="105"/>
      <c r="R217" s="105"/>
      <c r="S217" s="105"/>
    </row>
    <row r="218">
      <c r="A218" s="198">
        <v>216.0</v>
      </c>
      <c r="B218" s="100">
        <v>22.0</v>
      </c>
      <c r="C218" s="99">
        <v>2.32410212E8</v>
      </c>
      <c r="D218" s="307" t="s">
        <v>3504</v>
      </c>
      <c r="E218" s="99" t="s">
        <v>3505</v>
      </c>
      <c r="F218" s="99" t="s">
        <v>3099</v>
      </c>
      <c r="G218" s="215"/>
      <c r="H218" s="215"/>
      <c r="I218" s="69">
        <v>1.0</v>
      </c>
      <c r="J218" s="222">
        <v>0.0</v>
      </c>
      <c r="K218" s="69">
        <v>0.0</v>
      </c>
      <c r="L218" s="223">
        <f t="shared" si="9"/>
        <v>0</v>
      </c>
      <c r="M218" s="146">
        <f t="shared" si="10"/>
        <v>0</v>
      </c>
      <c r="N218" s="305"/>
      <c r="O218" s="306"/>
      <c r="P218" s="105"/>
      <c r="Q218" s="105"/>
      <c r="R218" s="105"/>
      <c r="S218" s="105"/>
    </row>
    <row r="219">
      <c r="A219" s="196">
        <v>217.0</v>
      </c>
      <c r="B219" s="100">
        <v>23.0</v>
      </c>
      <c r="C219" s="99">
        <v>2.32410231E8</v>
      </c>
      <c r="D219" s="307" t="s">
        <v>3506</v>
      </c>
      <c r="E219" s="99" t="s">
        <v>3507</v>
      </c>
      <c r="F219" s="99" t="s">
        <v>3099</v>
      </c>
      <c r="G219" s="215"/>
      <c r="H219" s="215"/>
      <c r="I219" s="69">
        <v>1.0</v>
      </c>
      <c r="J219" s="222">
        <v>0.0</v>
      </c>
      <c r="K219" s="69">
        <v>0.0</v>
      </c>
      <c r="L219" s="223">
        <f t="shared" si="9"/>
        <v>0</v>
      </c>
      <c r="M219" s="146">
        <f t="shared" si="10"/>
        <v>0</v>
      </c>
      <c r="N219" s="305"/>
      <c r="O219" s="306"/>
      <c r="P219" s="105"/>
      <c r="Q219" s="105"/>
      <c r="R219" s="105"/>
      <c r="S219" s="105"/>
    </row>
    <row r="220">
      <c r="A220" s="198">
        <v>218.0</v>
      </c>
      <c r="B220" s="100">
        <v>24.0</v>
      </c>
      <c r="C220" s="99" t="s">
        <v>3508</v>
      </c>
      <c r="D220" s="99" t="s">
        <v>3509</v>
      </c>
      <c r="E220" s="99" t="s">
        <v>3510</v>
      </c>
      <c r="F220" s="99" t="s">
        <v>3099</v>
      </c>
      <c r="G220" s="215"/>
      <c r="H220" s="215"/>
      <c r="I220" s="69">
        <v>1.0</v>
      </c>
      <c r="J220" s="222">
        <v>0.0</v>
      </c>
      <c r="K220" s="69">
        <v>0.0</v>
      </c>
      <c r="L220" s="223">
        <f t="shared" si="9"/>
        <v>0</v>
      </c>
      <c r="M220" s="146">
        <f t="shared" si="10"/>
        <v>0</v>
      </c>
      <c r="N220" s="305"/>
      <c r="O220" s="306"/>
      <c r="P220" s="105"/>
      <c r="Q220" s="105"/>
      <c r="R220" s="105"/>
      <c r="S220" s="105"/>
    </row>
    <row r="221">
      <c r="A221" s="196">
        <v>219.0</v>
      </c>
      <c r="B221" s="100">
        <v>25.0</v>
      </c>
      <c r="C221" s="99" t="s">
        <v>3511</v>
      </c>
      <c r="D221" s="99" t="s">
        <v>3512</v>
      </c>
      <c r="E221" s="99" t="s">
        <v>3513</v>
      </c>
      <c r="F221" s="99" t="s">
        <v>3099</v>
      </c>
      <c r="G221" s="215"/>
      <c r="H221" s="215"/>
      <c r="I221" s="69">
        <v>1.0</v>
      </c>
      <c r="J221" s="222">
        <v>0.0</v>
      </c>
      <c r="K221" s="69">
        <v>0.0</v>
      </c>
      <c r="L221" s="223">
        <f t="shared" si="9"/>
        <v>0</v>
      </c>
      <c r="M221" s="146">
        <f t="shared" si="10"/>
        <v>0</v>
      </c>
      <c r="N221" s="305"/>
      <c r="O221" s="306"/>
      <c r="P221" s="105"/>
      <c r="Q221" s="105"/>
      <c r="R221" s="105"/>
      <c r="S221" s="105"/>
    </row>
    <row r="222">
      <c r="A222" s="198">
        <v>220.0</v>
      </c>
      <c r="B222" s="100">
        <v>26.0</v>
      </c>
      <c r="C222" s="99" t="s">
        <v>3514</v>
      </c>
      <c r="D222" s="99" t="s">
        <v>3515</v>
      </c>
      <c r="E222" s="99" t="s">
        <v>3516</v>
      </c>
      <c r="F222" s="99" t="s">
        <v>3099</v>
      </c>
      <c r="G222" s="215"/>
      <c r="H222" s="215"/>
      <c r="I222" s="69">
        <v>1.0</v>
      </c>
      <c r="J222" s="222">
        <v>1.0</v>
      </c>
      <c r="K222" s="69">
        <v>0.0</v>
      </c>
      <c r="L222" s="223">
        <f t="shared" si="9"/>
        <v>1</v>
      </c>
      <c r="M222" s="146">
        <f t="shared" si="10"/>
        <v>0.5</v>
      </c>
      <c r="N222" s="305"/>
      <c r="O222" s="306"/>
      <c r="P222" s="105"/>
      <c r="Q222" s="105"/>
      <c r="R222" s="105"/>
      <c r="S222" s="105"/>
    </row>
    <row r="223">
      <c r="A223" s="196">
        <v>221.0</v>
      </c>
      <c r="B223" s="100">
        <v>27.0</v>
      </c>
      <c r="C223" s="99">
        <v>2.32410441E8</v>
      </c>
      <c r="D223" s="307" t="s">
        <v>3517</v>
      </c>
      <c r="E223" s="99" t="s">
        <v>3518</v>
      </c>
      <c r="F223" s="99" t="s">
        <v>3099</v>
      </c>
      <c r="G223" s="215"/>
      <c r="H223" s="215"/>
      <c r="I223" s="69">
        <v>1.0</v>
      </c>
      <c r="J223" s="222">
        <v>0.0</v>
      </c>
      <c r="K223" s="69">
        <v>0.0</v>
      </c>
      <c r="L223" s="223">
        <f t="shared" si="9"/>
        <v>0</v>
      </c>
      <c r="M223" s="146">
        <f t="shared" si="10"/>
        <v>0</v>
      </c>
      <c r="N223" s="305"/>
      <c r="O223" s="306"/>
      <c r="P223" s="105"/>
      <c r="Q223" s="105"/>
      <c r="R223" s="105"/>
      <c r="S223" s="105"/>
    </row>
    <row r="224">
      <c r="A224" s="198">
        <v>222.0</v>
      </c>
      <c r="B224" s="100">
        <v>28.0</v>
      </c>
      <c r="C224" s="99" t="s">
        <v>3519</v>
      </c>
      <c r="D224" s="99" t="s">
        <v>3520</v>
      </c>
      <c r="E224" s="99" t="s">
        <v>3521</v>
      </c>
      <c r="F224" s="99" t="s">
        <v>3100</v>
      </c>
      <c r="G224" s="215"/>
      <c r="H224" s="215"/>
      <c r="I224" s="69">
        <v>1.0</v>
      </c>
      <c r="J224" s="222">
        <v>0.0</v>
      </c>
      <c r="K224" s="69">
        <v>0.0</v>
      </c>
      <c r="L224" s="223">
        <f t="shared" si="9"/>
        <v>0</v>
      </c>
      <c r="M224" s="146">
        <f t="shared" si="10"/>
        <v>0</v>
      </c>
      <c r="N224" s="305"/>
      <c r="O224" s="306"/>
      <c r="P224" s="105"/>
      <c r="Q224" s="105"/>
      <c r="R224" s="105"/>
      <c r="S224" s="105"/>
    </row>
    <row r="225">
      <c r="A225" s="196">
        <v>223.0</v>
      </c>
      <c r="B225" s="100">
        <v>29.0</v>
      </c>
      <c r="C225" s="99" t="s">
        <v>3522</v>
      </c>
      <c r="D225" s="307" t="s">
        <v>3523</v>
      </c>
      <c r="E225" s="99" t="s">
        <v>3524</v>
      </c>
      <c r="F225" s="99" t="s">
        <v>3099</v>
      </c>
      <c r="G225" s="215"/>
      <c r="H225" s="215"/>
      <c r="I225" s="69">
        <v>1.0</v>
      </c>
      <c r="J225" s="222">
        <v>0.0</v>
      </c>
      <c r="K225" s="69">
        <v>0.0</v>
      </c>
      <c r="L225" s="223">
        <f t="shared" si="9"/>
        <v>0</v>
      </c>
      <c r="M225" s="146">
        <f t="shared" si="10"/>
        <v>0</v>
      </c>
      <c r="N225" s="305"/>
      <c r="O225" s="306"/>
      <c r="P225" s="105"/>
      <c r="Q225" s="105"/>
      <c r="R225" s="105"/>
      <c r="S225" s="105"/>
    </row>
    <row r="226">
      <c r="A226" s="198">
        <v>224.0</v>
      </c>
      <c r="B226" s="100">
        <v>30.0</v>
      </c>
      <c r="C226" s="99" t="s">
        <v>3525</v>
      </c>
      <c r="D226" s="99" t="s">
        <v>3526</v>
      </c>
      <c r="E226" s="99" t="s">
        <v>3527</v>
      </c>
      <c r="F226" s="99" t="s">
        <v>3099</v>
      </c>
      <c r="G226" s="215"/>
      <c r="H226" s="215"/>
      <c r="I226" s="69">
        <v>1.0</v>
      </c>
      <c r="J226" s="222">
        <v>0.0</v>
      </c>
      <c r="K226" s="69">
        <v>0.0</v>
      </c>
      <c r="L226" s="223">
        <f t="shared" si="9"/>
        <v>0</v>
      </c>
      <c r="M226" s="146">
        <f t="shared" si="10"/>
        <v>0</v>
      </c>
      <c r="N226" s="305"/>
      <c r="O226" s="306"/>
      <c r="P226" s="105"/>
      <c r="Q226" s="105"/>
      <c r="R226" s="105"/>
      <c r="S226" s="105"/>
    </row>
    <row r="227">
      <c r="A227" s="196">
        <v>225.0</v>
      </c>
      <c r="B227" s="100">
        <v>31.0</v>
      </c>
      <c r="C227" s="99" t="s">
        <v>3528</v>
      </c>
      <c r="D227" s="307" t="s">
        <v>3529</v>
      </c>
      <c r="E227" s="99" t="s">
        <v>3530</v>
      </c>
      <c r="F227" s="99" t="s">
        <v>3100</v>
      </c>
      <c r="G227" s="215"/>
      <c r="H227" s="215"/>
      <c r="I227" s="69">
        <v>1.0</v>
      </c>
      <c r="J227" s="222">
        <v>0.0</v>
      </c>
      <c r="K227" s="69">
        <v>0.0</v>
      </c>
      <c r="L227" s="223">
        <f t="shared" si="9"/>
        <v>0</v>
      </c>
      <c r="M227" s="146">
        <f t="shared" si="10"/>
        <v>0</v>
      </c>
      <c r="N227" s="305"/>
      <c r="O227" s="306"/>
      <c r="P227" s="105"/>
      <c r="Q227" s="105"/>
      <c r="R227" s="105"/>
      <c r="S227" s="105"/>
    </row>
    <row r="228">
      <c r="A228" s="198">
        <v>226.0</v>
      </c>
      <c r="B228" s="100">
        <v>32.0</v>
      </c>
      <c r="C228" s="99" t="s">
        <v>3531</v>
      </c>
      <c r="D228" s="99" t="s">
        <v>3532</v>
      </c>
      <c r="E228" s="99" t="s">
        <v>3533</v>
      </c>
      <c r="F228" s="99" t="s">
        <v>3100</v>
      </c>
      <c r="G228" s="215"/>
      <c r="H228" s="215"/>
      <c r="I228" s="69">
        <v>1.0</v>
      </c>
      <c r="J228" s="222">
        <v>0.0</v>
      </c>
      <c r="K228" s="69">
        <v>0.0</v>
      </c>
      <c r="L228" s="223">
        <f t="shared" si="9"/>
        <v>0</v>
      </c>
      <c r="M228" s="146">
        <f t="shared" si="10"/>
        <v>0</v>
      </c>
      <c r="N228" s="305"/>
      <c r="O228" s="306"/>
      <c r="P228" s="105"/>
      <c r="Q228" s="105"/>
      <c r="R228" s="105"/>
      <c r="S228" s="105"/>
    </row>
    <row r="229">
      <c r="A229" s="196">
        <v>227.0</v>
      </c>
      <c r="B229" s="100">
        <v>33.0</v>
      </c>
      <c r="C229" s="99" t="s">
        <v>3534</v>
      </c>
      <c r="D229" s="307" t="s">
        <v>3535</v>
      </c>
      <c r="E229" s="99" t="s">
        <v>3536</v>
      </c>
      <c r="F229" s="99" t="s">
        <v>3099</v>
      </c>
      <c r="G229" s="215"/>
      <c r="H229" s="215"/>
      <c r="I229" s="69">
        <v>1.0</v>
      </c>
      <c r="J229" s="222">
        <v>0.0</v>
      </c>
      <c r="K229" s="69">
        <v>0.0</v>
      </c>
      <c r="L229" s="223">
        <f t="shared" si="9"/>
        <v>0</v>
      </c>
      <c r="M229" s="146">
        <f t="shared" si="10"/>
        <v>0</v>
      </c>
      <c r="N229" s="305"/>
      <c r="O229" s="306"/>
      <c r="P229" s="105"/>
      <c r="Q229" s="105"/>
      <c r="R229" s="105"/>
      <c r="S229" s="105"/>
    </row>
    <row r="230">
      <c r="A230" s="198">
        <v>228.0</v>
      </c>
      <c r="B230" s="100">
        <v>34.0</v>
      </c>
      <c r="C230" s="99" t="s">
        <v>3537</v>
      </c>
      <c r="D230" s="307" t="s">
        <v>3538</v>
      </c>
      <c r="E230" s="99" t="s">
        <v>3539</v>
      </c>
      <c r="F230" s="99" t="s">
        <v>3100</v>
      </c>
      <c r="G230" s="215"/>
      <c r="H230" s="215"/>
      <c r="I230" s="69">
        <v>1.0</v>
      </c>
      <c r="J230" s="222">
        <v>0.0</v>
      </c>
      <c r="K230" s="69">
        <v>0.0</v>
      </c>
      <c r="L230" s="223">
        <f t="shared" si="9"/>
        <v>0</v>
      </c>
      <c r="M230" s="146">
        <f t="shared" si="10"/>
        <v>0</v>
      </c>
      <c r="N230" s="305"/>
      <c r="O230" s="306"/>
      <c r="P230" s="105"/>
      <c r="Q230" s="105"/>
      <c r="R230" s="105"/>
      <c r="S230" s="105"/>
    </row>
    <row r="231">
      <c r="A231" s="196">
        <v>229.0</v>
      </c>
      <c r="B231" s="100">
        <v>35.0</v>
      </c>
      <c r="C231" s="99" t="s">
        <v>3540</v>
      </c>
      <c r="D231" s="117" t="s">
        <v>3541</v>
      </c>
      <c r="E231" s="99" t="s">
        <v>3542</v>
      </c>
      <c r="F231" s="99" t="s">
        <v>3100</v>
      </c>
      <c r="G231" s="228"/>
      <c r="H231" s="228"/>
      <c r="I231" s="69">
        <v>1.0</v>
      </c>
      <c r="J231" s="222">
        <v>0.0</v>
      </c>
      <c r="K231" s="69">
        <v>0.0</v>
      </c>
      <c r="L231" s="223">
        <f t="shared" si="9"/>
        <v>0</v>
      </c>
      <c r="M231" s="146">
        <f t="shared" si="10"/>
        <v>0</v>
      </c>
      <c r="N231" s="305"/>
      <c r="O231" s="306"/>
      <c r="P231" s="105"/>
      <c r="Q231" s="105"/>
      <c r="R231" s="105"/>
      <c r="S231" s="105"/>
    </row>
    <row r="232">
      <c r="A232" s="198">
        <v>230.0</v>
      </c>
      <c r="B232" s="100">
        <v>36.0</v>
      </c>
      <c r="C232" s="307" t="s">
        <v>3543</v>
      </c>
      <c r="D232" s="307" t="s">
        <v>3544</v>
      </c>
      <c r="E232" s="99" t="s">
        <v>3545</v>
      </c>
      <c r="F232" s="99" t="s">
        <v>3099</v>
      </c>
      <c r="G232" s="228"/>
      <c r="H232" s="228"/>
      <c r="I232" s="69">
        <v>1.0</v>
      </c>
      <c r="J232" s="222">
        <v>0.0</v>
      </c>
      <c r="K232" s="69">
        <v>0.0</v>
      </c>
      <c r="L232" s="223">
        <f t="shared" si="9"/>
        <v>0</v>
      </c>
      <c r="M232" s="146">
        <f t="shared" si="10"/>
        <v>0</v>
      </c>
      <c r="N232" s="305"/>
      <c r="O232" s="306"/>
      <c r="P232" s="105"/>
      <c r="Q232" s="105"/>
      <c r="R232" s="105"/>
      <c r="S232" s="105"/>
    </row>
    <row r="233">
      <c r="A233" s="196">
        <v>231.0</v>
      </c>
      <c r="B233" s="106"/>
      <c r="C233" s="309" t="s">
        <v>3101</v>
      </c>
      <c r="D233" s="105"/>
      <c r="E233" s="246">
        <f>COUNTIF(F197:F232,"L")</f>
        <v>22</v>
      </c>
      <c r="F233" s="105"/>
      <c r="G233" s="105"/>
      <c r="H233" s="105"/>
      <c r="I233" s="106"/>
      <c r="J233" s="106"/>
      <c r="K233" s="106"/>
      <c r="L233" s="106"/>
      <c r="M233" s="106"/>
      <c r="N233" s="105"/>
      <c r="O233" s="105"/>
      <c r="P233" s="105"/>
      <c r="Q233" s="105"/>
      <c r="R233" s="105"/>
      <c r="S233" s="105"/>
    </row>
    <row r="234">
      <c r="A234" s="198">
        <v>232.0</v>
      </c>
      <c r="B234" s="106"/>
      <c r="C234" s="309" t="s">
        <v>3102</v>
      </c>
      <c r="D234" s="105"/>
      <c r="E234" s="246">
        <f>COUNTIF(F197:F232,"P")</f>
        <v>14</v>
      </c>
      <c r="F234" s="105"/>
      <c r="G234" s="105"/>
      <c r="H234" s="105"/>
      <c r="I234" s="106"/>
      <c r="J234" s="106"/>
      <c r="K234" s="106"/>
      <c r="L234" s="106"/>
      <c r="M234" s="106"/>
      <c r="N234" s="105"/>
      <c r="O234" s="232"/>
      <c r="P234" s="105"/>
      <c r="Q234" s="105"/>
      <c r="R234" s="105"/>
      <c r="S234" s="105"/>
    </row>
    <row r="235">
      <c r="A235" s="196">
        <v>233.0</v>
      </c>
      <c r="B235" s="106"/>
      <c r="C235" s="309" t="s">
        <v>3104</v>
      </c>
      <c r="D235" s="105"/>
      <c r="E235" s="246">
        <f>SUM(E233:E234)</f>
        <v>36</v>
      </c>
      <c r="F235" s="105"/>
      <c r="G235" s="105"/>
      <c r="H235" s="105"/>
      <c r="I235" s="106"/>
      <c r="J235" s="106"/>
      <c r="K235" s="106"/>
      <c r="L235" s="106"/>
      <c r="M235" s="106"/>
      <c r="N235" s="105"/>
      <c r="O235" s="232"/>
      <c r="P235" s="105"/>
      <c r="Q235" s="105"/>
      <c r="R235" s="105"/>
      <c r="S235" s="105"/>
    </row>
    <row r="236">
      <c r="A236" s="198">
        <v>234.0</v>
      </c>
      <c r="B236" s="197"/>
      <c r="C236" s="189"/>
      <c r="D236" s="189"/>
      <c r="E236" s="189"/>
      <c r="F236" s="189"/>
      <c r="G236" s="189"/>
      <c r="H236" s="189"/>
      <c r="I236" s="197"/>
      <c r="J236" s="197"/>
      <c r="K236" s="197"/>
      <c r="L236" s="197"/>
      <c r="M236" s="197"/>
      <c r="N236" s="189"/>
      <c r="O236" s="189"/>
      <c r="P236" s="105"/>
      <c r="Q236" s="105"/>
      <c r="R236" s="105"/>
      <c r="S236" s="105"/>
    </row>
    <row r="237">
      <c r="A237" s="196">
        <v>235.0</v>
      </c>
      <c r="B237" s="114" t="s">
        <v>3111</v>
      </c>
      <c r="F237" s="287"/>
      <c r="G237" s="287"/>
      <c r="H237" s="287"/>
      <c r="I237" s="114"/>
      <c r="J237" s="114"/>
      <c r="K237" s="114"/>
      <c r="L237" s="114"/>
      <c r="M237" s="114"/>
      <c r="N237" s="287"/>
      <c r="O237" s="287"/>
      <c r="P237" s="105"/>
      <c r="Q237" s="105"/>
      <c r="R237" s="105"/>
      <c r="S237" s="105"/>
    </row>
    <row r="238">
      <c r="A238" s="198">
        <v>236.0</v>
      </c>
      <c r="B238" s="114" t="s">
        <v>3112</v>
      </c>
      <c r="F238" s="287"/>
      <c r="G238" s="287"/>
      <c r="H238" s="287"/>
      <c r="I238" s="114"/>
      <c r="J238" s="114"/>
      <c r="K238" s="114"/>
      <c r="L238" s="114"/>
      <c r="M238" s="114"/>
      <c r="N238" s="287"/>
      <c r="O238" s="287"/>
      <c r="P238" s="105"/>
      <c r="Q238" s="105"/>
      <c r="R238" s="105"/>
      <c r="S238" s="105"/>
    </row>
    <row r="239">
      <c r="A239" s="196">
        <v>237.0</v>
      </c>
      <c r="B239" s="110" t="s">
        <v>3546</v>
      </c>
      <c r="F239" s="310"/>
      <c r="G239" s="310"/>
      <c r="H239" s="310"/>
      <c r="I239" s="110"/>
      <c r="J239" s="110"/>
      <c r="K239" s="110"/>
      <c r="L239" s="110"/>
      <c r="M239" s="110"/>
      <c r="N239" s="310"/>
      <c r="O239" s="310"/>
      <c r="P239" s="105"/>
      <c r="Q239" s="105"/>
      <c r="R239" s="105"/>
      <c r="S239" s="105"/>
    </row>
    <row r="240">
      <c r="A240" s="198">
        <v>238.0</v>
      </c>
      <c r="B240" s="298" t="s">
        <v>3547</v>
      </c>
      <c r="F240" s="200"/>
      <c r="G240" s="200"/>
      <c r="H240" s="200"/>
      <c r="I240" s="93"/>
      <c r="J240" s="93"/>
      <c r="K240" s="93"/>
      <c r="L240" s="93"/>
      <c r="M240" s="93"/>
      <c r="N240" s="200"/>
      <c r="O240" s="200"/>
      <c r="P240" s="105"/>
      <c r="Q240" s="105"/>
      <c r="R240" s="105"/>
      <c r="S240" s="105"/>
    </row>
    <row r="241">
      <c r="A241" s="196">
        <v>239.0</v>
      </c>
      <c r="B241" s="299" t="s">
        <v>1735</v>
      </c>
      <c r="C241" s="299" t="s">
        <v>1737</v>
      </c>
      <c r="D241" s="299" t="s">
        <v>1736</v>
      </c>
      <c r="E241" s="299" t="s">
        <v>1738</v>
      </c>
      <c r="F241" s="262" t="s">
        <v>1815</v>
      </c>
      <c r="G241" s="255"/>
      <c r="H241" s="255"/>
      <c r="I241" s="256" t="s">
        <v>3097</v>
      </c>
      <c r="J241" s="9"/>
      <c r="K241" s="9"/>
      <c r="L241" s="9"/>
      <c r="M241" s="9"/>
      <c r="N241" s="9"/>
      <c r="O241" s="10"/>
      <c r="P241" s="105"/>
      <c r="Q241" s="105"/>
      <c r="R241" s="105"/>
      <c r="S241" s="105"/>
    </row>
    <row r="242">
      <c r="A242" s="198">
        <v>240.0</v>
      </c>
      <c r="B242" s="11"/>
      <c r="C242" s="11"/>
      <c r="D242" s="11"/>
      <c r="E242" s="11"/>
      <c r="F242" s="262"/>
      <c r="G242" s="300"/>
      <c r="H242" s="300" t="s">
        <v>2483</v>
      </c>
      <c r="I242" s="301" t="s">
        <v>3109</v>
      </c>
      <c r="J242" s="302" t="s">
        <v>3095</v>
      </c>
      <c r="K242" s="301" t="s">
        <v>3110</v>
      </c>
      <c r="L242" s="302" t="s">
        <v>3098</v>
      </c>
      <c r="M242" s="303" t="s">
        <v>18</v>
      </c>
      <c r="N242" s="302" t="s">
        <v>2491</v>
      </c>
      <c r="O242" s="304" t="s">
        <v>19</v>
      </c>
      <c r="P242" s="105"/>
      <c r="Q242" s="105"/>
      <c r="R242" s="105"/>
      <c r="S242" s="105"/>
    </row>
    <row r="243">
      <c r="A243" s="196">
        <v>241.0</v>
      </c>
      <c r="B243" s="20"/>
      <c r="C243" s="20"/>
      <c r="D243" s="20"/>
      <c r="E243" s="20"/>
      <c r="F243" s="262"/>
      <c r="G243" s="300"/>
      <c r="H243" s="300"/>
      <c r="I243" s="20"/>
      <c r="J243" s="20"/>
      <c r="K243" s="20"/>
      <c r="L243" s="20"/>
      <c r="M243" s="20"/>
      <c r="N243" s="20"/>
      <c r="O243" s="20"/>
      <c r="P243" s="105"/>
      <c r="Q243" s="105"/>
      <c r="R243" s="105"/>
      <c r="S243" s="105"/>
    </row>
    <row r="244">
      <c r="A244" s="198">
        <v>242.0</v>
      </c>
      <c r="B244" s="100">
        <v>1.0</v>
      </c>
      <c r="C244" s="99" t="s">
        <v>3548</v>
      </c>
      <c r="D244" s="99" t="s">
        <v>3549</v>
      </c>
      <c r="E244" s="99" t="s">
        <v>3550</v>
      </c>
      <c r="F244" s="99" t="s">
        <v>3099</v>
      </c>
      <c r="G244" s="215"/>
      <c r="H244" s="215"/>
      <c r="I244" s="69">
        <v>1.0</v>
      </c>
      <c r="J244" s="222">
        <v>0.0</v>
      </c>
      <c r="K244" s="69">
        <v>0.0</v>
      </c>
      <c r="L244" s="223">
        <f t="shared" ref="L244:L280" si="11">K244+J244</f>
        <v>0</v>
      </c>
      <c r="M244" s="146">
        <f t="shared" ref="M244:M280" si="12">(K244+J244)/(I244+1)</f>
        <v>0</v>
      </c>
      <c r="N244" s="305"/>
      <c r="O244" s="306"/>
      <c r="P244" s="105"/>
      <c r="Q244" s="105"/>
      <c r="R244" s="105"/>
      <c r="S244" s="105"/>
    </row>
    <row r="245">
      <c r="A245" s="196">
        <v>243.0</v>
      </c>
      <c r="B245" s="100">
        <v>2.0</v>
      </c>
      <c r="C245" s="99" t="s">
        <v>3551</v>
      </c>
      <c r="D245" s="307" t="s">
        <v>3552</v>
      </c>
      <c r="E245" s="99" t="s">
        <v>3553</v>
      </c>
      <c r="F245" s="99" t="s">
        <v>3100</v>
      </c>
      <c r="G245" s="215"/>
      <c r="H245" s="215"/>
      <c r="I245" s="69">
        <v>1.0</v>
      </c>
      <c r="J245" s="222">
        <v>0.0</v>
      </c>
      <c r="K245" s="69">
        <v>0.0</v>
      </c>
      <c r="L245" s="223">
        <f t="shared" si="11"/>
        <v>0</v>
      </c>
      <c r="M245" s="146">
        <f t="shared" si="12"/>
        <v>0</v>
      </c>
      <c r="N245" s="305"/>
      <c r="O245" s="306"/>
      <c r="P245" s="105"/>
      <c r="Q245" s="105"/>
      <c r="R245" s="105"/>
      <c r="S245" s="105"/>
    </row>
    <row r="246">
      <c r="A246" s="198">
        <v>244.0</v>
      </c>
      <c r="B246" s="100">
        <v>3.0</v>
      </c>
      <c r="C246" s="99" t="s">
        <v>3554</v>
      </c>
      <c r="D246" s="307" t="s">
        <v>3555</v>
      </c>
      <c r="E246" s="99" t="s">
        <v>3556</v>
      </c>
      <c r="F246" s="99" t="s">
        <v>3100</v>
      </c>
      <c r="G246" s="215"/>
      <c r="H246" s="215"/>
      <c r="I246" s="69">
        <v>1.0</v>
      </c>
      <c r="J246" s="222">
        <v>0.0</v>
      </c>
      <c r="K246" s="69">
        <v>0.0</v>
      </c>
      <c r="L246" s="223">
        <f t="shared" si="11"/>
        <v>0</v>
      </c>
      <c r="M246" s="146">
        <f t="shared" si="12"/>
        <v>0</v>
      </c>
      <c r="N246" s="305"/>
      <c r="O246" s="306"/>
      <c r="P246" s="105"/>
      <c r="Q246" s="105"/>
      <c r="R246" s="105"/>
      <c r="S246" s="105"/>
    </row>
    <row r="247">
      <c r="A247" s="196">
        <v>245.0</v>
      </c>
      <c r="B247" s="100">
        <v>4.0</v>
      </c>
      <c r="C247" s="99" t="s">
        <v>3557</v>
      </c>
      <c r="D247" s="99" t="s">
        <v>3558</v>
      </c>
      <c r="E247" s="99" t="s">
        <v>3559</v>
      </c>
      <c r="F247" s="99" t="s">
        <v>3099</v>
      </c>
      <c r="G247" s="215"/>
      <c r="H247" s="215"/>
      <c r="I247" s="69">
        <v>1.0</v>
      </c>
      <c r="J247" s="222">
        <v>0.0</v>
      </c>
      <c r="K247" s="69">
        <v>0.0</v>
      </c>
      <c r="L247" s="223">
        <f t="shared" si="11"/>
        <v>0</v>
      </c>
      <c r="M247" s="146">
        <f t="shared" si="12"/>
        <v>0</v>
      </c>
      <c r="N247" s="305"/>
      <c r="O247" s="306"/>
      <c r="P247" s="105"/>
      <c r="Q247" s="105"/>
      <c r="R247" s="105"/>
      <c r="S247" s="105"/>
    </row>
    <row r="248">
      <c r="A248" s="198">
        <v>246.0</v>
      </c>
      <c r="B248" s="100">
        <v>5.0</v>
      </c>
      <c r="C248" s="99" t="s">
        <v>3560</v>
      </c>
      <c r="D248" s="99" t="s">
        <v>3561</v>
      </c>
      <c r="E248" s="99" t="s">
        <v>3562</v>
      </c>
      <c r="F248" s="99" t="s">
        <v>3099</v>
      </c>
      <c r="G248" s="215"/>
      <c r="H248" s="215"/>
      <c r="I248" s="69">
        <v>1.0</v>
      </c>
      <c r="J248" s="222">
        <v>0.0</v>
      </c>
      <c r="K248" s="69">
        <v>0.0</v>
      </c>
      <c r="L248" s="223">
        <f t="shared" si="11"/>
        <v>0</v>
      </c>
      <c r="M248" s="146">
        <f t="shared" si="12"/>
        <v>0</v>
      </c>
      <c r="N248" s="305"/>
      <c r="O248" s="306"/>
      <c r="P248" s="105"/>
      <c r="Q248" s="105"/>
      <c r="R248" s="105"/>
      <c r="S248" s="105"/>
    </row>
    <row r="249">
      <c r="A249" s="196">
        <v>247.0</v>
      </c>
      <c r="B249" s="100">
        <v>6.0</v>
      </c>
      <c r="C249" s="99" t="s">
        <v>3563</v>
      </c>
      <c r="D249" s="99" t="s">
        <v>3564</v>
      </c>
      <c r="E249" s="99" t="s">
        <v>3565</v>
      </c>
      <c r="F249" s="99" t="s">
        <v>3100</v>
      </c>
      <c r="G249" s="215"/>
      <c r="H249" s="215"/>
      <c r="I249" s="69">
        <v>12.0</v>
      </c>
      <c r="J249" s="222">
        <v>0.0</v>
      </c>
      <c r="K249" s="69">
        <v>3.0</v>
      </c>
      <c r="L249" s="223">
        <f t="shared" si="11"/>
        <v>3</v>
      </c>
      <c r="M249" s="146">
        <f t="shared" si="12"/>
        <v>0.2307692308</v>
      </c>
      <c r="N249" s="215" t="s">
        <v>2508</v>
      </c>
      <c r="O249" s="311"/>
      <c r="P249" s="105"/>
      <c r="Q249" s="105"/>
      <c r="R249" s="105"/>
      <c r="S249" s="105"/>
    </row>
    <row r="250">
      <c r="A250" s="198">
        <v>248.0</v>
      </c>
      <c r="B250" s="100">
        <v>7.0</v>
      </c>
      <c r="C250" s="99" t="s">
        <v>3566</v>
      </c>
      <c r="D250" s="99" t="s">
        <v>3567</v>
      </c>
      <c r="E250" s="99" t="s">
        <v>3568</v>
      </c>
      <c r="F250" s="99" t="s">
        <v>3100</v>
      </c>
      <c r="G250" s="215"/>
      <c r="H250" s="215"/>
      <c r="I250" s="69">
        <v>1.0</v>
      </c>
      <c r="J250" s="222">
        <v>0.0</v>
      </c>
      <c r="K250" s="69">
        <v>0.0</v>
      </c>
      <c r="L250" s="223">
        <f t="shared" si="11"/>
        <v>0</v>
      </c>
      <c r="M250" s="146">
        <f t="shared" si="12"/>
        <v>0</v>
      </c>
      <c r="N250" s="305"/>
      <c r="O250" s="306"/>
      <c r="P250" s="105"/>
      <c r="Q250" s="105"/>
      <c r="R250" s="105"/>
      <c r="S250" s="105"/>
    </row>
    <row r="251">
      <c r="A251" s="196">
        <v>249.0</v>
      </c>
      <c r="B251" s="100">
        <v>8.0</v>
      </c>
      <c r="C251" s="99" t="s">
        <v>3569</v>
      </c>
      <c r="D251" s="99" t="s">
        <v>3570</v>
      </c>
      <c r="E251" s="99" t="s">
        <v>3571</v>
      </c>
      <c r="F251" s="99" t="s">
        <v>3100</v>
      </c>
      <c r="G251" s="215"/>
      <c r="H251" s="215"/>
      <c r="I251" s="69">
        <v>1.0</v>
      </c>
      <c r="J251" s="222">
        <v>0.0</v>
      </c>
      <c r="K251" s="69">
        <v>0.0</v>
      </c>
      <c r="L251" s="223">
        <f t="shared" si="11"/>
        <v>0</v>
      </c>
      <c r="M251" s="146">
        <f t="shared" si="12"/>
        <v>0</v>
      </c>
      <c r="N251" s="305"/>
      <c r="O251" s="306"/>
      <c r="P251" s="105"/>
      <c r="Q251" s="105"/>
      <c r="R251" s="105"/>
      <c r="S251" s="105"/>
    </row>
    <row r="252">
      <c r="A252" s="198">
        <v>250.0</v>
      </c>
      <c r="B252" s="100">
        <v>9.0</v>
      </c>
      <c r="C252" s="99" t="s">
        <v>3572</v>
      </c>
      <c r="D252" s="99" t="s">
        <v>3573</v>
      </c>
      <c r="E252" s="99" t="s">
        <v>3574</v>
      </c>
      <c r="F252" s="99" t="s">
        <v>3100</v>
      </c>
      <c r="G252" s="215"/>
      <c r="H252" s="215"/>
      <c r="I252" s="69">
        <v>4.0</v>
      </c>
      <c r="J252" s="222">
        <v>0.0</v>
      </c>
      <c r="K252" s="69">
        <v>3.0</v>
      </c>
      <c r="L252" s="223">
        <f t="shared" si="11"/>
        <v>3</v>
      </c>
      <c r="M252" s="146">
        <f t="shared" si="12"/>
        <v>0.6</v>
      </c>
      <c r="N252" s="305"/>
      <c r="O252" s="306"/>
      <c r="P252" s="105"/>
      <c r="Q252" s="105"/>
      <c r="R252" s="105"/>
      <c r="S252" s="105"/>
    </row>
    <row r="253">
      <c r="A253" s="196">
        <v>251.0</v>
      </c>
      <c r="B253" s="100">
        <v>10.0</v>
      </c>
      <c r="C253" s="99" t="s">
        <v>3575</v>
      </c>
      <c r="D253" s="99" t="s">
        <v>3576</v>
      </c>
      <c r="E253" s="99" t="s">
        <v>3577</v>
      </c>
      <c r="F253" s="99" t="s">
        <v>3100</v>
      </c>
      <c r="G253" s="215"/>
      <c r="H253" s="215"/>
      <c r="I253" s="69">
        <v>1.0</v>
      </c>
      <c r="J253" s="222">
        <v>0.0</v>
      </c>
      <c r="K253" s="69">
        <v>0.0</v>
      </c>
      <c r="L253" s="223">
        <f t="shared" si="11"/>
        <v>0</v>
      </c>
      <c r="M253" s="146">
        <f t="shared" si="12"/>
        <v>0</v>
      </c>
      <c r="N253" s="305"/>
      <c r="O253" s="306"/>
      <c r="P253" s="105"/>
      <c r="Q253" s="105"/>
      <c r="R253" s="105"/>
      <c r="S253" s="105"/>
    </row>
    <row r="254">
      <c r="A254" s="198">
        <v>252.0</v>
      </c>
      <c r="B254" s="100">
        <v>11.0</v>
      </c>
      <c r="C254" s="99" t="s">
        <v>3578</v>
      </c>
      <c r="D254" s="307" t="s">
        <v>3579</v>
      </c>
      <c r="E254" s="99" t="s">
        <v>3580</v>
      </c>
      <c r="F254" s="99" t="s">
        <v>3099</v>
      </c>
      <c r="G254" s="215"/>
      <c r="H254" s="215"/>
      <c r="I254" s="69">
        <v>1.0</v>
      </c>
      <c r="J254" s="222">
        <v>0.0</v>
      </c>
      <c r="K254" s="69">
        <v>0.0</v>
      </c>
      <c r="L254" s="223">
        <f t="shared" si="11"/>
        <v>0</v>
      </c>
      <c r="M254" s="146">
        <f t="shared" si="12"/>
        <v>0</v>
      </c>
      <c r="N254" s="305"/>
      <c r="O254" s="306"/>
      <c r="P254" s="105"/>
      <c r="Q254" s="105"/>
      <c r="R254" s="105"/>
      <c r="S254" s="105"/>
    </row>
    <row r="255">
      <c r="A255" s="196">
        <v>253.0</v>
      </c>
      <c r="B255" s="100">
        <v>12.0</v>
      </c>
      <c r="C255" s="99" t="s">
        <v>3581</v>
      </c>
      <c r="D255" s="99" t="s">
        <v>3579</v>
      </c>
      <c r="E255" s="99" t="s">
        <v>3582</v>
      </c>
      <c r="F255" s="99" t="s">
        <v>3099</v>
      </c>
      <c r="G255" s="215"/>
      <c r="H255" s="215"/>
      <c r="I255" s="69">
        <v>1.0</v>
      </c>
      <c r="J255" s="222">
        <v>0.0</v>
      </c>
      <c r="K255" s="69">
        <v>0.0</v>
      </c>
      <c r="L255" s="223">
        <f t="shared" si="11"/>
        <v>0</v>
      </c>
      <c r="M255" s="146">
        <f t="shared" si="12"/>
        <v>0</v>
      </c>
      <c r="N255" s="305"/>
      <c r="O255" s="306"/>
      <c r="P255" s="105"/>
      <c r="Q255" s="105"/>
      <c r="R255" s="105"/>
      <c r="S255" s="105"/>
    </row>
    <row r="256">
      <c r="A256" s="198">
        <v>254.0</v>
      </c>
      <c r="B256" s="100">
        <v>13.0</v>
      </c>
      <c r="C256" s="99" t="s">
        <v>3583</v>
      </c>
      <c r="D256" s="99" t="s">
        <v>3584</v>
      </c>
      <c r="E256" s="99" t="s">
        <v>3585</v>
      </c>
      <c r="F256" s="99" t="s">
        <v>3100</v>
      </c>
      <c r="G256" s="215"/>
      <c r="H256" s="215"/>
      <c r="I256" s="69">
        <v>1.0</v>
      </c>
      <c r="J256" s="222">
        <v>0.0</v>
      </c>
      <c r="K256" s="69">
        <v>0.0</v>
      </c>
      <c r="L256" s="223">
        <f t="shared" si="11"/>
        <v>0</v>
      </c>
      <c r="M256" s="146">
        <f t="shared" si="12"/>
        <v>0</v>
      </c>
      <c r="N256" s="305"/>
      <c r="O256" s="306"/>
      <c r="P256" s="105"/>
      <c r="Q256" s="105"/>
      <c r="R256" s="105"/>
      <c r="S256" s="105"/>
    </row>
    <row r="257">
      <c r="A257" s="196">
        <v>255.0</v>
      </c>
      <c r="B257" s="100">
        <v>14.0</v>
      </c>
      <c r="C257" s="99" t="s">
        <v>3586</v>
      </c>
      <c r="D257" s="99" t="s">
        <v>3587</v>
      </c>
      <c r="E257" s="260" t="s">
        <v>3588</v>
      </c>
      <c r="F257" s="99" t="s">
        <v>3099</v>
      </c>
      <c r="G257" s="215"/>
      <c r="H257" s="215"/>
      <c r="I257" s="69">
        <v>1.0</v>
      </c>
      <c r="J257" s="222">
        <v>0.0</v>
      </c>
      <c r="K257" s="69">
        <v>0.0</v>
      </c>
      <c r="L257" s="223">
        <f t="shared" si="11"/>
        <v>0</v>
      </c>
      <c r="M257" s="146">
        <f t="shared" si="12"/>
        <v>0</v>
      </c>
      <c r="N257" s="305"/>
      <c r="O257" s="306"/>
      <c r="P257" s="105"/>
      <c r="Q257" s="105"/>
      <c r="R257" s="105"/>
      <c r="S257" s="105"/>
    </row>
    <row r="258">
      <c r="A258" s="198">
        <v>256.0</v>
      </c>
      <c r="B258" s="100">
        <v>15.0</v>
      </c>
      <c r="C258" s="99" t="s">
        <v>3589</v>
      </c>
      <c r="D258" s="99" t="s">
        <v>3590</v>
      </c>
      <c r="E258" s="99" t="s">
        <v>3591</v>
      </c>
      <c r="F258" s="99" t="s">
        <v>3099</v>
      </c>
      <c r="G258" s="215"/>
      <c r="H258" s="215"/>
      <c r="I258" s="69">
        <v>1.0</v>
      </c>
      <c r="J258" s="222">
        <v>0.0</v>
      </c>
      <c r="K258" s="69">
        <v>0.0</v>
      </c>
      <c r="L258" s="223">
        <f t="shared" si="11"/>
        <v>0</v>
      </c>
      <c r="M258" s="146">
        <f t="shared" si="12"/>
        <v>0</v>
      </c>
      <c r="N258" s="305"/>
      <c r="O258" s="306"/>
      <c r="P258" s="105"/>
      <c r="Q258" s="105"/>
      <c r="R258" s="105"/>
      <c r="S258" s="105"/>
    </row>
    <row r="259">
      <c r="A259" s="196">
        <v>257.0</v>
      </c>
      <c r="B259" s="100">
        <v>16.0</v>
      </c>
      <c r="C259" s="99" t="s">
        <v>3592</v>
      </c>
      <c r="D259" s="307" t="s">
        <v>3593</v>
      </c>
      <c r="E259" s="99" t="s">
        <v>3594</v>
      </c>
      <c r="F259" s="99" t="s">
        <v>3100</v>
      </c>
      <c r="G259" s="215"/>
      <c r="H259" s="215"/>
      <c r="I259" s="69">
        <v>1.0</v>
      </c>
      <c r="J259" s="222">
        <v>0.0</v>
      </c>
      <c r="K259" s="69">
        <v>0.0</v>
      </c>
      <c r="L259" s="223">
        <f t="shared" si="11"/>
        <v>0</v>
      </c>
      <c r="M259" s="146">
        <f t="shared" si="12"/>
        <v>0</v>
      </c>
      <c r="N259" s="305"/>
      <c r="O259" s="306"/>
      <c r="P259" s="105"/>
      <c r="Q259" s="105"/>
      <c r="R259" s="105"/>
      <c r="S259" s="105"/>
    </row>
    <row r="260">
      <c r="A260" s="198">
        <v>258.0</v>
      </c>
      <c r="B260" s="100">
        <v>17.0</v>
      </c>
      <c r="C260" s="99" t="s">
        <v>3595</v>
      </c>
      <c r="D260" s="99" t="s">
        <v>3596</v>
      </c>
      <c r="E260" s="99" t="s">
        <v>3597</v>
      </c>
      <c r="F260" s="99" t="s">
        <v>3100</v>
      </c>
      <c r="G260" s="215"/>
      <c r="H260" s="215"/>
      <c r="I260" s="69">
        <v>1.0</v>
      </c>
      <c r="J260" s="222">
        <v>0.0</v>
      </c>
      <c r="K260" s="69">
        <v>0.0</v>
      </c>
      <c r="L260" s="223">
        <f t="shared" si="11"/>
        <v>0</v>
      </c>
      <c r="M260" s="146">
        <f t="shared" si="12"/>
        <v>0</v>
      </c>
      <c r="N260" s="305"/>
      <c r="O260" s="306"/>
      <c r="P260" s="105"/>
      <c r="Q260" s="105"/>
      <c r="R260" s="105"/>
      <c r="S260" s="105"/>
    </row>
    <row r="261">
      <c r="A261" s="196">
        <v>259.0</v>
      </c>
      <c r="B261" s="100">
        <v>18.0</v>
      </c>
      <c r="C261" s="99" t="s">
        <v>3598</v>
      </c>
      <c r="D261" s="307" t="s">
        <v>3599</v>
      </c>
      <c r="E261" s="99" t="s">
        <v>3600</v>
      </c>
      <c r="F261" s="99" t="s">
        <v>3100</v>
      </c>
      <c r="G261" s="215"/>
      <c r="H261" s="215"/>
      <c r="I261" s="69">
        <v>1.0</v>
      </c>
      <c r="J261" s="222">
        <v>0.0</v>
      </c>
      <c r="K261" s="69">
        <v>0.0</v>
      </c>
      <c r="L261" s="223">
        <f t="shared" si="11"/>
        <v>0</v>
      </c>
      <c r="M261" s="146">
        <f t="shared" si="12"/>
        <v>0</v>
      </c>
      <c r="N261" s="305"/>
      <c r="O261" s="306"/>
      <c r="P261" s="105"/>
      <c r="Q261" s="105"/>
      <c r="R261" s="105"/>
      <c r="S261" s="105"/>
    </row>
    <row r="262">
      <c r="A262" s="198">
        <v>260.0</v>
      </c>
      <c r="B262" s="100">
        <v>19.0</v>
      </c>
      <c r="C262" s="99" t="s">
        <v>3601</v>
      </c>
      <c r="D262" s="99" t="s">
        <v>3602</v>
      </c>
      <c r="E262" s="99" t="s">
        <v>3603</v>
      </c>
      <c r="F262" s="99" t="s">
        <v>3099</v>
      </c>
      <c r="G262" s="215"/>
      <c r="H262" s="215"/>
      <c r="I262" s="69">
        <v>1.0</v>
      </c>
      <c r="J262" s="222">
        <v>0.0</v>
      </c>
      <c r="K262" s="69">
        <v>0.0</v>
      </c>
      <c r="L262" s="223">
        <f t="shared" si="11"/>
        <v>0</v>
      </c>
      <c r="M262" s="146">
        <f t="shared" si="12"/>
        <v>0</v>
      </c>
      <c r="N262" s="305"/>
      <c r="O262" s="306"/>
      <c r="P262" s="105"/>
      <c r="Q262" s="105"/>
      <c r="R262" s="105"/>
      <c r="S262" s="105"/>
    </row>
    <row r="263">
      <c r="A263" s="196">
        <v>261.0</v>
      </c>
      <c r="B263" s="100">
        <v>20.0</v>
      </c>
      <c r="C263" s="99" t="s">
        <v>3604</v>
      </c>
      <c r="D263" s="99" t="s">
        <v>3605</v>
      </c>
      <c r="E263" s="99" t="s">
        <v>3606</v>
      </c>
      <c r="F263" s="99" t="s">
        <v>3100</v>
      </c>
      <c r="G263" s="215"/>
      <c r="H263" s="215"/>
      <c r="I263" s="69">
        <v>1.0</v>
      </c>
      <c r="J263" s="222">
        <v>0.0</v>
      </c>
      <c r="K263" s="69">
        <v>0.0</v>
      </c>
      <c r="L263" s="223">
        <f t="shared" si="11"/>
        <v>0</v>
      </c>
      <c r="M263" s="146">
        <f t="shared" si="12"/>
        <v>0</v>
      </c>
      <c r="N263" s="305"/>
      <c r="O263" s="306"/>
      <c r="P263" s="105"/>
      <c r="Q263" s="105"/>
      <c r="R263" s="105"/>
      <c r="S263" s="105"/>
    </row>
    <row r="264">
      <c r="A264" s="198">
        <v>262.0</v>
      </c>
      <c r="B264" s="100">
        <v>21.0</v>
      </c>
      <c r="C264" s="99" t="s">
        <v>3607</v>
      </c>
      <c r="D264" s="99" t="s">
        <v>3608</v>
      </c>
      <c r="E264" s="99" t="s">
        <v>3609</v>
      </c>
      <c r="F264" s="99" t="s">
        <v>3099</v>
      </c>
      <c r="G264" s="215"/>
      <c r="H264" s="215"/>
      <c r="I264" s="69">
        <v>1.0</v>
      </c>
      <c r="J264" s="222">
        <v>0.0</v>
      </c>
      <c r="K264" s="69">
        <v>0.0</v>
      </c>
      <c r="L264" s="223">
        <f t="shared" si="11"/>
        <v>0</v>
      </c>
      <c r="M264" s="146">
        <f t="shared" si="12"/>
        <v>0</v>
      </c>
      <c r="N264" s="305"/>
      <c r="O264" s="306"/>
      <c r="P264" s="105"/>
      <c r="Q264" s="105"/>
      <c r="R264" s="105"/>
      <c r="S264" s="105"/>
    </row>
    <row r="265">
      <c r="A265" s="196">
        <v>263.0</v>
      </c>
      <c r="B265" s="100">
        <v>22.0</v>
      </c>
      <c r="C265" s="228">
        <v>2.52612574E8</v>
      </c>
      <c r="D265" s="315" t="s">
        <v>3610</v>
      </c>
      <c r="E265" s="228" t="s">
        <v>3611</v>
      </c>
      <c r="F265" s="228" t="s">
        <v>3099</v>
      </c>
      <c r="G265" s="215"/>
      <c r="H265" s="215"/>
      <c r="I265" s="69">
        <v>1.0</v>
      </c>
      <c r="J265" s="222">
        <v>0.0</v>
      </c>
      <c r="K265" s="69">
        <v>0.0</v>
      </c>
      <c r="L265" s="223">
        <f t="shared" si="11"/>
        <v>0</v>
      </c>
      <c r="M265" s="146">
        <f t="shared" si="12"/>
        <v>0</v>
      </c>
      <c r="N265" s="305"/>
      <c r="O265" s="306"/>
      <c r="P265" s="105"/>
      <c r="Q265" s="105"/>
      <c r="R265" s="105"/>
      <c r="S265" s="105"/>
    </row>
    <row r="266">
      <c r="A266" s="198">
        <v>264.0</v>
      </c>
      <c r="B266" s="100">
        <v>23.0</v>
      </c>
      <c r="C266" s="99" t="s">
        <v>3612</v>
      </c>
      <c r="D266" s="99" t="s">
        <v>3613</v>
      </c>
      <c r="E266" s="99" t="s">
        <v>3614</v>
      </c>
      <c r="F266" s="99" t="s">
        <v>3099</v>
      </c>
      <c r="G266" s="215"/>
      <c r="H266" s="215"/>
      <c r="I266" s="69">
        <v>1.0</v>
      </c>
      <c r="J266" s="222">
        <v>0.0</v>
      </c>
      <c r="K266" s="69">
        <v>0.0</v>
      </c>
      <c r="L266" s="223">
        <f t="shared" si="11"/>
        <v>0</v>
      </c>
      <c r="M266" s="146">
        <f t="shared" si="12"/>
        <v>0</v>
      </c>
      <c r="N266" s="305"/>
      <c r="O266" s="306"/>
      <c r="P266" s="105"/>
      <c r="Q266" s="105"/>
      <c r="R266" s="105"/>
      <c r="S266" s="105"/>
    </row>
    <row r="267">
      <c r="A267" s="196">
        <v>265.0</v>
      </c>
      <c r="B267" s="100">
        <v>24.0</v>
      </c>
      <c r="C267" s="99" t="s">
        <v>3615</v>
      </c>
      <c r="D267" s="307" t="s">
        <v>3616</v>
      </c>
      <c r="E267" s="99" t="s">
        <v>3617</v>
      </c>
      <c r="F267" s="99" t="s">
        <v>3099</v>
      </c>
      <c r="G267" s="215"/>
      <c r="H267" s="215"/>
      <c r="I267" s="69">
        <v>1.0</v>
      </c>
      <c r="J267" s="222">
        <v>0.0</v>
      </c>
      <c r="K267" s="69">
        <v>0.0</v>
      </c>
      <c r="L267" s="223">
        <f t="shared" si="11"/>
        <v>0</v>
      </c>
      <c r="M267" s="146">
        <f t="shared" si="12"/>
        <v>0</v>
      </c>
      <c r="N267" s="305"/>
      <c r="O267" s="306"/>
      <c r="P267" s="105"/>
      <c r="Q267" s="105"/>
      <c r="R267" s="105"/>
      <c r="S267" s="105"/>
    </row>
    <row r="268">
      <c r="A268" s="198">
        <v>266.0</v>
      </c>
      <c r="B268" s="100">
        <v>25.0</v>
      </c>
      <c r="C268" s="99" t="s">
        <v>3618</v>
      </c>
      <c r="D268" s="99" t="s">
        <v>3619</v>
      </c>
      <c r="E268" s="99" t="s">
        <v>3620</v>
      </c>
      <c r="F268" s="99" t="s">
        <v>3099</v>
      </c>
      <c r="G268" s="215"/>
      <c r="H268" s="215"/>
      <c r="I268" s="69">
        <v>1.0</v>
      </c>
      <c r="J268" s="222">
        <v>0.0</v>
      </c>
      <c r="K268" s="69">
        <v>0.0</v>
      </c>
      <c r="L268" s="223">
        <f t="shared" si="11"/>
        <v>0</v>
      </c>
      <c r="M268" s="146">
        <f t="shared" si="12"/>
        <v>0</v>
      </c>
      <c r="N268" s="215" t="s">
        <v>3188</v>
      </c>
      <c r="O268" s="306"/>
      <c r="P268" s="105"/>
      <c r="Q268" s="105"/>
      <c r="R268" s="105"/>
      <c r="S268" s="105"/>
    </row>
    <row r="269">
      <c r="A269" s="196">
        <v>267.0</v>
      </c>
      <c r="B269" s="100">
        <v>26.0</v>
      </c>
      <c r="C269" s="99" t="s">
        <v>3621</v>
      </c>
      <c r="D269" s="307" t="s">
        <v>3622</v>
      </c>
      <c r="E269" s="99" t="s">
        <v>3623</v>
      </c>
      <c r="F269" s="99" t="s">
        <v>3099</v>
      </c>
      <c r="G269" s="215"/>
      <c r="H269" s="215"/>
      <c r="I269" s="69">
        <v>1.0</v>
      </c>
      <c r="J269" s="222">
        <v>0.0</v>
      </c>
      <c r="K269" s="69">
        <v>0.0</v>
      </c>
      <c r="L269" s="223">
        <f t="shared" si="11"/>
        <v>0</v>
      </c>
      <c r="M269" s="146">
        <f t="shared" si="12"/>
        <v>0</v>
      </c>
      <c r="N269" s="305"/>
      <c r="O269" s="306"/>
      <c r="P269" s="105"/>
      <c r="Q269" s="105"/>
      <c r="R269" s="105"/>
      <c r="S269" s="105"/>
    </row>
    <row r="270">
      <c r="A270" s="198">
        <v>268.0</v>
      </c>
      <c r="B270" s="100">
        <v>27.0</v>
      </c>
      <c r="C270" s="99" t="s">
        <v>3624</v>
      </c>
      <c r="D270" s="99" t="s">
        <v>3625</v>
      </c>
      <c r="E270" s="99" t="s">
        <v>3626</v>
      </c>
      <c r="F270" s="99" t="s">
        <v>3099</v>
      </c>
      <c r="G270" s="215"/>
      <c r="H270" s="215"/>
      <c r="I270" s="69">
        <v>1.0</v>
      </c>
      <c r="J270" s="222">
        <v>0.0</v>
      </c>
      <c r="K270" s="69">
        <v>0.0</v>
      </c>
      <c r="L270" s="223">
        <f t="shared" si="11"/>
        <v>0</v>
      </c>
      <c r="M270" s="146">
        <f t="shared" si="12"/>
        <v>0</v>
      </c>
      <c r="N270" s="305"/>
      <c r="O270" s="306"/>
      <c r="P270" s="105"/>
      <c r="Q270" s="105"/>
      <c r="R270" s="105"/>
      <c r="S270" s="105"/>
    </row>
    <row r="271">
      <c r="A271" s="196">
        <v>269.0</v>
      </c>
      <c r="B271" s="100">
        <v>28.0</v>
      </c>
      <c r="C271" s="99" t="s">
        <v>3627</v>
      </c>
      <c r="D271" s="99" t="s">
        <v>3628</v>
      </c>
      <c r="E271" s="99" t="s">
        <v>3629</v>
      </c>
      <c r="F271" s="99" t="s">
        <v>3099</v>
      </c>
      <c r="G271" s="215"/>
      <c r="H271" s="215"/>
      <c r="I271" s="69">
        <v>7.0</v>
      </c>
      <c r="J271" s="222">
        <v>0.0</v>
      </c>
      <c r="K271" s="69">
        <v>1.0</v>
      </c>
      <c r="L271" s="223">
        <f t="shared" si="11"/>
        <v>1</v>
      </c>
      <c r="M271" s="146">
        <f t="shared" si="12"/>
        <v>0.125</v>
      </c>
      <c r="N271" s="215" t="s">
        <v>2508</v>
      </c>
      <c r="O271" s="311"/>
      <c r="P271" s="105"/>
      <c r="Q271" s="105"/>
      <c r="R271" s="105"/>
      <c r="S271" s="105"/>
    </row>
    <row r="272">
      <c r="A272" s="198">
        <v>270.0</v>
      </c>
      <c r="B272" s="100">
        <v>29.0</v>
      </c>
      <c r="C272" s="99" t="s">
        <v>3630</v>
      </c>
      <c r="D272" s="307" t="s">
        <v>3631</v>
      </c>
      <c r="E272" s="99" t="s">
        <v>3632</v>
      </c>
      <c r="F272" s="99" t="s">
        <v>3100</v>
      </c>
      <c r="G272" s="215"/>
      <c r="H272" s="215"/>
      <c r="I272" s="69">
        <v>1.0</v>
      </c>
      <c r="J272" s="222">
        <v>0.0</v>
      </c>
      <c r="K272" s="69">
        <v>0.0</v>
      </c>
      <c r="L272" s="223">
        <f t="shared" si="11"/>
        <v>0</v>
      </c>
      <c r="M272" s="146">
        <f t="shared" si="12"/>
        <v>0</v>
      </c>
      <c r="N272" s="305"/>
      <c r="O272" s="306"/>
      <c r="P272" s="105"/>
      <c r="Q272" s="105"/>
      <c r="R272" s="105"/>
      <c r="S272" s="105"/>
    </row>
    <row r="273">
      <c r="A273" s="196">
        <v>271.0</v>
      </c>
      <c r="B273" s="100">
        <v>30.0</v>
      </c>
      <c r="C273" s="99" t="s">
        <v>3633</v>
      </c>
      <c r="D273" s="307" t="s">
        <v>3634</v>
      </c>
      <c r="E273" s="99" t="s">
        <v>3635</v>
      </c>
      <c r="F273" s="99" t="s">
        <v>3099</v>
      </c>
      <c r="G273" s="215"/>
      <c r="H273" s="215"/>
      <c r="I273" s="69">
        <v>7.0</v>
      </c>
      <c r="J273" s="222">
        <v>0.0</v>
      </c>
      <c r="K273" s="69">
        <v>5.0</v>
      </c>
      <c r="L273" s="223">
        <f t="shared" si="11"/>
        <v>5</v>
      </c>
      <c r="M273" s="146">
        <f t="shared" si="12"/>
        <v>0.625</v>
      </c>
      <c r="N273" s="215" t="s">
        <v>2508</v>
      </c>
      <c r="O273" s="311"/>
      <c r="P273" s="105"/>
      <c r="Q273" s="105"/>
      <c r="R273" s="105"/>
      <c r="S273" s="105"/>
    </row>
    <row r="274">
      <c r="A274" s="198">
        <v>272.0</v>
      </c>
      <c r="B274" s="100">
        <v>31.0</v>
      </c>
      <c r="C274" s="99" t="s">
        <v>3636</v>
      </c>
      <c r="D274" s="99" t="s">
        <v>3637</v>
      </c>
      <c r="E274" s="99" t="s">
        <v>3638</v>
      </c>
      <c r="F274" s="99" t="s">
        <v>3100</v>
      </c>
      <c r="G274" s="215"/>
      <c r="H274" s="215"/>
      <c r="I274" s="69">
        <v>12.0</v>
      </c>
      <c r="J274" s="222">
        <v>0.0</v>
      </c>
      <c r="K274" s="69">
        <v>5.0</v>
      </c>
      <c r="L274" s="223">
        <f t="shared" si="11"/>
        <v>5</v>
      </c>
      <c r="M274" s="146">
        <f t="shared" si="12"/>
        <v>0.3846153846</v>
      </c>
      <c r="N274" s="215" t="s">
        <v>3188</v>
      </c>
      <c r="O274" s="311"/>
      <c r="P274" s="105"/>
      <c r="Q274" s="105"/>
      <c r="R274" s="105"/>
      <c r="S274" s="105"/>
    </row>
    <row r="275">
      <c r="A275" s="196">
        <v>273.0</v>
      </c>
      <c r="B275" s="100">
        <v>32.0</v>
      </c>
      <c r="C275" s="99" t="s">
        <v>3639</v>
      </c>
      <c r="D275" s="307" t="s">
        <v>3640</v>
      </c>
      <c r="E275" s="99" t="s">
        <v>3641</v>
      </c>
      <c r="F275" s="99" t="s">
        <v>3099</v>
      </c>
      <c r="G275" s="215"/>
      <c r="H275" s="215"/>
      <c r="I275" s="69">
        <v>1.0</v>
      </c>
      <c r="J275" s="222">
        <v>0.0</v>
      </c>
      <c r="K275" s="69">
        <v>0.0</v>
      </c>
      <c r="L275" s="223">
        <f t="shared" si="11"/>
        <v>0</v>
      </c>
      <c r="M275" s="146">
        <f t="shared" si="12"/>
        <v>0</v>
      </c>
      <c r="N275" s="215" t="s">
        <v>2508</v>
      </c>
      <c r="O275" s="306"/>
      <c r="P275" s="105"/>
      <c r="Q275" s="105"/>
      <c r="R275" s="105"/>
      <c r="S275" s="105"/>
    </row>
    <row r="276">
      <c r="A276" s="198">
        <v>274.0</v>
      </c>
      <c r="B276" s="100">
        <v>33.0</v>
      </c>
      <c r="C276" s="99" t="s">
        <v>3642</v>
      </c>
      <c r="D276" s="99" t="s">
        <v>3643</v>
      </c>
      <c r="E276" s="99" t="s">
        <v>3644</v>
      </c>
      <c r="F276" s="99" t="s">
        <v>3099</v>
      </c>
      <c r="G276" s="215"/>
      <c r="H276" s="215"/>
      <c r="I276" s="69">
        <v>1.0</v>
      </c>
      <c r="J276" s="222">
        <v>0.0</v>
      </c>
      <c r="K276" s="69">
        <v>0.0</v>
      </c>
      <c r="L276" s="223">
        <f t="shared" si="11"/>
        <v>0</v>
      </c>
      <c r="M276" s="146">
        <f t="shared" si="12"/>
        <v>0</v>
      </c>
      <c r="N276" s="305"/>
      <c r="O276" s="306"/>
      <c r="P276" s="105"/>
      <c r="Q276" s="105"/>
      <c r="R276" s="105"/>
      <c r="S276" s="105"/>
    </row>
    <row r="277">
      <c r="A277" s="196">
        <v>275.0</v>
      </c>
      <c r="B277" s="100">
        <v>34.0</v>
      </c>
      <c r="C277" s="99" t="s">
        <v>3645</v>
      </c>
      <c r="D277" s="99" t="s">
        <v>3646</v>
      </c>
      <c r="E277" s="99" t="s">
        <v>3647</v>
      </c>
      <c r="F277" s="99" t="s">
        <v>3100</v>
      </c>
      <c r="G277" s="215"/>
      <c r="H277" s="215"/>
      <c r="I277" s="69">
        <v>1.0</v>
      </c>
      <c r="J277" s="222">
        <v>0.0</v>
      </c>
      <c r="K277" s="69">
        <v>0.0</v>
      </c>
      <c r="L277" s="223">
        <f t="shared" si="11"/>
        <v>0</v>
      </c>
      <c r="M277" s="146">
        <f t="shared" si="12"/>
        <v>0</v>
      </c>
      <c r="N277" s="305"/>
      <c r="O277" s="306"/>
      <c r="P277" s="105"/>
      <c r="Q277" s="105"/>
      <c r="R277" s="105"/>
      <c r="S277" s="105"/>
    </row>
    <row r="278">
      <c r="A278" s="198">
        <v>276.0</v>
      </c>
      <c r="B278" s="100">
        <v>35.0</v>
      </c>
      <c r="C278" s="99" t="s">
        <v>3648</v>
      </c>
      <c r="D278" s="99" t="s">
        <v>3649</v>
      </c>
      <c r="E278" s="99" t="s">
        <v>3650</v>
      </c>
      <c r="F278" s="99" t="s">
        <v>3100</v>
      </c>
      <c r="G278" s="228"/>
      <c r="H278" s="228"/>
      <c r="I278" s="313">
        <v>1.0</v>
      </c>
      <c r="J278" s="222">
        <v>0.0</v>
      </c>
      <c r="K278" s="313">
        <v>0.0</v>
      </c>
      <c r="L278" s="223">
        <f t="shared" si="11"/>
        <v>0</v>
      </c>
      <c r="M278" s="146">
        <f t="shared" si="12"/>
        <v>0</v>
      </c>
      <c r="N278" s="305"/>
      <c r="O278" s="306"/>
      <c r="P278" s="105"/>
      <c r="Q278" s="105"/>
      <c r="R278" s="105"/>
      <c r="S278" s="105"/>
    </row>
    <row r="279">
      <c r="A279" s="196">
        <v>277.0</v>
      </c>
      <c r="B279" s="100">
        <v>36.0</v>
      </c>
      <c r="C279" s="99" t="s">
        <v>3651</v>
      </c>
      <c r="D279" s="99" t="s">
        <v>3652</v>
      </c>
      <c r="E279" s="99" t="s">
        <v>3653</v>
      </c>
      <c r="F279" s="99" t="s">
        <v>3099</v>
      </c>
      <c r="G279" s="268"/>
      <c r="H279" s="268"/>
      <c r="I279" s="313">
        <v>7.0</v>
      </c>
      <c r="J279" s="223">
        <f>iferror(vlookup(E279,MasterClass!$C$2:$G1001,5,false),"")</f>
        <v>1</v>
      </c>
      <c r="K279" s="313">
        <v>3.0</v>
      </c>
      <c r="L279" s="223">
        <f t="shared" si="11"/>
        <v>4</v>
      </c>
      <c r="M279" s="146">
        <f t="shared" si="12"/>
        <v>0.5</v>
      </c>
      <c r="N279" s="215" t="s">
        <v>2508</v>
      </c>
      <c r="O279" s="311"/>
      <c r="P279" s="105"/>
      <c r="Q279" s="105"/>
      <c r="R279" s="105"/>
      <c r="S279" s="105"/>
    </row>
    <row r="280">
      <c r="A280" s="198">
        <v>278.0</v>
      </c>
      <c r="B280" s="100">
        <v>37.0</v>
      </c>
      <c r="C280" s="115" t="s">
        <v>3654</v>
      </c>
      <c r="D280" s="314" t="s">
        <v>3655</v>
      </c>
      <c r="E280" s="115" t="s">
        <v>3656</v>
      </c>
      <c r="F280" s="115" t="s">
        <v>3099</v>
      </c>
      <c r="G280" s="251"/>
      <c r="H280" s="251"/>
      <c r="I280" s="316">
        <v>1.0</v>
      </c>
      <c r="J280" s="222">
        <v>0.0</v>
      </c>
      <c r="K280" s="316">
        <v>0.0</v>
      </c>
      <c r="L280" s="223">
        <f t="shared" si="11"/>
        <v>0</v>
      </c>
      <c r="M280" s="146">
        <f t="shared" si="12"/>
        <v>0</v>
      </c>
      <c r="N280" s="305"/>
      <c r="O280" s="306"/>
      <c r="P280" s="105"/>
      <c r="Q280" s="105"/>
      <c r="R280" s="105"/>
      <c r="S280" s="105"/>
    </row>
    <row r="281">
      <c r="A281" s="196">
        <v>279.0</v>
      </c>
      <c r="B281" s="106"/>
      <c r="C281" s="309" t="s">
        <v>3101</v>
      </c>
      <c r="D281" s="105"/>
      <c r="E281" s="246">
        <f>COUNTIF(F244:F280,"L")</f>
        <v>21</v>
      </c>
      <c r="F281" s="105"/>
      <c r="G281" s="105"/>
      <c r="H281" s="105"/>
      <c r="I281" s="106"/>
      <c r="J281" s="106"/>
      <c r="K281" s="106"/>
      <c r="L281" s="106"/>
      <c r="M281" s="106"/>
      <c r="N281" s="105"/>
      <c r="O281" s="105"/>
      <c r="P281" s="105"/>
      <c r="Q281" s="105"/>
      <c r="R281" s="105"/>
      <c r="S281" s="105"/>
    </row>
    <row r="282">
      <c r="A282" s="198">
        <v>280.0</v>
      </c>
      <c r="B282" s="106"/>
      <c r="C282" s="309" t="s">
        <v>3102</v>
      </c>
      <c r="D282" s="105"/>
      <c r="E282" s="246">
        <f>COUNTIF(F244:F280,"P")</f>
        <v>16</v>
      </c>
      <c r="F282" s="105"/>
      <c r="G282" s="105"/>
      <c r="H282" s="105"/>
      <c r="I282" s="106"/>
      <c r="J282" s="106"/>
      <c r="K282" s="106"/>
      <c r="L282" s="106"/>
      <c r="M282" s="106"/>
      <c r="N282" s="105"/>
      <c r="O282" s="232"/>
      <c r="P282" s="105"/>
      <c r="Q282" s="105"/>
      <c r="R282" s="105"/>
      <c r="S282" s="105"/>
    </row>
    <row r="283">
      <c r="A283" s="196">
        <v>281.0</v>
      </c>
      <c r="B283" s="106"/>
      <c r="C283" s="309" t="s">
        <v>3104</v>
      </c>
      <c r="D283" s="105"/>
      <c r="E283" s="246">
        <f>SUM(E281:E282)</f>
        <v>37</v>
      </c>
      <c r="F283" s="105"/>
      <c r="G283" s="105"/>
      <c r="H283" s="105"/>
      <c r="I283" s="106"/>
      <c r="J283" s="106"/>
      <c r="K283" s="106"/>
      <c r="L283" s="106"/>
      <c r="M283" s="106"/>
      <c r="N283" s="105"/>
      <c r="O283" s="232"/>
      <c r="P283" s="105"/>
      <c r="Q283" s="105"/>
      <c r="R283" s="105"/>
      <c r="S283" s="105"/>
    </row>
    <row r="284">
      <c r="A284" s="198">
        <v>282.0</v>
      </c>
      <c r="B284" s="197"/>
      <c r="C284" s="189"/>
      <c r="D284" s="189"/>
      <c r="E284" s="189"/>
      <c r="F284" s="189"/>
      <c r="G284" s="189"/>
      <c r="H284" s="189"/>
      <c r="I284" s="197"/>
      <c r="J284" s="197"/>
      <c r="K284" s="197"/>
      <c r="L284" s="197"/>
      <c r="M284" s="197"/>
      <c r="N284" s="189"/>
      <c r="O284" s="189"/>
      <c r="P284" s="105"/>
      <c r="Q284" s="105"/>
      <c r="R284" s="105"/>
      <c r="S284" s="105"/>
    </row>
    <row r="285">
      <c r="A285" s="196">
        <v>283.0</v>
      </c>
      <c r="B285" s="114" t="s">
        <v>3111</v>
      </c>
      <c r="F285" s="287"/>
      <c r="G285" s="287"/>
      <c r="H285" s="287"/>
      <c r="I285" s="114"/>
      <c r="J285" s="114"/>
      <c r="K285" s="114"/>
      <c r="L285" s="114"/>
      <c r="M285" s="114"/>
      <c r="N285" s="287"/>
      <c r="O285" s="287"/>
      <c r="P285" s="105"/>
      <c r="Q285" s="105"/>
      <c r="R285" s="105"/>
      <c r="S285" s="105"/>
    </row>
    <row r="286">
      <c r="A286" s="198">
        <v>284.0</v>
      </c>
      <c r="B286" s="114" t="s">
        <v>3262</v>
      </c>
      <c r="F286" s="287"/>
      <c r="G286" s="287"/>
      <c r="H286" s="287"/>
      <c r="I286" s="114"/>
      <c r="J286" s="114"/>
      <c r="K286" s="114"/>
      <c r="L286" s="114"/>
      <c r="M286" s="114"/>
      <c r="N286" s="287"/>
      <c r="O286" s="287"/>
      <c r="P286" s="105"/>
      <c r="Q286" s="105"/>
      <c r="R286" s="105"/>
      <c r="S286" s="105"/>
    </row>
    <row r="287">
      <c r="A287" s="196">
        <v>285.0</v>
      </c>
      <c r="B287" s="110" t="s">
        <v>3657</v>
      </c>
      <c r="F287" s="310"/>
      <c r="G287" s="310"/>
      <c r="H287" s="310"/>
      <c r="I287" s="110"/>
      <c r="J287" s="110"/>
      <c r="K287" s="110"/>
      <c r="L287" s="110"/>
      <c r="M287" s="110"/>
      <c r="N287" s="310"/>
      <c r="O287" s="310"/>
      <c r="P287" s="105"/>
      <c r="Q287" s="105"/>
      <c r="R287" s="105"/>
      <c r="S287" s="105"/>
    </row>
    <row r="288">
      <c r="A288" s="198">
        <v>286.0</v>
      </c>
      <c r="B288" s="298" t="s">
        <v>3658</v>
      </c>
      <c r="F288" s="200"/>
      <c r="G288" s="200"/>
      <c r="H288" s="200"/>
      <c r="I288" s="93"/>
      <c r="J288" s="93"/>
      <c r="K288" s="93"/>
      <c r="L288" s="93"/>
      <c r="M288" s="93"/>
      <c r="N288" s="200"/>
      <c r="O288" s="200"/>
      <c r="P288" s="105"/>
      <c r="Q288" s="105"/>
      <c r="R288" s="105"/>
      <c r="S288" s="105"/>
    </row>
    <row r="289">
      <c r="A289" s="196">
        <v>287.0</v>
      </c>
      <c r="B289" s="299" t="s">
        <v>1735</v>
      </c>
      <c r="C289" s="299" t="s">
        <v>1737</v>
      </c>
      <c r="D289" s="299" t="s">
        <v>1736</v>
      </c>
      <c r="E289" s="299" t="s">
        <v>1738</v>
      </c>
      <c r="F289" s="262" t="s">
        <v>1815</v>
      </c>
      <c r="G289" s="255"/>
      <c r="H289" s="255"/>
      <c r="I289" s="256" t="s">
        <v>3097</v>
      </c>
      <c r="J289" s="9"/>
      <c r="K289" s="9"/>
      <c r="L289" s="9"/>
      <c r="M289" s="9"/>
      <c r="N289" s="9"/>
      <c r="O289" s="10"/>
      <c r="P289" s="105"/>
      <c r="Q289" s="105"/>
      <c r="R289" s="105"/>
      <c r="S289" s="105"/>
    </row>
    <row r="290">
      <c r="A290" s="198">
        <v>288.0</v>
      </c>
      <c r="B290" s="11"/>
      <c r="C290" s="11"/>
      <c r="D290" s="11"/>
      <c r="E290" s="11"/>
      <c r="F290" s="262"/>
      <c r="G290" s="300"/>
      <c r="H290" s="300" t="s">
        <v>2483</v>
      </c>
      <c r="I290" s="301" t="s">
        <v>3109</v>
      </c>
      <c r="J290" s="302" t="s">
        <v>3095</v>
      </c>
      <c r="K290" s="301" t="s">
        <v>3110</v>
      </c>
      <c r="L290" s="302" t="s">
        <v>3098</v>
      </c>
      <c r="M290" s="303" t="s">
        <v>18</v>
      </c>
      <c r="N290" s="302" t="s">
        <v>2491</v>
      </c>
      <c r="O290" s="304" t="s">
        <v>19</v>
      </c>
      <c r="P290" s="105"/>
      <c r="Q290" s="105"/>
      <c r="R290" s="105"/>
      <c r="S290" s="105"/>
    </row>
    <row r="291">
      <c r="A291" s="196">
        <v>289.0</v>
      </c>
      <c r="B291" s="20"/>
      <c r="C291" s="20"/>
      <c r="D291" s="20"/>
      <c r="E291" s="20"/>
      <c r="F291" s="262"/>
      <c r="G291" s="300"/>
      <c r="H291" s="300"/>
      <c r="I291" s="20"/>
      <c r="J291" s="20"/>
      <c r="K291" s="20"/>
      <c r="L291" s="20"/>
      <c r="M291" s="20"/>
      <c r="N291" s="20"/>
      <c r="O291" s="20"/>
      <c r="P291" s="105"/>
      <c r="Q291" s="105"/>
      <c r="R291" s="105"/>
      <c r="S291" s="105"/>
    </row>
    <row r="292">
      <c r="A292" s="198">
        <v>290.0</v>
      </c>
      <c r="B292" s="100">
        <v>1.0</v>
      </c>
      <c r="C292" s="99" t="s">
        <v>3659</v>
      </c>
      <c r="D292" s="307" t="s">
        <v>3660</v>
      </c>
      <c r="E292" s="99" t="s">
        <v>3661</v>
      </c>
      <c r="F292" s="270" t="s">
        <v>3099</v>
      </c>
      <c r="G292" s="215"/>
      <c r="H292" s="215"/>
      <c r="I292" s="69">
        <v>1.0</v>
      </c>
      <c r="J292" s="222">
        <v>0.0</v>
      </c>
      <c r="K292" s="69">
        <v>0.0</v>
      </c>
      <c r="L292" s="223">
        <f t="shared" ref="L292:L327" si="13">K292+J292</f>
        <v>0</v>
      </c>
      <c r="M292" s="146">
        <f t="shared" ref="M292:M327" si="14">(K292+J292)/(I292+1)</f>
        <v>0</v>
      </c>
      <c r="N292" s="305"/>
      <c r="O292" s="306"/>
      <c r="P292" s="105"/>
      <c r="Q292" s="105"/>
      <c r="R292" s="105"/>
      <c r="S292" s="105"/>
    </row>
    <row r="293">
      <c r="A293" s="196">
        <v>291.0</v>
      </c>
      <c r="B293" s="100">
        <v>2.0</v>
      </c>
      <c r="C293" s="99" t="s">
        <v>3662</v>
      </c>
      <c r="D293" s="99" t="s">
        <v>3663</v>
      </c>
      <c r="E293" s="99" t="s">
        <v>3664</v>
      </c>
      <c r="F293" s="270" t="s">
        <v>3100</v>
      </c>
      <c r="G293" s="215"/>
      <c r="H293" s="215"/>
      <c r="I293" s="69">
        <v>1.0</v>
      </c>
      <c r="J293" s="223">
        <f>iferror(vlookup(E293,MasterClass!$C$2:$G1001,5,false),"")</f>
        <v>1</v>
      </c>
      <c r="K293" s="69">
        <v>0.0</v>
      </c>
      <c r="L293" s="223">
        <f t="shared" si="13"/>
        <v>1</v>
      </c>
      <c r="M293" s="146">
        <f t="shared" si="14"/>
        <v>0.5</v>
      </c>
      <c r="N293" s="305"/>
      <c r="O293" s="306"/>
      <c r="P293" s="105"/>
      <c r="Q293" s="105"/>
      <c r="R293" s="105"/>
      <c r="S293" s="105"/>
    </row>
    <row r="294">
      <c r="A294" s="198">
        <v>292.0</v>
      </c>
      <c r="B294" s="100">
        <v>3.0</v>
      </c>
      <c r="C294" s="99" t="s">
        <v>3665</v>
      </c>
      <c r="D294" s="99" t="s">
        <v>3666</v>
      </c>
      <c r="E294" s="99" t="s">
        <v>3667</v>
      </c>
      <c r="F294" s="270" t="s">
        <v>3100</v>
      </c>
      <c r="G294" s="215"/>
      <c r="H294" s="215"/>
      <c r="I294" s="69">
        <v>1.0</v>
      </c>
      <c r="J294" s="222">
        <v>0.0</v>
      </c>
      <c r="K294" s="69">
        <v>0.0</v>
      </c>
      <c r="L294" s="223">
        <f t="shared" si="13"/>
        <v>0</v>
      </c>
      <c r="M294" s="146">
        <f t="shared" si="14"/>
        <v>0</v>
      </c>
      <c r="N294" s="305"/>
      <c r="O294" s="306"/>
      <c r="P294" s="105"/>
      <c r="Q294" s="105"/>
      <c r="R294" s="105"/>
      <c r="S294" s="105"/>
    </row>
    <row r="295">
      <c r="A295" s="196">
        <v>293.0</v>
      </c>
      <c r="B295" s="100">
        <v>4.0</v>
      </c>
      <c r="C295" s="99" t="s">
        <v>3668</v>
      </c>
      <c r="D295" s="307" t="s">
        <v>3669</v>
      </c>
      <c r="E295" s="99" t="s">
        <v>3670</v>
      </c>
      <c r="F295" s="270" t="s">
        <v>3100</v>
      </c>
      <c r="G295" s="215"/>
      <c r="H295" s="215"/>
      <c r="I295" s="69">
        <v>1.0</v>
      </c>
      <c r="J295" s="222">
        <v>0.0</v>
      </c>
      <c r="K295" s="69">
        <v>0.0</v>
      </c>
      <c r="L295" s="223">
        <f t="shared" si="13"/>
        <v>0</v>
      </c>
      <c r="M295" s="146">
        <f t="shared" si="14"/>
        <v>0</v>
      </c>
      <c r="N295" s="305"/>
      <c r="O295" s="306"/>
      <c r="P295" s="105"/>
      <c r="Q295" s="105"/>
      <c r="R295" s="105"/>
      <c r="S295" s="105"/>
    </row>
    <row r="296">
      <c r="A296" s="198">
        <v>294.0</v>
      </c>
      <c r="B296" s="100">
        <v>5.0</v>
      </c>
      <c r="C296" s="99" t="s">
        <v>3671</v>
      </c>
      <c r="D296" s="99" t="s">
        <v>3672</v>
      </c>
      <c r="E296" s="99" t="s">
        <v>3673</v>
      </c>
      <c r="F296" s="270" t="s">
        <v>3100</v>
      </c>
      <c r="G296" s="215"/>
      <c r="H296" s="215"/>
      <c r="I296" s="69">
        <v>1.0</v>
      </c>
      <c r="J296" s="222">
        <v>0.0</v>
      </c>
      <c r="K296" s="69">
        <v>0.0</v>
      </c>
      <c r="L296" s="223">
        <f t="shared" si="13"/>
        <v>0</v>
      </c>
      <c r="M296" s="146">
        <f t="shared" si="14"/>
        <v>0</v>
      </c>
      <c r="N296" s="305"/>
      <c r="O296" s="306"/>
      <c r="P296" s="105"/>
      <c r="Q296" s="105"/>
      <c r="R296" s="105"/>
      <c r="S296" s="105"/>
    </row>
    <row r="297">
      <c r="A297" s="196">
        <v>295.0</v>
      </c>
      <c r="B297" s="100">
        <v>6.0</v>
      </c>
      <c r="C297" s="99" t="s">
        <v>3674</v>
      </c>
      <c r="D297" s="99" t="s">
        <v>3675</v>
      </c>
      <c r="E297" s="99" t="s">
        <v>3676</v>
      </c>
      <c r="F297" s="270" t="s">
        <v>3100</v>
      </c>
      <c r="G297" s="215"/>
      <c r="H297" s="215"/>
      <c r="I297" s="69">
        <v>1.0</v>
      </c>
      <c r="J297" s="222">
        <v>0.0</v>
      </c>
      <c r="K297" s="69">
        <v>0.0</v>
      </c>
      <c r="L297" s="223">
        <f t="shared" si="13"/>
        <v>0</v>
      </c>
      <c r="M297" s="146">
        <f t="shared" si="14"/>
        <v>0</v>
      </c>
      <c r="N297" s="305"/>
      <c r="O297" s="306"/>
      <c r="P297" s="105"/>
      <c r="Q297" s="105"/>
      <c r="R297" s="105"/>
      <c r="S297" s="105"/>
    </row>
    <row r="298">
      <c r="A298" s="198">
        <v>296.0</v>
      </c>
      <c r="B298" s="100">
        <v>7.0</v>
      </c>
      <c r="C298" s="99" t="s">
        <v>3677</v>
      </c>
      <c r="D298" s="99" t="s">
        <v>3678</v>
      </c>
      <c r="E298" s="99" t="s">
        <v>3679</v>
      </c>
      <c r="F298" s="270" t="s">
        <v>3100</v>
      </c>
      <c r="G298" s="215"/>
      <c r="H298" s="215"/>
      <c r="I298" s="69">
        <v>4.0</v>
      </c>
      <c r="J298" s="222">
        <v>0.0</v>
      </c>
      <c r="K298" s="69">
        <v>0.0</v>
      </c>
      <c r="L298" s="223">
        <f t="shared" si="13"/>
        <v>0</v>
      </c>
      <c r="M298" s="146">
        <f t="shared" si="14"/>
        <v>0</v>
      </c>
      <c r="N298" s="305"/>
      <c r="O298" s="306"/>
      <c r="P298" s="105"/>
      <c r="Q298" s="105"/>
      <c r="R298" s="105"/>
      <c r="S298" s="105"/>
    </row>
    <row r="299">
      <c r="A299" s="196">
        <v>297.0</v>
      </c>
      <c r="B299" s="100">
        <v>8.0</v>
      </c>
      <c r="C299" s="115" t="s">
        <v>3680</v>
      </c>
      <c r="D299" s="314" t="s">
        <v>3681</v>
      </c>
      <c r="E299" s="115" t="s">
        <v>3682</v>
      </c>
      <c r="F299" s="270" t="s">
        <v>3100</v>
      </c>
      <c r="G299" s="215"/>
      <c r="H299" s="215"/>
      <c r="I299" s="69">
        <v>0.0</v>
      </c>
      <c r="J299" s="222">
        <v>0.0</v>
      </c>
      <c r="K299" s="69">
        <v>0.0</v>
      </c>
      <c r="L299" s="223">
        <f t="shared" si="13"/>
        <v>0</v>
      </c>
      <c r="M299" s="146">
        <f t="shared" si="14"/>
        <v>0</v>
      </c>
      <c r="N299" s="305"/>
      <c r="O299" s="306"/>
      <c r="P299" s="105"/>
      <c r="Q299" s="105"/>
      <c r="R299" s="105"/>
      <c r="S299" s="105"/>
    </row>
    <row r="300">
      <c r="A300" s="198">
        <v>298.0</v>
      </c>
      <c r="B300" s="100">
        <v>9.0</v>
      </c>
      <c r="C300" s="99" t="s">
        <v>3683</v>
      </c>
      <c r="D300" s="99" t="s">
        <v>3684</v>
      </c>
      <c r="E300" s="99" t="s">
        <v>3685</v>
      </c>
      <c r="F300" s="270" t="s">
        <v>3099</v>
      </c>
      <c r="G300" s="215"/>
      <c r="H300" s="215"/>
      <c r="I300" s="69">
        <v>0.0</v>
      </c>
      <c r="J300" s="222">
        <v>0.0</v>
      </c>
      <c r="K300" s="69">
        <v>0.0</v>
      </c>
      <c r="L300" s="223">
        <f t="shared" si="13"/>
        <v>0</v>
      </c>
      <c r="M300" s="146">
        <f t="shared" si="14"/>
        <v>0</v>
      </c>
      <c r="N300" s="305"/>
      <c r="O300" s="306"/>
      <c r="P300" s="105"/>
      <c r="Q300" s="105"/>
      <c r="R300" s="105"/>
      <c r="S300" s="105"/>
    </row>
    <row r="301">
      <c r="A301" s="196">
        <v>299.0</v>
      </c>
      <c r="B301" s="100">
        <v>10.0</v>
      </c>
      <c r="C301" s="99" t="s">
        <v>3686</v>
      </c>
      <c r="D301" s="99" t="s">
        <v>3687</v>
      </c>
      <c r="E301" s="99" t="s">
        <v>3688</v>
      </c>
      <c r="F301" s="270" t="s">
        <v>3100</v>
      </c>
      <c r="G301" s="215"/>
      <c r="H301" s="215"/>
      <c r="I301" s="69">
        <v>0.0</v>
      </c>
      <c r="J301" s="222">
        <v>0.0</v>
      </c>
      <c r="K301" s="69">
        <v>0.0</v>
      </c>
      <c r="L301" s="223">
        <f t="shared" si="13"/>
        <v>0</v>
      </c>
      <c r="M301" s="146">
        <f t="shared" si="14"/>
        <v>0</v>
      </c>
      <c r="N301" s="305"/>
      <c r="O301" s="306"/>
      <c r="P301" s="105"/>
      <c r="Q301" s="105"/>
      <c r="R301" s="105"/>
      <c r="S301" s="105"/>
    </row>
    <row r="302">
      <c r="A302" s="198">
        <v>300.0</v>
      </c>
      <c r="B302" s="100">
        <v>11.0</v>
      </c>
      <c r="C302" s="99" t="s">
        <v>3689</v>
      </c>
      <c r="D302" s="99" t="s">
        <v>3690</v>
      </c>
      <c r="E302" s="99" t="s">
        <v>3691</v>
      </c>
      <c r="F302" s="270" t="s">
        <v>3100</v>
      </c>
      <c r="G302" s="215"/>
      <c r="H302" s="215"/>
      <c r="I302" s="69">
        <v>0.0</v>
      </c>
      <c r="J302" s="222">
        <v>0.0</v>
      </c>
      <c r="K302" s="69">
        <v>0.0</v>
      </c>
      <c r="L302" s="223">
        <f t="shared" si="13"/>
        <v>0</v>
      </c>
      <c r="M302" s="146">
        <f t="shared" si="14"/>
        <v>0</v>
      </c>
      <c r="N302" s="215" t="s">
        <v>3188</v>
      </c>
      <c r="O302" s="306"/>
      <c r="P302" s="105"/>
      <c r="Q302" s="105"/>
      <c r="R302" s="105"/>
      <c r="S302" s="105"/>
    </row>
    <row r="303">
      <c r="A303" s="196">
        <v>301.0</v>
      </c>
      <c r="B303" s="100">
        <v>12.0</v>
      </c>
      <c r="C303" s="99" t="s">
        <v>3692</v>
      </c>
      <c r="D303" s="99" t="s">
        <v>3693</v>
      </c>
      <c r="E303" s="99" t="s">
        <v>3694</v>
      </c>
      <c r="F303" s="270" t="s">
        <v>3099</v>
      </c>
      <c r="G303" s="215"/>
      <c r="H303" s="215"/>
      <c r="I303" s="69">
        <v>0.0</v>
      </c>
      <c r="J303" s="222">
        <v>0.0</v>
      </c>
      <c r="K303" s="69">
        <v>0.0</v>
      </c>
      <c r="L303" s="223">
        <f t="shared" si="13"/>
        <v>0</v>
      </c>
      <c r="M303" s="146">
        <f t="shared" si="14"/>
        <v>0</v>
      </c>
      <c r="N303" s="305"/>
      <c r="O303" s="306"/>
      <c r="P303" s="105"/>
      <c r="Q303" s="105"/>
      <c r="R303" s="105"/>
      <c r="S303" s="105"/>
    </row>
    <row r="304">
      <c r="A304" s="198">
        <v>302.0</v>
      </c>
      <c r="B304" s="100">
        <v>13.0</v>
      </c>
      <c r="C304" s="99" t="s">
        <v>3695</v>
      </c>
      <c r="D304" s="99" t="s">
        <v>3696</v>
      </c>
      <c r="E304" s="99" t="s">
        <v>3697</v>
      </c>
      <c r="F304" s="270" t="s">
        <v>3099</v>
      </c>
      <c r="G304" s="215"/>
      <c r="H304" s="215"/>
      <c r="I304" s="69">
        <v>0.0</v>
      </c>
      <c r="J304" s="222">
        <v>0.0</v>
      </c>
      <c r="K304" s="69">
        <v>0.0</v>
      </c>
      <c r="L304" s="223">
        <f t="shared" si="13"/>
        <v>0</v>
      </c>
      <c r="M304" s="146">
        <f t="shared" si="14"/>
        <v>0</v>
      </c>
      <c r="N304" s="305"/>
      <c r="O304" s="306"/>
      <c r="P304" s="105"/>
      <c r="Q304" s="105"/>
      <c r="R304" s="105"/>
      <c r="S304" s="105"/>
    </row>
    <row r="305">
      <c r="A305" s="196">
        <v>303.0</v>
      </c>
      <c r="B305" s="100">
        <v>14.0</v>
      </c>
      <c r="C305" s="99" t="s">
        <v>3698</v>
      </c>
      <c r="D305" s="99" t="s">
        <v>3699</v>
      </c>
      <c r="E305" s="99" t="s">
        <v>3700</v>
      </c>
      <c r="F305" s="270" t="s">
        <v>3099</v>
      </c>
      <c r="G305" s="215"/>
      <c r="H305" s="215"/>
      <c r="I305" s="69">
        <v>0.0</v>
      </c>
      <c r="J305" s="222">
        <v>0.0</v>
      </c>
      <c r="K305" s="69">
        <v>0.0</v>
      </c>
      <c r="L305" s="223">
        <f t="shared" si="13"/>
        <v>0</v>
      </c>
      <c r="M305" s="146">
        <f t="shared" si="14"/>
        <v>0</v>
      </c>
      <c r="N305" s="305"/>
      <c r="O305" s="306"/>
      <c r="P305" s="105"/>
      <c r="Q305" s="105"/>
      <c r="R305" s="105"/>
      <c r="S305" s="105"/>
    </row>
    <row r="306">
      <c r="A306" s="198">
        <v>304.0</v>
      </c>
      <c r="B306" s="100">
        <v>15.0</v>
      </c>
      <c r="C306" s="99" t="s">
        <v>3701</v>
      </c>
      <c r="D306" s="307" t="s">
        <v>3702</v>
      </c>
      <c r="E306" s="99" t="s">
        <v>3703</v>
      </c>
      <c r="F306" s="270" t="s">
        <v>3100</v>
      </c>
      <c r="G306" s="215"/>
      <c r="H306" s="215" t="s">
        <v>2507</v>
      </c>
      <c r="I306" s="69">
        <v>1.0</v>
      </c>
      <c r="J306" s="223">
        <f>iferror(vlookup(E306,MasterClass!$C$2:$G1001,5,false),"")</f>
        <v>1</v>
      </c>
      <c r="K306" s="69">
        <v>1.0</v>
      </c>
      <c r="L306" s="223">
        <f t="shared" si="13"/>
        <v>2</v>
      </c>
      <c r="M306" s="146">
        <f t="shared" si="14"/>
        <v>1</v>
      </c>
      <c r="N306" s="215" t="s">
        <v>3188</v>
      </c>
      <c r="O306" s="306"/>
      <c r="P306" s="105"/>
      <c r="Q306" s="105"/>
      <c r="R306" s="105"/>
      <c r="S306" s="105"/>
    </row>
    <row r="307">
      <c r="A307" s="196">
        <v>305.0</v>
      </c>
      <c r="B307" s="100">
        <v>16.0</v>
      </c>
      <c r="C307" s="99" t="s">
        <v>3704</v>
      </c>
      <c r="D307" s="99" t="s">
        <v>3705</v>
      </c>
      <c r="E307" s="99" t="s">
        <v>3706</v>
      </c>
      <c r="F307" s="270" t="s">
        <v>3099</v>
      </c>
      <c r="G307" s="215"/>
      <c r="H307" s="215"/>
      <c r="I307" s="69">
        <v>1.0</v>
      </c>
      <c r="J307" s="222">
        <v>0.0</v>
      </c>
      <c r="K307" s="69">
        <v>0.0</v>
      </c>
      <c r="L307" s="223">
        <f t="shared" si="13"/>
        <v>0</v>
      </c>
      <c r="M307" s="146">
        <f t="shared" si="14"/>
        <v>0</v>
      </c>
      <c r="N307" s="305"/>
      <c r="O307" s="306"/>
      <c r="P307" s="105"/>
      <c r="Q307" s="105"/>
      <c r="R307" s="105"/>
      <c r="S307" s="105"/>
    </row>
    <row r="308">
      <c r="A308" s="198">
        <v>306.0</v>
      </c>
      <c r="B308" s="100">
        <v>17.0</v>
      </c>
      <c r="C308" s="99" t="s">
        <v>3707</v>
      </c>
      <c r="D308" s="99" t="s">
        <v>3708</v>
      </c>
      <c r="E308" s="99" t="s">
        <v>3709</v>
      </c>
      <c r="F308" s="270" t="s">
        <v>3100</v>
      </c>
      <c r="G308" s="215"/>
      <c r="H308" s="215"/>
      <c r="I308" s="69">
        <v>1.0</v>
      </c>
      <c r="J308" s="222">
        <v>0.0</v>
      </c>
      <c r="K308" s="69">
        <v>0.0</v>
      </c>
      <c r="L308" s="223">
        <f t="shared" si="13"/>
        <v>0</v>
      </c>
      <c r="M308" s="146">
        <f t="shared" si="14"/>
        <v>0</v>
      </c>
      <c r="N308" s="305"/>
      <c r="O308" s="306"/>
      <c r="P308" s="105"/>
      <c r="Q308" s="105"/>
      <c r="R308" s="105"/>
      <c r="S308" s="105"/>
    </row>
    <row r="309">
      <c r="A309" s="196">
        <v>307.0</v>
      </c>
      <c r="B309" s="100">
        <v>18.0</v>
      </c>
      <c r="C309" s="99" t="s">
        <v>3710</v>
      </c>
      <c r="D309" s="99" t="s">
        <v>3711</v>
      </c>
      <c r="E309" s="99" t="s">
        <v>3712</v>
      </c>
      <c r="F309" s="270" t="s">
        <v>3099</v>
      </c>
      <c r="G309" s="215"/>
      <c r="H309" s="215"/>
      <c r="I309" s="69">
        <v>1.0</v>
      </c>
      <c r="J309" s="222">
        <v>0.0</v>
      </c>
      <c r="K309" s="69">
        <v>0.0</v>
      </c>
      <c r="L309" s="223">
        <f t="shared" si="13"/>
        <v>0</v>
      </c>
      <c r="M309" s="146">
        <f t="shared" si="14"/>
        <v>0</v>
      </c>
      <c r="N309" s="305"/>
      <c r="O309" s="306"/>
      <c r="P309" s="105"/>
      <c r="Q309" s="105"/>
      <c r="R309" s="105"/>
      <c r="S309" s="105"/>
    </row>
    <row r="310">
      <c r="A310" s="198">
        <v>308.0</v>
      </c>
      <c r="B310" s="100">
        <v>19.0</v>
      </c>
      <c r="C310" s="99" t="s">
        <v>3713</v>
      </c>
      <c r="D310" s="99" t="s">
        <v>3714</v>
      </c>
      <c r="E310" s="99" t="s">
        <v>3715</v>
      </c>
      <c r="F310" s="270" t="s">
        <v>3100</v>
      </c>
      <c r="G310" s="215"/>
      <c r="H310" s="215"/>
      <c r="I310" s="69">
        <v>1.0</v>
      </c>
      <c r="J310" s="222">
        <v>0.0</v>
      </c>
      <c r="K310" s="69">
        <v>0.0</v>
      </c>
      <c r="L310" s="223">
        <f t="shared" si="13"/>
        <v>0</v>
      </c>
      <c r="M310" s="146">
        <f t="shared" si="14"/>
        <v>0</v>
      </c>
      <c r="N310" s="305"/>
      <c r="O310" s="306"/>
      <c r="P310" s="105"/>
      <c r="Q310" s="105"/>
      <c r="R310" s="105"/>
      <c r="S310" s="105"/>
    </row>
    <row r="311">
      <c r="A311" s="196">
        <v>309.0</v>
      </c>
      <c r="B311" s="100">
        <v>20.0</v>
      </c>
      <c r="C311" s="99" t="s">
        <v>3716</v>
      </c>
      <c r="D311" s="307" t="s">
        <v>3717</v>
      </c>
      <c r="E311" s="99" t="s">
        <v>3718</v>
      </c>
      <c r="F311" s="270" t="s">
        <v>3100</v>
      </c>
      <c r="G311" s="215"/>
      <c r="H311" s="215"/>
      <c r="I311" s="69">
        <v>4.0</v>
      </c>
      <c r="J311" s="222">
        <v>0.0</v>
      </c>
      <c r="K311" s="69">
        <v>2.0</v>
      </c>
      <c r="L311" s="223">
        <f t="shared" si="13"/>
        <v>2</v>
      </c>
      <c r="M311" s="146">
        <f t="shared" si="14"/>
        <v>0.4</v>
      </c>
      <c r="N311" s="305"/>
      <c r="O311" s="306"/>
      <c r="P311" s="105"/>
      <c r="Q311" s="105"/>
      <c r="R311" s="105"/>
      <c r="S311" s="105"/>
    </row>
    <row r="312">
      <c r="A312" s="198">
        <v>310.0</v>
      </c>
      <c r="B312" s="100">
        <v>21.0</v>
      </c>
      <c r="C312" s="99" t="s">
        <v>3719</v>
      </c>
      <c r="D312" s="99" t="s">
        <v>3720</v>
      </c>
      <c r="E312" s="99" t="s">
        <v>3721</v>
      </c>
      <c r="F312" s="270" t="s">
        <v>3100</v>
      </c>
      <c r="G312" s="215"/>
      <c r="H312" s="215"/>
      <c r="I312" s="69">
        <v>1.0</v>
      </c>
      <c r="J312" s="222">
        <v>0.0</v>
      </c>
      <c r="K312" s="69">
        <v>0.0</v>
      </c>
      <c r="L312" s="223">
        <f t="shared" si="13"/>
        <v>0</v>
      </c>
      <c r="M312" s="146">
        <f t="shared" si="14"/>
        <v>0</v>
      </c>
      <c r="N312" s="305"/>
      <c r="O312" s="306"/>
      <c r="P312" s="105"/>
      <c r="Q312" s="105"/>
      <c r="R312" s="105"/>
      <c r="S312" s="105"/>
    </row>
    <row r="313">
      <c r="A313" s="196">
        <v>311.0</v>
      </c>
      <c r="B313" s="100">
        <v>22.0</v>
      </c>
      <c r="C313" s="99" t="s">
        <v>3722</v>
      </c>
      <c r="D313" s="99" t="s">
        <v>3723</v>
      </c>
      <c r="E313" s="99" t="s">
        <v>3724</v>
      </c>
      <c r="F313" s="270" t="s">
        <v>3100</v>
      </c>
      <c r="G313" s="215"/>
      <c r="H313" s="215"/>
      <c r="I313" s="69">
        <v>1.0</v>
      </c>
      <c r="J313" s="222">
        <v>0.0</v>
      </c>
      <c r="K313" s="69">
        <v>0.0</v>
      </c>
      <c r="L313" s="223">
        <f t="shared" si="13"/>
        <v>0</v>
      </c>
      <c r="M313" s="146">
        <f t="shared" si="14"/>
        <v>0</v>
      </c>
      <c r="N313" s="305"/>
      <c r="O313" s="306"/>
      <c r="P313" s="105"/>
      <c r="Q313" s="105"/>
      <c r="R313" s="105"/>
      <c r="S313" s="105"/>
    </row>
    <row r="314">
      <c r="A314" s="198">
        <v>312.0</v>
      </c>
      <c r="B314" s="100">
        <v>23.0</v>
      </c>
      <c r="C314" s="99" t="s">
        <v>3725</v>
      </c>
      <c r="D314" s="307" t="s">
        <v>3726</v>
      </c>
      <c r="E314" s="99" t="s">
        <v>3727</v>
      </c>
      <c r="F314" s="270" t="s">
        <v>3100</v>
      </c>
      <c r="G314" s="215"/>
      <c r="H314" s="215"/>
      <c r="I314" s="69">
        <v>1.0</v>
      </c>
      <c r="J314" s="222">
        <v>0.0</v>
      </c>
      <c r="K314" s="69">
        <v>0.0</v>
      </c>
      <c r="L314" s="223">
        <f t="shared" si="13"/>
        <v>0</v>
      </c>
      <c r="M314" s="146">
        <f t="shared" si="14"/>
        <v>0</v>
      </c>
      <c r="N314" s="305"/>
      <c r="O314" s="306"/>
      <c r="P314" s="105"/>
      <c r="Q314" s="105"/>
      <c r="R314" s="105"/>
      <c r="S314" s="105"/>
    </row>
    <row r="315">
      <c r="A315" s="196">
        <v>313.0</v>
      </c>
      <c r="B315" s="100">
        <v>24.0</v>
      </c>
      <c r="C315" s="99" t="s">
        <v>3728</v>
      </c>
      <c r="D315" s="307" t="s">
        <v>3729</v>
      </c>
      <c r="E315" s="99" t="s">
        <v>3730</v>
      </c>
      <c r="F315" s="270" t="s">
        <v>3100</v>
      </c>
      <c r="G315" s="215"/>
      <c r="H315" s="215"/>
      <c r="I315" s="69">
        <v>1.0</v>
      </c>
      <c r="J315" s="222">
        <v>0.0</v>
      </c>
      <c r="K315" s="69">
        <v>0.0</v>
      </c>
      <c r="L315" s="223">
        <f t="shared" si="13"/>
        <v>0</v>
      </c>
      <c r="M315" s="146">
        <f t="shared" si="14"/>
        <v>0</v>
      </c>
      <c r="N315" s="305"/>
      <c r="O315" s="306"/>
      <c r="P315" s="105"/>
      <c r="Q315" s="105"/>
      <c r="R315" s="105"/>
      <c r="S315" s="105"/>
    </row>
    <row r="316">
      <c r="A316" s="198">
        <v>314.0</v>
      </c>
      <c r="B316" s="100">
        <v>25.0</v>
      </c>
      <c r="C316" s="99" t="s">
        <v>3731</v>
      </c>
      <c r="D316" s="307" t="s">
        <v>3732</v>
      </c>
      <c r="E316" s="99" t="s">
        <v>3733</v>
      </c>
      <c r="F316" s="270" t="s">
        <v>3099</v>
      </c>
      <c r="G316" s="215"/>
      <c r="H316" s="215"/>
      <c r="I316" s="69">
        <v>1.0</v>
      </c>
      <c r="J316" s="223">
        <f>iferror(vlookup(E316,MasterClass!$C$2:$G1001,5,false),"")</f>
        <v>1</v>
      </c>
      <c r="K316" s="69">
        <v>0.0</v>
      </c>
      <c r="L316" s="223">
        <f t="shared" si="13"/>
        <v>1</v>
      </c>
      <c r="M316" s="146">
        <f t="shared" si="14"/>
        <v>0.5</v>
      </c>
      <c r="N316" s="215" t="s">
        <v>3188</v>
      </c>
      <c r="O316" s="306"/>
      <c r="P316" s="105"/>
      <c r="Q316" s="105"/>
      <c r="R316" s="105"/>
      <c r="S316" s="105"/>
    </row>
    <row r="317">
      <c r="A317" s="196">
        <v>315.0</v>
      </c>
      <c r="B317" s="100">
        <v>26.0</v>
      </c>
      <c r="C317" s="99" t="s">
        <v>3734</v>
      </c>
      <c r="D317" s="307" t="s">
        <v>3735</v>
      </c>
      <c r="E317" s="99" t="s">
        <v>3736</v>
      </c>
      <c r="F317" s="270" t="s">
        <v>3099</v>
      </c>
      <c r="G317" s="215"/>
      <c r="H317" s="215"/>
      <c r="I317" s="69">
        <v>1.0</v>
      </c>
      <c r="J317" s="222">
        <v>0.0</v>
      </c>
      <c r="K317" s="69">
        <v>0.0</v>
      </c>
      <c r="L317" s="223">
        <f t="shared" si="13"/>
        <v>0</v>
      </c>
      <c r="M317" s="146">
        <f t="shared" si="14"/>
        <v>0</v>
      </c>
      <c r="N317" s="305"/>
      <c r="O317" s="306"/>
      <c r="P317" s="105"/>
      <c r="Q317" s="105"/>
      <c r="R317" s="105"/>
      <c r="S317" s="105"/>
    </row>
    <row r="318">
      <c r="A318" s="198">
        <v>316.0</v>
      </c>
      <c r="B318" s="100">
        <v>27.0</v>
      </c>
      <c r="C318" s="115" t="s">
        <v>3737</v>
      </c>
      <c r="D318" s="314" t="s">
        <v>3738</v>
      </c>
      <c r="E318" s="115" t="s">
        <v>3739</v>
      </c>
      <c r="F318" s="270" t="s">
        <v>3099</v>
      </c>
      <c r="G318" s="215"/>
      <c r="H318" s="215"/>
      <c r="I318" s="69">
        <v>1.0</v>
      </c>
      <c r="J318" s="222">
        <v>0.0</v>
      </c>
      <c r="K318" s="69">
        <v>0.0</v>
      </c>
      <c r="L318" s="223">
        <f t="shared" si="13"/>
        <v>0</v>
      </c>
      <c r="M318" s="146">
        <f t="shared" si="14"/>
        <v>0</v>
      </c>
      <c r="N318" s="305"/>
      <c r="O318" s="306"/>
      <c r="P318" s="105"/>
      <c r="Q318" s="105"/>
      <c r="R318" s="105"/>
      <c r="S318" s="105"/>
    </row>
    <row r="319">
      <c r="A319" s="196">
        <v>317.0</v>
      </c>
      <c r="B319" s="100">
        <v>28.0</v>
      </c>
      <c r="C319" s="99" t="s">
        <v>3740</v>
      </c>
      <c r="D319" s="99" t="s">
        <v>3741</v>
      </c>
      <c r="E319" s="260" t="s">
        <v>3742</v>
      </c>
      <c r="F319" s="270" t="s">
        <v>3100</v>
      </c>
      <c r="G319" s="215"/>
      <c r="H319" s="215" t="s">
        <v>2507</v>
      </c>
      <c r="I319" s="69">
        <v>1.0</v>
      </c>
      <c r="J319" s="222">
        <v>0.0</v>
      </c>
      <c r="K319" s="69">
        <v>1.0</v>
      </c>
      <c r="L319" s="223">
        <f t="shared" si="13"/>
        <v>1</v>
      </c>
      <c r="M319" s="146">
        <f t="shared" si="14"/>
        <v>0.5</v>
      </c>
      <c r="N319" s="215" t="s">
        <v>3188</v>
      </c>
      <c r="O319" s="306"/>
      <c r="P319" s="105"/>
      <c r="Q319" s="105"/>
      <c r="R319" s="105"/>
      <c r="S319" s="105"/>
    </row>
    <row r="320">
      <c r="A320" s="198">
        <v>318.0</v>
      </c>
      <c r="B320" s="100">
        <v>29.0</v>
      </c>
      <c r="C320" s="99" t="s">
        <v>3743</v>
      </c>
      <c r="D320" s="307" t="s">
        <v>3744</v>
      </c>
      <c r="E320" s="99" t="s">
        <v>3745</v>
      </c>
      <c r="F320" s="270" t="s">
        <v>3099</v>
      </c>
      <c r="G320" s="215"/>
      <c r="H320" s="215"/>
      <c r="I320" s="69">
        <v>1.0</v>
      </c>
      <c r="J320" s="222">
        <v>0.0</v>
      </c>
      <c r="K320" s="69">
        <v>0.0</v>
      </c>
      <c r="L320" s="223">
        <f t="shared" si="13"/>
        <v>0</v>
      </c>
      <c r="M320" s="146">
        <f t="shared" si="14"/>
        <v>0</v>
      </c>
      <c r="N320" s="305"/>
      <c r="O320" s="306"/>
      <c r="P320" s="105"/>
      <c r="Q320" s="105"/>
      <c r="R320" s="105"/>
      <c r="S320" s="105"/>
    </row>
    <row r="321">
      <c r="A321" s="196">
        <v>319.0</v>
      </c>
      <c r="B321" s="100">
        <v>30.0</v>
      </c>
      <c r="C321" s="99" t="s">
        <v>3746</v>
      </c>
      <c r="D321" s="307" t="s">
        <v>3747</v>
      </c>
      <c r="E321" s="99" t="s">
        <v>3748</v>
      </c>
      <c r="F321" s="270" t="s">
        <v>3099</v>
      </c>
      <c r="G321" s="215"/>
      <c r="H321" s="215"/>
      <c r="I321" s="69">
        <v>1.0</v>
      </c>
      <c r="J321" s="222">
        <v>0.0</v>
      </c>
      <c r="K321" s="69">
        <v>0.0</v>
      </c>
      <c r="L321" s="223">
        <f t="shared" si="13"/>
        <v>0</v>
      </c>
      <c r="M321" s="146">
        <f t="shared" si="14"/>
        <v>0</v>
      </c>
      <c r="N321" s="305"/>
      <c r="O321" s="306"/>
      <c r="P321" s="105"/>
      <c r="Q321" s="105"/>
      <c r="R321" s="105"/>
      <c r="S321" s="105"/>
    </row>
    <row r="322">
      <c r="A322" s="198">
        <v>320.0</v>
      </c>
      <c r="B322" s="100">
        <v>31.0</v>
      </c>
      <c r="C322" s="99" t="s">
        <v>3749</v>
      </c>
      <c r="D322" s="99" t="s">
        <v>3750</v>
      </c>
      <c r="E322" s="99" t="s">
        <v>3751</v>
      </c>
      <c r="F322" s="270" t="s">
        <v>3100</v>
      </c>
      <c r="G322" s="215"/>
      <c r="H322" s="215"/>
      <c r="I322" s="69">
        <v>1.0</v>
      </c>
      <c r="J322" s="222">
        <v>0.0</v>
      </c>
      <c r="K322" s="69">
        <v>0.0</v>
      </c>
      <c r="L322" s="223">
        <f t="shared" si="13"/>
        <v>0</v>
      </c>
      <c r="M322" s="146">
        <f t="shared" si="14"/>
        <v>0</v>
      </c>
      <c r="N322" s="305"/>
      <c r="O322" s="306"/>
      <c r="P322" s="105"/>
      <c r="Q322" s="105"/>
      <c r="R322" s="105"/>
      <c r="S322" s="105"/>
    </row>
    <row r="323">
      <c r="A323" s="196">
        <v>321.0</v>
      </c>
      <c r="B323" s="100">
        <v>32.0</v>
      </c>
      <c r="C323" s="99" t="s">
        <v>3752</v>
      </c>
      <c r="D323" s="99" t="s">
        <v>3753</v>
      </c>
      <c r="E323" s="99" t="s">
        <v>3754</v>
      </c>
      <c r="F323" s="270" t="s">
        <v>3100</v>
      </c>
      <c r="G323" s="215"/>
      <c r="H323" s="215"/>
      <c r="I323" s="69">
        <v>1.0</v>
      </c>
      <c r="J323" s="222">
        <v>0.0</v>
      </c>
      <c r="K323" s="69">
        <v>0.0</v>
      </c>
      <c r="L323" s="223">
        <f t="shared" si="13"/>
        <v>0</v>
      </c>
      <c r="M323" s="146">
        <f t="shared" si="14"/>
        <v>0</v>
      </c>
      <c r="N323" s="305"/>
      <c r="O323" s="306"/>
      <c r="P323" s="105"/>
      <c r="Q323" s="105"/>
      <c r="R323" s="105"/>
      <c r="S323" s="105"/>
    </row>
    <row r="324">
      <c r="A324" s="198">
        <v>322.0</v>
      </c>
      <c r="B324" s="100">
        <v>33.0</v>
      </c>
      <c r="C324" s="99" t="s">
        <v>3755</v>
      </c>
      <c r="D324" s="307" t="s">
        <v>3756</v>
      </c>
      <c r="E324" s="99" t="s">
        <v>3757</v>
      </c>
      <c r="F324" s="270" t="s">
        <v>3099</v>
      </c>
      <c r="G324" s="215"/>
      <c r="H324" s="215"/>
      <c r="I324" s="69">
        <v>1.0</v>
      </c>
      <c r="J324" s="222">
        <v>0.0</v>
      </c>
      <c r="K324" s="69">
        <v>0.0</v>
      </c>
      <c r="L324" s="223">
        <f t="shared" si="13"/>
        <v>0</v>
      </c>
      <c r="M324" s="146">
        <f t="shared" si="14"/>
        <v>0</v>
      </c>
      <c r="N324" s="305"/>
      <c r="O324" s="306"/>
      <c r="P324" s="105"/>
      <c r="Q324" s="105"/>
      <c r="R324" s="105"/>
      <c r="S324" s="105"/>
    </row>
    <row r="325">
      <c r="A325" s="196">
        <v>323.0</v>
      </c>
      <c r="B325" s="100">
        <v>34.0</v>
      </c>
      <c r="C325" s="99" t="s">
        <v>3758</v>
      </c>
      <c r="D325" s="99" t="s">
        <v>3759</v>
      </c>
      <c r="E325" s="99" t="s">
        <v>3760</v>
      </c>
      <c r="F325" s="270" t="s">
        <v>3100</v>
      </c>
      <c r="G325" s="215"/>
      <c r="H325" s="215"/>
      <c r="I325" s="69">
        <v>3.0</v>
      </c>
      <c r="J325" s="222">
        <v>0.0</v>
      </c>
      <c r="K325" s="69">
        <v>1.0</v>
      </c>
      <c r="L325" s="223">
        <f t="shared" si="13"/>
        <v>1</v>
      </c>
      <c r="M325" s="146">
        <f t="shared" si="14"/>
        <v>0.25</v>
      </c>
      <c r="N325" s="305"/>
      <c r="O325" s="306"/>
      <c r="P325" s="105"/>
      <c r="Q325" s="105"/>
      <c r="R325" s="105"/>
      <c r="S325" s="105"/>
    </row>
    <row r="326">
      <c r="A326" s="198">
        <v>324.0</v>
      </c>
      <c r="B326" s="100">
        <v>35.0</v>
      </c>
      <c r="C326" s="99" t="s">
        <v>3761</v>
      </c>
      <c r="D326" s="307" t="s">
        <v>3762</v>
      </c>
      <c r="E326" s="99" t="s">
        <v>3763</v>
      </c>
      <c r="F326" s="270" t="s">
        <v>3100</v>
      </c>
      <c r="G326" s="228"/>
      <c r="H326" s="228"/>
      <c r="I326" s="69">
        <v>1.0</v>
      </c>
      <c r="J326" s="222">
        <v>0.0</v>
      </c>
      <c r="K326" s="69">
        <v>0.0</v>
      </c>
      <c r="L326" s="223">
        <f t="shared" si="13"/>
        <v>0</v>
      </c>
      <c r="M326" s="146">
        <f t="shared" si="14"/>
        <v>0</v>
      </c>
      <c r="N326" s="305"/>
      <c r="O326" s="306"/>
      <c r="P326" s="105"/>
      <c r="Q326" s="105"/>
      <c r="R326" s="105"/>
      <c r="S326" s="105"/>
    </row>
    <row r="327">
      <c r="A327" s="196">
        <v>325.0</v>
      </c>
      <c r="B327" s="100">
        <v>36.0</v>
      </c>
      <c r="C327" s="99">
        <v>2.32410412E8</v>
      </c>
      <c r="D327" s="307" t="s">
        <v>3764</v>
      </c>
      <c r="E327" s="99" t="s">
        <v>3765</v>
      </c>
      <c r="F327" s="270" t="s">
        <v>3099</v>
      </c>
      <c r="G327" s="228"/>
      <c r="H327" s="228"/>
      <c r="I327" s="69">
        <v>1.0</v>
      </c>
      <c r="J327" s="222">
        <v>0.0</v>
      </c>
      <c r="K327" s="69">
        <v>0.0</v>
      </c>
      <c r="L327" s="223">
        <f t="shared" si="13"/>
        <v>0</v>
      </c>
      <c r="M327" s="146">
        <f t="shared" si="14"/>
        <v>0</v>
      </c>
      <c r="N327" s="305"/>
      <c r="O327" s="306"/>
      <c r="P327" s="105"/>
      <c r="Q327" s="105"/>
      <c r="R327" s="105"/>
      <c r="S327" s="105"/>
    </row>
    <row r="328">
      <c r="A328" s="198">
        <v>326.0</v>
      </c>
      <c r="B328" s="106"/>
      <c r="C328" s="309" t="s">
        <v>3101</v>
      </c>
      <c r="D328" s="105"/>
      <c r="E328" s="246">
        <f>COUNTIF(F292:F327,"L")</f>
        <v>14</v>
      </c>
      <c r="F328" s="105"/>
      <c r="G328" s="105"/>
      <c r="H328" s="105"/>
      <c r="I328" s="106"/>
      <c r="J328" s="106"/>
      <c r="K328" s="106"/>
      <c r="L328" s="106"/>
      <c r="M328" s="106"/>
      <c r="N328" s="105"/>
      <c r="O328" s="105"/>
      <c r="P328" s="105"/>
      <c r="Q328" s="105"/>
      <c r="R328" s="105"/>
      <c r="S328" s="105"/>
    </row>
    <row r="329">
      <c r="A329" s="196">
        <v>327.0</v>
      </c>
      <c r="B329" s="106"/>
      <c r="C329" s="309" t="s">
        <v>3102</v>
      </c>
      <c r="D329" s="105"/>
      <c r="E329" s="246">
        <f>COUNTIF(F292:F327,"P")</f>
        <v>22</v>
      </c>
      <c r="F329" s="105"/>
      <c r="G329" s="105"/>
      <c r="H329" s="105"/>
      <c r="I329" s="106"/>
      <c r="J329" s="106"/>
      <c r="K329" s="106"/>
      <c r="L329" s="106"/>
      <c r="M329" s="106"/>
      <c r="N329" s="105"/>
      <c r="O329" s="232"/>
      <c r="P329" s="105"/>
      <c r="Q329" s="105"/>
      <c r="R329" s="105"/>
      <c r="S329" s="105"/>
    </row>
    <row r="330">
      <c r="A330" s="198">
        <v>328.0</v>
      </c>
      <c r="B330" s="106"/>
      <c r="C330" s="309" t="s">
        <v>3104</v>
      </c>
      <c r="D330" s="105"/>
      <c r="E330" s="246">
        <f>SUM(E328:E329)</f>
        <v>36</v>
      </c>
      <c r="F330" s="105"/>
      <c r="G330" s="105"/>
      <c r="H330" s="105"/>
      <c r="I330" s="106"/>
      <c r="J330" s="106"/>
      <c r="K330" s="106"/>
      <c r="L330" s="106"/>
      <c r="M330" s="106"/>
      <c r="N330" s="105"/>
      <c r="O330" s="232"/>
      <c r="P330" s="105"/>
      <c r="Q330" s="105"/>
      <c r="R330" s="105"/>
      <c r="S330" s="105"/>
    </row>
    <row r="331">
      <c r="A331" s="196">
        <v>329.0</v>
      </c>
      <c r="B331" s="197"/>
      <c r="C331" s="189"/>
      <c r="D331" s="189"/>
      <c r="E331" s="189"/>
      <c r="F331" s="189"/>
      <c r="G331" s="189"/>
      <c r="H331" s="189"/>
      <c r="I331" s="197"/>
      <c r="J331" s="197"/>
      <c r="K331" s="197"/>
      <c r="L331" s="197"/>
      <c r="M331" s="197"/>
      <c r="N331" s="189"/>
      <c r="O331" s="189"/>
      <c r="P331" s="105"/>
      <c r="Q331" s="105"/>
      <c r="R331" s="105"/>
      <c r="S331" s="105"/>
    </row>
    <row r="332">
      <c r="A332" s="198">
        <v>330.0</v>
      </c>
      <c r="B332" s="114" t="s">
        <v>3111</v>
      </c>
      <c r="F332" s="287"/>
      <c r="G332" s="287"/>
      <c r="H332" s="287"/>
      <c r="I332" s="114"/>
      <c r="J332" s="114"/>
      <c r="K332" s="114"/>
      <c r="L332" s="114"/>
      <c r="M332" s="114"/>
      <c r="N332" s="287"/>
      <c r="O332" s="287"/>
      <c r="P332" s="105"/>
      <c r="Q332" s="105"/>
      <c r="R332" s="105"/>
      <c r="S332" s="105"/>
    </row>
    <row r="333">
      <c r="A333" s="196">
        <v>331.0</v>
      </c>
      <c r="B333" s="114" t="s">
        <v>3112</v>
      </c>
      <c r="F333" s="287"/>
      <c r="G333" s="287"/>
      <c r="H333" s="287"/>
      <c r="I333" s="114"/>
      <c r="J333" s="114"/>
      <c r="K333" s="114"/>
      <c r="L333" s="114"/>
      <c r="M333" s="114"/>
      <c r="N333" s="287"/>
      <c r="O333" s="287"/>
      <c r="P333" s="105"/>
      <c r="Q333" s="105"/>
      <c r="R333" s="105"/>
      <c r="S333" s="105"/>
    </row>
    <row r="334">
      <c r="A334" s="198">
        <v>332.0</v>
      </c>
      <c r="B334" s="110" t="s">
        <v>3766</v>
      </c>
      <c r="F334" s="310"/>
      <c r="G334" s="310"/>
      <c r="H334" s="310"/>
      <c r="I334" s="110"/>
      <c r="J334" s="110"/>
      <c r="K334" s="110"/>
      <c r="L334" s="110"/>
      <c r="M334" s="110"/>
      <c r="N334" s="310"/>
      <c r="O334" s="310"/>
      <c r="P334" s="105"/>
      <c r="Q334" s="105"/>
      <c r="R334" s="105"/>
      <c r="S334" s="105"/>
    </row>
    <row r="335">
      <c r="A335" s="196">
        <v>333.0</v>
      </c>
      <c r="B335" s="298" t="s">
        <v>3767</v>
      </c>
      <c r="F335" s="200"/>
      <c r="G335" s="200"/>
      <c r="H335" s="200"/>
      <c r="I335" s="93"/>
      <c r="J335" s="93"/>
      <c r="K335" s="93"/>
      <c r="L335" s="93"/>
      <c r="M335" s="93"/>
      <c r="N335" s="200"/>
      <c r="O335" s="200"/>
      <c r="P335" s="105"/>
      <c r="Q335" s="105"/>
      <c r="R335" s="105"/>
      <c r="S335" s="105"/>
    </row>
    <row r="336">
      <c r="A336" s="198">
        <v>334.0</v>
      </c>
      <c r="B336" s="299" t="s">
        <v>1735</v>
      </c>
      <c r="C336" s="299" t="s">
        <v>1737</v>
      </c>
      <c r="D336" s="299" t="s">
        <v>1736</v>
      </c>
      <c r="E336" s="299" t="s">
        <v>1738</v>
      </c>
      <c r="F336" s="262" t="s">
        <v>1815</v>
      </c>
      <c r="G336" s="255"/>
      <c r="H336" s="255"/>
      <c r="I336" s="256" t="s">
        <v>3097</v>
      </c>
      <c r="J336" s="9"/>
      <c r="K336" s="9"/>
      <c r="L336" s="9"/>
      <c r="M336" s="9"/>
      <c r="N336" s="9"/>
      <c r="O336" s="10"/>
      <c r="P336" s="105"/>
      <c r="Q336" s="105"/>
      <c r="R336" s="105"/>
      <c r="S336" s="105"/>
    </row>
    <row r="337">
      <c r="A337" s="196">
        <v>335.0</v>
      </c>
      <c r="B337" s="11"/>
      <c r="C337" s="11"/>
      <c r="D337" s="11"/>
      <c r="E337" s="11"/>
      <c r="F337" s="262"/>
      <c r="G337" s="300"/>
      <c r="H337" s="300" t="s">
        <v>2483</v>
      </c>
      <c r="I337" s="301" t="s">
        <v>3109</v>
      </c>
      <c r="J337" s="302" t="s">
        <v>3095</v>
      </c>
      <c r="K337" s="301" t="s">
        <v>3110</v>
      </c>
      <c r="L337" s="302" t="s">
        <v>3098</v>
      </c>
      <c r="M337" s="303" t="s">
        <v>18</v>
      </c>
      <c r="N337" s="302" t="s">
        <v>2491</v>
      </c>
      <c r="O337" s="304" t="s">
        <v>19</v>
      </c>
      <c r="P337" s="105"/>
      <c r="Q337" s="105"/>
      <c r="R337" s="105"/>
      <c r="S337" s="105"/>
    </row>
    <row r="338">
      <c r="A338" s="198">
        <v>336.0</v>
      </c>
      <c r="B338" s="20"/>
      <c r="C338" s="20"/>
      <c r="D338" s="20"/>
      <c r="E338" s="20"/>
      <c r="F338" s="262"/>
      <c r="G338" s="300"/>
      <c r="H338" s="300"/>
      <c r="I338" s="20"/>
      <c r="J338" s="20"/>
      <c r="K338" s="20"/>
      <c r="L338" s="20"/>
      <c r="M338" s="20"/>
      <c r="N338" s="20"/>
      <c r="O338" s="20"/>
      <c r="P338" s="105"/>
      <c r="Q338" s="105"/>
      <c r="R338" s="105"/>
      <c r="S338" s="105"/>
    </row>
    <row r="339">
      <c r="A339" s="196">
        <v>337.0</v>
      </c>
      <c r="B339" s="100">
        <v>1.0</v>
      </c>
      <c r="C339" s="99" t="s">
        <v>3768</v>
      </c>
      <c r="D339" s="307" t="s">
        <v>3769</v>
      </c>
      <c r="E339" s="99" t="s">
        <v>3770</v>
      </c>
      <c r="F339" s="99" t="s">
        <v>3099</v>
      </c>
      <c r="G339" s="215"/>
      <c r="H339" s="215"/>
      <c r="I339" s="69">
        <v>1.0</v>
      </c>
      <c r="J339" s="222">
        <v>0.0</v>
      </c>
      <c r="K339" s="69">
        <v>0.0</v>
      </c>
      <c r="L339" s="223">
        <f t="shared" ref="L339:L374" si="15">K339+J339</f>
        <v>0</v>
      </c>
      <c r="M339" s="146">
        <f t="shared" ref="M339:M374" si="16">(K339+J339)/(I339+1)</f>
        <v>0</v>
      </c>
      <c r="N339" s="305"/>
      <c r="O339" s="306"/>
      <c r="P339" s="105"/>
      <c r="Q339" s="105"/>
      <c r="R339" s="105"/>
      <c r="S339" s="105"/>
    </row>
    <row r="340">
      <c r="A340" s="198">
        <v>338.0</v>
      </c>
      <c r="B340" s="100">
        <v>2.0</v>
      </c>
      <c r="C340" s="99" t="s">
        <v>3771</v>
      </c>
      <c r="D340" s="99" t="s">
        <v>3772</v>
      </c>
      <c r="E340" s="99" t="s">
        <v>3773</v>
      </c>
      <c r="F340" s="99" t="s">
        <v>3100</v>
      </c>
      <c r="G340" s="215"/>
      <c r="H340" s="215"/>
      <c r="I340" s="69">
        <v>1.0</v>
      </c>
      <c r="J340" s="222">
        <v>0.0</v>
      </c>
      <c r="K340" s="69">
        <v>0.0</v>
      </c>
      <c r="L340" s="223">
        <f t="shared" si="15"/>
        <v>0</v>
      </c>
      <c r="M340" s="146">
        <f t="shared" si="16"/>
        <v>0</v>
      </c>
      <c r="N340" s="305"/>
      <c r="O340" s="306"/>
      <c r="P340" s="105"/>
      <c r="Q340" s="105"/>
      <c r="R340" s="105"/>
      <c r="S340" s="105"/>
    </row>
    <row r="341">
      <c r="A341" s="196">
        <v>339.0</v>
      </c>
      <c r="B341" s="100">
        <v>3.0</v>
      </c>
      <c r="C341" s="99">
        <v>2.32410034E8</v>
      </c>
      <c r="D341" s="307" t="s">
        <v>3774</v>
      </c>
      <c r="E341" s="99" t="s">
        <v>3775</v>
      </c>
      <c r="F341" s="99" t="s">
        <v>3100</v>
      </c>
      <c r="G341" s="215"/>
      <c r="H341" s="215"/>
      <c r="I341" s="69">
        <v>1.0</v>
      </c>
      <c r="J341" s="222">
        <v>0.0</v>
      </c>
      <c r="K341" s="69">
        <v>0.0</v>
      </c>
      <c r="L341" s="223">
        <f t="shared" si="15"/>
        <v>0</v>
      </c>
      <c r="M341" s="146">
        <f t="shared" si="16"/>
        <v>0</v>
      </c>
      <c r="N341" s="305"/>
      <c r="O341" s="306"/>
      <c r="P341" s="105"/>
      <c r="Q341" s="105"/>
      <c r="R341" s="105"/>
      <c r="S341" s="105"/>
    </row>
    <row r="342">
      <c r="A342" s="198">
        <v>340.0</v>
      </c>
      <c r="B342" s="100">
        <v>4.0</v>
      </c>
      <c r="C342" s="99" t="s">
        <v>3776</v>
      </c>
      <c r="D342" s="99" t="s">
        <v>3777</v>
      </c>
      <c r="E342" s="99" t="s">
        <v>3778</v>
      </c>
      <c r="F342" s="99" t="s">
        <v>3100</v>
      </c>
      <c r="G342" s="215"/>
      <c r="H342" s="215"/>
      <c r="I342" s="69">
        <v>1.0</v>
      </c>
      <c r="J342" s="222">
        <v>0.0</v>
      </c>
      <c r="K342" s="69">
        <v>0.0</v>
      </c>
      <c r="L342" s="223">
        <f t="shared" si="15"/>
        <v>0</v>
      </c>
      <c r="M342" s="146">
        <f t="shared" si="16"/>
        <v>0</v>
      </c>
      <c r="N342" s="305"/>
      <c r="O342" s="306"/>
      <c r="P342" s="105"/>
      <c r="Q342" s="105"/>
      <c r="R342" s="105"/>
      <c r="S342" s="105"/>
    </row>
    <row r="343">
      <c r="A343" s="196">
        <v>341.0</v>
      </c>
      <c r="B343" s="100">
        <v>5.0</v>
      </c>
      <c r="C343" s="99" t="s">
        <v>3779</v>
      </c>
      <c r="D343" s="99" t="s">
        <v>3780</v>
      </c>
      <c r="E343" s="99" t="s">
        <v>3781</v>
      </c>
      <c r="F343" s="99" t="s">
        <v>3100</v>
      </c>
      <c r="G343" s="215"/>
      <c r="H343" s="215"/>
      <c r="I343" s="69">
        <v>1.0</v>
      </c>
      <c r="J343" s="222">
        <v>0.0</v>
      </c>
      <c r="K343" s="69">
        <v>0.0</v>
      </c>
      <c r="L343" s="223">
        <f t="shared" si="15"/>
        <v>0</v>
      </c>
      <c r="M343" s="146">
        <f t="shared" si="16"/>
        <v>0</v>
      </c>
      <c r="N343" s="305"/>
      <c r="O343" s="306"/>
      <c r="P343" s="105"/>
      <c r="Q343" s="105"/>
      <c r="R343" s="105"/>
      <c r="S343" s="105"/>
    </row>
    <row r="344">
      <c r="A344" s="198">
        <v>342.0</v>
      </c>
      <c r="B344" s="100">
        <v>6.0</v>
      </c>
      <c r="C344" s="99" t="s">
        <v>3782</v>
      </c>
      <c r="D344" s="99" t="s">
        <v>3783</v>
      </c>
      <c r="E344" s="99" t="s">
        <v>3784</v>
      </c>
      <c r="F344" s="99" t="s">
        <v>3100</v>
      </c>
      <c r="G344" s="215"/>
      <c r="H344" s="215"/>
      <c r="I344" s="69">
        <v>1.0</v>
      </c>
      <c r="J344" s="222">
        <v>0.0</v>
      </c>
      <c r="K344" s="69">
        <v>0.0</v>
      </c>
      <c r="L344" s="223">
        <f t="shared" si="15"/>
        <v>0</v>
      </c>
      <c r="M344" s="146">
        <f t="shared" si="16"/>
        <v>0</v>
      </c>
      <c r="N344" s="305"/>
      <c r="O344" s="306"/>
      <c r="P344" s="105"/>
      <c r="Q344" s="105"/>
      <c r="R344" s="105"/>
      <c r="S344" s="105"/>
    </row>
    <row r="345">
      <c r="A345" s="196">
        <v>343.0</v>
      </c>
      <c r="B345" s="100">
        <v>7.0</v>
      </c>
      <c r="C345" s="99" t="s">
        <v>3785</v>
      </c>
      <c r="D345" s="307" t="s">
        <v>3786</v>
      </c>
      <c r="E345" s="99" t="s">
        <v>3787</v>
      </c>
      <c r="F345" s="99" t="s">
        <v>3100</v>
      </c>
      <c r="G345" s="215"/>
      <c r="H345" s="215"/>
      <c r="I345" s="69">
        <v>1.0</v>
      </c>
      <c r="J345" s="222">
        <v>0.0</v>
      </c>
      <c r="K345" s="69">
        <v>0.0</v>
      </c>
      <c r="L345" s="223">
        <f t="shared" si="15"/>
        <v>0</v>
      </c>
      <c r="M345" s="146">
        <f t="shared" si="16"/>
        <v>0</v>
      </c>
      <c r="N345" s="305"/>
      <c r="O345" s="306"/>
      <c r="P345" s="105"/>
      <c r="Q345" s="105"/>
      <c r="R345" s="105"/>
      <c r="S345" s="105"/>
    </row>
    <row r="346">
      <c r="A346" s="198">
        <v>344.0</v>
      </c>
      <c r="B346" s="100">
        <v>8.0</v>
      </c>
      <c r="C346" s="99" t="s">
        <v>3788</v>
      </c>
      <c r="D346" s="307" t="s">
        <v>3789</v>
      </c>
      <c r="E346" s="99" t="s">
        <v>3790</v>
      </c>
      <c r="F346" s="99" t="s">
        <v>3099</v>
      </c>
      <c r="G346" s="215"/>
      <c r="H346" s="215"/>
      <c r="I346" s="69">
        <v>1.0</v>
      </c>
      <c r="J346" s="222">
        <v>0.0</v>
      </c>
      <c r="K346" s="69">
        <v>0.0</v>
      </c>
      <c r="L346" s="223">
        <f t="shared" si="15"/>
        <v>0</v>
      </c>
      <c r="M346" s="146">
        <f t="shared" si="16"/>
        <v>0</v>
      </c>
      <c r="N346" s="305"/>
      <c r="O346" s="306"/>
      <c r="P346" s="105"/>
      <c r="Q346" s="105"/>
      <c r="R346" s="105"/>
      <c r="S346" s="105"/>
    </row>
    <row r="347">
      <c r="A347" s="196">
        <v>345.0</v>
      </c>
      <c r="B347" s="100">
        <v>9.0</v>
      </c>
      <c r="C347" s="99" t="s">
        <v>3791</v>
      </c>
      <c r="D347" s="307" t="s">
        <v>3792</v>
      </c>
      <c r="E347" s="99" t="s">
        <v>3793</v>
      </c>
      <c r="F347" s="99" t="s">
        <v>3100</v>
      </c>
      <c r="G347" s="215"/>
      <c r="H347" s="215"/>
      <c r="I347" s="69">
        <v>1.0</v>
      </c>
      <c r="J347" s="222">
        <v>0.0</v>
      </c>
      <c r="K347" s="69">
        <v>0.0</v>
      </c>
      <c r="L347" s="223">
        <f t="shared" si="15"/>
        <v>0</v>
      </c>
      <c r="M347" s="146">
        <f t="shared" si="16"/>
        <v>0</v>
      </c>
      <c r="N347" s="305"/>
      <c r="O347" s="306"/>
      <c r="P347" s="105"/>
      <c r="Q347" s="105"/>
      <c r="R347" s="105"/>
      <c r="S347" s="105"/>
    </row>
    <row r="348">
      <c r="A348" s="198">
        <v>346.0</v>
      </c>
      <c r="B348" s="100">
        <v>10.0</v>
      </c>
      <c r="C348" s="99" t="s">
        <v>3794</v>
      </c>
      <c r="D348" s="307" t="s">
        <v>3795</v>
      </c>
      <c r="E348" s="99" t="s">
        <v>3796</v>
      </c>
      <c r="F348" s="99" t="s">
        <v>3100</v>
      </c>
      <c r="G348" s="215"/>
      <c r="H348" s="215"/>
      <c r="I348" s="69">
        <v>1.0</v>
      </c>
      <c r="J348" s="222">
        <v>0.0</v>
      </c>
      <c r="K348" s="69">
        <v>0.0</v>
      </c>
      <c r="L348" s="223">
        <f t="shared" si="15"/>
        <v>0</v>
      </c>
      <c r="M348" s="146">
        <f t="shared" si="16"/>
        <v>0</v>
      </c>
      <c r="N348" s="305"/>
      <c r="O348" s="306"/>
      <c r="P348" s="105"/>
      <c r="Q348" s="105"/>
      <c r="R348" s="105"/>
      <c r="S348" s="105"/>
    </row>
    <row r="349">
      <c r="A349" s="196">
        <v>347.0</v>
      </c>
      <c r="B349" s="100">
        <v>11.0</v>
      </c>
      <c r="C349" s="99" t="s">
        <v>3797</v>
      </c>
      <c r="D349" s="317" t="s">
        <v>3203</v>
      </c>
      <c r="E349" s="99" t="s">
        <v>3798</v>
      </c>
      <c r="F349" s="99" t="s">
        <v>3100</v>
      </c>
      <c r="G349" s="215"/>
      <c r="H349" s="215"/>
      <c r="I349" s="69">
        <v>3.0</v>
      </c>
      <c r="J349" s="222">
        <v>0.0</v>
      </c>
      <c r="K349" s="69">
        <v>1.0</v>
      </c>
      <c r="L349" s="223">
        <f t="shared" si="15"/>
        <v>1</v>
      </c>
      <c r="M349" s="146">
        <f t="shared" si="16"/>
        <v>0.25</v>
      </c>
      <c r="N349" s="305"/>
      <c r="O349" s="306"/>
      <c r="P349" s="105"/>
      <c r="Q349" s="105"/>
      <c r="R349" s="105"/>
      <c r="S349" s="105"/>
    </row>
    <row r="350">
      <c r="A350" s="198">
        <v>348.0</v>
      </c>
      <c r="B350" s="100">
        <v>12.0</v>
      </c>
      <c r="C350" s="99" t="s">
        <v>3799</v>
      </c>
      <c r="D350" s="307" t="s">
        <v>3800</v>
      </c>
      <c r="E350" s="99" t="s">
        <v>3801</v>
      </c>
      <c r="F350" s="99" t="s">
        <v>3100</v>
      </c>
      <c r="G350" s="215"/>
      <c r="H350" s="215"/>
      <c r="I350" s="69">
        <v>1.0</v>
      </c>
      <c r="J350" s="222">
        <v>0.0</v>
      </c>
      <c r="K350" s="69">
        <v>0.0</v>
      </c>
      <c r="L350" s="223">
        <f t="shared" si="15"/>
        <v>0</v>
      </c>
      <c r="M350" s="146">
        <f t="shared" si="16"/>
        <v>0</v>
      </c>
      <c r="N350" s="305"/>
      <c r="O350" s="306"/>
      <c r="P350" s="105"/>
      <c r="Q350" s="105"/>
      <c r="R350" s="105"/>
      <c r="S350" s="105"/>
    </row>
    <row r="351">
      <c r="A351" s="196">
        <v>349.0</v>
      </c>
      <c r="B351" s="100">
        <v>13.0</v>
      </c>
      <c r="C351" s="99" t="s">
        <v>3802</v>
      </c>
      <c r="D351" s="307" t="s">
        <v>3125</v>
      </c>
      <c r="E351" s="99" t="s">
        <v>3803</v>
      </c>
      <c r="F351" s="99" t="s">
        <v>3100</v>
      </c>
      <c r="G351" s="215"/>
      <c r="H351" s="215"/>
      <c r="I351" s="69">
        <v>1.0</v>
      </c>
      <c r="J351" s="222">
        <v>0.0</v>
      </c>
      <c r="K351" s="69">
        <v>0.0</v>
      </c>
      <c r="L351" s="223">
        <f t="shared" si="15"/>
        <v>0</v>
      </c>
      <c r="M351" s="146">
        <f t="shared" si="16"/>
        <v>0</v>
      </c>
      <c r="N351" s="305"/>
      <c r="O351" s="306"/>
      <c r="P351" s="105"/>
      <c r="Q351" s="105"/>
      <c r="R351" s="105"/>
      <c r="S351" s="105"/>
    </row>
    <row r="352">
      <c r="A352" s="198">
        <v>350.0</v>
      </c>
      <c r="B352" s="100">
        <v>14.0</v>
      </c>
      <c r="C352" s="99" t="s">
        <v>3804</v>
      </c>
      <c r="D352" s="99" t="s">
        <v>3805</v>
      </c>
      <c r="E352" s="99" t="s">
        <v>3806</v>
      </c>
      <c r="F352" s="99" t="s">
        <v>3099</v>
      </c>
      <c r="G352" s="215"/>
      <c r="H352" s="215"/>
      <c r="I352" s="69">
        <v>1.0</v>
      </c>
      <c r="J352" s="222">
        <v>0.0</v>
      </c>
      <c r="K352" s="69">
        <v>0.0</v>
      </c>
      <c r="L352" s="223">
        <f t="shared" si="15"/>
        <v>0</v>
      </c>
      <c r="M352" s="146">
        <f t="shared" si="16"/>
        <v>0</v>
      </c>
      <c r="N352" s="305"/>
      <c r="O352" s="306"/>
      <c r="P352" s="105"/>
      <c r="Q352" s="105"/>
      <c r="R352" s="105"/>
      <c r="S352" s="105"/>
    </row>
    <row r="353">
      <c r="A353" s="196">
        <v>351.0</v>
      </c>
      <c r="B353" s="100">
        <v>15.0</v>
      </c>
      <c r="C353" s="99" t="s">
        <v>3807</v>
      </c>
      <c r="D353" s="307" t="s">
        <v>3808</v>
      </c>
      <c r="E353" s="99" t="s">
        <v>3809</v>
      </c>
      <c r="F353" s="99" t="s">
        <v>3100</v>
      </c>
      <c r="G353" s="215"/>
      <c r="H353" s="215"/>
      <c r="I353" s="69">
        <v>1.0</v>
      </c>
      <c r="J353" s="222">
        <v>0.0</v>
      </c>
      <c r="K353" s="69">
        <v>0.0</v>
      </c>
      <c r="L353" s="223">
        <f t="shared" si="15"/>
        <v>0</v>
      </c>
      <c r="M353" s="146">
        <f t="shared" si="16"/>
        <v>0</v>
      </c>
      <c r="N353" s="305"/>
      <c r="O353" s="306"/>
      <c r="P353" s="105"/>
      <c r="Q353" s="105"/>
      <c r="R353" s="105"/>
      <c r="S353" s="105"/>
    </row>
    <row r="354">
      <c r="A354" s="198">
        <v>352.0</v>
      </c>
      <c r="B354" s="100">
        <v>16.0</v>
      </c>
      <c r="C354" s="99" t="s">
        <v>3810</v>
      </c>
      <c r="D354" s="307" t="s">
        <v>3811</v>
      </c>
      <c r="E354" s="99" t="s">
        <v>3812</v>
      </c>
      <c r="F354" s="99" t="s">
        <v>3100</v>
      </c>
      <c r="G354" s="215"/>
      <c r="H354" s="215"/>
      <c r="I354" s="69">
        <v>1.0</v>
      </c>
      <c r="J354" s="222">
        <v>0.0</v>
      </c>
      <c r="K354" s="69">
        <v>0.0</v>
      </c>
      <c r="L354" s="223">
        <f t="shared" si="15"/>
        <v>0</v>
      </c>
      <c r="M354" s="146">
        <f t="shared" si="16"/>
        <v>0</v>
      </c>
      <c r="N354" s="305"/>
      <c r="O354" s="306"/>
      <c r="P354" s="105"/>
      <c r="Q354" s="105"/>
      <c r="R354" s="105"/>
      <c r="S354" s="105"/>
    </row>
    <row r="355">
      <c r="A355" s="196">
        <v>353.0</v>
      </c>
      <c r="B355" s="100">
        <v>17.0</v>
      </c>
      <c r="C355" s="99" t="s">
        <v>3813</v>
      </c>
      <c r="D355" s="99" t="s">
        <v>3814</v>
      </c>
      <c r="E355" s="99" t="s">
        <v>3815</v>
      </c>
      <c r="F355" s="99" t="s">
        <v>3100</v>
      </c>
      <c r="G355" s="215"/>
      <c r="H355" s="215"/>
      <c r="I355" s="69">
        <v>1.0</v>
      </c>
      <c r="J355" s="222">
        <v>0.0</v>
      </c>
      <c r="K355" s="69">
        <v>0.0</v>
      </c>
      <c r="L355" s="223">
        <f t="shared" si="15"/>
        <v>0</v>
      </c>
      <c r="M355" s="146">
        <f t="shared" si="16"/>
        <v>0</v>
      </c>
      <c r="N355" s="305"/>
      <c r="O355" s="306"/>
      <c r="P355" s="105"/>
      <c r="Q355" s="105"/>
      <c r="R355" s="105"/>
      <c r="S355" s="105"/>
    </row>
    <row r="356">
      <c r="A356" s="198">
        <v>354.0</v>
      </c>
      <c r="B356" s="100">
        <v>18.0</v>
      </c>
      <c r="C356" s="99" t="s">
        <v>3816</v>
      </c>
      <c r="D356" s="307" t="s">
        <v>3817</v>
      </c>
      <c r="E356" s="99" t="s">
        <v>3818</v>
      </c>
      <c r="F356" s="99" t="s">
        <v>3099</v>
      </c>
      <c r="G356" s="215"/>
      <c r="H356" s="215"/>
      <c r="I356" s="69">
        <v>1.0</v>
      </c>
      <c r="J356" s="222">
        <v>0.0</v>
      </c>
      <c r="K356" s="69">
        <v>0.0</v>
      </c>
      <c r="L356" s="223">
        <f t="shared" si="15"/>
        <v>0</v>
      </c>
      <c r="M356" s="146">
        <f t="shared" si="16"/>
        <v>0</v>
      </c>
      <c r="N356" s="305"/>
      <c r="O356" s="306"/>
      <c r="P356" s="105"/>
      <c r="Q356" s="105"/>
      <c r="R356" s="105"/>
      <c r="S356" s="105"/>
    </row>
    <row r="357">
      <c r="A357" s="196">
        <v>355.0</v>
      </c>
      <c r="B357" s="100">
        <v>19.0</v>
      </c>
      <c r="C357" s="99" t="s">
        <v>3819</v>
      </c>
      <c r="D357" s="307" t="s">
        <v>3820</v>
      </c>
      <c r="E357" s="99" t="s">
        <v>3821</v>
      </c>
      <c r="F357" s="99" t="s">
        <v>3099</v>
      </c>
      <c r="G357" s="215"/>
      <c r="H357" s="215"/>
      <c r="I357" s="69">
        <v>1.0</v>
      </c>
      <c r="J357" s="222">
        <v>0.0</v>
      </c>
      <c r="K357" s="69">
        <v>0.0</v>
      </c>
      <c r="L357" s="223">
        <f t="shared" si="15"/>
        <v>0</v>
      </c>
      <c r="M357" s="146">
        <f t="shared" si="16"/>
        <v>0</v>
      </c>
      <c r="N357" s="305"/>
      <c r="O357" s="306"/>
      <c r="P357" s="105"/>
      <c r="Q357" s="105"/>
      <c r="R357" s="105"/>
      <c r="S357" s="105"/>
    </row>
    <row r="358">
      <c r="A358" s="198">
        <v>356.0</v>
      </c>
      <c r="B358" s="100">
        <v>20.0</v>
      </c>
      <c r="C358" s="99" t="s">
        <v>3822</v>
      </c>
      <c r="D358" s="307" t="s">
        <v>3823</v>
      </c>
      <c r="E358" s="99" t="s">
        <v>3824</v>
      </c>
      <c r="F358" s="99" t="s">
        <v>3099</v>
      </c>
      <c r="G358" s="215"/>
      <c r="H358" s="215"/>
      <c r="I358" s="69">
        <v>1.0</v>
      </c>
      <c r="J358" s="222">
        <v>0.0</v>
      </c>
      <c r="K358" s="69">
        <v>0.0</v>
      </c>
      <c r="L358" s="223">
        <f t="shared" si="15"/>
        <v>0</v>
      </c>
      <c r="M358" s="146">
        <f t="shared" si="16"/>
        <v>0</v>
      </c>
      <c r="N358" s="305"/>
      <c r="O358" s="306"/>
      <c r="P358" s="105"/>
      <c r="Q358" s="105"/>
      <c r="R358" s="105"/>
      <c r="S358" s="105"/>
    </row>
    <row r="359">
      <c r="A359" s="196">
        <v>357.0</v>
      </c>
      <c r="B359" s="100">
        <v>21.0</v>
      </c>
      <c r="C359" s="99" t="s">
        <v>3825</v>
      </c>
      <c r="D359" s="307" t="s">
        <v>3826</v>
      </c>
      <c r="E359" s="99" t="s">
        <v>3827</v>
      </c>
      <c r="F359" s="99" t="s">
        <v>3100</v>
      </c>
      <c r="G359" s="215"/>
      <c r="H359" s="215"/>
      <c r="I359" s="69">
        <v>1.0</v>
      </c>
      <c r="J359" s="222">
        <v>0.0</v>
      </c>
      <c r="K359" s="69">
        <v>0.0</v>
      </c>
      <c r="L359" s="223">
        <f t="shared" si="15"/>
        <v>0</v>
      </c>
      <c r="M359" s="146">
        <f t="shared" si="16"/>
        <v>0</v>
      </c>
      <c r="N359" s="305"/>
      <c r="O359" s="306"/>
      <c r="P359" s="105"/>
      <c r="Q359" s="105"/>
      <c r="R359" s="105"/>
      <c r="S359" s="105"/>
    </row>
    <row r="360">
      <c r="A360" s="198">
        <v>358.0</v>
      </c>
      <c r="B360" s="100">
        <v>22.0</v>
      </c>
      <c r="C360" s="99" t="s">
        <v>3828</v>
      </c>
      <c r="D360" s="307" t="s">
        <v>3829</v>
      </c>
      <c r="E360" s="99" t="s">
        <v>3830</v>
      </c>
      <c r="F360" s="99" t="s">
        <v>3100</v>
      </c>
      <c r="G360" s="215"/>
      <c r="H360" s="215"/>
      <c r="I360" s="69">
        <v>1.0</v>
      </c>
      <c r="J360" s="222">
        <v>0.0</v>
      </c>
      <c r="K360" s="69">
        <v>0.0</v>
      </c>
      <c r="L360" s="223">
        <f t="shared" si="15"/>
        <v>0</v>
      </c>
      <c r="M360" s="146">
        <f t="shared" si="16"/>
        <v>0</v>
      </c>
      <c r="N360" s="305"/>
      <c r="O360" s="306"/>
      <c r="P360" s="105"/>
      <c r="Q360" s="105"/>
      <c r="R360" s="105"/>
      <c r="S360" s="105"/>
    </row>
    <row r="361">
      <c r="A361" s="196">
        <v>359.0</v>
      </c>
      <c r="B361" s="100">
        <v>23.0</v>
      </c>
      <c r="C361" s="99" t="s">
        <v>3831</v>
      </c>
      <c r="D361" s="307" t="s">
        <v>3832</v>
      </c>
      <c r="E361" s="99" t="s">
        <v>3833</v>
      </c>
      <c r="F361" s="99" t="s">
        <v>3100</v>
      </c>
      <c r="G361" s="215"/>
      <c r="H361" s="215"/>
      <c r="I361" s="69">
        <v>1.0</v>
      </c>
      <c r="J361" s="222">
        <v>0.0</v>
      </c>
      <c r="K361" s="69">
        <v>0.0</v>
      </c>
      <c r="L361" s="223">
        <f t="shared" si="15"/>
        <v>0</v>
      </c>
      <c r="M361" s="146">
        <f t="shared" si="16"/>
        <v>0</v>
      </c>
      <c r="N361" s="305"/>
      <c r="O361" s="306"/>
      <c r="P361" s="105"/>
      <c r="Q361" s="105"/>
      <c r="R361" s="105"/>
      <c r="S361" s="105"/>
    </row>
    <row r="362">
      <c r="A362" s="198">
        <v>360.0</v>
      </c>
      <c r="B362" s="100">
        <v>24.0</v>
      </c>
      <c r="C362" s="99" t="s">
        <v>3834</v>
      </c>
      <c r="D362" s="307" t="s">
        <v>3835</v>
      </c>
      <c r="E362" s="99" t="s">
        <v>3836</v>
      </c>
      <c r="F362" s="99" t="s">
        <v>3100</v>
      </c>
      <c r="G362" s="215"/>
      <c r="H362" s="215"/>
      <c r="I362" s="69">
        <v>1.0</v>
      </c>
      <c r="J362" s="222">
        <v>0.0</v>
      </c>
      <c r="K362" s="69">
        <v>0.0</v>
      </c>
      <c r="L362" s="223">
        <f t="shared" si="15"/>
        <v>0</v>
      </c>
      <c r="M362" s="146">
        <f t="shared" si="16"/>
        <v>0</v>
      </c>
      <c r="N362" s="305"/>
      <c r="O362" s="306"/>
      <c r="P362" s="105"/>
      <c r="Q362" s="105"/>
      <c r="R362" s="105"/>
      <c r="S362" s="105"/>
    </row>
    <row r="363">
      <c r="A363" s="196">
        <v>361.0</v>
      </c>
      <c r="B363" s="100">
        <v>25.0</v>
      </c>
      <c r="C363" s="99" t="s">
        <v>3837</v>
      </c>
      <c r="D363" s="307" t="s">
        <v>3838</v>
      </c>
      <c r="E363" s="99" t="s">
        <v>3839</v>
      </c>
      <c r="F363" s="99" t="s">
        <v>3099</v>
      </c>
      <c r="G363" s="215"/>
      <c r="H363" s="215"/>
      <c r="I363" s="69">
        <v>1.0</v>
      </c>
      <c r="J363" s="222">
        <v>0.0</v>
      </c>
      <c r="K363" s="69">
        <v>0.0</v>
      </c>
      <c r="L363" s="223">
        <f t="shared" si="15"/>
        <v>0</v>
      </c>
      <c r="M363" s="146">
        <f t="shared" si="16"/>
        <v>0</v>
      </c>
      <c r="N363" s="305"/>
      <c r="O363" s="306"/>
      <c r="P363" s="105"/>
      <c r="Q363" s="105"/>
      <c r="R363" s="105"/>
      <c r="S363" s="105"/>
    </row>
    <row r="364">
      <c r="A364" s="198">
        <v>362.0</v>
      </c>
      <c r="B364" s="100">
        <v>26.0</v>
      </c>
      <c r="C364" s="99" t="s">
        <v>3840</v>
      </c>
      <c r="D364" s="99" t="s">
        <v>3841</v>
      </c>
      <c r="E364" s="99" t="s">
        <v>3842</v>
      </c>
      <c r="F364" s="99" t="s">
        <v>3099</v>
      </c>
      <c r="G364" s="215"/>
      <c r="H364" s="215"/>
      <c r="I364" s="69">
        <v>1.0</v>
      </c>
      <c r="J364" s="222">
        <v>0.0</v>
      </c>
      <c r="K364" s="69">
        <v>0.0</v>
      </c>
      <c r="L364" s="223">
        <f t="shared" si="15"/>
        <v>0</v>
      </c>
      <c r="M364" s="146">
        <f t="shared" si="16"/>
        <v>0</v>
      </c>
      <c r="N364" s="305"/>
      <c r="O364" s="306"/>
      <c r="P364" s="105"/>
      <c r="Q364" s="105"/>
      <c r="R364" s="105"/>
      <c r="S364" s="105"/>
    </row>
    <row r="365">
      <c r="A365" s="196">
        <v>363.0</v>
      </c>
      <c r="B365" s="100">
        <v>27.0</v>
      </c>
      <c r="C365" s="99" t="s">
        <v>3843</v>
      </c>
      <c r="D365" s="307" t="s">
        <v>3844</v>
      </c>
      <c r="E365" s="99" t="s">
        <v>3845</v>
      </c>
      <c r="F365" s="99" t="s">
        <v>3099</v>
      </c>
      <c r="G365" s="215"/>
      <c r="H365" s="215"/>
      <c r="I365" s="69">
        <v>1.0</v>
      </c>
      <c r="J365" s="222">
        <v>0.0</v>
      </c>
      <c r="K365" s="69">
        <v>0.0</v>
      </c>
      <c r="L365" s="223">
        <f t="shared" si="15"/>
        <v>0</v>
      </c>
      <c r="M365" s="146">
        <f t="shared" si="16"/>
        <v>0</v>
      </c>
      <c r="N365" s="305"/>
      <c r="O365" s="306"/>
      <c r="P365" s="105"/>
      <c r="Q365" s="105"/>
      <c r="R365" s="105"/>
      <c r="S365" s="105"/>
    </row>
    <row r="366">
      <c r="A366" s="198">
        <v>364.0</v>
      </c>
      <c r="B366" s="100">
        <v>28.0</v>
      </c>
      <c r="C366" s="99" t="s">
        <v>3846</v>
      </c>
      <c r="D366" s="99" t="s">
        <v>3847</v>
      </c>
      <c r="E366" s="99" t="s">
        <v>3848</v>
      </c>
      <c r="F366" s="99" t="s">
        <v>3099</v>
      </c>
      <c r="G366" s="215"/>
      <c r="H366" s="215"/>
      <c r="I366" s="69">
        <v>1.0</v>
      </c>
      <c r="J366" s="222">
        <v>0.0</v>
      </c>
      <c r="K366" s="69">
        <v>0.0</v>
      </c>
      <c r="L366" s="223">
        <f t="shared" si="15"/>
        <v>0</v>
      </c>
      <c r="M366" s="146">
        <f t="shared" si="16"/>
        <v>0</v>
      </c>
      <c r="N366" s="305"/>
      <c r="O366" s="306"/>
      <c r="P366" s="105"/>
      <c r="Q366" s="105"/>
      <c r="R366" s="105"/>
      <c r="S366" s="105"/>
    </row>
    <row r="367">
      <c r="A367" s="196">
        <v>365.0</v>
      </c>
      <c r="B367" s="100">
        <v>29.0</v>
      </c>
      <c r="C367" s="99" t="s">
        <v>3849</v>
      </c>
      <c r="D367" s="307" t="s">
        <v>3850</v>
      </c>
      <c r="E367" s="99" t="s">
        <v>3851</v>
      </c>
      <c r="F367" s="99" t="s">
        <v>3100</v>
      </c>
      <c r="G367" s="215"/>
      <c r="H367" s="215"/>
      <c r="I367" s="69">
        <v>1.0</v>
      </c>
      <c r="J367" s="222">
        <v>0.0</v>
      </c>
      <c r="K367" s="69">
        <v>0.0</v>
      </c>
      <c r="L367" s="223">
        <f t="shared" si="15"/>
        <v>0</v>
      </c>
      <c r="M367" s="146">
        <f t="shared" si="16"/>
        <v>0</v>
      </c>
      <c r="N367" s="305"/>
      <c r="O367" s="306"/>
      <c r="P367" s="105"/>
      <c r="Q367" s="105"/>
      <c r="R367" s="105"/>
      <c r="S367" s="105"/>
    </row>
    <row r="368">
      <c r="A368" s="198">
        <v>366.0</v>
      </c>
      <c r="B368" s="100">
        <v>30.0</v>
      </c>
      <c r="C368" s="99" t="s">
        <v>3852</v>
      </c>
      <c r="D368" s="307" t="s">
        <v>3853</v>
      </c>
      <c r="E368" s="99" t="s">
        <v>3854</v>
      </c>
      <c r="F368" s="99" t="s">
        <v>3100</v>
      </c>
      <c r="G368" s="215"/>
      <c r="H368" s="215"/>
      <c r="I368" s="69">
        <v>1.0</v>
      </c>
      <c r="J368" s="222">
        <v>0.0</v>
      </c>
      <c r="K368" s="69">
        <v>0.0</v>
      </c>
      <c r="L368" s="223">
        <f t="shared" si="15"/>
        <v>0</v>
      </c>
      <c r="M368" s="146">
        <f t="shared" si="16"/>
        <v>0</v>
      </c>
      <c r="N368" s="305"/>
      <c r="O368" s="306"/>
      <c r="P368" s="105"/>
      <c r="Q368" s="105"/>
      <c r="R368" s="105"/>
      <c r="S368" s="105"/>
    </row>
    <row r="369">
      <c r="A369" s="196">
        <v>367.0</v>
      </c>
      <c r="B369" s="100">
        <v>31.0</v>
      </c>
      <c r="C369" s="99" t="s">
        <v>3855</v>
      </c>
      <c r="D369" s="307" t="s">
        <v>3856</v>
      </c>
      <c r="E369" s="99" t="s">
        <v>3857</v>
      </c>
      <c r="F369" s="99" t="s">
        <v>3100</v>
      </c>
      <c r="G369" s="215"/>
      <c r="H369" s="215"/>
      <c r="I369" s="69">
        <v>1.0</v>
      </c>
      <c r="J369" s="222">
        <v>0.0</v>
      </c>
      <c r="K369" s="69">
        <v>0.0</v>
      </c>
      <c r="L369" s="223">
        <f t="shared" si="15"/>
        <v>0</v>
      </c>
      <c r="M369" s="146">
        <f t="shared" si="16"/>
        <v>0</v>
      </c>
      <c r="N369" s="305"/>
      <c r="O369" s="306"/>
      <c r="P369" s="105"/>
      <c r="Q369" s="105"/>
      <c r="R369" s="105"/>
      <c r="S369" s="105"/>
    </row>
    <row r="370">
      <c r="A370" s="198">
        <v>368.0</v>
      </c>
      <c r="B370" s="100">
        <v>32.0</v>
      </c>
      <c r="C370" s="99" t="s">
        <v>3858</v>
      </c>
      <c r="D370" s="307" t="s">
        <v>3859</v>
      </c>
      <c r="E370" s="99" t="s">
        <v>3860</v>
      </c>
      <c r="F370" s="99" t="s">
        <v>3100</v>
      </c>
      <c r="G370" s="215"/>
      <c r="H370" s="215"/>
      <c r="I370" s="69">
        <v>1.0</v>
      </c>
      <c r="J370" s="222">
        <v>0.0</v>
      </c>
      <c r="K370" s="69">
        <v>0.0</v>
      </c>
      <c r="L370" s="223">
        <f t="shared" si="15"/>
        <v>0</v>
      </c>
      <c r="M370" s="146">
        <f t="shared" si="16"/>
        <v>0</v>
      </c>
      <c r="N370" s="305"/>
      <c r="O370" s="306"/>
      <c r="P370" s="105"/>
      <c r="Q370" s="105"/>
      <c r="R370" s="105"/>
      <c r="S370" s="105"/>
    </row>
    <row r="371">
      <c r="A371" s="196">
        <v>369.0</v>
      </c>
      <c r="B371" s="100">
        <v>33.0</v>
      </c>
      <c r="C371" s="99" t="s">
        <v>3861</v>
      </c>
      <c r="D371" s="307" t="s">
        <v>3862</v>
      </c>
      <c r="E371" s="99" t="s">
        <v>3863</v>
      </c>
      <c r="F371" s="99" t="s">
        <v>3100</v>
      </c>
      <c r="G371" s="215"/>
      <c r="H371" s="215"/>
      <c r="I371" s="69">
        <v>4.0</v>
      </c>
      <c r="J371" s="222">
        <v>0.0</v>
      </c>
      <c r="K371" s="69">
        <v>2.0</v>
      </c>
      <c r="L371" s="223">
        <f t="shared" si="15"/>
        <v>2</v>
      </c>
      <c r="M371" s="146">
        <f t="shared" si="16"/>
        <v>0.4</v>
      </c>
      <c r="N371" s="305"/>
      <c r="O371" s="306"/>
      <c r="P371" s="105"/>
      <c r="Q371" s="105"/>
      <c r="R371" s="105"/>
      <c r="S371" s="105"/>
    </row>
    <row r="372">
      <c r="A372" s="198">
        <v>370.0</v>
      </c>
      <c r="B372" s="100">
        <v>34.0</v>
      </c>
      <c r="C372" s="99">
        <v>2.32410408E8</v>
      </c>
      <c r="D372" s="307" t="s">
        <v>3864</v>
      </c>
      <c r="E372" s="99" t="s">
        <v>3865</v>
      </c>
      <c r="F372" s="99" t="s">
        <v>3099</v>
      </c>
      <c r="G372" s="215"/>
      <c r="H372" s="215"/>
      <c r="I372" s="69">
        <v>1.0</v>
      </c>
      <c r="J372" s="222">
        <v>0.0</v>
      </c>
      <c r="K372" s="69">
        <v>0.0</v>
      </c>
      <c r="L372" s="223">
        <f t="shared" si="15"/>
        <v>0</v>
      </c>
      <c r="M372" s="146">
        <f t="shared" si="16"/>
        <v>0</v>
      </c>
      <c r="N372" s="305"/>
      <c r="O372" s="306"/>
      <c r="P372" s="105"/>
      <c r="Q372" s="105"/>
      <c r="R372" s="105"/>
      <c r="S372" s="105"/>
    </row>
    <row r="373">
      <c r="A373" s="196">
        <v>371.0</v>
      </c>
      <c r="B373" s="100">
        <v>35.0</v>
      </c>
      <c r="C373" s="99" t="s">
        <v>3866</v>
      </c>
      <c r="D373" s="318" t="s">
        <v>3867</v>
      </c>
      <c r="E373" s="99" t="s">
        <v>3868</v>
      </c>
      <c r="F373" s="99" t="s">
        <v>3100</v>
      </c>
      <c r="G373" s="228"/>
      <c r="H373" s="228"/>
      <c r="I373" s="69">
        <v>1.0</v>
      </c>
      <c r="J373" s="222">
        <v>0.0</v>
      </c>
      <c r="K373" s="69">
        <v>0.0</v>
      </c>
      <c r="L373" s="223">
        <f t="shared" si="15"/>
        <v>0</v>
      </c>
      <c r="M373" s="146">
        <f t="shared" si="16"/>
        <v>0</v>
      </c>
      <c r="N373" s="305"/>
      <c r="O373" s="306"/>
      <c r="P373" s="105"/>
      <c r="Q373" s="105"/>
      <c r="R373" s="105"/>
      <c r="S373" s="105"/>
    </row>
    <row r="374">
      <c r="A374" s="198">
        <v>372.0</v>
      </c>
      <c r="B374" s="100">
        <v>36.0</v>
      </c>
      <c r="C374" s="99" t="s">
        <v>3869</v>
      </c>
      <c r="D374" s="307" t="s">
        <v>3870</v>
      </c>
      <c r="E374" s="99" t="s">
        <v>3871</v>
      </c>
      <c r="F374" s="99" t="s">
        <v>3100</v>
      </c>
      <c r="G374" s="228"/>
      <c r="H374" s="228"/>
      <c r="I374" s="69">
        <v>1.0</v>
      </c>
      <c r="J374" s="223">
        <f>iferror(vlookup(E374,MasterClass!$C$2:$G1001,5,false),"")</f>
        <v>1</v>
      </c>
      <c r="K374" s="69">
        <v>0.0</v>
      </c>
      <c r="L374" s="223">
        <f t="shared" si="15"/>
        <v>1</v>
      </c>
      <c r="M374" s="146">
        <f t="shared" si="16"/>
        <v>0.5</v>
      </c>
      <c r="N374" s="305"/>
      <c r="O374" s="306"/>
      <c r="P374" s="105"/>
      <c r="Q374" s="105"/>
      <c r="R374" s="105"/>
      <c r="S374" s="105"/>
    </row>
    <row r="375">
      <c r="A375" s="196">
        <v>373.0</v>
      </c>
      <c r="B375" s="106"/>
      <c r="C375" s="309" t="s">
        <v>3101</v>
      </c>
      <c r="D375" s="105"/>
      <c r="E375" s="246">
        <f>COUNTIF(F339:F374,"L")</f>
        <v>11</v>
      </c>
      <c r="F375" s="105"/>
      <c r="G375" s="105"/>
      <c r="H375" s="105"/>
      <c r="I375" s="106"/>
      <c r="J375" s="106"/>
      <c r="K375" s="106"/>
      <c r="L375" s="106"/>
      <c r="M375" s="106"/>
      <c r="N375" s="105"/>
      <c r="O375" s="105"/>
      <c r="P375" s="105"/>
      <c r="Q375" s="105"/>
      <c r="R375" s="105"/>
      <c r="S375" s="105"/>
    </row>
    <row r="376">
      <c r="A376" s="198">
        <v>374.0</v>
      </c>
      <c r="B376" s="106"/>
      <c r="C376" s="309" t="s">
        <v>3102</v>
      </c>
      <c r="D376" s="105"/>
      <c r="E376" s="246">
        <f>COUNTIF(F339:F374,"P")</f>
        <v>25</v>
      </c>
      <c r="F376" s="105"/>
      <c r="G376" s="105"/>
      <c r="H376" s="105"/>
      <c r="I376" s="106"/>
      <c r="J376" s="106"/>
      <c r="K376" s="106"/>
      <c r="L376" s="106"/>
      <c r="M376" s="106"/>
      <c r="N376" s="105"/>
      <c r="O376" s="232"/>
      <c r="P376" s="105"/>
      <c r="Q376" s="105"/>
      <c r="R376" s="105"/>
      <c r="S376" s="105"/>
    </row>
    <row r="377">
      <c r="A377" s="196">
        <v>375.0</v>
      </c>
      <c r="B377" s="106"/>
      <c r="C377" s="309" t="s">
        <v>3104</v>
      </c>
      <c r="D377" s="105"/>
      <c r="E377" s="246">
        <f>SUM(E375:E376)</f>
        <v>36</v>
      </c>
      <c r="F377" s="105"/>
      <c r="G377" s="105"/>
      <c r="H377" s="105"/>
      <c r="I377" s="106"/>
      <c r="J377" s="106"/>
      <c r="K377" s="106"/>
      <c r="L377" s="106"/>
      <c r="M377" s="106"/>
      <c r="N377" s="105"/>
      <c r="O377" s="232"/>
      <c r="P377" s="105"/>
      <c r="Q377" s="105"/>
      <c r="R377" s="105"/>
      <c r="S377" s="105"/>
    </row>
    <row r="378">
      <c r="A378" s="198">
        <v>376.0</v>
      </c>
      <c r="B378" s="197"/>
      <c r="C378" s="189"/>
      <c r="D378" s="189"/>
      <c r="E378" s="189"/>
      <c r="F378" s="189"/>
      <c r="G378" s="189"/>
      <c r="H378" s="189"/>
      <c r="I378" s="197"/>
      <c r="J378" s="197"/>
      <c r="K378" s="197"/>
      <c r="L378" s="197"/>
      <c r="M378" s="197"/>
      <c r="N378" s="189"/>
      <c r="O378" s="189"/>
      <c r="P378" s="105"/>
      <c r="Q378" s="105"/>
      <c r="R378" s="105"/>
      <c r="S378" s="105"/>
    </row>
    <row r="379">
      <c r="A379" s="196">
        <v>377.0</v>
      </c>
      <c r="B379" s="114" t="s">
        <v>3111</v>
      </c>
      <c r="F379" s="287"/>
      <c r="G379" s="287"/>
      <c r="H379" s="287"/>
      <c r="I379" s="114"/>
      <c r="J379" s="114"/>
      <c r="K379" s="114"/>
      <c r="L379" s="114"/>
      <c r="M379" s="114"/>
      <c r="N379" s="287"/>
      <c r="O379" s="287"/>
      <c r="P379" s="105"/>
      <c r="Q379" s="105"/>
      <c r="R379" s="105"/>
      <c r="S379" s="105"/>
    </row>
    <row r="380">
      <c r="A380" s="198">
        <v>378.0</v>
      </c>
      <c r="B380" s="114" t="s">
        <v>3112</v>
      </c>
      <c r="F380" s="287"/>
      <c r="G380" s="287"/>
      <c r="H380" s="287"/>
      <c r="I380" s="114"/>
      <c r="J380" s="114"/>
      <c r="K380" s="114"/>
      <c r="L380" s="114"/>
      <c r="M380" s="114"/>
      <c r="N380" s="287"/>
      <c r="O380" s="287"/>
      <c r="P380" s="105"/>
      <c r="Q380" s="105"/>
      <c r="R380" s="105"/>
      <c r="S380" s="105"/>
    </row>
    <row r="381">
      <c r="A381" s="196">
        <v>379.0</v>
      </c>
      <c r="B381" s="110" t="s">
        <v>3872</v>
      </c>
      <c r="F381" s="310"/>
      <c r="G381" s="310"/>
      <c r="H381" s="310"/>
      <c r="I381" s="110"/>
      <c r="J381" s="110"/>
      <c r="K381" s="110"/>
      <c r="L381" s="110"/>
      <c r="M381" s="110"/>
      <c r="N381" s="310"/>
      <c r="O381" s="310"/>
      <c r="P381" s="105"/>
      <c r="Q381" s="105"/>
      <c r="R381" s="105"/>
      <c r="S381" s="105"/>
    </row>
    <row r="382">
      <c r="A382" s="198">
        <v>380.0</v>
      </c>
      <c r="B382" s="298" t="s">
        <v>3873</v>
      </c>
      <c r="F382" s="200"/>
      <c r="G382" s="200"/>
      <c r="H382" s="200"/>
      <c r="I382" s="93"/>
      <c r="J382" s="93"/>
      <c r="K382" s="93"/>
      <c r="L382" s="93"/>
      <c r="M382" s="93"/>
      <c r="N382" s="200"/>
      <c r="O382" s="200"/>
      <c r="P382" s="105"/>
      <c r="Q382" s="105"/>
      <c r="R382" s="105"/>
      <c r="S382" s="105"/>
    </row>
    <row r="383">
      <c r="A383" s="196">
        <v>381.0</v>
      </c>
      <c r="B383" s="299" t="s">
        <v>1735</v>
      </c>
      <c r="C383" s="299" t="s">
        <v>1737</v>
      </c>
      <c r="D383" s="299" t="s">
        <v>1736</v>
      </c>
      <c r="E383" s="299" t="s">
        <v>1738</v>
      </c>
      <c r="F383" s="262" t="s">
        <v>1815</v>
      </c>
      <c r="G383" s="255"/>
      <c r="H383" s="255"/>
      <c r="I383" s="256" t="s">
        <v>3097</v>
      </c>
      <c r="J383" s="9"/>
      <c r="K383" s="9"/>
      <c r="L383" s="9"/>
      <c r="M383" s="9"/>
      <c r="N383" s="9"/>
      <c r="O383" s="10"/>
      <c r="P383" s="105"/>
      <c r="Q383" s="105"/>
      <c r="R383" s="105"/>
      <c r="S383" s="105"/>
    </row>
    <row r="384">
      <c r="A384" s="198">
        <v>382.0</v>
      </c>
      <c r="B384" s="11"/>
      <c r="C384" s="11"/>
      <c r="D384" s="11"/>
      <c r="E384" s="11"/>
      <c r="F384" s="262"/>
      <c r="G384" s="300"/>
      <c r="H384" s="300" t="s">
        <v>2483</v>
      </c>
      <c r="I384" s="301" t="s">
        <v>3109</v>
      </c>
      <c r="J384" s="302" t="s">
        <v>3095</v>
      </c>
      <c r="K384" s="301" t="s">
        <v>3110</v>
      </c>
      <c r="L384" s="302" t="s">
        <v>3098</v>
      </c>
      <c r="M384" s="303" t="s">
        <v>18</v>
      </c>
      <c r="N384" s="302" t="s">
        <v>2491</v>
      </c>
      <c r="O384" s="304" t="s">
        <v>19</v>
      </c>
      <c r="P384" s="105"/>
      <c r="Q384" s="105"/>
      <c r="R384" s="105"/>
      <c r="S384" s="105"/>
    </row>
    <row r="385">
      <c r="A385" s="196">
        <v>383.0</v>
      </c>
      <c r="B385" s="20"/>
      <c r="C385" s="20"/>
      <c r="D385" s="20"/>
      <c r="E385" s="20"/>
      <c r="F385" s="262"/>
      <c r="G385" s="300"/>
      <c r="H385" s="300"/>
      <c r="I385" s="20"/>
      <c r="J385" s="20"/>
      <c r="K385" s="20"/>
      <c r="L385" s="20"/>
      <c r="M385" s="20"/>
      <c r="N385" s="20"/>
      <c r="O385" s="20"/>
      <c r="P385" s="105"/>
      <c r="Q385" s="105"/>
      <c r="R385" s="105"/>
      <c r="S385" s="105"/>
    </row>
    <row r="386">
      <c r="A386" s="198">
        <v>384.0</v>
      </c>
      <c r="B386" s="100">
        <v>1.0</v>
      </c>
      <c r="C386" s="99" t="s">
        <v>3874</v>
      </c>
      <c r="D386" s="99" t="s">
        <v>3875</v>
      </c>
      <c r="E386" s="99" t="s">
        <v>3876</v>
      </c>
      <c r="F386" s="99" t="s">
        <v>3099</v>
      </c>
      <c r="G386" s="215"/>
      <c r="H386" s="215"/>
      <c r="I386" s="69">
        <v>1.0</v>
      </c>
      <c r="J386" s="222">
        <v>0.0</v>
      </c>
      <c r="K386" s="69">
        <v>0.0</v>
      </c>
      <c r="L386" s="223">
        <f t="shared" ref="L386:L421" si="17">K386+J386</f>
        <v>0</v>
      </c>
      <c r="M386" s="146">
        <f t="shared" ref="M386:M421" si="18">(K386+J386)/(I386+1)</f>
        <v>0</v>
      </c>
      <c r="N386" s="305"/>
      <c r="O386" s="306"/>
      <c r="P386" s="105"/>
      <c r="Q386" s="105"/>
      <c r="R386" s="105"/>
      <c r="S386" s="105"/>
    </row>
    <row r="387">
      <c r="A387" s="196">
        <v>385.0</v>
      </c>
      <c r="B387" s="100">
        <v>2.0</v>
      </c>
      <c r="C387" s="99" t="s">
        <v>3877</v>
      </c>
      <c r="D387" s="307" t="s">
        <v>3878</v>
      </c>
      <c r="E387" s="99" t="s">
        <v>3879</v>
      </c>
      <c r="F387" s="99" t="s">
        <v>3099</v>
      </c>
      <c r="G387" s="215"/>
      <c r="H387" s="215"/>
      <c r="I387" s="69">
        <v>1.0</v>
      </c>
      <c r="J387" s="222">
        <v>0.0</v>
      </c>
      <c r="K387" s="69">
        <v>0.0</v>
      </c>
      <c r="L387" s="223">
        <f t="shared" si="17"/>
        <v>0</v>
      </c>
      <c r="M387" s="146">
        <f t="shared" si="18"/>
        <v>0</v>
      </c>
      <c r="N387" s="305"/>
      <c r="O387" s="306"/>
      <c r="P387" s="105"/>
      <c r="Q387" s="105"/>
      <c r="R387" s="105"/>
      <c r="S387" s="105"/>
    </row>
    <row r="388">
      <c r="A388" s="198">
        <v>386.0</v>
      </c>
      <c r="B388" s="100">
        <v>3.0</v>
      </c>
      <c r="C388" s="99" t="s">
        <v>3880</v>
      </c>
      <c r="D388" s="99" t="s">
        <v>3881</v>
      </c>
      <c r="E388" s="99" t="s">
        <v>3882</v>
      </c>
      <c r="F388" s="99" t="s">
        <v>3100</v>
      </c>
      <c r="G388" s="215"/>
      <c r="H388" s="215"/>
      <c r="I388" s="69">
        <v>1.0</v>
      </c>
      <c r="J388" s="222">
        <v>0.0</v>
      </c>
      <c r="K388" s="69">
        <v>0.0</v>
      </c>
      <c r="L388" s="223">
        <f t="shared" si="17"/>
        <v>0</v>
      </c>
      <c r="M388" s="146">
        <f t="shared" si="18"/>
        <v>0</v>
      </c>
      <c r="N388" s="305"/>
      <c r="O388" s="306"/>
      <c r="P388" s="105"/>
      <c r="Q388" s="105"/>
      <c r="R388" s="105"/>
      <c r="S388" s="105"/>
    </row>
    <row r="389">
      <c r="A389" s="196">
        <v>387.0</v>
      </c>
      <c r="B389" s="100">
        <v>4.0</v>
      </c>
      <c r="C389" s="99" t="s">
        <v>3883</v>
      </c>
      <c r="D389" s="99" t="s">
        <v>3884</v>
      </c>
      <c r="E389" s="99" t="s">
        <v>3885</v>
      </c>
      <c r="F389" s="99" t="s">
        <v>3100</v>
      </c>
      <c r="G389" s="215"/>
      <c r="H389" s="215"/>
      <c r="I389" s="69">
        <v>1.0</v>
      </c>
      <c r="J389" s="222">
        <v>0.0</v>
      </c>
      <c r="K389" s="69">
        <v>0.0</v>
      </c>
      <c r="L389" s="223">
        <f t="shared" si="17"/>
        <v>0</v>
      </c>
      <c r="M389" s="146">
        <f t="shared" si="18"/>
        <v>0</v>
      </c>
      <c r="N389" s="305"/>
      <c r="O389" s="306"/>
      <c r="P389" s="105"/>
      <c r="Q389" s="105"/>
      <c r="R389" s="105"/>
      <c r="S389" s="105"/>
    </row>
    <row r="390">
      <c r="A390" s="198">
        <v>388.0</v>
      </c>
      <c r="B390" s="100">
        <v>5.0</v>
      </c>
      <c r="C390" s="99" t="s">
        <v>3886</v>
      </c>
      <c r="D390" s="307" t="s">
        <v>3887</v>
      </c>
      <c r="E390" s="99" t="s">
        <v>3888</v>
      </c>
      <c r="F390" s="99" t="s">
        <v>3099</v>
      </c>
      <c r="G390" s="215"/>
      <c r="H390" s="215"/>
      <c r="I390" s="69">
        <v>1.0</v>
      </c>
      <c r="J390" s="222">
        <v>0.0</v>
      </c>
      <c r="K390" s="69">
        <v>0.0</v>
      </c>
      <c r="L390" s="223">
        <f t="shared" si="17"/>
        <v>0</v>
      </c>
      <c r="M390" s="146">
        <f t="shared" si="18"/>
        <v>0</v>
      </c>
      <c r="N390" s="305"/>
      <c r="O390" s="306"/>
      <c r="P390" s="105"/>
      <c r="Q390" s="105"/>
      <c r="R390" s="105"/>
      <c r="S390" s="105"/>
    </row>
    <row r="391">
      <c r="A391" s="196">
        <v>389.0</v>
      </c>
      <c r="B391" s="100">
        <v>6.0</v>
      </c>
      <c r="C391" s="99" t="s">
        <v>3889</v>
      </c>
      <c r="D391" s="99" t="s">
        <v>3890</v>
      </c>
      <c r="E391" s="99" t="s">
        <v>3891</v>
      </c>
      <c r="F391" s="99" t="s">
        <v>3099</v>
      </c>
      <c r="G391" s="215"/>
      <c r="H391" s="215"/>
      <c r="I391" s="69">
        <v>1.0</v>
      </c>
      <c r="J391" s="222">
        <v>0.0</v>
      </c>
      <c r="K391" s="69">
        <v>0.0</v>
      </c>
      <c r="L391" s="223">
        <f t="shared" si="17"/>
        <v>0</v>
      </c>
      <c r="M391" s="146">
        <f t="shared" si="18"/>
        <v>0</v>
      </c>
      <c r="N391" s="305"/>
      <c r="O391" s="306"/>
      <c r="P391" s="105"/>
      <c r="Q391" s="105"/>
      <c r="R391" s="105"/>
      <c r="S391" s="105"/>
    </row>
    <row r="392">
      <c r="A392" s="198">
        <v>390.0</v>
      </c>
      <c r="B392" s="100">
        <v>7.0</v>
      </c>
      <c r="C392" s="99" t="s">
        <v>3892</v>
      </c>
      <c r="D392" s="307" t="s">
        <v>3573</v>
      </c>
      <c r="E392" s="99" t="s">
        <v>3893</v>
      </c>
      <c r="F392" s="99" t="s">
        <v>3099</v>
      </c>
      <c r="G392" s="215"/>
      <c r="H392" s="215"/>
      <c r="I392" s="69">
        <v>1.0</v>
      </c>
      <c r="J392" s="222">
        <v>0.0</v>
      </c>
      <c r="K392" s="69">
        <v>0.0</v>
      </c>
      <c r="L392" s="223">
        <f t="shared" si="17"/>
        <v>0</v>
      </c>
      <c r="M392" s="146">
        <f t="shared" si="18"/>
        <v>0</v>
      </c>
      <c r="N392" s="305"/>
      <c r="O392" s="306"/>
      <c r="P392" s="105"/>
      <c r="Q392" s="105"/>
      <c r="R392" s="105"/>
      <c r="S392" s="105"/>
    </row>
    <row r="393">
      <c r="A393" s="196">
        <v>391.0</v>
      </c>
      <c r="B393" s="100">
        <v>8.0</v>
      </c>
      <c r="C393" s="99" t="s">
        <v>3894</v>
      </c>
      <c r="D393" s="99" t="s">
        <v>3895</v>
      </c>
      <c r="E393" s="99" t="s">
        <v>3896</v>
      </c>
      <c r="F393" s="99" t="s">
        <v>3100</v>
      </c>
      <c r="G393" s="215"/>
      <c r="H393" s="215"/>
      <c r="I393" s="69">
        <v>1.0</v>
      </c>
      <c r="J393" s="222">
        <v>0.0</v>
      </c>
      <c r="K393" s="69">
        <v>0.0</v>
      </c>
      <c r="L393" s="223">
        <f t="shared" si="17"/>
        <v>0</v>
      </c>
      <c r="M393" s="146">
        <f t="shared" si="18"/>
        <v>0</v>
      </c>
      <c r="N393" s="305"/>
      <c r="O393" s="306"/>
      <c r="P393" s="105"/>
      <c r="Q393" s="105"/>
      <c r="R393" s="105"/>
      <c r="S393" s="105"/>
    </row>
    <row r="394">
      <c r="A394" s="198">
        <v>392.0</v>
      </c>
      <c r="B394" s="100">
        <v>9.0</v>
      </c>
      <c r="C394" s="99" t="s">
        <v>3897</v>
      </c>
      <c r="D394" s="307" t="s">
        <v>3898</v>
      </c>
      <c r="E394" s="99" t="s">
        <v>3899</v>
      </c>
      <c r="F394" s="99" t="s">
        <v>3099</v>
      </c>
      <c r="G394" s="215"/>
      <c r="H394" s="215"/>
      <c r="I394" s="69">
        <v>1.0</v>
      </c>
      <c r="J394" s="222">
        <v>0.0</v>
      </c>
      <c r="K394" s="69">
        <v>0.0</v>
      </c>
      <c r="L394" s="223">
        <f t="shared" si="17"/>
        <v>0</v>
      </c>
      <c r="M394" s="146">
        <f t="shared" si="18"/>
        <v>0</v>
      </c>
      <c r="N394" s="305"/>
      <c r="O394" s="306"/>
      <c r="P394" s="105"/>
      <c r="Q394" s="105"/>
      <c r="R394" s="105"/>
      <c r="S394" s="105"/>
    </row>
    <row r="395">
      <c r="A395" s="196">
        <v>393.0</v>
      </c>
      <c r="B395" s="100">
        <v>10.0</v>
      </c>
      <c r="C395" s="99" t="s">
        <v>3900</v>
      </c>
      <c r="D395" s="99" t="s">
        <v>3901</v>
      </c>
      <c r="E395" s="99" t="s">
        <v>3902</v>
      </c>
      <c r="F395" s="99" t="s">
        <v>3099</v>
      </c>
      <c r="G395" s="215"/>
      <c r="H395" s="215"/>
      <c r="I395" s="69">
        <v>1.0</v>
      </c>
      <c r="J395" s="222">
        <v>0.0</v>
      </c>
      <c r="K395" s="69">
        <v>0.0</v>
      </c>
      <c r="L395" s="223">
        <f t="shared" si="17"/>
        <v>0</v>
      </c>
      <c r="M395" s="146">
        <f t="shared" si="18"/>
        <v>0</v>
      </c>
      <c r="N395" s="305"/>
      <c r="O395" s="306"/>
      <c r="P395" s="105"/>
      <c r="Q395" s="105"/>
      <c r="R395" s="105"/>
      <c r="S395" s="105"/>
    </row>
    <row r="396">
      <c r="A396" s="198">
        <v>394.0</v>
      </c>
      <c r="B396" s="100">
        <v>11.0</v>
      </c>
      <c r="C396" s="99" t="s">
        <v>3903</v>
      </c>
      <c r="D396" s="307" t="s">
        <v>3904</v>
      </c>
      <c r="E396" s="99" t="s">
        <v>3905</v>
      </c>
      <c r="F396" s="99" t="s">
        <v>3099</v>
      </c>
      <c r="G396" s="215"/>
      <c r="H396" s="215"/>
      <c r="I396" s="69">
        <v>1.0</v>
      </c>
      <c r="J396" s="222">
        <v>0.0</v>
      </c>
      <c r="K396" s="69">
        <v>0.0</v>
      </c>
      <c r="L396" s="223">
        <f t="shared" si="17"/>
        <v>0</v>
      </c>
      <c r="M396" s="146">
        <f t="shared" si="18"/>
        <v>0</v>
      </c>
      <c r="N396" s="305"/>
      <c r="O396" s="306"/>
      <c r="P396" s="105"/>
      <c r="Q396" s="105"/>
      <c r="R396" s="105"/>
      <c r="S396" s="105"/>
    </row>
    <row r="397">
      <c r="A397" s="196">
        <v>395.0</v>
      </c>
      <c r="B397" s="100">
        <v>12.0</v>
      </c>
      <c r="C397" s="99" t="s">
        <v>3906</v>
      </c>
      <c r="D397" s="307" t="s">
        <v>3907</v>
      </c>
      <c r="E397" s="99" t="s">
        <v>3908</v>
      </c>
      <c r="F397" s="99" t="s">
        <v>3099</v>
      </c>
      <c r="G397" s="215"/>
      <c r="H397" s="215"/>
      <c r="I397" s="69">
        <v>1.0</v>
      </c>
      <c r="J397" s="222">
        <v>0.0</v>
      </c>
      <c r="K397" s="69">
        <v>0.0</v>
      </c>
      <c r="L397" s="223">
        <f t="shared" si="17"/>
        <v>0</v>
      </c>
      <c r="M397" s="146">
        <f t="shared" si="18"/>
        <v>0</v>
      </c>
      <c r="N397" s="305"/>
      <c r="O397" s="306"/>
      <c r="P397" s="105"/>
      <c r="Q397" s="105"/>
      <c r="R397" s="105"/>
      <c r="S397" s="105"/>
    </row>
    <row r="398">
      <c r="A398" s="198">
        <v>396.0</v>
      </c>
      <c r="B398" s="100">
        <v>13.0</v>
      </c>
      <c r="C398" s="99" t="s">
        <v>3909</v>
      </c>
      <c r="D398" s="99" t="s">
        <v>3910</v>
      </c>
      <c r="E398" s="99" t="s">
        <v>3911</v>
      </c>
      <c r="F398" s="99" t="s">
        <v>3100</v>
      </c>
      <c r="G398" s="215"/>
      <c r="H398" s="215"/>
      <c r="I398" s="69">
        <v>4.0</v>
      </c>
      <c r="J398" s="222">
        <v>0.0</v>
      </c>
      <c r="K398" s="69">
        <v>0.0</v>
      </c>
      <c r="L398" s="223">
        <f t="shared" si="17"/>
        <v>0</v>
      </c>
      <c r="M398" s="146">
        <f t="shared" si="18"/>
        <v>0</v>
      </c>
      <c r="N398" s="305"/>
      <c r="O398" s="306"/>
      <c r="P398" s="105"/>
      <c r="Q398" s="105"/>
      <c r="R398" s="105"/>
      <c r="S398" s="105"/>
    </row>
    <row r="399">
      <c r="A399" s="196">
        <v>397.0</v>
      </c>
      <c r="B399" s="100">
        <v>14.0</v>
      </c>
      <c r="C399" s="99" t="s">
        <v>3912</v>
      </c>
      <c r="D399" s="99" t="s">
        <v>3913</v>
      </c>
      <c r="E399" s="99" t="s">
        <v>3914</v>
      </c>
      <c r="F399" s="99" t="s">
        <v>3100</v>
      </c>
      <c r="G399" s="215"/>
      <c r="H399" s="215"/>
      <c r="I399" s="69">
        <v>1.0</v>
      </c>
      <c r="J399" s="222">
        <v>0.0</v>
      </c>
      <c r="K399" s="69">
        <v>0.0</v>
      </c>
      <c r="L399" s="223">
        <f t="shared" si="17"/>
        <v>0</v>
      </c>
      <c r="M399" s="146">
        <f t="shared" si="18"/>
        <v>0</v>
      </c>
      <c r="N399" s="305"/>
      <c r="O399" s="306"/>
      <c r="P399" s="105"/>
      <c r="Q399" s="105"/>
      <c r="R399" s="105"/>
      <c r="S399" s="105"/>
    </row>
    <row r="400">
      <c r="A400" s="198">
        <v>398.0</v>
      </c>
      <c r="B400" s="100">
        <v>15.0</v>
      </c>
      <c r="C400" s="99" t="s">
        <v>3915</v>
      </c>
      <c r="D400" s="99" t="s">
        <v>3916</v>
      </c>
      <c r="E400" s="99" t="s">
        <v>3917</v>
      </c>
      <c r="F400" s="99" t="s">
        <v>3100</v>
      </c>
      <c r="G400" s="215"/>
      <c r="H400" s="215"/>
      <c r="I400" s="69">
        <v>1.0</v>
      </c>
      <c r="J400" s="222">
        <v>0.0</v>
      </c>
      <c r="K400" s="69">
        <v>0.0</v>
      </c>
      <c r="L400" s="223">
        <f t="shared" si="17"/>
        <v>0</v>
      </c>
      <c r="M400" s="146">
        <f t="shared" si="18"/>
        <v>0</v>
      </c>
      <c r="N400" s="305"/>
      <c r="O400" s="306"/>
      <c r="P400" s="105"/>
      <c r="Q400" s="105"/>
      <c r="R400" s="105"/>
      <c r="S400" s="105"/>
    </row>
    <row r="401">
      <c r="A401" s="196">
        <v>399.0</v>
      </c>
      <c r="B401" s="100">
        <v>16.0</v>
      </c>
      <c r="C401" s="99" t="s">
        <v>3918</v>
      </c>
      <c r="D401" s="307" t="s">
        <v>3919</v>
      </c>
      <c r="E401" s="260" t="s">
        <v>3920</v>
      </c>
      <c r="F401" s="99" t="s">
        <v>3099</v>
      </c>
      <c r="G401" s="215"/>
      <c r="H401" s="215"/>
      <c r="I401" s="69">
        <v>1.0</v>
      </c>
      <c r="J401" s="222">
        <v>0.0</v>
      </c>
      <c r="K401" s="69">
        <v>0.0</v>
      </c>
      <c r="L401" s="223">
        <f t="shared" si="17"/>
        <v>0</v>
      </c>
      <c r="M401" s="146">
        <f t="shared" si="18"/>
        <v>0</v>
      </c>
      <c r="N401" s="305"/>
      <c r="O401" s="306"/>
      <c r="P401" s="105"/>
      <c r="Q401" s="105"/>
      <c r="R401" s="105"/>
      <c r="S401" s="105"/>
    </row>
    <row r="402">
      <c r="A402" s="198">
        <v>400.0</v>
      </c>
      <c r="B402" s="100">
        <v>17.0</v>
      </c>
      <c r="C402" s="99" t="s">
        <v>3921</v>
      </c>
      <c r="D402" s="307" t="s">
        <v>3922</v>
      </c>
      <c r="E402" s="99" t="s">
        <v>3923</v>
      </c>
      <c r="F402" s="99" t="s">
        <v>3100</v>
      </c>
      <c r="G402" s="215"/>
      <c r="H402" s="215"/>
      <c r="I402" s="69">
        <v>1.0</v>
      </c>
      <c r="J402" s="222">
        <v>0.0</v>
      </c>
      <c r="K402" s="69">
        <v>0.0</v>
      </c>
      <c r="L402" s="223">
        <f t="shared" si="17"/>
        <v>0</v>
      </c>
      <c r="M402" s="146">
        <f t="shared" si="18"/>
        <v>0</v>
      </c>
      <c r="N402" s="305"/>
      <c r="O402" s="306"/>
      <c r="P402" s="105"/>
      <c r="Q402" s="105"/>
      <c r="R402" s="105"/>
      <c r="S402" s="105"/>
    </row>
    <row r="403">
      <c r="A403" s="196">
        <v>401.0</v>
      </c>
      <c r="B403" s="100">
        <v>18.0</v>
      </c>
      <c r="C403" s="99">
        <v>8.4177568E7</v>
      </c>
      <c r="D403" s="99" t="s">
        <v>3924</v>
      </c>
      <c r="E403" s="99" t="s">
        <v>3925</v>
      </c>
      <c r="F403" s="99" t="s">
        <v>3099</v>
      </c>
      <c r="G403" s="215"/>
      <c r="H403" s="215"/>
      <c r="I403" s="69">
        <v>1.0</v>
      </c>
      <c r="J403" s="222">
        <v>0.0</v>
      </c>
      <c r="K403" s="69">
        <v>0.0</v>
      </c>
      <c r="L403" s="223">
        <f t="shared" si="17"/>
        <v>0</v>
      </c>
      <c r="M403" s="146">
        <f t="shared" si="18"/>
        <v>0</v>
      </c>
      <c r="N403" s="305"/>
      <c r="O403" s="306"/>
      <c r="P403" s="105"/>
      <c r="Q403" s="105"/>
      <c r="R403" s="105"/>
      <c r="S403" s="105"/>
    </row>
    <row r="404">
      <c r="A404" s="198">
        <v>402.0</v>
      </c>
      <c r="B404" s="100">
        <v>19.0</v>
      </c>
      <c r="C404" s="99" t="s">
        <v>3926</v>
      </c>
      <c r="D404" s="99" t="s">
        <v>3927</v>
      </c>
      <c r="E404" s="99" t="s">
        <v>3928</v>
      </c>
      <c r="F404" s="99" t="s">
        <v>3100</v>
      </c>
      <c r="G404" s="215"/>
      <c r="H404" s="215"/>
      <c r="I404" s="69">
        <v>1.0</v>
      </c>
      <c r="J404" s="222">
        <v>0.0</v>
      </c>
      <c r="K404" s="69">
        <v>0.0</v>
      </c>
      <c r="L404" s="223">
        <f t="shared" si="17"/>
        <v>0</v>
      </c>
      <c r="M404" s="146">
        <f t="shared" si="18"/>
        <v>0</v>
      </c>
      <c r="N404" s="305"/>
      <c r="O404" s="306"/>
      <c r="P404" s="105"/>
      <c r="Q404" s="105"/>
      <c r="R404" s="105"/>
      <c r="S404" s="105"/>
    </row>
    <row r="405">
      <c r="A405" s="196">
        <v>403.0</v>
      </c>
      <c r="B405" s="100">
        <v>20.0</v>
      </c>
      <c r="C405" s="115" t="s">
        <v>3929</v>
      </c>
      <c r="D405" s="115" t="s">
        <v>3930</v>
      </c>
      <c r="E405" s="99" t="s">
        <v>3931</v>
      </c>
      <c r="F405" s="99" t="s">
        <v>3100</v>
      </c>
      <c r="G405" s="215"/>
      <c r="H405" s="215"/>
      <c r="I405" s="69">
        <v>1.0</v>
      </c>
      <c r="J405" s="222">
        <v>0.0</v>
      </c>
      <c r="K405" s="69">
        <v>0.0</v>
      </c>
      <c r="L405" s="223">
        <f t="shared" si="17"/>
        <v>0</v>
      </c>
      <c r="M405" s="146">
        <f t="shared" si="18"/>
        <v>0</v>
      </c>
      <c r="N405" s="305"/>
      <c r="O405" s="306"/>
      <c r="P405" s="105"/>
      <c r="Q405" s="105"/>
      <c r="R405" s="105"/>
      <c r="S405" s="105"/>
    </row>
    <row r="406">
      <c r="A406" s="198">
        <v>404.0</v>
      </c>
      <c r="B406" s="100">
        <v>21.0</v>
      </c>
      <c r="C406" s="99" t="s">
        <v>3932</v>
      </c>
      <c r="D406" s="307" t="s">
        <v>3933</v>
      </c>
      <c r="E406" s="260" t="s">
        <v>3934</v>
      </c>
      <c r="F406" s="99" t="s">
        <v>3099</v>
      </c>
      <c r="G406" s="215"/>
      <c r="H406" s="215"/>
      <c r="I406" s="69">
        <v>1.0</v>
      </c>
      <c r="J406" s="222">
        <v>0.0</v>
      </c>
      <c r="K406" s="69">
        <v>0.0</v>
      </c>
      <c r="L406" s="223">
        <f t="shared" si="17"/>
        <v>0</v>
      </c>
      <c r="M406" s="146">
        <f t="shared" si="18"/>
        <v>0</v>
      </c>
      <c r="N406" s="305"/>
      <c r="O406" s="306"/>
      <c r="P406" s="105"/>
      <c r="Q406" s="105"/>
      <c r="R406" s="105"/>
      <c r="S406" s="105"/>
    </row>
    <row r="407">
      <c r="A407" s="196">
        <v>405.0</v>
      </c>
      <c r="B407" s="100">
        <v>22.0</v>
      </c>
      <c r="C407" s="99" t="s">
        <v>3935</v>
      </c>
      <c r="D407" s="307" t="s">
        <v>3936</v>
      </c>
      <c r="E407" s="99" t="s">
        <v>3937</v>
      </c>
      <c r="F407" s="99" t="s">
        <v>3100</v>
      </c>
      <c r="G407" s="215"/>
      <c r="H407" s="215"/>
      <c r="I407" s="69">
        <v>1.0</v>
      </c>
      <c r="J407" s="222">
        <v>0.0</v>
      </c>
      <c r="K407" s="69">
        <v>0.0</v>
      </c>
      <c r="L407" s="223">
        <f t="shared" si="17"/>
        <v>0</v>
      </c>
      <c r="M407" s="146">
        <f t="shared" si="18"/>
        <v>0</v>
      </c>
      <c r="N407" s="305"/>
      <c r="O407" s="306"/>
      <c r="P407" s="105"/>
      <c r="Q407" s="105"/>
      <c r="R407" s="105"/>
      <c r="S407" s="105"/>
    </row>
    <row r="408">
      <c r="A408" s="198">
        <v>406.0</v>
      </c>
      <c r="B408" s="100">
        <v>23.0</v>
      </c>
      <c r="C408" s="99" t="s">
        <v>3938</v>
      </c>
      <c r="D408" s="99">
        <v>3.082660397E9</v>
      </c>
      <c r="E408" s="99" t="s">
        <v>3939</v>
      </c>
      <c r="F408" s="99" t="s">
        <v>3100</v>
      </c>
      <c r="G408" s="215"/>
      <c r="H408" s="215"/>
      <c r="I408" s="69">
        <v>1.0</v>
      </c>
      <c r="J408" s="222">
        <v>0.0</v>
      </c>
      <c r="K408" s="69">
        <v>0.0</v>
      </c>
      <c r="L408" s="223">
        <f t="shared" si="17"/>
        <v>0</v>
      </c>
      <c r="M408" s="146">
        <f t="shared" si="18"/>
        <v>0</v>
      </c>
      <c r="N408" s="305"/>
      <c r="O408" s="306"/>
      <c r="P408" s="105"/>
      <c r="Q408" s="105"/>
      <c r="R408" s="105"/>
      <c r="S408" s="105"/>
    </row>
    <row r="409">
      <c r="A409" s="196">
        <v>407.0</v>
      </c>
      <c r="B409" s="100">
        <v>24.0</v>
      </c>
      <c r="C409" s="99" t="s">
        <v>3940</v>
      </c>
      <c r="D409" s="99" t="s">
        <v>3941</v>
      </c>
      <c r="E409" s="99" t="s">
        <v>3942</v>
      </c>
      <c r="F409" s="99" t="s">
        <v>3100</v>
      </c>
      <c r="G409" s="215"/>
      <c r="H409" s="215"/>
      <c r="I409" s="69">
        <v>1.0</v>
      </c>
      <c r="J409" s="222">
        <v>0.0</v>
      </c>
      <c r="K409" s="69">
        <v>0.0</v>
      </c>
      <c r="L409" s="223">
        <f t="shared" si="17"/>
        <v>0</v>
      </c>
      <c r="M409" s="146">
        <f t="shared" si="18"/>
        <v>0</v>
      </c>
      <c r="N409" s="305"/>
      <c r="O409" s="306"/>
      <c r="P409" s="105"/>
      <c r="Q409" s="105"/>
      <c r="R409" s="105"/>
      <c r="S409" s="105"/>
    </row>
    <row r="410">
      <c r="A410" s="198">
        <v>408.0</v>
      </c>
      <c r="B410" s="100">
        <v>25.0</v>
      </c>
      <c r="C410" s="99" t="s">
        <v>3943</v>
      </c>
      <c r="D410" s="99" t="s">
        <v>3944</v>
      </c>
      <c r="E410" s="99" t="s">
        <v>3945</v>
      </c>
      <c r="F410" s="99" t="s">
        <v>3100</v>
      </c>
      <c r="G410" s="215"/>
      <c r="H410" s="215"/>
      <c r="I410" s="69">
        <v>3.0</v>
      </c>
      <c r="J410" s="222">
        <v>0.0</v>
      </c>
      <c r="K410" s="69">
        <v>3.0</v>
      </c>
      <c r="L410" s="223">
        <f t="shared" si="17"/>
        <v>3</v>
      </c>
      <c r="M410" s="146">
        <f t="shared" si="18"/>
        <v>0.75</v>
      </c>
      <c r="N410" s="305"/>
      <c r="O410" s="306"/>
      <c r="P410" s="105"/>
      <c r="Q410" s="105"/>
      <c r="R410" s="105"/>
      <c r="S410" s="105"/>
    </row>
    <row r="411">
      <c r="A411" s="196">
        <v>409.0</v>
      </c>
      <c r="B411" s="100">
        <v>26.0</v>
      </c>
      <c r="C411" s="99" t="s">
        <v>3946</v>
      </c>
      <c r="D411" s="99" t="s">
        <v>3947</v>
      </c>
      <c r="E411" s="260" t="s">
        <v>3948</v>
      </c>
      <c r="F411" s="99" t="s">
        <v>3099</v>
      </c>
      <c r="G411" s="215"/>
      <c r="H411" s="215"/>
      <c r="I411" s="69">
        <v>1.0</v>
      </c>
      <c r="J411" s="222">
        <v>0.0</v>
      </c>
      <c r="K411" s="69">
        <v>0.0</v>
      </c>
      <c r="L411" s="223">
        <f t="shared" si="17"/>
        <v>0</v>
      </c>
      <c r="M411" s="146">
        <f t="shared" si="18"/>
        <v>0</v>
      </c>
      <c r="N411" s="305"/>
      <c r="O411" s="306"/>
      <c r="P411" s="105"/>
      <c r="Q411" s="105"/>
      <c r="R411" s="105"/>
      <c r="S411" s="105"/>
    </row>
    <row r="412">
      <c r="A412" s="198">
        <v>410.0</v>
      </c>
      <c r="B412" s="100">
        <v>27.0</v>
      </c>
      <c r="C412" s="99" t="s">
        <v>3949</v>
      </c>
      <c r="D412" s="99" t="s">
        <v>3950</v>
      </c>
      <c r="E412" s="99" t="s">
        <v>3951</v>
      </c>
      <c r="F412" s="99" t="s">
        <v>3099</v>
      </c>
      <c r="G412" s="215"/>
      <c r="H412" s="215"/>
      <c r="I412" s="69">
        <v>1.0</v>
      </c>
      <c r="J412" s="222">
        <v>0.0</v>
      </c>
      <c r="K412" s="69">
        <v>0.0</v>
      </c>
      <c r="L412" s="223">
        <f t="shared" si="17"/>
        <v>0</v>
      </c>
      <c r="M412" s="146">
        <f t="shared" si="18"/>
        <v>0</v>
      </c>
      <c r="N412" s="305"/>
      <c r="O412" s="306"/>
      <c r="P412" s="105"/>
      <c r="Q412" s="105"/>
      <c r="R412" s="105"/>
      <c r="S412" s="105"/>
    </row>
    <row r="413">
      <c r="A413" s="196">
        <v>411.0</v>
      </c>
      <c r="B413" s="100">
        <v>28.0</v>
      </c>
      <c r="C413" s="99" t="s">
        <v>3952</v>
      </c>
      <c r="D413" s="99" t="s">
        <v>3953</v>
      </c>
      <c r="E413" s="99" t="s">
        <v>3954</v>
      </c>
      <c r="F413" s="99" t="s">
        <v>3099</v>
      </c>
      <c r="G413" s="215"/>
      <c r="H413" s="215"/>
      <c r="I413" s="69">
        <v>1.0</v>
      </c>
      <c r="J413" s="222">
        <v>0.0</v>
      </c>
      <c r="K413" s="69">
        <v>0.0</v>
      </c>
      <c r="L413" s="223">
        <f t="shared" si="17"/>
        <v>0</v>
      </c>
      <c r="M413" s="146">
        <f t="shared" si="18"/>
        <v>0</v>
      </c>
      <c r="N413" s="305"/>
      <c r="O413" s="306"/>
      <c r="P413" s="105"/>
      <c r="Q413" s="105"/>
      <c r="R413" s="105"/>
      <c r="S413" s="105"/>
    </row>
    <row r="414">
      <c r="A414" s="198">
        <v>412.0</v>
      </c>
      <c r="B414" s="100">
        <v>29.0</v>
      </c>
      <c r="C414" s="99" t="s">
        <v>3955</v>
      </c>
      <c r="D414" s="307" t="s">
        <v>3956</v>
      </c>
      <c r="E414" s="99" t="s">
        <v>3957</v>
      </c>
      <c r="F414" s="99" t="s">
        <v>3099</v>
      </c>
      <c r="G414" s="215"/>
      <c r="H414" s="215"/>
      <c r="I414" s="69">
        <v>1.0</v>
      </c>
      <c r="J414" s="222">
        <v>0.0</v>
      </c>
      <c r="K414" s="69">
        <v>0.0</v>
      </c>
      <c r="L414" s="223">
        <f t="shared" si="17"/>
        <v>0</v>
      </c>
      <c r="M414" s="146">
        <f t="shared" si="18"/>
        <v>0</v>
      </c>
      <c r="N414" s="305"/>
      <c r="O414" s="306"/>
      <c r="P414" s="105"/>
      <c r="Q414" s="105"/>
      <c r="R414" s="105"/>
      <c r="S414" s="105"/>
    </row>
    <row r="415">
      <c r="A415" s="196">
        <v>413.0</v>
      </c>
      <c r="B415" s="100">
        <v>30.0</v>
      </c>
      <c r="C415" s="99" t="s">
        <v>3958</v>
      </c>
      <c r="D415" s="99" t="s">
        <v>3959</v>
      </c>
      <c r="E415" s="99" t="s">
        <v>3960</v>
      </c>
      <c r="F415" s="99" t="s">
        <v>3100</v>
      </c>
      <c r="G415" s="215"/>
      <c r="H415" s="215"/>
      <c r="I415" s="69">
        <v>12.0</v>
      </c>
      <c r="J415" s="222">
        <v>0.0</v>
      </c>
      <c r="K415" s="69">
        <v>4.0</v>
      </c>
      <c r="L415" s="223">
        <f t="shared" si="17"/>
        <v>4</v>
      </c>
      <c r="M415" s="146">
        <f t="shared" si="18"/>
        <v>0.3076923077</v>
      </c>
      <c r="N415" s="215" t="s">
        <v>3188</v>
      </c>
      <c r="O415" s="311"/>
      <c r="P415" s="105"/>
      <c r="Q415" s="105"/>
      <c r="R415" s="105"/>
      <c r="S415" s="105"/>
    </row>
    <row r="416">
      <c r="A416" s="198">
        <v>414.0</v>
      </c>
      <c r="B416" s="100">
        <v>31.0</v>
      </c>
      <c r="C416" s="99" t="s">
        <v>3961</v>
      </c>
      <c r="D416" s="99" t="s">
        <v>3962</v>
      </c>
      <c r="E416" s="99" t="s">
        <v>3963</v>
      </c>
      <c r="F416" s="99" t="s">
        <v>3100</v>
      </c>
      <c r="G416" s="215"/>
      <c r="H416" s="215"/>
      <c r="I416" s="69">
        <v>1.0</v>
      </c>
      <c r="J416" s="222">
        <v>0.0</v>
      </c>
      <c r="K416" s="69">
        <v>0.0</v>
      </c>
      <c r="L416" s="223">
        <f t="shared" si="17"/>
        <v>0</v>
      </c>
      <c r="M416" s="146">
        <f t="shared" si="18"/>
        <v>0</v>
      </c>
      <c r="N416" s="305"/>
      <c r="O416" s="306"/>
      <c r="P416" s="105"/>
      <c r="Q416" s="105"/>
      <c r="R416" s="105"/>
      <c r="S416" s="105"/>
    </row>
    <row r="417">
      <c r="A417" s="196">
        <v>415.0</v>
      </c>
      <c r="B417" s="100">
        <v>32.0</v>
      </c>
      <c r="C417" s="99" t="s">
        <v>3964</v>
      </c>
      <c r="D417" s="99" t="s">
        <v>3965</v>
      </c>
      <c r="E417" s="99" t="s">
        <v>3966</v>
      </c>
      <c r="F417" s="99" t="s">
        <v>3100</v>
      </c>
      <c r="G417" s="215"/>
      <c r="H417" s="215"/>
      <c r="I417" s="69">
        <v>1.0</v>
      </c>
      <c r="J417" s="222">
        <v>0.0</v>
      </c>
      <c r="K417" s="69">
        <v>0.0</v>
      </c>
      <c r="L417" s="223">
        <f t="shared" si="17"/>
        <v>0</v>
      </c>
      <c r="M417" s="146">
        <f t="shared" si="18"/>
        <v>0</v>
      </c>
      <c r="N417" s="305"/>
      <c r="O417" s="306"/>
      <c r="P417" s="105"/>
      <c r="Q417" s="105"/>
      <c r="R417" s="105"/>
      <c r="S417" s="105"/>
    </row>
    <row r="418">
      <c r="A418" s="198">
        <v>416.0</v>
      </c>
      <c r="B418" s="100">
        <v>33.0</v>
      </c>
      <c r="C418" s="99">
        <v>2.42511437E8</v>
      </c>
      <c r="D418" s="307" t="s">
        <v>3967</v>
      </c>
      <c r="E418" s="260" t="s">
        <v>3968</v>
      </c>
      <c r="F418" s="99" t="s">
        <v>3100</v>
      </c>
      <c r="G418" s="215"/>
      <c r="H418" s="215"/>
      <c r="I418" s="69">
        <v>1.0</v>
      </c>
      <c r="J418" s="222">
        <v>0.0</v>
      </c>
      <c r="K418" s="69">
        <v>0.0</v>
      </c>
      <c r="L418" s="223">
        <f t="shared" si="17"/>
        <v>0</v>
      </c>
      <c r="M418" s="146">
        <f t="shared" si="18"/>
        <v>0</v>
      </c>
      <c r="N418" s="305"/>
      <c r="O418" s="306"/>
      <c r="P418" s="105"/>
      <c r="Q418" s="105"/>
      <c r="R418" s="105"/>
      <c r="S418" s="105"/>
    </row>
    <row r="419">
      <c r="A419" s="196">
        <v>417.0</v>
      </c>
      <c r="B419" s="100">
        <v>34.0</v>
      </c>
      <c r="C419" s="99" t="s">
        <v>3969</v>
      </c>
      <c r="D419" s="99">
        <v>3.073656051E9</v>
      </c>
      <c r="E419" s="99" t="s">
        <v>3970</v>
      </c>
      <c r="F419" s="99" t="s">
        <v>3099</v>
      </c>
      <c r="G419" s="215"/>
      <c r="H419" s="215"/>
      <c r="I419" s="69">
        <v>1.0</v>
      </c>
      <c r="J419" s="222">
        <v>0.0</v>
      </c>
      <c r="K419" s="69">
        <v>0.0</v>
      </c>
      <c r="L419" s="223">
        <f t="shared" si="17"/>
        <v>0</v>
      </c>
      <c r="M419" s="146">
        <f t="shared" si="18"/>
        <v>0</v>
      </c>
      <c r="N419" s="305"/>
      <c r="O419" s="306"/>
      <c r="P419" s="105"/>
      <c r="Q419" s="105"/>
      <c r="R419" s="105"/>
      <c r="S419" s="105"/>
    </row>
    <row r="420">
      <c r="A420" s="198">
        <v>418.0</v>
      </c>
      <c r="B420" s="100">
        <v>35.0</v>
      </c>
      <c r="C420" s="99" t="s">
        <v>3971</v>
      </c>
      <c r="D420" s="99" t="s">
        <v>3972</v>
      </c>
      <c r="E420" s="99" t="s">
        <v>3973</v>
      </c>
      <c r="F420" s="99" t="s">
        <v>3100</v>
      </c>
      <c r="G420" s="228"/>
      <c r="H420" s="228"/>
      <c r="I420" s="69">
        <v>1.0</v>
      </c>
      <c r="J420" s="222">
        <v>0.0</v>
      </c>
      <c r="K420" s="69">
        <v>0.0</v>
      </c>
      <c r="L420" s="223">
        <f t="shared" si="17"/>
        <v>0</v>
      </c>
      <c r="M420" s="146">
        <f t="shared" si="18"/>
        <v>0</v>
      </c>
      <c r="N420" s="305"/>
      <c r="O420" s="306"/>
      <c r="P420" s="105"/>
      <c r="Q420" s="105"/>
      <c r="R420" s="105"/>
      <c r="S420" s="105"/>
    </row>
    <row r="421">
      <c r="A421" s="196">
        <v>419.0</v>
      </c>
      <c r="B421" s="100">
        <v>36.0</v>
      </c>
      <c r="C421" s="99" t="s">
        <v>3974</v>
      </c>
      <c r="D421" s="307" t="s">
        <v>3975</v>
      </c>
      <c r="E421" s="99" t="s">
        <v>3976</v>
      </c>
      <c r="F421" s="99" t="s">
        <v>3099</v>
      </c>
      <c r="G421" s="228"/>
      <c r="H421" s="228"/>
      <c r="I421" s="69">
        <v>1.0</v>
      </c>
      <c r="J421" s="222">
        <v>0.0</v>
      </c>
      <c r="K421" s="69">
        <v>0.0</v>
      </c>
      <c r="L421" s="223">
        <f t="shared" si="17"/>
        <v>0</v>
      </c>
      <c r="M421" s="146">
        <f t="shared" si="18"/>
        <v>0</v>
      </c>
      <c r="N421" s="305"/>
      <c r="O421" s="306"/>
      <c r="P421" s="105"/>
      <c r="Q421" s="105"/>
      <c r="R421" s="105"/>
      <c r="S421" s="105"/>
    </row>
    <row r="422">
      <c r="A422" s="198">
        <v>420.0</v>
      </c>
      <c r="B422" s="106"/>
      <c r="C422" s="309" t="s">
        <v>3101</v>
      </c>
      <c r="D422" s="105"/>
      <c r="E422" s="246">
        <f>COUNTIF(F386:F421,"L")</f>
        <v>18</v>
      </c>
      <c r="F422" s="105"/>
      <c r="G422" s="105"/>
      <c r="H422" s="105"/>
      <c r="I422" s="106"/>
      <c r="J422" s="106"/>
      <c r="K422" s="106"/>
      <c r="L422" s="106"/>
      <c r="M422" s="106"/>
      <c r="N422" s="105"/>
      <c r="O422" s="105"/>
      <c r="P422" s="105"/>
      <c r="Q422" s="105"/>
      <c r="R422" s="105"/>
      <c r="S422" s="105"/>
    </row>
    <row r="423">
      <c r="A423" s="196">
        <v>421.0</v>
      </c>
      <c r="B423" s="106"/>
      <c r="C423" s="309" t="s">
        <v>3102</v>
      </c>
      <c r="D423" s="105"/>
      <c r="E423" s="246">
        <f>COUNTIF(F386:F421,"P")</f>
        <v>18</v>
      </c>
      <c r="F423" s="105"/>
      <c r="G423" s="105"/>
      <c r="H423" s="105"/>
      <c r="I423" s="106"/>
      <c r="J423" s="106"/>
      <c r="K423" s="106"/>
      <c r="L423" s="106"/>
      <c r="M423" s="106"/>
      <c r="N423" s="105"/>
      <c r="O423" s="232"/>
      <c r="P423" s="105"/>
      <c r="Q423" s="105"/>
      <c r="R423" s="105"/>
      <c r="S423" s="105"/>
    </row>
    <row r="424">
      <c r="A424" s="198">
        <v>422.0</v>
      </c>
      <c r="B424" s="106"/>
      <c r="C424" s="309" t="s">
        <v>3104</v>
      </c>
      <c r="D424" s="105"/>
      <c r="E424" s="246">
        <f>SUM(E422:E423)</f>
        <v>36</v>
      </c>
      <c r="F424" s="105"/>
      <c r="G424" s="105"/>
      <c r="H424" s="105"/>
      <c r="I424" s="106"/>
      <c r="J424" s="106"/>
      <c r="K424" s="106"/>
      <c r="L424" s="106"/>
      <c r="M424" s="106"/>
      <c r="N424" s="105"/>
      <c r="O424" s="232"/>
      <c r="P424" s="105"/>
      <c r="Q424" s="105"/>
      <c r="R424" s="105"/>
      <c r="S424" s="105"/>
    </row>
    <row r="425">
      <c r="A425" s="196">
        <v>423.0</v>
      </c>
      <c r="B425" s="197"/>
      <c r="C425" s="189"/>
      <c r="D425" s="189"/>
      <c r="E425" s="189"/>
      <c r="F425" s="189"/>
      <c r="G425" s="189"/>
      <c r="H425" s="189"/>
      <c r="I425" s="197"/>
      <c r="J425" s="197"/>
      <c r="K425" s="197"/>
      <c r="L425" s="197"/>
      <c r="M425" s="197"/>
      <c r="N425" s="189"/>
      <c r="O425" s="189"/>
      <c r="P425" s="105"/>
      <c r="Q425" s="105"/>
      <c r="R425" s="105"/>
      <c r="S425" s="105"/>
    </row>
    <row r="426">
      <c r="A426" s="198">
        <v>424.0</v>
      </c>
      <c r="B426" s="114" t="s">
        <v>3111</v>
      </c>
      <c r="F426" s="287"/>
      <c r="G426" s="287"/>
      <c r="H426" s="287"/>
      <c r="I426" s="114"/>
      <c r="J426" s="114"/>
      <c r="K426" s="114"/>
      <c r="L426" s="114"/>
      <c r="M426" s="114"/>
      <c r="N426" s="287"/>
      <c r="O426" s="287"/>
      <c r="P426" s="105"/>
      <c r="Q426" s="105"/>
      <c r="R426" s="105"/>
      <c r="S426" s="105"/>
    </row>
    <row r="427">
      <c r="A427" s="196">
        <v>425.0</v>
      </c>
      <c r="B427" s="114" t="s">
        <v>3112</v>
      </c>
      <c r="F427" s="287"/>
      <c r="G427" s="287"/>
      <c r="H427" s="287"/>
      <c r="I427" s="114"/>
      <c r="J427" s="114"/>
      <c r="K427" s="114"/>
      <c r="L427" s="114"/>
      <c r="M427" s="114"/>
      <c r="N427" s="287"/>
      <c r="O427" s="287"/>
      <c r="P427" s="105"/>
      <c r="Q427" s="105"/>
      <c r="R427" s="105"/>
      <c r="S427" s="105"/>
    </row>
    <row r="428">
      <c r="A428" s="198">
        <v>426.0</v>
      </c>
      <c r="B428" s="110" t="s">
        <v>3977</v>
      </c>
      <c r="F428" s="310"/>
      <c r="G428" s="310"/>
      <c r="H428" s="310"/>
      <c r="I428" s="110"/>
      <c r="J428" s="110"/>
      <c r="K428" s="110"/>
      <c r="L428" s="110"/>
      <c r="M428" s="110"/>
      <c r="N428" s="310"/>
      <c r="O428" s="310"/>
      <c r="P428" s="105"/>
      <c r="Q428" s="105"/>
      <c r="R428" s="105"/>
      <c r="S428" s="105"/>
    </row>
    <row r="429">
      <c r="A429" s="196">
        <v>427.0</v>
      </c>
      <c r="B429" s="298" t="s">
        <v>3978</v>
      </c>
      <c r="F429" s="200"/>
      <c r="G429" s="200"/>
      <c r="H429" s="200"/>
      <c r="I429" s="93"/>
      <c r="J429" s="93"/>
      <c r="K429" s="93"/>
      <c r="L429" s="93"/>
      <c r="M429" s="93"/>
      <c r="N429" s="200"/>
      <c r="O429" s="200"/>
      <c r="P429" s="105"/>
      <c r="Q429" s="105"/>
      <c r="R429" s="105"/>
      <c r="S429" s="105"/>
    </row>
    <row r="430">
      <c r="A430" s="198">
        <v>428.0</v>
      </c>
      <c r="B430" s="299" t="s">
        <v>1735</v>
      </c>
      <c r="C430" s="299" t="s">
        <v>1737</v>
      </c>
      <c r="D430" s="299" t="s">
        <v>1736</v>
      </c>
      <c r="E430" s="299" t="s">
        <v>1738</v>
      </c>
      <c r="F430" s="262" t="s">
        <v>1815</v>
      </c>
      <c r="G430" s="255"/>
      <c r="H430" s="255"/>
      <c r="I430" s="256" t="s">
        <v>3097</v>
      </c>
      <c r="J430" s="9"/>
      <c r="K430" s="9"/>
      <c r="L430" s="9"/>
      <c r="M430" s="9"/>
      <c r="N430" s="9"/>
      <c r="O430" s="10"/>
      <c r="P430" s="105"/>
      <c r="Q430" s="105"/>
      <c r="R430" s="105"/>
      <c r="S430" s="105"/>
    </row>
    <row r="431">
      <c r="A431" s="196">
        <v>429.0</v>
      </c>
      <c r="B431" s="11"/>
      <c r="C431" s="11"/>
      <c r="D431" s="11"/>
      <c r="E431" s="11"/>
      <c r="F431" s="262"/>
      <c r="G431" s="300"/>
      <c r="H431" s="300" t="s">
        <v>2483</v>
      </c>
      <c r="I431" s="301" t="s">
        <v>3109</v>
      </c>
      <c r="J431" s="302" t="s">
        <v>3095</v>
      </c>
      <c r="K431" s="301" t="s">
        <v>3110</v>
      </c>
      <c r="L431" s="302" t="s">
        <v>3098</v>
      </c>
      <c r="M431" s="303" t="s">
        <v>18</v>
      </c>
      <c r="N431" s="302" t="s">
        <v>2491</v>
      </c>
      <c r="O431" s="304" t="s">
        <v>19</v>
      </c>
      <c r="P431" s="105"/>
      <c r="Q431" s="105"/>
      <c r="R431" s="105"/>
      <c r="S431" s="105"/>
    </row>
    <row r="432">
      <c r="A432" s="198">
        <v>430.0</v>
      </c>
      <c r="B432" s="20"/>
      <c r="C432" s="20"/>
      <c r="D432" s="20"/>
      <c r="E432" s="20"/>
      <c r="F432" s="262"/>
      <c r="G432" s="300"/>
      <c r="H432" s="300"/>
      <c r="I432" s="20"/>
      <c r="J432" s="20"/>
      <c r="K432" s="20"/>
      <c r="L432" s="20"/>
      <c r="M432" s="20"/>
      <c r="N432" s="20"/>
      <c r="O432" s="20"/>
      <c r="P432" s="105"/>
      <c r="Q432" s="105"/>
      <c r="R432" s="105"/>
      <c r="S432" s="105"/>
    </row>
    <row r="433">
      <c r="A433" s="196">
        <v>431.0</v>
      </c>
      <c r="B433" s="100">
        <v>1.0</v>
      </c>
      <c r="C433" s="99" t="s">
        <v>3979</v>
      </c>
      <c r="D433" s="307" t="s">
        <v>3980</v>
      </c>
      <c r="E433" s="99" t="s">
        <v>3981</v>
      </c>
      <c r="F433" s="270" t="s">
        <v>3100</v>
      </c>
      <c r="G433" s="215"/>
      <c r="H433" s="215"/>
      <c r="I433" s="69">
        <v>1.0</v>
      </c>
      <c r="J433" s="222">
        <v>0.0</v>
      </c>
      <c r="K433" s="69">
        <v>0.0</v>
      </c>
      <c r="L433" s="223">
        <f t="shared" ref="L433:L468" si="19">K433+J433</f>
        <v>0</v>
      </c>
      <c r="M433" s="146">
        <f t="shared" ref="M433:M468" si="20">(K433+J433)/(I433+1)</f>
        <v>0</v>
      </c>
      <c r="N433" s="305"/>
      <c r="O433" s="306"/>
      <c r="P433" s="105"/>
      <c r="Q433" s="105"/>
      <c r="R433" s="105"/>
      <c r="S433" s="105"/>
    </row>
    <row r="434">
      <c r="A434" s="198">
        <v>432.0</v>
      </c>
      <c r="B434" s="100">
        <v>2.0</v>
      </c>
      <c r="C434" s="99" t="s">
        <v>3982</v>
      </c>
      <c r="D434" s="99" t="s">
        <v>3983</v>
      </c>
      <c r="E434" s="99" t="s">
        <v>3984</v>
      </c>
      <c r="F434" s="270" t="s">
        <v>3100</v>
      </c>
      <c r="G434" s="215"/>
      <c r="H434" s="215"/>
      <c r="I434" s="69">
        <v>1.0</v>
      </c>
      <c r="J434" s="222">
        <v>0.0</v>
      </c>
      <c r="K434" s="69">
        <v>0.0</v>
      </c>
      <c r="L434" s="223">
        <f t="shared" si="19"/>
        <v>0</v>
      </c>
      <c r="M434" s="146">
        <f t="shared" si="20"/>
        <v>0</v>
      </c>
      <c r="N434" s="305"/>
      <c r="O434" s="306"/>
      <c r="P434" s="105"/>
      <c r="Q434" s="105"/>
      <c r="R434" s="105"/>
      <c r="S434" s="105"/>
    </row>
    <row r="435">
      <c r="A435" s="196">
        <v>433.0</v>
      </c>
      <c r="B435" s="100">
        <v>3.0</v>
      </c>
      <c r="C435" s="115" t="s">
        <v>3985</v>
      </c>
      <c r="D435" s="115" t="s">
        <v>3986</v>
      </c>
      <c r="E435" s="115" t="s">
        <v>3987</v>
      </c>
      <c r="F435" s="270" t="s">
        <v>3099</v>
      </c>
      <c r="G435" s="215"/>
      <c r="H435" s="215"/>
      <c r="I435" s="69">
        <v>1.0</v>
      </c>
      <c r="J435" s="222">
        <v>0.0</v>
      </c>
      <c r="K435" s="69">
        <v>0.0</v>
      </c>
      <c r="L435" s="223">
        <f t="shared" si="19"/>
        <v>0</v>
      </c>
      <c r="M435" s="146">
        <f t="shared" si="20"/>
        <v>0</v>
      </c>
      <c r="N435" s="305"/>
      <c r="O435" s="306"/>
      <c r="P435" s="105"/>
      <c r="Q435" s="105"/>
      <c r="R435" s="105"/>
      <c r="S435" s="105"/>
    </row>
    <row r="436">
      <c r="A436" s="198">
        <v>434.0</v>
      </c>
      <c r="B436" s="100">
        <v>4.0</v>
      </c>
      <c r="C436" s="99" t="s">
        <v>3988</v>
      </c>
      <c r="D436" s="99" t="s">
        <v>3989</v>
      </c>
      <c r="E436" s="99" t="s">
        <v>3990</v>
      </c>
      <c r="F436" s="270" t="s">
        <v>3100</v>
      </c>
      <c r="G436" s="215"/>
      <c r="H436" s="215"/>
      <c r="I436" s="69">
        <v>1.0</v>
      </c>
      <c r="J436" s="222">
        <v>0.0</v>
      </c>
      <c r="K436" s="69">
        <v>0.0</v>
      </c>
      <c r="L436" s="223">
        <f t="shared" si="19"/>
        <v>0</v>
      </c>
      <c r="M436" s="146">
        <f t="shared" si="20"/>
        <v>0</v>
      </c>
      <c r="N436" s="305"/>
      <c r="O436" s="306"/>
      <c r="P436" s="105"/>
      <c r="Q436" s="105"/>
      <c r="R436" s="105"/>
      <c r="S436" s="105"/>
    </row>
    <row r="437">
      <c r="A437" s="196">
        <v>435.0</v>
      </c>
      <c r="B437" s="100">
        <v>5.0</v>
      </c>
      <c r="C437" s="99" t="s">
        <v>3991</v>
      </c>
      <c r="D437" s="307" t="s">
        <v>3992</v>
      </c>
      <c r="E437" s="99" t="s">
        <v>3993</v>
      </c>
      <c r="F437" s="270" t="s">
        <v>3099</v>
      </c>
      <c r="G437" s="215"/>
      <c r="H437" s="215"/>
      <c r="I437" s="69">
        <v>1.0</v>
      </c>
      <c r="J437" s="222">
        <v>0.0</v>
      </c>
      <c r="K437" s="69">
        <v>0.0</v>
      </c>
      <c r="L437" s="223">
        <f t="shared" si="19"/>
        <v>0</v>
      </c>
      <c r="M437" s="146">
        <f t="shared" si="20"/>
        <v>0</v>
      </c>
      <c r="N437" s="305"/>
      <c r="O437" s="306"/>
      <c r="P437" s="105"/>
      <c r="Q437" s="105"/>
      <c r="R437" s="105"/>
      <c r="S437" s="105"/>
    </row>
    <row r="438">
      <c r="A438" s="198">
        <v>436.0</v>
      </c>
      <c r="B438" s="100">
        <v>6.0</v>
      </c>
      <c r="C438" s="99" t="s">
        <v>3994</v>
      </c>
      <c r="D438" s="99" t="s">
        <v>3995</v>
      </c>
      <c r="E438" s="99" t="s">
        <v>3996</v>
      </c>
      <c r="F438" s="270" t="s">
        <v>3099</v>
      </c>
      <c r="G438" s="215"/>
      <c r="H438" s="215"/>
      <c r="I438" s="69">
        <v>1.0</v>
      </c>
      <c r="J438" s="222">
        <v>0.0</v>
      </c>
      <c r="K438" s="69">
        <v>0.0</v>
      </c>
      <c r="L438" s="223">
        <f t="shared" si="19"/>
        <v>0</v>
      </c>
      <c r="M438" s="146">
        <f t="shared" si="20"/>
        <v>0</v>
      </c>
      <c r="N438" s="305"/>
      <c r="O438" s="306"/>
      <c r="P438" s="105"/>
      <c r="Q438" s="105"/>
      <c r="R438" s="105"/>
      <c r="S438" s="105"/>
    </row>
    <row r="439">
      <c r="A439" s="196">
        <v>437.0</v>
      </c>
      <c r="B439" s="100">
        <v>7.0</v>
      </c>
      <c r="C439" s="99" t="s">
        <v>3997</v>
      </c>
      <c r="D439" s="99" t="s">
        <v>3998</v>
      </c>
      <c r="E439" s="99" t="s">
        <v>3999</v>
      </c>
      <c r="F439" s="270" t="s">
        <v>3100</v>
      </c>
      <c r="G439" s="215"/>
      <c r="H439" s="215"/>
      <c r="I439" s="69">
        <v>1.0</v>
      </c>
      <c r="J439" s="222">
        <v>0.0</v>
      </c>
      <c r="K439" s="69">
        <v>0.0</v>
      </c>
      <c r="L439" s="223">
        <f t="shared" si="19"/>
        <v>0</v>
      </c>
      <c r="M439" s="146">
        <f t="shared" si="20"/>
        <v>0</v>
      </c>
      <c r="N439" s="305"/>
      <c r="O439" s="306"/>
      <c r="P439" s="105"/>
      <c r="Q439" s="105"/>
      <c r="R439" s="105"/>
      <c r="S439" s="105"/>
    </row>
    <row r="440">
      <c r="A440" s="198">
        <v>438.0</v>
      </c>
      <c r="B440" s="100">
        <v>8.0</v>
      </c>
      <c r="C440" s="99" t="s">
        <v>4000</v>
      </c>
      <c r="D440" s="99" t="s">
        <v>4001</v>
      </c>
      <c r="E440" s="99" t="s">
        <v>4002</v>
      </c>
      <c r="F440" s="270" t="s">
        <v>3100</v>
      </c>
      <c r="G440" s="215"/>
      <c r="H440" s="215"/>
      <c r="I440" s="69">
        <v>1.0</v>
      </c>
      <c r="J440" s="222">
        <v>0.0</v>
      </c>
      <c r="K440" s="69">
        <v>0.0</v>
      </c>
      <c r="L440" s="223">
        <f t="shared" si="19"/>
        <v>0</v>
      </c>
      <c r="M440" s="146">
        <f t="shared" si="20"/>
        <v>0</v>
      </c>
      <c r="N440" s="305"/>
      <c r="O440" s="306"/>
      <c r="P440" s="105"/>
      <c r="Q440" s="105"/>
      <c r="R440" s="105"/>
      <c r="S440" s="105"/>
    </row>
    <row r="441">
      <c r="A441" s="196">
        <v>439.0</v>
      </c>
      <c r="B441" s="100">
        <v>9.0</v>
      </c>
      <c r="C441" s="99" t="s">
        <v>4003</v>
      </c>
      <c r="D441" s="99" t="s">
        <v>4004</v>
      </c>
      <c r="E441" s="99" t="s">
        <v>4005</v>
      </c>
      <c r="F441" s="270" t="s">
        <v>3100</v>
      </c>
      <c r="G441" s="215"/>
      <c r="H441" s="215"/>
      <c r="I441" s="69">
        <v>12.0</v>
      </c>
      <c r="J441" s="222">
        <v>0.0</v>
      </c>
      <c r="K441" s="69">
        <v>5.0</v>
      </c>
      <c r="L441" s="223">
        <f t="shared" si="19"/>
        <v>5</v>
      </c>
      <c r="M441" s="146">
        <f t="shared" si="20"/>
        <v>0.3846153846</v>
      </c>
      <c r="N441" s="215" t="s">
        <v>3188</v>
      </c>
      <c r="O441" s="311"/>
      <c r="P441" s="105"/>
      <c r="Q441" s="105"/>
      <c r="R441" s="105"/>
      <c r="S441" s="105"/>
    </row>
    <row r="442">
      <c r="A442" s="198">
        <v>440.0</v>
      </c>
      <c r="B442" s="100">
        <v>10.0</v>
      </c>
      <c r="C442" s="99" t="s">
        <v>4006</v>
      </c>
      <c r="D442" s="99" t="s">
        <v>4007</v>
      </c>
      <c r="E442" s="99" t="s">
        <v>4008</v>
      </c>
      <c r="F442" s="270" t="s">
        <v>3100</v>
      </c>
      <c r="G442" s="215"/>
      <c r="H442" s="215"/>
      <c r="I442" s="69">
        <v>1.0</v>
      </c>
      <c r="J442" s="222">
        <v>0.0</v>
      </c>
      <c r="K442" s="69">
        <v>0.0</v>
      </c>
      <c r="L442" s="223">
        <f t="shared" si="19"/>
        <v>0</v>
      </c>
      <c r="M442" s="146">
        <f t="shared" si="20"/>
        <v>0</v>
      </c>
      <c r="N442" s="305"/>
      <c r="O442" s="306"/>
      <c r="P442" s="105"/>
      <c r="Q442" s="105"/>
      <c r="R442" s="105"/>
      <c r="S442" s="105"/>
    </row>
    <row r="443">
      <c r="A443" s="196">
        <v>441.0</v>
      </c>
      <c r="B443" s="100">
        <v>11.0</v>
      </c>
      <c r="C443" s="99" t="s">
        <v>4009</v>
      </c>
      <c r="D443" s="99" t="s">
        <v>4010</v>
      </c>
      <c r="E443" s="99" t="s">
        <v>4011</v>
      </c>
      <c r="F443" s="270" t="s">
        <v>3100</v>
      </c>
      <c r="G443" s="215"/>
      <c r="H443" s="215"/>
      <c r="I443" s="69">
        <v>1.0</v>
      </c>
      <c r="J443" s="222">
        <v>0.0</v>
      </c>
      <c r="K443" s="69">
        <v>0.0</v>
      </c>
      <c r="L443" s="223">
        <f t="shared" si="19"/>
        <v>0</v>
      </c>
      <c r="M443" s="146">
        <f t="shared" si="20"/>
        <v>0</v>
      </c>
      <c r="N443" s="305"/>
      <c r="O443" s="306"/>
      <c r="P443" s="105"/>
      <c r="Q443" s="105"/>
      <c r="R443" s="105"/>
      <c r="S443" s="105"/>
    </row>
    <row r="444">
      <c r="A444" s="198">
        <v>442.0</v>
      </c>
      <c r="B444" s="100">
        <v>12.0</v>
      </c>
      <c r="C444" s="99" t="s">
        <v>4012</v>
      </c>
      <c r="D444" s="307" t="s">
        <v>4013</v>
      </c>
      <c r="E444" s="99" t="s">
        <v>4014</v>
      </c>
      <c r="F444" s="270" t="s">
        <v>3099</v>
      </c>
      <c r="G444" s="215"/>
      <c r="H444" s="215"/>
      <c r="I444" s="69">
        <v>1.0</v>
      </c>
      <c r="J444" s="222">
        <v>0.0</v>
      </c>
      <c r="K444" s="69">
        <v>0.0</v>
      </c>
      <c r="L444" s="223">
        <f t="shared" si="19"/>
        <v>0</v>
      </c>
      <c r="M444" s="146">
        <f t="shared" si="20"/>
        <v>0</v>
      </c>
      <c r="N444" s="305"/>
      <c r="O444" s="306"/>
      <c r="P444" s="105"/>
      <c r="Q444" s="105"/>
      <c r="R444" s="105"/>
      <c r="S444" s="105"/>
    </row>
    <row r="445">
      <c r="A445" s="196">
        <v>443.0</v>
      </c>
      <c r="B445" s="100">
        <v>13.0</v>
      </c>
      <c r="C445" s="99" t="s">
        <v>4015</v>
      </c>
      <c r="D445" s="99" t="s">
        <v>4016</v>
      </c>
      <c r="E445" s="99" t="s">
        <v>4017</v>
      </c>
      <c r="F445" s="270" t="s">
        <v>3100</v>
      </c>
      <c r="G445" s="215"/>
      <c r="H445" s="215"/>
      <c r="I445" s="69">
        <v>1.0</v>
      </c>
      <c r="J445" s="222">
        <v>0.0</v>
      </c>
      <c r="K445" s="69">
        <v>0.0</v>
      </c>
      <c r="L445" s="223">
        <f t="shared" si="19"/>
        <v>0</v>
      </c>
      <c r="M445" s="146">
        <f t="shared" si="20"/>
        <v>0</v>
      </c>
      <c r="N445" s="305"/>
      <c r="O445" s="306"/>
      <c r="P445" s="105"/>
      <c r="Q445" s="105"/>
      <c r="R445" s="105"/>
      <c r="S445" s="105"/>
    </row>
    <row r="446">
      <c r="A446" s="198">
        <v>444.0</v>
      </c>
      <c r="B446" s="100">
        <v>14.0</v>
      </c>
      <c r="C446" s="99" t="s">
        <v>4018</v>
      </c>
      <c r="D446" s="99" t="s">
        <v>4019</v>
      </c>
      <c r="E446" s="99" t="s">
        <v>4020</v>
      </c>
      <c r="F446" s="270" t="s">
        <v>3100</v>
      </c>
      <c r="G446" s="215"/>
      <c r="H446" s="215"/>
      <c r="I446" s="69">
        <v>1.0</v>
      </c>
      <c r="J446" s="222">
        <v>0.0</v>
      </c>
      <c r="K446" s="69">
        <v>0.0</v>
      </c>
      <c r="L446" s="223">
        <f t="shared" si="19"/>
        <v>0</v>
      </c>
      <c r="M446" s="146">
        <f t="shared" si="20"/>
        <v>0</v>
      </c>
      <c r="N446" s="305"/>
      <c r="O446" s="306"/>
      <c r="P446" s="105"/>
      <c r="Q446" s="105"/>
      <c r="R446" s="105"/>
      <c r="S446" s="105"/>
    </row>
    <row r="447">
      <c r="A447" s="196">
        <v>445.0</v>
      </c>
      <c r="B447" s="100">
        <v>15.0</v>
      </c>
      <c r="C447" s="99" t="s">
        <v>4021</v>
      </c>
      <c r="D447" s="99" t="s">
        <v>4022</v>
      </c>
      <c r="E447" s="99" t="s">
        <v>4023</v>
      </c>
      <c r="F447" s="270" t="s">
        <v>3100</v>
      </c>
      <c r="G447" s="215"/>
      <c r="H447" s="215"/>
      <c r="I447" s="69">
        <v>1.0</v>
      </c>
      <c r="J447" s="222">
        <v>0.0</v>
      </c>
      <c r="K447" s="69">
        <v>0.0</v>
      </c>
      <c r="L447" s="223">
        <f t="shared" si="19"/>
        <v>0</v>
      </c>
      <c r="M447" s="146">
        <f t="shared" si="20"/>
        <v>0</v>
      </c>
      <c r="N447" s="305"/>
      <c r="O447" s="306"/>
      <c r="P447" s="105"/>
      <c r="Q447" s="105"/>
      <c r="R447" s="105"/>
      <c r="S447" s="105"/>
    </row>
    <row r="448">
      <c r="A448" s="198">
        <v>446.0</v>
      </c>
      <c r="B448" s="100">
        <v>16.0</v>
      </c>
      <c r="C448" s="99" t="s">
        <v>4024</v>
      </c>
      <c r="D448" s="99" t="s">
        <v>4025</v>
      </c>
      <c r="E448" s="99" t="s">
        <v>4026</v>
      </c>
      <c r="F448" s="270" t="s">
        <v>3100</v>
      </c>
      <c r="G448" s="215"/>
      <c r="H448" s="215"/>
      <c r="I448" s="69">
        <v>1.0</v>
      </c>
      <c r="J448" s="222">
        <v>0.0</v>
      </c>
      <c r="K448" s="69">
        <v>0.0</v>
      </c>
      <c r="L448" s="223">
        <f t="shared" si="19"/>
        <v>0</v>
      </c>
      <c r="M448" s="146">
        <f t="shared" si="20"/>
        <v>0</v>
      </c>
      <c r="N448" s="305"/>
      <c r="O448" s="306"/>
      <c r="P448" s="105"/>
      <c r="Q448" s="105"/>
      <c r="R448" s="105"/>
      <c r="S448" s="105"/>
    </row>
    <row r="449">
      <c r="A449" s="196">
        <v>447.0</v>
      </c>
      <c r="B449" s="100">
        <v>17.0</v>
      </c>
      <c r="C449" s="99" t="s">
        <v>4027</v>
      </c>
      <c r="D449" s="99" t="s">
        <v>4028</v>
      </c>
      <c r="E449" s="99" t="s">
        <v>4029</v>
      </c>
      <c r="F449" s="270" t="s">
        <v>3099</v>
      </c>
      <c r="G449" s="215"/>
      <c r="H449" s="215"/>
      <c r="I449" s="69">
        <v>1.0</v>
      </c>
      <c r="J449" s="222">
        <v>0.0</v>
      </c>
      <c r="K449" s="69">
        <v>0.0</v>
      </c>
      <c r="L449" s="223">
        <f t="shared" si="19"/>
        <v>0</v>
      </c>
      <c r="M449" s="146">
        <f t="shared" si="20"/>
        <v>0</v>
      </c>
      <c r="N449" s="305"/>
      <c r="O449" s="306"/>
      <c r="P449" s="105"/>
      <c r="Q449" s="105"/>
      <c r="R449" s="105"/>
      <c r="S449" s="105"/>
    </row>
    <row r="450">
      <c r="A450" s="198">
        <v>448.0</v>
      </c>
      <c r="B450" s="100">
        <v>18.0</v>
      </c>
      <c r="C450" s="99" t="s">
        <v>4030</v>
      </c>
      <c r="D450" s="99" t="s">
        <v>4031</v>
      </c>
      <c r="E450" s="99" t="s">
        <v>4032</v>
      </c>
      <c r="F450" s="270" t="s">
        <v>3099</v>
      </c>
      <c r="G450" s="215"/>
      <c r="H450" s="215"/>
      <c r="I450" s="69">
        <v>1.0</v>
      </c>
      <c r="J450" s="223">
        <f>iferror(vlookup(E450,MasterClass!$C$2:$G1001,5,false),"")</f>
        <v>1</v>
      </c>
      <c r="K450" s="69">
        <v>0.0</v>
      </c>
      <c r="L450" s="223">
        <f t="shared" si="19"/>
        <v>1</v>
      </c>
      <c r="M450" s="146">
        <f t="shared" si="20"/>
        <v>0.5</v>
      </c>
      <c r="N450" s="305"/>
      <c r="O450" s="306"/>
      <c r="P450" s="105"/>
      <c r="Q450" s="105"/>
      <c r="R450" s="105"/>
      <c r="S450" s="105"/>
    </row>
    <row r="451">
      <c r="A451" s="196">
        <v>449.0</v>
      </c>
      <c r="B451" s="100">
        <v>19.0</v>
      </c>
      <c r="C451" s="99" t="s">
        <v>4033</v>
      </c>
      <c r="D451" s="99" t="s">
        <v>4034</v>
      </c>
      <c r="E451" s="99" t="s">
        <v>4035</v>
      </c>
      <c r="F451" s="270" t="s">
        <v>3100</v>
      </c>
      <c r="G451" s="215"/>
      <c r="H451" s="215"/>
      <c r="I451" s="69">
        <v>1.0</v>
      </c>
      <c r="J451" s="222">
        <v>0.0</v>
      </c>
      <c r="K451" s="69">
        <v>0.0</v>
      </c>
      <c r="L451" s="223">
        <f t="shared" si="19"/>
        <v>0</v>
      </c>
      <c r="M451" s="146">
        <f t="shared" si="20"/>
        <v>0</v>
      </c>
      <c r="N451" s="305"/>
      <c r="O451" s="306"/>
      <c r="P451" s="105"/>
      <c r="Q451" s="105"/>
      <c r="R451" s="105"/>
      <c r="S451" s="105"/>
    </row>
    <row r="452">
      <c r="A452" s="198">
        <v>450.0</v>
      </c>
      <c r="B452" s="100">
        <v>20.0</v>
      </c>
      <c r="C452" s="99" t="s">
        <v>4036</v>
      </c>
      <c r="D452" s="99" t="s">
        <v>4037</v>
      </c>
      <c r="E452" s="99" t="s">
        <v>4038</v>
      </c>
      <c r="F452" s="270" t="s">
        <v>3099</v>
      </c>
      <c r="G452" s="215"/>
      <c r="H452" s="215"/>
      <c r="I452" s="69">
        <v>1.0</v>
      </c>
      <c r="J452" s="222">
        <v>0.0</v>
      </c>
      <c r="K452" s="69">
        <v>0.0</v>
      </c>
      <c r="L452" s="223">
        <f t="shared" si="19"/>
        <v>0</v>
      </c>
      <c r="M452" s="146">
        <f t="shared" si="20"/>
        <v>0</v>
      </c>
      <c r="N452" s="305"/>
      <c r="O452" s="306"/>
      <c r="P452" s="105"/>
      <c r="Q452" s="105"/>
      <c r="R452" s="105"/>
      <c r="S452" s="105"/>
    </row>
    <row r="453">
      <c r="A453" s="196">
        <v>451.0</v>
      </c>
      <c r="B453" s="100">
        <v>21.0</v>
      </c>
      <c r="C453" s="99" t="s">
        <v>4039</v>
      </c>
      <c r="D453" s="99" t="s">
        <v>4040</v>
      </c>
      <c r="E453" s="99" t="s">
        <v>4041</v>
      </c>
      <c r="F453" s="270" t="s">
        <v>3100</v>
      </c>
      <c r="G453" s="215"/>
      <c r="H453" s="215"/>
      <c r="I453" s="69">
        <v>1.0</v>
      </c>
      <c r="J453" s="222">
        <v>0.0</v>
      </c>
      <c r="K453" s="69">
        <v>0.0</v>
      </c>
      <c r="L453" s="223">
        <f t="shared" si="19"/>
        <v>0</v>
      </c>
      <c r="M453" s="146">
        <f t="shared" si="20"/>
        <v>0</v>
      </c>
      <c r="N453" s="305"/>
      <c r="O453" s="306"/>
      <c r="P453" s="105"/>
      <c r="Q453" s="105"/>
      <c r="R453" s="105"/>
      <c r="S453" s="105"/>
    </row>
    <row r="454">
      <c r="A454" s="198">
        <v>452.0</v>
      </c>
      <c r="B454" s="100">
        <v>22.0</v>
      </c>
      <c r="C454" s="99" t="s">
        <v>4042</v>
      </c>
      <c r="D454" s="99" t="s">
        <v>4043</v>
      </c>
      <c r="E454" s="99" t="s">
        <v>4044</v>
      </c>
      <c r="F454" s="270" t="s">
        <v>3099</v>
      </c>
      <c r="G454" s="215"/>
      <c r="H454" s="215"/>
      <c r="I454" s="69">
        <v>1.0</v>
      </c>
      <c r="J454" s="222">
        <v>0.0</v>
      </c>
      <c r="K454" s="69">
        <v>0.0</v>
      </c>
      <c r="L454" s="223">
        <f t="shared" si="19"/>
        <v>0</v>
      </c>
      <c r="M454" s="146">
        <f t="shared" si="20"/>
        <v>0</v>
      </c>
      <c r="N454" s="305"/>
      <c r="O454" s="306"/>
      <c r="P454" s="105"/>
      <c r="Q454" s="105"/>
      <c r="R454" s="105"/>
      <c r="S454" s="105"/>
    </row>
    <row r="455">
      <c r="A455" s="196">
        <v>453.0</v>
      </c>
      <c r="B455" s="100">
        <v>23.0</v>
      </c>
      <c r="C455" s="99" t="s">
        <v>4045</v>
      </c>
      <c r="D455" s="99" t="s">
        <v>4046</v>
      </c>
      <c r="E455" s="99" t="s">
        <v>4047</v>
      </c>
      <c r="F455" s="270" t="s">
        <v>3100</v>
      </c>
      <c r="G455" s="215"/>
      <c r="H455" s="215"/>
      <c r="I455" s="69">
        <v>1.0</v>
      </c>
      <c r="J455" s="222">
        <v>0.0</v>
      </c>
      <c r="K455" s="69">
        <v>0.0</v>
      </c>
      <c r="L455" s="223">
        <f t="shared" si="19"/>
        <v>0</v>
      </c>
      <c r="M455" s="146">
        <f t="shared" si="20"/>
        <v>0</v>
      </c>
      <c r="N455" s="305"/>
      <c r="O455" s="306"/>
      <c r="P455" s="105"/>
      <c r="Q455" s="105"/>
      <c r="R455" s="105"/>
      <c r="S455" s="105"/>
    </row>
    <row r="456">
      <c r="A456" s="198">
        <v>454.0</v>
      </c>
      <c r="B456" s="100">
        <v>24.0</v>
      </c>
      <c r="C456" s="99" t="s">
        <v>4048</v>
      </c>
      <c r="D456" s="99" t="s">
        <v>4049</v>
      </c>
      <c r="E456" s="99" t="s">
        <v>4050</v>
      </c>
      <c r="F456" s="270" t="s">
        <v>3100</v>
      </c>
      <c r="G456" s="215"/>
      <c r="H456" s="215"/>
      <c r="I456" s="69">
        <v>1.0</v>
      </c>
      <c r="J456" s="222">
        <v>0.0</v>
      </c>
      <c r="K456" s="69">
        <v>0.0</v>
      </c>
      <c r="L456" s="223">
        <f t="shared" si="19"/>
        <v>0</v>
      </c>
      <c r="M456" s="146">
        <f t="shared" si="20"/>
        <v>0</v>
      </c>
      <c r="N456" s="305"/>
      <c r="O456" s="306"/>
      <c r="P456" s="105"/>
      <c r="Q456" s="105"/>
      <c r="R456" s="105"/>
      <c r="S456" s="105"/>
    </row>
    <row r="457">
      <c r="A457" s="196">
        <v>455.0</v>
      </c>
      <c r="B457" s="100">
        <v>25.0</v>
      </c>
      <c r="C457" s="99" t="s">
        <v>4051</v>
      </c>
      <c r="D457" s="99" t="s">
        <v>4052</v>
      </c>
      <c r="E457" s="99" t="s">
        <v>4053</v>
      </c>
      <c r="F457" s="270" t="s">
        <v>3100</v>
      </c>
      <c r="G457" s="215"/>
      <c r="H457" s="215"/>
      <c r="I457" s="69">
        <v>1.0</v>
      </c>
      <c r="J457" s="222">
        <v>0.0</v>
      </c>
      <c r="K457" s="69">
        <v>0.0</v>
      </c>
      <c r="L457" s="223">
        <f t="shared" si="19"/>
        <v>0</v>
      </c>
      <c r="M457" s="146">
        <f t="shared" si="20"/>
        <v>0</v>
      </c>
      <c r="N457" s="305"/>
      <c r="O457" s="306"/>
      <c r="P457" s="105"/>
      <c r="Q457" s="105"/>
      <c r="R457" s="105"/>
      <c r="S457" s="105"/>
    </row>
    <row r="458">
      <c r="A458" s="198">
        <v>456.0</v>
      </c>
      <c r="B458" s="100">
        <v>26.0</v>
      </c>
      <c r="C458" s="99" t="s">
        <v>4054</v>
      </c>
      <c r="D458" s="99" t="s">
        <v>4055</v>
      </c>
      <c r="E458" s="99" t="s">
        <v>4056</v>
      </c>
      <c r="F458" s="270" t="s">
        <v>3099</v>
      </c>
      <c r="G458" s="215"/>
      <c r="H458" s="215"/>
      <c r="I458" s="69">
        <v>1.0</v>
      </c>
      <c r="J458" s="222">
        <v>0.0</v>
      </c>
      <c r="K458" s="69">
        <v>0.0</v>
      </c>
      <c r="L458" s="223">
        <f t="shared" si="19"/>
        <v>0</v>
      </c>
      <c r="M458" s="146">
        <f t="shared" si="20"/>
        <v>0</v>
      </c>
      <c r="N458" s="305"/>
      <c r="O458" s="306"/>
      <c r="P458" s="105"/>
      <c r="Q458" s="105"/>
      <c r="R458" s="105"/>
      <c r="S458" s="105"/>
    </row>
    <row r="459">
      <c r="A459" s="196">
        <v>457.0</v>
      </c>
      <c r="B459" s="100">
        <v>27.0</v>
      </c>
      <c r="C459" s="99" t="s">
        <v>4057</v>
      </c>
      <c r="D459" s="99" t="s">
        <v>4058</v>
      </c>
      <c r="E459" s="99" t="s">
        <v>4059</v>
      </c>
      <c r="F459" s="270" t="s">
        <v>3099</v>
      </c>
      <c r="G459" s="215"/>
      <c r="H459" s="215"/>
      <c r="I459" s="69">
        <v>1.0</v>
      </c>
      <c r="J459" s="222">
        <v>0.0</v>
      </c>
      <c r="K459" s="69">
        <v>0.0</v>
      </c>
      <c r="L459" s="223">
        <f t="shared" si="19"/>
        <v>0</v>
      </c>
      <c r="M459" s="146">
        <f t="shared" si="20"/>
        <v>0</v>
      </c>
      <c r="N459" s="305"/>
      <c r="O459" s="306"/>
      <c r="P459" s="105"/>
      <c r="Q459" s="105"/>
      <c r="R459" s="105"/>
      <c r="S459" s="105"/>
    </row>
    <row r="460">
      <c r="A460" s="198">
        <v>458.0</v>
      </c>
      <c r="B460" s="100">
        <v>28.0</v>
      </c>
      <c r="C460" s="99" t="s">
        <v>4060</v>
      </c>
      <c r="D460" s="99" t="s">
        <v>4061</v>
      </c>
      <c r="E460" s="99" t="s">
        <v>4062</v>
      </c>
      <c r="F460" s="270" t="s">
        <v>3100</v>
      </c>
      <c r="G460" s="215"/>
      <c r="H460" s="215"/>
      <c r="I460" s="69">
        <v>1.0</v>
      </c>
      <c r="J460" s="222">
        <v>0.0</v>
      </c>
      <c r="K460" s="69">
        <v>0.0</v>
      </c>
      <c r="L460" s="223">
        <f t="shared" si="19"/>
        <v>0</v>
      </c>
      <c r="M460" s="146">
        <f t="shared" si="20"/>
        <v>0</v>
      </c>
      <c r="N460" s="305"/>
      <c r="O460" s="306"/>
      <c r="P460" s="105"/>
      <c r="Q460" s="105"/>
      <c r="R460" s="105"/>
      <c r="S460" s="105"/>
    </row>
    <row r="461">
      <c r="A461" s="196">
        <v>459.0</v>
      </c>
      <c r="B461" s="100">
        <v>29.0</v>
      </c>
      <c r="C461" s="99" t="s">
        <v>4063</v>
      </c>
      <c r="D461" s="99" t="s">
        <v>4064</v>
      </c>
      <c r="E461" s="99" t="s">
        <v>4065</v>
      </c>
      <c r="F461" s="270" t="s">
        <v>3099</v>
      </c>
      <c r="G461" s="215"/>
      <c r="H461" s="215"/>
      <c r="I461" s="69">
        <v>1.0</v>
      </c>
      <c r="J461" s="222">
        <v>0.0</v>
      </c>
      <c r="K461" s="69">
        <v>0.0</v>
      </c>
      <c r="L461" s="223">
        <f t="shared" si="19"/>
        <v>0</v>
      </c>
      <c r="M461" s="146">
        <f t="shared" si="20"/>
        <v>0</v>
      </c>
      <c r="N461" s="305"/>
      <c r="O461" s="306"/>
      <c r="P461" s="105"/>
      <c r="Q461" s="105"/>
      <c r="R461" s="105"/>
      <c r="S461" s="105"/>
    </row>
    <row r="462">
      <c r="A462" s="198">
        <v>460.0</v>
      </c>
      <c r="B462" s="100">
        <v>30.0</v>
      </c>
      <c r="C462" s="99" t="s">
        <v>4066</v>
      </c>
      <c r="D462" s="99" t="s">
        <v>4067</v>
      </c>
      <c r="E462" s="99" t="s">
        <v>4068</v>
      </c>
      <c r="F462" s="270" t="s">
        <v>3100</v>
      </c>
      <c r="G462" s="215"/>
      <c r="H462" s="215"/>
      <c r="I462" s="69">
        <v>1.0</v>
      </c>
      <c r="J462" s="222">
        <v>0.0</v>
      </c>
      <c r="K462" s="69">
        <v>0.0</v>
      </c>
      <c r="L462" s="223">
        <f t="shared" si="19"/>
        <v>0</v>
      </c>
      <c r="M462" s="146">
        <f t="shared" si="20"/>
        <v>0</v>
      </c>
      <c r="N462" s="305"/>
      <c r="O462" s="306"/>
      <c r="P462" s="105"/>
      <c r="Q462" s="105"/>
      <c r="R462" s="105"/>
      <c r="S462" s="105"/>
    </row>
    <row r="463">
      <c r="A463" s="196">
        <v>461.0</v>
      </c>
      <c r="B463" s="100">
        <v>31.0</v>
      </c>
      <c r="C463" s="99" t="s">
        <v>4069</v>
      </c>
      <c r="D463" s="99" t="s">
        <v>4070</v>
      </c>
      <c r="E463" s="99" t="s">
        <v>4071</v>
      </c>
      <c r="F463" s="270" t="s">
        <v>3099</v>
      </c>
      <c r="G463" s="215"/>
      <c r="H463" s="215"/>
      <c r="I463" s="69">
        <v>1.0</v>
      </c>
      <c r="J463" s="222">
        <v>0.0</v>
      </c>
      <c r="K463" s="69">
        <v>0.0</v>
      </c>
      <c r="L463" s="223">
        <f t="shared" si="19"/>
        <v>0</v>
      </c>
      <c r="M463" s="146">
        <f t="shared" si="20"/>
        <v>0</v>
      </c>
      <c r="N463" s="305"/>
      <c r="O463" s="306"/>
      <c r="P463" s="105"/>
      <c r="Q463" s="105"/>
      <c r="R463" s="105"/>
      <c r="S463" s="105"/>
    </row>
    <row r="464">
      <c r="A464" s="198">
        <v>462.0</v>
      </c>
      <c r="B464" s="100">
        <v>32.0</v>
      </c>
      <c r="C464" s="115" t="s">
        <v>4072</v>
      </c>
      <c r="D464" s="115" t="s">
        <v>4073</v>
      </c>
      <c r="E464" s="115" t="s">
        <v>4074</v>
      </c>
      <c r="F464" s="270" t="s">
        <v>3100</v>
      </c>
      <c r="G464" s="215"/>
      <c r="H464" s="215"/>
      <c r="I464" s="69">
        <v>1.0</v>
      </c>
      <c r="J464" s="222">
        <v>0.0</v>
      </c>
      <c r="K464" s="69">
        <v>0.0</v>
      </c>
      <c r="L464" s="223">
        <f t="shared" si="19"/>
        <v>0</v>
      </c>
      <c r="M464" s="146">
        <f t="shared" si="20"/>
        <v>0</v>
      </c>
      <c r="N464" s="305"/>
      <c r="O464" s="306"/>
      <c r="P464" s="105"/>
      <c r="Q464" s="105"/>
      <c r="R464" s="105"/>
      <c r="S464" s="105"/>
    </row>
    <row r="465">
      <c r="A465" s="196">
        <v>463.0</v>
      </c>
      <c r="B465" s="100">
        <v>33.0</v>
      </c>
      <c r="C465" s="99" t="s">
        <v>4075</v>
      </c>
      <c r="D465" s="99" t="s">
        <v>4076</v>
      </c>
      <c r="E465" s="99" t="s">
        <v>4077</v>
      </c>
      <c r="F465" s="270" t="s">
        <v>3100</v>
      </c>
      <c r="G465" s="215"/>
      <c r="H465" s="215"/>
      <c r="I465" s="69">
        <v>1.0</v>
      </c>
      <c r="J465" s="222">
        <v>0.0</v>
      </c>
      <c r="K465" s="69">
        <v>0.0</v>
      </c>
      <c r="L465" s="223">
        <f t="shared" si="19"/>
        <v>0</v>
      </c>
      <c r="M465" s="146">
        <f t="shared" si="20"/>
        <v>0</v>
      </c>
      <c r="N465" s="305"/>
      <c r="O465" s="306"/>
      <c r="P465" s="105"/>
      <c r="Q465" s="105"/>
      <c r="R465" s="105"/>
      <c r="S465" s="105"/>
    </row>
    <row r="466">
      <c r="A466" s="198">
        <v>464.0</v>
      </c>
      <c r="B466" s="100">
        <v>34.0</v>
      </c>
      <c r="C466" s="99" t="s">
        <v>4078</v>
      </c>
      <c r="D466" s="99" t="s">
        <v>4079</v>
      </c>
      <c r="E466" s="319" t="s">
        <v>4080</v>
      </c>
      <c r="F466" s="270" t="s">
        <v>3099</v>
      </c>
      <c r="G466" s="215"/>
      <c r="H466" s="215"/>
      <c r="I466" s="69">
        <v>1.0</v>
      </c>
      <c r="J466" s="222">
        <v>0.0</v>
      </c>
      <c r="K466" s="69">
        <v>0.0</v>
      </c>
      <c r="L466" s="223">
        <f t="shared" si="19"/>
        <v>0</v>
      </c>
      <c r="M466" s="146">
        <f t="shared" si="20"/>
        <v>0</v>
      </c>
      <c r="N466" s="305"/>
      <c r="O466" s="306"/>
      <c r="P466" s="105"/>
      <c r="Q466" s="105"/>
      <c r="R466" s="105"/>
      <c r="S466" s="105"/>
    </row>
    <row r="467">
      <c r="A467" s="196">
        <v>465.0</v>
      </c>
      <c r="B467" s="100">
        <v>35.0</v>
      </c>
      <c r="C467" s="99" t="s">
        <v>4081</v>
      </c>
      <c r="D467" s="99" t="s">
        <v>4082</v>
      </c>
      <c r="E467" s="260" t="s">
        <v>4083</v>
      </c>
      <c r="F467" s="270" t="s">
        <v>3100</v>
      </c>
      <c r="G467" s="228"/>
      <c r="H467" s="228"/>
      <c r="I467" s="69">
        <v>1.0</v>
      </c>
      <c r="J467" s="222">
        <v>0.0</v>
      </c>
      <c r="K467" s="69">
        <v>0.0</v>
      </c>
      <c r="L467" s="223">
        <f t="shared" si="19"/>
        <v>0</v>
      </c>
      <c r="M467" s="146">
        <f t="shared" si="20"/>
        <v>0</v>
      </c>
      <c r="N467" s="305"/>
      <c r="O467" s="306"/>
      <c r="P467" s="105"/>
      <c r="Q467" s="105"/>
      <c r="R467" s="105"/>
      <c r="S467" s="105"/>
    </row>
    <row r="468">
      <c r="A468" s="198">
        <v>466.0</v>
      </c>
      <c r="B468" s="100">
        <v>36.0</v>
      </c>
      <c r="C468" s="99" t="s">
        <v>4084</v>
      </c>
      <c r="D468" s="99" t="s">
        <v>4085</v>
      </c>
      <c r="E468" s="99" t="s">
        <v>4086</v>
      </c>
      <c r="F468" s="270" t="s">
        <v>3100</v>
      </c>
      <c r="G468" s="228"/>
      <c r="H468" s="228"/>
      <c r="I468" s="69">
        <v>1.0</v>
      </c>
      <c r="J468" s="222">
        <v>0.0</v>
      </c>
      <c r="K468" s="69">
        <v>0.0</v>
      </c>
      <c r="L468" s="223">
        <f t="shared" si="19"/>
        <v>0</v>
      </c>
      <c r="M468" s="146">
        <f t="shared" si="20"/>
        <v>0</v>
      </c>
      <c r="N468" s="305"/>
      <c r="O468" s="306"/>
      <c r="P468" s="105"/>
      <c r="Q468" s="105"/>
      <c r="R468" s="105"/>
      <c r="S468" s="105"/>
    </row>
    <row r="469">
      <c r="A469" s="196">
        <v>467.0</v>
      </c>
      <c r="B469" s="106"/>
      <c r="C469" s="309" t="s">
        <v>3101</v>
      </c>
      <c r="D469" s="105"/>
      <c r="E469" s="246">
        <f>COUNTIF(F433:F468,"L")</f>
        <v>13</v>
      </c>
      <c r="F469" s="105"/>
      <c r="G469" s="105"/>
      <c r="H469" s="105"/>
      <c r="I469" s="106"/>
      <c r="J469" s="106"/>
      <c r="K469" s="106"/>
      <c r="L469" s="106"/>
      <c r="M469" s="106"/>
      <c r="N469" s="105"/>
      <c r="O469" s="105"/>
      <c r="P469" s="105"/>
      <c r="Q469" s="105"/>
      <c r="R469" s="105"/>
      <c r="S469" s="105"/>
    </row>
    <row r="470">
      <c r="A470" s="198">
        <v>468.0</v>
      </c>
      <c r="B470" s="106"/>
      <c r="C470" s="309" t="s">
        <v>3102</v>
      </c>
      <c r="D470" s="105"/>
      <c r="E470" s="246">
        <f>COUNTIF(F433:F468,"P")</f>
        <v>23</v>
      </c>
      <c r="F470" s="105"/>
      <c r="G470" s="105"/>
      <c r="H470" s="105"/>
      <c r="I470" s="106"/>
      <c r="J470" s="106"/>
      <c r="K470" s="106"/>
      <c r="L470" s="106"/>
      <c r="M470" s="106"/>
      <c r="N470" s="105"/>
      <c r="O470" s="232"/>
      <c r="P470" s="105"/>
      <c r="Q470" s="105"/>
      <c r="R470" s="105"/>
      <c r="S470" s="105"/>
    </row>
    <row r="471">
      <c r="A471" s="196">
        <v>469.0</v>
      </c>
      <c r="B471" s="106"/>
      <c r="C471" s="309" t="s">
        <v>3104</v>
      </c>
      <c r="D471" s="105"/>
      <c r="E471" s="246">
        <f>SUM(E469:E470)</f>
        <v>36</v>
      </c>
      <c r="F471" s="105"/>
      <c r="G471" s="105"/>
      <c r="H471" s="105"/>
      <c r="I471" s="106"/>
      <c r="J471" s="106"/>
      <c r="K471" s="106"/>
      <c r="L471" s="106"/>
      <c r="M471" s="106"/>
      <c r="N471" s="105"/>
      <c r="O471" s="232"/>
      <c r="P471" s="105"/>
      <c r="Q471" s="105"/>
      <c r="R471" s="105"/>
      <c r="S471" s="105"/>
    </row>
    <row r="472">
      <c r="A472" s="198">
        <v>470.0</v>
      </c>
      <c r="B472" s="197"/>
      <c r="C472" s="189"/>
      <c r="D472" s="189"/>
      <c r="E472" s="189"/>
      <c r="F472" s="189"/>
      <c r="G472" s="189"/>
      <c r="H472" s="189"/>
      <c r="I472" s="197"/>
      <c r="J472" s="197"/>
      <c r="K472" s="197"/>
      <c r="L472" s="197"/>
      <c r="M472" s="197"/>
      <c r="N472" s="189"/>
      <c r="O472" s="189"/>
      <c r="P472" s="105"/>
      <c r="Q472" s="105"/>
      <c r="R472" s="105"/>
      <c r="S472" s="105"/>
    </row>
    <row r="473">
      <c r="A473" s="196">
        <v>471.0</v>
      </c>
      <c r="B473" s="114" t="s">
        <v>3111</v>
      </c>
      <c r="F473" s="287"/>
      <c r="G473" s="287"/>
      <c r="H473" s="287"/>
      <c r="I473" s="114"/>
      <c r="J473" s="114"/>
      <c r="K473" s="114"/>
      <c r="L473" s="114"/>
      <c r="M473" s="114"/>
      <c r="N473" s="287"/>
      <c r="O473" s="287"/>
      <c r="P473" s="105"/>
      <c r="Q473" s="105"/>
      <c r="R473" s="105"/>
      <c r="S473" s="105"/>
    </row>
    <row r="474">
      <c r="A474" s="198">
        <v>472.0</v>
      </c>
      <c r="B474" s="114" t="s">
        <v>3112</v>
      </c>
      <c r="F474" s="287"/>
      <c r="G474" s="287"/>
      <c r="H474" s="287"/>
      <c r="I474" s="114"/>
      <c r="J474" s="114"/>
      <c r="K474" s="114"/>
      <c r="L474" s="114"/>
      <c r="M474" s="114"/>
      <c r="N474" s="287"/>
      <c r="O474" s="287"/>
      <c r="P474" s="105"/>
      <c r="Q474" s="105"/>
      <c r="R474" s="105"/>
      <c r="S474" s="105"/>
    </row>
    <row r="475">
      <c r="A475" s="196">
        <v>473.0</v>
      </c>
      <c r="B475" s="110" t="s">
        <v>4087</v>
      </c>
      <c r="F475" s="310"/>
      <c r="G475" s="310"/>
      <c r="H475" s="310"/>
      <c r="I475" s="110"/>
      <c r="J475" s="110"/>
      <c r="K475" s="110"/>
      <c r="L475" s="110"/>
      <c r="M475" s="110"/>
      <c r="N475" s="310"/>
      <c r="O475" s="310"/>
      <c r="P475" s="105"/>
      <c r="Q475" s="105"/>
      <c r="R475" s="105"/>
      <c r="S475" s="105"/>
    </row>
    <row r="476">
      <c r="A476" s="198">
        <v>474.0</v>
      </c>
      <c r="B476" s="298" t="s">
        <v>4088</v>
      </c>
      <c r="F476" s="200"/>
      <c r="G476" s="200"/>
      <c r="H476" s="200"/>
      <c r="I476" s="93"/>
      <c r="J476" s="93"/>
      <c r="K476" s="93"/>
      <c r="L476" s="93"/>
      <c r="M476" s="93"/>
      <c r="N476" s="200"/>
      <c r="O476" s="200"/>
      <c r="P476" s="105"/>
      <c r="Q476" s="105"/>
      <c r="R476" s="105"/>
      <c r="S476" s="105"/>
    </row>
    <row r="477">
      <c r="A477" s="196">
        <v>475.0</v>
      </c>
      <c r="B477" s="299" t="s">
        <v>1735</v>
      </c>
      <c r="C477" s="299" t="s">
        <v>1737</v>
      </c>
      <c r="D477" s="299" t="s">
        <v>1736</v>
      </c>
      <c r="E477" s="299" t="s">
        <v>1738</v>
      </c>
      <c r="F477" s="262" t="s">
        <v>1815</v>
      </c>
      <c r="G477" s="255"/>
      <c r="H477" s="255"/>
      <c r="I477" s="256" t="s">
        <v>3097</v>
      </c>
      <c r="J477" s="9"/>
      <c r="K477" s="9"/>
      <c r="L477" s="9"/>
      <c r="M477" s="9"/>
      <c r="N477" s="9"/>
      <c r="O477" s="10"/>
      <c r="P477" s="105"/>
      <c r="Q477" s="105"/>
      <c r="R477" s="105"/>
      <c r="S477" s="105"/>
    </row>
    <row r="478">
      <c r="A478" s="198">
        <v>476.0</v>
      </c>
      <c r="B478" s="11"/>
      <c r="C478" s="11"/>
      <c r="D478" s="11"/>
      <c r="E478" s="11"/>
      <c r="F478" s="262"/>
      <c r="G478" s="300"/>
      <c r="H478" s="300" t="s">
        <v>2483</v>
      </c>
      <c r="I478" s="301" t="s">
        <v>3109</v>
      </c>
      <c r="J478" s="302" t="s">
        <v>3095</v>
      </c>
      <c r="K478" s="301" t="s">
        <v>3110</v>
      </c>
      <c r="L478" s="302" t="s">
        <v>3098</v>
      </c>
      <c r="M478" s="303" t="s">
        <v>18</v>
      </c>
      <c r="N478" s="302" t="s">
        <v>2491</v>
      </c>
      <c r="O478" s="304" t="s">
        <v>19</v>
      </c>
      <c r="P478" s="105"/>
      <c r="Q478" s="105"/>
      <c r="R478" s="105"/>
      <c r="S478" s="105"/>
    </row>
    <row r="479">
      <c r="A479" s="196">
        <v>477.0</v>
      </c>
      <c r="B479" s="20"/>
      <c r="C479" s="20"/>
      <c r="D479" s="20"/>
      <c r="E479" s="20"/>
      <c r="F479" s="262"/>
      <c r="G479" s="300"/>
      <c r="H479" s="300"/>
      <c r="I479" s="20"/>
      <c r="J479" s="20"/>
      <c r="K479" s="20"/>
      <c r="L479" s="20"/>
      <c r="M479" s="20"/>
      <c r="N479" s="20"/>
      <c r="O479" s="20"/>
      <c r="P479" s="105"/>
      <c r="Q479" s="105"/>
      <c r="R479" s="105"/>
      <c r="S479" s="105"/>
    </row>
    <row r="480">
      <c r="A480" s="198">
        <v>478.0</v>
      </c>
      <c r="B480" s="100">
        <v>1.0</v>
      </c>
      <c r="C480" s="99" t="s">
        <v>4089</v>
      </c>
      <c r="D480" s="99" t="s">
        <v>4090</v>
      </c>
      <c r="E480" s="99" t="s">
        <v>4091</v>
      </c>
      <c r="F480" s="99" t="s">
        <v>3099</v>
      </c>
      <c r="G480" s="215"/>
      <c r="H480" s="215"/>
      <c r="I480" s="69">
        <v>2.0</v>
      </c>
      <c r="J480" s="222">
        <v>0.0</v>
      </c>
      <c r="K480" s="69">
        <v>2.0</v>
      </c>
      <c r="L480" s="223">
        <f t="shared" ref="L480:L516" si="21">K480+J480</f>
        <v>2</v>
      </c>
      <c r="M480" s="146">
        <f t="shared" ref="M480:M516" si="22">(K480+J480)/(I480+1)</f>
        <v>0.6666666667</v>
      </c>
      <c r="N480" s="215" t="s">
        <v>3188</v>
      </c>
      <c r="O480" s="306"/>
      <c r="P480" s="105"/>
      <c r="Q480" s="105"/>
      <c r="R480" s="105"/>
      <c r="S480" s="105"/>
    </row>
    <row r="481">
      <c r="A481" s="196">
        <v>479.0</v>
      </c>
      <c r="B481" s="100">
        <v>2.0</v>
      </c>
      <c r="C481" s="99" t="s">
        <v>4092</v>
      </c>
      <c r="D481" s="99" t="s">
        <v>4093</v>
      </c>
      <c r="E481" s="99" t="s">
        <v>4094</v>
      </c>
      <c r="F481" s="99" t="s">
        <v>3100</v>
      </c>
      <c r="G481" s="215"/>
      <c r="H481" s="215"/>
      <c r="I481" s="69">
        <v>1.0</v>
      </c>
      <c r="J481" s="222">
        <v>0.0</v>
      </c>
      <c r="K481" s="69">
        <v>0.0</v>
      </c>
      <c r="L481" s="223">
        <f t="shared" si="21"/>
        <v>0</v>
      </c>
      <c r="M481" s="146">
        <f t="shared" si="22"/>
        <v>0</v>
      </c>
      <c r="N481" s="305"/>
      <c r="O481" s="306"/>
      <c r="P481" s="105"/>
      <c r="Q481" s="105"/>
      <c r="R481" s="105"/>
      <c r="S481" s="105"/>
    </row>
    <row r="482">
      <c r="A482" s="198">
        <v>480.0</v>
      </c>
      <c r="B482" s="100">
        <v>3.0</v>
      </c>
      <c r="C482" s="115">
        <v>2.42511439E8</v>
      </c>
      <c r="D482" s="314" t="s">
        <v>4095</v>
      </c>
      <c r="E482" s="115" t="s">
        <v>4096</v>
      </c>
      <c r="F482" s="115" t="s">
        <v>3099</v>
      </c>
      <c r="G482" s="215"/>
      <c r="H482" s="215"/>
      <c r="I482" s="69">
        <v>1.0</v>
      </c>
      <c r="J482" s="222">
        <v>0.0</v>
      </c>
      <c r="K482" s="69">
        <v>0.0</v>
      </c>
      <c r="L482" s="223">
        <f t="shared" si="21"/>
        <v>0</v>
      </c>
      <c r="M482" s="146">
        <f t="shared" si="22"/>
        <v>0</v>
      </c>
      <c r="N482" s="305"/>
      <c r="O482" s="306"/>
      <c r="P482" s="105"/>
      <c r="Q482" s="105"/>
      <c r="R482" s="105"/>
      <c r="S482" s="105"/>
    </row>
    <row r="483">
      <c r="A483" s="196">
        <v>481.0</v>
      </c>
      <c r="B483" s="100">
        <v>4.0</v>
      </c>
      <c r="C483" s="99" t="s">
        <v>4097</v>
      </c>
      <c r="D483" s="99" t="s">
        <v>4098</v>
      </c>
      <c r="E483" s="99" t="s">
        <v>4099</v>
      </c>
      <c r="F483" s="99" t="s">
        <v>3099</v>
      </c>
      <c r="G483" s="215"/>
      <c r="H483" s="215"/>
      <c r="I483" s="69">
        <v>7.0</v>
      </c>
      <c r="J483" s="223">
        <f>iferror(vlookup(E483,MasterClass!$C$2:$G1001,5,false),"")</f>
        <v>1</v>
      </c>
      <c r="K483" s="69">
        <v>6.0</v>
      </c>
      <c r="L483" s="223">
        <f t="shared" si="21"/>
        <v>7</v>
      </c>
      <c r="M483" s="146">
        <f t="shared" si="22"/>
        <v>0.875</v>
      </c>
      <c r="N483" s="215" t="s">
        <v>2508</v>
      </c>
      <c r="O483" s="311"/>
      <c r="P483" s="105"/>
      <c r="Q483" s="105"/>
      <c r="R483" s="105"/>
      <c r="S483" s="105"/>
    </row>
    <row r="484">
      <c r="A484" s="198">
        <v>482.0</v>
      </c>
      <c r="B484" s="100">
        <v>5.0</v>
      </c>
      <c r="C484" s="99" t="s">
        <v>4100</v>
      </c>
      <c r="D484" s="99" t="s">
        <v>4101</v>
      </c>
      <c r="E484" s="99" t="s">
        <v>4102</v>
      </c>
      <c r="F484" s="99" t="s">
        <v>3100</v>
      </c>
      <c r="G484" s="215"/>
      <c r="H484" s="215"/>
      <c r="I484" s="69">
        <v>1.0</v>
      </c>
      <c r="J484" s="222">
        <v>0.0</v>
      </c>
      <c r="K484" s="69">
        <v>0.0</v>
      </c>
      <c r="L484" s="223">
        <f t="shared" si="21"/>
        <v>0</v>
      </c>
      <c r="M484" s="146">
        <f t="shared" si="22"/>
        <v>0</v>
      </c>
      <c r="N484" s="305"/>
      <c r="O484" s="306"/>
      <c r="P484" s="105"/>
      <c r="Q484" s="105"/>
      <c r="R484" s="105"/>
      <c r="S484" s="105"/>
    </row>
    <row r="485">
      <c r="A485" s="196">
        <v>483.0</v>
      </c>
      <c r="B485" s="100">
        <v>6.0</v>
      </c>
      <c r="C485" s="99" t="s">
        <v>4103</v>
      </c>
      <c r="D485" s="307" t="s">
        <v>4104</v>
      </c>
      <c r="E485" s="99" t="s">
        <v>4105</v>
      </c>
      <c r="F485" s="99" t="s">
        <v>3100</v>
      </c>
      <c r="G485" s="215"/>
      <c r="H485" s="215"/>
      <c r="I485" s="69">
        <v>1.0</v>
      </c>
      <c r="J485" s="222">
        <v>0.0</v>
      </c>
      <c r="K485" s="69">
        <v>0.0</v>
      </c>
      <c r="L485" s="223">
        <f t="shared" si="21"/>
        <v>0</v>
      </c>
      <c r="M485" s="146">
        <f t="shared" si="22"/>
        <v>0</v>
      </c>
      <c r="N485" s="305"/>
      <c r="O485" s="306"/>
      <c r="P485" s="105"/>
      <c r="Q485" s="105"/>
      <c r="R485" s="105"/>
      <c r="S485" s="105"/>
    </row>
    <row r="486">
      <c r="A486" s="198">
        <v>484.0</v>
      </c>
      <c r="B486" s="100">
        <v>7.0</v>
      </c>
      <c r="C486" s="99" t="s">
        <v>4106</v>
      </c>
      <c r="D486" s="307" t="s">
        <v>4107</v>
      </c>
      <c r="E486" s="99" t="s">
        <v>4108</v>
      </c>
      <c r="F486" s="99" t="s">
        <v>3100</v>
      </c>
      <c r="G486" s="215"/>
      <c r="H486" s="215"/>
      <c r="I486" s="69">
        <v>1.0</v>
      </c>
      <c r="J486" s="222">
        <v>0.0</v>
      </c>
      <c r="K486" s="69">
        <v>0.0</v>
      </c>
      <c r="L486" s="223">
        <f t="shared" si="21"/>
        <v>0</v>
      </c>
      <c r="M486" s="146">
        <f t="shared" si="22"/>
        <v>0</v>
      </c>
      <c r="N486" s="305"/>
      <c r="O486" s="306"/>
      <c r="P486" s="105"/>
      <c r="Q486" s="105"/>
      <c r="R486" s="105"/>
      <c r="S486" s="105"/>
    </row>
    <row r="487">
      <c r="A487" s="196">
        <v>485.0</v>
      </c>
      <c r="B487" s="100">
        <v>8.0</v>
      </c>
      <c r="C487" s="99" t="s">
        <v>4109</v>
      </c>
      <c r="D487" s="307" t="s">
        <v>4110</v>
      </c>
      <c r="E487" s="99" t="s">
        <v>4111</v>
      </c>
      <c r="F487" s="99" t="s">
        <v>3100</v>
      </c>
      <c r="G487" s="215"/>
      <c r="H487" s="215"/>
      <c r="I487" s="69">
        <v>1.0</v>
      </c>
      <c r="J487" s="222">
        <v>0.0</v>
      </c>
      <c r="K487" s="69">
        <v>0.0</v>
      </c>
      <c r="L487" s="223">
        <f t="shared" si="21"/>
        <v>0</v>
      </c>
      <c r="M487" s="146">
        <f t="shared" si="22"/>
        <v>0</v>
      </c>
      <c r="N487" s="305"/>
      <c r="O487" s="306"/>
      <c r="P487" s="105"/>
      <c r="Q487" s="105"/>
      <c r="R487" s="105"/>
      <c r="S487" s="105"/>
    </row>
    <row r="488">
      <c r="A488" s="198">
        <v>486.0</v>
      </c>
      <c r="B488" s="100">
        <v>9.0</v>
      </c>
      <c r="C488" s="99" t="s">
        <v>4112</v>
      </c>
      <c r="D488" s="307" t="s">
        <v>4113</v>
      </c>
      <c r="E488" s="99" t="s">
        <v>4114</v>
      </c>
      <c r="F488" s="99" t="s">
        <v>3100</v>
      </c>
      <c r="G488" s="215"/>
      <c r="H488" s="215"/>
      <c r="I488" s="69">
        <v>1.0</v>
      </c>
      <c r="J488" s="222">
        <v>0.0</v>
      </c>
      <c r="K488" s="69">
        <v>0.0</v>
      </c>
      <c r="L488" s="223">
        <f t="shared" si="21"/>
        <v>0</v>
      </c>
      <c r="M488" s="146">
        <f t="shared" si="22"/>
        <v>0</v>
      </c>
      <c r="N488" s="305"/>
      <c r="O488" s="306"/>
      <c r="P488" s="105"/>
      <c r="Q488" s="105"/>
      <c r="R488" s="105"/>
      <c r="S488" s="105"/>
    </row>
    <row r="489">
      <c r="A489" s="196">
        <v>487.0</v>
      </c>
      <c r="B489" s="100">
        <v>10.0</v>
      </c>
      <c r="C489" s="99" t="s">
        <v>4115</v>
      </c>
      <c r="D489" s="317" t="s">
        <v>4116</v>
      </c>
      <c r="E489" s="99" t="s">
        <v>4117</v>
      </c>
      <c r="F489" s="99" t="s">
        <v>3100</v>
      </c>
      <c r="G489" s="215"/>
      <c r="H489" s="215"/>
      <c r="I489" s="69">
        <v>1.0</v>
      </c>
      <c r="J489" s="222">
        <v>0.0</v>
      </c>
      <c r="K489" s="69">
        <v>0.0</v>
      </c>
      <c r="L489" s="223">
        <f t="shared" si="21"/>
        <v>0</v>
      </c>
      <c r="M489" s="146">
        <f t="shared" si="22"/>
        <v>0</v>
      </c>
      <c r="N489" s="305"/>
      <c r="O489" s="306"/>
      <c r="P489" s="105"/>
      <c r="Q489" s="105"/>
      <c r="R489" s="105"/>
      <c r="S489" s="105"/>
    </row>
    <row r="490">
      <c r="A490" s="198">
        <v>488.0</v>
      </c>
      <c r="B490" s="100">
        <v>11.0</v>
      </c>
      <c r="C490" s="99" t="s">
        <v>4118</v>
      </c>
      <c r="D490" s="99" t="s">
        <v>3904</v>
      </c>
      <c r="E490" s="99" t="s">
        <v>4119</v>
      </c>
      <c r="F490" s="99" t="s">
        <v>3100</v>
      </c>
      <c r="G490" s="215"/>
      <c r="H490" s="215"/>
      <c r="I490" s="69">
        <v>1.0</v>
      </c>
      <c r="J490" s="222">
        <v>0.0</v>
      </c>
      <c r="K490" s="69">
        <v>0.0</v>
      </c>
      <c r="L490" s="223">
        <f t="shared" si="21"/>
        <v>0</v>
      </c>
      <c r="M490" s="146">
        <f t="shared" si="22"/>
        <v>0</v>
      </c>
      <c r="N490" s="305"/>
      <c r="O490" s="306"/>
      <c r="P490" s="105"/>
      <c r="Q490" s="105"/>
      <c r="R490" s="105"/>
      <c r="S490" s="105"/>
    </row>
    <row r="491">
      <c r="A491" s="196">
        <v>489.0</v>
      </c>
      <c r="B491" s="100">
        <v>12.0</v>
      </c>
      <c r="C491" s="99" t="s">
        <v>4120</v>
      </c>
      <c r="D491" s="99" t="s">
        <v>4121</v>
      </c>
      <c r="E491" s="99" t="s">
        <v>4122</v>
      </c>
      <c r="F491" s="99" t="s">
        <v>3100</v>
      </c>
      <c r="G491" s="215"/>
      <c r="H491" s="215"/>
      <c r="I491" s="69">
        <v>1.0</v>
      </c>
      <c r="J491" s="222">
        <v>0.0</v>
      </c>
      <c r="K491" s="69">
        <v>0.0</v>
      </c>
      <c r="L491" s="223">
        <f t="shared" si="21"/>
        <v>0</v>
      </c>
      <c r="M491" s="146">
        <f t="shared" si="22"/>
        <v>0</v>
      </c>
      <c r="N491" s="305"/>
      <c r="O491" s="306"/>
      <c r="P491" s="105"/>
      <c r="Q491" s="105"/>
      <c r="R491" s="105"/>
      <c r="S491" s="105"/>
    </row>
    <row r="492">
      <c r="A492" s="198">
        <v>490.0</v>
      </c>
      <c r="B492" s="100">
        <v>13.0</v>
      </c>
      <c r="C492" s="99" t="s">
        <v>4123</v>
      </c>
      <c r="D492" s="99" t="s">
        <v>4124</v>
      </c>
      <c r="E492" s="99" t="s">
        <v>4125</v>
      </c>
      <c r="F492" s="99" t="s">
        <v>3100</v>
      </c>
      <c r="G492" s="215"/>
      <c r="H492" s="215"/>
      <c r="I492" s="69">
        <v>1.0</v>
      </c>
      <c r="J492" s="222">
        <v>0.0</v>
      </c>
      <c r="K492" s="69">
        <v>0.0</v>
      </c>
      <c r="L492" s="223">
        <f t="shared" si="21"/>
        <v>0</v>
      </c>
      <c r="M492" s="146">
        <f t="shared" si="22"/>
        <v>0</v>
      </c>
      <c r="N492" s="305"/>
      <c r="O492" s="306"/>
      <c r="P492" s="105"/>
      <c r="Q492" s="105"/>
      <c r="R492" s="105"/>
      <c r="S492" s="105"/>
    </row>
    <row r="493">
      <c r="A493" s="196">
        <v>491.0</v>
      </c>
      <c r="B493" s="100">
        <v>14.0</v>
      </c>
      <c r="C493" s="99" t="s">
        <v>4126</v>
      </c>
      <c r="D493" s="99" t="s">
        <v>4127</v>
      </c>
      <c r="E493" s="99" t="s">
        <v>4128</v>
      </c>
      <c r="F493" s="99" t="s">
        <v>3099</v>
      </c>
      <c r="G493" s="215"/>
      <c r="H493" s="215"/>
      <c r="I493" s="69">
        <v>1.0</v>
      </c>
      <c r="J493" s="222">
        <v>0.0</v>
      </c>
      <c r="K493" s="69">
        <v>0.0</v>
      </c>
      <c r="L493" s="223">
        <f t="shared" si="21"/>
        <v>0</v>
      </c>
      <c r="M493" s="146">
        <f t="shared" si="22"/>
        <v>0</v>
      </c>
      <c r="N493" s="305"/>
      <c r="O493" s="306"/>
      <c r="P493" s="105"/>
      <c r="Q493" s="105"/>
      <c r="R493" s="105"/>
      <c r="S493" s="105"/>
    </row>
    <row r="494">
      <c r="A494" s="198">
        <v>492.0</v>
      </c>
      <c r="B494" s="100">
        <v>15.0</v>
      </c>
      <c r="C494" s="115" t="s">
        <v>4129</v>
      </c>
      <c r="D494" s="115" t="s">
        <v>4130</v>
      </c>
      <c r="E494" s="115" t="s">
        <v>4131</v>
      </c>
      <c r="F494" s="115" t="s">
        <v>3100</v>
      </c>
      <c r="G494" s="215"/>
      <c r="H494" s="215"/>
      <c r="I494" s="69">
        <v>12.0</v>
      </c>
      <c r="J494" s="222">
        <v>0.0</v>
      </c>
      <c r="K494" s="69">
        <v>6.0</v>
      </c>
      <c r="L494" s="223">
        <f t="shared" si="21"/>
        <v>6</v>
      </c>
      <c r="M494" s="146">
        <f t="shared" si="22"/>
        <v>0.4615384615</v>
      </c>
      <c r="N494" s="215" t="s">
        <v>3188</v>
      </c>
      <c r="O494" s="311"/>
      <c r="P494" s="105"/>
      <c r="Q494" s="105"/>
      <c r="R494" s="105"/>
      <c r="S494" s="105"/>
    </row>
    <row r="495">
      <c r="A495" s="196">
        <v>493.0</v>
      </c>
      <c r="B495" s="100">
        <v>16.0</v>
      </c>
      <c r="C495" s="115" t="s">
        <v>4132</v>
      </c>
      <c r="D495" s="115" t="s">
        <v>4133</v>
      </c>
      <c r="E495" s="115" t="s">
        <v>4134</v>
      </c>
      <c r="F495" s="115" t="s">
        <v>3099</v>
      </c>
      <c r="G495" s="215"/>
      <c r="H495" s="215"/>
      <c r="I495" s="69">
        <v>1.0</v>
      </c>
      <c r="J495" s="222">
        <v>0.0</v>
      </c>
      <c r="K495" s="69">
        <v>0.0</v>
      </c>
      <c r="L495" s="223">
        <f t="shared" si="21"/>
        <v>0</v>
      </c>
      <c r="M495" s="146">
        <f t="shared" si="22"/>
        <v>0</v>
      </c>
      <c r="N495" s="305"/>
      <c r="O495" s="306"/>
      <c r="P495" s="105"/>
      <c r="Q495" s="105"/>
      <c r="R495" s="105"/>
      <c r="S495" s="105"/>
    </row>
    <row r="496">
      <c r="A496" s="198">
        <v>494.0</v>
      </c>
      <c r="B496" s="100">
        <v>17.0</v>
      </c>
      <c r="C496" s="99" t="s">
        <v>4135</v>
      </c>
      <c r="D496" s="99" t="s">
        <v>4136</v>
      </c>
      <c r="E496" s="99" t="s">
        <v>4137</v>
      </c>
      <c r="F496" s="99" t="s">
        <v>3099</v>
      </c>
      <c r="G496" s="215"/>
      <c r="H496" s="215"/>
      <c r="I496" s="69">
        <v>1.0</v>
      </c>
      <c r="J496" s="222">
        <v>0.0</v>
      </c>
      <c r="K496" s="69">
        <v>0.0</v>
      </c>
      <c r="L496" s="223">
        <f t="shared" si="21"/>
        <v>0</v>
      </c>
      <c r="M496" s="146">
        <f t="shared" si="22"/>
        <v>0</v>
      </c>
      <c r="N496" s="305"/>
      <c r="O496" s="306"/>
      <c r="P496" s="105"/>
      <c r="Q496" s="105"/>
      <c r="R496" s="105"/>
      <c r="S496" s="105"/>
    </row>
    <row r="497">
      <c r="A497" s="196">
        <v>495.0</v>
      </c>
      <c r="B497" s="100">
        <v>18.0</v>
      </c>
      <c r="C497" s="99" t="s">
        <v>4138</v>
      </c>
      <c r="D497" s="99" t="s">
        <v>4139</v>
      </c>
      <c r="E497" s="99" t="s">
        <v>4140</v>
      </c>
      <c r="F497" s="99" t="s">
        <v>3099</v>
      </c>
      <c r="G497" s="215"/>
      <c r="H497" s="215"/>
      <c r="I497" s="69">
        <v>1.0</v>
      </c>
      <c r="J497" s="222">
        <v>0.0</v>
      </c>
      <c r="K497" s="69">
        <v>0.0</v>
      </c>
      <c r="L497" s="223">
        <f t="shared" si="21"/>
        <v>0</v>
      </c>
      <c r="M497" s="146">
        <f t="shared" si="22"/>
        <v>0</v>
      </c>
      <c r="N497" s="305"/>
      <c r="O497" s="306"/>
      <c r="P497" s="105"/>
      <c r="Q497" s="105"/>
      <c r="R497" s="105"/>
      <c r="S497" s="105"/>
    </row>
    <row r="498">
      <c r="A498" s="198">
        <v>496.0</v>
      </c>
      <c r="B498" s="100">
        <v>19.0</v>
      </c>
      <c r="C498" s="99" t="s">
        <v>4141</v>
      </c>
      <c r="D498" s="99" t="s">
        <v>4142</v>
      </c>
      <c r="E498" s="99" t="s">
        <v>4143</v>
      </c>
      <c r="F498" s="99" t="s">
        <v>3099</v>
      </c>
      <c r="G498" s="215"/>
      <c r="H498" s="215"/>
      <c r="I498" s="69">
        <v>1.0</v>
      </c>
      <c r="J498" s="222">
        <v>0.0</v>
      </c>
      <c r="K498" s="69">
        <v>0.0</v>
      </c>
      <c r="L498" s="223">
        <f t="shared" si="21"/>
        <v>0</v>
      </c>
      <c r="M498" s="146">
        <f t="shared" si="22"/>
        <v>0</v>
      </c>
      <c r="N498" s="305"/>
      <c r="O498" s="306"/>
      <c r="P498" s="105"/>
      <c r="Q498" s="105"/>
      <c r="R498" s="105"/>
      <c r="S498" s="105"/>
    </row>
    <row r="499">
      <c r="A499" s="196">
        <v>497.0</v>
      </c>
      <c r="B499" s="100">
        <v>20.0</v>
      </c>
      <c r="C499" s="99" t="s">
        <v>4144</v>
      </c>
      <c r="D499" s="99" t="s">
        <v>4145</v>
      </c>
      <c r="E499" s="99" t="s">
        <v>4146</v>
      </c>
      <c r="F499" s="99" t="s">
        <v>3100</v>
      </c>
      <c r="G499" s="215"/>
      <c r="H499" s="215"/>
      <c r="I499" s="69">
        <v>1.0</v>
      </c>
      <c r="J499" s="222">
        <v>0.0</v>
      </c>
      <c r="K499" s="69">
        <v>0.0</v>
      </c>
      <c r="L499" s="223">
        <f t="shared" si="21"/>
        <v>0</v>
      </c>
      <c r="M499" s="146">
        <f t="shared" si="22"/>
        <v>0</v>
      </c>
      <c r="N499" s="305"/>
      <c r="O499" s="306"/>
      <c r="P499" s="105"/>
      <c r="Q499" s="105"/>
      <c r="R499" s="105"/>
      <c r="S499" s="105"/>
    </row>
    <row r="500">
      <c r="A500" s="198">
        <v>498.0</v>
      </c>
      <c r="B500" s="100">
        <v>21.0</v>
      </c>
      <c r="C500" s="99" t="s">
        <v>4147</v>
      </c>
      <c r="D500" s="99" t="s">
        <v>4148</v>
      </c>
      <c r="E500" s="99" t="s">
        <v>4149</v>
      </c>
      <c r="F500" s="99" t="s">
        <v>3100</v>
      </c>
      <c r="G500" s="215"/>
      <c r="H500" s="215"/>
      <c r="I500" s="69">
        <v>1.0</v>
      </c>
      <c r="J500" s="222">
        <v>0.0</v>
      </c>
      <c r="K500" s="69">
        <v>0.0</v>
      </c>
      <c r="L500" s="223">
        <f t="shared" si="21"/>
        <v>0</v>
      </c>
      <c r="M500" s="146">
        <f t="shared" si="22"/>
        <v>0</v>
      </c>
      <c r="N500" s="305"/>
      <c r="O500" s="306"/>
      <c r="P500" s="105"/>
      <c r="Q500" s="105"/>
      <c r="R500" s="105"/>
      <c r="S500" s="105"/>
    </row>
    <row r="501">
      <c r="A501" s="196">
        <v>499.0</v>
      </c>
      <c r="B501" s="100">
        <v>22.0</v>
      </c>
      <c r="C501" s="99" t="s">
        <v>4150</v>
      </c>
      <c r="D501" s="99" t="s">
        <v>4151</v>
      </c>
      <c r="E501" s="99" t="s">
        <v>4152</v>
      </c>
      <c r="F501" s="99" t="s">
        <v>3100</v>
      </c>
      <c r="G501" s="215"/>
      <c r="H501" s="215"/>
      <c r="I501" s="69">
        <v>1.0</v>
      </c>
      <c r="J501" s="222">
        <v>0.0</v>
      </c>
      <c r="K501" s="69">
        <v>0.0</v>
      </c>
      <c r="L501" s="223">
        <f t="shared" si="21"/>
        <v>0</v>
      </c>
      <c r="M501" s="146">
        <f t="shared" si="22"/>
        <v>0</v>
      </c>
      <c r="N501" s="305"/>
      <c r="O501" s="306"/>
      <c r="P501" s="105"/>
      <c r="Q501" s="105"/>
      <c r="R501" s="105"/>
      <c r="S501" s="105"/>
    </row>
    <row r="502">
      <c r="A502" s="198">
        <v>500.0</v>
      </c>
      <c r="B502" s="100">
        <v>23.0</v>
      </c>
      <c r="C502" s="99" t="s">
        <v>4153</v>
      </c>
      <c r="D502" s="99" t="s">
        <v>4154</v>
      </c>
      <c r="E502" s="99" t="s">
        <v>4155</v>
      </c>
      <c r="F502" s="99" t="s">
        <v>3100</v>
      </c>
      <c r="G502" s="215"/>
      <c r="H502" s="215"/>
      <c r="I502" s="69">
        <v>1.0</v>
      </c>
      <c r="J502" s="222">
        <v>0.0</v>
      </c>
      <c r="K502" s="69">
        <v>0.0</v>
      </c>
      <c r="L502" s="223">
        <f t="shared" si="21"/>
        <v>0</v>
      </c>
      <c r="M502" s="146">
        <f t="shared" si="22"/>
        <v>0</v>
      </c>
      <c r="N502" s="305"/>
      <c r="O502" s="306"/>
      <c r="P502" s="105"/>
      <c r="Q502" s="105"/>
      <c r="R502" s="105"/>
      <c r="S502" s="105"/>
    </row>
    <row r="503">
      <c r="A503" s="196">
        <v>501.0</v>
      </c>
      <c r="B503" s="100">
        <v>24.0</v>
      </c>
      <c r="C503" s="99" t="s">
        <v>4156</v>
      </c>
      <c r="D503" s="99" t="s">
        <v>4157</v>
      </c>
      <c r="E503" s="319" t="s">
        <v>4158</v>
      </c>
      <c r="F503" s="99" t="s">
        <v>3100</v>
      </c>
      <c r="G503" s="215"/>
      <c r="H503" s="215"/>
      <c r="I503" s="69">
        <v>1.0</v>
      </c>
      <c r="J503" s="222">
        <v>0.0</v>
      </c>
      <c r="K503" s="69">
        <v>0.0</v>
      </c>
      <c r="L503" s="223">
        <f t="shared" si="21"/>
        <v>0</v>
      </c>
      <c r="M503" s="146">
        <f t="shared" si="22"/>
        <v>0</v>
      </c>
      <c r="N503" s="305"/>
      <c r="O503" s="306"/>
      <c r="P503" s="105"/>
      <c r="Q503" s="105"/>
      <c r="R503" s="105"/>
      <c r="S503" s="105"/>
    </row>
    <row r="504">
      <c r="A504" s="198">
        <v>502.0</v>
      </c>
      <c r="B504" s="100">
        <v>25.0</v>
      </c>
      <c r="C504" s="99" t="s">
        <v>4159</v>
      </c>
      <c r="D504" s="99" t="s">
        <v>4160</v>
      </c>
      <c r="E504" s="99" t="s">
        <v>4161</v>
      </c>
      <c r="F504" s="99" t="s">
        <v>3099</v>
      </c>
      <c r="G504" s="215"/>
      <c r="H504" s="215"/>
      <c r="I504" s="69">
        <v>1.0</v>
      </c>
      <c r="J504" s="222">
        <v>0.0</v>
      </c>
      <c r="K504" s="69">
        <v>0.0</v>
      </c>
      <c r="L504" s="223">
        <f t="shared" si="21"/>
        <v>0</v>
      </c>
      <c r="M504" s="146">
        <f t="shared" si="22"/>
        <v>0</v>
      </c>
      <c r="N504" s="305"/>
      <c r="O504" s="306"/>
      <c r="P504" s="105"/>
      <c r="Q504" s="105"/>
      <c r="R504" s="105"/>
      <c r="S504" s="105"/>
    </row>
    <row r="505">
      <c r="A505" s="196">
        <v>503.0</v>
      </c>
      <c r="B505" s="100">
        <v>26.0</v>
      </c>
      <c r="C505" s="99" t="s">
        <v>4162</v>
      </c>
      <c r="D505" s="307" t="s">
        <v>4163</v>
      </c>
      <c r="E505" s="99" t="s">
        <v>4164</v>
      </c>
      <c r="F505" s="99" t="s">
        <v>3099</v>
      </c>
      <c r="G505" s="215"/>
      <c r="H505" s="215"/>
      <c r="I505" s="69">
        <v>1.0</v>
      </c>
      <c r="J505" s="222">
        <v>0.0</v>
      </c>
      <c r="K505" s="69">
        <v>0.0</v>
      </c>
      <c r="L505" s="223">
        <f t="shared" si="21"/>
        <v>0</v>
      </c>
      <c r="M505" s="146">
        <f t="shared" si="22"/>
        <v>0</v>
      </c>
      <c r="N505" s="305"/>
      <c r="O505" s="306"/>
      <c r="P505" s="105"/>
      <c r="Q505" s="105"/>
      <c r="R505" s="105"/>
      <c r="S505" s="105"/>
    </row>
    <row r="506">
      <c r="A506" s="198">
        <v>504.0</v>
      </c>
      <c r="B506" s="100">
        <v>27.0</v>
      </c>
      <c r="C506" s="99" t="s">
        <v>4165</v>
      </c>
      <c r="D506" s="99" t="s">
        <v>4166</v>
      </c>
      <c r="E506" s="99" t="s">
        <v>4167</v>
      </c>
      <c r="F506" s="99" t="s">
        <v>3100</v>
      </c>
      <c r="G506" s="215"/>
      <c r="H506" s="215"/>
      <c r="I506" s="69">
        <v>1.0</v>
      </c>
      <c r="J506" s="222">
        <v>0.0</v>
      </c>
      <c r="K506" s="69">
        <v>0.0</v>
      </c>
      <c r="L506" s="223">
        <f t="shared" si="21"/>
        <v>0</v>
      </c>
      <c r="M506" s="146">
        <f t="shared" si="22"/>
        <v>0</v>
      </c>
      <c r="N506" s="305"/>
      <c r="O506" s="306"/>
      <c r="P506" s="105"/>
      <c r="Q506" s="105"/>
      <c r="R506" s="105"/>
      <c r="S506" s="105"/>
    </row>
    <row r="507">
      <c r="A507" s="196">
        <v>505.0</v>
      </c>
      <c r="B507" s="100">
        <v>28.0</v>
      </c>
      <c r="C507" s="99">
        <v>2.32410363E8</v>
      </c>
      <c r="D507" s="307" t="s">
        <v>4168</v>
      </c>
      <c r="E507" s="99" t="s">
        <v>4169</v>
      </c>
      <c r="F507" s="99" t="s">
        <v>3100</v>
      </c>
      <c r="G507" s="215"/>
      <c r="H507" s="215"/>
      <c r="I507" s="69">
        <v>1.0</v>
      </c>
      <c r="J507" s="222">
        <v>0.0</v>
      </c>
      <c r="K507" s="69">
        <v>0.0</v>
      </c>
      <c r="L507" s="223">
        <f t="shared" si="21"/>
        <v>0</v>
      </c>
      <c r="M507" s="146">
        <f t="shared" si="22"/>
        <v>0</v>
      </c>
      <c r="N507" s="305"/>
      <c r="O507" s="306"/>
      <c r="P507" s="105"/>
      <c r="Q507" s="105"/>
      <c r="R507" s="105"/>
      <c r="S507" s="105"/>
    </row>
    <row r="508">
      <c r="A508" s="198">
        <v>506.0</v>
      </c>
      <c r="B508" s="100">
        <v>29.0</v>
      </c>
      <c r="C508" s="99" t="s">
        <v>4170</v>
      </c>
      <c r="D508" s="99" t="s">
        <v>4171</v>
      </c>
      <c r="E508" s="99" t="s">
        <v>4172</v>
      </c>
      <c r="F508" s="99" t="s">
        <v>3100</v>
      </c>
      <c r="G508" s="215"/>
      <c r="H508" s="215"/>
      <c r="I508" s="69">
        <v>1.0</v>
      </c>
      <c r="J508" s="222">
        <v>0.0</v>
      </c>
      <c r="K508" s="69">
        <v>0.0</v>
      </c>
      <c r="L508" s="223">
        <f t="shared" si="21"/>
        <v>0</v>
      </c>
      <c r="M508" s="146">
        <f t="shared" si="22"/>
        <v>0</v>
      </c>
      <c r="N508" s="305"/>
      <c r="O508" s="306"/>
      <c r="P508" s="105"/>
      <c r="Q508" s="105"/>
      <c r="R508" s="105"/>
      <c r="S508" s="105"/>
    </row>
    <row r="509">
      <c r="A509" s="196">
        <v>507.0</v>
      </c>
      <c r="B509" s="100">
        <v>30.0</v>
      </c>
      <c r="C509" s="99" t="s">
        <v>4173</v>
      </c>
      <c r="D509" s="99" t="s">
        <v>4174</v>
      </c>
      <c r="E509" s="99" t="s">
        <v>4175</v>
      </c>
      <c r="F509" s="99" t="s">
        <v>3099</v>
      </c>
      <c r="G509" s="215"/>
      <c r="H509" s="215"/>
      <c r="I509" s="69">
        <v>1.0</v>
      </c>
      <c r="J509" s="222">
        <v>0.0</v>
      </c>
      <c r="K509" s="69">
        <v>0.0</v>
      </c>
      <c r="L509" s="223">
        <f t="shared" si="21"/>
        <v>0</v>
      </c>
      <c r="M509" s="146">
        <f t="shared" si="22"/>
        <v>0</v>
      </c>
      <c r="N509" s="305"/>
      <c r="O509" s="306"/>
      <c r="P509" s="105"/>
      <c r="Q509" s="105"/>
      <c r="R509" s="105"/>
      <c r="S509" s="105"/>
    </row>
    <row r="510">
      <c r="A510" s="198">
        <v>508.0</v>
      </c>
      <c r="B510" s="100">
        <v>31.0</v>
      </c>
      <c r="C510" s="99" t="s">
        <v>4176</v>
      </c>
      <c r="D510" s="99" t="s">
        <v>4177</v>
      </c>
      <c r="E510" s="99" t="s">
        <v>4178</v>
      </c>
      <c r="F510" s="99" t="s">
        <v>3100</v>
      </c>
      <c r="G510" s="215"/>
      <c r="H510" s="215"/>
      <c r="I510" s="69">
        <v>1.0</v>
      </c>
      <c r="J510" s="222">
        <v>0.0</v>
      </c>
      <c r="K510" s="69">
        <v>0.0</v>
      </c>
      <c r="L510" s="223">
        <f t="shared" si="21"/>
        <v>0</v>
      </c>
      <c r="M510" s="146">
        <f t="shared" si="22"/>
        <v>0</v>
      </c>
      <c r="N510" s="305"/>
      <c r="O510" s="306"/>
      <c r="P510" s="105"/>
      <c r="Q510" s="105"/>
      <c r="R510" s="105"/>
      <c r="S510" s="105"/>
    </row>
    <row r="511">
      <c r="A511" s="196">
        <v>509.0</v>
      </c>
      <c r="B511" s="100">
        <v>32.0</v>
      </c>
      <c r="C511" s="99" t="s">
        <v>4179</v>
      </c>
      <c r="D511" s="99" t="s">
        <v>4180</v>
      </c>
      <c r="E511" s="99" t="s">
        <v>4181</v>
      </c>
      <c r="F511" s="99" t="s">
        <v>3099</v>
      </c>
      <c r="G511" s="215"/>
      <c r="H511" s="215"/>
      <c r="I511" s="69">
        <v>1.0</v>
      </c>
      <c r="J511" s="222">
        <v>0.0</v>
      </c>
      <c r="K511" s="69">
        <v>0.0</v>
      </c>
      <c r="L511" s="223">
        <f t="shared" si="21"/>
        <v>0</v>
      </c>
      <c r="M511" s="146">
        <f t="shared" si="22"/>
        <v>0</v>
      </c>
      <c r="N511" s="305"/>
      <c r="O511" s="306"/>
      <c r="P511" s="105"/>
      <c r="Q511" s="105"/>
      <c r="R511" s="105"/>
      <c r="S511" s="105"/>
    </row>
    <row r="512">
      <c r="A512" s="198">
        <v>510.0</v>
      </c>
      <c r="B512" s="100">
        <v>33.0</v>
      </c>
      <c r="C512" s="99" t="s">
        <v>4182</v>
      </c>
      <c r="D512" s="99" t="s">
        <v>4183</v>
      </c>
      <c r="E512" s="99" t="s">
        <v>4184</v>
      </c>
      <c r="F512" s="99" t="s">
        <v>3100</v>
      </c>
      <c r="G512" s="215"/>
      <c r="H512" s="215"/>
      <c r="I512" s="69">
        <v>1.0</v>
      </c>
      <c r="J512" s="222">
        <v>0.0</v>
      </c>
      <c r="K512" s="69">
        <v>0.0</v>
      </c>
      <c r="L512" s="223">
        <f t="shared" si="21"/>
        <v>0</v>
      </c>
      <c r="M512" s="146">
        <f t="shared" si="22"/>
        <v>0</v>
      </c>
      <c r="N512" s="305"/>
      <c r="O512" s="306"/>
      <c r="P512" s="105"/>
      <c r="Q512" s="105"/>
      <c r="R512" s="105"/>
      <c r="S512" s="105"/>
    </row>
    <row r="513">
      <c r="A513" s="196">
        <v>511.0</v>
      </c>
      <c r="B513" s="100">
        <v>34.0</v>
      </c>
      <c r="C513" s="99" t="s">
        <v>4185</v>
      </c>
      <c r="D513" s="99" t="s">
        <v>4186</v>
      </c>
      <c r="E513" s="99" t="s">
        <v>4187</v>
      </c>
      <c r="F513" s="99" t="s">
        <v>3100</v>
      </c>
      <c r="G513" s="215"/>
      <c r="H513" s="215"/>
      <c r="I513" s="69">
        <v>1.0</v>
      </c>
      <c r="J513" s="222">
        <v>0.0</v>
      </c>
      <c r="K513" s="69">
        <v>0.0</v>
      </c>
      <c r="L513" s="223">
        <f t="shared" si="21"/>
        <v>0</v>
      </c>
      <c r="M513" s="146">
        <f t="shared" si="22"/>
        <v>0</v>
      </c>
      <c r="N513" s="305"/>
      <c r="O513" s="306"/>
      <c r="P513" s="105"/>
      <c r="Q513" s="105"/>
      <c r="R513" s="105"/>
      <c r="S513" s="105"/>
    </row>
    <row r="514">
      <c r="A514" s="198">
        <v>512.0</v>
      </c>
      <c r="B514" s="100">
        <v>35.0</v>
      </c>
      <c r="C514" s="99" t="s">
        <v>4188</v>
      </c>
      <c r="D514" s="99" t="s">
        <v>4189</v>
      </c>
      <c r="E514" s="99" t="s">
        <v>4190</v>
      </c>
      <c r="F514" s="99" t="s">
        <v>3100</v>
      </c>
      <c r="G514" s="228"/>
      <c r="H514" s="268" t="s">
        <v>2507</v>
      </c>
      <c r="I514" s="69">
        <v>2.0</v>
      </c>
      <c r="J514" s="223">
        <f>iferror(vlookup(E514,MasterClass!$C$2:$G1001,5,false),"")</f>
        <v>1</v>
      </c>
      <c r="K514" s="69">
        <v>1.0</v>
      </c>
      <c r="L514" s="223">
        <f t="shared" si="21"/>
        <v>2</v>
      </c>
      <c r="M514" s="146">
        <f t="shared" si="22"/>
        <v>0.6666666667</v>
      </c>
      <c r="N514" s="215" t="s">
        <v>3188</v>
      </c>
      <c r="O514" s="306"/>
      <c r="P514" s="105"/>
      <c r="Q514" s="105"/>
      <c r="R514" s="105"/>
      <c r="S514" s="105"/>
    </row>
    <row r="515">
      <c r="A515" s="196">
        <v>513.0</v>
      </c>
      <c r="B515" s="100">
        <v>36.0</v>
      </c>
      <c r="C515" s="99" t="s">
        <v>4191</v>
      </c>
      <c r="D515" s="99" t="s">
        <v>4192</v>
      </c>
      <c r="E515" s="99" t="s">
        <v>4193</v>
      </c>
      <c r="F515" s="99" t="s">
        <v>3099</v>
      </c>
      <c r="G515" s="228"/>
      <c r="H515" s="228"/>
      <c r="I515" s="69">
        <v>1.0</v>
      </c>
      <c r="J515" s="222">
        <v>0.0</v>
      </c>
      <c r="K515" s="69">
        <v>0.0</v>
      </c>
      <c r="L515" s="223">
        <f t="shared" si="21"/>
        <v>0</v>
      </c>
      <c r="M515" s="146">
        <f t="shared" si="22"/>
        <v>0</v>
      </c>
      <c r="N515" s="305"/>
      <c r="O515" s="306"/>
      <c r="P515" s="105"/>
      <c r="Q515" s="105"/>
      <c r="R515" s="105"/>
      <c r="S515" s="105"/>
    </row>
    <row r="516">
      <c r="A516" s="198">
        <v>514.0</v>
      </c>
      <c r="B516" s="100">
        <v>37.0</v>
      </c>
      <c r="C516" s="99" t="s">
        <v>4194</v>
      </c>
      <c r="D516" s="99" t="s">
        <v>4195</v>
      </c>
      <c r="E516" s="99" t="s">
        <v>4196</v>
      </c>
      <c r="F516" s="99" t="s">
        <v>3100</v>
      </c>
      <c r="G516" s="228"/>
      <c r="H516" s="228"/>
      <c r="I516" s="69">
        <v>3.0</v>
      </c>
      <c r="J516" s="222">
        <v>0.0</v>
      </c>
      <c r="K516" s="69">
        <v>3.0</v>
      </c>
      <c r="L516" s="223">
        <f t="shared" si="21"/>
        <v>3</v>
      </c>
      <c r="M516" s="146">
        <f t="shared" si="22"/>
        <v>0.75</v>
      </c>
      <c r="N516" s="305"/>
      <c r="O516" s="306"/>
      <c r="P516" s="105"/>
      <c r="Q516" s="105"/>
      <c r="R516" s="105"/>
      <c r="S516" s="105"/>
    </row>
    <row r="517">
      <c r="A517" s="196">
        <v>515.0</v>
      </c>
      <c r="B517" s="106"/>
      <c r="C517" s="309" t="s">
        <v>3101</v>
      </c>
      <c r="D517" s="105"/>
      <c r="E517" s="246">
        <f>COUNTIF(F480:F516,"L")</f>
        <v>13</v>
      </c>
      <c r="F517" s="105"/>
      <c r="G517" s="105"/>
      <c r="H517" s="105"/>
      <c r="I517" s="106"/>
      <c r="J517" s="106"/>
      <c r="K517" s="106"/>
      <c r="L517" s="106"/>
      <c r="M517" s="106"/>
      <c r="N517" s="105"/>
      <c r="O517" s="105"/>
      <c r="P517" s="105"/>
      <c r="Q517" s="105"/>
      <c r="R517" s="105"/>
      <c r="S517" s="105"/>
    </row>
    <row r="518">
      <c r="A518" s="198">
        <v>516.0</v>
      </c>
      <c r="B518" s="106"/>
      <c r="C518" s="309" t="s">
        <v>3102</v>
      </c>
      <c r="D518" s="105"/>
      <c r="E518" s="246">
        <f>COUNTIF(F474:F516,"P")</f>
        <v>24</v>
      </c>
      <c r="F518" s="105"/>
      <c r="G518" s="105"/>
      <c r="H518" s="105"/>
      <c r="I518" s="106"/>
      <c r="J518" s="106"/>
      <c r="K518" s="106"/>
      <c r="L518" s="106"/>
      <c r="M518" s="106"/>
      <c r="N518" s="105"/>
      <c r="O518" s="232"/>
      <c r="P518" s="105"/>
      <c r="Q518" s="105"/>
      <c r="R518" s="105"/>
      <c r="S518" s="105"/>
    </row>
    <row r="519">
      <c r="A519" s="196">
        <v>517.0</v>
      </c>
      <c r="B519" s="106"/>
      <c r="C519" s="309" t="s">
        <v>3104</v>
      </c>
      <c r="D519" s="105"/>
      <c r="E519" s="246">
        <f>SUM(E517:E518)</f>
        <v>37</v>
      </c>
      <c r="F519" s="105"/>
      <c r="G519" s="105"/>
      <c r="H519" s="105"/>
      <c r="I519" s="106"/>
      <c r="J519" s="106"/>
      <c r="K519" s="106"/>
      <c r="L519" s="106"/>
      <c r="M519" s="106"/>
      <c r="N519" s="105"/>
      <c r="O519" s="200"/>
      <c r="P519" s="105"/>
      <c r="Q519" s="105"/>
      <c r="R519" s="105"/>
      <c r="S519" s="105"/>
    </row>
    <row r="520">
      <c r="A520" s="198">
        <v>518.0</v>
      </c>
      <c r="B520" s="197"/>
      <c r="C520" s="189"/>
      <c r="D520" s="189"/>
      <c r="E520" s="189"/>
      <c r="F520" s="189"/>
      <c r="G520" s="189"/>
      <c r="H520" s="189"/>
      <c r="I520" s="197"/>
      <c r="J520" s="197"/>
      <c r="K520" s="197"/>
      <c r="L520" s="197"/>
      <c r="M520" s="197"/>
      <c r="N520" s="189"/>
      <c r="O520" s="189"/>
      <c r="P520" s="105"/>
      <c r="Q520" s="105"/>
      <c r="R520" s="105"/>
      <c r="S520" s="105"/>
    </row>
    <row r="521">
      <c r="A521" s="196">
        <v>519.0</v>
      </c>
      <c r="B521" s="114" t="s">
        <v>3111</v>
      </c>
      <c r="F521" s="287"/>
      <c r="G521" s="287"/>
      <c r="H521" s="287"/>
      <c r="I521" s="114"/>
      <c r="J521" s="114"/>
      <c r="K521" s="114"/>
      <c r="L521" s="114"/>
      <c r="M521" s="114"/>
      <c r="N521" s="287"/>
      <c r="O521" s="287"/>
      <c r="P521" s="105"/>
      <c r="Q521" s="105"/>
      <c r="R521" s="105"/>
      <c r="S521" s="105"/>
    </row>
    <row r="522">
      <c r="A522" s="198">
        <v>520.0</v>
      </c>
      <c r="B522" s="114" t="s">
        <v>3112</v>
      </c>
      <c r="F522" s="287"/>
      <c r="G522" s="287"/>
      <c r="H522" s="287"/>
      <c r="I522" s="114"/>
      <c r="J522" s="114"/>
      <c r="K522" s="114"/>
      <c r="L522" s="114"/>
      <c r="M522" s="114"/>
      <c r="N522" s="287"/>
      <c r="O522" s="287"/>
      <c r="P522" s="105"/>
      <c r="Q522" s="105"/>
      <c r="R522" s="105"/>
      <c r="S522" s="105"/>
    </row>
    <row r="523">
      <c r="A523" s="196">
        <v>521.0</v>
      </c>
      <c r="B523" s="110" t="s">
        <v>4197</v>
      </c>
      <c r="F523" s="310"/>
      <c r="G523" s="310"/>
      <c r="H523" s="310"/>
      <c r="I523" s="110"/>
      <c r="J523" s="110"/>
      <c r="K523" s="110"/>
      <c r="L523" s="110"/>
      <c r="M523" s="110"/>
      <c r="N523" s="310"/>
      <c r="O523" s="310"/>
      <c r="P523" s="105"/>
      <c r="Q523" s="105"/>
      <c r="R523" s="105"/>
      <c r="S523" s="105"/>
    </row>
    <row r="524">
      <c r="A524" s="198">
        <v>522.0</v>
      </c>
      <c r="B524" s="298" t="s">
        <v>4198</v>
      </c>
      <c r="F524" s="200"/>
      <c r="G524" s="200"/>
      <c r="H524" s="200"/>
      <c r="I524" s="93"/>
      <c r="J524" s="93"/>
      <c r="K524" s="93"/>
      <c r="L524" s="93"/>
      <c r="M524" s="93"/>
      <c r="N524" s="200"/>
      <c r="O524" s="200"/>
      <c r="P524" s="105"/>
      <c r="Q524" s="105"/>
      <c r="R524" s="105"/>
      <c r="S524" s="105"/>
    </row>
    <row r="525">
      <c r="A525" s="196">
        <v>523.0</v>
      </c>
      <c r="B525" s="299" t="s">
        <v>1735</v>
      </c>
      <c r="C525" s="299" t="s">
        <v>1737</v>
      </c>
      <c r="D525" s="299" t="s">
        <v>1736</v>
      </c>
      <c r="E525" s="299" t="s">
        <v>1738</v>
      </c>
      <c r="F525" s="262" t="s">
        <v>1815</v>
      </c>
      <c r="G525" s="255"/>
      <c r="H525" s="255"/>
      <c r="I525" s="256" t="s">
        <v>3097</v>
      </c>
      <c r="J525" s="9"/>
      <c r="K525" s="9"/>
      <c r="L525" s="9"/>
      <c r="M525" s="9"/>
      <c r="N525" s="9"/>
      <c r="O525" s="10"/>
      <c r="P525" s="105"/>
      <c r="Q525" s="105"/>
      <c r="R525" s="105"/>
      <c r="S525" s="105"/>
    </row>
    <row r="526">
      <c r="A526" s="198">
        <v>524.0</v>
      </c>
      <c r="B526" s="11"/>
      <c r="C526" s="11"/>
      <c r="D526" s="11"/>
      <c r="E526" s="11"/>
      <c r="F526" s="262"/>
      <c r="G526" s="300"/>
      <c r="H526" s="300" t="s">
        <v>2483</v>
      </c>
      <c r="I526" s="301" t="s">
        <v>3109</v>
      </c>
      <c r="J526" s="302" t="s">
        <v>3095</v>
      </c>
      <c r="K526" s="301" t="s">
        <v>3110</v>
      </c>
      <c r="L526" s="302" t="s">
        <v>3098</v>
      </c>
      <c r="M526" s="303" t="s">
        <v>18</v>
      </c>
      <c r="N526" s="302" t="s">
        <v>2491</v>
      </c>
      <c r="O526" s="304" t="s">
        <v>19</v>
      </c>
      <c r="P526" s="105"/>
      <c r="Q526" s="105"/>
      <c r="R526" s="105"/>
      <c r="S526" s="105"/>
    </row>
    <row r="527">
      <c r="A527" s="196">
        <v>525.0</v>
      </c>
      <c r="B527" s="20"/>
      <c r="C527" s="20"/>
      <c r="D527" s="20"/>
      <c r="E527" s="20"/>
      <c r="F527" s="262"/>
      <c r="G527" s="300"/>
      <c r="H527" s="300"/>
      <c r="I527" s="20"/>
      <c r="J527" s="20"/>
      <c r="K527" s="20"/>
      <c r="L527" s="20"/>
      <c r="M527" s="20"/>
      <c r="N527" s="20"/>
      <c r="O527" s="20"/>
      <c r="P527" s="105"/>
      <c r="Q527" s="105"/>
      <c r="R527" s="105"/>
      <c r="S527" s="105"/>
    </row>
    <row r="528">
      <c r="A528" s="198">
        <v>526.0</v>
      </c>
      <c r="B528" s="100">
        <v>1.0</v>
      </c>
      <c r="C528" s="99" t="s">
        <v>4199</v>
      </c>
      <c r="D528" s="99" t="s">
        <v>4200</v>
      </c>
      <c r="E528" s="228" t="s">
        <v>4201</v>
      </c>
      <c r="F528" s="99" t="s">
        <v>3100</v>
      </c>
      <c r="G528" s="215"/>
      <c r="H528" s="215"/>
      <c r="I528" s="69">
        <v>1.0</v>
      </c>
      <c r="J528" s="222">
        <v>0.0</v>
      </c>
      <c r="K528" s="69">
        <v>0.0</v>
      </c>
      <c r="L528" s="223">
        <f t="shared" ref="L528:L564" si="23">K528+J528</f>
        <v>0</v>
      </c>
      <c r="M528" s="146">
        <f t="shared" ref="M528:M564" si="24">(K528+J528)/(I528+1)</f>
        <v>0</v>
      </c>
      <c r="N528" s="305"/>
      <c r="O528" s="306"/>
      <c r="P528" s="105"/>
      <c r="Q528" s="105"/>
      <c r="R528" s="105"/>
      <c r="S528" s="105"/>
    </row>
    <row r="529">
      <c r="A529" s="196">
        <v>527.0</v>
      </c>
      <c r="B529" s="100">
        <v>2.0</v>
      </c>
      <c r="C529" s="99" t="s">
        <v>4202</v>
      </c>
      <c r="D529" s="307" t="s">
        <v>4203</v>
      </c>
      <c r="E529" s="228" t="s">
        <v>4204</v>
      </c>
      <c r="F529" s="99" t="s">
        <v>3100</v>
      </c>
      <c r="G529" s="215"/>
      <c r="H529" s="215"/>
      <c r="I529" s="69">
        <v>1.0</v>
      </c>
      <c r="J529" s="222">
        <v>0.0</v>
      </c>
      <c r="K529" s="69">
        <v>0.0</v>
      </c>
      <c r="L529" s="223">
        <f t="shared" si="23"/>
        <v>0</v>
      </c>
      <c r="M529" s="146">
        <f t="shared" si="24"/>
        <v>0</v>
      </c>
      <c r="N529" s="305"/>
      <c r="O529" s="306"/>
      <c r="P529" s="105"/>
      <c r="Q529" s="105"/>
      <c r="R529" s="105"/>
      <c r="S529" s="105"/>
    </row>
    <row r="530">
      <c r="A530" s="198">
        <v>528.0</v>
      </c>
      <c r="B530" s="100">
        <v>3.0</v>
      </c>
      <c r="C530" s="99" t="s">
        <v>4205</v>
      </c>
      <c r="D530" s="99" t="s">
        <v>4206</v>
      </c>
      <c r="E530" s="228" t="s">
        <v>4207</v>
      </c>
      <c r="F530" s="99" t="s">
        <v>3100</v>
      </c>
      <c r="G530" s="215"/>
      <c r="H530" s="215"/>
      <c r="I530" s="69">
        <v>1.0</v>
      </c>
      <c r="J530" s="222">
        <v>0.0</v>
      </c>
      <c r="K530" s="69">
        <v>0.0</v>
      </c>
      <c r="L530" s="223">
        <f t="shared" si="23"/>
        <v>0</v>
      </c>
      <c r="M530" s="146">
        <f t="shared" si="24"/>
        <v>0</v>
      </c>
      <c r="N530" s="305"/>
      <c r="O530" s="306"/>
      <c r="P530" s="105"/>
      <c r="Q530" s="105"/>
      <c r="R530" s="105"/>
      <c r="S530" s="105"/>
    </row>
    <row r="531">
      <c r="A531" s="196">
        <v>529.0</v>
      </c>
      <c r="B531" s="100">
        <v>4.0</v>
      </c>
      <c r="C531" s="99" t="s">
        <v>4208</v>
      </c>
      <c r="D531" s="99" t="s">
        <v>4209</v>
      </c>
      <c r="E531" s="228" t="s">
        <v>4210</v>
      </c>
      <c r="F531" s="99" t="s">
        <v>3099</v>
      </c>
      <c r="G531" s="215"/>
      <c r="H531" s="215"/>
      <c r="I531" s="69">
        <v>1.0</v>
      </c>
      <c r="J531" s="222">
        <v>0.0</v>
      </c>
      <c r="K531" s="69">
        <v>0.0</v>
      </c>
      <c r="L531" s="223">
        <f t="shared" si="23"/>
        <v>0</v>
      </c>
      <c r="M531" s="146">
        <f t="shared" si="24"/>
        <v>0</v>
      </c>
      <c r="N531" s="305"/>
      <c r="O531" s="306"/>
      <c r="P531" s="105"/>
      <c r="Q531" s="105"/>
      <c r="R531" s="105"/>
      <c r="S531" s="105"/>
    </row>
    <row r="532">
      <c r="A532" s="198">
        <v>530.0</v>
      </c>
      <c r="B532" s="100">
        <v>5.0</v>
      </c>
      <c r="C532" s="99" t="s">
        <v>4211</v>
      </c>
      <c r="D532" s="99" t="s">
        <v>4212</v>
      </c>
      <c r="E532" s="228" t="s">
        <v>4213</v>
      </c>
      <c r="F532" s="99" t="s">
        <v>3100</v>
      </c>
      <c r="G532" s="215"/>
      <c r="H532" s="215"/>
      <c r="I532" s="69">
        <v>1.0</v>
      </c>
      <c r="J532" s="222">
        <v>0.0</v>
      </c>
      <c r="K532" s="69">
        <v>0.0</v>
      </c>
      <c r="L532" s="223">
        <f t="shared" si="23"/>
        <v>0</v>
      </c>
      <c r="M532" s="146">
        <f t="shared" si="24"/>
        <v>0</v>
      </c>
      <c r="N532" s="305"/>
      <c r="O532" s="306"/>
      <c r="P532" s="105"/>
      <c r="Q532" s="105"/>
      <c r="R532" s="105"/>
      <c r="S532" s="105"/>
    </row>
    <row r="533">
      <c r="A533" s="196">
        <v>531.0</v>
      </c>
      <c r="B533" s="100">
        <v>6.0</v>
      </c>
      <c r="C533" s="99" t="s">
        <v>4214</v>
      </c>
      <c r="D533" s="307" t="s">
        <v>4215</v>
      </c>
      <c r="E533" s="228" t="s">
        <v>4216</v>
      </c>
      <c r="F533" s="99" t="s">
        <v>3099</v>
      </c>
      <c r="G533" s="215"/>
      <c r="H533" s="215"/>
      <c r="I533" s="69">
        <v>1.0</v>
      </c>
      <c r="J533" s="222">
        <v>0.0</v>
      </c>
      <c r="K533" s="69">
        <v>0.0</v>
      </c>
      <c r="L533" s="223">
        <f t="shared" si="23"/>
        <v>0</v>
      </c>
      <c r="M533" s="146">
        <f t="shared" si="24"/>
        <v>0</v>
      </c>
      <c r="N533" s="305"/>
      <c r="O533" s="306"/>
      <c r="P533" s="105"/>
      <c r="Q533" s="105"/>
      <c r="R533" s="105"/>
      <c r="S533" s="105"/>
    </row>
    <row r="534">
      <c r="A534" s="198">
        <v>532.0</v>
      </c>
      <c r="B534" s="100">
        <v>7.0</v>
      </c>
      <c r="C534" s="99" t="s">
        <v>4217</v>
      </c>
      <c r="D534" s="99" t="s">
        <v>4218</v>
      </c>
      <c r="E534" s="228" t="s">
        <v>4219</v>
      </c>
      <c r="F534" s="99" t="s">
        <v>3100</v>
      </c>
      <c r="G534" s="215"/>
      <c r="H534" s="215"/>
      <c r="I534" s="69">
        <v>1.0</v>
      </c>
      <c r="J534" s="222">
        <v>0.0</v>
      </c>
      <c r="K534" s="69">
        <v>0.0</v>
      </c>
      <c r="L534" s="223">
        <f t="shared" si="23"/>
        <v>0</v>
      </c>
      <c r="M534" s="146">
        <f t="shared" si="24"/>
        <v>0</v>
      </c>
      <c r="N534" s="305"/>
      <c r="O534" s="306"/>
      <c r="P534" s="105"/>
      <c r="Q534" s="105"/>
      <c r="R534" s="105"/>
      <c r="S534" s="105"/>
    </row>
    <row r="535">
      <c r="A535" s="196">
        <v>533.0</v>
      </c>
      <c r="B535" s="100">
        <v>8.0</v>
      </c>
      <c r="C535" s="99" t="s">
        <v>4220</v>
      </c>
      <c r="D535" s="99" t="s">
        <v>3792</v>
      </c>
      <c r="E535" s="228" t="s">
        <v>4221</v>
      </c>
      <c r="F535" s="99" t="s">
        <v>3099</v>
      </c>
      <c r="G535" s="215"/>
      <c r="H535" s="215"/>
      <c r="I535" s="69">
        <v>1.0</v>
      </c>
      <c r="J535" s="222">
        <v>0.0</v>
      </c>
      <c r="K535" s="69">
        <v>0.0</v>
      </c>
      <c r="L535" s="223">
        <f t="shared" si="23"/>
        <v>0</v>
      </c>
      <c r="M535" s="146">
        <f t="shared" si="24"/>
        <v>0</v>
      </c>
      <c r="N535" s="305"/>
      <c r="O535" s="306"/>
      <c r="P535" s="105"/>
      <c r="Q535" s="105"/>
      <c r="R535" s="105"/>
      <c r="S535" s="105"/>
    </row>
    <row r="536">
      <c r="A536" s="198">
        <v>534.0</v>
      </c>
      <c r="B536" s="100">
        <v>9.0</v>
      </c>
      <c r="C536" s="99" t="s">
        <v>4222</v>
      </c>
      <c r="D536" s="99" t="s">
        <v>3360</v>
      </c>
      <c r="E536" s="228" t="s">
        <v>4223</v>
      </c>
      <c r="F536" s="99" t="s">
        <v>3099</v>
      </c>
      <c r="G536" s="215"/>
      <c r="H536" s="215"/>
      <c r="I536" s="69">
        <v>1.0</v>
      </c>
      <c r="J536" s="222">
        <v>0.0</v>
      </c>
      <c r="K536" s="69">
        <v>0.0</v>
      </c>
      <c r="L536" s="223">
        <f t="shared" si="23"/>
        <v>0</v>
      </c>
      <c r="M536" s="146">
        <f t="shared" si="24"/>
        <v>0</v>
      </c>
      <c r="N536" s="305"/>
      <c r="O536" s="306"/>
      <c r="P536" s="105"/>
      <c r="Q536" s="105"/>
      <c r="R536" s="105"/>
      <c r="S536" s="105"/>
    </row>
    <row r="537">
      <c r="A537" s="196">
        <v>535.0</v>
      </c>
      <c r="B537" s="100">
        <v>10.0</v>
      </c>
      <c r="C537" s="99" t="s">
        <v>4224</v>
      </c>
      <c r="D537" s="99" t="s">
        <v>4225</v>
      </c>
      <c r="E537" s="228" t="s">
        <v>4226</v>
      </c>
      <c r="F537" s="99" t="s">
        <v>3100</v>
      </c>
      <c r="G537" s="215"/>
      <c r="H537" s="215"/>
      <c r="I537" s="69">
        <v>1.0</v>
      </c>
      <c r="J537" s="222">
        <v>0.0</v>
      </c>
      <c r="K537" s="69">
        <v>0.0</v>
      </c>
      <c r="L537" s="223">
        <f t="shared" si="23"/>
        <v>0</v>
      </c>
      <c r="M537" s="146">
        <f t="shared" si="24"/>
        <v>0</v>
      </c>
      <c r="N537" s="305"/>
      <c r="O537" s="306"/>
      <c r="P537" s="105"/>
      <c r="Q537" s="105"/>
      <c r="R537" s="105"/>
      <c r="S537" s="105"/>
    </row>
    <row r="538">
      <c r="A538" s="198">
        <v>536.0</v>
      </c>
      <c r="B538" s="100">
        <v>11.0</v>
      </c>
      <c r="C538" s="99" t="s">
        <v>4227</v>
      </c>
      <c r="D538" s="99" t="s">
        <v>4228</v>
      </c>
      <c r="E538" s="228" t="s">
        <v>4229</v>
      </c>
      <c r="F538" s="99" t="s">
        <v>3100</v>
      </c>
      <c r="G538" s="215"/>
      <c r="H538" s="215"/>
      <c r="I538" s="69">
        <v>1.0</v>
      </c>
      <c r="J538" s="222">
        <v>0.0</v>
      </c>
      <c r="K538" s="69">
        <v>0.0</v>
      </c>
      <c r="L538" s="223">
        <f t="shared" si="23"/>
        <v>0</v>
      </c>
      <c r="M538" s="146">
        <f t="shared" si="24"/>
        <v>0</v>
      </c>
      <c r="N538" s="305"/>
      <c r="O538" s="306"/>
      <c r="P538" s="105"/>
      <c r="Q538" s="105"/>
      <c r="R538" s="105"/>
      <c r="S538" s="105"/>
    </row>
    <row r="539">
      <c r="A539" s="196">
        <v>537.0</v>
      </c>
      <c r="B539" s="100">
        <v>12.0</v>
      </c>
      <c r="C539" s="99" t="s">
        <v>4230</v>
      </c>
      <c r="D539" s="99" t="s">
        <v>4231</v>
      </c>
      <c r="E539" s="228" t="s">
        <v>4232</v>
      </c>
      <c r="F539" s="99" t="s">
        <v>3099</v>
      </c>
      <c r="G539" s="215"/>
      <c r="H539" s="215"/>
      <c r="I539" s="69">
        <v>1.0</v>
      </c>
      <c r="J539" s="222">
        <v>0.0</v>
      </c>
      <c r="K539" s="69">
        <v>0.0</v>
      </c>
      <c r="L539" s="223">
        <f t="shared" si="23"/>
        <v>0</v>
      </c>
      <c r="M539" s="146">
        <f t="shared" si="24"/>
        <v>0</v>
      </c>
      <c r="N539" s="305"/>
      <c r="O539" s="306"/>
      <c r="P539" s="105"/>
      <c r="Q539" s="105"/>
      <c r="R539" s="105"/>
      <c r="S539" s="105"/>
    </row>
    <row r="540">
      <c r="A540" s="198">
        <v>538.0</v>
      </c>
      <c r="B540" s="100">
        <v>13.0</v>
      </c>
      <c r="C540" s="99" t="s">
        <v>4233</v>
      </c>
      <c r="D540" s="99" t="s">
        <v>4234</v>
      </c>
      <c r="E540" s="228" t="s">
        <v>4235</v>
      </c>
      <c r="F540" s="99" t="s">
        <v>3100</v>
      </c>
      <c r="G540" s="215"/>
      <c r="H540" s="215"/>
      <c r="I540" s="69">
        <v>12.0</v>
      </c>
      <c r="J540" s="222">
        <v>0.0</v>
      </c>
      <c r="K540" s="69">
        <v>2.0</v>
      </c>
      <c r="L540" s="223">
        <f t="shared" si="23"/>
        <v>2</v>
      </c>
      <c r="M540" s="146">
        <f t="shared" si="24"/>
        <v>0.1538461538</v>
      </c>
      <c r="N540" s="305"/>
      <c r="O540" s="306"/>
      <c r="P540" s="105"/>
      <c r="Q540" s="105"/>
      <c r="R540" s="105"/>
      <c r="S540" s="105"/>
    </row>
    <row r="541">
      <c r="A541" s="196">
        <v>539.0</v>
      </c>
      <c r="B541" s="100">
        <v>14.0</v>
      </c>
      <c r="C541" s="99" t="s">
        <v>4236</v>
      </c>
      <c r="D541" s="99" t="s">
        <v>4237</v>
      </c>
      <c r="E541" s="228" t="s">
        <v>4238</v>
      </c>
      <c r="F541" s="99" t="s">
        <v>3100</v>
      </c>
      <c r="G541" s="215"/>
      <c r="H541" s="215"/>
      <c r="I541" s="69">
        <v>1.0</v>
      </c>
      <c r="J541" s="222">
        <v>0.0</v>
      </c>
      <c r="K541" s="69">
        <v>0.0</v>
      </c>
      <c r="L541" s="223">
        <f t="shared" si="23"/>
        <v>0</v>
      </c>
      <c r="M541" s="146">
        <f t="shared" si="24"/>
        <v>0</v>
      </c>
      <c r="N541" s="305"/>
      <c r="O541" s="306"/>
      <c r="P541" s="105"/>
      <c r="Q541" s="105"/>
      <c r="R541" s="105"/>
      <c r="S541" s="105"/>
    </row>
    <row r="542">
      <c r="A542" s="198">
        <v>540.0</v>
      </c>
      <c r="B542" s="100">
        <v>15.0</v>
      </c>
      <c r="C542" s="99" t="s">
        <v>4239</v>
      </c>
      <c r="D542" s="99" t="s">
        <v>4240</v>
      </c>
      <c r="E542" s="228" t="s">
        <v>4241</v>
      </c>
      <c r="F542" s="99" t="s">
        <v>3100</v>
      </c>
      <c r="G542" s="215"/>
      <c r="H542" s="215"/>
      <c r="I542" s="69">
        <v>1.0</v>
      </c>
      <c r="J542" s="222">
        <v>0.0</v>
      </c>
      <c r="K542" s="69">
        <v>0.0</v>
      </c>
      <c r="L542" s="223">
        <f t="shared" si="23"/>
        <v>0</v>
      </c>
      <c r="M542" s="146">
        <f t="shared" si="24"/>
        <v>0</v>
      </c>
      <c r="N542" s="305"/>
      <c r="O542" s="306"/>
      <c r="P542" s="105"/>
      <c r="Q542" s="105"/>
      <c r="R542" s="105"/>
      <c r="S542" s="105"/>
    </row>
    <row r="543">
      <c r="A543" s="196">
        <v>541.0</v>
      </c>
      <c r="B543" s="100">
        <v>16.0</v>
      </c>
      <c r="C543" s="99" t="s">
        <v>4242</v>
      </c>
      <c r="D543" s="99" t="s">
        <v>4243</v>
      </c>
      <c r="E543" s="228" t="s">
        <v>4244</v>
      </c>
      <c r="F543" s="99" t="s">
        <v>3099</v>
      </c>
      <c r="G543" s="215"/>
      <c r="H543" s="215"/>
      <c r="I543" s="69">
        <v>7.0</v>
      </c>
      <c r="J543" s="222">
        <v>0.0</v>
      </c>
      <c r="K543" s="69">
        <v>4.0</v>
      </c>
      <c r="L543" s="223">
        <f t="shared" si="23"/>
        <v>4</v>
      </c>
      <c r="M543" s="146">
        <f t="shared" si="24"/>
        <v>0.5</v>
      </c>
      <c r="N543" s="215" t="s">
        <v>2508</v>
      </c>
      <c r="O543" s="311"/>
      <c r="P543" s="105"/>
      <c r="Q543" s="105"/>
      <c r="R543" s="105"/>
      <c r="S543" s="105"/>
    </row>
    <row r="544">
      <c r="A544" s="198">
        <v>542.0</v>
      </c>
      <c r="B544" s="100">
        <v>17.0</v>
      </c>
      <c r="C544" s="99" t="s">
        <v>4245</v>
      </c>
      <c r="D544" s="99" t="s">
        <v>4246</v>
      </c>
      <c r="E544" s="228" t="s">
        <v>4247</v>
      </c>
      <c r="F544" s="99" t="s">
        <v>3100</v>
      </c>
      <c r="G544" s="215"/>
      <c r="H544" s="215"/>
      <c r="I544" s="69">
        <v>1.0</v>
      </c>
      <c r="J544" s="222">
        <v>0.0</v>
      </c>
      <c r="K544" s="69">
        <v>0.0</v>
      </c>
      <c r="L544" s="223">
        <f t="shared" si="23"/>
        <v>0</v>
      </c>
      <c r="M544" s="146">
        <f t="shared" si="24"/>
        <v>0</v>
      </c>
      <c r="N544" s="305"/>
      <c r="O544" s="306"/>
      <c r="P544" s="105"/>
      <c r="Q544" s="105"/>
      <c r="R544" s="105"/>
      <c r="S544" s="105"/>
    </row>
    <row r="545">
      <c r="A545" s="196">
        <v>543.0</v>
      </c>
      <c r="B545" s="100">
        <v>18.0</v>
      </c>
      <c r="C545" s="99" t="s">
        <v>4248</v>
      </c>
      <c r="D545" s="99" t="s">
        <v>4249</v>
      </c>
      <c r="E545" s="228" t="s">
        <v>4250</v>
      </c>
      <c r="F545" s="99" t="s">
        <v>3099</v>
      </c>
      <c r="G545" s="215"/>
      <c r="H545" s="215"/>
      <c r="I545" s="69">
        <v>1.0</v>
      </c>
      <c r="J545" s="222">
        <v>0.0</v>
      </c>
      <c r="K545" s="69">
        <v>0.0</v>
      </c>
      <c r="L545" s="223">
        <f t="shared" si="23"/>
        <v>0</v>
      </c>
      <c r="M545" s="146">
        <f t="shared" si="24"/>
        <v>0</v>
      </c>
      <c r="N545" s="305"/>
      <c r="O545" s="306"/>
      <c r="P545" s="105"/>
      <c r="Q545" s="105"/>
      <c r="R545" s="105"/>
      <c r="S545" s="105"/>
    </row>
    <row r="546">
      <c r="A546" s="198">
        <v>544.0</v>
      </c>
      <c r="B546" s="100">
        <v>19.0</v>
      </c>
      <c r="C546" s="99" t="s">
        <v>4251</v>
      </c>
      <c r="D546" s="99" t="s">
        <v>4252</v>
      </c>
      <c r="E546" s="228" t="s">
        <v>4253</v>
      </c>
      <c r="F546" s="99" t="s">
        <v>3099</v>
      </c>
      <c r="G546" s="215"/>
      <c r="H546" s="215"/>
      <c r="I546" s="69">
        <v>1.0</v>
      </c>
      <c r="J546" s="222">
        <v>0.0</v>
      </c>
      <c r="K546" s="69">
        <v>0.0</v>
      </c>
      <c r="L546" s="223">
        <f t="shared" si="23"/>
        <v>0</v>
      </c>
      <c r="M546" s="146">
        <f t="shared" si="24"/>
        <v>0</v>
      </c>
      <c r="N546" s="305"/>
      <c r="O546" s="306"/>
      <c r="P546" s="105"/>
      <c r="Q546" s="105"/>
      <c r="R546" s="105"/>
      <c r="S546" s="105"/>
    </row>
    <row r="547">
      <c r="A547" s="196">
        <v>545.0</v>
      </c>
      <c r="B547" s="100">
        <v>20.0</v>
      </c>
      <c r="C547" s="99" t="s">
        <v>4254</v>
      </c>
      <c r="D547" s="99" t="s">
        <v>4255</v>
      </c>
      <c r="E547" s="228" t="s">
        <v>4256</v>
      </c>
      <c r="F547" s="99" t="s">
        <v>3100</v>
      </c>
      <c r="G547" s="215"/>
      <c r="H547" s="215"/>
      <c r="I547" s="69">
        <v>1.0</v>
      </c>
      <c r="J547" s="222">
        <v>0.0</v>
      </c>
      <c r="K547" s="69">
        <v>0.0</v>
      </c>
      <c r="L547" s="223">
        <f t="shared" si="23"/>
        <v>0</v>
      </c>
      <c r="M547" s="146">
        <f t="shared" si="24"/>
        <v>0</v>
      </c>
      <c r="N547" s="305"/>
      <c r="O547" s="306"/>
      <c r="P547" s="105"/>
      <c r="Q547" s="105"/>
      <c r="R547" s="105"/>
      <c r="S547" s="105"/>
    </row>
    <row r="548">
      <c r="A548" s="198">
        <v>546.0</v>
      </c>
      <c r="B548" s="100">
        <v>21.0</v>
      </c>
      <c r="C548" s="99" t="s">
        <v>4257</v>
      </c>
      <c r="D548" s="99" t="s">
        <v>4258</v>
      </c>
      <c r="E548" s="228" t="s">
        <v>4259</v>
      </c>
      <c r="F548" s="99" t="s">
        <v>3100</v>
      </c>
      <c r="G548" s="215"/>
      <c r="H548" s="215"/>
      <c r="I548" s="69">
        <v>1.0</v>
      </c>
      <c r="J548" s="222">
        <v>0.0</v>
      </c>
      <c r="K548" s="69">
        <v>0.0</v>
      </c>
      <c r="L548" s="223">
        <f t="shared" si="23"/>
        <v>0</v>
      </c>
      <c r="M548" s="146">
        <f t="shared" si="24"/>
        <v>0</v>
      </c>
      <c r="N548" s="305"/>
      <c r="O548" s="306"/>
      <c r="P548" s="105"/>
      <c r="Q548" s="105"/>
      <c r="R548" s="105"/>
      <c r="S548" s="105"/>
    </row>
    <row r="549">
      <c r="A549" s="196">
        <v>547.0</v>
      </c>
      <c r="B549" s="100">
        <v>22.0</v>
      </c>
      <c r="C549" s="99" t="s">
        <v>4260</v>
      </c>
      <c r="D549" s="99" t="s">
        <v>4261</v>
      </c>
      <c r="E549" s="228" t="s">
        <v>4262</v>
      </c>
      <c r="F549" s="99" t="s">
        <v>3099</v>
      </c>
      <c r="G549" s="215"/>
      <c r="H549" s="215"/>
      <c r="I549" s="69">
        <v>1.0</v>
      </c>
      <c r="J549" s="222">
        <v>0.0</v>
      </c>
      <c r="K549" s="69">
        <v>0.0</v>
      </c>
      <c r="L549" s="223">
        <f t="shared" si="23"/>
        <v>0</v>
      </c>
      <c r="M549" s="146">
        <f t="shared" si="24"/>
        <v>0</v>
      </c>
      <c r="N549" s="305"/>
      <c r="O549" s="306"/>
      <c r="P549" s="105"/>
      <c r="Q549" s="105"/>
      <c r="R549" s="105"/>
      <c r="S549" s="105"/>
    </row>
    <row r="550">
      <c r="A550" s="198">
        <v>548.0</v>
      </c>
      <c r="B550" s="100">
        <v>23.0</v>
      </c>
      <c r="C550" s="99" t="s">
        <v>4263</v>
      </c>
      <c r="D550" s="99" t="s">
        <v>4264</v>
      </c>
      <c r="E550" s="228" t="s">
        <v>4265</v>
      </c>
      <c r="F550" s="99" t="s">
        <v>3100</v>
      </c>
      <c r="G550" s="215"/>
      <c r="H550" s="215"/>
      <c r="I550" s="69">
        <v>1.0</v>
      </c>
      <c r="J550" s="222">
        <v>0.0</v>
      </c>
      <c r="K550" s="69">
        <v>0.0</v>
      </c>
      <c r="L550" s="223">
        <f t="shared" si="23"/>
        <v>0</v>
      </c>
      <c r="M550" s="146">
        <f t="shared" si="24"/>
        <v>0</v>
      </c>
      <c r="N550" s="305"/>
      <c r="O550" s="306"/>
      <c r="P550" s="105"/>
      <c r="Q550" s="105"/>
      <c r="R550" s="105"/>
      <c r="S550" s="105"/>
    </row>
    <row r="551">
      <c r="A551" s="196">
        <v>549.0</v>
      </c>
      <c r="B551" s="100">
        <v>24.0</v>
      </c>
      <c r="C551" s="99" t="s">
        <v>4266</v>
      </c>
      <c r="D551" s="99" t="s">
        <v>4267</v>
      </c>
      <c r="E551" s="228" t="s">
        <v>4268</v>
      </c>
      <c r="F551" s="99" t="s">
        <v>3100</v>
      </c>
      <c r="G551" s="215"/>
      <c r="H551" s="215"/>
      <c r="I551" s="69">
        <v>1.0</v>
      </c>
      <c r="J551" s="222">
        <v>0.0</v>
      </c>
      <c r="K551" s="69">
        <v>0.0</v>
      </c>
      <c r="L551" s="223">
        <f t="shared" si="23"/>
        <v>0</v>
      </c>
      <c r="M551" s="146">
        <f t="shared" si="24"/>
        <v>0</v>
      </c>
      <c r="N551" s="305"/>
      <c r="O551" s="306"/>
      <c r="P551" s="105"/>
      <c r="Q551" s="105"/>
      <c r="R551" s="105"/>
      <c r="S551" s="105"/>
    </row>
    <row r="552">
      <c r="A552" s="198">
        <v>550.0</v>
      </c>
      <c r="B552" s="100">
        <v>25.0</v>
      </c>
      <c r="C552" s="99" t="s">
        <v>4269</v>
      </c>
      <c r="D552" s="99" t="s">
        <v>4270</v>
      </c>
      <c r="E552" s="228" t="s">
        <v>4271</v>
      </c>
      <c r="F552" s="99" t="s">
        <v>3100</v>
      </c>
      <c r="G552" s="215"/>
      <c r="H552" s="215"/>
      <c r="I552" s="69">
        <v>1.0</v>
      </c>
      <c r="J552" s="222">
        <v>0.0</v>
      </c>
      <c r="K552" s="69">
        <v>0.0</v>
      </c>
      <c r="L552" s="223">
        <f t="shared" si="23"/>
        <v>0</v>
      </c>
      <c r="M552" s="146">
        <f t="shared" si="24"/>
        <v>0</v>
      </c>
      <c r="N552" s="305"/>
      <c r="O552" s="306"/>
      <c r="P552" s="105"/>
      <c r="Q552" s="105"/>
      <c r="R552" s="105"/>
      <c r="S552" s="105"/>
    </row>
    <row r="553">
      <c r="A553" s="196">
        <v>551.0</v>
      </c>
      <c r="B553" s="100">
        <v>26.0</v>
      </c>
      <c r="C553" s="99" t="s">
        <v>4272</v>
      </c>
      <c r="D553" s="99" t="s">
        <v>4273</v>
      </c>
      <c r="E553" s="228" t="s">
        <v>4274</v>
      </c>
      <c r="F553" s="99" t="s">
        <v>3100</v>
      </c>
      <c r="G553" s="215"/>
      <c r="H553" s="215"/>
      <c r="I553" s="69">
        <v>1.0</v>
      </c>
      <c r="J553" s="222">
        <v>0.0</v>
      </c>
      <c r="K553" s="69">
        <v>0.0</v>
      </c>
      <c r="L553" s="223">
        <f t="shared" si="23"/>
        <v>0</v>
      </c>
      <c r="M553" s="146">
        <f t="shared" si="24"/>
        <v>0</v>
      </c>
      <c r="N553" s="305"/>
      <c r="O553" s="306"/>
      <c r="P553" s="105"/>
      <c r="Q553" s="105"/>
      <c r="R553" s="105"/>
      <c r="S553" s="105"/>
    </row>
    <row r="554">
      <c r="A554" s="196">
        <v>552.0</v>
      </c>
      <c r="B554" s="100">
        <v>27.0</v>
      </c>
      <c r="C554" s="320" t="s">
        <v>4275</v>
      </c>
      <c r="D554" s="314" t="s">
        <v>4276</v>
      </c>
      <c r="E554" s="228" t="s">
        <v>4277</v>
      </c>
      <c r="F554" s="115" t="s">
        <v>3099</v>
      </c>
      <c r="G554" s="215"/>
      <c r="H554" s="215"/>
      <c r="I554" s="69">
        <v>1.0</v>
      </c>
      <c r="J554" s="222">
        <v>0.0</v>
      </c>
      <c r="K554" s="69">
        <v>0.0</v>
      </c>
      <c r="L554" s="223">
        <f t="shared" si="23"/>
        <v>0</v>
      </c>
      <c r="M554" s="146">
        <f t="shared" si="24"/>
        <v>0</v>
      </c>
      <c r="N554" s="305"/>
      <c r="O554" s="306"/>
      <c r="P554" s="105"/>
      <c r="Q554" s="105"/>
      <c r="R554" s="105"/>
      <c r="S554" s="105"/>
    </row>
    <row r="555">
      <c r="A555" s="198">
        <v>553.0</v>
      </c>
      <c r="B555" s="100">
        <v>28.0</v>
      </c>
      <c r="C555" s="99" t="s">
        <v>4278</v>
      </c>
      <c r="D555" s="99" t="s">
        <v>4279</v>
      </c>
      <c r="E555" s="228" t="s">
        <v>4280</v>
      </c>
      <c r="F555" s="99" t="s">
        <v>3100</v>
      </c>
      <c r="G555" s="215"/>
      <c r="H555" s="215"/>
      <c r="I555" s="69">
        <v>1.0</v>
      </c>
      <c r="J555" s="222">
        <v>0.0</v>
      </c>
      <c r="K555" s="69">
        <v>0.0</v>
      </c>
      <c r="L555" s="223">
        <f t="shared" si="23"/>
        <v>0</v>
      </c>
      <c r="M555" s="146">
        <f t="shared" si="24"/>
        <v>0</v>
      </c>
      <c r="N555" s="305"/>
      <c r="O555" s="306"/>
      <c r="P555" s="105"/>
      <c r="Q555" s="105"/>
      <c r="R555" s="105"/>
      <c r="S555" s="105"/>
    </row>
    <row r="556">
      <c r="A556" s="196">
        <v>554.0</v>
      </c>
      <c r="B556" s="100">
        <v>29.0</v>
      </c>
      <c r="C556" s="99" t="s">
        <v>4281</v>
      </c>
      <c r="D556" s="99" t="s">
        <v>4282</v>
      </c>
      <c r="E556" s="228" t="s">
        <v>4283</v>
      </c>
      <c r="F556" s="99" t="s">
        <v>3100</v>
      </c>
      <c r="G556" s="215"/>
      <c r="H556" s="215"/>
      <c r="I556" s="69">
        <v>1.0</v>
      </c>
      <c r="J556" s="222">
        <v>0.0</v>
      </c>
      <c r="K556" s="69">
        <v>0.0</v>
      </c>
      <c r="L556" s="223">
        <f t="shared" si="23"/>
        <v>0</v>
      </c>
      <c r="M556" s="146">
        <f t="shared" si="24"/>
        <v>0</v>
      </c>
      <c r="N556" s="305"/>
      <c r="O556" s="306"/>
      <c r="P556" s="105"/>
      <c r="Q556" s="105"/>
      <c r="R556" s="105"/>
      <c r="S556" s="105"/>
    </row>
    <row r="557">
      <c r="A557" s="196">
        <v>555.0</v>
      </c>
      <c r="B557" s="100">
        <v>30.0</v>
      </c>
      <c r="C557" s="99" t="s">
        <v>4284</v>
      </c>
      <c r="D557" s="99" t="s">
        <v>4285</v>
      </c>
      <c r="E557" s="228" t="s">
        <v>4286</v>
      </c>
      <c r="F557" s="99" t="s">
        <v>3100</v>
      </c>
      <c r="G557" s="215"/>
      <c r="H557" s="215"/>
      <c r="I557" s="69">
        <v>1.0</v>
      </c>
      <c r="J557" s="222">
        <v>0.0</v>
      </c>
      <c r="K557" s="69">
        <v>0.0</v>
      </c>
      <c r="L557" s="223">
        <f t="shared" si="23"/>
        <v>0</v>
      </c>
      <c r="M557" s="146">
        <f t="shared" si="24"/>
        <v>0</v>
      </c>
      <c r="N557" s="305"/>
      <c r="O557" s="306"/>
      <c r="P557" s="105"/>
      <c r="Q557" s="105"/>
      <c r="R557" s="105"/>
      <c r="S557" s="105"/>
    </row>
    <row r="558">
      <c r="A558" s="198">
        <v>556.0</v>
      </c>
      <c r="B558" s="100">
        <v>31.0</v>
      </c>
      <c r="C558" s="99" t="s">
        <v>4287</v>
      </c>
      <c r="D558" s="99" t="s">
        <v>4288</v>
      </c>
      <c r="E558" s="228" t="s">
        <v>4289</v>
      </c>
      <c r="F558" s="99" t="s">
        <v>3100</v>
      </c>
      <c r="G558" s="215"/>
      <c r="H558" s="215"/>
      <c r="I558" s="69">
        <v>12.0</v>
      </c>
      <c r="J558" s="222">
        <v>0.0</v>
      </c>
      <c r="K558" s="69">
        <v>6.0</v>
      </c>
      <c r="L558" s="223">
        <f t="shared" si="23"/>
        <v>6</v>
      </c>
      <c r="M558" s="146">
        <f t="shared" si="24"/>
        <v>0.4615384615</v>
      </c>
      <c r="N558" s="215" t="s">
        <v>2508</v>
      </c>
      <c r="O558" s="311"/>
      <c r="P558" s="105"/>
      <c r="Q558" s="105"/>
      <c r="R558" s="105"/>
      <c r="S558" s="105"/>
    </row>
    <row r="559">
      <c r="A559" s="196">
        <v>557.0</v>
      </c>
      <c r="B559" s="100">
        <v>32.0</v>
      </c>
      <c r="C559" s="99" t="s">
        <v>4290</v>
      </c>
      <c r="D559" s="99" t="s">
        <v>4291</v>
      </c>
      <c r="E559" s="228" t="s">
        <v>4292</v>
      </c>
      <c r="F559" s="99" t="s">
        <v>3100</v>
      </c>
      <c r="G559" s="215"/>
      <c r="H559" s="215"/>
      <c r="I559" s="69">
        <v>1.0</v>
      </c>
      <c r="J559" s="222">
        <v>0.0</v>
      </c>
      <c r="K559" s="69">
        <v>0.0</v>
      </c>
      <c r="L559" s="223">
        <f t="shared" si="23"/>
        <v>0</v>
      </c>
      <c r="M559" s="146">
        <f t="shared" si="24"/>
        <v>0</v>
      </c>
      <c r="N559" s="305"/>
      <c r="O559" s="306"/>
      <c r="P559" s="105"/>
      <c r="Q559" s="105"/>
      <c r="R559" s="105"/>
      <c r="S559" s="105"/>
    </row>
    <row r="560">
      <c r="A560" s="196">
        <v>558.0</v>
      </c>
      <c r="B560" s="100">
        <v>33.0</v>
      </c>
      <c r="C560" s="99" t="s">
        <v>4293</v>
      </c>
      <c r="D560" s="99" t="s">
        <v>4294</v>
      </c>
      <c r="E560" s="228" t="s">
        <v>4295</v>
      </c>
      <c r="F560" s="99" t="s">
        <v>3099</v>
      </c>
      <c r="G560" s="215"/>
      <c r="H560" s="215"/>
      <c r="I560" s="69">
        <v>1.0</v>
      </c>
      <c r="J560" s="222">
        <v>0.0</v>
      </c>
      <c r="K560" s="69">
        <v>0.0</v>
      </c>
      <c r="L560" s="223">
        <f t="shared" si="23"/>
        <v>0</v>
      </c>
      <c r="M560" s="146">
        <f t="shared" si="24"/>
        <v>0</v>
      </c>
      <c r="N560" s="305"/>
      <c r="O560" s="306"/>
      <c r="P560" s="105"/>
      <c r="Q560" s="105"/>
      <c r="R560" s="105"/>
      <c r="S560" s="105"/>
    </row>
    <row r="561">
      <c r="A561" s="198">
        <v>559.0</v>
      </c>
      <c r="B561" s="100">
        <v>34.0</v>
      </c>
      <c r="C561" s="99" t="s">
        <v>4296</v>
      </c>
      <c r="D561" s="99" t="s">
        <v>4297</v>
      </c>
      <c r="E561" s="228" t="s">
        <v>4298</v>
      </c>
      <c r="F561" s="99" t="s">
        <v>3099</v>
      </c>
      <c r="G561" s="215"/>
      <c r="H561" s="215"/>
      <c r="I561" s="69">
        <v>1.0</v>
      </c>
      <c r="J561" s="222">
        <v>0.0</v>
      </c>
      <c r="K561" s="69">
        <v>0.0</v>
      </c>
      <c r="L561" s="223">
        <f t="shared" si="23"/>
        <v>0</v>
      </c>
      <c r="M561" s="146">
        <f t="shared" si="24"/>
        <v>0</v>
      </c>
      <c r="N561" s="305"/>
      <c r="O561" s="306"/>
      <c r="P561" s="105"/>
      <c r="Q561" s="105"/>
      <c r="R561" s="105"/>
      <c r="S561" s="105"/>
    </row>
    <row r="562">
      <c r="A562" s="196">
        <v>560.0</v>
      </c>
      <c r="B562" s="100">
        <v>35.0</v>
      </c>
      <c r="C562" s="228">
        <v>2.52612575E8</v>
      </c>
      <c r="D562" s="315" t="s">
        <v>4299</v>
      </c>
      <c r="E562" s="228" t="s">
        <v>4300</v>
      </c>
      <c r="F562" s="99" t="s">
        <v>3100</v>
      </c>
      <c r="G562" s="228"/>
      <c r="H562" s="228"/>
      <c r="I562" s="69">
        <v>1.0</v>
      </c>
      <c r="J562" s="222">
        <v>0.0</v>
      </c>
      <c r="K562" s="69">
        <v>0.0</v>
      </c>
      <c r="L562" s="223">
        <f t="shared" si="23"/>
        <v>0</v>
      </c>
      <c r="M562" s="146">
        <f t="shared" si="24"/>
        <v>0</v>
      </c>
      <c r="N562" s="305"/>
      <c r="O562" s="306"/>
      <c r="P562" s="105"/>
      <c r="Q562" s="105"/>
      <c r="R562" s="105"/>
      <c r="S562" s="105"/>
    </row>
    <row r="563">
      <c r="A563" s="196">
        <v>561.0</v>
      </c>
      <c r="B563" s="100">
        <v>36.0</v>
      </c>
      <c r="C563" s="99" t="s">
        <v>4301</v>
      </c>
      <c r="D563" s="99" t="s">
        <v>4302</v>
      </c>
      <c r="E563" s="228" t="s">
        <v>4303</v>
      </c>
      <c r="F563" s="99" t="s">
        <v>3100</v>
      </c>
      <c r="G563" s="228"/>
      <c r="H563" s="228"/>
      <c r="I563" s="69">
        <v>1.0</v>
      </c>
      <c r="J563" s="222">
        <v>0.0</v>
      </c>
      <c r="K563" s="69">
        <v>0.0</v>
      </c>
      <c r="L563" s="223">
        <f t="shared" si="23"/>
        <v>0</v>
      </c>
      <c r="M563" s="146">
        <f t="shared" si="24"/>
        <v>0</v>
      </c>
      <c r="N563" s="305"/>
      <c r="O563" s="306"/>
      <c r="P563" s="105"/>
      <c r="Q563" s="105"/>
      <c r="R563" s="105"/>
      <c r="S563" s="105"/>
    </row>
    <row r="564">
      <c r="A564" s="198">
        <v>562.0</v>
      </c>
      <c r="B564" s="100">
        <v>37.0</v>
      </c>
      <c r="C564" s="99" t="s">
        <v>4304</v>
      </c>
      <c r="D564" s="99" t="s">
        <v>4305</v>
      </c>
      <c r="E564" s="228" t="s">
        <v>4306</v>
      </c>
      <c r="F564" s="99" t="s">
        <v>3100</v>
      </c>
      <c r="G564" s="228"/>
      <c r="H564" s="228"/>
      <c r="I564" s="69">
        <v>1.0</v>
      </c>
      <c r="J564" s="222">
        <v>0.0</v>
      </c>
      <c r="K564" s="69">
        <v>0.0</v>
      </c>
      <c r="L564" s="223">
        <f t="shared" si="23"/>
        <v>0</v>
      </c>
      <c r="M564" s="146">
        <f t="shared" si="24"/>
        <v>0</v>
      </c>
      <c r="N564" s="305"/>
      <c r="O564" s="306"/>
      <c r="P564" s="105"/>
      <c r="Q564" s="105"/>
      <c r="R564" s="105"/>
      <c r="S564" s="105"/>
    </row>
    <row r="565">
      <c r="A565" s="196">
        <v>563.0</v>
      </c>
      <c r="B565" s="321"/>
      <c r="C565" s="309" t="s">
        <v>3101</v>
      </c>
      <c r="D565" s="105"/>
      <c r="E565" s="246">
        <f>COUNTIF(F528:F564,"L")</f>
        <v>12</v>
      </c>
      <c r="F565" s="105"/>
      <c r="G565" s="105"/>
      <c r="H565" s="105"/>
      <c r="I565" s="106"/>
      <c r="J565" s="106"/>
      <c r="K565" s="106"/>
      <c r="L565" s="106"/>
      <c r="M565" s="106"/>
      <c r="N565" s="105"/>
      <c r="O565" s="105"/>
      <c r="P565" s="105"/>
      <c r="Q565" s="105"/>
      <c r="R565" s="105"/>
      <c r="S565" s="105"/>
    </row>
    <row r="566">
      <c r="A566" s="196">
        <v>564.0</v>
      </c>
      <c r="B566" s="321"/>
      <c r="C566" s="309" t="s">
        <v>3102</v>
      </c>
      <c r="D566" s="105"/>
      <c r="E566" s="246">
        <f>COUNTIF(F528:F564,"P")</f>
        <v>25</v>
      </c>
      <c r="F566" s="105"/>
      <c r="G566" s="105"/>
      <c r="H566" s="105"/>
      <c r="I566" s="106"/>
      <c r="J566" s="106"/>
      <c r="K566" s="106"/>
      <c r="L566" s="233"/>
      <c r="M566" s="233"/>
      <c r="N566" s="232"/>
      <c r="O566" s="105"/>
      <c r="P566" s="105"/>
      <c r="Q566" s="105"/>
      <c r="R566" s="105"/>
      <c r="S566" s="105"/>
    </row>
    <row r="567">
      <c r="A567" s="198">
        <v>565.0</v>
      </c>
      <c r="B567" s="321"/>
      <c r="C567" s="309" t="s">
        <v>3104</v>
      </c>
      <c r="D567" s="105"/>
      <c r="E567" s="246">
        <f>SUM(E565:E566)</f>
        <v>37</v>
      </c>
      <c r="F567" s="105"/>
      <c r="G567" s="105"/>
      <c r="H567" s="105"/>
      <c r="I567" s="106"/>
      <c r="J567" s="106"/>
      <c r="K567" s="106"/>
      <c r="L567" s="233"/>
      <c r="M567" s="233"/>
      <c r="N567" s="232"/>
      <c r="O567" s="232"/>
      <c r="P567" s="105"/>
      <c r="Q567" s="105"/>
      <c r="R567" s="105"/>
      <c r="S567" s="105"/>
    </row>
    <row r="568">
      <c r="A568" s="195"/>
      <c r="B568" s="321"/>
      <c r="C568" s="105"/>
      <c r="D568" s="105"/>
      <c r="E568" s="105"/>
      <c r="F568" s="105"/>
      <c r="G568" s="105"/>
      <c r="H568" s="105"/>
      <c r="I568" s="106"/>
      <c r="J568" s="106"/>
      <c r="K568" s="106"/>
      <c r="L568" s="106"/>
      <c r="M568" s="106"/>
      <c r="N568" s="105"/>
      <c r="O568" s="105"/>
      <c r="P568" s="105"/>
      <c r="Q568" s="105"/>
      <c r="R568" s="105"/>
      <c r="S568" s="105"/>
    </row>
    <row r="569">
      <c r="A569" s="195"/>
      <c r="B569" s="321"/>
      <c r="C569" s="105"/>
      <c r="D569" s="105"/>
      <c r="E569" s="105"/>
      <c r="F569" s="105"/>
      <c r="G569" s="105"/>
      <c r="H569" s="105"/>
      <c r="I569" s="106"/>
      <c r="J569" s="106"/>
      <c r="K569" s="106"/>
      <c r="L569" s="106"/>
      <c r="M569" s="106"/>
      <c r="N569" s="105"/>
      <c r="O569" s="105"/>
      <c r="P569" s="105"/>
      <c r="Q569" s="105"/>
      <c r="R569" s="105"/>
      <c r="S569" s="105"/>
    </row>
    <row r="570">
      <c r="A570" s="195"/>
      <c r="B570" s="321"/>
      <c r="C570" s="105"/>
      <c r="D570" s="105"/>
      <c r="E570" s="105"/>
      <c r="F570" s="105"/>
      <c r="G570" s="105"/>
      <c r="H570" s="105"/>
      <c r="I570" s="106"/>
      <c r="J570" s="106"/>
      <c r="K570" s="106"/>
      <c r="L570" s="106"/>
      <c r="M570" s="106"/>
      <c r="N570" s="105"/>
      <c r="O570" s="105"/>
      <c r="P570" s="105"/>
      <c r="Q570" s="105"/>
      <c r="R570" s="105"/>
      <c r="S570" s="105"/>
    </row>
    <row r="571">
      <c r="A571" s="195"/>
      <c r="B571" s="321"/>
      <c r="C571" s="105"/>
      <c r="D571" s="105"/>
      <c r="E571" s="105"/>
      <c r="F571" s="105"/>
      <c r="G571" s="105"/>
      <c r="H571" s="105"/>
      <c r="I571" s="106"/>
      <c r="J571" s="106"/>
      <c r="K571" s="106"/>
      <c r="L571" s="106"/>
      <c r="M571" s="106"/>
      <c r="N571" s="105"/>
      <c r="O571" s="105"/>
      <c r="P571" s="105"/>
      <c r="Q571" s="105"/>
      <c r="R571" s="105"/>
      <c r="S571" s="105"/>
    </row>
    <row r="572">
      <c r="A572" s="195"/>
      <c r="B572" s="321"/>
      <c r="C572" s="105"/>
      <c r="D572" s="105"/>
      <c r="E572" s="105"/>
      <c r="F572" s="105"/>
      <c r="G572" s="105"/>
      <c r="H572" s="105"/>
      <c r="I572" s="106"/>
      <c r="J572" s="106"/>
      <c r="K572" s="106"/>
      <c r="L572" s="106"/>
      <c r="M572" s="106"/>
      <c r="N572" s="105"/>
      <c r="O572" s="105"/>
      <c r="P572" s="105"/>
      <c r="Q572" s="105"/>
      <c r="R572" s="105"/>
      <c r="S572" s="105"/>
    </row>
    <row r="573">
      <c r="A573" s="195"/>
      <c r="B573" s="321"/>
      <c r="C573" s="105"/>
      <c r="D573" s="105"/>
      <c r="E573" s="105"/>
      <c r="F573" s="105"/>
      <c r="G573" s="105"/>
      <c r="H573" s="105"/>
      <c r="I573" s="106"/>
      <c r="J573" s="106"/>
      <c r="K573" s="106"/>
      <c r="L573" s="106"/>
      <c r="M573" s="106"/>
      <c r="N573" s="105"/>
      <c r="O573" s="105"/>
      <c r="P573" s="105"/>
      <c r="Q573" s="105"/>
      <c r="R573" s="105"/>
      <c r="S573" s="105"/>
    </row>
    <row r="574">
      <c r="A574" s="195"/>
      <c r="B574" s="321"/>
      <c r="C574" s="105"/>
      <c r="D574" s="105"/>
      <c r="E574" s="105"/>
      <c r="F574" s="105"/>
      <c r="G574" s="105"/>
      <c r="H574" s="105"/>
      <c r="I574" s="106"/>
      <c r="J574" s="106"/>
      <c r="K574" s="106"/>
      <c r="L574" s="106"/>
      <c r="M574" s="106"/>
      <c r="N574" s="105"/>
      <c r="O574" s="105"/>
      <c r="P574" s="105"/>
      <c r="Q574" s="105"/>
      <c r="R574" s="105"/>
      <c r="S574" s="105"/>
    </row>
    <row r="575">
      <c r="A575" s="195"/>
      <c r="B575" s="321"/>
      <c r="C575" s="105"/>
      <c r="D575" s="105"/>
      <c r="E575" s="105"/>
      <c r="F575" s="105"/>
      <c r="G575" s="105"/>
      <c r="H575" s="105"/>
      <c r="I575" s="106"/>
      <c r="J575" s="106"/>
      <c r="K575" s="106"/>
      <c r="L575" s="106"/>
      <c r="M575" s="106"/>
      <c r="N575" s="105"/>
      <c r="O575" s="105"/>
      <c r="P575" s="105"/>
      <c r="Q575" s="105"/>
      <c r="R575" s="105"/>
      <c r="S575" s="105"/>
    </row>
    <row r="576">
      <c r="A576" s="195"/>
      <c r="B576" s="321"/>
      <c r="C576" s="105"/>
      <c r="D576" s="105"/>
      <c r="E576" s="105"/>
      <c r="F576" s="105"/>
      <c r="G576" s="105"/>
      <c r="H576" s="105"/>
      <c r="I576" s="106"/>
      <c r="J576" s="106"/>
      <c r="K576" s="106"/>
      <c r="L576" s="106"/>
      <c r="M576" s="106"/>
      <c r="N576" s="105"/>
      <c r="O576" s="105"/>
      <c r="P576" s="105"/>
      <c r="Q576" s="105"/>
      <c r="R576" s="105"/>
      <c r="S576" s="105"/>
    </row>
    <row r="577">
      <c r="A577" s="195"/>
      <c r="B577" s="321"/>
      <c r="C577" s="105"/>
      <c r="D577" s="105"/>
      <c r="E577" s="105"/>
      <c r="F577" s="105"/>
      <c r="G577" s="105"/>
      <c r="H577" s="105"/>
      <c r="I577" s="106"/>
      <c r="J577" s="106"/>
      <c r="K577" s="106"/>
      <c r="L577" s="106"/>
      <c r="M577" s="106"/>
      <c r="N577" s="105"/>
      <c r="O577" s="105"/>
      <c r="P577" s="105"/>
      <c r="Q577" s="105"/>
      <c r="R577" s="105"/>
      <c r="S577" s="105"/>
    </row>
    <row r="578">
      <c r="A578" s="195"/>
      <c r="B578" s="321"/>
      <c r="C578" s="105"/>
      <c r="D578" s="105"/>
      <c r="E578" s="105"/>
      <c r="F578" s="105"/>
      <c r="G578" s="105"/>
      <c r="H578" s="105"/>
      <c r="I578" s="106"/>
      <c r="J578" s="106"/>
      <c r="K578" s="106"/>
      <c r="L578" s="106"/>
      <c r="M578" s="106"/>
      <c r="N578" s="105"/>
      <c r="O578" s="105"/>
      <c r="P578" s="105"/>
      <c r="Q578" s="105"/>
      <c r="R578" s="105"/>
      <c r="S578" s="105"/>
    </row>
    <row r="579">
      <c r="A579" s="195"/>
      <c r="B579" s="321"/>
      <c r="C579" s="105"/>
      <c r="D579" s="105"/>
      <c r="E579" s="105"/>
      <c r="F579" s="105"/>
      <c r="G579" s="105"/>
      <c r="H579" s="105"/>
      <c r="I579" s="106"/>
      <c r="J579" s="106"/>
      <c r="K579" s="106"/>
      <c r="L579" s="106"/>
      <c r="M579" s="106"/>
      <c r="N579" s="105"/>
      <c r="O579" s="105"/>
      <c r="P579" s="105"/>
      <c r="Q579" s="105"/>
      <c r="R579" s="105"/>
      <c r="S579" s="105"/>
    </row>
    <row r="580">
      <c r="A580" s="195"/>
      <c r="B580" s="321"/>
      <c r="C580" s="105"/>
      <c r="D580" s="105"/>
      <c r="E580" s="105"/>
      <c r="F580" s="105"/>
      <c r="G580" s="105"/>
      <c r="H580" s="105"/>
      <c r="I580" s="106"/>
      <c r="J580" s="106"/>
      <c r="K580" s="106"/>
      <c r="L580" s="106"/>
      <c r="M580" s="106"/>
      <c r="N580" s="105"/>
      <c r="O580" s="105"/>
      <c r="P580" s="105"/>
      <c r="Q580" s="105"/>
      <c r="R580" s="105"/>
      <c r="S580" s="105"/>
    </row>
    <row r="581">
      <c r="A581" s="195"/>
      <c r="B581" s="321"/>
      <c r="C581" s="105"/>
      <c r="D581" s="105"/>
      <c r="E581" s="105"/>
      <c r="F581" s="105"/>
      <c r="G581" s="105"/>
      <c r="H581" s="105"/>
      <c r="I581" s="106"/>
      <c r="J581" s="106"/>
      <c r="K581" s="106"/>
      <c r="L581" s="106"/>
      <c r="M581" s="106"/>
      <c r="N581" s="105"/>
      <c r="O581" s="105"/>
      <c r="P581" s="105"/>
      <c r="Q581" s="105"/>
      <c r="R581" s="105"/>
      <c r="S581" s="105"/>
    </row>
    <row r="582">
      <c r="A582" s="195"/>
      <c r="B582" s="321"/>
      <c r="C582" s="105"/>
      <c r="D582" s="105"/>
      <c r="E582" s="105"/>
      <c r="F582" s="105"/>
      <c r="G582" s="105"/>
      <c r="H582" s="105"/>
      <c r="I582" s="106"/>
      <c r="J582" s="106"/>
      <c r="K582" s="106"/>
      <c r="L582" s="106"/>
      <c r="M582" s="106"/>
      <c r="N582" s="105"/>
      <c r="O582" s="105"/>
      <c r="P582" s="105"/>
      <c r="Q582" s="105"/>
      <c r="R582" s="105"/>
      <c r="S582" s="105"/>
    </row>
    <row r="583">
      <c r="A583" s="195"/>
      <c r="B583" s="321"/>
      <c r="C583" s="105"/>
      <c r="D583" s="105"/>
      <c r="E583" s="105"/>
      <c r="F583" s="105"/>
      <c r="G583" s="105"/>
      <c r="H583" s="105"/>
      <c r="I583" s="106"/>
      <c r="J583" s="106"/>
      <c r="K583" s="106"/>
      <c r="L583" s="106"/>
      <c r="M583" s="106"/>
      <c r="N583" s="105"/>
      <c r="O583" s="105"/>
      <c r="P583" s="105"/>
      <c r="Q583" s="105"/>
      <c r="R583" s="105"/>
      <c r="S583" s="105"/>
    </row>
    <row r="584">
      <c r="A584" s="195"/>
      <c r="B584" s="321"/>
      <c r="C584" s="105"/>
      <c r="D584" s="105"/>
      <c r="E584" s="105"/>
      <c r="F584" s="105"/>
      <c r="G584" s="105"/>
      <c r="H584" s="105"/>
      <c r="I584" s="106"/>
      <c r="J584" s="106"/>
      <c r="K584" s="106"/>
      <c r="L584" s="106"/>
      <c r="M584" s="106"/>
      <c r="N584" s="105"/>
      <c r="O584" s="105"/>
      <c r="P584" s="105"/>
      <c r="Q584" s="105"/>
      <c r="R584" s="105"/>
      <c r="S584" s="105"/>
    </row>
    <row r="585">
      <c r="A585" s="195"/>
      <c r="B585" s="321"/>
      <c r="C585" s="105"/>
      <c r="D585" s="105"/>
      <c r="E585" s="105"/>
      <c r="F585" s="105"/>
      <c r="G585" s="105"/>
      <c r="H585" s="105"/>
      <c r="I585" s="106"/>
      <c r="J585" s="106"/>
      <c r="K585" s="106"/>
      <c r="L585" s="106"/>
      <c r="M585" s="106"/>
      <c r="N585" s="105"/>
      <c r="O585" s="105"/>
      <c r="P585" s="105"/>
      <c r="Q585" s="105"/>
      <c r="R585" s="105"/>
      <c r="S585" s="105"/>
    </row>
    <row r="586">
      <c r="A586" s="195"/>
      <c r="B586" s="321"/>
      <c r="C586" s="105"/>
      <c r="D586" s="105"/>
      <c r="E586" s="105"/>
      <c r="F586" s="105"/>
      <c r="G586" s="105"/>
      <c r="H586" s="105"/>
      <c r="I586" s="106"/>
      <c r="J586" s="106"/>
      <c r="K586" s="106"/>
      <c r="L586" s="106"/>
      <c r="M586" s="106"/>
      <c r="N586" s="105"/>
      <c r="O586" s="105"/>
      <c r="P586" s="105"/>
      <c r="Q586" s="105"/>
      <c r="R586" s="105"/>
      <c r="S586" s="105"/>
    </row>
    <row r="587">
      <c r="A587" s="195"/>
      <c r="B587" s="321"/>
      <c r="C587" s="105"/>
      <c r="D587" s="105"/>
      <c r="E587" s="105"/>
      <c r="F587" s="105"/>
      <c r="G587" s="105"/>
      <c r="H587" s="105"/>
      <c r="I587" s="106"/>
      <c r="J587" s="106"/>
      <c r="K587" s="106"/>
      <c r="L587" s="106"/>
      <c r="M587" s="106"/>
      <c r="N587" s="105"/>
      <c r="O587" s="105"/>
      <c r="P587" s="105"/>
      <c r="Q587" s="105"/>
      <c r="R587" s="105"/>
      <c r="S587" s="105"/>
    </row>
    <row r="588">
      <c r="A588" s="195"/>
      <c r="B588" s="321"/>
      <c r="C588" s="105"/>
      <c r="D588" s="105"/>
      <c r="E588" s="105"/>
      <c r="F588" s="105"/>
      <c r="G588" s="105"/>
      <c r="H588" s="105"/>
      <c r="I588" s="106"/>
      <c r="J588" s="106"/>
      <c r="K588" s="106"/>
      <c r="L588" s="106"/>
      <c r="M588" s="106"/>
      <c r="N588" s="105"/>
      <c r="O588" s="105"/>
      <c r="P588" s="105"/>
      <c r="Q588" s="105"/>
      <c r="R588" s="105"/>
      <c r="S588" s="105"/>
    </row>
    <row r="589">
      <c r="A589" s="195"/>
      <c r="B589" s="321"/>
      <c r="C589" s="105"/>
      <c r="D589" s="105"/>
      <c r="E589" s="105"/>
      <c r="F589" s="105"/>
      <c r="G589" s="105"/>
      <c r="H589" s="105"/>
      <c r="I589" s="106"/>
      <c r="J589" s="106"/>
      <c r="K589" s="106"/>
      <c r="L589" s="106"/>
      <c r="M589" s="106"/>
      <c r="N589" s="105"/>
      <c r="O589" s="105"/>
      <c r="P589" s="105"/>
      <c r="Q589" s="105"/>
      <c r="R589" s="105"/>
      <c r="S589" s="105"/>
    </row>
    <row r="590">
      <c r="A590" s="195"/>
      <c r="B590" s="321"/>
      <c r="C590" s="105"/>
      <c r="D590" s="105"/>
      <c r="E590" s="105"/>
      <c r="F590" s="105"/>
      <c r="G590" s="105"/>
      <c r="H590" s="105"/>
      <c r="I590" s="106"/>
      <c r="J590" s="106"/>
      <c r="K590" s="106"/>
      <c r="L590" s="106"/>
      <c r="M590" s="106"/>
      <c r="N590" s="105"/>
      <c r="O590" s="105"/>
      <c r="P590" s="105"/>
      <c r="Q590" s="105"/>
      <c r="R590" s="105"/>
      <c r="S590" s="105"/>
    </row>
    <row r="591">
      <c r="A591" s="195"/>
      <c r="B591" s="321"/>
      <c r="C591" s="105"/>
      <c r="D591" s="105"/>
      <c r="E591" s="105"/>
      <c r="F591" s="105"/>
      <c r="G591" s="105"/>
      <c r="H591" s="105"/>
      <c r="I591" s="106"/>
      <c r="J591" s="106"/>
      <c r="K591" s="106"/>
      <c r="L591" s="106"/>
      <c r="M591" s="106"/>
      <c r="N591" s="105"/>
      <c r="O591" s="105"/>
      <c r="P591" s="105"/>
      <c r="Q591" s="105"/>
      <c r="R591" s="105"/>
      <c r="S591" s="105"/>
    </row>
    <row r="592">
      <c r="A592" s="195"/>
      <c r="B592" s="321"/>
      <c r="C592" s="105"/>
      <c r="D592" s="105"/>
      <c r="E592" s="105"/>
      <c r="F592" s="105"/>
      <c r="G592" s="105"/>
      <c r="H592" s="105"/>
      <c r="I592" s="106"/>
      <c r="J592" s="106"/>
      <c r="K592" s="106"/>
      <c r="L592" s="106"/>
      <c r="M592" s="106"/>
      <c r="N592" s="105"/>
      <c r="O592" s="105"/>
      <c r="P592" s="105"/>
      <c r="Q592" s="105"/>
      <c r="R592" s="105"/>
      <c r="S592" s="105"/>
    </row>
    <row r="593">
      <c r="A593" s="195"/>
      <c r="B593" s="321"/>
      <c r="C593" s="105"/>
      <c r="D593" s="105"/>
      <c r="E593" s="105"/>
      <c r="F593" s="105"/>
      <c r="G593" s="105"/>
      <c r="H593" s="105"/>
      <c r="I593" s="106"/>
      <c r="J593" s="106"/>
      <c r="K593" s="106"/>
      <c r="L593" s="106"/>
      <c r="M593" s="106"/>
      <c r="N593" s="105"/>
      <c r="O593" s="105"/>
      <c r="P593" s="105"/>
      <c r="Q593" s="105"/>
      <c r="R593" s="105"/>
      <c r="S593" s="105"/>
    </row>
    <row r="594">
      <c r="A594" s="195"/>
      <c r="B594" s="321"/>
      <c r="C594" s="105"/>
      <c r="D594" s="105"/>
      <c r="E594" s="105"/>
      <c r="F594" s="105"/>
      <c r="G594" s="105"/>
      <c r="H594" s="105"/>
      <c r="I594" s="106"/>
      <c r="J594" s="106"/>
      <c r="K594" s="106"/>
      <c r="L594" s="106"/>
      <c r="M594" s="106"/>
      <c r="N594" s="105"/>
      <c r="O594" s="105"/>
      <c r="P594" s="105"/>
      <c r="Q594" s="105"/>
      <c r="R594" s="105"/>
      <c r="S594" s="105"/>
    </row>
    <row r="595">
      <c r="A595" s="195"/>
      <c r="B595" s="321"/>
      <c r="C595" s="105"/>
      <c r="D595" s="105"/>
      <c r="E595" s="105"/>
      <c r="F595" s="105"/>
      <c r="G595" s="105"/>
      <c r="H595" s="105"/>
      <c r="I595" s="106"/>
      <c r="J595" s="106"/>
      <c r="K595" s="106"/>
      <c r="L595" s="106"/>
      <c r="M595" s="106"/>
      <c r="N595" s="105"/>
      <c r="O595" s="105"/>
      <c r="P595" s="105"/>
      <c r="Q595" s="105"/>
      <c r="R595" s="105"/>
      <c r="S595" s="105"/>
    </row>
    <row r="596">
      <c r="A596" s="195"/>
      <c r="B596" s="321"/>
      <c r="C596" s="105"/>
      <c r="D596" s="105"/>
      <c r="E596" s="105"/>
      <c r="F596" s="105"/>
      <c r="G596" s="105"/>
      <c r="H596" s="105"/>
      <c r="I596" s="106"/>
      <c r="J596" s="106"/>
      <c r="K596" s="106"/>
      <c r="L596" s="106"/>
      <c r="M596" s="106"/>
      <c r="N596" s="105"/>
      <c r="O596" s="105"/>
      <c r="P596" s="105"/>
      <c r="Q596" s="105"/>
      <c r="R596" s="105"/>
      <c r="S596" s="105"/>
    </row>
    <row r="597">
      <c r="A597" s="195"/>
      <c r="B597" s="321"/>
      <c r="C597" s="105"/>
      <c r="D597" s="105"/>
      <c r="E597" s="105"/>
      <c r="F597" s="105"/>
      <c r="G597" s="105"/>
      <c r="H597" s="105"/>
      <c r="I597" s="106"/>
      <c r="J597" s="106"/>
      <c r="K597" s="106"/>
      <c r="L597" s="106"/>
      <c r="M597" s="106"/>
      <c r="N597" s="105"/>
      <c r="O597" s="105"/>
      <c r="P597" s="105"/>
      <c r="Q597" s="105"/>
      <c r="R597" s="105"/>
      <c r="S597" s="105"/>
    </row>
    <row r="598">
      <c r="A598" s="195"/>
      <c r="B598" s="321"/>
      <c r="C598" s="105"/>
      <c r="D598" s="105"/>
      <c r="E598" s="105"/>
      <c r="F598" s="105"/>
      <c r="G598" s="105"/>
      <c r="H598" s="105"/>
      <c r="I598" s="106"/>
      <c r="J598" s="106"/>
      <c r="K598" s="106"/>
      <c r="L598" s="106"/>
      <c r="M598" s="106"/>
      <c r="N598" s="105"/>
      <c r="O598" s="105"/>
      <c r="P598" s="105"/>
      <c r="Q598" s="105"/>
      <c r="R598" s="105"/>
      <c r="S598" s="105"/>
    </row>
    <row r="599">
      <c r="A599" s="195"/>
      <c r="B599" s="321"/>
      <c r="C599" s="105"/>
      <c r="D599" s="105"/>
      <c r="E599" s="105"/>
      <c r="F599" s="105"/>
      <c r="G599" s="105"/>
      <c r="H599" s="105"/>
      <c r="I599" s="106"/>
      <c r="J599" s="106"/>
      <c r="K599" s="106"/>
      <c r="L599" s="106"/>
      <c r="M599" s="106"/>
      <c r="N599" s="105"/>
      <c r="O599" s="105"/>
      <c r="P599" s="105"/>
      <c r="Q599" s="105"/>
      <c r="R599" s="105"/>
      <c r="S599" s="105"/>
    </row>
    <row r="600">
      <c r="A600" s="195"/>
      <c r="B600" s="321"/>
      <c r="C600" s="105"/>
      <c r="D600" s="105"/>
      <c r="E600" s="105"/>
      <c r="F600" s="105"/>
      <c r="G600" s="105"/>
      <c r="H600" s="105"/>
      <c r="I600" s="106"/>
      <c r="J600" s="106"/>
      <c r="K600" s="106"/>
      <c r="L600" s="106"/>
      <c r="M600" s="106"/>
      <c r="N600" s="105"/>
      <c r="O600" s="105"/>
      <c r="P600" s="105"/>
      <c r="Q600" s="105"/>
      <c r="R600" s="105"/>
      <c r="S600" s="105"/>
    </row>
    <row r="601">
      <c r="A601" s="195"/>
      <c r="B601" s="321"/>
      <c r="C601" s="105"/>
      <c r="D601" s="105"/>
      <c r="E601" s="105"/>
      <c r="F601" s="105"/>
      <c r="G601" s="105"/>
      <c r="H601" s="105"/>
      <c r="I601" s="106"/>
      <c r="J601" s="106"/>
      <c r="K601" s="106"/>
      <c r="L601" s="106"/>
      <c r="M601" s="106"/>
      <c r="N601" s="105"/>
      <c r="O601" s="105"/>
      <c r="P601" s="105"/>
      <c r="Q601" s="105"/>
      <c r="R601" s="105"/>
      <c r="S601" s="105"/>
    </row>
    <row r="602">
      <c r="A602" s="195"/>
      <c r="B602" s="321"/>
      <c r="C602" s="105"/>
      <c r="D602" s="105"/>
      <c r="E602" s="105"/>
      <c r="F602" s="105"/>
      <c r="G602" s="105"/>
      <c r="H602" s="105"/>
      <c r="I602" s="106"/>
      <c r="J602" s="106"/>
      <c r="K602" s="106"/>
      <c r="L602" s="106"/>
      <c r="M602" s="106"/>
      <c r="N602" s="105"/>
      <c r="O602" s="105"/>
      <c r="P602" s="105"/>
      <c r="Q602" s="105"/>
      <c r="R602" s="105"/>
      <c r="S602" s="105"/>
    </row>
    <row r="603">
      <c r="A603" s="195"/>
      <c r="B603" s="321"/>
      <c r="C603" s="105"/>
      <c r="D603" s="105"/>
      <c r="E603" s="105"/>
      <c r="F603" s="105"/>
      <c r="G603" s="105"/>
      <c r="H603" s="105"/>
      <c r="I603" s="106"/>
      <c r="J603" s="106"/>
      <c r="K603" s="106"/>
      <c r="L603" s="106"/>
      <c r="M603" s="106"/>
      <c r="N603" s="105"/>
      <c r="O603" s="105"/>
      <c r="P603" s="105"/>
      <c r="Q603" s="105"/>
      <c r="R603" s="105"/>
      <c r="S603" s="105"/>
    </row>
    <row r="604">
      <c r="A604" s="195"/>
      <c r="B604" s="321"/>
      <c r="C604" s="105"/>
      <c r="D604" s="105"/>
      <c r="E604" s="105"/>
      <c r="F604" s="105"/>
      <c r="G604" s="105"/>
      <c r="H604" s="105"/>
      <c r="I604" s="106"/>
      <c r="J604" s="106"/>
      <c r="K604" s="106"/>
      <c r="L604" s="106"/>
      <c r="M604" s="106"/>
      <c r="N604" s="105"/>
      <c r="O604" s="105"/>
      <c r="P604" s="105"/>
      <c r="Q604" s="105"/>
      <c r="R604" s="105"/>
      <c r="S604" s="105"/>
    </row>
    <row r="605">
      <c r="A605" s="195"/>
      <c r="B605" s="321"/>
      <c r="C605" s="105"/>
      <c r="D605" s="105"/>
      <c r="E605" s="105"/>
      <c r="F605" s="105"/>
      <c r="G605" s="105"/>
      <c r="H605" s="105"/>
      <c r="I605" s="106"/>
      <c r="J605" s="106"/>
      <c r="K605" s="106"/>
      <c r="L605" s="106"/>
      <c r="M605" s="106"/>
      <c r="N605" s="105"/>
      <c r="O605" s="105"/>
      <c r="P605" s="105"/>
      <c r="Q605" s="105"/>
      <c r="R605" s="105"/>
      <c r="S605" s="105"/>
    </row>
    <row r="606">
      <c r="A606" s="195"/>
      <c r="B606" s="321"/>
      <c r="C606" s="105"/>
      <c r="D606" s="105"/>
      <c r="E606" s="105"/>
      <c r="F606" s="105"/>
      <c r="G606" s="105"/>
      <c r="H606" s="105"/>
      <c r="I606" s="106"/>
      <c r="J606" s="106"/>
      <c r="K606" s="106"/>
      <c r="L606" s="106"/>
      <c r="M606" s="106"/>
      <c r="N606" s="105"/>
      <c r="O606" s="105"/>
      <c r="P606" s="105"/>
      <c r="Q606" s="105"/>
      <c r="R606" s="105"/>
      <c r="S606" s="105"/>
    </row>
    <row r="607">
      <c r="A607" s="195"/>
      <c r="B607" s="321"/>
      <c r="C607" s="105"/>
      <c r="D607" s="105"/>
      <c r="E607" s="105"/>
      <c r="F607" s="105"/>
      <c r="G607" s="105"/>
      <c r="H607" s="105"/>
      <c r="I607" s="106"/>
      <c r="J607" s="106"/>
      <c r="K607" s="106"/>
      <c r="L607" s="106"/>
      <c r="M607" s="106"/>
      <c r="N607" s="105"/>
      <c r="O607" s="105"/>
      <c r="P607" s="105"/>
      <c r="Q607" s="105"/>
      <c r="R607" s="105"/>
      <c r="S607" s="105"/>
    </row>
    <row r="608">
      <c r="A608" s="195"/>
      <c r="B608" s="321"/>
      <c r="C608" s="105"/>
      <c r="D608" s="105"/>
      <c r="E608" s="105"/>
      <c r="F608" s="105"/>
      <c r="G608" s="105"/>
      <c r="H608" s="105"/>
      <c r="I608" s="106"/>
      <c r="J608" s="106"/>
      <c r="K608" s="106"/>
      <c r="L608" s="106"/>
      <c r="M608" s="106"/>
      <c r="N608" s="105"/>
      <c r="O608" s="105"/>
      <c r="P608" s="105"/>
      <c r="Q608" s="105"/>
      <c r="R608" s="105"/>
      <c r="S608" s="105"/>
    </row>
    <row r="609">
      <c r="A609" s="195"/>
      <c r="B609" s="321"/>
      <c r="C609" s="105"/>
      <c r="D609" s="105"/>
      <c r="E609" s="105"/>
      <c r="F609" s="105"/>
      <c r="G609" s="105"/>
      <c r="H609" s="105"/>
      <c r="I609" s="106"/>
      <c r="J609" s="106"/>
      <c r="K609" s="106"/>
      <c r="L609" s="106"/>
      <c r="M609" s="106"/>
      <c r="N609" s="105"/>
      <c r="O609" s="105"/>
      <c r="P609" s="105"/>
      <c r="Q609" s="105"/>
      <c r="R609" s="105"/>
      <c r="S609" s="105"/>
    </row>
    <row r="610">
      <c r="A610" s="195"/>
      <c r="B610" s="321"/>
      <c r="C610" s="105"/>
      <c r="D610" s="105"/>
      <c r="E610" s="105"/>
      <c r="F610" s="105"/>
      <c r="G610" s="105"/>
      <c r="H610" s="105"/>
      <c r="I610" s="106"/>
      <c r="J610" s="106"/>
      <c r="K610" s="106"/>
      <c r="L610" s="106"/>
      <c r="M610" s="106"/>
      <c r="N610" s="105"/>
      <c r="O610" s="105"/>
      <c r="P610" s="105"/>
      <c r="Q610" s="105"/>
      <c r="R610" s="105"/>
      <c r="S610" s="105"/>
    </row>
    <row r="611">
      <c r="A611" s="195"/>
      <c r="B611" s="321"/>
      <c r="C611" s="105"/>
      <c r="D611" s="105"/>
      <c r="E611" s="105"/>
      <c r="F611" s="105"/>
      <c r="G611" s="105"/>
      <c r="H611" s="105"/>
      <c r="I611" s="106"/>
      <c r="J611" s="106"/>
      <c r="K611" s="106"/>
      <c r="L611" s="106"/>
      <c r="M611" s="106"/>
      <c r="N611" s="105"/>
      <c r="O611" s="105"/>
      <c r="P611" s="105"/>
      <c r="Q611" s="105"/>
      <c r="R611" s="105"/>
      <c r="S611" s="105"/>
    </row>
    <row r="612">
      <c r="A612" s="195"/>
      <c r="B612" s="321"/>
      <c r="C612" s="105"/>
      <c r="D612" s="105"/>
      <c r="E612" s="105"/>
      <c r="F612" s="105"/>
      <c r="G612" s="105"/>
      <c r="H612" s="105"/>
      <c r="I612" s="106"/>
      <c r="J612" s="106"/>
      <c r="K612" s="106"/>
      <c r="L612" s="106"/>
      <c r="M612" s="106"/>
      <c r="N612" s="105"/>
      <c r="O612" s="105"/>
      <c r="P612" s="105"/>
      <c r="Q612" s="105"/>
      <c r="R612" s="105"/>
      <c r="S612" s="105"/>
    </row>
    <row r="613">
      <c r="A613" s="195"/>
      <c r="B613" s="321"/>
      <c r="C613" s="105"/>
      <c r="D613" s="105"/>
      <c r="E613" s="105"/>
      <c r="F613" s="105"/>
      <c r="G613" s="105"/>
      <c r="H613" s="105"/>
      <c r="I613" s="106"/>
      <c r="J613" s="106"/>
      <c r="K613" s="106"/>
      <c r="L613" s="106"/>
      <c r="M613" s="106"/>
      <c r="N613" s="105"/>
      <c r="O613" s="105"/>
      <c r="P613" s="105"/>
      <c r="Q613" s="105"/>
      <c r="R613" s="105"/>
      <c r="S613" s="105"/>
    </row>
    <row r="614">
      <c r="A614" s="195"/>
      <c r="B614" s="321"/>
      <c r="C614" s="105"/>
      <c r="D614" s="105"/>
      <c r="E614" s="105"/>
      <c r="F614" s="105"/>
      <c r="G614" s="105"/>
      <c r="H614" s="105"/>
      <c r="I614" s="106"/>
      <c r="J614" s="106"/>
      <c r="K614" s="106"/>
      <c r="L614" s="106"/>
      <c r="M614" s="106"/>
      <c r="N614" s="105"/>
      <c r="O614" s="105"/>
      <c r="P614" s="105"/>
      <c r="Q614" s="105"/>
      <c r="R614" s="105"/>
      <c r="S614" s="105"/>
    </row>
    <row r="615">
      <c r="A615" s="195"/>
      <c r="B615" s="321"/>
      <c r="C615" s="105"/>
      <c r="D615" s="105"/>
      <c r="E615" s="105"/>
      <c r="F615" s="105"/>
      <c r="G615" s="105"/>
      <c r="H615" s="105"/>
      <c r="I615" s="106"/>
      <c r="J615" s="106"/>
      <c r="K615" s="106"/>
      <c r="L615" s="106"/>
      <c r="M615" s="106"/>
      <c r="N615" s="105"/>
      <c r="O615" s="105"/>
      <c r="P615" s="105"/>
      <c r="Q615" s="105"/>
      <c r="R615" s="105"/>
      <c r="S615" s="105"/>
    </row>
    <row r="616">
      <c r="A616" s="195"/>
      <c r="B616" s="321"/>
      <c r="C616" s="105"/>
      <c r="D616" s="105"/>
      <c r="E616" s="105"/>
      <c r="F616" s="105"/>
      <c r="G616" s="105"/>
      <c r="H616" s="105"/>
      <c r="I616" s="106"/>
      <c r="J616" s="106"/>
      <c r="K616" s="106"/>
      <c r="L616" s="106"/>
      <c r="M616" s="106"/>
      <c r="N616" s="105"/>
      <c r="O616" s="105"/>
      <c r="P616" s="105"/>
      <c r="Q616" s="105"/>
      <c r="R616" s="105"/>
      <c r="S616" s="105"/>
    </row>
    <row r="617">
      <c r="A617" s="195"/>
      <c r="B617" s="321"/>
      <c r="C617" s="105"/>
      <c r="D617" s="105"/>
      <c r="E617" s="105"/>
      <c r="F617" s="105"/>
      <c r="G617" s="105"/>
      <c r="H617" s="105"/>
      <c r="I617" s="106"/>
      <c r="J617" s="106"/>
      <c r="K617" s="106"/>
      <c r="L617" s="106"/>
      <c r="M617" s="106"/>
      <c r="N617" s="105"/>
      <c r="O617" s="105"/>
      <c r="P617" s="105"/>
      <c r="Q617" s="105"/>
      <c r="R617" s="105"/>
      <c r="S617" s="105"/>
    </row>
    <row r="618">
      <c r="A618" s="195"/>
      <c r="B618" s="321"/>
      <c r="C618" s="105"/>
      <c r="D618" s="105"/>
      <c r="E618" s="105"/>
      <c r="F618" s="105"/>
      <c r="G618" s="105"/>
      <c r="H618" s="105"/>
      <c r="I618" s="106"/>
      <c r="J618" s="106"/>
      <c r="K618" s="106"/>
      <c r="L618" s="106"/>
      <c r="M618" s="106"/>
      <c r="N618" s="105"/>
      <c r="O618" s="105"/>
      <c r="P618" s="105"/>
      <c r="Q618" s="105"/>
      <c r="R618" s="105"/>
      <c r="S618" s="105"/>
    </row>
    <row r="619">
      <c r="A619" s="195"/>
      <c r="B619" s="321"/>
      <c r="C619" s="105"/>
      <c r="D619" s="105"/>
      <c r="E619" s="105"/>
      <c r="F619" s="105"/>
      <c r="G619" s="105"/>
      <c r="H619" s="105"/>
      <c r="I619" s="106"/>
      <c r="J619" s="106"/>
      <c r="K619" s="106"/>
      <c r="L619" s="106"/>
      <c r="M619" s="106"/>
      <c r="N619" s="105"/>
      <c r="O619" s="105"/>
      <c r="P619" s="105"/>
      <c r="Q619" s="105"/>
      <c r="R619" s="105"/>
      <c r="S619" s="105"/>
    </row>
    <row r="620">
      <c r="A620" s="195"/>
      <c r="B620" s="321"/>
      <c r="C620" s="105"/>
      <c r="D620" s="105"/>
      <c r="E620" s="105"/>
      <c r="F620" s="105"/>
      <c r="G620" s="105"/>
      <c r="H620" s="105"/>
      <c r="I620" s="106"/>
      <c r="J620" s="106"/>
      <c r="K620" s="106"/>
      <c r="L620" s="106"/>
      <c r="M620" s="106"/>
      <c r="N620" s="105"/>
      <c r="O620" s="105"/>
      <c r="P620" s="105"/>
      <c r="Q620" s="105"/>
      <c r="R620" s="105"/>
      <c r="S620" s="105"/>
    </row>
    <row r="621">
      <c r="A621" s="195"/>
      <c r="B621" s="321"/>
      <c r="C621" s="105"/>
      <c r="D621" s="105"/>
      <c r="E621" s="105"/>
      <c r="F621" s="105"/>
      <c r="G621" s="105"/>
      <c r="H621" s="105"/>
      <c r="I621" s="106"/>
      <c r="J621" s="106"/>
      <c r="K621" s="106"/>
      <c r="L621" s="106"/>
      <c r="M621" s="106"/>
      <c r="N621" s="105"/>
      <c r="O621" s="105"/>
      <c r="P621" s="105"/>
      <c r="Q621" s="105"/>
      <c r="R621" s="105"/>
      <c r="S621" s="105"/>
    </row>
    <row r="622">
      <c r="A622" s="195"/>
      <c r="B622" s="321"/>
      <c r="C622" s="105"/>
      <c r="D622" s="105"/>
      <c r="E622" s="105"/>
      <c r="F622" s="105"/>
      <c r="G622" s="105"/>
      <c r="H622" s="105"/>
      <c r="I622" s="106"/>
      <c r="J622" s="106"/>
      <c r="K622" s="106"/>
      <c r="L622" s="106"/>
      <c r="M622" s="106"/>
      <c r="N622" s="105"/>
      <c r="O622" s="105"/>
      <c r="P622" s="105"/>
      <c r="Q622" s="105"/>
      <c r="R622" s="105"/>
      <c r="S622" s="105"/>
    </row>
    <row r="623">
      <c r="A623" s="195"/>
      <c r="B623" s="321"/>
      <c r="C623" s="105"/>
      <c r="D623" s="105"/>
      <c r="E623" s="105"/>
      <c r="F623" s="105"/>
      <c r="G623" s="105"/>
      <c r="H623" s="105"/>
      <c r="I623" s="106"/>
      <c r="J623" s="106"/>
      <c r="K623" s="106"/>
      <c r="L623" s="106"/>
      <c r="M623" s="106"/>
      <c r="N623" s="105"/>
      <c r="O623" s="105"/>
      <c r="P623" s="105"/>
      <c r="Q623" s="105"/>
      <c r="R623" s="105"/>
      <c r="S623" s="105"/>
    </row>
    <row r="624">
      <c r="A624" s="195"/>
      <c r="B624" s="321"/>
      <c r="C624" s="105"/>
      <c r="D624" s="105"/>
      <c r="E624" s="105"/>
      <c r="F624" s="105"/>
      <c r="G624" s="105"/>
      <c r="H624" s="105"/>
      <c r="I624" s="106"/>
      <c r="J624" s="106"/>
      <c r="K624" s="106"/>
      <c r="L624" s="106"/>
      <c r="M624" s="106"/>
      <c r="N624" s="105"/>
      <c r="O624" s="105"/>
      <c r="P624" s="105"/>
      <c r="Q624" s="105"/>
      <c r="R624" s="105"/>
      <c r="S624" s="105"/>
    </row>
    <row r="625">
      <c r="A625" s="195"/>
      <c r="B625" s="321"/>
      <c r="C625" s="105"/>
      <c r="D625" s="105"/>
      <c r="E625" s="105"/>
      <c r="F625" s="105"/>
      <c r="G625" s="105"/>
      <c r="H625" s="105"/>
      <c r="I625" s="106"/>
      <c r="J625" s="106"/>
      <c r="K625" s="106"/>
      <c r="L625" s="106"/>
      <c r="M625" s="106"/>
      <c r="N625" s="105"/>
      <c r="O625" s="105"/>
      <c r="P625" s="105"/>
      <c r="Q625" s="105"/>
      <c r="R625" s="105"/>
      <c r="S625" s="105"/>
    </row>
    <row r="626">
      <c r="A626" s="195"/>
      <c r="B626" s="321"/>
      <c r="C626" s="105"/>
      <c r="D626" s="105"/>
      <c r="E626" s="105"/>
      <c r="F626" s="105"/>
      <c r="G626" s="105"/>
      <c r="H626" s="105"/>
      <c r="I626" s="106"/>
      <c r="J626" s="106"/>
      <c r="K626" s="106"/>
      <c r="L626" s="106"/>
      <c r="M626" s="106"/>
      <c r="N626" s="105"/>
      <c r="O626" s="105"/>
      <c r="P626" s="105"/>
      <c r="Q626" s="105"/>
      <c r="R626" s="105"/>
      <c r="S626" s="105"/>
    </row>
    <row r="627">
      <c r="A627" s="195"/>
      <c r="B627" s="321"/>
      <c r="C627" s="105"/>
      <c r="D627" s="105"/>
      <c r="E627" s="105"/>
      <c r="F627" s="105"/>
      <c r="G627" s="105"/>
      <c r="H627" s="105"/>
      <c r="I627" s="106"/>
      <c r="J627" s="106"/>
      <c r="K627" s="106"/>
      <c r="L627" s="106"/>
      <c r="M627" s="106"/>
      <c r="N627" s="105"/>
      <c r="O627" s="105"/>
      <c r="P627" s="105"/>
      <c r="Q627" s="105"/>
      <c r="R627" s="105"/>
      <c r="S627" s="105"/>
    </row>
    <row r="628">
      <c r="A628" s="195"/>
      <c r="B628" s="321"/>
      <c r="C628" s="105"/>
      <c r="D628" s="105"/>
      <c r="E628" s="105"/>
      <c r="F628" s="105"/>
      <c r="G628" s="105"/>
      <c r="H628" s="105"/>
      <c r="I628" s="106"/>
      <c r="J628" s="106"/>
      <c r="K628" s="106"/>
      <c r="L628" s="106"/>
      <c r="M628" s="106"/>
      <c r="N628" s="105"/>
      <c r="O628" s="105"/>
      <c r="P628" s="105"/>
      <c r="Q628" s="105"/>
      <c r="R628" s="105"/>
      <c r="S628" s="105"/>
    </row>
    <row r="629">
      <c r="A629" s="195"/>
      <c r="B629" s="321"/>
      <c r="C629" s="105"/>
      <c r="D629" s="105"/>
      <c r="E629" s="105"/>
      <c r="F629" s="105"/>
      <c r="G629" s="105"/>
      <c r="H629" s="105"/>
      <c r="I629" s="106"/>
      <c r="J629" s="106"/>
      <c r="K629" s="106"/>
      <c r="L629" s="106"/>
      <c r="M629" s="106"/>
      <c r="N629" s="105"/>
      <c r="O629" s="105"/>
      <c r="P629" s="105"/>
      <c r="Q629" s="105"/>
      <c r="R629" s="105"/>
      <c r="S629" s="105"/>
    </row>
    <row r="630">
      <c r="A630" s="195"/>
      <c r="B630" s="321"/>
      <c r="C630" s="105"/>
      <c r="D630" s="105"/>
      <c r="E630" s="105"/>
      <c r="F630" s="105"/>
      <c r="G630" s="105"/>
      <c r="H630" s="105"/>
      <c r="I630" s="106"/>
      <c r="J630" s="106"/>
      <c r="K630" s="106"/>
      <c r="L630" s="106"/>
      <c r="M630" s="106"/>
      <c r="N630" s="105"/>
      <c r="O630" s="105"/>
      <c r="P630" s="105"/>
      <c r="Q630" s="105"/>
      <c r="R630" s="105"/>
      <c r="S630" s="105"/>
    </row>
    <row r="631">
      <c r="A631" s="195"/>
      <c r="B631" s="321"/>
      <c r="C631" s="105"/>
      <c r="D631" s="105"/>
      <c r="E631" s="105"/>
      <c r="F631" s="105"/>
      <c r="G631" s="105"/>
      <c r="H631" s="105"/>
      <c r="I631" s="106"/>
      <c r="J631" s="106"/>
      <c r="K631" s="106"/>
      <c r="L631" s="106"/>
      <c r="M631" s="106"/>
      <c r="N631" s="105"/>
      <c r="O631" s="105"/>
      <c r="P631" s="105"/>
      <c r="Q631" s="105"/>
      <c r="R631" s="105"/>
      <c r="S631" s="105"/>
    </row>
    <row r="632">
      <c r="A632" s="195"/>
      <c r="B632" s="321"/>
      <c r="C632" s="105"/>
      <c r="D632" s="105"/>
      <c r="E632" s="105"/>
      <c r="F632" s="105"/>
      <c r="G632" s="105"/>
      <c r="H632" s="105"/>
      <c r="I632" s="106"/>
      <c r="J632" s="106"/>
      <c r="K632" s="106"/>
      <c r="L632" s="106"/>
      <c r="M632" s="106"/>
      <c r="N632" s="105"/>
      <c r="O632" s="105"/>
      <c r="P632" s="105"/>
      <c r="Q632" s="105"/>
      <c r="R632" s="105"/>
      <c r="S632" s="105"/>
    </row>
    <row r="633">
      <c r="A633" s="195"/>
      <c r="B633" s="321"/>
      <c r="C633" s="105"/>
      <c r="D633" s="105"/>
      <c r="E633" s="105"/>
      <c r="F633" s="105"/>
      <c r="G633" s="105"/>
      <c r="H633" s="105"/>
      <c r="I633" s="106"/>
      <c r="J633" s="106"/>
      <c r="K633" s="106"/>
      <c r="L633" s="106"/>
      <c r="M633" s="106"/>
      <c r="N633" s="105"/>
      <c r="O633" s="105"/>
      <c r="P633" s="105"/>
      <c r="Q633" s="105"/>
      <c r="R633" s="105"/>
      <c r="S633" s="105"/>
    </row>
    <row r="634">
      <c r="A634" s="195"/>
      <c r="B634" s="321"/>
      <c r="C634" s="105"/>
      <c r="D634" s="105"/>
      <c r="E634" s="105"/>
      <c r="F634" s="105"/>
      <c r="G634" s="105"/>
      <c r="H634" s="105"/>
      <c r="I634" s="106"/>
      <c r="J634" s="106"/>
      <c r="K634" s="106"/>
      <c r="L634" s="106"/>
      <c r="M634" s="106"/>
      <c r="N634" s="105"/>
      <c r="O634" s="105"/>
      <c r="P634" s="105"/>
      <c r="Q634" s="105"/>
      <c r="R634" s="105"/>
      <c r="S634" s="105"/>
    </row>
    <row r="635">
      <c r="A635" s="195"/>
      <c r="B635" s="321"/>
      <c r="C635" s="105"/>
      <c r="D635" s="105"/>
      <c r="E635" s="105"/>
      <c r="F635" s="105"/>
      <c r="G635" s="105"/>
      <c r="H635" s="105"/>
      <c r="I635" s="106"/>
      <c r="J635" s="106"/>
      <c r="K635" s="106"/>
      <c r="L635" s="106"/>
      <c r="M635" s="106"/>
      <c r="N635" s="105"/>
      <c r="O635" s="105"/>
      <c r="P635" s="105"/>
      <c r="Q635" s="105"/>
      <c r="R635" s="105"/>
      <c r="S635" s="105"/>
    </row>
    <row r="636">
      <c r="A636" s="195"/>
      <c r="B636" s="321"/>
      <c r="C636" s="105"/>
      <c r="D636" s="105"/>
      <c r="E636" s="105"/>
      <c r="F636" s="105"/>
      <c r="G636" s="105"/>
      <c r="H636" s="105"/>
      <c r="I636" s="106"/>
      <c r="J636" s="106"/>
      <c r="K636" s="106"/>
      <c r="L636" s="106"/>
      <c r="M636" s="106"/>
      <c r="N636" s="105"/>
      <c r="O636" s="105"/>
      <c r="P636" s="105"/>
      <c r="Q636" s="105"/>
      <c r="R636" s="105"/>
      <c r="S636" s="105"/>
    </row>
    <row r="637">
      <c r="A637" s="195"/>
      <c r="B637" s="321"/>
      <c r="C637" s="105"/>
      <c r="D637" s="105"/>
      <c r="E637" s="105"/>
      <c r="F637" s="105"/>
      <c r="G637" s="105"/>
      <c r="H637" s="105"/>
      <c r="I637" s="106"/>
      <c r="J637" s="106"/>
      <c r="K637" s="106"/>
      <c r="L637" s="106"/>
      <c r="M637" s="106"/>
      <c r="N637" s="105"/>
      <c r="O637" s="105"/>
      <c r="P637" s="105"/>
      <c r="Q637" s="105"/>
      <c r="R637" s="105"/>
      <c r="S637" s="105"/>
    </row>
    <row r="638">
      <c r="A638" s="195"/>
      <c r="B638" s="321"/>
      <c r="C638" s="105"/>
      <c r="D638" s="105"/>
      <c r="E638" s="105"/>
      <c r="F638" s="105"/>
      <c r="G638" s="105"/>
      <c r="H638" s="105"/>
      <c r="I638" s="106"/>
      <c r="J638" s="106"/>
      <c r="K638" s="106"/>
      <c r="L638" s="106"/>
      <c r="M638" s="106"/>
      <c r="N638" s="105"/>
      <c r="O638" s="105"/>
      <c r="P638" s="105"/>
      <c r="Q638" s="105"/>
      <c r="R638" s="105"/>
      <c r="S638" s="105"/>
    </row>
    <row r="639">
      <c r="A639" s="195"/>
      <c r="B639" s="321"/>
      <c r="C639" s="105"/>
      <c r="D639" s="105"/>
      <c r="E639" s="105"/>
      <c r="F639" s="105"/>
      <c r="G639" s="105"/>
      <c r="H639" s="105"/>
      <c r="I639" s="106"/>
      <c r="J639" s="106"/>
      <c r="K639" s="106"/>
      <c r="L639" s="106"/>
      <c r="M639" s="106"/>
      <c r="N639" s="105"/>
      <c r="O639" s="105"/>
      <c r="P639" s="105"/>
      <c r="Q639" s="105"/>
      <c r="R639" s="105"/>
      <c r="S639" s="105"/>
    </row>
    <row r="640">
      <c r="A640" s="195"/>
      <c r="B640" s="321"/>
      <c r="C640" s="105"/>
      <c r="D640" s="105"/>
      <c r="E640" s="105"/>
      <c r="F640" s="105"/>
      <c r="G640" s="105"/>
      <c r="H640" s="105"/>
      <c r="I640" s="106"/>
      <c r="J640" s="106"/>
      <c r="K640" s="106"/>
      <c r="L640" s="106"/>
      <c r="M640" s="106"/>
      <c r="N640" s="105"/>
      <c r="O640" s="105"/>
      <c r="P640" s="105"/>
      <c r="Q640" s="105"/>
      <c r="R640" s="105"/>
      <c r="S640" s="105"/>
    </row>
    <row r="641">
      <c r="A641" s="195"/>
      <c r="B641" s="321"/>
      <c r="C641" s="105"/>
      <c r="D641" s="105"/>
      <c r="E641" s="105"/>
      <c r="F641" s="105"/>
      <c r="G641" s="105"/>
      <c r="H641" s="105"/>
      <c r="I641" s="106"/>
      <c r="J641" s="106"/>
      <c r="K641" s="106"/>
      <c r="L641" s="106"/>
      <c r="M641" s="106"/>
      <c r="N641" s="105"/>
      <c r="O641" s="105"/>
      <c r="P641" s="105"/>
      <c r="Q641" s="105"/>
      <c r="R641" s="105"/>
      <c r="S641" s="105"/>
    </row>
    <row r="642">
      <c r="A642" s="195"/>
      <c r="B642" s="321"/>
      <c r="C642" s="105"/>
      <c r="D642" s="105"/>
      <c r="E642" s="105"/>
      <c r="F642" s="105"/>
      <c r="G642" s="105"/>
      <c r="H642" s="105"/>
      <c r="I642" s="106"/>
      <c r="J642" s="106"/>
      <c r="K642" s="106"/>
      <c r="L642" s="106"/>
      <c r="M642" s="106"/>
      <c r="N642" s="105"/>
      <c r="O642" s="105"/>
      <c r="P642" s="105"/>
      <c r="Q642" s="105"/>
      <c r="R642" s="105"/>
      <c r="S642" s="105"/>
    </row>
    <row r="643">
      <c r="A643" s="195"/>
      <c r="B643" s="321"/>
      <c r="C643" s="105"/>
      <c r="D643" s="105"/>
      <c r="E643" s="105"/>
      <c r="F643" s="105"/>
      <c r="G643" s="105"/>
      <c r="H643" s="105"/>
      <c r="I643" s="106"/>
      <c r="J643" s="106"/>
      <c r="K643" s="106"/>
      <c r="L643" s="106"/>
      <c r="M643" s="106"/>
      <c r="N643" s="105"/>
      <c r="O643" s="105"/>
      <c r="P643" s="105"/>
      <c r="Q643" s="105"/>
      <c r="R643" s="105"/>
      <c r="S643" s="105"/>
    </row>
    <row r="644">
      <c r="A644" s="195"/>
      <c r="B644" s="321"/>
      <c r="C644" s="105"/>
      <c r="D644" s="105"/>
      <c r="E644" s="105"/>
      <c r="F644" s="105"/>
      <c r="G644" s="105"/>
      <c r="H644" s="105"/>
      <c r="I644" s="106"/>
      <c r="J644" s="106"/>
      <c r="K644" s="106"/>
      <c r="L644" s="106"/>
      <c r="M644" s="106"/>
      <c r="N644" s="105"/>
      <c r="O644" s="105"/>
      <c r="P644" s="105"/>
      <c r="Q644" s="105"/>
      <c r="R644" s="105"/>
      <c r="S644" s="105"/>
    </row>
    <row r="645">
      <c r="A645" s="195"/>
      <c r="B645" s="321"/>
      <c r="C645" s="105"/>
      <c r="D645" s="105"/>
      <c r="E645" s="105"/>
      <c r="F645" s="105"/>
      <c r="G645" s="105"/>
      <c r="H645" s="105"/>
      <c r="I645" s="106"/>
      <c r="J645" s="106"/>
      <c r="K645" s="106"/>
      <c r="L645" s="106"/>
      <c r="M645" s="106"/>
      <c r="N645" s="105"/>
      <c r="O645" s="105"/>
      <c r="P645" s="105"/>
      <c r="Q645" s="105"/>
      <c r="R645" s="105"/>
      <c r="S645" s="105"/>
    </row>
    <row r="646">
      <c r="A646" s="195"/>
      <c r="B646" s="321"/>
      <c r="C646" s="105"/>
      <c r="D646" s="105"/>
      <c r="E646" s="105"/>
      <c r="F646" s="105"/>
      <c r="G646" s="105"/>
      <c r="H646" s="105"/>
      <c r="I646" s="106"/>
      <c r="J646" s="106"/>
      <c r="K646" s="106"/>
      <c r="L646" s="106"/>
      <c r="M646" s="106"/>
      <c r="N646" s="105"/>
      <c r="O646" s="105"/>
      <c r="P646" s="105"/>
      <c r="Q646" s="105"/>
      <c r="R646" s="105"/>
      <c r="S646" s="105"/>
    </row>
    <row r="647">
      <c r="A647" s="195"/>
      <c r="B647" s="321"/>
      <c r="C647" s="105"/>
      <c r="D647" s="105"/>
      <c r="E647" s="105"/>
      <c r="F647" s="105"/>
      <c r="G647" s="105"/>
      <c r="H647" s="105"/>
      <c r="I647" s="106"/>
      <c r="J647" s="106"/>
      <c r="K647" s="106"/>
      <c r="L647" s="106"/>
      <c r="M647" s="106"/>
      <c r="N647" s="105"/>
      <c r="O647" s="105"/>
      <c r="P647" s="105"/>
      <c r="Q647" s="105"/>
      <c r="R647" s="105"/>
      <c r="S647" s="105"/>
    </row>
    <row r="648">
      <c r="A648" s="195"/>
      <c r="B648" s="321"/>
      <c r="C648" s="105"/>
      <c r="D648" s="105"/>
      <c r="E648" s="105"/>
      <c r="F648" s="105"/>
      <c r="G648" s="105"/>
      <c r="H648" s="105"/>
      <c r="I648" s="106"/>
      <c r="J648" s="106"/>
      <c r="K648" s="106"/>
      <c r="L648" s="106"/>
      <c r="M648" s="106"/>
      <c r="N648" s="105"/>
      <c r="O648" s="105"/>
      <c r="P648" s="105"/>
      <c r="Q648" s="105"/>
      <c r="R648" s="105"/>
      <c r="S648" s="105"/>
    </row>
    <row r="649">
      <c r="A649" s="195"/>
      <c r="B649" s="321"/>
      <c r="C649" s="105"/>
      <c r="D649" s="105"/>
      <c r="E649" s="105"/>
      <c r="F649" s="105"/>
      <c r="G649" s="105"/>
      <c r="H649" s="105"/>
      <c r="I649" s="106"/>
      <c r="J649" s="106"/>
      <c r="K649" s="106"/>
      <c r="L649" s="106"/>
      <c r="M649" s="106"/>
      <c r="N649" s="105"/>
      <c r="O649" s="105"/>
      <c r="P649" s="105"/>
      <c r="Q649" s="105"/>
      <c r="R649" s="105"/>
      <c r="S649" s="105"/>
    </row>
    <row r="650">
      <c r="A650" s="195"/>
      <c r="B650" s="321"/>
      <c r="C650" s="105"/>
      <c r="D650" s="105"/>
      <c r="E650" s="105"/>
      <c r="F650" s="105"/>
      <c r="G650" s="105"/>
      <c r="H650" s="105"/>
      <c r="I650" s="106"/>
      <c r="J650" s="106"/>
      <c r="K650" s="106"/>
      <c r="L650" s="106"/>
      <c r="M650" s="106"/>
      <c r="N650" s="105"/>
      <c r="O650" s="105"/>
      <c r="P650" s="105"/>
      <c r="Q650" s="105"/>
      <c r="R650" s="105"/>
      <c r="S650" s="105"/>
    </row>
    <row r="651">
      <c r="A651" s="195"/>
      <c r="B651" s="321"/>
      <c r="C651" s="105"/>
      <c r="D651" s="105"/>
      <c r="E651" s="105"/>
      <c r="F651" s="105"/>
      <c r="G651" s="105"/>
      <c r="H651" s="105"/>
      <c r="I651" s="106"/>
      <c r="J651" s="106"/>
      <c r="K651" s="106"/>
      <c r="L651" s="106"/>
      <c r="M651" s="106"/>
      <c r="N651" s="105"/>
      <c r="O651" s="105"/>
      <c r="P651" s="105"/>
      <c r="Q651" s="105"/>
      <c r="R651" s="105"/>
      <c r="S651" s="105"/>
    </row>
    <row r="652">
      <c r="A652" s="195"/>
      <c r="B652" s="321"/>
      <c r="C652" s="105"/>
      <c r="D652" s="105"/>
      <c r="E652" s="105"/>
      <c r="F652" s="105"/>
      <c r="G652" s="105"/>
      <c r="H652" s="105"/>
      <c r="I652" s="106"/>
      <c r="J652" s="106"/>
      <c r="K652" s="106"/>
      <c r="L652" s="106"/>
      <c r="M652" s="106"/>
      <c r="N652" s="105"/>
      <c r="O652" s="105"/>
      <c r="P652" s="105"/>
      <c r="Q652" s="105"/>
      <c r="R652" s="105"/>
      <c r="S652" s="105"/>
    </row>
    <row r="653">
      <c r="A653" s="195"/>
      <c r="B653" s="321"/>
      <c r="C653" s="105"/>
      <c r="D653" s="105"/>
      <c r="E653" s="105"/>
      <c r="F653" s="105"/>
      <c r="G653" s="105"/>
      <c r="H653" s="105"/>
      <c r="I653" s="106"/>
      <c r="J653" s="106"/>
      <c r="K653" s="106"/>
      <c r="L653" s="106"/>
      <c r="M653" s="106"/>
      <c r="N653" s="105"/>
      <c r="O653" s="105"/>
      <c r="P653" s="105"/>
      <c r="Q653" s="105"/>
      <c r="R653" s="105"/>
      <c r="S653" s="105"/>
    </row>
    <row r="654">
      <c r="A654" s="195"/>
      <c r="B654" s="321"/>
      <c r="C654" s="105"/>
      <c r="D654" s="105"/>
      <c r="E654" s="105"/>
      <c r="F654" s="105"/>
      <c r="G654" s="105"/>
      <c r="H654" s="105"/>
      <c r="I654" s="106"/>
      <c r="J654" s="106"/>
      <c r="K654" s="106"/>
      <c r="L654" s="106"/>
      <c r="M654" s="106"/>
      <c r="N654" s="105"/>
      <c r="O654" s="105"/>
      <c r="P654" s="105"/>
      <c r="Q654" s="105"/>
      <c r="R654" s="105"/>
      <c r="S654" s="105"/>
    </row>
    <row r="655">
      <c r="A655" s="195"/>
      <c r="B655" s="321"/>
      <c r="C655" s="105"/>
      <c r="D655" s="105"/>
      <c r="E655" s="105"/>
      <c r="F655" s="105"/>
      <c r="G655" s="105"/>
      <c r="H655" s="105"/>
      <c r="I655" s="106"/>
      <c r="J655" s="106"/>
      <c r="K655" s="106"/>
      <c r="L655" s="106"/>
      <c r="M655" s="106"/>
      <c r="N655" s="105"/>
      <c r="O655" s="105"/>
      <c r="P655" s="105"/>
      <c r="Q655" s="105"/>
      <c r="R655" s="105"/>
      <c r="S655" s="105"/>
    </row>
    <row r="656">
      <c r="A656" s="195"/>
      <c r="B656" s="321"/>
      <c r="C656" s="105"/>
      <c r="D656" s="105"/>
      <c r="E656" s="105"/>
      <c r="F656" s="105"/>
      <c r="G656" s="105"/>
      <c r="H656" s="105"/>
      <c r="I656" s="106"/>
      <c r="J656" s="106"/>
      <c r="K656" s="106"/>
      <c r="L656" s="106"/>
      <c r="M656" s="106"/>
      <c r="N656" s="105"/>
      <c r="O656" s="105"/>
      <c r="P656" s="105"/>
      <c r="Q656" s="105"/>
      <c r="R656" s="105"/>
      <c r="S656" s="105"/>
    </row>
    <row r="657">
      <c r="A657" s="195"/>
      <c r="B657" s="321"/>
      <c r="C657" s="105"/>
      <c r="D657" s="105"/>
      <c r="E657" s="105"/>
      <c r="F657" s="105"/>
      <c r="G657" s="105"/>
      <c r="H657" s="105"/>
      <c r="I657" s="106"/>
      <c r="J657" s="106"/>
      <c r="K657" s="106"/>
      <c r="L657" s="106"/>
      <c r="M657" s="106"/>
      <c r="N657" s="105"/>
      <c r="O657" s="105"/>
      <c r="P657" s="105"/>
      <c r="Q657" s="105"/>
      <c r="R657" s="105"/>
      <c r="S657" s="105"/>
    </row>
    <row r="658">
      <c r="A658" s="195"/>
      <c r="B658" s="321"/>
      <c r="C658" s="105"/>
      <c r="D658" s="105"/>
      <c r="E658" s="105"/>
      <c r="F658" s="105"/>
      <c r="G658" s="105"/>
      <c r="H658" s="105"/>
      <c r="I658" s="106"/>
      <c r="J658" s="106"/>
      <c r="K658" s="106"/>
      <c r="L658" s="106"/>
      <c r="M658" s="106"/>
      <c r="N658" s="105"/>
      <c r="O658" s="105"/>
      <c r="P658" s="105"/>
      <c r="Q658" s="105"/>
      <c r="R658" s="105"/>
      <c r="S658" s="105"/>
    </row>
    <row r="659">
      <c r="A659" s="195"/>
      <c r="B659" s="321"/>
      <c r="C659" s="105"/>
      <c r="D659" s="105"/>
      <c r="E659" s="105"/>
      <c r="F659" s="105"/>
      <c r="G659" s="105"/>
      <c r="H659" s="105"/>
      <c r="I659" s="106"/>
      <c r="J659" s="106"/>
      <c r="K659" s="106"/>
      <c r="L659" s="106"/>
      <c r="M659" s="106"/>
      <c r="N659" s="105"/>
      <c r="O659" s="105"/>
      <c r="P659" s="105"/>
      <c r="Q659" s="105"/>
      <c r="R659" s="105"/>
      <c r="S659" s="105"/>
    </row>
    <row r="660">
      <c r="A660" s="195"/>
      <c r="B660" s="321"/>
      <c r="C660" s="105"/>
      <c r="D660" s="105"/>
      <c r="E660" s="105"/>
      <c r="F660" s="105"/>
      <c r="G660" s="105"/>
      <c r="H660" s="105"/>
      <c r="I660" s="106"/>
      <c r="J660" s="106"/>
      <c r="K660" s="106"/>
      <c r="L660" s="106"/>
      <c r="M660" s="106"/>
      <c r="N660" s="105"/>
      <c r="O660" s="105"/>
      <c r="P660" s="105"/>
      <c r="Q660" s="105"/>
      <c r="R660" s="105"/>
      <c r="S660" s="105"/>
    </row>
    <row r="661">
      <c r="A661" s="195"/>
      <c r="B661" s="321"/>
      <c r="C661" s="105"/>
      <c r="D661" s="105"/>
      <c r="E661" s="105"/>
      <c r="F661" s="105"/>
      <c r="G661" s="105"/>
      <c r="H661" s="105"/>
      <c r="I661" s="106"/>
      <c r="J661" s="106"/>
      <c r="K661" s="106"/>
      <c r="L661" s="106"/>
      <c r="M661" s="106"/>
      <c r="N661" s="105"/>
      <c r="O661" s="105"/>
      <c r="P661" s="105"/>
      <c r="Q661" s="105"/>
      <c r="R661" s="105"/>
      <c r="S661" s="105"/>
    </row>
    <row r="662">
      <c r="A662" s="195"/>
      <c r="B662" s="321"/>
      <c r="C662" s="105"/>
      <c r="D662" s="105"/>
      <c r="E662" s="105"/>
      <c r="F662" s="105"/>
      <c r="G662" s="105"/>
      <c r="H662" s="105"/>
      <c r="I662" s="106"/>
      <c r="J662" s="106"/>
      <c r="K662" s="106"/>
      <c r="L662" s="106"/>
      <c r="M662" s="106"/>
      <c r="N662" s="105"/>
      <c r="O662" s="105"/>
      <c r="P662" s="105"/>
      <c r="Q662" s="105"/>
      <c r="R662" s="105"/>
      <c r="S662" s="105"/>
    </row>
    <row r="663">
      <c r="A663" s="195"/>
      <c r="B663" s="321"/>
      <c r="C663" s="105"/>
      <c r="D663" s="105"/>
      <c r="E663" s="105"/>
      <c r="F663" s="105"/>
      <c r="G663" s="105"/>
      <c r="H663" s="105"/>
      <c r="I663" s="106"/>
      <c r="J663" s="106"/>
      <c r="K663" s="106"/>
      <c r="L663" s="106"/>
      <c r="M663" s="106"/>
      <c r="N663" s="105"/>
      <c r="O663" s="105"/>
      <c r="P663" s="105"/>
      <c r="Q663" s="105"/>
      <c r="R663" s="105"/>
      <c r="S663" s="105"/>
    </row>
    <row r="664">
      <c r="A664" s="195"/>
      <c r="B664" s="321"/>
      <c r="C664" s="105"/>
      <c r="D664" s="105"/>
      <c r="E664" s="105"/>
      <c r="F664" s="105"/>
      <c r="G664" s="105"/>
      <c r="H664" s="105"/>
      <c r="I664" s="106"/>
      <c r="J664" s="106"/>
      <c r="K664" s="106"/>
      <c r="L664" s="106"/>
      <c r="M664" s="106"/>
      <c r="N664" s="105"/>
      <c r="O664" s="105"/>
      <c r="P664" s="105"/>
      <c r="Q664" s="105"/>
      <c r="R664" s="105"/>
      <c r="S664" s="105"/>
    </row>
    <row r="665">
      <c r="A665" s="195"/>
      <c r="B665" s="321"/>
      <c r="C665" s="105"/>
      <c r="D665" s="105"/>
      <c r="E665" s="105"/>
      <c r="F665" s="105"/>
      <c r="G665" s="105"/>
      <c r="H665" s="105"/>
      <c r="I665" s="106"/>
      <c r="J665" s="106"/>
      <c r="K665" s="106"/>
      <c r="L665" s="106"/>
      <c r="M665" s="106"/>
      <c r="N665" s="105"/>
      <c r="O665" s="105"/>
      <c r="P665" s="105"/>
      <c r="Q665" s="105"/>
      <c r="R665" s="105"/>
      <c r="S665" s="105"/>
    </row>
    <row r="666">
      <c r="A666" s="195"/>
      <c r="B666" s="321"/>
      <c r="C666" s="105"/>
      <c r="D666" s="105"/>
      <c r="E666" s="105"/>
      <c r="F666" s="105"/>
      <c r="G666" s="105"/>
      <c r="H666" s="105"/>
      <c r="I666" s="106"/>
      <c r="J666" s="106"/>
      <c r="K666" s="106"/>
      <c r="L666" s="106"/>
      <c r="M666" s="106"/>
      <c r="N666" s="105"/>
      <c r="O666" s="105"/>
      <c r="P666" s="105"/>
      <c r="Q666" s="105"/>
      <c r="R666" s="105"/>
      <c r="S666" s="105"/>
    </row>
    <row r="667">
      <c r="A667" s="195"/>
      <c r="B667" s="321"/>
      <c r="C667" s="105"/>
      <c r="D667" s="105"/>
      <c r="E667" s="105"/>
      <c r="F667" s="105"/>
      <c r="G667" s="105"/>
      <c r="H667" s="105"/>
      <c r="I667" s="106"/>
      <c r="J667" s="106"/>
      <c r="K667" s="106"/>
      <c r="L667" s="106"/>
      <c r="M667" s="106"/>
      <c r="N667" s="105"/>
      <c r="O667" s="105"/>
      <c r="P667" s="105"/>
      <c r="Q667" s="105"/>
      <c r="R667" s="105"/>
      <c r="S667" s="105"/>
    </row>
    <row r="668">
      <c r="A668" s="195"/>
      <c r="B668" s="321"/>
      <c r="C668" s="105"/>
      <c r="D668" s="105"/>
      <c r="E668" s="105"/>
      <c r="F668" s="105"/>
      <c r="G668" s="105"/>
      <c r="H668" s="105"/>
      <c r="I668" s="106"/>
      <c r="J668" s="106"/>
      <c r="K668" s="106"/>
      <c r="L668" s="106"/>
      <c r="M668" s="106"/>
      <c r="N668" s="105"/>
      <c r="O668" s="105"/>
      <c r="P668" s="105"/>
      <c r="Q668" s="105"/>
      <c r="R668" s="105"/>
      <c r="S668" s="105"/>
    </row>
    <row r="669">
      <c r="A669" s="195"/>
      <c r="B669" s="321"/>
      <c r="C669" s="105"/>
      <c r="D669" s="105"/>
      <c r="E669" s="105"/>
      <c r="F669" s="105"/>
      <c r="G669" s="105"/>
      <c r="H669" s="105"/>
      <c r="I669" s="106"/>
      <c r="J669" s="106"/>
      <c r="K669" s="106"/>
      <c r="L669" s="106"/>
      <c r="M669" s="106"/>
      <c r="N669" s="105"/>
      <c r="O669" s="105"/>
      <c r="P669" s="105"/>
      <c r="Q669" s="105"/>
      <c r="R669" s="105"/>
      <c r="S669" s="105"/>
    </row>
    <row r="670">
      <c r="A670" s="195"/>
      <c r="B670" s="321"/>
      <c r="C670" s="105"/>
      <c r="D670" s="105"/>
      <c r="E670" s="105"/>
      <c r="F670" s="105"/>
      <c r="G670" s="105"/>
      <c r="H670" s="105"/>
      <c r="I670" s="106"/>
      <c r="J670" s="106"/>
      <c r="K670" s="106"/>
      <c r="L670" s="106"/>
      <c r="M670" s="106"/>
      <c r="N670" s="105"/>
      <c r="O670" s="105"/>
      <c r="P670" s="105"/>
      <c r="Q670" s="105"/>
      <c r="R670" s="105"/>
      <c r="S670" s="105"/>
    </row>
    <row r="671">
      <c r="A671" s="195"/>
      <c r="B671" s="321"/>
      <c r="C671" s="105"/>
      <c r="D671" s="105"/>
      <c r="E671" s="105"/>
      <c r="F671" s="105"/>
      <c r="G671" s="105"/>
      <c r="H671" s="105"/>
      <c r="I671" s="106"/>
      <c r="J671" s="106"/>
      <c r="K671" s="106"/>
      <c r="L671" s="106"/>
      <c r="M671" s="106"/>
      <c r="N671" s="105"/>
      <c r="O671" s="105"/>
      <c r="P671" s="105"/>
      <c r="Q671" s="105"/>
      <c r="R671" s="105"/>
      <c r="S671" s="105"/>
    </row>
    <row r="672">
      <c r="A672" s="195"/>
      <c r="B672" s="321"/>
      <c r="C672" s="105"/>
      <c r="D672" s="105"/>
      <c r="E672" s="105"/>
      <c r="F672" s="105"/>
      <c r="G672" s="105"/>
      <c r="H672" s="105"/>
      <c r="I672" s="106"/>
      <c r="J672" s="106"/>
      <c r="K672" s="106"/>
      <c r="L672" s="106"/>
      <c r="M672" s="106"/>
      <c r="N672" s="105"/>
      <c r="O672" s="105"/>
      <c r="P672" s="105"/>
      <c r="Q672" s="105"/>
      <c r="R672" s="105"/>
      <c r="S672" s="105"/>
    </row>
    <row r="673">
      <c r="A673" s="195"/>
      <c r="B673" s="321"/>
      <c r="C673" s="105"/>
      <c r="D673" s="105"/>
      <c r="E673" s="105"/>
      <c r="F673" s="105"/>
      <c r="G673" s="105"/>
      <c r="H673" s="105"/>
      <c r="I673" s="106"/>
      <c r="J673" s="106"/>
      <c r="K673" s="106"/>
      <c r="L673" s="106"/>
      <c r="M673" s="106"/>
      <c r="N673" s="105"/>
      <c r="O673" s="105"/>
      <c r="P673" s="105"/>
      <c r="Q673" s="105"/>
      <c r="R673" s="105"/>
      <c r="S673" s="105"/>
    </row>
    <row r="674">
      <c r="A674" s="195"/>
      <c r="B674" s="321"/>
      <c r="C674" s="105"/>
      <c r="D674" s="105"/>
      <c r="E674" s="105"/>
      <c r="F674" s="105"/>
      <c r="G674" s="105"/>
      <c r="H674" s="105"/>
      <c r="I674" s="106"/>
      <c r="J674" s="106"/>
      <c r="K674" s="106"/>
      <c r="L674" s="106"/>
      <c r="M674" s="106"/>
      <c r="N674" s="105"/>
      <c r="O674" s="105"/>
      <c r="P674" s="105"/>
      <c r="Q674" s="105"/>
      <c r="R674" s="105"/>
      <c r="S674" s="105"/>
    </row>
    <row r="675">
      <c r="A675" s="195"/>
      <c r="B675" s="321"/>
      <c r="C675" s="105"/>
      <c r="D675" s="105"/>
      <c r="E675" s="105"/>
      <c r="F675" s="105"/>
      <c r="G675" s="105"/>
      <c r="H675" s="105"/>
      <c r="I675" s="106"/>
      <c r="J675" s="106"/>
      <c r="K675" s="106"/>
      <c r="L675" s="106"/>
      <c r="M675" s="106"/>
      <c r="N675" s="105"/>
      <c r="O675" s="105"/>
      <c r="P675" s="105"/>
      <c r="Q675" s="105"/>
      <c r="R675" s="105"/>
      <c r="S675" s="105"/>
    </row>
    <row r="676">
      <c r="A676" s="195"/>
      <c r="B676" s="321"/>
      <c r="C676" s="105"/>
      <c r="D676" s="105"/>
      <c r="E676" s="105"/>
      <c r="F676" s="105"/>
      <c r="G676" s="105"/>
      <c r="H676" s="105"/>
      <c r="I676" s="106"/>
      <c r="J676" s="106"/>
      <c r="K676" s="106"/>
      <c r="L676" s="106"/>
      <c r="M676" s="106"/>
      <c r="N676" s="105"/>
      <c r="O676" s="105"/>
      <c r="P676" s="105"/>
      <c r="Q676" s="105"/>
      <c r="R676" s="105"/>
      <c r="S676" s="105"/>
    </row>
    <row r="677">
      <c r="A677" s="195"/>
      <c r="B677" s="321"/>
      <c r="C677" s="105"/>
      <c r="D677" s="105"/>
      <c r="E677" s="105"/>
      <c r="F677" s="105"/>
      <c r="G677" s="105"/>
      <c r="H677" s="105"/>
      <c r="I677" s="106"/>
      <c r="J677" s="106"/>
      <c r="K677" s="106"/>
      <c r="L677" s="106"/>
      <c r="M677" s="106"/>
      <c r="N677" s="105"/>
      <c r="O677" s="105"/>
      <c r="P677" s="105"/>
      <c r="Q677" s="105"/>
      <c r="R677" s="105"/>
      <c r="S677" s="105"/>
    </row>
    <row r="678">
      <c r="A678" s="195"/>
      <c r="B678" s="321"/>
      <c r="C678" s="105"/>
      <c r="D678" s="105"/>
      <c r="E678" s="105"/>
      <c r="F678" s="105"/>
      <c r="G678" s="105"/>
      <c r="H678" s="105"/>
      <c r="I678" s="106"/>
      <c r="J678" s="106"/>
      <c r="K678" s="106"/>
      <c r="L678" s="106"/>
      <c r="M678" s="106"/>
      <c r="N678" s="105"/>
      <c r="O678" s="105"/>
      <c r="P678" s="105"/>
      <c r="Q678" s="105"/>
      <c r="R678" s="105"/>
      <c r="S678" s="105"/>
    </row>
    <row r="679">
      <c r="A679" s="195"/>
      <c r="B679" s="321"/>
      <c r="C679" s="105"/>
      <c r="D679" s="105"/>
      <c r="E679" s="105"/>
      <c r="F679" s="105"/>
      <c r="G679" s="105"/>
      <c r="H679" s="105"/>
      <c r="I679" s="106"/>
      <c r="J679" s="106"/>
      <c r="K679" s="106"/>
      <c r="L679" s="106"/>
      <c r="M679" s="106"/>
      <c r="N679" s="105"/>
      <c r="O679" s="105"/>
      <c r="P679" s="105"/>
      <c r="Q679" s="105"/>
      <c r="R679" s="105"/>
      <c r="S679" s="105"/>
    </row>
    <row r="680">
      <c r="A680" s="195"/>
      <c r="B680" s="321"/>
      <c r="C680" s="105"/>
      <c r="D680" s="105"/>
      <c r="E680" s="105"/>
      <c r="F680" s="105"/>
      <c r="G680" s="105"/>
      <c r="H680" s="105"/>
      <c r="I680" s="106"/>
      <c r="J680" s="106"/>
      <c r="K680" s="106"/>
      <c r="L680" s="106"/>
      <c r="M680" s="106"/>
      <c r="N680" s="105"/>
      <c r="O680" s="105"/>
      <c r="P680" s="105"/>
      <c r="Q680" s="105"/>
      <c r="R680" s="105"/>
      <c r="S680" s="105"/>
    </row>
    <row r="681">
      <c r="A681" s="195"/>
      <c r="B681" s="321"/>
      <c r="C681" s="105"/>
      <c r="D681" s="105"/>
      <c r="E681" s="105"/>
      <c r="F681" s="105"/>
      <c r="G681" s="105"/>
      <c r="H681" s="105"/>
      <c r="I681" s="106"/>
      <c r="J681" s="106"/>
      <c r="K681" s="106"/>
      <c r="L681" s="106"/>
      <c r="M681" s="106"/>
      <c r="N681" s="105"/>
      <c r="O681" s="105"/>
      <c r="P681" s="105"/>
      <c r="Q681" s="105"/>
      <c r="R681" s="105"/>
      <c r="S681" s="105"/>
    </row>
    <row r="682">
      <c r="A682" s="195"/>
      <c r="B682" s="321"/>
      <c r="C682" s="105"/>
      <c r="D682" s="105"/>
      <c r="E682" s="105"/>
      <c r="F682" s="105"/>
      <c r="G682" s="105"/>
      <c r="H682" s="105"/>
      <c r="I682" s="106"/>
      <c r="J682" s="106"/>
      <c r="K682" s="106"/>
      <c r="L682" s="106"/>
      <c r="M682" s="106"/>
      <c r="N682" s="105"/>
      <c r="O682" s="105"/>
      <c r="P682" s="105"/>
      <c r="Q682" s="105"/>
      <c r="R682" s="105"/>
      <c r="S682" s="105"/>
    </row>
    <row r="683">
      <c r="A683" s="195"/>
      <c r="B683" s="321"/>
      <c r="C683" s="105"/>
      <c r="D683" s="105"/>
      <c r="E683" s="105"/>
      <c r="F683" s="105"/>
      <c r="G683" s="105"/>
      <c r="H683" s="105"/>
      <c r="I683" s="106"/>
      <c r="J683" s="106"/>
      <c r="K683" s="106"/>
      <c r="L683" s="106"/>
      <c r="M683" s="106"/>
      <c r="N683" s="105"/>
      <c r="O683" s="105"/>
      <c r="P683" s="105"/>
      <c r="Q683" s="105"/>
      <c r="R683" s="105"/>
      <c r="S683" s="105"/>
    </row>
    <row r="684">
      <c r="A684" s="195"/>
      <c r="B684" s="321"/>
      <c r="C684" s="105"/>
      <c r="D684" s="105"/>
      <c r="E684" s="105"/>
      <c r="F684" s="105"/>
      <c r="G684" s="105"/>
      <c r="H684" s="105"/>
      <c r="I684" s="106"/>
      <c r="J684" s="106"/>
      <c r="K684" s="106"/>
      <c r="L684" s="106"/>
      <c r="M684" s="106"/>
      <c r="N684" s="105"/>
      <c r="O684" s="105"/>
      <c r="P684" s="105"/>
      <c r="Q684" s="105"/>
      <c r="R684" s="105"/>
      <c r="S684" s="105"/>
    </row>
    <row r="685">
      <c r="A685" s="195"/>
      <c r="B685" s="321"/>
      <c r="C685" s="105"/>
      <c r="D685" s="105"/>
      <c r="E685" s="105"/>
      <c r="F685" s="105"/>
      <c r="G685" s="105"/>
      <c r="H685" s="105"/>
      <c r="I685" s="106"/>
      <c r="J685" s="106"/>
      <c r="K685" s="106"/>
      <c r="L685" s="106"/>
      <c r="M685" s="106"/>
      <c r="N685" s="105"/>
      <c r="O685" s="105"/>
      <c r="P685" s="105"/>
      <c r="Q685" s="105"/>
      <c r="R685" s="105"/>
      <c r="S685" s="105"/>
    </row>
    <row r="686">
      <c r="A686" s="195"/>
      <c r="B686" s="321"/>
      <c r="C686" s="105"/>
      <c r="D686" s="105"/>
      <c r="E686" s="105"/>
      <c r="F686" s="105"/>
      <c r="G686" s="105"/>
      <c r="H686" s="105"/>
      <c r="I686" s="106"/>
      <c r="J686" s="106"/>
      <c r="K686" s="106"/>
      <c r="L686" s="106"/>
      <c r="M686" s="106"/>
      <c r="N686" s="105"/>
      <c r="O686" s="105"/>
      <c r="P686" s="105"/>
      <c r="Q686" s="105"/>
      <c r="R686" s="105"/>
      <c r="S686" s="105"/>
    </row>
    <row r="687">
      <c r="A687" s="195"/>
      <c r="B687" s="321"/>
      <c r="C687" s="105"/>
      <c r="D687" s="105"/>
      <c r="E687" s="105"/>
      <c r="F687" s="105"/>
      <c r="G687" s="105"/>
      <c r="H687" s="105"/>
      <c r="I687" s="106"/>
      <c r="J687" s="106"/>
      <c r="K687" s="106"/>
      <c r="L687" s="106"/>
      <c r="M687" s="106"/>
      <c r="N687" s="105"/>
      <c r="O687" s="105"/>
      <c r="P687" s="105"/>
      <c r="Q687" s="105"/>
      <c r="R687" s="105"/>
      <c r="S687" s="105"/>
    </row>
    <row r="688">
      <c r="A688" s="195"/>
      <c r="B688" s="321"/>
      <c r="C688" s="105"/>
      <c r="D688" s="105"/>
      <c r="E688" s="105"/>
      <c r="F688" s="105"/>
      <c r="G688" s="105"/>
      <c r="H688" s="105"/>
      <c r="I688" s="106"/>
      <c r="J688" s="106"/>
      <c r="K688" s="106"/>
      <c r="L688" s="106"/>
      <c r="M688" s="106"/>
      <c r="N688" s="105"/>
      <c r="O688" s="105"/>
      <c r="P688" s="105"/>
      <c r="Q688" s="105"/>
      <c r="R688" s="105"/>
      <c r="S688" s="105"/>
    </row>
    <row r="689">
      <c r="A689" s="195"/>
      <c r="B689" s="321"/>
      <c r="C689" s="105"/>
      <c r="D689" s="105"/>
      <c r="E689" s="105"/>
      <c r="F689" s="105"/>
      <c r="G689" s="105"/>
      <c r="H689" s="105"/>
      <c r="I689" s="106"/>
      <c r="J689" s="106"/>
      <c r="K689" s="106"/>
      <c r="L689" s="106"/>
      <c r="M689" s="106"/>
      <c r="N689" s="105"/>
      <c r="O689" s="105"/>
      <c r="P689" s="105"/>
      <c r="Q689" s="105"/>
      <c r="R689" s="105"/>
      <c r="S689" s="105"/>
    </row>
    <row r="690">
      <c r="A690" s="195"/>
      <c r="B690" s="321"/>
      <c r="C690" s="105"/>
      <c r="D690" s="105"/>
      <c r="E690" s="105"/>
      <c r="F690" s="105"/>
      <c r="G690" s="105"/>
      <c r="H690" s="105"/>
      <c r="I690" s="106"/>
      <c r="J690" s="106"/>
      <c r="K690" s="106"/>
      <c r="L690" s="106"/>
      <c r="M690" s="106"/>
      <c r="N690" s="105"/>
      <c r="O690" s="105"/>
      <c r="P690" s="105"/>
      <c r="Q690" s="105"/>
      <c r="R690" s="105"/>
      <c r="S690" s="105"/>
    </row>
    <row r="691">
      <c r="A691" s="195"/>
      <c r="B691" s="321"/>
      <c r="C691" s="105"/>
      <c r="D691" s="105"/>
      <c r="E691" s="105"/>
      <c r="F691" s="105"/>
      <c r="G691" s="105"/>
      <c r="H691" s="105"/>
      <c r="I691" s="106"/>
      <c r="J691" s="106"/>
      <c r="K691" s="106"/>
      <c r="L691" s="106"/>
      <c r="M691" s="106"/>
      <c r="N691" s="105"/>
      <c r="O691" s="105"/>
      <c r="P691" s="105"/>
      <c r="Q691" s="105"/>
      <c r="R691" s="105"/>
      <c r="S691" s="105"/>
    </row>
    <row r="692">
      <c r="A692" s="195"/>
      <c r="B692" s="321"/>
      <c r="C692" s="105"/>
      <c r="D692" s="105"/>
      <c r="E692" s="105"/>
      <c r="F692" s="105"/>
      <c r="G692" s="105"/>
      <c r="H692" s="105"/>
      <c r="I692" s="106"/>
      <c r="J692" s="106"/>
      <c r="K692" s="106"/>
      <c r="L692" s="106"/>
      <c r="M692" s="106"/>
      <c r="N692" s="105"/>
      <c r="O692" s="105"/>
      <c r="P692" s="105"/>
      <c r="Q692" s="105"/>
      <c r="R692" s="105"/>
      <c r="S692" s="105"/>
    </row>
    <row r="693">
      <c r="A693" s="195"/>
      <c r="B693" s="321"/>
      <c r="C693" s="105"/>
      <c r="D693" s="105"/>
      <c r="E693" s="105"/>
      <c r="F693" s="105"/>
      <c r="G693" s="105"/>
      <c r="H693" s="105"/>
      <c r="I693" s="106"/>
      <c r="J693" s="106"/>
      <c r="K693" s="106"/>
      <c r="L693" s="106"/>
      <c r="M693" s="106"/>
      <c r="N693" s="105"/>
      <c r="O693" s="105"/>
      <c r="P693" s="105"/>
      <c r="Q693" s="105"/>
      <c r="R693" s="105"/>
      <c r="S693" s="105"/>
    </row>
    <row r="694">
      <c r="A694" s="195"/>
      <c r="B694" s="321"/>
      <c r="C694" s="105"/>
      <c r="D694" s="105"/>
      <c r="E694" s="105"/>
      <c r="F694" s="105"/>
      <c r="G694" s="105"/>
      <c r="H694" s="105"/>
      <c r="I694" s="106"/>
      <c r="J694" s="106"/>
      <c r="K694" s="106"/>
      <c r="L694" s="106"/>
      <c r="M694" s="106"/>
      <c r="N694" s="105"/>
      <c r="O694" s="105"/>
      <c r="P694" s="105"/>
      <c r="Q694" s="105"/>
      <c r="R694" s="105"/>
      <c r="S694" s="105"/>
    </row>
    <row r="695">
      <c r="A695" s="195"/>
      <c r="B695" s="321"/>
      <c r="C695" s="105"/>
      <c r="D695" s="105"/>
      <c r="E695" s="105"/>
      <c r="F695" s="105"/>
      <c r="G695" s="105"/>
      <c r="H695" s="105"/>
      <c r="I695" s="106"/>
      <c r="J695" s="106"/>
      <c r="K695" s="106"/>
      <c r="L695" s="106"/>
      <c r="M695" s="106"/>
      <c r="N695" s="105"/>
      <c r="O695" s="105"/>
      <c r="P695" s="105"/>
      <c r="Q695" s="105"/>
      <c r="R695" s="105"/>
      <c r="S695" s="105"/>
    </row>
    <row r="696">
      <c r="A696" s="195"/>
      <c r="B696" s="321"/>
      <c r="C696" s="105"/>
      <c r="D696" s="105"/>
      <c r="E696" s="105"/>
      <c r="F696" s="105"/>
      <c r="G696" s="105"/>
      <c r="H696" s="105"/>
      <c r="I696" s="106"/>
      <c r="J696" s="106"/>
      <c r="K696" s="106"/>
      <c r="L696" s="106"/>
      <c r="M696" s="106"/>
      <c r="N696" s="105"/>
      <c r="O696" s="105"/>
      <c r="P696" s="105"/>
      <c r="Q696" s="105"/>
      <c r="R696" s="105"/>
      <c r="S696" s="105"/>
    </row>
    <row r="697">
      <c r="A697" s="195"/>
      <c r="B697" s="321"/>
      <c r="C697" s="105"/>
      <c r="D697" s="105"/>
      <c r="E697" s="105"/>
      <c r="F697" s="105"/>
      <c r="G697" s="105"/>
      <c r="H697" s="105"/>
      <c r="I697" s="106"/>
      <c r="J697" s="106"/>
      <c r="K697" s="106"/>
      <c r="L697" s="106"/>
      <c r="M697" s="106"/>
      <c r="N697" s="105"/>
      <c r="O697" s="105"/>
      <c r="P697" s="105"/>
      <c r="Q697" s="105"/>
      <c r="R697" s="105"/>
      <c r="S697" s="105"/>
    </row>
    <row r="698">
      <c r="A698" s="195"/>
      <c r="B698" s="321"/>
      <c r="C698" s="105"/>
      <c r="D698" s="105"/>
      <c r="E698" s="105"/>
      <c r="F698" s="105"/>
      <c r="G698" s="105"/>
      <c r="H698" s="105"/>
      <c r="I698" s="106"/>
      <c r="J698" s="106"/>
      <c r="K698" s="106"/>
      <c r="L698" s="106"/>
      <c r="M698" s="106"/>
      <c r="N698" s="105"/>
      <c r="O698" s="105"/>
      <c r="P698" s="105"/>
      <c r="Q698" s="105"/>
      <c r="R698" s="105"/>
      <c r="S698" s="105"/>
    </row>
    <row r="699">
      <c r="A699" s="195"/>
      <c r="B699" s="321"/>
      <c r="C699" s="105"/>
      <c r="D699" s="105"/>
      <c r="E699" s="105"/>
      <c r="F699" s="105"/>
      <c r="G699" s="105"/>
      <c r="H699" s="105"/>
      <c r="I699" s="106"/>
      <c r="J699" s="106"/>
      <c r="K699" s="106"/>
      <c r="L699" s="106"/>
      <c r="M699" s="106"/>
      <c r="N699" s="105"/>
      <c r="O699" s="105"/>
      <c r="P699" s="105"/>
      <c r="Q699" s="105"/>
      <c r="R699" s="105"/>
      <c r="S699" s="105"/>
    </row>
    <row r="700">
      <c r="A700" s="195"/>
      <c r="B700" s="321"/>
      <c r="C700" s="105"/>
      <c r="D700" s="105"/>
      <c r="E700" s="105"/>
      <c r="F700" s="105"/>
      <c r="G700" s="105"/>
      <c r="H700" s="105"/>
      <c r="I700" s="106"/>
      <c r="J700" s="106"/>
      <c r="K700" s="106"/>
      <c r="L700" s="106"/>
      <c r="M700" s="106"/>
      <c r="N700" s="105"/>
      <c r="O700" s="105"/>
      <c r="P700" s="105"/>
      <c r="Q700" s="105"/>
      <c r="R700" s="105"/>
      <c r="S700" s="105"/>
    </row>
    <row r="701">
      <c r="A701" s="195"/>
      <c r="B701" s="321"/>
      <c r="C701" s="105"/>
      <c r="D701" s="105"/>
      <c r="E701" s="105"/>
      <c r="F701" s="105"/>
      <c r="G701" s="105"/>
      <c r="H701" s="105"/>
      <c r="I701" s="106"/>
      <c r="J701" s="106"/>
      <c r="K701" s="106"/>
      <c r="L701" s="106"/>
      <c r="M701" s="106"/>
      <c r="N701" s="105"/>
      <c r="O701" s="105"/>
      <c r="P701" s="105"/>
      <c r="Q701" s="105"/>
      <c r="R701" s="105"/>
      <c r="S701" s="105"/>
    </row>
    <row r="702">
      <c r="A702" s="195"/>
      <c r="B702" s="321"/>
      <c r="C702" s="105"/>
      <c r="D702" s="105"/>
      <c r="E702" s="105"/>
      <c r="F702" s="105"/>
      <c r="G702" s="105"/>
      <c r="H702" s="105"/>
      <c r="I702" s="106"/>
      <c r="J702" s="106"/>
      <c r="K702" s="106"/>
      <c r="L702" s="106"/>
      <c r="M702" s="106"/>
      <c r="N702" s="105"/>
      <c r="O702" s="105"/>
      <c r="P702" s="105"/>
      <c r="Q702" s="105"/>
      <c r="R702" s="105"/>
      <c r="S702" s="105"/>
    </row>
    <row r="703">
      <c r="A703" s="195"/>
      <c r="B703" s="321"/>
      <c r="C703" s="105"/>
      <c r="D703" s="105"/>
      <c r="E703" s="105"/>
      <c r="F703" s="105"/>
      <c r="G703" s="105"/>
      <c r="H703" s="105"/>
      <c r="I703" s="106"/>
      <c r="J703" s="106"/>
      <c r="K703" s="106"/>
      <c r="L703" s="106"/>
      <c r="M703" s="106"/>
      <c r="N703" s="105"/>
      <c r="O703" s="105"/>
      <c r="P703" s="105"/>
      <c r="Q703" s="105"/>
      <c r="R703" s="105"/>
      <c r="S703" s="105"/>
    </row>
    <row r="704">
      <c r="A704" s="195"/>
      <c r="B704" s="321"/>
      <c r="C704" s="105"/>
      <c r="D704" s="105"/>
      <c r="E704" s="105"/>
      <c r="F704" s="105"/>
      <c r="G704" s="105"/>
      <c r="H704" s="105"/>
      <c r="I704" s="106"/>
      <c r="J704" s="106"/>
      <c r="K704" s="106"/>
      <c r="L704" s="106"/>
      <c r="M704" s="106"/>
      <c r="N704" s="105"/>
      <c r="O704" s="105"/>
      <c r="P704" s="105"/>
      <c r="Q704" s="105"/>
      <c r="R704" s="105"/>
      <c r="S704" s="105"/>
    </row>
    <row r="705">
      <c r="A705" s="195"/>
      <c r="B705" s="321"/>
      <c r="C705" s="105"/>
      <c r="D705" s="105"/>
      <c r="E705" s="105"/>
      <c r="F705" s="105"/>
      <c r="G705" s="105"/>
      <c r="H705" s="105"/>
      <c r="I705" s="106"/>
      <c r="J705" s="106"/>
      <c r="K705" s="106"/>
      <c r="L705" s="106"/>
      <c r="M705" s="106"/>
      <c r="N705" s="105"/>
      <c r="O705" s="105"/>
      <c r="P705" s="105"/>
      <c r="Q705" s="105"/>
      <c r="R705" s="105"/>
      <c r="S705" s="105"/>
    </row>
    <row r="706">
      <c r="A706" s="195"/>
      <c r="B706" s="321"/>
      <c r="C706" s="105"/>
      <c r="D706" s="105"/>
      <c r="E706" s="105"/>
      <c r="F706" s="105"/>
      <c r="G706" s="105"/>
      <c r="H706" s="105"/>
      <c r="I706" s="106"/>
      <c r="J706" s="106"/>
      <c r="K706" s="106"/>
      <c r="L706" s="106"/>
      <c r="M706" s="106"/>
      <c r="N706" s="105"/>
      <c r="O706" s="105"/>
      <c r="P706" s="105"/>
      <c r="Q706" s="105"/>
      <c r="R706" s="105"/>
      <c r="S706" s="105"/>
    </row>
    <row r="707">
      <c r="A707" s="195"/>
      <c r="B707" s="321"/>
      <c r="C707" s="105"/>
      <c r="D707" s="105"/>
      <c r="E707" s="105"/>
      <c r="F707" s="105"/>
      <c r="G707" s="105"/>
      <c r="H707" s="105"/>
      <c r="I707" s="106"/>
      <c r="J707" s="106"/>
      <c r="K707" s="106"/>
      <c r="L707" s="106"/>
      <c r="M707" s="106"/>
      <c r="N707" s="105"/>
      <c r="O707" s="105"/>
      <c r="P707" s="105"/>
      <c r="Q707" s="105"/>
      <c r="R707" s="105"/>
      <c r="S707" s="105"/>
    </row>
    <row r="708">
      <c r="A708" s="195"/>
      <c r="B708" s="321"/>
      <c r="C708" s="105"/>
      <c r="D708" s="105"/>
      <c r="E708" s="105"/>
      <c r="F708" s="105"/>
      <c r="G708" s="105"/>
      <c r="H708" s="105"/>
      <c r="I708" s="106"/>
      <c r="J708" s="106"/>
      <c r="K708" s="106"/>
      <c r="L708" s="106"/>
      <c r="M708" s="106"/>
      <c r="N708" s="105"/>
      <c r="O708" s="105"/>
      <c r="P708" s="105"/>
      <c r="Q708" s="105"/>
      <c r="R708" s="105"/>
      <c r="S708" s="105"/>
    </row>
    <row r="709">
      <c r="A709" s="195"/>
      <c r="B709" s="321"/>
      <c r="C709" s="105"/>
      <c r="D709" s="105"/>
      <c r="E709" s="105"/>
      <c r="F709" s="105"/>
      <c r="G709" s="105"/>
      <c r="H709" s="105"/>
      <c r="I709" s="106"/>
      <c r="J709" s="106"/>
      <c r="K709" s="106"/>
      <c r="L709" s="106"/>
      <c r="M709" s="106"/>
      <c r="N709" s="105"/>
      <c r="O709" s="105"/>
      <c r="P709" s="105"/>
      <c r="Q709" s="105"/>
      <c r="R709" s="105"/>
      <c r="S709" s="105"/>
    </row>
    <row r="710">
      <c r="A710" s="195"/>
      <c r="B710" s="321"/>
      <c r="C710" s="105"/>
      <c r="D710" s="105"/>
      <c r="E710" s="105"/>
      <c r="F710" s="105"/>
      <c r="G710" s="105"/>
      <c r="H710" s="105"/>
      <c r="I710" s="106"/>
      <c r="J710" s="106"/>
      <c r="K710" s="106"/>
      <c r="L710" s="106"/>
      <c r="M710" s="106"/>
      <c r="N710" s="105"/>
      <c r="O710" s="105"/>
      <c r="P710" s="105"/>
      <c r="Q710" s="105"/>
      <c r="R710" s="105"/>
      <c r="S710" s="105"/>
    </row>
    <row r="711">
      <c r="A711" s="195"/>
      <c r="B711" s="321"/>
      <c r="C711" s="105"/>
      <c r="D711" s="105"/>
      <c r="E711" s="105"/>
      <c r="F711" s="105"/>
      <c r="G711" s="105"/>
      <c r="H711" s="105"/>
      <c r="I711" s="106"/>
      <c r="J711" s="106"/>
      <c r="K711" s="106"/>
      <c r="L711" s="106"/>
      <c r="M711" s="106"/>
      <c r="N711" s="105"/>
      <c r="O711" s="105"/>
      <c r="P711" s="105"/>
      <c r="Q711" s="105"/>
      <c r="R711" s="105"/>
      <c r="S711" s="105"/>
    </row>
    <row r="712">
      <c r="A712" s="195"/>
      <c r="B712" s="321"/>
      <c r="C712" s="105"/>
      <c r="D712" s="105"/>
      <c r="E712" s="105"/>
      <c r="F712" s="105"/>
      <c r="G712" s="105"/>
      <c r="H712" s="105"/>
      <c r="I712" s="106"/>
      <c r="J712" s="106"/>
      <c r="K712" s="106"/>
      <c r="L712" s="106"/>
      <c r="M712" s="106"/>
      <c r="N712" s="105"/>
      <c r="O712" s="105"/>
      <c r="P712" s="105"/>
      <c r="Q712" s="105"/>
      <c r="R712" s="105"/>
      <c r="S712" s="105"/>
    </row>
    <row r="713">
      <c r="A713" s="195"/>
      <c r="B713" s="321"/>
      <c r="C713" s="105"/>
      <c r="D713" s="105"/>
      <c r="E713" s="105"/>
      <c r="F713" s="105"/>
      <c r="G713" s="105"/>
      <c r="H713" s="105"/>
      <c r="I713" s="106"/>
      <c r="J713" s="106"/>
      <c r="K713" s="106"/>
      <c r="L713" s="106"/>
      <c r="M713" s="106"/>
      <c r="N713" s="105"/>
      <c r="O713" s="105"/>
      <c r="P713" s="105"/>
      <c r="Q713" s="105"/>
      <c r="R713" s="105"/>
      <c r="S713" s="105"/>
    </row>
    <row r="714">
      <c r="A714" s="195"/>
      <c r="B714" s="321"/>
      <c r="C714" s="105"/>
      <c r="D714" s="105"/>
      <c r="E714" s="105"/>
      <c r="F714" s="105"/>
      <c r="G714" s="105"/>
      <c r="H714" s="105"/>
      <c r="I714" s="106"/>
      <c r="J714" s="106"/>
      <c r="K714" s="106"/>
      <c r="L714" s="106"/>
      <c r="M714" s="106"/>
      <c r="N714" s="105"/>
      <c r="O714" s="105"/>
      <c r="P714" s="105"/>
      <c r="Q714" s="105"/>
      <c r="R714" s="105"/>
      <c r="S714" s="105"/>
    </row>
    <row r="715">
      <c r="A715" s="195"/>
      <c r="B715" s="321"/>
      <c r="C715" s="105"/>
      <c r="D715" s="105"/>
      <c r="E715" s="105"/>
      <c r="F715" s="105"/>
      <c r="G715" s="105"/>
      <c r="H715" s="105"/>
      <c r="I715" s="106"/>
      <c r="J715" s="106"/>
      <c r="K715" s="106"/>
      <c r="L715" s="106"/>
      <c r="M715" s="106"/>
      <c r="N715" s="105"/>
      <c r="O715" s="105"/>
      <c r="P715" s="105"/>
      <c r="Q715" s="105"/>
      <c r="R715" s="105"/>
      <c r="S715" s="105"/>
    </row>
    <row r="716">
      <c r="A716" s="195"/>
      <c r="B716" s="321"/>
      <c r="C716" s="105"/>
      <c r="D716" s="105"/>
      <c r="E716" s="105"/>
      <c r="F716" s="105"/>
      <c r="G716" s="105"/>
      <c r="H716" s="105"/>
      <c r="I716" s="106"/>
      <c r="J716" s="106"/>
      <c r="K716" s="106"/>
      <c r="L716" s="106"/>
      <c r="M716" s="106"/>
      <c r="N716" s="105"/>
      <c r="O716" s="105"/>
      <c r="P716" s="105"/>
      <c r="Q716" s="105"/>
      <c r="R716" s="105"/>
      <c r="S716" s="105"/>
    </row>
    <row r="717">
      <c r="A717" s="195"/>
      <c r="B717" s="321"/>
      <c r="C717" s="105"/>
      <c r="D717" s="105"/>
      <c r="E717" s="105"/>
      <c r="F717" s="105"/>
      <c r="G717" s="105"/>
      <c r="H717" s="105"/>
      <c r="I717" s="106"/>
      <c r="J717" s="106"/>
      <c r="K717" s="106"/>
      <c r="L717" s="106"/>
      <c r="M717" s="106"/>
      <c r="N717" s="105"/>
      <c r="O717" s="105"/>
      <c r="P717" s="105"/>
      <c r="Q717" s="105"/>
      <c r="R717" s="105"/>
      <c r="S717" s="105"/>
    </row>
    <row r="718">
      <c r="A718" s="195"/>
      <c r="B718" s="321"/>
      <c r="C718" s="105"/>
      <c r="D718" s="105"/>
      <c r="E718" s="105"/>
      <c r="F718" s="105"/>
      <c r="G718" s="105"/>
      <c r="H718" s="105"/>
      <c r="I718" s="106"/>
      <c r="J718" s="106"/>
      <c r="K718" s="106"/>
      <c r="L718" s="106"/>
      <c r="M718" s="106"/>
      <c r="N718" s="105"/>
      <c r="O718" s="105"/>
      <c r="P718" s="105"/>
      <c r="Q718" s="105"/>
      <c r="R718" s="105"/>
      <c r="S718" s="105"/>
    </row>
    <row r="719">
      <c r="A719" s="195"/>
      <c r="B719" s="321"/>
      <c r="C719" s="105"/>
      <c r="D719" s="105"/>
      <c r="E719" s="105"/>
      <c r="F719" s="105"/>
      <c r="G719" s="105"/>
      <c r="H719" s="105"/>
      <c r="I719" s="106"/>
      <c r="J719" s="106"/>
      <c r="K719" s="106"/>
      <c r="L719" s="106"/>
      <c r="M719" s="106"/>
      <c r="N719" s="105"/>
      <c r="O719" s="105"/>
      <c r="P719" s="105"/>
      <c r="Q719" s="105"/>
      <c r="R719" s="105"/>
      <c r="S719" s="105"/>
    </row>
    <row r="720">
      <c r="A720" s="195"/>
      <c r="B720" s="321"/>
      <c r="C720" s="105"/>
      <c r="D720" s="105"/>
      <c r="E720" s="105"/>
      <c r="F720" s="105"/>
      <c r="G720" s="105"/>
      <c r="H720" s="105"/>
      <c r="I720" s="106"/>
      <c r="J720" s="106"/>
      <c r="K720" s="106"/>
      <c r="L720" s="106"/>
      <c r="M720" s="106"/>
      <c r="N720" s="105"/>
      <c r="O720" s="105"/>
      <c r="P720" s="105"/>
      <c r="Q720" s="105"/>
      <c r="R720" s="105"/>
      <c r="S720" s="105"/>
    </row>
    <row r="721">
      <c r="A721" s="195"/>
      <c r="B721" s="321"/>
      <c r="C721" s="105"/>
      <c r="D721" s="105"/>
      <c r="E721" s="105"/>
      <c r="F721" s="105"/>
      <c r="G721" s="105"/>
      <c r="H721" s="105"/>
      <c r="I721" s="106"/>
      <c r="J721" s="106"/>
      <c r="K721" s="106"/>
      <c r="L721" s="106"/>
      <c r="M721" s="106"/>
      <c r="N721" s="105"/>
      <c r="O721" s="105"/>
      <c r="P721" s="105"/>
      <c r="Q721" s="105"/>
      <c r="R721" s="105"/>
      <c r="S721" s="105"/>
    </row>
    <row r="722">
      <c r="A722" s="195"/>
      <c r="B722" s="321"/>
      <c r="C722" s="105"/>
      <c r="D722" s="105"/>
      <c r="E722" s="105"/>
      <c r="F722" s="105"/>
      <c r="G722" s="105"/>
      <c r="H722" s="105"/>
      <c r="I722" s="106"/>
      <c r="J722" s="106"/>
      <c r="K722" s="106"/>
      <c r="L722" s="106"/>
      <c r="M722" s="106"/>
      <c r="N722" s="105"/>
      <c r="O722" s="105"/>
      <c r="P722" s="105"/>
      <c r="Q722" s="105"/>
      <c r="R722" s="105"/>
      <c r="S722" s="105"/>
    </row>
    <row r="723">
      <c r="A723" s="195"/>
      <c r="B723" s="321"/>
      <c r="C723" s="105"/>
      <c r="D723" s="105"/>
      <c r="E723" s="105"/>
      <c r="F723" s="105"/>
      <c r="G723" s="105"/>
      <c r="H723" s="105"/>
      <c r="I723" s="106"/>
      <c r="J723" s="106"/>
      <c r="K723" s="106"/>
      <c r="L723" s="106"/>
      <c r="M723" s="106"/>
      <c r="N723" s="105"/>
      <c r="O723" s="105"/>
      <c r="P723" s="105"/>
      <c r="Q723" s="105"/>
      <c r="R723" s="105"/>
      <c r="S723" s="105"/>
    </row>
    <row r="724">
      <c r="A724" s="195"/>
      <c r="B724" s="321"/>
      <c r="C724" s="105"/>
      <c r="D724" s="105"/>
      <c r="E724" s="105"/>
      <c r="F724" s="105"/>
      <c r="G724" s="105"/>
      <c r="H724" s="105"/>
      <c r="I724" s="106"/>
      <c r="J724" s="106"/>
      <c r="K724" s="106"/>
      <c r="L724" s="106"/>
      <c r="M724" s="106"/>
      <c r="N724" s="105"/>
      <c r="O724" s="105"/>
      <c r="P724" s="105"/>
      <c r="Q724" s="105"/>
      <c r="R724" s="105"/>
      <c r="S724" s="105"/>
    </row>
    <row r="725">
      <c r="A725" s="195"/>
      <c r="B725" s="321"/>
      <c r="C725" s="105"/>
      <c r="D725" s="105"/>
      <c r="E725" s="105"/>
      <c r="F725" s="105"/>
      <c r="G725" s="105"/>
      <c r="H725" s="105"/>
      <c r="I725" s="106"/>
      <c r="J725" s="106"/>
      <c r="K725" s="106"/>
      <c r="L725" s="106"/>
      <c r="M725" s="106"/>
      <c r="N725" s="105"/>
      <c r="O725" s="105"/>
      <c r="P725" s="105"/>
      <c r="Q725" s="105"/>
      <c r="R725" s="105"/>
      <c r="S725" s="105"/>
    </row>
    <row r="726">
      <c r="A726" s="195"/>
      <c r="B726" s="321"/>
      <c r="C726" s="105"/>
      <c r="D726" s="105"/>
      <c r="E726" s="105"/>
      <c r="F726" s="105"/>
      <c r="G726" s="105"/>
      <c r="H726" s="105"/>
      <c r="I726" s="106"/>
      <c r="J726" s="106"/>
      <c r="K726" s="106"/>
      <c r="L726" s="106"/>
      <c r="M726" s="106"/>
      <c r="N726" s="105"/>
      <c r="O726" s="105"/>
      <c r="P726" s="105"/>
      <c r="Q726" s="105"/>
      <c r="R726" s="105"/>
      <c r="S726" s="105"/>
    </row>
    <row r="727">
      <c r="A727" s="195"/>
      <c r="B727" s="321"/>
      <c r="C727" s="105"/>
      <c r="D727" s="105"/>
      <c r="E727" s="105"/>
      <c r="F727" s="105"/>
      <c r="G727" s="105"/>
      <c r="H727" s="105"/>
      <c r="I727" s="106"/>
      <c r="J727" s="106"/>
      <c r="K727" s="106"/>
      <c r="L727" s="106"/>
      <c r="M727" s="106"/>
      <c r="N727" s="105"/>
      <c r="O727" s="105"/>
      <c r="P727" s="105"/>
      <c r="Q727" s="105"/>
      <c r="R727" s="105"/>
      <c r="S727" s="105"/>
    </row>
    <row r="728">
      <c r="A728" s="195"/>
      <c r="B728" s="321"/>
      <c r="C728" s="105"/>
      <c r="D728" s="105"/>
      <c r="E728" s="105"/>
      <c r="F728" s="105"/>
      <c r="G728" s="105"/>
      <c r="H728" s="105"/>
      <c r="I728" s="106"/>
      <c r="J728" s="106"/>
      <c r="K728" s="106"/>
      <c r="L728" s="106"/>
      <c r="M728" s="106"/>
      <c r="N728" s="105"/>
      <c r="O728" s="105"/>
      <c r="P728" s="105"/>
      <c r="Q728" s="105"/>
      <c r="R728" s="105"/>
      <c r="S728" s="105"/>
    </row>
    <row r="729">
      <c r="A729" s="195"/>
      <c r="B729" s="321"/>
      <c r="C729" s="105"/>
      <c r="D729" s="105"/>
      <c r="E729" s="105"/>
      <c r="F729" s="105"/>
      <c r="G729" s="105"/>
      <c r="H729" s="105"/>
      <c r="I729" s="106"/>
      <c r="J729" s="106"/>
      <c r="K729" s="106"/>
      <c r="L729" s="106"/>
      <c r="M729" s="106"/>
      <c r="N729" s="105"/>
      <c r="O729" s="105"/>
      <c r="P729" s="105"/>
      <c r="Q729" s="105"/>
      <c r="R729" s="105"/>
      <c r="S729" s="105"/>
    </row>
    <row r="730">
      <c r="A730" s="195"/>
      <c r="B730" s="321"/>
      <c r="C730" s="105"/>
      <c r="D730" s="105"/>
      <c r="E730" s="105"/>
      <c r="F730" s="105"/>
      <c r="G730" s="105"/>
      <c r="H730" s="105"/>
      <c r="I730" s="106"/>
      <c r="J730" s="106"/>
      <c r="K730" s="106"/>
      <c r="L730" s="106"/>
      <c r="M730" s="106"/>
      <c r="N730" s="105"/>
      <c r="O730" s="105"/>
      <c r="P730" s="105"/>
      <c r="Q730" s="105"/>
      <c r="R730" s="105"/>
      <c r="S730" s="105"/>
    </row>
    <row r="731">
      <c r="A731" s="195"/>
      <c r="B731" s="321"/>
      <c r="C731" s="105"/>
      <c r="D731" s="105"/>
      <c r="E731" s="105"/>
      <c r="F731" s="105"/>
      <c r="G731" s="105"/>
      <c r="H731" s="105"/>
      <c r="I731" s="106"/>
      <c r="J731" s="106"/>
      <c r="K731" s="106"/>
      <c r="L731" s="106"/>
      <c r="M731" s="106"/>
      <c r="N731" s="105"/>
      <c r="O731" s="105"/>
      <c r="P731" s="105"/>
      <c r="Q731" s="105"/>
      <c r="R731" s="105"/>
      <c r="S731" s="105"/>
    </row>
    <row r="732">
      <c r="A732" s="195"/>
      <c r="B732" s="321"/>
      <c r="C732" s="105"/>
      <c r="D732" s="105"/>
      <c r="E732" s="105"/>
      <c r="F732" s="105"/>
      <c r="G732" s="105"/>
      <c r="H732" s="105"/>
      <c r="I732" s="106"/>
      <c r="J732" s="106"/>
      <c r="K732" s="106"/>
      <c r="L732" s="106"/>
      <c r="M732" s="106"/>
      <c r="N732" s="105"/>
      <c r="O732" s="105"/>
      <c r="P732" s="105"/>
      <c r="Q732" s="105"/>
      <c r="R732" s="105"/>
      <c r="S732" s="105"/>
    </row>
    <row r="733">
      <c r="A733" s="195"/>
      <c r="B733" s="321"/>
      <c r="C733" s="105"/>
      <c r="D733" s="105"/>
      <c r="E733" s="105"/>
      <c r="F733" s="105"/>
      <c r="G733" s="105"/>
      <c r="H733" s="105"/>
      <c r="I733" s="106"/>
      <c r="J733" s="106"/>
      <c r="K733" s="106"/>
      <c r="L733" s="106"/>
      <c r="M733" s="106"/>
      <c r="N733" s="105"/>
      <c r="O733" s="105"/>
      <c r="P733" s="105"/>
      <c r="Q733" s="105"/>
      <c r="R733" s="105"/>
      <c r="S733" s="105"/>
    </row>
    <row r="734">
      <c r="A734" s="195"/>
      <c r="B734" s="321"/>
      <c r="C734" s="105"/>
      <c r="D734" s="105"/>
      <c r="E734" s="105"/>
      <c r="F734" s="105"/>
      <c r="G734" s="105"/>
      <c r="H734" s="105"/>
      <c r="I734" s="106"/>
      <c r="J734" s="106"/>
      <c r="K734" s="106"/>
      <c r="L734" s="106"/>
      <c r="M734" s="106"/>
      <c r="N734" s="105"/>
      <c r="O734" s="105"/>
      <c r="P734" s="105"/>
      <c r="Q734" s="105"/>
      <c r="R734" s="105"/>
      <c r="S734" s="105"/>
    </row>
    <row r="735">
      <c r="A735" s="195"/>
      <c r="B735" s="321"/>
      <c r="C735" s="105"/>
      <c r="D735" s="105"/>
      <c r="E735" s="105"/>
      <c r="F735" s="105"/>
      <c r="G735" s="105"/>
      <c r="H735" s="105"/>
      <c r="I735" s="106"/>
      <c r="J735" s="106"/>
      <c r="K735" s="106"/>
      <c r="L735" s="106"/>
      <c r="M735" s="106"/>
      <c r="N735" s="105"/>
      <c r="O735" s="105"/>
      <c r="P735" s="105"/>
      <c r="Q735" s="105"/>
      <c r="R735" s="105"/>
      <c r="S735" s="105"/>
    </row>
    <row r="736">
      <c r="A736" s="195"/>
      <c r="B736" s="321"/>
      <c r="C736" s="105"/>
      <c r="D736" s="105"/>
      <c r="E736" s="105"/>
      <c r="F736" s="105"/>
      <c r="G736" s="105"/>
      <c r="H736" s="105"/>
      <c r="I736" s="106"/>
      <c r="J736" s="106"/>
      <c r="K736" s="106"/>
      <c r="L736" s="106"/>
      <c r="M736" s="106"/>
      <c r="N736" s="105"/>
      <c r="O736" s="105"/>
      <c r="P736" s="105"/>
      <c r="Q736" s="105"/>
      <c r="R736" s="105"/>
      <c r="S736" s="105"/>
    </row>
    <row r="737">
      <c r="A737" s="195"/>
      <c r="B737" s="321"/>
      <c r="C737" s="105"/>
      <c r="D737" s="105"/>
      <c r="E737" s="105"/>
      <c r="F737" s="105"/>
      <c r="G737" s="105"/>
      <c r="H737" s="105"/>
      <c r="I737" s="106"/>
      <c r="J737" s="106"/>
      <c r="K737" s="106"/>
      <c r="L737" s="106"/>
      <c r="M737" s="106"/>
      <c r="N737" s="105"/>
      <c r="O737" s="105"/>
      <c r="P737" s="105"/>
      <c r="Q737" s="105"/>
      <c r="R737" s="105"/>
      <c r="S737" s="105"/>
    </row>
    <row r="738">
      <c r="A738" s="195"/>
      <c r="B738" s="321"/>
      <c r="C738" s="105"/>
      <c r="D738" s="105"/>
      <c r="E738" s="105"/>
      <c r="F738" s="105"/>
      <c r="G738" s="105"/>
      <c r="H738" s="105"/>
      <c r="I738" s="106"/>
      <c r="J738" s="106"/>
      <c r="K738" s="106"/>
      <c r="L738" s="106"/>
      <c r="M738" s="106"/>
      <c r="N738" s="105"/>
      <c r="O738" s="105"/>
      <c r="P738" s="105"/>
      <c r="Q738" s="105"/>
      <c r="R738" s="105"/>
      <c r="S738" s="105"/>
    </row>
    <row r="739">
      <c r="A739" s="195"/>
      <c r="B739" s="321"/>
      <c r="C739" s="105"/>
      <c r="D739" s="105"/>
      <c r="E739" s="105"/>
      <c r="F739" s="105"/>
      <c r="G739" s="105"/>
      <c r="H739" s="105"/>
      <c r="I739" s="106"/>
      <c r="J739" s="106"/>
      <c r="K739" s="106"/>
      <c r="L739" s="106"/>
      <c r="M739" s="106"/>
      <c r="N739" s="105"/>
      <c r="O739" s="105"/>
      <c r="P739" s="105"/>
      <c r="Q739" s="105"/>
      <c r="R739" s="105"/>
      <c r="S739" s="105"/>
    </row>
    <row r="740">
      <c r="A740" s="195"/>
      <c r="B740" s="321"/>
      <c r="C740" s="105"/>
      <c r="D740" s="105"/>
      <c r="E740" s="105"/>
      <c r="F740" s="105"/>
      <c r="G740" s="105"/>
      <c r="H740" s="105"/>
      <c r="I740" s="106"/>
      <c r="J740" s="106"/>
      <c r="K740" s="106"/>
      <c r="L740" s="106"/>
      <c r="M740" s="106"/>
      <c r="N740" s="105"/>
      <c r="O740" s="105"/>
      <c r="P740" s="105"/>
      <c r="Q740" s="105"/>
      <c r="R740" s="105"/>
      <c r="S740" s="105"/>
    </row>
    <row r="741">
      <c r="A741" s="195"/>
      <c r="B741" s="321"/>
      <c r="C741" s="105"/>
      <c r="D741" s="105"/>
      <c r="E741" s="105"/>
      <c r="F741" s="105"/>
      <c r="G741" s="105"/>
      <c r="H741" s="105"/>
      <c r="I741" s="106"/>
      <c r="J741" s="106"/>
      <c r="K741" s="106"/>
      <c r="L741" s="106"/>
      <c r="M741" s="106"/>
      <c r="N741" s="105"/>
      <c r="O741" s="105"/>
      <c r="P741" s="105"/>
      <c r="Q741" s="105"/>
      <c r="R741" s="105"/>
      <c r="S741" s="105"/>
    </row>
    <row r="742">
      <c r="A742" s="195"/>
      <c r="B742" s="321"/>
      <c r="C742" s="105"/>
      <c r="D742" s="105"/>
      <c r="E742" s="105"/>
      <c r="F742" s="105"/>
      <c r="G742" s="105"/>
      <c r="H742" s="105"/>
      <c r="I742" s="106"/>
      <c r="J742" s="106"/>
      <c r="K742" s="106"/>
      <c r="L742" s="106"/>
      <c r="M742" s="106"/>
      <c r="N742" s="105"/>
      <c r="O742" s="105"/>
      <c r="P742" s="105"/>
      <c r="Q742" s="105"/>
      <c r="R742" s="105"/>
      <c r="S742" s="105"/>
    </row>
    <row r="743">
      <c r="A743" s="195"/>
      <c r="B743" s="321"/>
      <c r="C743" s="105"/>
      <c r="D743" s="105"/>
      <c r="E743" s="105"/>
      <c r="F743" s="105"/>
      <c r="G743" s="105"/>
      <c r="H743" s="105"/>
      <c r="I743" s="106"/>
      <c r="J743" s="106"/>
      <c r="K743" s="106"/>
      <c r="L743" s="106"/>
      <c r="M743" s="106"/>
      <c r="N743" s="105"/>
      <c r="O743" s="105"/>
      <c r="P743" s="105"/>
      <c r="Q743" s="105"/>
      <c r="R743" s="105"/>
      <c r="S743" s="105"/>
    </row>
    <row r="744">
      <c r="A744" s="195"/>
      <c r="B744" s="321"/>
      <c r="C744" s="105"/>
      <c r="D744" s="105"/>
      <c r="E744" s="105"/>
      <c r="F744" s="105"/>
      <c r="G744" s="105"/>
      <c r="H744" s="105"/>
      <c r="I744" s="106"/>
      <c r="J744" s="106"/>
      <c r="K744" s="106"/>
      <c r="L744" s="106"/>
      <c r="M744" s="106"/>
      <c r="N744" s="105"/>
      <c r="O744" s="105"/>
      <c r="P744" s="105"/>
      <c r="Q744" s="105"/>
      <c r="R744" s="105"/>
      <c r="S744" s="105"/>
    </row>
    <row r="745">
      <c r="A745" s="195"/>
      <c r="B745" s="321"/>
      <c r="C745" s="105"/>
      <c r="D745" s="105"/>
      <c r="E745" s="105"/>
      <c r="F745" s="105"/>
      <c r="G745" s="105"/>
      <c r="H745" s="105"/>
      <c r="I745" s="106"/>
      <c r="J745" s="106"/>
      <c r="K745" s="106"/>
      <c r="L745" s="106"/>
      <c r="M745" s="106"/>
      <c r="N745" s="105"/>
      <c r="O745" s="105"/>
      <c r="P745" s="105"/>
      <c r="Q745" s="105"/>
      <c r="R745" s="105"/>
      <c r="S745" s="105"/>
    </row>
    <row r="746">
      <c r="A746" s="195"/>
      <c r="B746" s="321"/>
      <c r="C746" s="105"/>
      <c r="D746" s="105"/>
      <c r="E746" s="105"/>
      <c r="F746" s="105"/>
      <c r="G746" s="105"/>
      <c r="H746" s="105"/>
      <c r="I746" s="106"/>
      <c r="J746" s="106"/>
      <c r="K746" s="106"/>
      <c r="L746" s="106"/>
      <c r="M746" s="106"/>
      <c r="N746" s="105"/>
      <c r="O746" s="105"/>
      <c r="P746" s="105"/>
      <c r="Q746" s="105"/>
      <c r="R746" s="105"/>
      <c r="S746" s="105"/>
    </row>
    <row r="747">
      <c r="A747" s="195"/>
      <c r="B747" s="321"/>
      <c r="C747" s="105"/>
      <c r="D747" s="105"/>
      <c r="E747" s="105"/>
      <c r="F747" s="105"/>
      <c r="G747" s="105"/>
      <c r="H747" s="105"/>
      <c r="I747" s="106"/>
      <c r="J747" s="106"/>
      <c r="K747" s="106"/>
      <c r="L747" s="106"/>
      <c r="M747" s="106"/>
      <c r="N747" s="105"/>
      <c r="O747" s="105"/>
      <c r="P747" s="105"/>
      <c r="Q747" s="105"/>
      <c r="R747" s="105"/>
      <c r="S747" s="105"/>
    </row>
    <row r="748">
      <c r="A748" s="195"/>
      <c r="B748" s="321"/>
      <c r="C748" s="105"/>
      <c r="D748" s="105"/>
      <c r="E748" s="105"/>
      <c r="F748" s="105"/>
      <c r="G748" s="105"/>
      <c r="H748" s="105"/>
      <c r="I748" s="106"/>
      <c r="J748" s="106"/>
      <c r="K748" s="106"/>
      <c r="L748" s="106"/>
      <c r="M748" s="106"/>
      <c r="N748" s="105"/>
      <c r="O748" s="105"/>
      <c r="P748" s="105"/>
      <c r="Q748" s="105"/>
      <c r="R748" s="105"/>
      <c r="S748" s="105"/>
    </row>
    <row r="749">
      <c r="A749" s="195"/>
      <c r="B749" s="321"/>
      <c r="C749" s="105"/>
      <c r="D749" s="105"/>
      <c r="E749" s="105"/>
      <c r="F749" s="105"/>
      <c r="G749" s="105"/>
      <c r="H749" s="105"/>
      <c r="I749" s="106"/>
      <c r="J749" s="106"/>
      <c r="K749" s="106"/>
      <c r="L749" s="106"/>
      <c r="M749" s="106"/>
      <c r="N749" s="105"/>
      <c r="O749" s="105"/>
      <c r="P749" s="105"/>
      <c r="Q749" s="105"/>
      <c r="R749" s="105"/>
      <c r="S749" s="105"/>
    </row>
    <row r="750">
      <c r="A750" s="195"/>
      <c r="B750" s="321"/>
      <c r="C750" s="105"/>
      <c r="D750" s="105"/>
      <c r="E750" s="105"/>
      <c r="F750" s="105"/>
      <c r="G750" s="105"/>
      <c r="H750" s="105"/>
      <c r="I750" s="106"/>
      <c r="J750" s="106"/>
      <c r="K750" s="106"/>
      <c r="L750" s="106"/>
      <c r="M750" s="106"/>
      <c r="N750" s="105"/>
      <c r="O750" s="105"/>
      <c r="P750" s="105"/>
      <c r="Q750" s="105"/>
      <c r="R750" s="105"/>
      <c r="S750" s="105"/>
    </row>
    <row r="751">
      <c r="A751" s="195"/>
      <c r="B751" s="321"/>
      <c r="C751" s="105"/>
      <c r="D751" s="105"/>
      <c r="E751" s="105"/>
      <c r="F751" s="105"/>
      <c r="G751" s="105"/>
      <c r="H751" s="105"/>
      <c r="I751" s="106"/>
      <c r="J751" s="106"/>
      <c r="K751" s="106"/>
      <c r="L751" s="106"/>
      <c r="M751" s="106"/>
      <c r="N751" s="105"/>
      <c r="O751" s="105"/>
      <c r="P751" s="105"/>
      <c r="Q751" s="105"/>
      <c r="R751" s="105"/>
      <c r="S751" s="105"/>
    </row>
    <row r="752">
      <c r="A752" s="195"/>
      <c r="B752" s="321"/>
      <c r="C752" s="105"/>
      <c r="D752" s="105"/>
      <c r="E752" s="105"/>
      <c r="F752" s="105"/>
      <c r="G752" s="105"/>
      <c r="H752" s="105"/>
      <c r="I752" s="106"/>
      <c r="J752" s="106"/>
      <c r="K752" s="106"/>
      <c r="L752" s="106"/>
      <c r="M752" s="106"/>
      <c r="N752" s="105"/>
      <c r="O752" s="105"/>
      <c r="P752" s="105"/>
      <c r="Q752" s="105"/>
      <c r="R752" s="105"/>
      <c r="S752" s="105"/>
    </row>
    <row r="753">
      <c r="A753" s="195"/>
      <c r="B753" s="321"/>
      <c r="C753" s="105"/>
      <c r="D753" s="105"/>
      <c r="E753" s="105"/>
      <c r="F753" s="105"/>
      <c r="G753" s="105"/>
      <c r="H753" s="105"/>
      <c r="I753" s="106"/>
      <c r="J753" s="106"/>
      <c r="K753" s="106"/>
      <c r="L753" s="106"/>
      <c r="M753" s="106"/>
      <c r="N753" s="105"/>
      <c r="O753" s="105"/>
      <c r="P753" s="105"/>
      <c r="Q753" s="105"/>
      <c r="R753" s="105"/>
      <c r="S753" s="105"/>
    </row>
    <row r="754">
      <c r="A754" s="195"/>
      <c r="B754" s="321"/>
      <c r="C754" s="105"/>
      <c r="D754" s="105"/>
      <c r="E754" s="105"/>
      <c r="F754" s="105"/>
      <c r="G754" s="105"/>
      <c r="H754" s="105"/>
      <c r="I754" s="106"/>
      <c r="J754" s="106"/>
      <c r="K754" s="106"/>
      <c r="L754" s="106"/>
      <c r="M754" s="106"/>
      <c r="N754" s="105"/>
      <c r="O754" s="105"/>
      <c r="P754" s="105"/>
      <c r="Q754" s="105"/>
      <c r="R754" s="105"/>
      <c r="S754" s="105"/>
    </row>
    <row r="755">
      <c r="A755" s="195"/>
      <c r="B755" s="321"/>
      <c r="C755" s="105"/>
      <c r="D755" s="105"/>
      <c r="E755" s="105"/>
      <c r="F755" s="105"/>
      <c r="G755" s="105"/>
      <c r="H755" s="105"/>
      <c r="I755" s="106"/>
      <c r="J755" s="106"/>
      <c r="K755" s="106"/>
      <c r="L755" s="106"/>
      <c r="M755" s="106"/>
      <c r="N755" s="105"/>
      <c r="O755" s="105"/>
      <c r="P755" s="105"/>
      <c r="Q755" s="105"/>
      <c r="R755" s="105"/>
      <c r="S755" s="105"/>
    </row>
    <row r="756">
      <c r="A756" s="195"/>
      <c r="B756" s="321"/>
      <c r="C756" s="105"/>
      <c r="D756" s="105"/>
      <c r="E756" s="105"/>
      <c r="F756" s="105"/>
      <c r="G756" s="105"/>
      <c r="H756" s="105"/>
      <c r="I756" s="106"/>
      <c r="J756" s="106"/>
      <c r="K756" s="106"/>
      <c r="L756" s="106"/>
      <c r="M756" s="106"/>
      <c r="N756" s="105"/>
      <c r="O756" s="105"/>
      <c r="P756" s="105"/>
      <c r="Q756" s="105"/>
      <c r="R756" s="105"/>
      <c r="S756" s="105"/>
    </row>
    <row r="757">
      <c r="A757" s="195"/>
      <c r="B757" s="321"/>
      <c r="C757" s="105"/>
      <c r="D757" s="105"/>
      <c r="E757" s="105"/>
      <c r="F757" s="105"/>
      <c r="G757" s="105"/>
      <c r="H757" s="105"/>
      <c r="I757" s="106"/>
      <c r="J757" s="106"/>
      <c r="K757" s="106"/>
      <c r="L757" s="106"/>
      <c r="M757" s="106"/>
      <c r="N757" s="105"/>
      <c r="O757" s="105"/>
      <c r="P757" s="105"/>
      <c r="Q757" s="105"/>
      <c r="R757" s="105"/>
      <c r="S757" s="105"/>
    </row>
    <row r="758">
      <c r="A758" s="195"/>
      <c r="B758" s="321"/>
      <c r="C758" s="105"/>
      <c r="D758" s="105"/>
      <c r="E758" s="105"/>
      <c r="F758" s="105"/>
      <c r="G758" s="105"/>
      <c r="H758" s="105"/>
      <c r="I758" s="106"/>
      <c r="J758" s="106"/>
      <c r="K758" s="106"/>
      <c r="L758" s="106"/>
      <c r="M758" s="106"/>
      <c r="N758" s="105"/>
      <c r="O758" s="105"/>
      <c r="P758" s="105"/>
      <c r="Q758" s="105"/>
      <c r="R758" s="105"/>
      <c r="S758" s="105"/>
    </row>
    <row r="759">
      <c r="A759" s="195"/>
      <c r="B759" s="321"/>
      <c r="C759" s="105"/>
      <c r="D759" s="105"/>
      <c r="E759" s="105"/>
      <c r="F759" s="105"/>
      <c r="G759" s="105"/>
      <c r="H759" s="105"/>
      <c r="I759" s="106"/>
      <c r="J759" s="106"/>
      <c r="K759" s="106"/>
      <c r="L759" s="106"/>
      <c r="M759" s="106"/>
      <c r="N759" s="105"/>
      <c r="O759" s="105"/>
      <c r="P759" s="105"/>
      <c r="Q759" s="105"/>
      <c r="R759" s="105"/>
      <c r="S759" s="105"/>
    </row>
    <row r="760">
      <c r="A760" s="195"/>
      <c r="B760" s="321"/>
      <c r="C760" s="105"/>
      <c r="D760" s="105"/>
      <c r="E760" s="105"/>
      <c r="F760" s="105"/>
      <c r="G760" s="105"/>
      <c r="H760" s="105"/>
      <c r="I760" s="106"/>
      <c r="J760" s="106"/>
      <c r="K760" s="106"/>
      <c r="L760" s="106"/>
      <c r="M760" s="106"/>
      <c r="N760" s="105"/>
      <c r="O760" s="105"/>
      <c r="P760" s="105"/>
      <c r="Q760" s="105"/>
      <c r="R760" s="105"/>
      <c r="S760" s="105"/>
    </row>
    <row r="761">
      <c r="A761" s="195"/>
      <c r="B761" s="321"/>
      <c r="C761" s="105"/>
      <c r="D761" s="105"/>
      <c r="E761" s="105"/>
      <c r="F761" s="105"/>
      <c r="G761" s="105"/>
      <c r="H761" s="105"/>
      <c r="I761" s="106"/>
      <c r="J761" s="106"/>
      <c r="K761" s="106"/>
      <c r="L761" s="106"/>
      <c r="M761" s="106"/>
      <c r="N761" s="105"/>
      <c r="O761" s="105"/>
      <c r="P761" s="105"/>
      <c r="Q761" s="105"/>
      <c r="R761" s="105"/>
      <c r="S761" s="105"/>
    </row>
    <row r="762">
      <c r="A762" s="195"/>
      <c r="B762" s="321"/>
      <c r="C762" s="105"/>
      <c r="D762" s="105"/>
      <c r="E762" s="105"/>
      <c r="F762" s="105"/>
      <c r="G762" s="105"/>
      <c r="H762" s="105"/>
      <c r="I762" s="106"/>
      <c r="J762" s="106"/>
      <c r="K762" s="106"/>
      <c r="L762" s="106"/>
      <c r="M762" s="106"/>
      <c r="N762" s="105"/>
      <c r="O762" s="105"/>
      <c r="P762" s="105"/>
      <c r="Q762" s="105"/>
      <c r="R762" s="105"/>
      <c r="S762" s="105"/>
    </row>
    <row r="763">
      <c r="A763" s="195"/>
      <c r="B763" s="321"/>
      <c r="C763" s="105"/>
      <c r="D763" s="105"/>
      <c r="E763" s="105"/>
      <c r="F763" s="105"/>
      <c r="G763" s="105"/>
      <c r="H763" s="105"/>
      <c r="I763" s="106"/>
      <c r="J763" s="106"/>
      <c r="K763" s="106"/>
      <c r="L763" s="106"/>
      <c r="M763" s="106"/>
      <c r="N763" s="105"/>
      <c r="O763" s="105"/>
      <c r="P763" s="105"/>
      <c r="Q763" s="105"/>
      <c r="R763" s="105"/>
      <c r="S763" s="105"/>
    </row>
    <row r="764">
      <c r="A764" s="195"/>
      <c r="B764" s="321"/>
      <c r="C764" s="105"/>
      <c r="D764" s="105"/>
      <c r="E764" s="105"/>
      <c r="F764" s="105"/>
      <c r="G764" s="105"/>
      <c r="H764" s="105"/>
      <c r="I764" s="106"/>
      <c r="J764" s="106"/>
      <c r="K764" s="106"/>
      <c r="L764" s="106"/>
      <c r="M764" s="106"/>
      <c r="N764" s="105"/>
      <c r="O764" s="105"/>
      <c r="P764" s="105"/>
      <c r="Q764" s="105"/>
      <c r="R764" s="105"/>
      <c r="S764" s="105"/>
    </row>
    <row r="765">
      <c r="A765" s="195"/>
      <c r="B765" s="321"/>
      <c r="C765" s="105"/>
      <c r="D765" s="105"/>
      <c r="E765" s="105"/>
      <c r="F765" s="105"/>
      <c r="G765" s="105"/>
      <c r="H765" s="105"/>
      <c r="I765" s="106"/>
      <c r="J765" s="106"/>
      <c r="K765" s="106"/>
      <c r="L765" s="106"/>
      <c r="M765" s="106"/>
      <c r="N765" s="105"/>
      <c r="O765" s="105"/>
      <c r="P765" s="105"/>
      <c r="Q765" s="105"/>
      <c r="R765" s="105"/>
      <c r="S765" s="105"/>
    </row>
    <row r="766">
      <c r="A766" s="195"/>
      <c r="B766" s="321"/>
      <c r="C766" s="105"/>
      <c r="D766" s="105"/>
      <c r="E766" s="105"/>
      <c r="F766" s="105"/>
      <c r="G766" s="105"/>
      <c r="H766" s="105"/>
      <c r="I766" s="106"/>
      <c r="J766" s="106"/>
      <c r="K766" s="106"/>
      <c r="L766" s="106"/>
      <c r="M766" s="106"/>
      <c r="N766" s="105"/>
      <c r="O766" s="105"/>
      <c r="P766" s="105"/>
      <c r="Q766" s="105"/>
      <c r="R766" s="105"/>
      <c r="S766" s="105"/>
    </row>
    <row r="767">
      <c r="A767" s="195"/>
      <c r="B767" s="321"/>
      <c r="C767" s="105"/>
      <c r="D767" s="105"/>
      <c r="E767" s="105"/>
      <c r="F767" s="105"/>
      <c r="G767" s="105"/>
      <c r="H767" s="105"/>
      <c r="I767" s="106"/>
      <c r="J767" s="106"/>
      <c r="K767" s="106"/>
      <c r="L767" s="106"/>
      <c r="M767" s="106"/>
      <c r="N767" s="105"/>
      <c r="O767" s="105"/>
      <c r="P767" s="105"/>
      <c r="Q767" s="105"/>
      <c r="R767" s="105"/>
      <c r="S767" s="105"/>
    </row>
    <row r="768">
      <c r="A768" s="105"/>
      <c r="B768" s="106"/>
      <c r="C768" s="105"/>
      <c r="D768" s="105"/>
      <c r="E768" s="105"/>
      <c r="F768" s="105"/>
      <c r="G768" s="105"/>
      <c r="H768" s="105"/>
      <c r="I768" s="106"/>
      <c r="J768" s="106"/>
      <c r="K768" s="106"/>
      <c r="L768" s="106"/>
      <c r="M768" s="106"/>
      <c r="N768" s="105"/>
      <c r="O768" s="105"/>
      <c r="P768" s="105"/>
      <c r="Q768" s="105"/>
      <c r="R768" s="105"/>
      <c r="S768" s="105"/>
    </row>
    <row r="769">
      <c r="A769" s="105"/>
      <c r="B769" s="106"/>
      <c r="C769" s="105"/>
      <c r="D769" s="105"/>
      <c r="E769" s="105"/>
      <c r="F769" s="105"/>
      <c r="G769" s="105"/>
      <c r="H769" s="105"/>
      <c r="I769" s="106"/>
      <c r="J769" s="106"/>
      <c r="K769" s="106"/>
      <c r="L769" s="106"/>
      <c r="M769" s="106"/>
      <c r="N769" s="105"/>
      <c r="O769" s="105"/>
      <c r="P769" s="105"/>
      <c r="Q769" s="105"/>
      <c r="R769" s="105"/>
      <c r="S769" s="105"/>
    </row>
    <row r="770">
      <c r="A770" s="105"/>
      <c r="B770" s="106"/>
      <c r="C770" s="105"/>
      <c r="D770" s="105"/>
      <c r="E770" s="105"/>
      <c r="F770" s="105"/>
      <c r="G770" s="105"/>
      <c r="H770" s="105"/>
      <c r="I770" s="106"/>
      <c r="J770" s="106"/>
      <c r="K770" s="106"/>
      <c r="L770" s="106"/>
      <c r="M770" s="106"/>
      <c r="N770" s="105"/>
      <c r="O770" s="105"/>
      <c r="P770" s="105"/>
      <c r="Q770" s="105"/>
      <c r="R770" s="105"/>
      <c r="S770" s="105"/>
    </row>
    <row r="771">
      <c r="A771" s="105"/>
      <c r="B771" s="106"/>
      <c r="C771" s="105"/>
      <c r="D771" s="105"/>
      <c r="E771" s="105"/>
      <c r="F771" s="105"/>
      <c r="G771" s="105"/>
      <c r="H771" s="105"/>
      <c r="I771" s="106"/>
      <c r="J771" s="106"/>
      <c r="K771" s="106"/>
      <c r="L771" s="106"/>
      <c r="M771" s="106"/>
      <c r="N771" s="105"/>
      <c r="O771" s="105"/>
      <c r="P771" s="105"/>
      <c r="Q771" s="105"/>
      <c r="R771" s="105"/>
      <c r="S771" s="105"/>
    </row>
    <row r="772">
      <c r="A772" s="105"/>
      <c r="B772" s="106"/>
      <c r="C772" s="105"/>
      <c r="D772" s="105"/>
      <c r="E772" s="105"/>
      <c r="F772" s="105"/>
      <c r="G772" s="105"/>
      <c r="H772" s="105"/>
      <c r="I772" s="106"/>
      <c r="J772" s="106"/>
      <c r="K772" s="106"/>
      <c r="L772" s="106"/>
      <c r="M772" s="106"/>
      <c r="N772" s="105"/>
      <c r="O772" s="105"/>
      <c r="P772" s="105"/>
      <c r="Q772" s="105"/>
      <c r="R772" s="105"/>
      <c r="S772" s="105"/>
    </row>
    <row r="773">
      <c r="A773" s="105"/>
      <c r="B773" s="106"/>
      <c r="C773" s="105"/>
      <c r="D773" s="105"/>
      <c r="E773" s="105"/>
      <c r="F773" s="105"/>
      <c r="G773" s="105"/>
      <c r="H773" s="105"/>
      <c r="I773" s="106"/>
      <c r="J773" s="106"/>
      <c r="K773" s="106"/>
      <c r="L773" s="106"/>
      <c r="M773" s="106"/>
      <c r="N773" s="105"/>
      <c r="O773" s="105"/>
      <c r="P773" s="105"/>
      <c r="Q773" s="105"/>
      <c r="R773" s="105"/>
      <c r="S773" s="105"/>
    </row>
    <row r="774">
      <c r="A774" s="105"/>
      <c r="B774" s="106"/>
      <c r="C774" s="105"/>
      <c r="D774" s="105"/>
      <c r="E774" s="105"/>
      <c r="F774" s="105"/>
      <c r="G774" s="105"/>
      <c r="H774" s="105"/>
      <c r="I774" s="106"/>
      <c r="J774" s="106"/>
      <c r="K774" s="106"/>
      <c r="L774" s="106"/>
      <c r="M774" s="106"/>
      <c r="N774" s="105"/>
      <c r="O774" s="105"/>
      <c r="P774" s="105"/>
      <c r="Q774" s="105"/>
      <c r="R774" s="105"/>
      <c r="S774" s="105"/>
    </row>
    <row r="775">
      <c r="A775" s="105"/>
      <c r="B775" s="106"/>
      <c r="C775" s="105"/>
      <c r="D775" s="105"/>
      <c r="E775" s="105"/>
      <c r="F775" s="105"/>
      <c r="G775" s="105"/>
      <c r="H775" s="105"/>
      <c r="I775" s="106"/>
      <c r="J775" s="106"/>
      <c r="K775" s="106"/>
      <c r="L775" s="106"/>
      <c r="M775" s="106"/>
      <c r="N775" s="105"/>
      <c r="O775" s="105"/>
      <c r="P775" s="105"/>
      <c r="Q775" s="105"/>
      <c r="R775" s="105"/>
      <c r="S775" s="105"/>
    </row>
    <row r="776">
      <c r="A776" s="105"/>
      <c r="B776" s="106"/>
      <c r="C776" s="105"/>
      <c r="D776" s="105"/>
      <c r="E776" s="105"/>
      <c r="F776" s="105"/>
      <c r="G776" s="105"/>
      <c r="H776" s="105"/>
      <c r="I776" s="106"/>
      <c r="J776" s="106"/>
      <c r="K776" s="106"/>
      <c r="L776" s="106"/>
      <c r="M776" s="106"/>
      <c r="N776" s="105"/>
      <c r="O776" s="105"/>
      <c r="P776" s="105"/>
      <c r="Q776" s="105"/>
      <c r="R776" s="105"/>
      <c r="S776" s="105"/>
    </row>
    <row r="777">
      <c r="A777" s="105"/>
      <c r="B777" s="106"/>
      <c r="C777" s="105"/>
      <c r="D777" s="105"/>
      <c r="E777" s="105"/>
      <c r="F777" s="105"/>
      <c r="G777" s="105"/>
      <c r="H777" s="105"/>
      <c r="I777" s="106"/>
      <c r="J777" s="106"/>
      <c r="K777" s="106"/>
      <c r="L777" s="106"/>
      <c r="M777" s="106"/>
      <c r="N777" s="105"/>
      <c r="O777" s="105"/>
      <c r="P777" s="105"/>
      <c r="Q777" s="105"/>
      <c r="R777" s="105"/>
      <c r="S777" s="105"/>
    </row>
    <row r="778">
      <c r="A778" s="105"/>
      <c r="B778" s="106"/>
      <c r="C778" s="105"/>
      <c r="D778" s="105"/>
      <c r="E778" s="105"/>
      <c r="F778" s="105"/>
      <c r="G778" s="105"/>
      <c r="H778" s="105"/>
      <c r="I778" s="106"/>
      <c r="J778" s="106"/>
      <c r="K778" s="106"/>
      <c r="L778" s="106"/>
      <c r="M778" s="106"/>
      <c r="N778" s="105"/>
      <c r="O778" s="105"/>
      <c r="P778" s="105"/>
      <c r="Q778" s="105"/>
      <c r="R778" s="105"/>
      <c r="S778" s="105"/>
    </row>
    <row r="779">
      <c r="A779" s="105"/>
      <c r="B779" s="106"/>
      <c r="C779" s="105"/>
      <c r="D779" s="105"/>
      <c r="E779" s="105"/>
      <c r="F779" s="105"/>
      <c r="G779" s="105"/>
      <c r="H779" s="105"/>
      <c r="I779" s="106"/>
      <c r="J779" s="106"/>
      <c r="K779" s="106"/>
      <c r="L779" s="106"/>
      <c r="M779" s="106"/>
      <c r="N779" s="105"/>
      <c r="O779" s="105"/>
      <c r="P779" s="105"/>
      <c r="Q779" s="105"/>
      <c r="R779" s="105"/>
      <c r="S779" s="105"/>
    </row>
    <row r="780">
      <c r="A780" s="105"/>
      <c r="B780" s="106"/>
      <c r="C780" s="105"/>
      <c r="D780" s="105"/>
      <c r="E780" s="105"/>
      <c r="F780" s="105"/>
      <c r="G780" s="105"/>
      <c r="H780" s="105"/>
      <c r="I780" s="106"/>
      <c r="J780" s="106"/>
      <c r="K780" s="106"/>
      <c r="L780" s="106"/>
      <c r="M780" s="106"/>
      <c r="N780" s="105"/>
      <c r="O780" s="105"/>
      <c r="P780" s="105"/>
      <c r="Q780" s="105"/>
      <c r="R780" s="105"/>
      <c r="S780" s="105"/>
    </row>
    <row r="781">
      <c r="A781" s="105"/>
      <c r="B781" s="106"/>
      <c r="C781" s="105"/>
      <c r="D781" s="105"/>
      <c r="E781" s="105"/>
      <c r="F781" s="105"/>
      <c r="G781" s="105"/>
      <c r="H781" s="105"/>
      <c r="I781" s="106"/>
      <c r="J781" s="106"/>
      <c r="K781" s="106"/>
      <c r="L781" s="106"/>
      <c r="M781" s="106"/>
      <c r="N781" s="105"/>
      <c r="O781" s="105"/>
      <c r="P781" s="105"/>
      <c r="Q781" s="105"/>
      <c r="R781" s="105"/>
      <c r="S781" s="105"/>
    </row>
    <row r="782">
      <c r="A782" s="105"/>
      <c r="B782" s="106"/>
      <c r="C782" s="105"/>
      <c r="D782" s="105"/>
      <c r="E782" s="105"/>
      <c r="F782" s="105"/>
      <c r="G782" s="105"/>
      <c r="H782" s="105"/>
      <c r="I782" s="106"/>
      <c r="J782" s="106"/>
      <c r="K782" s="106"/>
      <c r="L782" s="106"/>
      <c r="M782" s="106"/>
      <c r="N782" s="105"/>
      <c r="O782" s="105"/>
      <c r="P782" s="105"/>
      <c r="Q782" s="105"/>
      <c r="R782" s="105"/>
      <c r="S782" s="105"/>
    </row>
    <row r="783">
      <c r="A783" s="105"/>
      <c r="B783" s="106"/>
      <c r="C783" s="105"/>
      <c r="D783" s="105"/>
      <c r="E783" s="105"/>
      <c r="F783" s="105"/>
      <c r="G783" s="105"/>
      <c r="H783" s="105"/>
      <c r="I783" s="106"/>
      <c r="J783" s="106"/>
      <c r="K783" s="106"/>
      <c r="L783" s="106"/>
      <c r="M783" s="106"/>
      <c r="N783" s="105"/>
      <c r="O783" s="105"/>
      <c r="P783" s="105"/>
      <c r="Q783" s="105"/>
      <c r="R783" s="105"/>
      <c r="S783" s="105"/>
    </row>
    <row r="784">
      <c r="A784" s="105"/>
      <c r="B784" s="106"/>
      <c r="C784" s="105"/>
      <c r="D784" s="105"/>
      <c r="E784" s="105"/>
      <c r="F784" s="105"/>
      <c r="G784" s="105"/>
      <c r="H784" s="105"/>
      <c r="I784" s="106"/>
      <c r="J784" s="106"/>
      <c r="K784" s="106"/>
      <c r="L784" s="106"/>
      <c r="M784" s="106"/>
      <c r="N784" s="105"/>
      <c r="O784" s="105"/>
      <c r="P784" s="105"/>
      <c r="Q784" s="105"/>
      <c r="R784" s="105"/>
      <c r="S784" s="105"/>
    </row>
    <row r="785">
      <c r="A785" s="105"/>
      <c r="B785" s="106"/>
      <c r="C785" s="105"/>
      <c r="D785" s="105"/>
      <c r="E785" s="105"/>
      <c r="F785" s="105"/>
      <c r="G785" s="105"/>
      <c r="H785" s="105"/>
      <c r="I785" s="106"/>
      <c r="J785" s="106"/>
      <c r="K785" s="106"/>
      <c r="L785" s="106"/>
      <c r="M785" s="106"/>
      <c r="N785" s="105"/>
      <c r="O785" s="105"/>
      <c r="P785" s="105"/>
      <c r="Q785" s="105"/>
      <c r="R785" s="105"/>
      <c r="S785" s="105"/>
    </row>
    <row r="786">
      <c r="A786" s="105"/>
      <c r="B786" s="106"/>
      <c r="C786" s="105"/>
      <c r="D786" s="105"/>
      <c r="E786" s="105"/>
      <c r="F786" s="105"/>
      <c r="G786" s="105"/>
      <c r="H786" s="105"/>
      <c r="I786" s="106"/>
      <c r="J786" s="106"/>
      <c r="K786" s="106"/>
      <c r="L786" s="106"/>
      <c r="M786" s="106"/>
      <c r="N786" s="105"/>
      <c r="O786" s="105"/>
      <c r="P786" s="105"/>
      <c r="Q786" s="105"/>
      <c r="R786" s="105"/>
      <c r="S786" s="105"/>
    </row>
    <row r="787">
      <c r="A787" s="105"/>
      <c r="B787" s="106"/>
      <c r="C787" s="105"/>
      <c r="D787" s="105"/>
      <c r="E787" s="105"/>
      <c r="F787" s="105"/>
      <c r="G787" s="105"/>
      <c r="H787" s="105"/>
      <c r="I787" s="106"/>
      <c r="J787" s="106"/>
      <c r="K787" s="106"/>
      <c r="L787" s="106"/>
      <c r="M787" s="106"/>
      <c r="N787" s="105"/>
      <c r="O787" s="105"/>
      <c r="P787" s="105"/>
      <c r="Q787" s="105"/>
      <c r="R787" s="105"/>
      <c r="S787" s="105"/>
    </row>
    <row r="788">
      <c r="A788" s="105"/>
      <c r="B788" s="106"/>
      <c r="C788" s="105"/>
      <c r="D788" s="105"/>
      <c r="E788" s="105"/>
      <c r="F788" s="105"/>
      <c r="G788" s="105"/>
      <c r="H788" s="105"/>
      <c r="I788" s="106"/>
      <c r="J788" s="106"/>
      <c r="K788" s="106"/>
      <c r="L788" s="106"/>
      <c r="M788" s="106"/>
      <c r="N788" s="105"/>
      <c r="O788" s="105"/>
      <c r="P788" s="105"/>
      <c r="Q788" s="105"/>
      <c r="R788" s="105"/>
      <c r="S788" s="105"/>
    </row>
    <row r="789">
      <c r="A789" s="105"/>
      <c r="B789" s="106"/>
      <c r="C789" s="105"/>
      <c r="D789" s="105"/>
      <c r="E789" s="105"/>
      <c r="F789" s="105"/>
      <c r="G789" s="105"/>
      <c r="H789" s="105"/>
      <c r="I789" s="106"/>
      <c r="J789" s="106"/>
      <c r="K789" s="106"/>
      <c r="L789" s="106"/>
      <c r="M789" s="106"/>
      <c r="N789" s="105"/>
      <c r="O789" s="105"/>
      <c r="P789" s="105"/>
      <c r="Q789" s="105"/>
      <c r="R789" s="105"/>
      <c r="S789" s="105"/>
    </row>
    <row r="790">
      <c r="A790" s="105"/>
      <c r="B790" s="106"/>
      <c r="C790" s="105"/>
      <c r="D790" s="105"/>
      <c r="E790" s="105"/>
      <c r="F790" s="105"/>
      <c r="G790" s="105"/>
      <c r="H790" s="105"/>
      <c r="I790" s="106"/>
      <c r="J790" s="106"/>
      <c r="K790" s="106"/>
      <c r="L790" s="106"/>
      <c r="M790" s="106"/>
      <c r="N790" s="105"/>
      <c r="O790" s="105"/>
      <c r="P790" s="105"/>
      <c r="Q790" s="105"/>
      <c r="R790" s="105"/>
      <c r="S790" s="105"/>
    </row>
    <row r="791">
      <c r="A791" s="105"/>
      <c r="B791" s="106"/>
      <c r="C791" s="105"/>
      <c r="D791" s="105"/>
      <c r="E791" s="105"/>
      <c r="F791" s="105"/>
      <c r="G791" s="105"/>
      <c r="H791" s="105"/>
      <c r="I791" s="106"/>
      <c r="J791" s="106"/>
      <c r="K791" s="106"/>
      <c r="L791" s="106"/>
      <c r="M791" s="106"/>
      <c r="N791" s="105"/>
      <c r="O791" s="105"/>
      <c r="P791" s="105"/>
      <c r="Q791" s="105"/>
      <c r="R791" s="105"/>
      <c r="S791" s="105"/>
    </row>
    <row r="792">
      <c r="A792" s="105"/>
      <c r="B792" s="106"/>
      <c r="C792" s="105"/>
      <c r="D792" s="105"/>
      <c r="E792" s="105"/>
      <c r="F792" s="105"/>
      <c r="G792" s="105"/>
      <c r="H792" s="105"/>
      <c r="I792" s="106"/>
      <c r="J792" s="106"/>
      <c r="K792" s="106"/>
      <c r="L792" s="106"/>
      <c r="M792" s="106"/>
      <c r="N792" s="105"/>
      <c r="O792" s="105"/>
      <c r="P792" s="105"/>
      <c r="Q792" s="105"/>
      <c r="R792" s="105"/>
      <c r="S792" s="105"/>
    </row>
    <row r="793">
      <c r="A793" s="105"/>
      <c r="B793" s="106"/>
      <c r="C793" s="105"/>
      <c r="D793" s="105"/>
      <c r="E793" s="105"/>
      <c r="F793" s="105"/>
      <c r="G793" s="105"/>
      <c r="H793" s="105"/>
      <c r="I793" s="106"/>
      <c r="J793" s="106"/>
      <c r="K793" s="106"/>
      <c r="L793" s="106"/>
      <c r="M793" s="106"/>
      <c r="N793" s="105"/>
      <c r="O793" s="105"/>
      <c r="P793" s="105"/>
      <c r="Q793" s="105"/>
      <c r="R793" s="105"/>
      <c r="S793" s="105"/>
    </row>
    <row r="794">
      <c r="A794" s="105"/>
      <c r="B794" s="106"/>
      <c r="C794" s="105"/>
      <c r="D794" s="105"/>
      <c r="E794" s="105"/>
      <c r="F794" s="105"/>
      <c r="G794" s="105"/>
      <c r="H794" s="105"/>
      <c r="I794" s="106"/>
      <c r="J794" s="106"/>
      <c r="K794" s="106"/>
      <c r="L794" s="106"/>
      <c r="M794" s="106"/>
      <c r="N794" s="105"/>
      <c r="O794" s="105"/>
      <c r="P794" s="105"/>
      <c r="Q794" s="105"/>
      <c r="R794" s="105"/>
      <c r="S794" s="105"/>
    </row>
    <row r="795">
      <c r="A795" s="105"/>
      <c r="B795" s="106"/>
      <c r="C795" s="105"/>
      <c r="D795" s="105"/>
      <c r="E795" s="105"/>
      <c r="F795" s="105"/>
      <c r="G795" s="105"/>
      <c r="H795" s="105"/>
      <c r="I795" s="106"/>
      <c r="J795" s="106"/>
      <c r="K795" s="106"/>
      <c r="L795" s="106"/>
      <c r="M795" s="106"/>
      <c r="N795" s="105"/>
      <c r="O795" s="105"/>
      <c r="P795" s="105"/>
      <c r="Q795" s="105"/>
      <c r="R795" s="105"/>
      <c r="S795" s="105"/>
    </row>
    <row r="796">
      <c r="A796" s="105"/>
      <c r="B796" s="106"/>
      <c r="C796" s="105"/>
      <c r="D796" s="105"/>
      <c r="E796" s="105"/>
      <c r="F796" s="105"/>
      <c r="G796" s="105"/>
      <c r="H796" s="105"/>
      <c r="I796" s="106"/>
      <c r="J796" s="106"/>
      <c r="K796" s="106"/>
      <c r="L796" s="106"/>
      <c r="M796" s="106"/>
      <c r="N796" s="105"/>
      <c r="O796" s="105"/>
      <c r="P796" s="105"/>
      <c r="Q796" s="105"/>
      <c r="R796" s="105"/>
      <c r="S796" s="105"/>
    </row>
    <row r="797">
      <c r="A797" s="105"/>
      <c r="B797" s="106"/>
      <c r="C797" s="105"/>
      <c r="D797" s="105"/>
      <c r="E797" s="105"/>
      <c r="F797" s="105"/>
      <c r="G797" s="105"/>
      <c r="H797" s="105"/>
      <c r="I797" s="106"/>
      <c r="J797" s="106"/>
      <c r="K797" s="106"/>
      <c r="L797" s="106"/>
      <c r="M797" s="106"/>
      <c r="N797" s="105"/>
      <c r="O797" s="105"/>
      <c r="P797" s="105"/>
      <c r="Q797" s="105"/>
      <c r="R797" s="105"/>
      <c r="S797" s="105"/>
    </row>
    <row r="798">
      <c r="A798" s="105"/>
      <c r="B798" s="106"/>
      <c r="C798" s="105"/>
      <c r="D798" s="105"/>
      <c r="E798" s="105"/>
      <c r="F798" s="105"/>
      <c r="G798" s="105"/>
      <c r="H798" s="105"/>
      <c r="I798" s="106"/>
      <c r="J798" s="106"/>
      <c r="K798" s="106"/>
      <c r="L798" s="106"/>
      <c r="M798" s="106"/>
      <c r="N798" s="105"/>
      <c r="O798" s="105"/>
      <c r="P798" s="105"/>
      <c r="Q798" s="105"/>
      <c r="R798" s="105"/>
      <c r="S798" s="105"/>
    </row>
    <row r="799">
      <c r="A799" s="105"/>
      <c r="B799" s="106"/>
      <c r="C799" s="105"/>
      <c r="D799" s="105"/>
      <c r="E799" s="105"/>
      <c r="F799" s="105"/>
      <c r="G799" s="105"/>
      <c r="H799" s="105"/>
      <c r="I799" s="106"/>
      <c r="J799" s="106"/>
      <c r="K799" s="106"/>
      <c r="L799" s="106"/>
      <c r="M799" s="106"/>
      <c r="N799" s="105"/>
      <c r="O799" s="105"/>
      <c r="P799" s="105"/>
      <c r="Q799" s="105"/>
      <c r="R799" s="105"/>
      <c r="S799" s="105"/>
    </row>
    <row r="800">
      <c r="A800" s="105"/>
      <c r="B800" s="106"/>
      <c r="C800" s="105"/>
      <c r="D800" s="105"/>
      <c r="E800" s="105"/>
      <c r="F800" s="105"/>
      <c r="G800" s="105"/>
      <c r="H800" s="105"/>
      <c r="I800" s="106"/>
      <c r="J800" s="106"/>
      <c r="K800" s="106"/>
      <c r="L800" s="106"/>
      <c r="M800" s="106"/>
      <c r="N800" s="105"/>
      <c r="O800" s="105"/>
      <c r="P800" s="105"/>
      <c r="Q800" s="105"/>
      <c r="R800" s="105"/>
      <c r="S800" s="105"/>
    </row>
    <row r="801">
      <c r="A801" s="105"/>
      <c r="B801" s="106"/>
      <c r="C801" s="105"/>
      <c r="D801" s="105"/>
      <c r="E801" s="105"/>
      <c r="F801" s="105"/>
      <c r="G801" s="105"/>
      <c r="H801" s="105"/>
      <c r="I801" s="106"/>
      <c r="J801" s="106"/>
      <c r="K801" s="106"/>
      <c r="L801" s="106"/>
      <c r="M801" s="106"/>
      <c r="N801" s="105"/>
      <c r="O801" s="105"/>
      <c r="P801" s="105"/>
      <c r="Q801" s="105"/>
      <c r="R801" s="105"/>
      <c r="S801" s="105"/>
    </row>
    <row r="802">
      <c r="A802" s="105"/>
      <c r="B802" s="106"/>
      <c r="C802" s="105"/>
      <c r="D802" s="105"/>
      <c r="E802" s="105"/>
      <c r="F802" s="105"/>
      <c r="G802" s="105"/>
      <c r="H802" s="105"/>
      <c r="I802" s="106"/>
      <c r="J802" s="106"/>
      <c r="K802" s="106"/>
      <c r="L802" s="106"/>
      <c r="M802" s="106"/>
      <c r="N802" s="105"/>
      <c r="O802" s="105"/>
      <c r="P802" s="105"/>
      <c r="Q802" s="105"/>
      <c r="R802" s="105"/>
      <c r="S802" s="105"/>
    </row>
    <row r="803">
      <c r="A803" s="105"/>
      <c r="B803" s="106"/>
      <c r="C803" s="105"/>
      <c r="D803" s="105"/>
      <c r="E803" s="105"/>
      <c r="F803" s="105"/>
      <c r="G803" s="105"/>
      <c r="H803" s="105"/>
      <c r="I803" s="106"/>
      <c r="J803" s="106"/>
      <c r="K803" s="106"/>
      <c r="L803" s="106"/>
      <c r="M803" s="106"/>
      <c r="N803" s="105"/>
      <c r="O803" s="105"/>
      <c r="P803" s="105"/>
      <c r="Q803" s="105"/>
      <c r="R803" s="105"/>
      <c r="S803" s="105"/>
    </row>
    <row r="804">
      <c r="A804" s="105"/>
      <c r="B804" s="106"/>
      <c r="C804" s="105"/>
      <c r="D804" s="105"/>
      <c r="E804" s="105"/>
      <c r="F804" s="105"/>
      <c r="G804" s="105"/>
      <c r="H804" s="105"/>
      <c r="I804" s="106"/>
      <c r="J804" s="106"/>
      <c r="K804" s="106"/>
      <c r="L804" s="106"/>
      <c r="M804" s="106"/>
      <c r="N804" s="105"/>
      <c r="O804" s="105"/>
      <c r="P804" s="105"/>
      <c r="Q804" s="105"/>
      <c r="R804" s="105"/>
      <c r="S804" s="105"/>
    </row>
    <row r="805">
      <c r="A805" s="105"/>
      <c r="B805" s="106"/>
      <c r="C805" s="105"/>
      <c r="D805" s="105"/>
      <c r="E805" s="105"/>
      <c r="F805" s="105"/>
      <c r="G805" s="105"/>
      <c r="H805" s="105"/>
      <c r="I805" s="106"/>
      <c r="J805" s="106"/>
      <c r="K805" s="106"/>
      <c r="L805" s="106"/>
      <c r="M805" s="106"/>
      <c r="N805" s="105"/>
      <c r="O805" s="105"/>
      <c r="P805" s="105"/>
      <c r="Q805" s="105"/>
      <c r="R805" s="105"/>
      <c r="S805" s="105"/>
    </row>
    <row r="806">
      <c r="A806" s="105"/>
      <c r="B806" s="106"/>
      <c r="C806" s="105"/>
      <c r="D806" s="105"/>
      <c r="E806" s="105"/>
      <c r="F806" s="105"/>
      <c r="G806" s="105"/>
      <c r="H806" s="105"/>
      <c r="I806" s="106"/>
      <c r="J806" s="106"/>
      <c r="K806" s="106"/>
      <c r="L806" s="106"/>
      <c r="M806" s="106"/>
      <c r="N806" s="105"/>
      <c r="O806" s="105"/>
      <c r="P806" s="105"/>
      <c r="Q806" s="105"/>
      <c r="R806" s="105"/>
      <c r="S806" s="105"/>
    </row>
    <row r="807">
      <c r="A807" s="105"/>
      <c r="B807" s="106"/>
      <c r="C807" s="105"/>
      <c r="D807" s="105"/>
      <c r="E807" s="105"/>
      <c r="F807" s="105"/>
      <c r="G807" s="105"/>
      <c r="H807" s="105"/>
      <c r="I807" s="106"/>
      <c r="J807" s="106"/>
      <c r="K807" s="106"/>
      <c r="L807" s="106"/>
      <c r="M807" s="106"/>
      <c r="N807" s="105"/>
      <c r="O807" s="105"/>
      <c r="P807" s="105"/>
      <c r="Q807" s="105"/>
      <c r="R807" s="105"/>
      <c r="S807" s="105"/>
    </row>
    <row r="808">
      <c r="A808" s="105"/>
      <c r="B808" s="106"/>
      <c r="C808" s="105"/>
      <c r="D808" s="105"/>
      <c r="E808" s="105"/>
      <c r="F808" s="105"/>
      <c r="G808" s="105"/>
      <c r="H808" s="105"/>
      <c r="I808" s="106"/>
      <c r="J808" s="106"/>
      <c r="K808" s="106"/>
      <c r="L808" s="106"/>
      <c r="M808" s="106"/>
      <c r="N808" s="105"/>
      <c r="O808" s="105"/>
      <c r="P808" s="105"/>
      <c r="Q808" s="105"/>
      <c r="R808" s="105"/>
      <c r="S808" s="105"/>
    </row>
    <row r="809">
      <c r="A809" s="105"/>
      <c r="B809" s="106"/>
      <c r="C809" s="105"/>
      <c r="D809" s="105"/>
      <c r="E809" s="105"/>
      <c r="F809" s="105"/>
      <c r="G809" s="105"/>
      <c r="H809" s="105"/>
      <c r="I809" s="106"/>
      <c r="J809" s="106"/>
      <c r="K809" s="106"/>
      <c r="L809" s="106"/>
      <c r="M809" s="106"/>
      <c r="N809" s="105"/>
      <c r="O809" s="105"/>
      <c r="P809" s="105"/>
      <c r="Q809" s="105"/>
      <c r="R809" s="105"/>
      <c r="S809" s="105"/>
    </row>
    <row r="810">
      <c r="A810" s="105"/>
      <c r="B810" s="106"/>
      <c r="C810" s="105"/>
      <c r="D810" s="105"/>
      <c r="E810" s="105"/>
      <c r="F810" s="105"/>
      <c r="G810" s="105"/>
      <c r="H810" s="105"/>
      <c r="I810" s="106"/>
      <c r="J810" s="106"/>
      <c r="K810" s="106"/>
      <c r="L810" s="106"/>
      <c r="M810" s="106"/>
      <c r="N810" s="105"/>
      <c r="O810" s="105"/>
      <c r="P810" s="105"/>
      <c r="Q810" s="105"/>
      <c r="R810" s="105"/>
      <c r="S810" s="105"/>
    </row>
    <row r="811">
      <c r="A811" s="105"/>
      <c r="B811" s="106"/>
      <c r="C811" s="105"/>
      <c r="D811" s="105"/>
      <c r="E811" s="105"/>
      <c r="F811" s="105"/>
      <c r="G811" s="105"/>
      <c r="H811" s="105"/>
      <c r="I811" s="106"/>
      <c r="J811" s="106"/>
      <c r="K811" s="106"/>
      <c r="L811" s="106"/>
      <c r="M811" s="106"/>
      <c r="N811" s="105"/>
      <c r="O811" s="105"/>
      <c r="P811" s="105"/>
      <c r="Q811" s="105"/>
      <c r="R811" s="105"/>
      <c r="S811" s="105"/>
    </row>
    <row r="812">
      <c r="A812" s="105"/>
      <c r="B812" s="106"/>
      <c r="C812" s="105"/>
      <c r="D812" s="105"/>
      <c r="E812" s="105"/>
      <c r="F812" s="105"/>
      <c r="G812" s="105"/>
      <c r="H812" s="105"/>
      <c r="I812" s="106"/>
      <c r="J812" s="106"/>
      <c r="K812" s="106"/>
      <c r="L812" s="106"/>
      <c r="M812" s="106"/>
      <c r="N812" s="105"/>
      <c r="O812" s="105"/>
      <c r="P812" s="105"/>
      <c r="Q812" s="105"/>
      <c r="R812" s="105"/>
      <c r="S812" s="105"/>
    </row>
    <row r="813">
      <c r="A813" s="105"/>
      <c r="B813" s="106"/>
      <c r="C813" s="105"/>
      <c r="D813" s="105"/>
      <c r="E813" s="105"/>
      <c r="F813" s="105"/>
      <c r="G813" s="105"/>
      <c r="H813" s="105"/>
      <c r="I813" s="106"/>
      <c r="J813" s="106"/>
      <c r="K813" s="106"/>
      <c r="L813" s="106"/>
      <c r="M813" s="106"/>
      <c r="N813" s="105"/>
      <c r="O813" s="105"/>
      <c r="P813" s="105"/>
      <c r="Q813" s="105"/>
      <c r="R813" s="105"/>
      <c r="S813" s="105"/>
    </row>
    <row r="814">
      <c r="A814" s="105"/>
      <c r="B814" s="106"/>
      <c r="C814" s="105"/>
      <c r="D814" s="105"/>
      <c r="E814" s="105"/>
      <c r="F814" s="105"/>
      <c r="G814" s="105"/>
      <c r="H814" s="105"/>
      <c r="I814" s="106"/>
      <c r="J814" s="106"/>
      <c r="K814" s="106"/>
      <c r="L814" s="106"/>
      <c r="M814" s="106"/>
      <c r="N814" s="105"/>
      <c r="O814" s="105"/>
      <c r="P814" s="105"/>
      <c r="Q814" s="105"/>
      <c r="R814" s="105"/>
      <c r="S814" s="105"/>
    </row>
    <row r="815">
      <c r="A815" s="105"/>
      <c r="B815" s="106"/>
      <c r="C815" s="105"/>
      <c r="D815" s="105"/>
      <c r="E815" s="105"/>
      <c r="F815" s="105"/>
      <c r="G815" s="105"/>
      <c r="H815" s="105"/>
      <c r="I815" s="106"/>
      <c r="J815" s="106"/>
      <c r="K815" s="106"/>
      <c r="L815" s="106"/>
      <c r="M815" s="106"/>
      <c r="N815" s="105"/>
      <c r="O815" s="105"/>
      <c r="P815" s="105"/>
      <c r="Q815" s="105"/>
      <c r="R815" s="105"/>
      <c r="S815" s="105"/>
    </row>
    <row r="816">
      <c r="A816" s="105"/>
      <c r="B816" s="106"/>
      <c r="C816" s="105"/>
      <c r="D816" s="105"/>
      <c r="E816" s="105"/>
      <c r="F816" s="105"/>
      <c r="G816" s="105"/>
      <c r="H816" s="105"/>
      <c r="I816" s="106"/>
      <c r="J816" s="106"/>
      <c r="K816" s="106"/>
      <c r="L816" s="106"/>
      <c r="M816" s="106"/>
      <c r="N816" s="105"/>
      <c r="O816" s="105"/>
      <c r="P816" s="105"/>
      <c r="Q816" s="105"/>
      <c r="R816" s="105"/>
      <c r="S816" s="105"/>
    </row>
    <row r="817">
      <c r="A817" s="105"/>
      <c r="B817" s="106"/>
      <c r="C817" s="105"/>
      <c r="D817" s="105"/>
      <c r="E817" s="105"/>
      <c r="F817" s="105"/>
      <c r="G817" s="105"/>
      <c r="H817" s="105"/>
      <c r="I817" s="106"/>
      <c r="J817" s="106"/>
      <c r="K817" s="106"/>
      <c r="L817" s="106"/>
      <c r="M817" s="106"/>
      <c r="N817" s="105"/>
      <c r="O817" s="105"/>
      <c r="P817" s="105"/>
      <c r="Q817" s="105"/>
      <c r="R817" s="105"/>
      <c r="S817" s="105"/>
    </row>
    <row r="818">
      <c r="A818" s="105"/>
      <c r="B818" s="106"/>
      <c r="C818" s="105"/>
      <c r="D818" s="105"/>
      <c r="E818" s="105"/>
      <c r="F818" s="105"/>
      <c r="G818" s="105"/>
      <c r="H818" s="105"/>
      <c r="I818" s="106"/>
      <c r="J818" s="106"/>
      <c r="K818" s="106"/>
      <c r="L818" s="106"/>
      <c r="M818" s="106"/>
      <c r="N818" s="105"/>
      <c r="O818" s="105"/>
      <c r="P818" s="105"/>
      <c r="Q818" s="105"/>
      <c r="R818" s="105"/>
      <c r="S818" s="105"/>
    </row>
    <row r="819">
      <c r="A819" s="105"/>
      <c r="B819" s="106"/>
      <c r="C819" s="105"/>
      <c r="D819" s="105"/>
      <c r="E819" s="105"/>
      <c r="F819" s="105"/>
      <c r="G819" s="105"/>
      <c r="H819" s="105"/>
      <c r="I819" s="106"/>
      <c r="J819" s="106"/>
      <c r="K819" s="106"/>
      <c r="L819" s="106"/>
      <c r="M819" s="106"/>
      <c r="N819" s="105"/>
      <c r="O819" s="105"/>
      <c r="P819" s="105"/>
      <c r="Q819" s="105"/>
      <c r="R819" s="105"/>
      <c r="S819" s="105"/>
    </row>
    <row r="820">
      <c r="A820" s="105"/>
      <c r="B820" s="106"/>
      <c r="C820" s="105"/>
      <c r="D820" s="105"/>
      <c r="E820" s="105"/>
      <c r="F820" s="105"/>
      <c r="G820" s="105"/>
      <c r="H820" s="105"/>
      <c r="I820" s="106"/>
      <c r="J820" s="106"/>
      <c r="K820" s="106"/>
      <c r="L820" s="106"/>
      <c r="M820" s="106"/>
      <c r="N820" s="105"/>
      <c r="O820" s="105"/>
      <c r="P820" s="105"/>
      <c r="Q820" s="105"/>
      <c r="R820" s="105"/>
      <c r="S820" s="105"/>
    </row>
    <row r="821">
      <c r="A821" s="105"/>
      <c r="B821" s="106"/>
      <c r="C821" s="105"/>
      <c r="D821" s="105"/>
      <c r="E821" s="105"/>
      <c r="F821" s="105"/>
      <c r="G821" s="105"/>
      <c r="H821" s="105"/>
      <c r="I821" s="106"/>
      <c r="J821" s="106"/>
      <c r="K821" s="106"/>
      <c r="L821" s="106"/>
      <c r="M821" s="106"/>
      <c r="N821" s="105"/>
      <c r="O821" s="105"/>
      <c r="P821" s="105"/>
      <c r="Q821" s="105"/>
      <c r="R821" s="105"/>
      <c r="S821" s="105"/>
    </row>
    <row r="822">
      <c r="A822" s="105"/>
      <c r="B822" s="106"/>
      <c r="C822" s="105"/>
      <c r="D822" s="105"/>
      <c r="E822" s="105"/>
      <c r="F822" s="105"/>
      <c r="G822" s="105"/>
      <c r="H822" s="105"/>
      <c r="I822" s="106"/>
      <c r="J822" s="106"/>
      <c r="K822" s="106"/>
      <c r="L822" s="106"/>
      <c r="M822" s="106"/>
      <c r="N822" s="105"/>
      <c r="O822" s="105"/>
      <c r="P822" s="105"/>
      <c r="Q822" s="105"/>
      <c r="R822" s="105"/>
      <c r="S822" s="105"/>
    </row>
    <row r="823">
      <c r="A823" s="105"/>
      <c r="B823" s="106"/>
      <c r="C823" s="105"/>
      <c r="D823" s="105"/>
      <c r="E823" s="105"/>
      <c r="F823" s="105"/>
      <c r="G823" s="105"/>
      <c r="H823" s="105"/>
      <c r="I823" s="106"/>
      <c r="J823" s="106"/>
      <c r="K823" s="106"/>
      <c r="L823" s="106"/>
      <c r="M823" s="106"/>
      <c r="N823" s="105"/>
      <c r="O823" s="105"/>
      <c r="P823" s="105"/>
      <c r="Q823" s="105"/>
      <c r="R823" s="105"/>
      <c r="S823" s="105"/>
    </row>
    <row r="824">
      <c r="A824" s="105"/>
      <c r="B824" s="106"/>
      <c r="C824" s="105"/>
      <c r="D824" s="105"/>
      <c r="E824" s="105"/>
      <c r="F824" s="105"/>
      <c r="G824" s="105"/>
      <c r="H824" s="105"/>
      <c r="I824" s="106"/>
      <c r="J824" s="106"/>
      <c r="K824" s="106"/>
      <c r="L824" s="106"/>
      <c r="M824" s="106"/>
      <c r="N824" s="105"/>
      <c r="O824" s="105"/>
      <c r="P824" s="105"/>
      <c r="Q824" s="105"/>
      <c r="R824" s="105"/>
      <c r="S824" s="105"/>
    </row>
    <row r="825">
      <c r="A825" s="105"/>
      <c r="B825" s="106"/>
      <c r="C825" s="105"/>
      <c r="D825" s="105"/>
      <c r="E825" s="105"/>
      <c r="F825" s="105"/>
      <c r="G825" s="105"/>
      <c r="H825" s="105"/>
      <c r="I825" s="106"/>
      <c r="J825" s="106"/>
      <c r="K825" s="106"/>
      <c r="L825" s="106"/>
      <c r="M825" s="106"/>
      <c r="N825" s="105"/>
      <c r="O825" s="105"/>
      <c r="P825" s="105"/>
      <c r="Q825" s="105"/>
      <c r="R825" s="105"/>
      <c r="S825" s="105"/>
    </row>
    <row r="826">
      <c r="A826" s="105"/>
      <c r="B826" s="106"/>
      <c r="C826" s="105"/>
      <c r="D826" s="105"/>
      <c r="E826" s="105"/>
      <c r="F826" s="105"/>
      <c r="G826" s="105"/>
      <c r="H826" s="105"/>
      <c r="I826" s="106"/>
      <c r="J826" s="106"/>
      <c r="K826" s="106"/>
      <c r="L826" s="106"/>
      <c r="M826" s="106"/>
      <c r="N826" s="105"/>
      <c r="O826" s="105"/>
      <c r="P826" s="105"/>
      <c r="Q826" s="105"/>
      <c r="R826" s="105"/>
      <c r="S826" s="105"/>
    </row>
    <row r="827">
      <c r="A827" s="105"/>
      <c r="B827" s="106"/>
      <c r="C827" s="105"/>
      <c r="D827" s="105"/>
      <c r="E827" s="105"/>
      <c r="F827" s="105"/>
      <c r="G827" s="105"/>
      <c r="H827" s="105"/>
      <c r="I827" s="106"/>
      <c r="J827" s="106"/>
      <c r="K827" s="106"/>
      <c r="L827" s="106"/>
      <c r="M827" s="106"/>
      <c r="N827" s="105"/>
      <c r="O827" s="105"/>
      <c r="P827" s="105"/>
      <c r="Q827" s="105"/>
      <c r="R827" s="105"/>
      <c r="S827" s="105"/>
    </row>
    <row r="828">
      <c r="A828" s="105"/>
      <c r="B828" s="106"/>
      <c r="C828" s="105"/>
      <c r="D828" s="105"/>
      <c r="E828" s="105"/>
      <c r="F828" s="105"/>
      <c r="G828" s="105"/>
      <c r="H828" s="105"/>
      <c r="I828" s="106"/>
      <c r="J828" s="106"/>
      <c r="K828" s="106"/>
      <c r="L828" s="106"/>
      <c r="M828" s="106"/>
      <c r="N828" s="105"/>
      <c r="O828" s="105"/>
      <c r="P828" s="105"/>
      <c r="Q828" s="105"/>
      <c r="R828" s="105"/>
      <c r="S828" s="105"/>
    </row>
    <row r="829">
      <c r="A829" s="105"/>
      <c r="B829" s="106"/>
      <c r="C829" s="105"/>
      <c r="D829" s="105"/>
      <c r="E829" s="105"/>
      <c r="F829" s="105"/>
      <c r="G829" s="105"/>
      <c r="H829" s="105"/>
      <c r="I829" s="106"/>
      <c r="J829" s="106"/>
      <c r="K829" s="106"/>
      <c r="L829" s="106"/>
      <c r="M829" s="106"/>
      <c r="N829" s="105"/>
      <c r="O829" s="105"/>
      <c r="P829" s="105"/>
      <c r="Q829" s="105"/>
      <c r="R829" s="105"/>
      <c r="S829" s="105"/>
    </row>
    <row r="830">
      <c r="A830" s="105"/>
      <c r="B830" s="106"/>
      <c r="C830" s="105"/>
      <c r="D830" s="105"/>
      <c r="E830" s="105"/>
      <c r="F830" s="105"/>
      <c r="G830" s="105"/>
      <c r="H830" s="105"/>
      <c r="I830" s="106"/>
      <c r="J830" s="106"/>
      <c r="K830" s="106"/>
      <c r="L830" s="106"/>
      <c r="M830" s="106"/>
      <c r="N830" s="105"/>
      <c r="O830" s="105"/>
      <c r="P830" s="105"/>
      <c r="Q830" s="105"/>
      <c r="R830" s="105"/>
      <c r="S830" s="105"/>
    </row>
    <row r="831">
      <c r="A831" s="105"/>
      <c r="B831" s="106"/>
      <c r="C831" s="105"/>
      <c r="D831" s="105"/>
      <c r="E831" s="105"/>
      <c r="F831" s="105"/>
      <c r="G831" s="105"/>
      <c r="H831" s="105"/>
      <c r="I831" s="106"/>
      <c r="J831" s="106"/>
      <c r="K831" s="106"/>
      <c r="L831" s="106"/>
      <c r="M831" s="106"/>
      <c r="N831" s="105"/>
      <c r="O831" s="105"/>
      <c r="P831" s="105"/>
      <c r="Q831" s="105"/>
      <c r="R831" s="105"/>
      <c r="S831" s="105"/>
    </row>
    <row r="832">
      <c r="A832" s="105"/>
      <c r="B832" s="106"/>
      <c r="C832" s="105"/>
      <c r="D832" s="105"/>
      <c r="E832" s="105"/>
      <c r="F832" s="105"/>
      <c r="G832" s="105"/>
      <c r="H832" s="105"/>
      <c r="I832" s="106"/>
      <c r="J832" s="106"/>
      <c r="K832" s="106"/>
      <c r="L832" s="106"/>
      <c r="M832" s="106"/>
      <c r="N832" s="105"/>
      <c r="O832" s="105"/>
      <c r="P832" s="105"/>
      <c r="Q832" s="105"/>
      <c r="R832" s="105"/>
      <c r="S832" s="105"/>
    </row>
    <row r="833">
      <c r="A833" s="105"/>
      <c r="B833" s="106"/>
      <c r="C833" s="105"/>
      <c r="D833" s="105"/>
      <c r="E833" s="105"/>
      <c r="F833" s="105"/>
      <c r="G833" s="105"/>
      <c r="H833" s="105"/>
      <c r="I833" s="106"/>
      <c r="J833" s="106"/>
      <c r="K833" s="106"/>
      <c r="L833" s="106"/>
      <c r="M833" s="106"/>
      <c r="N833" s="105"/>
      <c r="O833" s="105"/>
      <c r="P833" s="105"/>
      <c r="Q833" s="105"/>
      <c r="R833" s="105"/>
      <c r="S833" s="105"/>
    </row>
    <row r="834">
      <c r="A834" s="105"/>
      <c r="B834" s="106"/>
      <c r="C834" s="105"/>
      <c r="D834" s="105"/>
      <c r="E834" s="105"/>
      <c r="F834" s="105"/>
      <c r="G834" s="105"/>
      <c r="H834" s="105"/>
      <c r="I834" s="106"/>
      <c r="J834" s="106"/>
      <c r="K834" s="106"/>
      <c r="L834" s="106"/>
      <c r="M834" s="106"/>
      <c r="N834" s="105"/>
      <c r="O834" s="105"/>
      <c r="P834" s="105"/>
      <c r="Q834" s="105"/>
      <c r="R834" s="105"/>
      <c r="S834" s="105"/>
    </row>
    <row r="835">
      <c r="A835" s="105"/>
      <c r="B835" s="106"/>
      <c r="C835" s="105"/>
      <c r="D835" s="105"/>
      <c r="E835" s="105"/>
      <c r="F835" s="105"/>
      <c r="G835" s="105"/>
      <c r="H835" s="105"/>
      <c r="I835" s="106"/>
      <c r="J835" s="106"/>
      <c r="K835" s="106"/>
      <c r="L835" s="106"/>
      <c r="M835" s="106"/>
      <c r="N835" s="105"/>
      <c r="O835" s="105"/>
      <c r="P835" s="105"/>
      <c r="Q835" s="105"/>
      <c r="R835" s="105"/>
      <c r="S835" s="105"/>
    </row>
    <row r="836">
      <c r="A836" s="105"/>
      <c r="B836" s="106"/>
      <c r="C836" s="105"/>
      <c r="D836" s="105"/>
      <c r="E836" s="105"/>
      <c r="F836" s="105"/>
      <c r="G836" s="105"/>
      <c r="H836" s="105"/>
      <c r="I836" s="106"/>
      <c r="J836" s="106"/>
      <c r="K836" s="106"/>
      <c r="L836" s="106"/>
      <c r="M836" s="106"/>
      <c r="N836" s="105"/>
      <c r="O836" s="105"/>
      <c r="P836" s="105"/>
      <c r="Q836" s="105"/>
      <c r="R836" s="105"/>
      <c r="S836" s="105"/>
    </row>
    <row r="837">
      <c r="A837" s="105"/>
      <c r="B837" s="106"/>
      <c r="C837" s="105"/>
      <c r="D837" s="105"/>
      <c r="E837" s="105"/>
      <c r="F837" s="105"/>
      <c r="G837" s="105"/>
      <c r="H837" s="105"/>
      <c r="I837" s="106"/>
      <c r="J837" s="106"/>
      <c r="K837" s="106"/>
      <c r="L837" s="106"/>
      <c r="M837" s="106"/>
      <c r="N837" s="105"/>
      <c r="O837" s="105"/>
      <c r="P837" s="105"/>
      <c r="Q837" s="105"/>
      <c r="R837" s="105"/>
      <c r="S837" s="105"/>
    </row>
    <row r="838">
      <c r="A838" s="105"/>
      <c r="B838" s="106"/>
      <c r="C838" s="105"/>
      <c r="D838" s="105"/>
      <c r="E838" s="105"/>
      <c r="F838" s="105"/>
      <c r="G838" s="105"/>
      <c r="H838" s="105"/>
      <c r="I838" s="106"/>
      <c r="J838" s="106"/>
      <c r="K838" s="106"/>
      <c r="L838" s="106"/>
      <c r="M838" s="106"/>
      <c r="N838" s="105"/>
      <c r="O838" s="105"/>
      <c r="P838" s="105"/>
      <c r="Q838" s="105"/>
      <c r="R838" s="105"/>
      <c r="S838" s="105"/>
    </row>
    <row r="839">
      <c r="A839" s="105"/>
      <c r="B839" s="106"/>
      <c r="C839" s="105"/>
      <c r="D839" s="105"/>
      <c r="E839" s="105"/>
      <c r="F839" s="105"/>
      <c r="G839" s="105"/>
      <c r="H839" s="105"/>
      <c r="I839" s="106"/>
      <c r="J839" s="106"/>
      <c r="K839" s="106"/>
      <c r="L839" s="106"/>
      <c r="M839" s="106"/>
      <c r="N839" s="105"/>
      <c r="O839" s="105"/>
      <c r="P839" s="105"/>
      <c r="Q839" s="105"/>
      <c r="R839" s="105"/>
      <c r="S839" s="105"/>
    </row>
    <row r="840">
      <c r="A840" s="105"/>
      <c r="B840" s="106"/>
      <c r="C840" s="105"/>
      <c r="D840" s="105"/>
      <c r="E840" s="105"/>
      <c r="F840" s="105"/>
      <c r="G840" s="105"/>
      <c r="H840" s="105"/>
      <c r="I840" s="106"/>
      <c r="J840" s="106"/>
      <c r="K840" s="106"/>
      <c r="L840" s="106"/>
      <c r="M840" s="106"/>
      <c r="N840" s="105"/>
      <c r="O840" s="105"/>
      <c r="P840" s="105"/>
      <c r="Q840" s="105"/>
      <c r="R840" s="105"/>
      <c r="S840" s="105"/>
    </row>
    <row r="841">
      <c r="A841" s="105"/>
      <c r="B841" s="106"/>
      <c r="C841" s="105"/>
      <c r="D841" s="105"/>
      <c r="E841" s="105"/>
      <c r="F841" s="105"/>
      <c r="G841" s="105"/>
      <c r="H841" s="105"/>
      <c r="I841" s="106"/>
      <c r="J841" s="106"/>
      <c r="K841" s="106"/>
      <c r="L841" s="106"/>
      <c r="M841" s="106"/>
      <c r="N841" s="105"/>
      <c r="O841" s="105"/>
      <c r="P841" s="105"/>
      <c r="Q841" s="105"/>
      <c r="R841" s="105"/>
      <c r="S841" s="105"/>
    </row>
    <row r="842">
      <c r="A842" s="105"/>
      <c r="B842" s="106"/>
      <c r="C842" s="105"/>
      <c r="D842" s="105"/>
      <c r="E842" s="105"/>
      <c r="F842" s="105"/>
      <c r="G842" s="105"/>
      <c r="H842" s="105"/>
      <c r="I842" s="106"/>
      <c r="J842" s="106"/>
      <c r="K842" s="106"/>
      <c r="L842" s="106"/>
      <c r="M842" s="106"/>
      <c r="N842" s="105"/>
      <c r="O842" s="105"/>
      <c r="P842" s="105"/>
      <c r="Q842" s="105"/>
      <c r="R842" s="105"/>
      <c r="S842" s="105"/>
    </row>
    <row r="843">
      <c r="A843" s="105"/>
      <c r="B843" s="106"/>
      <c r="C843" s="105"/>
      <c r="D843" s="105"/>
      <c r="E843" s="105"/>
      <c r="F843" s="105"/>
      <c r="G843" s="105"/>
      <c r="H843" s="105"/>
      <c r="I843" s="106"/>
      <c r="J843" s="106"/>
      <c r="K843" s="106"/>
      <c r="L843" s="106"/>
      <c r="M843" s="106"/>
      <c r="N843" s="105"/>
      <c r="O843" s="105"/>
      <c r="P843" s="105"/>
      <c r="Q843" s="105"/>
      <c r="R843" s="105"/>
      <c r="S843" s="105"/>
    </row>
    <row r="844">
      <c r="A844" s="105"/>
      <c r="B844" s="106"/>
      <c r="C844" s="105"/>
      <c r="D844" s="105"/>
      <c r="E844" s="105"/>
      <c r="F844" s="105"/>
      <c r="G844" s="105"/>
      <c r="H844" s="105"/>
      <c r="I844" s="106"/>
      <c r="J844" s="106"/>
      <c r="K844" s="106"/>
      <c r="L844" s="106"/>
      <c r="M844" s="106"/>
      <c r="N844" s="105"/>
      <c r="O844" s="105"/>
      <c r="P844" s="105"/>
      <c r="Q844" s="105"/>
      <c r="R844" s="105"/>
      <c r="S844" s="105"/>
    </row>
    <row r="845">
      <c r="A845" s="105"/>
      <c r="B845" s="106"/>
      <c r="C845" s="105"/>
      <c r="D845" s="105"/>
      <c r="E845" s="105"/>
      <c r="F845" s="105"/>
      <c r="G845" s="105"/>
      <c r="H845" s="105"/>
      <c r="I845" s="106"/>
      <c r="J845" s="106"/>
      <c r="K845" s="106"/>
      <c r="L845" s="106"/>
      <c r="M845" s="106"/>
      <c r="N845" s="105"/>
      <c r="O845" s="105"/>
      <c r="P845" s="105"/>
      <c r="Q845" s="105"/>
      <c r="R845" s="105"/>
      <c r="S845" s="105"/>
    </row>
    <row r="846">
      <c r="A846" s="105"/>
      <c r="B846" s="106"/>
      <c r="C846" s="105"/>
      <c r="D846" s="105"/>
      <c r="E846" s="105"/>
      <c r="F846" s="105"/>
      <c r="G846" s="105"/>
      <c r="H846" s="105"/>
      <c r="I846" s="106"/>
      <c r="J846" s="106"/>
      <c r="K846" s="106"/>
      <c r="L846" s="106"/>
      <c r="M846" s="106"/>
      <c r="N846" s="105"/>
      <c r="O846" s="105"/>
      <c r="P846" s="105"/>
      <c r="Q846" s="105"/>
      <c r="R846" s="105"/>
      <c r="S846" s="105"/>
    </row>
    <row r="847">
      <c r="A847" s="105"/>
      <c r="B847" s="106"/>
      <c r="C847" s="105"/>
      <c r="D847" s="105"/>
      <c r="E847" s="105"/>
      <c r="F847" s="105"/>
      <c r="G847" s="105"/>
      <c r="H847" s="105"/>
      <c r="I847" s="106"/>
      <c r="J847" s="106"/>
      <c r="K847" s="106"/>
      <c r="L847" s="106"/>
      <c r="M847" s="106"/>
      <c r="N847" s="105"/>
      <c r="O847" s="105"/>
      <c r="P847" s="105"/>
      <c r="Q847" s="105"/>
      <c r="R847" s="105"/>
      <c r="S847" s="105"/>
    </row>
    <row r="848">
      <c r="A848" s="105"/>
      <c r="B848" s="106"/>
      <c r="C848" s="105"/>
      <c r="D848" s="105"/>
      <c r="E848" s="105"/>
      <c r="F848" s="105"/>
      <c r="G848" s="105"/>
      <c r="H848" s="105"/>
      <c r="I848" s="106"/>
      <c r="J848" s="106"/>
      <c r="K848" s="106"/>
      <c r="L848" s="106"/>
      <c r="M848" s="106"/>
      <c r="N848" s="105"/>
      <c r="O848" s="105"/>
      <c r="P848" s="105"/>
      <c r="Q848" s="105"/>
      <c r="R848" s="105"/>
      <c r="S848" s="105"/>
    </row>
    <row r="849">
      <c r="A849" s="105"/>
      <c r="B849" s="106"/>
      <c r="C849" s="105"/>
      <c r="D849" s="105"/>
      <c r="E849" s="105"/>
      <c r="F849" s="105"/>
      <c r="G849" s="105"/>
      <c r="H849" s="105"/>
      <c r="I849" s="106"/>
      <c r="J849" s="106"/>
      <c r="K849" s="106"/>
      <c r="L849" s="106"/>
      <c r="M849" s="106"/>
      <c r="N849" s="105"/>
      <c r="O849" s="105"/>
      <c r="P849" s="105"/>
      <c r="Q849" s="105"/>
      <c r="R849" s="105"/>
      <c r="S849" s="105"/>
    </row>
    <row r="850">
      <c r="A850" s="105"/>
      <c r="B850" s="106"/>
      <c r="C850" s="105"/>
      <c r="D850" s="105"/>
      <c r="E850" s="105"/>
      <c r="F850" s="105"/>
      <c r="G850" s="105"/>
      <c r="H850" s="105"/>
      <c r="I850" s="106"/>
      <c r="J850" s="106"/>
      <c r="K850" s="106"/>
      <c r="L850" s="106"/>
      <c r="M850" s="106"/>
      <c r="N850" s="105"/>
      <c r="O850" s="105"/>
      <c r="P850" s="105"/>
      <c r="Q850" s="105"/>
      <c r="R850" s="105"/>
      <c r="S850" s="105"/>
    </row>
    <row r="851">
      <c r="A851" s="105"/>
      <c r="B851" s="106"/>
      <c r="C851" s="105"/>
      <c r="D851" s="105"/>
      <c r="E851" s="105"/>
      <c r="F851" s="105"/>
      <c r="G851" s="105"/>
      <c r="H851" s="105"/>
      <c r="I851" s="106"/>
      <c r="J851" s="106"/>
      <c r="K851" s="106"/>
      <c r="L851" s="106"/>
      <c r="M851" s="106"/>
      <c r="N851" s="105"/>
      <c r="O851" s="105"/>
      <c r="P851" s="105"/>
      <c r="Q851" s="105"/>
      <c r="R851" s="105"/>
      <c r="S851" s="105"/>
    </row>
    <row r="852">
      <c r="A852" s="105"/>
      <c r="B852" s="106"/>
      <c r="C852" s="105"/>
      <c r="D852" s="105"/>
      <c r="E852" s="105"/>
      <c r="F852" s="105"/>
      <c r="G852" s="105"/>
      <c r="H852" s="105"/>
      <c r="I852" s="106"/>
      <c r="J852" s="106"/>
      <c r="K852" s="106"/>
      <c r="L852" s="106"/>
      <c r="M852" s="106"/>
      <c r="N852" s="105"/>
      <c r="O852" s="105"/>
      <c r="P852" s="105"/>
      <c r="Q852" s="105"/>
      <c r="R852" s="105"/>
      <c r="S852" s="105"/>
    </row>
    <row r="853">
      <c r="A853" s="105"/>
      <c r="B853" s="106"/>
      <c r="C853" s="105"/>
      <c r="D853" s="105"/>
      <c r="E853" s="105"/>
      <c r="F853" s="105"/>
      <c r="G853" s="105"/>
      <c r="H853" s="105"/>
      <c r="I853" s="106"/>
      <c r="J853" s="106"/>
      <c r="K853" s="106"/>
      <c r="L853" s="106"/>
      <c r="M853" s="106"/>
      <c r="N853" s="105"/>
      <c r="O853" s="105"/>
      <c r="P853" s="105"/>
      <c r="Q853" s="105"/>
      <c r="R853" s="105"/>
      <c r="S853" s="105"/>
    </row>
    <row r="854">
      <c r="A854" s="105"/>
      <c r="B854" s="106"/>
      <c r="C854" s="105"/>
      <c r="D854" s="105"/>
      <c r="E854" s="105"/>
      <c r="F854" s="105"/>
      <c r="G854" s="105"/>
      <c r="H854" s="105"/>
      <c r="I854" s="106"/>
      <c r="J854" s="106"/>
      <c r="K854" s="106"/>
      <c r="L854" s="106"/>
      <c r="M854" s="106"/>
      <c r="N854" s="105"/>
      <c r="O854" s="105"/>
      <c r="P854" s="105"/>
      <c r="Q854" s="105"/>
      <c r="R854" s="105"/>
      <c r="S854" s="105"/>
    </row>
    <row r="855">
      <c r="A855" s="105"/>
      <c r="B855" s="106"/>
      <c r="C855" s="105"/>
      <c r="D855" s="105"/>
      <c r="E855" s="105"/>
      <c r="F855" s="105"/>
      <c r="G855" s="105"/>
      <c r="H855" s="105"/>
      <c r="I855" s="106"/>
      <c r="J855" s="106"/>
      <c r="K855" s="106"/>
      <c r="L855" s="106"/>
      <c r="M855" s="106"/>
      <c r="N855" s="105"/>
      <c r="O855" s="105"/>
      <c r="P855" s="105"/>
      <c r="Q855" s="105"/>
      <c r="R855" s="105"/>
      <c r="S855" s="105"/>
    </row>
    <row r="856">
      <c r="A856" s="105"/>
      <c r="B856" s="106"/>
      <c r="C856" s="105"/>
      <c r="D856" s="105"/>
      <c r="E856" s="105"/>
      <c r="F856" s="105"/>
      <c r="G856" s="105"/>
      <c r="H856" s="105"/>
      <c r="I856" s="106"/>
      <c r="J856" s="106"/>
      <c r="K856" s="106"/>
      <c r="L856" s="106"/>
      <c r="M856" s="106"/>
      <c r="N856" s="105"/>
      <c r="O856" s="105"/>
      <c r="P856" s="105"/>
      <c r="Q856" s="105"/>
      <c r="R856" s="105"/>
      <c r="S856" s="105"/>
    </row>
    <row r="857">
      <c r="A857" s="105"/>
      <c r="B857" s="106"/>
      <c r="C857" s="105"/>
      <c r="D857" s="105"/>
      <c r="E857" s="105"/>
      <c r="F857" s="105"/>
      <c r="G857" s="105"/>
      <c r="H857" s="105"/>
      <c r="I857" s="106"/>
      <c r="J857" s="106"/>
      <c r="K857" s="106"/>
      <c r="L857" s="106"/>
      <c r="M857" s="106"/>
      <c r="N857" s="105"/>
      <c r="O857" s="105"/>
      <c r="P857" s="105"/>
      <c r="Q857" s="105"/>
      <c r="R857" s="105"/>
      <c r="S857" s="105"/>
    </row>
    <row r="858">
      <c r="A858" s="105"/>
      <c r="B858" s="106"/>
      <c r="C858" s="105"/>
      <c r="D858" s="105"/>
      <c r="E858" s="105"/>
      <c r="F858" s="105"/>
      <c r="G858" s="105"/>
      <c r="H858" s="105"/>
      <c r="I858" s="106"/>
      <c r="J858" s="106"/>
      <c r="K858" s="106"/>
      <c r="L858" s="106"/>
      <c r="M858" s="106"/>
      <c r="N858" s="105"/>
      <c r="O858" s="105"/>
      <c r="P858" s="105"/>
      <c r="Q858" s="105"/>
      <c r="R858" s="105"/>
      <c r="S858" s="105"/>
    </row>
    <row r="859">
      <c r="A859" s="105"/>
      <c r="B859" s="106"/>
      <c r="C859" s="105"/>
      <c r="D859" s="105"/>
      <c r="E859" s="105"/>
      <c r="F859" s="105"/>
      <c r="G859" s="105"/>
      <c r="H859" s="105"/>
      <c r="I859" s="106"/>
      <c r="J859" s="106"/>
      <c r="K859" s="106"/>
      <c r="L859" s="106"/>
      <c r="M859" s="106"/>
      <c r="N859" s="105"/>
      <c r="O859" s="105"/>
      <c r="P859" s="105"/>
      <c r="Q859" s="105"/>
      <c r="R859" s="105"/>
      <c r="S859" s="105"/>
    </row>
    <row r="860">
      <c r="A860" s="105"/>
      <c r="B860" s="106"/>
      <c r="C860" s="105"/>
      <c r="D860" s="105"/>
      <c r="E860" s="105"/>
      <c r="F860" s="105"/>
      <c r="G860" s="105"/>
      <c r="H860" s="105"/>
      <c r="I860" s="106"/>
      <c r="J860" s="106"/>
      <c r="K860" s="106"/>
      <c r="L860" s="106"/>
      <c r="M860" s="106"/>
      <c r="N860" s="105"/>
      <c r="O860" s="105"/>
      <c r="P860" s="105"/>
      <c r="Q860" s="105"/>
      <c r="R860" s="105"/>
      <c r="S860" s="105"/>
    </row>
    <row r="861">
      <c r="A861" s="105"/>
      <c r="B861" s="106"/>
      <c r="C861" s="105"/>
      <c r="D861" s="105"/>
      <c r="E861" s="105"/>
      <c r="F861" s="105"/>
      <c r="G861" s="105"/>
      <c r="H861" s="105"/>
      <c r="I861" s="106"/>
      <c r="J861" s="106"/>
      <c r="K861" s="106"/>
      <c r="L861" s="106"/>
      <c r="M861" s="106"/>
      <c r="N861" s="105"/>
      <c r="O861" s="105"/>
      <c r="P861" s="105"/>
      <c r="Q861" s="105"/>
      <c r="R861" s="105"/>
      <c r="S861" s="105"/>
    </row>
    <row r="862">
      <c r="A862" s="105"/>
      <c r="B862" s="106"/>
      <c r="C862" s="105"/>
      <c r="D862" s="105"/>
      <c r="E862" s="105"/>
      <c r="F862" s="105"/>
      <c r="G862" s="105"/>
      <c r="H862" s="105"/>
      <c r="I862" s="106"/>
      <c r="J862" s="106"/>
      <c r="K862" s="106"/>
      <c r="L862" s="106"/>
      <c r="M862" s="106"/>
      <c r="N862" s="105"/>
      <c r="O862" s="105"/>
      <c r="P862" s="105"/>
      <c r="Q862" s="105"/>
      <c r="R862" s="105"/>
      <c r="S862" s="105"/>
    </row>
    <row r="863">
      <c r="A863" s="105"/>
      <c r="B863" s="106"/>
      <c r="C863" s="105"/>
      <c r="D863" s="105"/>
      <c r="E863" s="105"/>
      <c r="F863" s="105"/>
      <c r="G863" s="105"/>
      <c r="H863" s="105"/>
      <c r="I863" s="106"/>
      <c r="J863" s="106"/>
      <c r="K863" s="106"/>
      <c r="L863" s="106"/>
      <c r="M863" s="106"/>
      <c r="N863" s="105"/>
      <c r="O863" s="105"/>
      <c r="P863" s="105"/>
      <c r="Q863" s="105"/>
      <c r="R863" s="105"/>
      <c r="S863" s="105"/>
    </row>
    <row r="864">
      <c r="A864" s="105"/>
      <c r="B864" s="106"/>
      <c r="C864" s="105"/>
      <c r="D864" s="105"/>
      <c r="E864" s="105"/>
      <c r="F864" s="105"/>
      <c r="G864" s="105"/>
      <c r="H864" s="105"/>
      <c r="I864" s="106"/>
      <c r="J864" s="106"/>
      <c r="K864" s="106"/>
      <c r="L864" s="106"/>
      <c r="M864" s="106"/>
      <c r="N864" s="105"/>
      <c r="O864" s="105"/>
      <c r="P864" s="105"/>
      <c r="Q864" s="105"/>
      <c r="R864" s="105"/>
      <c r="S864" s="105"/>
    </row>
    <row r="865">
      <c r="A865" s="105"/>
      <c r="B865" s="106"/>
      <c r="C865" s="105"/>
      <c r="D865" s="105"/>
      <c r="E865" s="105"/>
      <c r="F865" s="105"/>
      <c r="G865" s="105"/>
      <c r="H865" s="105"/>
      <c r="I865" s="106"/>
      <c r="J865" s="106"/>
      <c r="K865" s="106"/>
      <c r="L865" s="106"/>
      <c r="M865" s="106"/>
      <c r="N865" s="105"/>
      <c r="O865" s="105"/>
      <c r="P865" s="105"/>
      <c r="Q865" s="105"/>
      <c r="R865" s="105"/>
      <c r="S865" s="105"/>
    </row>
    <row r="866">
      <c r="A866" s="105"/>
      <c r="B866" s="106"/>
      <c r="C866" s="105"/>
      <c r="D866" s="105"/>
      <c r="E866" s="105"/>
      <c r="F866" s="105"/>
      <c r="G866" s="105"/>
      <c r="H866" s="105"/>
      <c r="I866" s="106"/>
      <c r="J866" s="106"/>
      <c r="K866" s="106"/>
      <c r="L866" s="106"/>
      <c r="M866" s="106"/>
      <c r="N866" s="105"/>
      <c r="O866" s="105"/>
      <c r="P866" s="105"/>
      <c r="Q866" s="105"/>
      <c r="R866" s="105"/>
      <c r="S866" s="105"/>
    </row>
    <row r="867">
      <c r="A867" s="105"/>
      <c r="B867" s="106"/>
      <c r="C867" s="105"/>
      <c r="D867" s="105"/>
      <c r="E867" s="105"/>
      <c r="F867" s="105"/>
      <c r="G867" s="105"/>
      <c r="H867" s="105"/>
      <c r="I867" s="106"/>
      <c r="J867" s="106"/>
      <c r="K867" s="106"/>
      <c r="L867" s="106"/>
      <c r="M867" s="106"/>
      <c r="N867" s="105"/>
      <c r="O867" s="105"/>
      <c r="P867" s="105"/>
      <c r="Q867" s="105"/>
      <c r="R867" s="105"/>
      <c r="S867" s="105"/>
    </row>
    <row r="868">
      <c r="A868" s="105"/>
      <c r="B868" s="106"/>
      <c r="C868" s="105"/>
      <c r="D868" s="105"/>
      <c r="E868" s="105"/>
      <c r="F868" s="105"/>
      <c r="G868" s="105"/>
      <c r="H868" s="105"/>
      <c r="I868" s="106"/>
      <c r="J868" s="106"/>
      <c r="K868" s="106"/>
      <c r="L868" s="106"/>
      <c r="M868" s="106"/>
      <c r="N868" s="105"/>
      <c r="O868" s="105"/>
      <c r="P868" s="105"/>
      <c r="Q868" s="105"/>
      <c r="R868" s="105"/>
      <c r="S868" s="105"/>
    </row>
    <row r="869">
      <c r="A869" s="105"/>
      <c r="B869" s="106"/>
      <c r="C869" s="105"/>
      <c r="D869" s="105"/>
      <c r="E869" s="105"/>
      <c r="F869" s="105"/>
      <c r="G869" s="105"/>
      <c r="H869" s="105"/>
      <c r="I869" s="106"/>
      <c r="J869" s="106"/>
      <c r="K869" s="106"/>
      <c r="L869" s="106"/>
      <c r="M869" s="106"/>
      <c r="N869" s="105"/>
      <c r="O869" s="105"/>
      <c r="P869" s="105"/>
      <c r="Q869" s="105"/>
      <c r="R869" s="105"/>
      <c r="S869" s="105"/>
    </row>
    <row r="870">
      <c r="A870" s="105"/>
      <c r="B870" s="106"/>
      <c r="C870" s="105"/>
      <c r="D870" s="105"/>
      <c r="E870" s="105"/>
      <c r="F870" s="105"/>
      <c r="G870" s="105"/>
      <c r="H870" s="105"/>
      <c r="I870" s="106"/>
      <c r="J870" s="106"/>
      <c r="K870" s="106"/>
      <c r="L870" s="106"/>
      <c r="M870" s="106"/>
      <c r="N870" s="105"/>
      <c r="O870" s="105"/>
      <c r="P870" s="105"/>
      <c r="Q870" s="105"/>
      <c r="R870" s="105"/>
      <c r="S870" s="105"/>
    </row>
    <row r="871">
      <c r="A871" s="105"/>
      <c r="B871" s="106"/>
      <c r="C871" s="105"/>
      <c r="D871" s="105"/>
      <c r="E871" s="105"/>
      <c r="F871" s="105"/>
      <c r="G871" s="105"/>
      <c r="H871" s="105"/>
      <c r="I871" s="106"/>
      <c r="J871" s="106"/>
      <c r="K871" s="106"/>
      <c r="L871" s="106"/>
      <c r="M871" s="106"/>
      <c r="N871" s="105"/>
      <c r="O871" s="105"/>
      <c r="P871" s="105"/>
      <c r="Q871" s="105"/>
      <c r="R871" s="105"/>
      <c r="S871" s="105"/>
    </row>
    <row r="872">
      <c r="A872" s="105"/>
      <c r="B872" s="106"/>
      <c r="C872" s="105"/>
      <c r="D872" s="105"/>
      <c r="E872" s="105"/>
      <c r="F872" s="105"/>
      <c r="G872" s="105"/>
      <c r="H872" s="105"/>
      <c r="I872" s="106"/>
      <c r="J872" s="106"/>
      <c r="K872" s="106"/>
      <c r="L872" s="106"/>
      <c r="M872" s="106"/>
      <c r="N872" s="105"/>
      <c r="O872" s="105"/>
      <c r="P872" s="105"/>
      <c r="Q872" s="105"/>
      <c r="R872" s="105"/>
      <c r="S872" s="105"/>
    </row>
    <row r="873">
      <c r="A873" s="105"/>
      <c r="B873" s="106"/>
      <c r="C873" s="105"/>
      <c r="D873" s="105"/>
      <c r="E873" s="105"/>
      <c r="F873" s="105"/>
      <c r="G873" s="105"/>
      <c r="H873" s="105"/>
      <c r="I873" s="106"/>
      <c r="J873" s="106"/>
      <c r="K873" s="106"/>
      <c r="L873" s="106"/>
      <c r="M873" s="106"/>
      <c r="N873" s="105"/>
      <c r="O873" s="105"/>
      <c r="P873" s="105"/>
      <c r="Q873" s="105"/>
      <c r="R873" s="105"/>
      <c r="S873" s="105"/>
    </row>
    <row r="874">
      <c r="A874" s="105"/>
      <c r="B874" s="106"/>
      <c r="C874" s="105"/>
      <c r="D874" s="105"/>
      <c r="E874" s="105"/>
      <c r="F874" s="105"/>
      <c r="G874" s="105"/>
      <c r="H874" s="105"/>
      <c r="I874" s="106"/>
      <c r="J874" s="106"/>
      <c r="K874" s="106"/>
      <c r="L874" s="106"/>
      <c r="M874" s="106"/>
      <c r="N874" s="105"/>
      <c r="O874" s="105"/>
      <c r="P874" s="105"/>
      <c r="Q874" s="105"/>
      <c r="R874" s="105"/>
      <c r="S874" s="105"/>
    </row>
    <row r="875">
      <c r="A875" s="105"/>
      <c r="B875" s="106"/>
      <c r="C875" s="105"/>
      <c r="D875" s="105"/>
      <c r="E875" s="105"/>
      <c r="F875" s="105"/>
      <c r="G875" s="105"/>
      <c r="H875" s="105"/>
      <c r="I875" s="106"/>
      <c r="J875" s="106"/>
      <c r="K875" s="106"/>
      <c r="L875" s="106"/>
      <c r="M875" s="106"/>
      <c r="N875" s="105"/>
      <c r="O875" s="105"/>
      <c r="P875" s="105"/>
      <c r="Q875" s="105"/>
      <c r="R875" s="105"/>
      <c r="S875" s="105"/>
    </row>
    <row r="876">
      <c r="A876" s="105"/>
      <c r="B876" s="106"/>
      <c r="C876" s="105"/>
      <c r="D876" s="105"/>
      <c r="E876" s="105"/>
      <c r="F876" s="105"/>
      <c r="G876" s="105"/>
      <c r="H876" s="105"/>
      <c r="I876" s="106"/>
      <c r="J876" s="106"/>
      <c r="K876" s="106"/>
      <c r="L876" s="106"/>
      <c r="M876" s="106"/>
      <c r="N876" s="105"/>
      <c r="O876" s="105"/>
      <c r="P876" s="105"/>
      <c r="Q876" s="105"/>
      <c r="R876" s="105"/>
      <c r="S876" s="105"/>
    </row>
    <row r="877">
      <c r="A877" s="105"/>
      <c r="B877" s="106"/>
      <c r="C877" s="105"/>
      <c r="D877" s="105"/>
      <c r="E877" s="105"/>
      <c r="F877" s="105"/>
      <c r="G877" s="105"/>
      <c r="H877" s="105"/>
      <c r="I877" s="106"/>
      <c r="J877" s="106"/>
      <c r="K877" s="106"/>
      <c r="L877" s="106"/>
      <c r="M877" s="106"/>
      <c r="N877" s="105"/>
      <c r="O877" s="105"/>
      <c r="P877" s="105"/>
      <c r="Q877" s="105"/>
      <c r="R877" s="105"/>
      <c r="S877" s="105"/>
    </row>
    <row r="878">
      <c r="A878" s="105"/>
      <c r="B878" s="106"/>
      <c r="C878" s="105"/>
      <c r="D878" s="105"/>
      <c r="E878" s="105"/>
      <c r="F878" s="105"/>
      <c r="G878" s="105"/>
      <c r="H878" s="105"/>
      <c r="I878" s="106"/>
      <c r="J878" s="106"/>
      <c r="K878" s="106"/>
      <c r="L878" s="106"/>
      <c r="M878" s="106"/>
      <c r="N878" s="105"/>
      <c r="O878" s="105"/>
      <c r="P878" s="105"/>
      <c r="Q878" s="105"/>
      <c r="R878" s="105"/>
      <c r="S878" s="105"/>
    </row>
    <row r="879">
      <c r="A879" s="105"/>
      <c r="B879" s="106"/>
      <c r="C879" s="105"/>
      <c r="D879" s="105"/>
      <c r="E879" s="105"/>
      <c r="F879" s="105"/>
      <c r="G879" s="105"/>
      <c r="H879" s="105"/>
      <c r="I879" s="106"/>
      <c r="J879" s="106"/>
      <c r="K879" s="106"/>
      <c r="L879" s="106"/>
      <c r="M879" s="106"/>
      <c r="N879" s="105"/>
      <c r="O879" s="105"/>
      <c r="P879" s="105"/>
      <c r="Q879" s="105"/>
      <c r="R879" s="105"/>
      <c r="S879" s="105"/>
    </row>
    <row r="880">
      <c r="A880" s="105"/>
      <c r="B880" s="106"/>
      <c r="C880" s="105"/>
      <c r="D880" s="105"/>
      <c r="E880" s="105"/>
      <c r="F880" s="105"/>
      <c r="G880" s="105"/>
      <c r="H880" s="105"/>
      <c r="I880" s="106"/>
      <c r="J880" s="106"/>
      <c r="K880" s="106"/>
      <c r="L880" s="106"/>
      <c r="M880" s="106"/>
      <c r="N880" s="105"/>
      <c r="O880" s="105"/>
      <c r="P880" s="105"/>
      <c r="Q880" s="105"/>
      <c r="R880" s="105"/>
      <c r="S880" s="105"/>
    </row>
    <row r="881">
      <c r="A881" s="105"/>
      <c r="B881" s="106"/>
      <c r="C881" s="105"/>
      <c r="D881" s="105"/>
      <c r="E881" s="105"/>
      <c r="F881" s="105"/>
      <c r="G881" s="105"/>
      <c r="H881" s="105"/>
      <c r="I881" s="106"/>
      <c r="J881" s="106"/>
      <c r="K881" s="106"/>
      <c r="L881" s="106"/>
      <c r="M881" s="106"/>
      <c r="N881" s="105"/>
      <c r="O881" s="105"/>
      <c r="P881" s="105"/>
      <c r="Q881" s="105"/>
      <c r="R881" s="105"/>
      <c r="S881" s="105"/>
    </row>
    <row r="882">
      <c r="A882" s="105"/>
      <c r="B882" s="106"/>
      <c r="C882" s="105"/>
      <c r="D882" s="105"/>
      <c r="E882" s="105"/>
      <c r="F882" s="105"/>
      <c r="G882" s="105"/>
      <c r="H882" s="105"/>
      <c r="I882" s="106"/>
      <c r="J882" s="106"/>
      <c r="K882" s="106"/>
      <c r="L882" s="106"/>
      <c r="M882" s="106"/>
      <c r="N882" s="105"/>
      <c r="O882" s="105"/>
      <c r="P882" s="105"/>
      <c r="Q882" s="105"/>
      <c r="R882" s="105"/>
      <c r="S882" s="105"/>
    </row>
    <row r="883">
      <c r="A883" s="105"/>
      <c r="B883" s="106"/>
      <c r="C883" s="105"/>
      <c r="D883" s="105"/>
      <c r="E883" s="105"/>
      <c r="F883" s="105"/>
      <c r="G883" s="105"/>
      <c r="H883" s="105"/>
      <c r="I883" s="106"/>
      <c r="J883" s="106"/>
      <c r="K883" s="106"/>
      <c r="L883" s="106"/>
      <c r="M883" s="106"/>
      <c r="N883" s="105"/>
      <c r="O883" s="105"/>
      <c r="P883" s="105"/>
      <c r="Q883" s="105"/>
      <c r="R883" s="105"/>
      <c r="S883" s="105"/>
    </row>
    <row r="884">
      <c r="A884" s="105"/>
      <c r="B884" s="106"/>
      <c r="C884" s="105"/>
      <c r="D884" s="105"/>
      <c r="E884" s="105"/>
      <c r="F884" s="105"/>
      <c r="G884" s="105"/>
      <c r="H884" s="105"/>
      <c r="I884" s="106"/>
      <c r="J884" s="106"/>
      <c r="K884" s="106"/>
      <c r="L884" s="106"/>
      <c r="M884" s="106"/>
      <c r="N884" s="105"/>
      <c r="O884" s="105"/>
      <c r="P884" s="105"/>
      <c r="Q884" s="105"/>
      <c r="R884" s="105"/>
      <c r="S884" s="105"/>
    </row>
    <row r="885">
      <c r="A885" s="105"/>
      <c r="B885" s="106"/>
      <c r="C885" s="105"/>
      <c r="D885" s="105"/>
      <c r="E885" s="105"/>
      <c r="F885" s="105"/>
      <c r="G885" s="105"/>
      <c r="H885" s="105"/>
      <c r="I885" s="106"/>
      <c r="J885" s="106"/>
      <c r="K885" s="106"/>
      <c r="L885" s="106"/>
      <c r="M885" s="106"/>
      <c r="N885" s="105"/>
      <c r="O885" s="105"/>
      <c r="P885" s="105"/>
      <c r="Q885" s="105"/>
      <c r="R885" s="105"/>
      <c r="S885" s="105"/>
    </row>
    <row r="886">
      <c r="A886" s="105"/>
      <c r="B886" s="106"/>
      <c r="C886" s="105"/>
      <c r="D886" s="105"/>
      <c r="E886" s="105"/>
      <c r="F886" s="105"/>
      <c r="G886" s="105"/>
      <c r="H886" s="105"/>
      <c r="I886" s="106"/>
      <c r="J886" s="106"/>
      <c r="K886" s="106"/>
      <c r="L886" s="106"/>
      <c r="M886" s="106"/>
      <c r="N886" s="105"/>
      <c r="O886" s="105"/>
      <c r="P886" s="105"/>
      <c r="Q886" s="105"/>
      <c r="R886" s="105"/>
      <c r="S886" s="105"/>
    </row>
    <row r="887">
      <c r="A887" s="105"/>
      <c r="B887" s="106"/>
      <c r="C887" s="105"/>
      <c r="D887" s="105"/>
      <c r="E887" s="105"/>
      <c r="F887" s="105"/>
      <c r="G887" s="105"/>
      <c r="H887" s="105"/>
      <c r="I887" s="106"/>
      <c r="J887" s="106"/>
      <c r="K887" s="106"/>
      <c r="L887" s="106"/>
      <c r="M887" s="106"/>
      <c r="N887" s="105"/>
      <c r="O887" s="105"/>
      <c r="P887" s="105"/>
      <c r="Q887" s="105"/>
      <c r="R887" s="105"/>
      <c r="S887" s="105"/>
    </row>
    <row r="888">
      <c r="A888" s="105"/>
      <c r="B888" s="106"/>
      <c r="C888" s="105"/>
      <c r="D888" s="105"/>
      <c r="E888" s="105"/>
      <c r="F888" s="105"/>
      <c r="G888" s="105"/>
      <c r="H888" s="105"/>
      <c r="I888" s="106"/>
      <c r="J888" s="106"/>
      <c r="K888" s="106"/>
      <c r="L888" s="106"/>
      <c r="M888" s="106"/>
      <c r="N888" s="105"/>
      <c r="O888" s="105"/>
      <c r="P888" s="105"/>
      <c r="Q888" s="105"/>
      <c r="R888" s="105"/>
      <c r="S888" s="105"/>
    </row>
    <row r="889">
      <c r="A889" s="105"/>
      <c r="B889" s="106"/>
      <c r="C889" s="105"/>
      <c r="D889" s="105"/>
      <c r="E889" s="105"/>
      <c r="F889" s="105"/>
      <c r="G889" s="105"/>
      <c r="H889" s="105"/>
      <c r="I889" s="106"/>
      <c r="J889" s="106"/>
      <c r="K889" s="106"/>
      <c r="L889" s="106"/>
      <c r="M889" s="106"/>
      <c r="N889" s="105"/>
      <c r="O889" s="105"/>
      <c r="P889" s="105"/>
      <c r="Q889" s="105"/>
      <c r="R889" s="105"/>
      <c r="S889" s="105"/>
    </row>
    <row r="890">
      <c r="A890" s="105"/>
      <c r="B890" s="106"/>
      <c r="C890" s="105"/>
      <c r="D890" s="105"/>
      <c r="E890" s="105"/>
      <c r="F890" s="105"/>
      <c r="G890" s="105"/>
      <c r="H890" s="105"/>
      <c r="I890" s="106"/>
      <c r="J890" s="106"/>
      <c r="K890" s="106"/>
      <c r="L890" s="106"/>
      <c r="M890" s="106"/>
      <c r="N890" s="105"/>
      <c r="O890" s="105"/>
      <c r="P890" s="105"/>
      <c r="Q890" s="105"/>
      <c r="R890" s="105"/>
      <c r="S890" s="105"/>
    </row>
    <row r="891">
      <c r="A891" s="105"/>
      <c r="B891" s="106"/>
      <c r="C891" s="105"/>
      <c r="D891" s="105"/>
      <c r="E891" s="105"/>
      <c r="F891" s="105"/>
      <c r="G891" s="105"/>
      <c r="H891" s="105"/>
      <c r="I891" s="106"/>
      <c r="J891" s="106"/>
      <c r="K891" s="106"/>
      <c r="L891" s="106"/>
      <c r="M891" s="106"/>
      <c r="N891" s="105"/>
      <c r="O891" s="105"/>
      <c r="P891" s="105"/>
      <c r="Q891" s="105"/>
      <c r="R891" s="105"/>
      <c r="S891" s="105"/>
    </row>
    <row r="892">
      <c r="A892" s="105"/>
      <c r="B892" s="106"/>
      <c r="C892" s="105"/>
      <c r="D892" s="105"/>
      <c r="E892" s="105"/>
      <c r="F892" s="105"/>
      <c r="G892" s="105"/>
      <c r="H892" s="105"/>
      <c r="I892" s="106"/>
      <c r="J892" s="106"/>
      <c r="K892" s="106"/>
      <c r="L892" s="106"/>
      <c r="M892" s="106"/>
      <c r="N892" s="105"/>
      <c r="O892" s="105"/>
      <c r="P892" s="105"/>
      <c r="Q892" s="105"/>
      <c r="R892" s="105"/>
      <c r="S892" s="105"/>
    </row>
    <row r="893">
      <c r="A893" s="105"/>
      <c r="B893" s="106"/>
      <c r="C893" s="105"/>
      <c r="D893" s="105"/>
      <c r="E893" s="105"/>
      <c r="F893" s="105"/>
      <c r="G893" s="105"/>
      <c r="H893" s="105"/>
      <c r="I893" s="106"/>
      <c r="J893" s="106"/>
      <c r="K893" s="106"/>
      <c r="L893" s="106"/>
      <c r="M893" s="106"/>
      <c r="N893" s="105"/>
      <c r="O893" s="105"/>
      <c r="P893" s="105"/>
      <c r="Q893" s="105"/>
      <c r="R893" s="105"/>
      <c r="S893" s="105"/>
    </row>
    <row r="894">
      <c r="A894" s="105"/>
      <c r="B894" s="106"/>
      <c r="C894" s="105"/>
      <c r="D894" s="105"/>
      <c r="E894" s="105"/>
      <c r="F894" s="105"/>
      <c r="G894" s="105"/>
      <c r="H894" s="105"/>
      <c r="I894" s="106"/>
      <c r="J894" s="106"/>
      <c r="K894" s="106"/>
      <c r="L894" s="106"/>
      <c r="M894" s="106"/>
      <c r="N894" s="105"/>
      <c r="O894" s="105"/>
      <c r="P894" s="105"/>
      <c r="Q894" s="105"/>
      <c r="R894" s="105"/>
      <c r="S894" s="105"/>
    </row>
    <row r="895">
      <c r="A895" s="105"/>
      <c r="B895" s="106"/>
      <c r="C895" s="105"/>
      <c r="D895" s="105"/>
      <c r="E895" s="105"/>
      <c r="F895" s="105"/>
      <c r="G895" s="105"/>
      <c r="H895" s="105"/>
      <c r="I895" s="106"/>
      <c r="J895" s="106"/>
      <c r="K895" s="106"/>
      <c r="L895" s="106"/>
      <c r="M895" s="106"/>
      <c r="N895" s="105"/>
      <c r="O895" s="105"/>
      <c r="P895" s="105"/>
      <c r="Q895" s="105"/>
      <c r="R895" s="105"/>
      <c r="S895" s="105"/>
    </row>
    <row r="896">
      <c r="A896" s="105"/>
      <c r="B896" s="106"/>
      <c r="C896" s="105"/>
      <c r="D896" s="105"/>
      <c r="E896" s="105"/>
      <c r="F896" s="105"/>
      <c r="G896" s="105"/>
      <c r="H896" s="105"/>
      <c r="I896" s="106"/>
      <c r="J896" s="106"/>
      <c r="K896" s="106"/>
      <c r="L896" s="106"/>
      <c r="M896" s="106"/>
      <c r="N896" s="105"/>
      <c r="O896" s="105"/>
      <c r="P896" s="105"/>
      <c r="Q896" s="105"/>
      <c r="R896" s="105"/>
      <c r="S896" s="105"/>
    </row>
    <row r="897">
      <c r="A897" s="105"/>
      <c r="B897" s="106"/>
      <c r="C897" s="105"/>
      <c r="D897" s="105"/>
      <c r="E897" s="105"/>
      <c r="F897" s="105"/>
      <c r="G897" s="105"/>
      <c r="H897" s="105"/>
      <c r="I897" s="106"/>
      <c r="J897" s="106"/>
      <c r="K897" s="106"/>
      <c r="L897" s="106"/>
      <c r="M897" s="106"/>
      <c r="N897" s="105"/>
      <c r="O897" s="105"/>
      <c r="P897" s="105"/>
      <c r="Q897" s="105"/>
      <c r="R897" s="105"/>
      <c r="S897" s="105"/>
    </row>
    <row r="898">
      <c r="A898" s="105"/>
      <c r="B898" s="106"/>
      <c r="C898" s="105"/>
      <c r="D898" s="105"/>
      <c r="E898" s="105"/>
      <c r="F898" s="105"/>
      <c r="G898" s="105"/>
      <c r="H898" s="105"/>
      <c r="I898" s="106"/>
      <c r="J898" s="106"/>
      <c r="K898" s="106"/>
      <c r="L898" s="106"/>
      <c r="M898" s="106"/>
      <c r="N898" s="105"/>
      <c r="O898" s="105"/>
      <c r="P898" s="105"/>
      <c r="Q898" s="105"/>
      <c r="R898" s="105"/>
      <c r="S898" s="105"/>
    </row>
    <row r="899">
      <c r="A899" s="105"/>
      <c r="B899" s="106"/>
      <c r="C899" s="105"/>
      <c r="D899" s="105"/>
      <c r="E899" s="105"/>
      <c r="F899" s="105"/>
      <c r="G899" s="105"/>
      <c r="H899" s="105"/>
      <c r="I899" s="106"/>
      <c r="J899" s="106"/>
      <c r="K899" s="106"/>
      <c r="L899" s="106"/>
      <c r="M899" s="106"/>
      <c r="N899" s="105"/>
      <c r="O899" s="105"/>
      <c r="P899" s="105"/>
      <c r="Q899" s="105"/>
      <c r="R899" s="105"/>
      <c r="S899" s="105"/>
    </row>
    <row r="900">
      <c r="A900" s="105"/>
      <c r="B900" s="106"/>
      <c r="C900" s="105"/>
      <c r="D900" s="105"/>
      <c r="E900" s="105"/>
      <c r="F900" s="105"/>
      <c r="G900" s="105"/>
      <c r="H900" s="105"/>
      <c r="I900" s="106"/>
      <c r="J900" s="106"/>
      <c r="K900" s="106"/>
      <c r="L900" s="106"/>
      <c r="M900" s="106"/>
      <c r="N900" s="105"/>
      <c r="O900" s="105"/>
      <c r="P900" s="105"/>
      <c r="Q900" s="105"/>
      <c r="R900" s="105"/>
      <c r="S900" s="105"/>
    </row>
    <row r="901">
      <c r="A901" s="105"/>
      <c r="B901" s="106"/>
      <c r="C901" s="105"/>
      <c r="D901" s="105"/>
      <c r="E901" s="105"/>
      <c r="F901" s="105"/>
      <c r="G901" s="105"/>
      <c r="H901" s="105"/>
      <c r="I901" s="106"/>
      <c r="J901" s="106"/>
      <c r="K901" s="106"/>
      <c r="L901" s="106"/>
      <c r="M901" s="106"/>
      <c r="N901" s="105"/>
      <c r="O901" s="105"/>
      <c r="P901" s="105"/>
      <c r="Q901" s="105"/>
      <c r="R901" s="105"/>
      <c r="S901" s="105"/>
    </row>
    <row r="902">
      <c r="A902" s="105"/>
      <c r="B902" s="106"/>
      <c r="C902" s="105"/>
      <c r="D902" s="105"/>
      <c r="E902" s="105"/>
      <c r="F902" s="105"/>
      <c r="G902" s="105"/>
      <c r="H902" s="105"/>
      <c r="I902" s="106"/>
      <c r="J902" s="106"/>
      <c r="K902" s="106"/>
      <c r="L902" s="106"/>
      <c r="M902" s="106"/>
      <c r="N902" s="105"/>
      <c r="O902" s="105"/>
      <c r="P902" s="105"/>
      <c r="Q902" s="105"/>
      <c r="R902" s="105"/>
      <c r="S902" s="105"/>
    </row>
    <row r="903">
      <c r="A903" s="105"/>
      <c r="B903" s="106"/>
      <c r="C903" s="105"/>
      <c r="D903" s="105"/>
      <c r="E903" s="105"/>
      <c r="F903" s="105"/>
      <c r="G903" s="105"/>
      <c r="H903" s="105"/>
      <c r="I903" s="106"/>
      <c r="J903" s="106"/>
      <c r="K903" s="106"/>
      <c r="L903" s="106"/>
      <c r="M903" s="106"/>
      <c r="N903" s="105"/>
      <c r="O903" s="105"/>
      <c r="P903" s="105"/>
      <c r="Q903" s="105"/>
      <c r="R903" s="105"/>
      <c r="S903" s="105"/>
    </row>
    <row r="904">
      <c r="A904" s="105"/>
      <c r="B904" s="106"/>
      <c r="C904" s="105"/>
      <c r="D904" s="105"/>
      <c r="E904" s="105"/>
      <c r="F904" s="105"/>
      <c r="G904" s="105"/>
      <c r="H904" s="105"/>
      <c r="I904" s="106"/>
      <c r="J904" s="106"/>
      <c r="K904" s="106"/>
      <c r="L904" s="106"/>
      <c r="M904" s="106"/>
      <c r="N904" s="105"/>
      <c r="O904" s="105"/>
      <c r="P904" s="105"/>
      <c r="Q904" s="105"/>
      <c r="R904" s="105"/>
      <c r="S904" s="105"/>
    </row>
    <row r="905">
      <c r="A905" s="105"/>
      <c r="B905" s="106"/>
      <c r="C905" s="105"/>
      <c r="D905" s="105"/>
      <c r="E905" s="105"/>
      <c r="F905" s="105"/>
      <c r="G905" s="105"/>
      <c r="H905" s="105"/>
      <c r="I905" s="106"/>
      <c r="J905" s="106"/>
      <c r="K905" s="106"/>
      <c r="L905" s="106"/>
      <c r="M905" s="106"/>
      <c r="N905" s="105"/>
      <c r="O905" s="105"/>
      <c r="P905" s="105"/>
      <c r="Q905" s="105"/>
      <c r="R905" s="105"/>
      <c r="S905" s="105"/>
    </row>
    <row r="906">
      <c r="A906" s="105"/>
      <c r="B906" s="106"/>
      <c r="C906" s="105"/>
      <c r="D906" s="105"/>
      <c r="E906" s="105"/>
      <c r="F906" s="105"/>
      <c r="G906" s="105"/>
      <c r="H906" s="105"/>
      <c r="I906" s="106"/>
      <c r="J906" s="106"/>
      <c r="K906" s="106"/>
      <c r="L906" s="106"/>
      <c r="M906" s="106"/>
      <c r="N906" s="105"/>
      <c r="O906" s="105"/>
      <c r="P906" s="105"/>
      <c r="Q906" s="105"/>
      <c r="R906" s="105"/>
      <c r="S906" s="105"/>
    </row>
    <row r="907">
      <c r="A907" s="105"/>
      <c r="B907" s="106"/>
      <c r="C907" s="105"/>
      <c r="D907" s="105"/>
      <c r="E907" s="105"/>
      <c r="F907" s="105"/>
      <c r="G907" s="105"/>
      <c r="H907" s="105"/>
      <c r="I907" s="106"/>
      <c r="J907" s="106"/>
      <c r="K907" s="106"/>
      <c r="L907" s="106"/>
      <c r="M907" s="106"/>
      <c r="N907" s="105"/>
      <c r="O907" s="105"/>
      <c r="P907" s="105"/>
      <c r="Q907" s="105"/>
      <c r="R907" s="105"/>
      <c r="S907" s="105"/>
    </row>
    <row r="908">
      <c r="A908" s="105"/>
      <c r="B908" s="106"/>
      <c r="C908" s="105"/>
      <c r="D908" s="105"/>
      <c r="E908" s="105"/>
      <c r="F908" s="105"/>
      <c r="G908" s="105"/>
      <c r="H908" s="105"/>
      <c r="I908" s="106"/>
      <c r="J908" s="106"/>
      <c r="K908" s="106"/>
      <c r="L908" s="106"/>
      <c r="M908" s="106"/>
      <c r="N908" s="105"/>
      <c r="O908" s="105"/>
      <c r="P908" s="105"/>
      <c r="Q908" s="105"/>
      <c r="R908" s="105"/>
      <c r="S908" s="105"/>
    </row>
    <row r="909">
      <c r="A909" s="105"/>
      <c r="B909" s="106"/>
      <c r="C909" s="105"/>
      <c r="D909" s="105"/>
      <c r="E909" s="105"/>
      <c r="F909" s="105"/>
      <c r="G909" s="105"/>
      <c r="H909" s="105"/>
      <c r="I909" s="106"/>
      <c r="J909" s="106"/>
      <c r="K909" s="106"/>
      <c r="L909" s="106"/>
      <c r="M909" s="106"/>
      <c r="N909" s="105"/>
      <c r="O909" s="105"/>
      <c r="P909" s="105"/>
      <c r="Q909" s="105"/>
      <c r="R909" s="105"/>
      <c r="S909" s="105"/>
    </row>
    <row r="910">
      <c r="A910" s="105"/>
      <c r="B910" s="106"/>
      <c r="C910" s="105"/>
      <c r="D910" s="105"/>
      <c r="E910" s="105"/>
      <c r="F910" s="105"/>
      <c r="G910" s="105"/>
      <c r="H910" s="105"/>
      <c r="I910" s="106"/>
      <c r="J910" s="106"/>
      <c r="K910" s="106"/>
      <c r="L910" s="106"/>
      <c r="M910" s="106"/>
      <c r="N910" s="105"/>
      <c r="O910" s="105"/>
      <c r="P910" s="105"/>
      <c r="Q910" s="105"/>
      <c r="R910" s="105"/>
      <c r="S910" s="105"/>
    </row>
    <row r="911">
      <c r="A911" s="105"/>
      <c r="B911" s="106"/>
      <c r="C911" s="105"/>
      <c r="D911" s="105"/>
      <c r="E911" s="105"/>
      <c r="F911" s="105"/>
      <c r="G911" s="105"/>
      <c r="H911" s="105"/>
      <c r="I911" s="106"/>
      <c r="J911" s="106"/>
      <c r="K911" s="106"/>
      <c r="L911" s="106"/>
      <c r="M911" s="106"/>
      <c r="N911" s="105"/>
      <c r="O911" s="105"/>
      <c r="P911" s="105"/>
      <c r="Q911" s="105"/>
      <c r="R911" s="105"/>
      <c r="S911" s="105"/>
    </row>
    <row r="912">
      <c r="A912" s="105"/>
      <c r="B912" s="106"/>
      <c r="C912" s="105"/>
      <c r="D912" s="105"/>
      <c r="E912" s="105"/>
      <c r="F912" s="105"/>
      <c r="G912" s="105"/>
      <c r="H912" s="105"/>
      <c r="I912" s="106"/>
      <c r="J912" s="106"/>
      <c r="K912" s="106"/>
      <c r="L912" s="106"/>
      <c r="M912" s="106"/>
      <c r="N912" s="105"/>
      <c r="O912" s="105"/>
      <c r="P912" s="105"/>
      <c r="Q912" s="105"/>
      <c r="R912" s="105"/>
      <c r="S912" s="105"/>
    </row>
    <row r="913">
      <c r="A913" s="105"/>
      <c r="B913" s="106"/>
      <c r="C913" s="105"/>
      <c r="D913" s="105"/>
      <c r="E913" s="105"/>
      <c r="F913" s="105"/>
      <c r="G913" s="105"/>
      <c r="H913" s="105"/>
      <c r="I913" s="106"/>
      <c r="J913" s="106"/>
      <c r="K913" s="106"/>
      <c r="L913" s="106"/>
      <c r="M913" s="106"/>
      <c r="N913" s="105"/>
      <c r="O913" s="105"/>
      <c r="P913" s="105"/>
      <c r="Q913" s="105"/>
      <c r="R913" s="105"/>
      <c r="S913" s="105"/>
    </row>
    <row r="914">
      <c r="A914" s="105"/>
      <c r="B914" s="106"/>
      <c r="C914" s="105"/>
      <c r="D914" s="105"/>
      <c r="E914" s="105"/>
      <c r="F914" s="105"/>
      <c r="G914" s="105"/>
      <c r="H914" s="105"/>
      <c r="I914" s="106"/>
      <c r="J914" s="106"/>
      <c r="K914" s="106"/>
      <c r="L914" s="106"/>
      <c r="M914" s="106"/>
      <c r="N914" s="105"/>
      <c r="O914" s="105"/>
      <c r="P914" s="105"/>
      <c r="Q914" s="105"/>
      <c r="R914" s="105"/>
      <c r="S914" s="105"/>
    </row>
    <row r="915">
      <c r="A915" s="105"/>
      <c r="B915" s="106"/>
      <c r="C915" s="105"/>
      <c r="D915" s="105"/>
      <c r="E915" s="105"/>
      <c r="F915" s="105"/>
      <c r="G915" s="105"/>
      <c r="H915" s="105"/>
      <c r="I915" s="106"/>
      <c r="J915" s="106"/>
      <c r="K915" s="106"/>
      <c r="L915" s="106"/>
      <c r="M915" s="106"/>
      <c r="N915" s="105"/>
      <c r="O915" s="105"/>
      <c r="P915" s="105"/>
      <c r="Q915" s="105"/>
      <c r="R915" s="105"/>
      <c r="S915" s="105"/>
    </row>
    <row r="916">
      <c r="A916" s="105"/>
      <c r="B916" s="106"/>
      <c r="C916" s="105"/>
      <c r="D916" s="105"/>
      <c r="E916" s="105"/>
      <c r="F916" s="105"/>
      <c r="G916" s="105"/>
      <c r="H916" s="105"/>
      <c r="I916" s="106"/>
      <c r="J916" s="106"/>
      <c r="K916" s="106"/>
      <c r="L916" s="106"/>
      <c r="M916" s="106"/>
      <c r="N916" s="105"/>
      <c r="O916" s="105"/>
      <c r="P916" s="105"/>
      <c r="Q916" s="105"/>
      <c r="R916" s="105"/>
      <c r="S916" s="105"/>
    </row>
    <row r="917">
      <c r="A917" s="105"/>
      <c r="B917" s="106"/>
      <c r="C917" s="105"/>
      <c r="D917" s="105"/>
      <c r="E917" s="105"/>
      <c r="F917" s="105"/>
      <c r="G917" s="105"/>
      <c r="H917" s="105"/>
      <c r="I917" s="106"/>
      <c r="J917" s="106"/>
      <c r="K917" s="106"/>
      <c r="L917" s="106"/>
      <c r="M917" s="106"/>
      <c r="N917" s="105"/>
      <c r="O917" s="105"/>
      <c r="P917" s="105"/>
      <c r="Q917" s="105"/>
      <c r="R917" s="105"/>
      <c r="S917" s="105"/>
    </row>
    <row r="918">
      <c r="A918" s="105"/>
      <c r="B918" s="106"/>
      <c r="C918" s="105"/>
      <c r="D918" s="105"/>
      <c r="E918" s="105"/>
      <c r="F918" s="105"/>
      <c r="G918" s="105"/>
      <c r="H918" s="105"/>
      <c r="I918" s="106"/>
      <c r="J918" s="106"/>
      <c r="K918" s="106"/>
      <c r="L918" s="106"/>
      <c r="M918" s="106"/>
      <c r="N918" s="105"/>
      <c r="O918" s="105"/>
      <c r="P918" s="105"/>
      <c r="Q918" s="105"/>
      <c r="R918" s="105"/>
      <c r="S918" s="105"/>
    </row>
    <row r="919">
      <c r="A919" s="105"/>
      <c r="B919" s="106"/>
      <c r="C919" s="105"/>
      <c r="D919" s="105"/>
      <c r="E919" s="105"/>
      <c r="F919" s="105"/>
      <c r="G919" s="105"/>
      <c r="H919" s="105"/>
      <c r="I919" s="106"/>
      <c r="J919" s="106"/>
      <c r="K919" s="106"/>
      <c r="L919" s="106"/>
      <c r="M919" s="106"/>
      <c r="N919" s="105"/>
      <c r="O919" s="105"/>
      <c r="P919" s="105"/>
      <c r="Q919" s="105"/>
      <c r="R919" s="105"/>
      <c r="S919" s="105"/>
    </row>
    <row r="920">
      <c r="A920" s="105"/>
      <c r="B920" s="106"/>
      <c r="C920" s="105"/>
      <c r="D920" s="105"/>
      <c r="E920" s="105"/>
      <c r="F920" s="105"/>
      <c r="G920" s="105"/>
      <c r="H920" s="105"/>
      <c r="I920" s="106"/>
      <c r="J920" s="106"/>
      <c r="K920" s="106"/>
      <c r="L920" s="106"/>
      <c r="M920" s="106"/>
      <c r="N920" s="105"/>
      <c r="O920" s="105"/>
      <c r="P920" s="105"/>
      <c r="Q920" s="105"/>
      <c r="R920" s="105"/>
      <c r="S920" s="105"/>
    </row>
    <row r="921">
      <c r="A921" s="105"/>
      <c r="B921" s="106"/>
      <c r="C921" s="105"/>
      <c r="D921" s="105"/>
      <c r="E921" s="105"/>
      <c r="F921" s="105"/>
      <c r="G921" s="105"/>
      <c r="H921" s="105"/>
      <c r="I921" s="106"/>
      <c r="J921" s="106"/>
      <c r="K921" s="106"/>
      <c r="L921" s="106"/>
      <c r="M921" s="106"/>
      <c r="N921" s="105"/>
      <c r="O921" s="105"/>
      <c r="P921" s="105"/>
      <c r="Q921" s="105"/>
      <c r="R921" s="105"/>
      <c r="S921" s="105"/>
    </row>
    <row r="922">
      <c r="A922" s="105"/>
      <c r="B922" s="106"/>
      <c r="C922" s="105"/>
      <c r="D922" s="105"/>
      <c r="E922" s="105"/>
      <c r="F922" s="105"/>
      <c r="G922" s="105"/>
      <c r="H922" s="105"/>
      <c r="I922" s="106"/>
      <c r="J922" s="106"/>
      <c r="K922" s="106"/>
      <c r="L922" s="106"/>
      <c r="M922" s="106"/>
      <c r="N922" s="105"/>
      <c r="O922" s="105"/>
      <c r="P922" s="105"/>
      <c r="Q922" s="105"/>
      <c r="R922" s="105"/>
      <c r="S922" s="105"/>
    </row>
    <row r="923">
      <c r="A923" s="105"/>
      <c r="B923" s="106"/>
      <c r="C923" s="105"/>
      <c r="D923" s="105"/>
      <c r="E923" s="105"/>
      <c r="F923" s="105"/>
      <c r="G923" s="105"/>
      <c r="H923" s="105"/>
      <c r="I923" s="106"/>
      <c r="J923" s="106"/>
      <c r="K923" s="106"/>
      <c r="L923" s="106"/>
      <c r="M923" s="106"/>
      <c r="N923" s="105"/>
      <c r="O923" s="105"/>
      <c r="P923" s="105"/>
      <c r="Q923" s="105"/>
      <c r="R923" s="105"/>
      <c r="S923" s="105"/>
    </row>
    <row r="924">
      <c r="A924" s="105"/>
      <c r="B924" s="106"/>
      <c r="C924" s="105"/>
      <c r="D924" s="105"/>
      <c r="E924" s="105"/>
      <c r="F924" s="105"/>
      <c r="G924" s="105"/>
      <c r="H924" s="105"/>
      <c r="I924" s="106"/>
      <c r="J924" s="106"/>
      <c r="K924" s="106"/>
      <c r="L924" s="106"/>
      <c r="M924" s="106"/>
      <c r="N924" s="105"/>
      <c r="O924" s="105"/>
      <c r="P924" s="105"/>
      <c r="Q924" s="105"/>
      <c r="R924" s="105"/>
      <c r="S924" s="105"/>
    </row>
    <row r="925">
      <c r="A925" s="105"/>
      <c r="B925" s="106"/>
      <c r="C925" s="105"/>
      <c r="D925" s="105"/>
      <c r="E925" s="105"/>
      <c r="F925" s="105"/>
      <c r="G925" s="105"/>
      <c r="H925" s="105"/>
      <c r="I925" s="106"/>
      <c r="J925" s="106"/>
      <c r="K925" s="106"/>
      <c r="L925" s="106"/>
      <c r="M925" s="106"/>
      <c r="N925" s="105"/>
      <c r="O925" s="105"/>
      <c r="P925" s="105"/>
      <c r="Q925" s="105"/>
      <c r="R925" s="105"/>
      <c r="S925" s="105"/>
    </row>
    <row r="926">
      <c r="A926" s="105"/>
      <c r="B926" s="106"/>
      <c r="C926" s="105"/>
      <c r="D926" s="105"/>
      <c r="E926" s="105"/>
      <c r="F926" s="105"/>
      <c r="G926" s="105"/>
      <c r="H926" s="105"/>
      <c r="I926" s="106"/>
      <c r="J926" s="106"/>
      <c r="K926" s="106"/>
      <c r="L926" s="106"/>
      <c r="M926" s="106"/>
      <c r="N926" s="105"/>
      <c r="O926" s="105"/>
      <c r="P926" s="105"/>
      <c r="Q926" s="105"/>
      <c r="R926" s="105"/>
      <c r="S926" s="105"/>
    </row>
    <row r="927">
      <c r="A927" s="105"/>
      <c r="B927" s="106"/>
      <c r="C927" s="105"/>
      <c r="D927" s="105"/>
      <c r="E927" s="105"/>
      <c r="F927" s="105"/>
      <c r="G927" s="105"/>
      <c r="H927" s="105"/>
      <c r="I927" s="106"/>
      <c r="J927" s="106"/>
      <c r="K927" s="106"/>
      <c r="L927" s="106"/>
      <c r="M927" s="106"/>
      <c r="N927" s="105"/>
      <c r="O927" s="105"/>
      <c r="P927" s="105"/>
      <c r="Q927" s="105"/>
      <c r="R927" s="105"/>
      <c r="S927" s="105"/>
    </row>
    <row r="928">
      <c r="A928" s="105"/>
      <c r="B928" s="106"/>
      <c r="C928" s="105"/>
      <c r="D928" s="105"/>
      <c r="E928" s="105"/>
      <c r="F928" s="105"/>
      <c r="G928" s="105"/>
      <c r="H928" s="105"/>
      <c r="I928" s="106"/>
      <c r="J928" s="106"/>
      <c r="K928" s="106"/>
      <c r="L928" s="106"/>
      <c r="M928" s="106"/>
      <c r="N928" s="105"/>
      <c r="O928" s="105"/>
      <c r="P928" s="105"/>
      <c r="Q928" s="105"/>
      <c r="R928" s="105"/>
      <c r="S928" s="105"/>
    </row>
    <row r="929">
      <c r="A929" s="105"/>
      <c r="B929" s="106"/>
      <c r="C929" s="105"/>
      <c r="D929" s="105"/>
      <c r="E929" s="105"/>
      <c r="F929" s="105"/>
      <c r="G929" s="105"/>
      <c r="H929" s="105"/>
      <c r="I929" s="106"/>
      <c r="J929" s="106"/>
      <c r="K929" s="106"/>
      <c r="L929" s="106"/>
      <c r="M929" s="106"/>
      <c r="N929" s="105"/>
      <c r="O929" s="105"/>
      <c r="P929" s="105"/>
      <c r="Q929" s="105"/>
      <c r="R929" s="105"/>
      <c r="S929" s="105"/>
    </row>
    <row r="930">
      <c r="A930" s="105"/>
      <c r="B930" s="106"/>
      <c r="C930" s="105"/>
      <c r="D930" s="105"/>
      <c r="E930" s="105"/>
      <c r="F930" s="105"/>
      <c r="G930" s="105"/>
      <c r="H930" s="105"/>
      <c r="I930" s="106"/>
      <c r="J930" s="106"/>
      <c r="K930" s="106"/>
      <c r="L930" s="106"/>
      <c r="M930" s="106"/>
      <c r="N930" s="105"/>
      <c r="O930" s="105"/>
      <c r="P930" s="105"/>
      <c r="Q930" s="105"/>
      <c r="R930" s="105"/>
      <c r="S930" s="105"/>
    </row>
    <row r="931">
      <c r="A931" s="105"/>
      <c r="B931" s="106"/>
      <c r="C931" s="105"/>
      <c r="D931" s="105"/>
      <c r="E931" s="105"/>
      <c r="F931" s="105"/>
      <c r="G931" s="105"/>
      <c r="H931" s="105"/>
      <c r="I931" s="106"/>
      <c r="J931" s="106"/>
      <c r="K931" s="106"/>
      <c r="L931" s="106"/>
      <c r="M931" s="106"/>
      <c r="N931" s="105"/>
      <c r="O931" s="105"/>
      <c r="P931" s="105"/>
      <c r="Q931" s="105"/>
      <c r="R931" s="105"/>
      <c r="S931" s="105"/>
    </row>
    <row r="932">
      <c r="A932" s="105"/>
      <c r="B932" s="106"/>
      <c r="C932" s="105"/>
      <c r="D932" s="105"/>
      <c r="E932" s="105"/>
      <c r="F932" s="105"/>
      <c r="G932" s="105"/>
      <c r="H932" s="105"/>
      <c r="I932" s="106"/>
      <c r="J932" s="106"/>
      <c r="K932" s="106"/>
      <c r="L932" s="106"/>
      <c r="M932" s="106"/>
      <c r="N932" s="105"/>
      <c r="O932" s="105"/>
      <c r="P932" s="105"/>
      <c r="Q932" s="105"/>
      <c r="R932" s="105"/>
      <c r="S932" s="105"/>
    </row>
    <row r="933">
      <c r="A933" s="105"/>
      <c r="B933" s="106"/>
      <c r="C933" s="105"/>
      <c r="D933" s="105"/>
      <c r="E933" s="105"/>
      <c r="F933" s="105"/>
      <c r="G933" s="105"/>
      <c r="H933" s="105"/>
      <c r="I933" s="106"/>
      <c r="J933" s="106"/>
      <c r="K933" s="106"/>
      <c r="L933" s="106"/>
      <c r="M933" s="106"/>
      <c r="N933" s="105"/>
      <c r="O933" s="105"/>
      <c r="P933" s="105"/>
      <c r="Q933" s="105"/>
      <c r="R933" s="105"/>
      <c r="S933" s="105"/>
    </row>
    <row r="934">
      <c r="A934" s="105"/>
      <c r="B934" s="106"/>
      <c r="C934" s="105"/>
      <c r="D934" s="105"/>
      <c r="E934" s="105"/>
      <c r="F934" s="105"/>
      <c r="G934" s="105"/>
      <c r="H934" s="105"/>
      <c r="I934" s="106"/>
      <c r="J934" s="106"/>
      <c r="K934" s="106"/>
      <c r="L934" s="106"/>
      <c r="M934" s="106"/>
      <c r="N934" s="105"/>
      <c r="O934" s="105"/>
      <c r="P934" s="105"/>
      <c r="Q934" s="105"/>
      <c r="R934" s="105"/>
      <c r="S934" s="105"/>
    </row>
    <row r="935">
      <c r="A935" s="105"/>
      <c r="B935" s="106"/>
      <c r="C935" s="105"/>
      <c r="D935" s="105"/>
      <c r="E935" s="105"/>
      <c r="F935" s="105"/>
      <c r="G935" s="105"/>
      <c r="H935" s="105"/>
      <c r="I935" s="106"/>
      <c r="J935" s="106"/>
      <c r="K935" s="106"/>
      <c r="L935" s="106"/>
      <c r="M935" s="106"/>
      <c r="N935" s="105"/>
      <c r="O935" s="105"/>
      <c r="P935" s="105"/>
      <c r="Q935" s="105"/>
      <c r="R935" s="105"/>
      <c r="S935" s="105"/>
    </row>
    <row r="936">
      <c r="A936" s="105"/>
      <c r="B936" s="106"/>
      <c r="C936" s="105"/>
      <c r="D936" s="105"/>
      <c r="E936" s="105"/>
      <c r="F936" s="105"/>
      <c r="G936" s="105"/>
      <c r="H936" s="105"/>
      <c r="I936" s="106"/>
      <c r="J936" s="106"/>
      <c r="K936" s="106"/>
      <c r="L936" s="106"/>
      <c r="M936" s="106"/>
      <c r="N936" s="105"/>
      <c r="O936" s="105"/>
      <c r="P936" s="105"/>
      <c r="Q936" s="105"/>
      <c r="R936" s="105"/>
      <c r="S936" s="105"/>
    </row>
    <row r="937">
      <c r="A937" s="105"/>
      <c r="B937" s="106"/>
      <c r="C937" s="105"/>
      <c r="D937" s="105"/>
      <c r="E937" s="105"/>
      <c r="F937" s="105"/>
      <c r="G937" s="105"/>
      <c r="H937" s="105"/>
      <c r="I937" s="106"/>
      <c r="J937" s="106"/>
      <c r="K937" s="106"/>
      <c r="L937" s="106"/>
      <c r="M937" s="106"/>
      <c r="N937" s="105"/>
      <c r="O937" s="105"/>
      <c r="P937" s="105"/>
      <c r="Q937" s="105"/>
      <c r="R937" s="105"/>
      <c r="S937" s="105"/>
    </row>
    <row r="938">
      <c r="A938" s="105"/>
      <c r="B938" s="106"/>
      <c r="C938" s="105"/>
      <c r="D938" s="105"/>
      <c r="E938" s="105"/>
      <c r="F938" s="105"/>
      <c r="G938" s="105"/>
      <c r="H938" s="105"/>
      <c r="I938" s="106"/>
      <c r="J938" s="106"/>
      <c r="K938" s="106"/>
      <c r="L938" s="106"/>
      <c r="M938" s="106"/>
      <c r="N938" s="105"/>
      <c r="O938" s="105"/>
      <c r="P938" s="105"/>
      <c r="Q938" s="105"/>
      <c r="R938" s="105"/>
      <c r="S938" s="105"/>
    </row>
    <row r="939">
      <c r="A939" s="105"/>
      <c r="B939" s="106"/>
      <c r="C939" s="105"/>
      <c r="D939" s="105"/>
      <c r="E939" s="105"/>
      <c r="F939" s="105"/>
      <c r="G939" s="105"/>
      <c r="H939" s="105"/>
      <c r="I939" s="106"/>
      <c r="J939" s="106"/>
      <c r="K939" s="106"/>
      <c r="L939" s="106"/>
      <c r="M939" s="106"/>
      <c r="N939" s="105"/>
      <c r="O939" s="105"/>
      <c r="P939" s="105"/>
      <c r="Q939" s="105"/>
      <c r="R939" s="105"/>
      <c r="S939" s="105"/>
    </row>
    <row r="940">
      <c r="A940" s="105"/>
      <c r="B940" s="106"/>
      <c r="C940" s="105"/>
      <c r="D940" s="105"/>
      <c r="E940" s="105"/>
      <c r="F940" s="105"/>
      <c r="G940" s="105"/>
      <c r="H940" s="105"/>
      <c r="I940" s="106"/>
      <c r="J940" s="106"/>
      <c r="K940" s="106"/>
      <c r="L940" s="106"/>
      <c r="M940" s="106"/>
      <c r="N940" s="105"/>
      <c r="O940" s="105"/>
      <c r="P940" s="105"/>
      <c r="Q940" s="105"/>
      <c r="R940" s="105"/>
      <c r="S940" s="105"/>
    </row>
    <row r="941">
      <c r="A941" s="105"/>
      <c r="B941" s="106"/>
      <c r="C941" s="105"/>
      <c r="D941" s="105"/>
      <c r="E941" s="105"/>
      <c r="F941" s="105"/>
      <c r="G941" s="105"/>
      <c r="H941" s="105"/>
      <c r="I941" s="106"/>
      <c r="J941" s="106"/>
      <c r="K941" s="106"/>
      <c r="L941" s="106"/>
      <c r="M941" s="106"/>
      <c r="N941" s="105"/>
      <c r="O941" s="105"/>
      <c r="P941" s="105"/>
      <c r="Q941" s="105"/>
      <c r="R941" s="105"/>
      <c r="S941" s="105"/>
    </row>
    <row r="942">
      <c r="A942" s="105"/>
      <c r="B942" s="106"/>
      <c r="C942" s="105"/>
      <c r="D942" s="105"/>
      <c r="E942" s="105"/>
      <c r="F942" s="105"/>
      <c r="G942" s="105"/>
      <c r="H942" s="105"/>
      <c r="I942" s="106"/>
      <c r="J942" s="106"/>
      <c r="K942" s="106"/>
      <c r="L942" s="106"/>
      <c r="M942" s="106"/>
      <c r="N942" s="105"/>
      <c r="O942" s="105"/>
      <c r="P942" s="105"/>
      <c r="Q942" s="105"/>
      <c r="R942" s="105"/>
      <c r="S942" s="105"/>
    </row>
    <row r="943">
      <c r="A943" s="105"/>
      <c r="B943" s="106"/>
      <c r="C943" s="105"/>
      <c r="D943" s="105"/>
      <c r="E943" s="105"/>
      <c r="F943" s="105"/>
      <c r="G943" s="105"/>
      <c r="H943" s="105"/>
      <c r="I943" s="106"/>
      <c r="J943" s="106"/>
      <c r="K943" s="106"/>
      <c r="L943" s="106"/>
      <c r="M943" s="106"/>
      <c r="N943" s="105"/>
      <c r="O943" s="105"/>
      <c r="P943" s="105"/>
      <c r="Q943" s="105"/>
      <c r="R943" s="105"/>
      <c r="S943" s="105"/>
    </row>
    <row r="944">
      <c r="A944" s="105"/>
      <c r="B944" s="106"/>
      <c r="C944" s="105"/>
      <c r="D944" s="105"/>
      <c r="E944" s="105"/>
      <c r="F944" s="105"/>
      <c r="G944" s="105"/>
      <c r="H944" s="105"/>
      <c r="I944" s="106"/>
      <c r="J944" s="106"/>
      <c r="K944" s="106"/>
      <c r="L944" s="106"/>
      <c r="M944" s="106"/>
      <c r="N944" s="105"/>
      <c r="O944" s="105"/>
      <c r="P944" s="105"/>
      <c r="Q944" s="105"/>
      <c r="R944" s="105"/>
      <c r="S944" s="105"/>
    </row>
    <row r="945">
      <c r="A945" s="105"/>
      <c r="B945" s="106"/>
      <c r="C945" s="105"/>
      <c r="D945" s="105"/>
      <c r="E945" s="105"/>
      <c r="F945" s="105"/>
      <c r="G945" s="105"/>
      <c r="H945" s="105"/>
      <c r="I945" s="106"/>
      <c r="J945" s="106"/>
      <c r="K945" s="106"/>
      <c r="L945" s="106"/>
      <c r="M945" s="106"/>
      <c r="N945" s="105"/>
      <c r="O945" s="105"/>
      <c r="P945" s="105"/>
      <c r="Q945" s="105"/>
      <c r="R945" s="105"/>
      <c r="S945" s="105"/>
    </row>
    <row r="946">
      <c r="A946" s="105"/>
      <c r="B946" s="106"/>
      <c r="C946" s="105"/>
      <c r="D946" s="105"/>
      <c r="E946" s="105"/>
      <c r="F946" s="105"/>
      <c r="G946" s="105"/>
      <c r="H946" s="105"/>
      <c r="I946" s="106"/>
      <c r="J946" s="106"/>
      <c r="K946" s="106"/>
      <c r="L946" s="106"/>
      <c r="M946" s="106"/>
      <c r="N946" s="105"/>
      <c r="O946" s="105"/>
      <c r="P946" s="105"/>
      <c r="Q946" s="105"/>
      <c r="R946" s="105"/>
      <c r="S946" s="105"/>
    </row>
    <row r="947">
      <c r="A947" s="105"/>
      <c r="B947" s="106"/>
      <c r="C947" s="105"/>
      <c r="D947" s="105"/>
      <c r="E947" s="105"/>
      <c r="F947" s="105"/>
      <c r="G947" s="105"/>
      <c r="H947" s="105"/>
      <c r="I947" s="106"/>
      <c r="J947" s="106"/>
      <c r="K947" s="106"/>
      <c r="L947" s="106"/>
      <c r="M947" s="106"/>
      <c r="N947" s="105"/>
      <c r="O947" s="105"/>
      <c r="P947" s="105"/>
      <c r="Q947" s="105"/>
      <c r="R947" s="105"/>
      <c r="S947" s="105"/>
    </row>
    <row r="948">
      <c r="A948" s="105"/>
      <c r="B948" s="106"/>
      <c r="C948" s="105"/>
      <c r="D948" s="105"/>
      <c r="E948" s="105"/>
      <c r="F948" s="105"/>
      <c r="G948" s="105"/>
      <c r="H948" s="105"/>
      <c r="I948" s="106"/>
      <c r="J948" s="106"/>
      <c r="K948" s="106"/>
      <c r="L948" s="106"/>
      <c r="M948" s="106"/>
      <c r="N948" s="105"/>
      <c r="O948" s="105"/>
      <c r="P948" s="105"/>
      <c r="Q948" s="105"/>
      <c r="R948" s="105"/>
      <c r="S948" s="105"/>
    </row>
    <row r="949">
      <c r="A949" s="105"/>
      <c r="B949" s="106"/>
      <c r="C949" s="105"/>
      <c r="D949" s="105"/>
      <c r="E949" s="105"/>
      <c r="F949" s="105"/>
      <c r="G949" s="105"/>
      <c r="H949" s="105"/>
      <c r="I949" s="106"/>
      <c r="J949" s="106"/>
      <c r="K949" s="106"/>
      <c r="L949" s="106"/>
      <c r="M949" s="106"/>
      <c r="N949" s="105"/>
      <c r="O949" s="105"/>
      <c r="P949" s="105"/>
      <c r="Q949" s="105"/>
      <c r="R949" s="105"/>
      <c r="S949" s="105"/>
    </row>
    <row r="950">
      <c r="A950" s="105"/>
      <c r="B950" s="106"/>
      <c r="C950" s="105"/>
      <c r="D950" s="105"/>
      <c r="E950" s="105"/>
      <c r="F950" s="105"/>
      <c r="G950" s="105"/>
      <c r="H950" s="105"/>
      <c r="I950" s="106"/>
      <c r="J950" s="106"/>
      <c r="K950" s="106"/>
      <c r="L950" s="106"/>
      <c r="M950" s="106"/>
      <c r="N950" s="105"/>
      <c r="O950" s="105"/>
      <c r="P950" s="105"/>
      <c r="Q950" s="105"/>
      <c r="R950" s="105"/>
      <c r="S950" s="105"/>
    </row>
    <row r="951">
      <c r="A951" s="105"/>
      <c r="B951" s="106"/>
      <c r="C951" s="105"/>
      <c r="D951" s="105"/>
      <c r="E951" s="105"/>
      <c r="F951" s="105"/>
      <c r="G951" s="105"/>
      <c r="H951" s="105"/>
      <c r="I951" s="106"/>
      <c r="J951" s="106"/>
      <c r="K951" s="106"/>
      <c r="L951" s="106"/>
      <c r="M951" s="106"/>
      <c r="N951" s="105"/>
      <c r="O951" s="105"/>
      <c r="P951" s="105"/>
      <c r="Q951" s="105"/>
      <c r="R951" s="105"/>
      <c r="S951" s="105"/>
    </row>
    <row r="952">
      <c r="A952" s="105"/>
      <c r="B952" s="106"/>
      <c r="C952" s="105"/>
      <c r="D952" s="105"/>
      <c r="E952" s="105"/>
      <c r="F952" s="105"/>
      <c r="G952" s="105"/>
      <c r="H952" s="105"/>
      <c r="I952" s="106"/>
      <c r="J952" s="106"/>
      <c r="K952" s="106"/>
      <c r="L952" s="106"/>
      <c r="M952" s="106"/>
      <c r="N952" s="105"/>
      <c r="O952" s="105"/>
      <c r="P952" s="105"/>
      <c r="Q952" s="105"/>
      <c r="R952" s="105"/>
      <c r="S952" s="105"/>
    </row>
    <row r="953">
      <c r="A953" s="105"/>
      <c r="B953" s="106"/>
      <c r="C953" s="105"/>
      <c r="D953" s="105"/>
      <c r="E953" s="105"/>
      <c r="F953" s="105"/>
      <c r="G953" s="105"/>
      <c r="H953" s="105"/>
      <c r="I953" s="106"/>
      <c r="J953" s="106"/>
      <c r="K953" s="106"/>
      <c r="L953" s="106"/>
      <c r="M953" s="106"/>
      <c r="N953" s="105"/>
      <c r="O953" s="105"/>
      <c r="P953" s="105"/>
      <c r="Q953" s="105"/>
      <c r="R953" s="105"/>
      <c r="S953" s="105"/>
    </row>
    <row r="954">
      <c r="A954" s="105"/>
      <c r="B954" s="106"/>
      <c r="C954" s="105"/>
      <c r="D954" s="105"/>
      <c r="E954" s="105"/>
      <c r="F954" s="105"/>
      <c r="G954" s="105"/>
      <c r="H954" s="105"/>
      <c r="I954" s="106"/>
      <c r="J954" s="106"/>
      <c r="K954" s="106"/>
      <c r="L954" s="106"/>
      <c r="M954" s="106"/>
      <c r="N954" s="105"/>
      <c r="O954" s="105"/>
      <c r="P954" s="105"/>
      <c r="Q954" s="105"/>
      <c r="R954" s="105"/>
      <c r="S954" s="105"/>
    </row>
    <row r="955">
      <c r="A955" s="105"/>
      <c r="B955" s="106"/>
      <c r="C955" s="105"/>
      <c r="D955" s="105"/>
      <c r="E955" s="105"/>
      <c r="F955" s="105"/>
      <c r="G955" s="105"/>
      <c r="H955" s="105"/>
      <c r="I955" s="106"/>
      <c r="J955" s="106"/>
      <c r="K955" s="106"/>
      <c r="L955" s="106"/>
      <c r="M955" s="106"/>
      <c r="N955" s="105"/>
      <c r="O955" s="105"/>
      <c r="P955" s="105"/>
      <c r="Q955" s="105"/>
      <c r="R955" s="105"/>
      <c r="S955" s="105"/>
    </row>
    <row r="956">
      <c r="A956" s="105"/>
      <c r="B956" s="106"/>
      <c r="C956" s="105"/>
      <c r="D956" s="105"/>
      <c r="E956" s="105"/>
      <c r="F956" s="105"/>
      <c r="G956" s="105"/>
      <c r="H956" s="105"/>
      <c r="I956" s="106"/>
      <c r="J956" s="106"/>
      <c r="K956" s="106"/>
      <c r="L956" s="106"/>
      <c r="M956" s="106"/>
      <c r="N956" s="105"/>
      <c r="O956" s="105"/>
      <c r="P956" s="105"/>
      <c r="Q956" s="105"/>
      <c r="R956" s="105"/>
      <c r="S956" s="105"/>
    </row>
    <row r="957">
      <c r="A957" s="105"/>
      <c r="B957" s="106"/>
      <c r="C957" s="105"/>
      <c r="D957" s="105"/>
      <c r="E957" s="105"/>
      <c r="F957" s="105"/>
      <c r="G957" s="105"/>
      <c r="H957" s="105"/>
      <c r="I957" s="106"/>
      <c r="J957" s="106"/>
      <c r="K957" s="106"/>
      <c r="L957" s="106"/>
      <c r="M957" s="106"/>
      <c r="N957" s="105"/>
      <c r="O957" s="105"/>
      <c r="P957" s="105"/>
      <c r="Q957" s="105"/>
      <c r="R957" s="105"/>
      <c r="S957" s="105"/>
    </row>
    <row r="958">
      <c r="A958" s="105"/>
      <c r="B958" s="106"/>
      <c r="C958" s="105"/>
      <c r="D958" s="105"/>
      <c r="E958" s="105"/>
      <c r="F958" s="105"/>
      <c r="G958" s="105"/>
      <c r="H958" s="105"/>
      <c r="I958" s="106"/>
      <c r="J958" s="106"/>
      <c r="K958" s="106"/>
      <c r="L958" s="106"/>
      <c r="M958" s="106"/>
      <c r="N958" s="105"/>
      <c r="O958" s="105"/>
      <c r="P958" s="105"/>
      <c r="Q958" s="105"/>
      <c r="R958" s="105"/>
      <c r="S958" s="105"/>
    </row>
    <row r="959">
      <c r="A959" s="105"/>
      <c r="B959" s="106"/>
      <c r="C959" s="105"/>
      <c r="D959" s="105"/>
      <c r="E959" s="105"/>
      <c r="F959" s="105"/>
      <c r="G959" s="105"/>
      <c r="H959" s="105"/>
      <c r="I959" s="106"/>
      <c r="J959" s="106"/>
      <c r="K959" s="106"/>
      <c r="L959" s="106"/>
      <c r="M959" s="106"/>
      <c r="N959" s="105"/>
      <c r="O959" s="105"/>
      <c r="P959" s="105"/>
      <c r="Q959" s="105"/>
      <c r="R959" s="105"/>
      <c r="S959" s="105"/>
    </row>
    <row r="960">
      <c r="A960" s="105"/>
      <c r="B960" s="106"/>
      <c r="C960" s="105"/>
      <c r="D960" s="105"/>
      <c r="E960" s="105"/>
      <c r="F960" s="105"/>
      <c r="G960" s="105"/>
      <c r="H960" s="105"/>
      <c r="I960" s="106"/>
      <c r="J960" s="106"/>
      <c r="K960" s="106"/>
      <c r="L960" s="106"/>
      <c r="M960" s="106"/>
      <c r="N960" s="105"/>
      <c r="O960" s="105"/>
      <c r="P960" s="105"/>
      <c r="Q960" s="105"/>
      <c r="R960" s="105"/>
      <c r="S960" s="105"/>
    </row>
    <row r="961">
      <c r="A961" s="105"/>
      <c r="B961" s="106"/>
      <c r="C961" s="105"/>
      <c r="D961" s="105"/>
      <c r="E961" s="105"/>
      <c r="F961" s="105"/>
      <c r="G961" s="105"/>
      <c r="H961" s="105"/>
      <c r="I961" s="106"/>
      <c r="J961" s="106"/>
      <c r="K961" s="106"/>
      <c r="L961" s="106"/>
      <c r="M961" s="106"/>
      <c r="N961" s="105"/>
      <c r="O961" s="105"/>
      <c r="P961" s="105"/>
      <c r="Q961" s="105"/>
      <c r="R961" s="105"/>
      <c r="S961" s="105"/>
    </row>
    <row r="962">
      <c r="A962" s="105"/>
      <c r="B962" s="106"/>
      <c r="C962" s="105"/>
      <c r="D962" s="105"/>
      <c r="E962" s="105"/>
      <c r="F962" s="105"/>
      <c r="G962" s="105"/>
      <c r="H962" s="105"/>
      <c r="I962" s="106"/>
      <c r="J962" s="106"/>
      <c r="K962" s="106"/>
      <c r="L962" s="106"/>
      <c r="M962" s="106"/>
      <c r="N962" s="105"/>
      <c r="O962" s="105"/>
      <c r="P962" s="105"/>
      <c r="Q962" s="105"/>
      <c r="R962" s="105"/>
      <c r="S962" s="105"/>
    </row>
    <row r="963">
      <c r="A963" s="105"/>
      <c r="B963" s="106"/>
      <c r="C963" s="105"/>
      <c r="D963" s="105"/>
      <c r="E963" s="105"/>
      <c r="F963" s="105"/>
      <c r="G963" s="105"/>
      <c r="H963" s="105"/>
      <c r="I963" s="106"/>
      <c r="J963" s="106"/>
      <c r="K963" s="106"/>
      <c r="L963" s="106"/>
      <c r="M963" s="106"/>
      <c r="N963" s="105"/>
      <c r="O963" s="105"/>
      <c r="P963" s="105"/>
      <c r="Q963" s="105"/>
      <c r="R963" s="105"/>
      <c r="S963" s="105"/>
    </row>
    <row r="964">
      <c r="A964" s="105"/>
      <c r="B964" s="106"/>
      <c r="C964" s="105"/>
      <c r="D964" s="105"/>
      <c r="E964" s="105"/>
      <c r="F964" s="105"/>
      <c r="G964" s="105"/>
      <c r="H964" s="105"/>
      <c r="I964" s="106"/>
      <c r="J964" s="106"/>
      <c r="K964" s="106"/>
      <c r="L964" s="106"/>
      <c r="M964" s="106"/>
      <c r="N964" s="105"/>
      <c r="O964" s="105"/>
      <c r="P964" s="105"/>
      <c r="Q964" s="105"/>
      <c r="R964" s="105"/>
      <c r="S964" s="105"/>
    </row>
    <row r="965">
      <c r="A965" s="105"/>
      <c r="B965" s="106"/>
      <c r="C965" s="105"/>
      <c r="D965" s="105"/>
      <c r="E965" s="105"/>
      <c r="F965" s="105"/>
      <c r="G965" s="105"/>
      <c r="H965" s="105"/>
      <c r="I965" s="106"/>
      <c r="J965" s="106"/>
      <c r="K965" s="106"/>
      <c r="L965" s="106"/>
      <c r="M965" s="106"/>
      <c r="N965" s="105"/>
      <c r="O965" s="105"/>
      <c r="P965" s="105"/>
      <c r="Q965" s="105"/>
      <c r="R965" s="105"/>
      <c r="S965" s="105"/>
    </row>
    <row r="966">
      <c r="A966" s="105"/>
      <c r="B966" s="106"/>
      <c r="C966" s="105"/>
      <c r="D966" s="105"/>
      <c r="E966" s="105"/>
      <c r="F966" s="105"/>
      <c r="G966" s="105"/>
      <c r="H966" s="105"/>
      <c r="I966" s="106"/>
      <c r="J966" s="106"/>
      <c r="K966" s="106"/>
      <c r="L966" s="106"/>
      <c r="M966" s="106"/>
      <c r="N966" s="105"/>
      <c r="O966" s="105"/>
      <c r="P966" s="105"/>
      <c r="Q966" s="105"/>
      <c r="R966" s="105"/>
      <c r="S966" s="105"/>
    </row>
    <row r="967">
      <c r="A967" s="105"/>
      <c r="B967" s="106"/>
      <c r="C967" s="105"/>
      <c r="D967" s="105"/>
      <c r="E967" s="105"/>
      <c r="F967" s="105"/>
      <c r="G967" s="105"/>
      <c r="H967" s="105"/>
      <c r="I967" s="106"/>
      <c r="J967" s="106"/>
      <c r="K967" s="106"/>
      <c r="L967" s="106"/>
      <c r="M967" s="106"/>
      <c r="N967" s="105"/>
      <c r="O967" s="105"/>
      <c r="P967" s="105"/>
      <c r="Q967" s="105"/>
      <c r="R967" s="105"/>
      <c r="S967" s="105"/>
    </row>
    <row r="968">
      <c r="A968" s="105"/>
      <c r="B968" s="106"/>
      <c r="C968" s="105"/>
      <c r="D968" s="105"/>
      <c r="E968" s="105"/>
      <c r="F968" s="105"/>
      <c r="G968" s="105"/>
      <c r="H968" s="105"/>
      <c r="I968" s="106"/>
      <c r="J968" s="106"/>
      <c r="K968" s="106"/>
      <c r="L968" s="106"/>
      <c r="M968" s="106"/>
      <c r="N968" s="105"/>
      <c r="O968" s="105"/>
      <c r="P968" s="105"/>
      <c r="Q968" s="105"/>
      <c r="R968" s="105"/>
      <c r="S968" s="105"/>
    </row>
    <row r="969">
      <c r="A969" s="105"/>
      <c r="B969" s="106"/>
      <c r="C969" s="105"/>
      <c r="D969" s="105"/>
      <c r="E969" s="105"/>
      <c r="F969" s="105"/>
      <c r="G969" s="105"/>
      <c r="H969" s="105"/>
      <c r="I969" s="106"/>
      <c r="J969" s="106"/>
      <c r="K969" s="106"/>
      <c r="L969" s="106"/>
      <c r="M969" s="106"/>
      <c r="N969" s="105"/>
      <c r="O969" s="105"/>
      <c r="P969" s="105"/>
      <c r="Q969" s="105"/>
      <c r="R969" s="105"/>
      <c r="S969" s="105"/>
    </row>
    <row r="970">
      <c r="A970" s="105"/>
      <c r="B970" s="106"/>
      <c r="C970" s="105"/>
      <c r="D970" s="105"/>
      <c r="E970" s="105"/>
      <c r="F970" s="105"/>
      <c r="G970" s="105"/>
      <c r="H970" s="105"/>
      <c r="I970" s="106"/>
      <c r="J970" s="106"/>
      <c r="K970" s="106"/>
      <c r="L970" s="106"/>
      <c r="M970" s="106"/>
      <c r="N970" s="105"/>
      <c r="O970" s="105"/>
      <c r="P970" s="105"/>
      <c r="Q970" s="105"/>
      <c r="R970" s="105"/>
      <c r="S970" s="105"/>
    </row>
    <row r="971">
      <c r="A971" s="105"/>
      <c r="B971" s="106"/>
      <c r="C971" s="105"/>
      <c r="D971" s="105"/>
      <c r="E971" s="105"/>
      <c r="F971" s="105"/>
      <c r="G971" s="105"/>
      <c r="H971" s="105"/>
      <c r="I971" s="106"/>
      <c r="J971" s="106"/>
      <c r="K971" s="106"/>
      <c r="L971" s="106"/>
      <c r="M971" s="106"/>
      <c r="N971" s="105"/>
      <c r="O971" s="105"/>
      <c r="P971" s="105"/>
      <c r="Q971" s="105"/>
      <c r="R971" s="105"/>
      <c r="S971" s="105"/>
    </row>
    <row r="972">
      <c r="A972" s="105"/>
      <c r="B972" s="106"/>
      <c r="C972" s="105"/>
      <c r="D972" s="105"/>
      <c r="E972" s="105"/>
      <c r="F972" s="105"/>
      <c r="G972" s="105"/>
      <c r="H972" s="105"/>
      <c r="I972" s="106"/>
      <c r="J972" s="106"/>
      <c r="K972" s="106"/>
      <c r="L972" s="106"/>
      <c r="M972" s="106"/>
      <c r="N972" s="105"/>
      <c r="O972" s="105"/>
      <c r="P972" s="105"/>
      <c r="Q972" s="105"/>
      <c r="R972" s="105"/>
      <c r="S972" s="105"/>
    </row>
    <row r="973">
      <c r="A973" s="105"/>
      <c r="B973" s="106"/>
      <c r="C973" s="105"/>
      <c r="D973" s="105"/>
      <c r="E973" s="105"/>
      <c r="F973" s="105"/>
      <c r="G973" s="105"/>
      <c r="H973" s="105"/>
      <c r="I973" s="106"/>
      <c r="J973" s="106"/>
      <c r="K973" s="106"/>
      <c r="L973" s="106"/>
      <c r="M973" s="106"/>
      <c r="N973" s="105"/>
      <c r="O973" s="105"/>
      <c r="P973" s="105"/>
      <c r="Q973" s="105"/>
      <c r="R973" s="105"/>
      <c r="S973" s="105"/>
    </row>
    <row r="974">
      <c r="A974" s="105"/>
      <c r="B974" s="106"/>
      <c r="C974" s="105"/>
      <c r="D974" s="105"/>
      <c r="E974" s="105"/>
      <c r="F974" s="105"/>
      <c r="G974" s="105"/>
      <c r="H974" s="105"/>
      <c r="I974" s="106"/>
      <c r="J974" s="106"/>
      <c r="K974" s="106"/>
      <c r="L974" s="106"/>
      <c r="M974" s="106"/>
      <c r="N974" s="105"/>
      <c r="O974" s="105"/>
      <c r="P974" s="105"/>
      <c r="Q974" s="105"/>
      <c r="R974" s="105"/>
      <c r="S974" s="105"/>
    </row>
    <row r="975">
      <c r="A975" s="105"/>
      <c r="B975" s="106"/>
      <c r="C975" s="105"/>
      <c r="D975" s="105"/>
      <c r="E975" s="105"/>
      <c r="F975" s="105"/>
      <c r="G975" s="105"/>
      <c r="H975" s="105"/>
      <c r="I975" s="106"/>
      <c r="J975" s="106"/>
      <c r="K975" s="106"/>
      <c r="L975" s="106"/>
      <c r="M975" s="106"/>
      <c r="N975" s="105"/>
      <c r="O975" s="105"/>
      <c r="P975" s="105"/>
      <c r="Q975" s="105"/>
      <c r="R975" s="105"/>
      <c r="S975" s="105"/>
    </row>
    <row r="976">
      <c r="A976" s="105"/>
      <c r="B976" s="106"/>
      <c r="C976" s="105"/>
      <c r="D976" s="105"/>
      <c r="E976" s="105"/>
      <c r="F976" s="105"/>
      <c r="G976" s="105"/>
      <c r="H976" s="105"/>
      <c r="I976" s="106"/>
      <c r="J976" s="106"/>
      <c r="K976" s="106"/>
      <c r="L976" s="106"/>
      <c r="M976" s="106"/>
      <c r="N976" s="105"/>
      <c r="O976" s="105"/>
      <c r="P976" s="105"/>
      <c r="Q976" s="105"/>
      <c r="R976" s="105"/>
      <c r="S976" s="105"/>
    </row>
    <row r="977">
      <c r="A977" s="105"/>
      <c r="B977" s="106"/>
      <c r="C977" s="105"/>
      <c r="D977" s="105"/>
      <c r="E977" s="105"/>
      <c r="F977" s="105"/>
      <c r="G977" s="105"/>
      <c r="H977" s="105"/>
      <c r="I977" s="106"/>
      <c r="J977" s="106"/>
      <c r="K977" s="106"/>
      <c r="L977" s="106"/>
      <c r="M977" s="106"/>
      <c r="N977" s="105"/>
      <c r="O977" s="105"/>
      <c r="P977" s="105"/>
      <c r="Q977" s="105"/>
      <c r="R977" s="105"/>
      <c r="S977" s="105"/>
    </row>
    <row r="978">
      <c r="A978" s="105"/>
      <c r="B978" s="106"/>
      <c r="C978" s="105"/>
      <c r="D978" s="105"/>
      <c r="E978" s="105"/>
      <c r="F978" s="105"/>
      <c r="G978" s="105"/>
      <c r="H978" s="105"/>
      <c r="I978" s="106"/>
      <c r="J978" s="106"/>
      <c r="K978" s="106"/>
      <c r="L978" s="106"/>
      <c r="M978" s="106"/>
      <c r="N978" s="105"/>
      <c r="O978" s="105"/>
      <c r="P978" s="105"/>
      <c r="Q978" s="105"/>
      <c r="R978" s="105"/>
      <c r="S978" s="105"/>
    </row>
    <row r="979">
      <c r="A979" s="105"/>
      <c r="B979" s="106"/>
      <c r="C979" s="105"/>
      <c r="D979" s="105"/>
      <c r="E979" s="105"/>
      <c r="F979" s="105"/>
      <c r="G979" s="105"/>
      <c r="H979" s="105"/>
      <c r="I979" s="106"/>
      <c r="J979" s="106"/>
      <c r="K979" s="106"/>
      <c r="L979" s="106"/>
      <c r="M979" s="106"/>
      <c r="N979" s="105"/>
      <c r="O979" s="105"/>
      <c r="P979" s="105"/>
      <c r="Q979" s="105"/>
      <c r="R979" s="105"/>
      <c r="S979" s="105"/>
    </row>
    <row r="980">
      <c r="A980" s="105"/>
      <c r="B980" s="106"/>
      <c r="C980" s="105"/>
      <c r="D980" s="105"/>
      <c r="E980" s="105"/>
      <c r="F980" s="105"/>
      <c r="G980" s="105"/>
      <c r="H980" s="105"/>
      <c r="I980" s="106"/>
      <c r="J980" s="106"/>
      <c r="K980" s="106"/>
      <c r="L980" s="106"/>
      <c r="M980" s="106"/>
      <c r="N980" s="105"/>
      <c r="O980" s="105"/>
      <c r="P980" s="105"/>
      <c r="Q980" s="105"/>
      <c r="R980" s="105"/>
      <c r="S980" s="105"/>
    </row>
    <row r="981">
      <c r="A981" s="105"/>
      <c r="B981" s="106"/>
      <c r="C981" s="105"/>
      <c r="D981" s="105"/>
      <c r="E981" s="105"/>
      <c r="F981" s="105"/>
      <c r="G981" s="105"/>
      <c r="H981" s="105"/>
      <c r="I981" s="106"/>
      <c r="J981" s="106"/>
      <c r="K981" s="106"/>
      <c r="L981" s="106"/>
      <c r="M981" s="106"/>
      <c r="N981" s="105"/>
      <c r="O981" s="105"/>
      <c r="P981" s="105"/>
      <c r="Q981" s="105"/>
      <c r="R981" s="105"/>
      <c r="S981" s="105"/>
    </row>
    <row r="982">
      <c r="A982" s="105"/>
      <c r="B982" s="106"/>
      <c r="C982" s="105"/>
      <c r="D982" s="105"/>
      <c r="E982" s="105"/>
      <c r="F982" s="105"/>
      <c r="G982" s="105"/>
      <c r="H982" s="105"/>
      <c r="I982" s="106"/>
      <c r="J982" s="106"/>
      <c r="K982" s="106"/>
      <c r="L982" s="106"/>
      <c r="M982" s="106"/>
      <c r="N982" s="105"/>
      <c r="O982" s="105"/>
      <c r="P982" s="105"/>
      <c r="Q982" s="105"/>
      <c r="R982" s="105"/>
      <c r="S982" s="105"/>
    </row>
    <row r="983">
      <c r="A983" s="105"/>
      <c r="B983" s="106"/>
      <c r="C983" s="105"/>
      <c r="D983" s="105"/>
      <c r="E983" s="105"/>
      <c r="F983" s="105"/>
      <c r="G983" s="105"/>
      <c r="H983" s="105"/>
      <c r="I983" s="106"/>
      <c r="J983" s="106"/>
      <c r="K983" s="106"/>
      <c r="L983" s="106"/>
      <c r="M983" s="106"/>
      <c r="N983" s="105"/>
      <c r="O983" s="105"/>
      <c r="P983" s="105"/>
      <c r="Q983" s="105"/>
      <c r="R983" s="105"/>
      <c r="S983" s="105"/>
    </row>
    <row r="984">
      <c r="A984" s="105"/>
      <c r="B984" s="106"/>
      <c r="C984" s="105"/>
      <c r="D984" s="105"/>
      <c r="E984" s="105"/>
      <c r="F984" s="105"/>
      <c r="G984" s="105"/>
      <c r="H984" s="105"/>
      <c r="I984" s="106"/>
      <c r="J984" s="106"/>
      <c r="K984" s="106"/>
      <c r="L984" s="106"/>
      <c r="M984" s="106"/>
      <c r="N984" s="105"/>
      <c r="O984" s="105"/>
      <c r="P984" s="105"/>
      <c r="Q984" s="105"/>
      <c r="R984" s="105"/>
      <c r="S984" s="105"/>
    </row>
    <row r="985">
      <c r="A985" s="105"/>
      <c r="B985" s="106"/>
      <c r="C985" s="105"/>
      <c r="D985" s="105"/>
      <c r="E985" s="105"/>
      <c r="F985" s="105"/>
      <c r="G985" s="105"/>
      <c r="H985" s="105"/>
      <c r="I985" s="106"/>
      <c r="J985" s="106"/>
      <c r="K985" s="106"/>
      <c r="L985" s="106"/>
      <c r="M985" s="106"/>
      <c r="N985" s="105"/>
      <c r="O985" s="105"/>
      <c r="P985" s="105"/>
      <c r="Q985" s="105"/>
      <c r="R985" s="105"/>
      <c r="S985" s="105"/>
    </row>
    <row r="986">
      <c r="A986" s="105"/>
      <c r="B986" s="106"/>
      <c r="C986" s="105"/>
      <c r="D986" s="105"/>
      <c r="E986" s="105"/>
      <c r="F986" s="105"/>
      <c r="G986" s="105"/>
      <c r="H986" s="105"/>
      <c r="I986" s="106"/>
      <c r="J986" s="106"/>
      <c r="K986" s="106"/>
      <c r="L986" s="106"/>
      <c r="M986" s="106"/>
      <c r="N986" s="105"/>
      <c r="O986" s="105"/>
      <c r="P986" s="105"/>
      <c r="Q986" s="105"/>
      <c r="R986" s="105"/>
      <c r="S986" s="105"/>
    </row>
    <row r="987">
      <c r="A987" s="105"/>
      <c r="B987" s="106"/>
      <c r="C987" s="105"/>
      <c r="D987" s="105"/>
      <c r="E987" s="105"/>
      <c r="F987" s="105"/>
      <c r="G987" s="105"/>
      <c r="H987" s="105"/>
      <c r="I987" s="106"/>
      <c r="J987" s="106"/>
      <c r="K987" s="106"/>
      <c r="L987" s="106"/>
      <c r="M987" s="106"/>
      <c r="N987" s="105"/>
      <c r="O987" s="105"/>
      <c r="P987" s="105"/>
      <c r="Q987" s="105"/>
      <c r="R987" s="105"/>
      <c r="S987" s="105"/>
    </row>
    <row r="988">
      <c r="A988" s="105"/>
      <c r="B988" s="106"/>
      <c r="C988" s="105"/>
      <c r="D988" s="105"/>
      <c r="E988" s="105"/>
      <c r="F988" s="105"/>
      <c r="G988" s="105"/>
      <c r="H988" s="105"/>
      <c r="I988" s="106"/>
      <c r="J988" s="106"/>
      <c r="K988" s="106"/>
      <c r="L988" s="106"/>
      <c r="M988" s="106"/>
      <c r="N988" s="105"/>
      <c r="O988" s="105"/>
      <c r="P988" s="105"/>
      <c r="Q988" s="105"/>
      <c r="R988" s="105"/>
      <c r="S988" s="105"/>
    </row>
    <row r="989">
      <c r="A989" s="105"/>
      <c r="B989" s="106"/>
      <c r="C989" s="105"/>
      <c r="D989" s="105"/>
      <c r="E989" s="105"/>
      <c r="F989" s="105"/>
      <c r="G989" s="105"/>
      <c r="H989" s="105"/>
      <c r="I989" s="106"/>
      <c r="J989" s="106"/>
      <c r="K989" s="106"/>
      <c r="L989" s="106"/>
      <c r="M989" s="106"/>
      <c r="N989" s="105"/>
      <c r="O989" s="105"/>
      <c r="P989" s="105"/>
      <c r="Q989" s="105"/>
      <c r="R989" s="105"/>
      <c r="S989" s="105"/>
    </row>
    <row r="990">
      <c r="A990" s="105"/>
      <c r="B990" s="106"/>
      <c r="C990" s="105"/>
      <c r="D990" s="105"/>
      <c r="E990" s="105"/>
      <c r="F990" s="105"/>
      <c r="G990" s="105"/>
      <c r="H990" s="105"/>
      <c r="I990" s="106"/>
      <c r="J990" s="106"/>
      <c r="K990" s="106"/>
      <c r="L990" s="106"/>
      <c r="M990" s="106"/>
      <c r="N990" s="105"/>
      <c r="O990" s="105"/>
      <c r="P990" s="105"/>
      <c r="Q990" s="105"/>
      <c r="R990" s="105"/>
      <c r="S990" s="105"/>
    </row>
    <row r="991">
      <c r="A991" s="105"/>
      <c r="B991" s="106"/>
      <c r="C991" s="105"/>
      <c r="D991" s="105"/>
      <c r="E991" s="105"/>
      <c r="F991" s="105"/>
      <c r="G991" s="105"/>
      <c r="H991" s="105"/>
      <c r="I991" s="106"/>
      <c r="J991" s="106"/>
      <c r="K991" s="106"/>
      <c r="L991" s="106"/>
      <c r="M991" s="106"/>
      <c r="N991" s="105"/>
      <c r="O991" s="105"/>
      <c r="P991" s="105"/>
      <c r="Q991" s="105"/>
      <c r="R991" s="105"/>
      <c r="S991" s="105"/>
    </row>
    <row r="992">
      <c r="A992" s="105"/>
      <c r="B992" s="106"/>
      <c r="C992" s="105"/>
      <c r="D992" s="105"/>
      <c r="E992" s="105"/>
      <c r="F992" s="105"/>
      <c r="G992" s="105"/>
      <c r="H992" s="105"/>
      <c r="I992" s="106"/>
      <c r="J992" s="106"/>
      <c r="K992" s="106"/>
      <c r="L992" s="106"/>
      <c r="M992" s="106"/>
      <c r="N992" s="105"/>
      <c r="O992" s="105"/>
      <c r="P992" s="105"/>
      <c r="Q992" s="105"/>
      <c r="R992" s="105"/>
      <c r="S992" s="105"/>
    </row>
    <row r="993">
      <c r="A993" s="105"/>
      <c r="B993" s="106"/>
      <c r="C993" s="105"/>
      <c r="D993" s="105"/>
      <c r="E993" s="105"/>
      <c r="F993" s="105"/>
      <c r="G993" s="105"/>
      <c r="H993" s="105"/>
      <c r="I993" s="106"/>
      <c r="J993" s="106"/>
      <c r="K993" s="106"/>
      <c r="L993" s="106"/>
      <c r="M993" s="106"/>
      <c r="N993" s="105"/>
      <c r="O993" s="105"/>
      <c r="P993" s="105"/>
      <c r="Q993" s="105"/>
      <c r="R993" s="105"/>
      <c r="S993" s="105"/>
    </row>
    <row r="994">
      <c r="A994" s="105"/>
      <c r="B994" s="106"/>
      <c r="C994" s="105"/>
      <c r="D994" s="105"/>
      <c r="E994" s="105"/>
      <c r="F994" s="105"/>
      <c r="G994" s="105"/>
      <c r="H994" s="105"/>
      <c r="I994" s="106"/>
      <c r="J994" s="106"/>
      <c r="K994" s="106"/>
      <c r="L994" s="106"/>
      <c r="M994" s="106"/>
      <c r="N994" s="105"/>
      <c r="O994" s="105"/>
      <c r="P994" s="105"/>
      <c r="Q994" s="105"/>
      <c r="R994" s="105"/>
      <c r="S994" s="105"/>
    </row>
    <row r="995">
      <c r="A995" s="105"/>
      <c r="B995" s="106"/>
      <c r="C995" s="105"/>
      <c r="D995" s="105"/>
      <c r="E995" s="105"/>
      <c r="F995" s="105"/>
      <c r="G995" s="105"/>
      <c r="H995" s="105"/>
      <c r="I995" s="106"/>
      <c r="J995" s="106"/>
      <c r="K995" s="106"/>
      <c r="L995" s="106"/>
      <c r="M995" s="106"/>
      <c r="N995" s="105"/>
      <c r="O995" s="105"/>
      <c r="P995" s="105"/>
      <c r="Q995" s="105"/>
      <c r="R995" s="105"/>
      <c r="S995" s="105"/>
    </row>
    <row r="996">
      <c r="A996" s="105"/>
      <c r="B996" s="106"/>
      <c r="C996" s="105"/>
      <c r="D996" s="105"/>
      <c r="E996" s="105"/>
      <c r="F996" s="105"/>
      <c r="G996" s="105"/>
      <c r="H996" s="105"/>
      <c r="I996" s="106"/>
      <c r="J996" s="106"/>
      <c r="K996" s="106"/>
      <c r="L996" s="106"/>
      <c r="M996" s="106"/>
      <c r="N996" s="105"/>
      <c r="O996" s="105"/>
      <c r="P996" s="105"/>
      <c r="Q996" s="105"/>
      <c r="R996" s="105"/>
      <c r="S996" s="105"/>
    </row>
    <row r="997">
      <c r="A997" s="105"/>
      <c r="B997" s="106"/>
      <c r="C997" s="105"/>
      <c r="D997" s="105"/>
      <c r="E997" s="105"/>
      <c r="F997" s="105"/>
      <c r="G997" s="105"/>
      <c r="H997" s="105"/>
      <c r="I997" s="106"/>
      <c r="J997" s="106"/>
      <c r="K997" s="106"/>
      <c r="L997" s="106"/>
      <c r="M997" s="106"/>
      <c r="N997" s="105"/>
      <c r="O997" s="105"/>
      <c r="P997" s="105"/>
      <c r="Q997" s="105"/>
      <c r="R997" s="105"/>
      <c r="S997" s="105"/>
    </row>
    <row r="998">
      <c r="A998" s="105"/>
      <c r="B998" s="106"/>
      <c r="C998" s="105"/>
      <c r="D998" s="105"/>
      <c r="E998" s="105"/>
      <c r="F998" s="105"/>
      <c r="G998" s="105"/>
      <c r="H998" s="105"/>
      <c r="I998" s="106"/>
      <c r="J998" s="106"/>
      <c r="K998" s="106"/>
      <c r="L998" s="106"/>
      <c r="M998" s="106"/>
      <c r="N998" s="105"/>
      <c r="O998" s="105"/>
      <c r="P998" s="105"/>
      <c r="Q998" s="105"/>
      <c r="R998" s="105"/>
      <c r="S998" s="105"/>
    </row>
    <row r="999">
      <c r="A999" s="105"/>
      <c r="B999" s="106"/>
      <c r="C999" s="105"/>
      <c r="D999" s="105"/>
      <c r="E999" s="105"/>
      <c r="F999" s="105"/>
      <c r="G999" s="105"/>
      <c r="H999" s="105"/>
      <c r="I999" s="106"/>
      <c r="J999" s="106"/>
      <c r="K999" s="106"/>
      <c r="L999" s="106"/>
      <c r="M999" s="106"/>
      <c r="N999" s="105"/>
      <c r="O999" s="105"/>
      <c r="P999" s="105"/>
      <c r="Q999" s="105"/>
      <c r="R999" s="105"/>
      <c r="S999" s="105"/>
    </row>
    <row r="1000">
      <c r="A1000" s="105"/>
      <c r="B1000" s="106"/>
      <c r="C1000" s="105"/>
      <c r="D1000" s="105"/>
      <c r="E1000" s="105"/>
      <c r="F1000" s="105"/>
      <c r="G1000" s="105"/>
      <c r="H1000" s="105"/>
      <c r="I1000" s="106"/>
      <c r="J1000" s="106"/>
      <c r="K1000" s="106"/>
      <c r="L1000" s="106"/>
      <c r="M1000" s="106"/>
      <c r="N1000" s="105"/>
      <c r="O1000" s="105"/>
      <c r="P1000" s="105"/>
      <c r="Q1000" s="105"/>
      <c r="R1000" s="105"/>
      <c r="S1000" s="105"/>
    </row>
    <row r="1001">
      <c r="A1001" s="105"/>
      <c r="B1001" s="106"/>
      <c r="C1001" s="105"/>
      <c r="D1001" s="105"/>
      <c r="E1001" s="105"/>
      <c r="F1001" s="105"/>
      <c r="G1001" s="105"/>
      <c r="H1001" s="105"/>
      <c r="I1001" s="106"/>
      <c r="J1001" s="106"/>
      <c r="K1001" s="106"/>
      <c r="L1001" s="106"/>
      <c r="M1001" s="106"/>
      <c r="N1001" s="105"/>
      <c r="O1001" s="105"/>
      <c r="P1001" s="105"/>
      <c r="Q1001" s="105"/>
      <c r="R1001" s="105"/>
      <c r="S1001" s="105"/>
    </row>
  </sheetData>
  <autoFilter ref="$A$2:$O$567"/>
  <mergeCells count="192">
    <mergeCell ref="B6:E6"/>
    <mergeCell ref="I7:O7"/>
    <mergeCell ref="I8:I9"/>
    <mergeCell ref="J8:J9"/>
    <mergeCell ref="K8:K9"/>
    <mergeCell ref="L8:L9"/>
    <mergeCell ref="M8:M9"/>
    <mergeCell ref="N8:N9"/>
    <mergeCell ref="O8:O9"/>
    <mergeCell ref="B3:E3"/>
    <mergeCell ref="B4:E4"/>
    <mergeCell ref="B5:E5"/>
    <mergeCell ref="B7:B9"/>
    <mergeCell ref="C7:C9"/>
    <mergeCell ref="D7:D9"/>
    <mergeCell ref="E7:E9"/>
    <mergeCell ref="B53:E53"/>
    <mergeCell ref="I54:O54"/>
    <mergeCell ref="I55:I56"/>
    <mergeCell ref="J55:J56"/>
    <mergeCell ref="K55:K56"/>
    <mergeCell ref="L55:L56"/>
    <mergeCell ref="M55:M56"/>
    <mergeCell ref="N55:N56"/>
    <mergeCell ref="O55:O56"/>
    <mergeCell ref="B50:E50"/>
    <mergeCell ref="B51:E51"/>
    <mergeCell ref="B52:E52"/>
    <mergeCell ref="B54:B56"/>
    <mergeCell ref="C54:C56"/>
    <mergeCell ref="D54:D56"/>
    <mergeCell ref="E54:E56"/>
    <mergeCell ref="B99:E99"/>
    <mergeCell ref="I100:O100"/>
    <mergeCell ref="B193:E193"/>
    <mergeCell ref="I194:O194"/>
    <mergeCell ref="B190:E190"/>
    <mergeCell ref="B191:E191"/>
    <mergeCell ref="B192:E192"/>
    <mergeCell ref="B194:B196"/>
    <mergeCell ref="C194:C196"/>
    <mergeCell ref="D194:D196"/>
    <mergeCell ref="E194:E196"/>
    <mergeCell ref="I101:I102"/>
    <mergeCell ref="J101:J102"/>
    <mergeCell ref="K101:K102"/>
    <mergeCell ref="L101:L102"/>
    <mergeCell ref="M101:M102"/>
    <mergeCell ref="N101:N102"/>
    <mergeCell ref="O101:O102"/>
    <mergeCell ref="B96:E96"/>
    <mergeCell ref="B97:E97"/>
    <mergeCell ref="B98:E98"/>
    <mergeCell ref="B100:B102"/>
    <mergeCell ref="C100:C102"/>
    <mergeCell ref="D100:D102"/>
    <mergeCell ref="E100:E102"/>
    <mergeCell ref="B146:E146"/>
    <mergeCell ref="I147:O147"/>
    <mergeCell ref="I148:I149"/>
    <mergeCell ref="J148:J149"/>
    <mergeCell ref="K148:K149"/>
    <mergeCell ref="L148:L149"/>
    <mergeCell ref="M148:M149"/>
    <mergeCell ref="N148:N149"/>
    <mergeCell ref="O148:O149"/>
    <mergeCell ref="B143:E143"/>
    <mergeCell ref="B144:E144"/>
    <mergeCell ref="B145:E145"/>
    <mergeCell ref="B147:B149"/>
    <mergeCell ref="C147:C149"/>
    <mergeCell ref="D147:D149"/>
    <mergeCell ref="E147:E149"/>
    <mergeCell ref="I195:I196"/>
    <mergeCell ref="J195:J196"/>
    <mergeCell ref="K195:K196"/>
    <mergeCell ref="L195:L196"/>
    <mergeCell ref="M195:M196"/>
    <mergeCell ref="N195:N196"/>
    <mergeCell ref="O195:O196"/>
    <mergeCell ref="B240:E240"/>
    <mergeCell ref="I241:O241"/>
    <mergeCell ref="B335:E335"/>
    <mergeCell ref="I336:O336"/>
    <mergeCell ref="B332:E332"/>
    <mergeCell ref="B333:E333"/>
    <mergeCell ref="B334:E334"/>
    <mergeCell ref="B336:B338"/>
    <mergeCell ref="C336:C338"/>
    <mergeCell ref="D336:D338"/>
    <mergeCell ref="E336:E338"/>
    <mergeCell ref="I242:I243"/>
    <mergeCell ref="J242:J243"/>
    <mergeCell ref="K242:K243"/>
    <mergeCell ref="L242:L243"/>
    <mergeCell ref="M242:M243"/>
    <mergeCell ref="N242:N243"/>
    <mergeCell ref="O242:O243"/>
    <mergeCell ref="B237:E237"/>
    <mergeCell ref="B238:E238"/>
    <mergeCell ref="B239:E239"/>
    <mergeCell ref="B241:B243"/>
    <mergeCell ref="C241:C243"/>
    <mergeCell ref="D241:D243"/>
    <mergeCell ref="E241:E243"/>
    <mergeCell ref="B288:E288"/>
    <mergeCell ref="I289:O289"/>
    <mergeCell ref="I290:I291"/>
    <mergeCell ref="J290:J291"/>
    <mergeCell ref="K290:K291"/>
    <mergeCell ref="L290:L291"/>
    <mergeCell ref="M290:M291"/>
    <mergeCell ref="N290:N291"/>
    <mergeCell ref="O290:O291"/>
    <mergeCell ref="B285:E285"/>
    <mergeCell ref="B286:E286"/>
    <mergeCell ref="B287:E287"/>
    <mergeCell ref="B289:B291"/>
    <mergeCell ref="C289:C291"/>
    <mergeCell ref="D289:D291"/>
    <mergeCell ref="E289:E291"/>
    <mergeCell ref="I337:I338"/>
    <mergeCell ref="J337:J338"/>
    <mergeCell ref="K337:K338"/>
    <mergeCell ref="L337:L338"/>
    <mergeCell ref="M337:M338"/>
    <mergeCell ref="N337:N338"/>
    <mergeCell ref="O337:O338"/>
    <mergeCell ref="B382:E382"/>
    <mergeCell ref="I383:O383"/>
    <mergeCell ref="B476:E476"/>
    <mergeCell ref="I477:O477"/>
    <mergeCell ref="B473:E473"/>
    <mergeCell ref="B474:E474"/>
    <mergeCell ref="B475:E475"/>
    <mergeCell ref="B477:B479"/>
    <mergeCell ref="C477:C479"/>
    <mergeCell ref="D477:D479"/>
    <mergeCell ref="E477:E479"/>
    <mergeCell ref="I526:I527"/>
    <mergeCell ref="J526:J527"/>
    <mergeCell ref="K526:K527"/>
    <mergeCell ref="L526:L527"/>
    <mergeCell ref="M526:M527"/>
    <mergeCell ref="N526:N527"/>
    <mergeCell ref="O526:O527"/>
    <mergeCell ref="B521:E521"/>
    <mergeCell ref="B522:E522"/>
    <mergeCell ref="B523:E523"/>
    <mergeCell ref="B525:B527"/>
    <mergeCell ref="C525:C527"/>
    <mergeCell ref="D525:D527"/>
    <mergeCell ref="E525:E527"/>
    <mergeCell ref="I384:I385"/>
    <mergeCell ref="J384:J385"/>
    <mergeCell ref="K384:K385"/>
    <mergeCell ref="L384:L385"/>
    <mergeCell ref="M384:M385"/>
    <mergeCell ref="N384:N385"/>
    <mergeCell ref="O384:O385"/>
    <mergeCell ref="B379:E379"/>
    <mergeCell ref="B380:E380"/>
    <mergeCell ref="B381:E381"/>
    <mergeCell ref="B383:B385"/>
    <mergeCell ref="C383:C385"/>
    <mergeCell ref="D383:D385"/>
    <mergeCell ref="E383:E385"/>
    <mergeCell ref="B429:E429"/>
    <mergeCell ref="I430:O430"/>
    <mergeCell ref="I431:I432"/>
    <mergeCell ref="J431:J432"/>
    <mergeCell ref="K431:K432"/>
    <mergeCell ref="L431:L432"/>
    <mergeCell ref="M431:M432"/>
    <mergeCell ref="N431:N432"/>
    <mergeCell ref="O431:O432"/>
    <mergeCell ref="B426:E426"/>
    <mergeCell ref="B427:E427"/>
    <mergeCell ref="B428:E428"/>
    <mergeCell ref="B430:B432"/>
    <mergeCell ref="C430:C432"/>
    <mergeCell ref="D430:D432"/>
    <mergeCell ref="E430:E432"/>
    <mergeCell ref="I478:I479"/>
    <mergeCell ref="J478:J479"/>
    <mergeCell ref="K478:K479"/>
    <mergeCell ref="L478:L479"/>
    <mergeCell ref="M478:M479"/>
    <mergeCell ref="N478:N479"/>
    <mergeCell ref="O478:O479"/>
    <mergeCell ref="B524:E524"/>
    <mergeCell ref="I525:O525"/>
  </mergeCells>
  <printOptions gridLines="1" horizontalCentered="1"/>
  <pageMargins bottom="0.75" footer="0.0" header="0.0" left="0.7" right="0.7" top="0.75"/>
  <pageSetup fitToHeight="0"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2" max="2" width="12.86"/>
    <col customWidth="1" min="3" max="3" width="10.71"/>
    <col customWidth="1" min="4" max="4" width="52.43"/>
    <col customWidth="1" min="5" max="5" width="3.86"/>
    <col customWidth="1" min="6" max="6" width="9.57"/>
    <col customWidth="1" min="7" max="7" width="19.29"/>
    <col customWidth="1" min="8" max="9" width="16.0"/>
    <col customWidth="1" min="10" max="10" width="25.14"/>
    <col customWidth="1" min="11" max="31" width="10.57"/>
  </cols>
  <sheetData>
    <row r="1" ht="24.75" customHeight="1">
      <c r="A1" s="322" t="s">
        <v>4307</v>
      </c>
      <c r="I1" s="322"/>
      <c r="J1" s="323"/>
      <c r="K1" s="323"/>
      <c r="L1" s="323"/>
      <c r="M1" s="63"/>
      <c r="N1" s="63"/>
      <c r="O1" s="63"/>
      <c r="P1" s="63"/>
      <c r="Q1" s="63"/>
      <c r="R1" s="63"/>
      <c r="S1" s="63"/>
      <c r="T1" s="63"/>
      <c r="U1" s="63"/>
      <c r="V1" s="63"/>
      <c r="W1" s="63"/>
      <c r="X1" s="63"/>
      <c r="Y1" s="63"/>
      <c r="Z1" s="63"/>
      <c r="AA1" s="63"/>
      <c r="AB1" s="63"/>
      <c r="AC1" s="63"/>
      <c r="AD1" s="63"/>
      <c r="AE1" s="63"/>
    </row>
    <row r="2" ht="66.75" customHeight="1">
      <c r="A2" s="324" t="s">
        <v>4308</v>
      </c>
      <c r="I2" s="324"/>
      <c r="J2" s="323"/>
      <c r="K2" s="323"/>
      <c r="L2" s="323"/>
      <c r="M2" s="63"/>
      <c r="N2" s="63"/>
      <c r="O2" s="63"/>
      <c r="P2" s="63"/>
      <c r="Q2" s="63"/>
      <c r="R2" s="63"/>
      <c r="S2" s="63"/>
      <c r="T2" s="63"/>
      <c r="U2" s="63"/>
      <c r="V2" s="63"/>
      <c r="W2" s="63"/>
      <c r="X2" s="63"/>
      <c r="Y2" s="63"/>
      <c r="Z2" s="63"/>
      <c r="AA2" s="63"/>
      <c r="AB2" s="63"/>
      <c r="AC2" s="63"/>
      <c r="AD2" s="63"/>
      <c r="AE2" s="63"/>
    </row>
    <row r="3">
      <c r="A3" s="323"/>
      <c r="B3" s="323"/>
      <c r="C3" s="323"/>
      <c r="D3" s="323"/>
      <c r="E3" s="323"/>
      <c r="F3" s="325" t="s">
        <v>2483</v>
      </c>
      <c r="G3" s="326" t="s">
        <v>3094</v>
      </c>
      <c r="H3" s="327" t="s">
        <v>4309</v>
      </c>
      <c r="I3" s="328" t="s">
        <v>5</v>
      </c>
      <c r="J3" s="323"/>
      <c r="K3" s="323"/>
      <c r="L3" s="323"/>
      <c r="M3" s="63"/>
      <c r="N3" s="63"/>
      <c r="O3" s="63"/>
      <c r="P3" s="63"/>
      <c r="Q3" s="63"/>
      <c r="R3" s="63"/>
      <c r="S3" s="63"/>
      <c r="T3" s="63"/>
      <c r="U3" s="63"/>
      <c r="V3" s="63"/>
      <c r="W3" s="63"/>
      <c r="X3" s="63"/>
      <c r="Y3" s="63"/>
      <c r="Z3" s="63"/>
      <c r="AA3" s="63"/>
      <c r="AB3" s="63"/>
      <c r="AC3" s="63"/>
      <c r="AD3" s="63"/>
      <c r="AE3" s="63"/>
    </row>
    <row r="4">
      <c r="A4" s="323"/>
      <c r="B4" s="323"/>
      <c r="C4" s="323"/>
      <c r="D4" s="323"/>
      <c r="E4" s="323"/>
      <c r="F4" s="323"/>
      <c r="G4" s="323"/>
      <c r="H4" s="323"/>
      <c r="I4" s="323"/>
      <c r="J4" s="323"/>
      <c r="K4" s="323"/>
      <c r="L4" s="323"/>
      <c r="M4" s="63"/>
      <c r="N4" s="63"/>
      <c r="O4" s="63"/>
      <c r="P4" s="63"/>
      <c r="Q4" s="63"/>
      <c r="R4" s="63"/>
      <c r="S4" s="63"/>
      <c r="T4" s="63"/>
      <c r="U4" s="63"/>
      <c r="V4" s="63"/>
      <c r="W4" s="63"/>
      <c r="X4" s="63"/>
      <c r="Y4" s="63"/>
      <c r="Z4" s="63"/>
      <c r="AA4" s="63"/>
      <c r="AB4" s="63"/>
      <c r="AC4" s="63"/>
      <c r="AD4" s="63"/>
      <c r="AE4" s="63"/>
    </row>
    <row r="5">
      <c r="A5" s="329" t="s">
        <v>4310</v>
      </c>
      <c r="B5" s="330"/>
      <c r="C5" s="330"/>
      <c r="D5" s="330"/>
      <c r="E5" s="330"/>
      <c r="F5" s="330"/>
      <c r="G5" s="330"/>
      <c r="H5" s="331"/>
      <c r="I5" s="332"/>
      <c r="J5" s="333"/>
    </row>
    <row r="6">
      <c r="A6" s="334" t="s">
        <v>4311</v>
      </c>
      <c r="B6" s="335"/>
      <c r="C6" s="335"/>
      <c r="D6" s="335"/>
      <c r="E6" s="335"/>
      <c r="F6" s="335"/>
      <c r="G6" s="335"/>
      <c r="H6" s="336"/>
      <c r="I6" s="337"/>
      <c r="J6" s="333"/>
    </row>
    <row r="7">
      <c r="A7" s="338" t="s">
        <v>4312</v>
      </c>
      <c r="B7" s="339"/>
      <c r="C7" s="339"/>
      <c r="D7" s="339"/>
      <c r="E7" s="339"/>
      <c r="F7" s="339"/>
      <c r="G7" s="340"/>
      <c r="H7" s="340"/>
      <c r="I7" s="341"/>
      <c r="J7" s="333"/>
    </row>
    <row r="8">
      <c r="A8" s="342" t="s">
        <v>1735</v>
      </c>
      <c r="B8" s="342" t="s">
        <v>1736</v>
      </c>
      <c r="C8" s="342" t="s">
        <v>1737</v>
      </c>
      <c r="D8" s="342" t="s">
        <v>1738</v>
      </c>
      <c r="E8" s="342" t="s">
        <v>1815</v>
      </c>
      <c r="F8" s="343"/>
      <c r="G8" s="343" t="s">
        <v>3097</v>
      </c>
      <c r="H8" s="344"/>
      <c r="I8" s="345"/>
      <c r="J8" s="333"/>
    </row>
    <row r="9">
      <c r="A9" s="346"/>
      <c r="B9" s="346"/>
      <c r="C9" s="346"/>
      <c r="D9" s="346"/>
      <c r="E9" s="346"/>
      <c r="F9" s="347" t="s">
        <v>2483</v>
      </c>
      <c r="G9" s="348" t="s">
        <v>3094</v>
      </c>
      <c r="H9" s="349" t="s">
        <v>4309</v>
      </c>
      <c r="I9" s="350"/>
      <c r="J9" s="333"/>
    </row>
    <row r="10">
      <c r="A10" s="351"/>
      <c r="B10" s="351"/>
      <c r="C10" s="351"/>
      <c r="D10" s="351"/>
      <c r="E10" s="351"/>
      <c r="F10" s="352"/>
      <c r="G10" s="353"/>
      <c r="H10" s="354"/>
      <c r="I10" s="350"/>
      <c r="J10" s="333"/>
    </row>
    <row r="11">
      <c r="A11" s="355">
        <v>1.0</v>
      </c>
      <c r="B11" s="356" t="s">
        <v>4313</v>
      </c>
      <c r="C11" s="356">
        <v>2.42510005E8</v>
      </c>
      <c r="D11" s="356" t="s">
        <v>4314</v>
      </c>
      <c r="E11" s="356" t="s">
        <v>3100</v>
      </c>
      <c r="F11" s="357" t="s">
        <v>4315</v>
      </c>
      <c r="G11" s="357">
        <v>10.0</v>
      </c>
      <c r="H11" s="357">
        <v>7.0</v>
      </c>
      <c r="I11" s="358"/>
      <c r="J11" s="333"/>
    </row>
    <row r="12">
      <c r="A12" s="355">
        <v>2.0</v>
      </c>
      <c r="B12" s="356" t="s">
        <v>4316</v>
      </c>
      <c r="C12" s="356">
        <v>2.4251002E8</v>
      </c>
      <c r="D12" s="356" t="s">
        <v>4317</v>
      </c>
      <c r="E12" s="356" t="s">
        <v>3099</v>
      </c>
      <c r="F12" s="357" t="s">
        <v>4318</v>
      </c>
      <c r="G12" s="357">
        <v>5.0</v>
      </c>
      <c r="H12" s="357"/>
      <c r="I12" s="358"/>
      <c r="J12" s="333"/>
    </row>
    <row r="13">
      <c r="A13" s="355">
        <v>3.0</v>
      </c>
      <c r="B13" s="356" t="s">
        <v>4319</v>
      </c>
      <c r="C13" s="356">
        <v>2.42510031E8</v>
      </c>
      <c r="D13" s="356" t="s">
        <v>4320</v>
      </c>
      <c r="E13" s="356" t="s">
        <v>3100</v>
      </c>
      <c r="F13" s="357" t="s">
        <v>4315</v>
      </c>
      <c r="G13" s="357">
        <v>10.0</v>
      </c>
      <c r="H13" s="357">
        <v>5.0</v>
      </c>
      <c r="I13" s="358"/>
      <c r="J13" s="333"/>
    </row>
    <row r="14">
      <c r="A14" s="355">
        <v>4.0</v>
      </c>
      <c r="B14" s="356" t="s">
        <v>4321</v>
      </c>
      <c r="C14" s="356">
        <v>2.42510069E8</v>
      </c>
      <c r="D14" s="356" t="s">
        <v>4322</v>
      </c>
      <c r="E14" s="356" t="s">
        <v>3100</v>
      </c>
      <c r="F14" s="357" t="s">
        <v>4315</v>
      </c>
      <c r="G14" s="357">
        <v>10.0</v>
      </c>
      <c r="H14" s="357">
        <v>7.0</v>
      </c>
      <c r="I14" s="358"/>
      <c r="J14" s="333"/>
    </row>
    <row r="15">
      <c r="A15" s="355">
        <v>5.0</v>
      </c>
      <c r="B15" s="356" t="s">
        <v>4323</v>
      </c>
      <c r="C15" s="356">
        <v>2.42510074E8</v>
      </c>
      <c r="D15" s="356" t="s">
        <v>4324</v>
      </c>
      <c r="E15" s="356" t="s">
        <v>3100</v>
      </c>
      <c r="F15" s="357" t="s">
        <v>4315</v>
      </c>
      <c r="G15" s="357">
        <v>10.0</v>
      </c>
      <c r="H15" s="357">
        <v>9.0</v>
      </c>
      <c r="I15" s="358"/>
      <c r="J15" s="333"/>
    </row>
    <row r="16">
      <c r="A16" s="355">
        <v>6.0</v>
      </c>
      <c r="B16" s="356" t="s">
        <v>4325</v>
      </c>
      <c r="C16" s="356">
        <v>2.42510095E8</v>
      </c>
      <c r="D16" s="356" t="s">
        <v>4326</v>
      </c>
      <c r="E16" s="356" t="s">
        <v>3100</v>
      </c>
      <c r="F16" s="357" t="s">
        <v>4315</v>
      </c>
      <c r="G16" s="357">
        <v>10.0</v>
      </c>
      <c r="H16" s="357">
        <v>4.0</v>
      </c>
      <c r="I16" s="358"/>
      <c r="J16" s="333"/>
    </row>
    <row r="17">
      <c r="A17" s="355">
        <v>7.0</v>
      </c>
      <c r="B17" s="356" t="s">
        <v>4327</v>
      </c>
      <c r="C17" s="356">
        <v>2.42510096E8</v>
      </c>
      <c r="D17" s="356" t="s">
        <v>4328</v>
      </c>
      <c r="E17" s="356" t="s">
        <v>3100</v>
      </c>
      <c r="F17" s="357" t="s">
        <v>4315</v>
      </c>
      <c r="G17" s="357">
        <v>10.0</v>
      </c>
      <c r="H17" s="357">
        <v>8.0</v>
      </c>
      <c r="I17" s="358"/>
      <c r="J17" s="333"/>
    </row>
    <row r="18">
      <c r="A18" s="355">
        <v>8.0</v>
      </c>
      <c r="B18" s="356" t="s">
        <v>4329</v>
      </c>
      <c r="C18" s="356">
        <v>2.42510114E8</v>
      </c>
      <c r="D18" s="356" t="s">
        <v>4330</v>
      </c>
      <c r="E18" s="356" t="s">
        <v>3099</v>
      </c>
      <c r="F18" s="357" t="s">
        <v>4318</v>
      </c>
      <c r="G18" s="357">
        <v>5.0</v>
      </c>
      <c r="H18" s="357"/>
      <c r="I18" s="358"/>
      <c r="J18" s="333"/>
    </row>
    <row r="19">
      <c r="A19" s="355">
        <v>9.0</v>
      </c>
      <c r="B19" s="356" t="s">
        <v>4331</v>
      </c>
      <c r="C19" s="356">
        <v>2.42510124E8</v>
      </c>
      <c r="D19" s="356" t="s">
        <v>4332</v>
      </c>
      <c r="E19" s="356" t="s">
        <v>3099</v>
      </c>
      <c r="F19" s="357" t="s">
        <v>4318</v>
      </c>
      <c r="G19" s="357">
        <v>5.0</v>
      </c>
      <c r="H19" s="357"/>
      <c r="I19" s="358"/>
      <c r="J19" s="333"/>
    </row>
    <row r="20">
      <c r="A20" s="355">
        <v>10.0</v>
      </c>
      <c r="B20" s="356" t="s">
        <v>4333</v>
      </c>
      <c r="C20" s="356">
        <v>2.42510132E8</v>
      </c>
      <c r="D20" s="356" t="s">
        <v>4334</v>
      </c>
      <c r="E20" s="356" t="s">
        <v>3100</v>
      </c>
      <c r="F20" s="357" t="s">
        <v>4315</v>
      </c>
      <c r="G20" s="357">
        <v>10.0</v>
      </c>
      <c r="H20" s="357">
        <v>8.0</v>
      </c>
      <c r="I20" s="358"/>
      <c r="J20" s="333"/>
    </row>
    <row r="21">
      <c r="A21" s="355">
        <v>11.0</v>
      </c>
      <c r="B21" s="356" t="s">
        <v>4335</v>
      </c>
      <c r="C21" s="356">
        <v>2.4251014E8</v>
      </c>
      <c r="D21" s="356" t="s">
        <v>4336</v>
      </c>
      <c r="E21" s="356" t="s">
        <v>3100</v>
      </c>
      <c r="F21" s="357" t="s">
        <v>4315</v>
      </c>
      <c r="G21" s="357">
        <v>10.0</v>
      </c>
      <c r="H21" s="357">
        <v>5.0</v>
      </c>
      <c r="I21" s="358"/>
      <c r="J21" s="333"/>
    </row>
    <row r="22">
      <c r="A22" s="355">
        <v>12.0</v>
      </c>
      <c r="B22" s="356" t="s">
        <v>4337</v>
      </c>
      <c r="C22" s="356">
        <v>2.42510145E8</v>
      </c>
      <c r="D22" s="356" t="s">
        <v>4338</v>
      </c>
      <c r="E22" s="356" t="s">
        <v>3099</v>
      </c>
      <c r="F22" s="357" t="s">
        <v>4318</v>
      </c>
      <c r="G22" s="357">
        <v>5.0</v>
      </c>
      <c r="H22" s="357"/>
      <c r="I22" s="358"/>
      <c r="J22" s="333"/>
    </row>
    <row r="23">
      <c r="A23" s="355">
        <v>13.0</v>
      </c>
      <c r="B23" s="356" t="s">
        <v>4339</v>
      </c>
      <c r="C23" s="356">
        <v>2.42510174E8</v>
      </c>
      <c r="D23" s="356" t="s">
        <v>4340</v>
      </c>
      <c r="E23" s="356" t="s">
        <v>3099</v>
      </c>
      <c r="F23" s="357" t="s">
        <v>4318</v>
      </c>
      <c r="G23" s="357">
        <v>5.0</v>
      </c>
      <c r="H23" s="357"/>
      <c r="I23" s="358"/>
      <c r="J23" s="333"/>
    </row>
    <row r="24">
      <c r="A24" s="355">
        <v>14.0</v>
      </c>
      <c r="B24" s="356" t="s">
        <v>4341</v>
      </c>
      <c r="C24" s="356">
        <v>2.42510181E8</v>
      </c>
      <c r="D24" s="356" t="s">
        <v>4342</v>
      </c>
      <c r="E24" s="359" t="s">
        <v>3099</v>
      </c>
      <c r="F24" s="357" t="s">
        <v>1187</v>
      </c>
      <c r="G24" s="357"/>
      <c r="H24" s="357"/>
      <c r="I24" s="358"/>
      <c r="J24" s="333"/>
    </row>
    <row r="25">
      <c r="A25" s="355">
        <v>15.0</v>
      </c>
      <c r="B25" s="356" t="s">
        <v>4343</v>
      </c>
      <c r="C25" s="356">
        <v>2.42510183E8</v>
      </c>
      <c r="D25" s="356" t="s">
        <v>4344</v>
      </c>
      <c r="E25" s="356" t="s">
        <v>3100</v>
      </c>
      <c r="F25" s="357" t="s">
        <v>4315</v>
      </c>
      <c r="G25" s="357">
        <v>10.0</v>
      </c>
      <c r="H25" s="357">
        <v>7.0</v>
      </c>
      <c r="I25" s="358"/>
      <c r="J25" s="333"/>
    </row>
    <row r="26">
      <c r="A26" s="355">
        <v>16.0</v>
      </c>
      <c r="B26" s="356" t="s">
        <v>4345</v>
      </c>
      <c r="C26" s="356">
        <v>2.42510185E8</v>
      </c>
      <c r="D26" s="356" t="s">
        <v>4346</v>
      </c>
      <c r="E26" s="356" t="s">
        <v>3100</v>
      </c>
      <c r="F26" s="357" t="s">
        <v>4315</v>
      </c>
      <c r="G26" s="357">
        <v>10.0</v>
      </c>
      <c r="H26" s="357">
        <v>5.0</v>
      </c>
      <c r="I26" s="358"/>
      <c r="J26" s="333"/>
    </row>
    <row r="27">
      <c r="A27" s="355">
        <v>17.0</v>
      </c>
      <c r="B27" s="356" t="s">
        <v>4347</v>
      </c>
      <c r="C27" s="356">
        <v>2.42510189E8</v>
      </c>
      <c r="D27" s="356" t="s">
        <v>4348</v>
      </c>
      <c r="E27" s="359" t="s">
        <v>3099</v>
      </c>
      <c r="F27" s="357" t="s">
        <v>1187</v>
      </c>
      <c r="G27" s="357"/>
      <c r="H27" s="357"/>
      <c r="I27" s="358"/>
      <c r="J27" s="333"/>
    </row>
    <row r="28">
      <c r="A28" s="355">
        <v>18.0</v>
      </c>
      <c r="B28" s="356" t="s">
        <v>4349</v>
      </c>
      <c r="C28" s="356">
        <v>2.42510194E8</v>
      </c>
      <c r="D28" s="356" t="s">
        <v>4350</v>
      </c>
      <c r="E28" s="356" t="s">
        <v>3099</v>
      </c>
      <c r="F28" s="357" t="s">
        <v>4318</v>
      </c>
      <c r="G28" s="357">
        <v>5.0</v>
      </c>
      <c r="H28" s="357"/>
      <c r="I28" s="358"/>
      <c r="J28" s="333"/>
    </row>
    <row r="29">
      <c r="A29" s="355">
        <v>19.0</v>
      </c>
      <c r="B29" s="356" t="s">
        <v>4351</v>
      </c>
      <c r="C29" s="356">
        <v>2.42510218E8</v>
      </c>
      <c r="D29" s="356" t="s">
        <v>4352</v>
      </c>
      <c r="E29" s="356" t="s">
        <v>3099</v>
      </c>
      <c r="F29" s="357" t="s">
        <v>4318</v>
      </c>
      <c r="G29" s="357">
        <v>5.0</v>
      </c>
      <c r="H29" s="357"/>
      <c r="I29" s="358"/>
      <c r="J29" s="333"/>
    </row>
    <row r="30">
      <c r="A30" s="355">
        <v>20.0</v>
      </c>
      <c r="B30" s="356" t="s">
        <v>4353</v>
      </c>
      <c r="C30" s="356">
        <v>2.42510224E8</v>
      </c>
      <c r="D30" s="356" t="s">
        <v>4354</v>
      </c>
      <c r="E30" s="356" t="s">
        <v>3099</v>
      </c>
      <c r="F30" s="357" t="s">
        <v>4318</v>
      </c>
      <c r="G30" s="357">
        <v>5.0</v>
      </c>
      <c r="H30" s="357"/>
      <c r="I30" s="358"/>
      <c r="J30" s="333"/>
    </row>
    <row r="31">
      <c r="A31" s="355">
        <v>21.0</v>
      </c>
      <c r="B31" s="356" t="s">
        <v>4355</v>
      </c>
      <c r="C31" s="356">
        <v>2.42510248E8</v>
      </c>
      <c r="D31" s="356" t="s">
        <v>4356</v>
      </c>
      <c r="E31" s="356" t="s">
        <v>3099</v>
      </c>
      <c r="F31" s="357" t="s">
        <v>4318</v>
      </c>
      <c r="G31" s="357">
        <v>5.0</v>
      </c>
      <c r="H31" s="357"/>
      <c r="I31" s="358"/>
      <c r="J31" s="333"/>
    </row>
    <row r="32">
      <c r="A32" s="355">
        <v>22.0</v>
      </c>
      <c r="B32" s="356" t="s">
        <v>4357</v>
      </c>
      <c r="C32" s="356">
        <v>2.42510257E8</v>
      </c>
      <c r="D32" s="356" t="s">
        <v>4358</v>
      </c>
      <c r="E32" s="356" t="s">
        <v>3099</v>
      </c>
      <c r="F32" s="357" t="s">
        <v>4318</v>
      </c>
      <c r="G32" s="357">
        <v>5.0</v>
      </c>
      <c r="H32" s="357">
        <v>3.0</v>
      </c>
      <c r="I32" s="358"/>
      <c r="J32" s="333"/>
    </row>
    <row r="33">
      <c r="A33" s="355">
        <v>23.0</v>
      </c>
      <c r="B33" s="356" t="s">
        <v>4359</v>
      </c>
      <c r="C33" s="356">
        <v>2.42510274E8</v>
      </c>
      <c r="D33" s="356" t="s">
        <v>4360</v>
      </c>
      <c r="E33" s="356" t="s">
        <v>3099</v>
      </c>
      <c r="F33" s="357" t="s">
        <v>4318</v>
      </c>
      <c r="G33" s="357">
        <v>5.0</v>
      </c>
      <c r="H33" s="357"/>
      <c r="I33" s="358"/>
      <c r="J33" s="333"/>
    </row>
    <row r="34">
      <c r="A34" s="355">
        <v>24.0</v>
      </c>
      <c r="B34" s="356" t="s">
        <v>4361</v>
      </c>
      <c r="C34" s="356">
        <v>2.42510288E8</v>
      </c>
      <c r="D34" s="356" t="s">
        <v>4362</v>
      </c>
      <c r="E34" s="356" t="s">
        <v>3100</v>
      </c>
      <c r="F34" s="357" t="s">
        <v>4315</v>
      </c>
      <c r="G34" s="357">
        <v>10.0</v>
      </c>
      <c r="H34" s="357">
        <v>6.0</v>
      </c>
      <c r="I34" s="358"/>
      <c r="J34" s="333"/>
    </row>
    <row r="35">
      <c r="A35" s="355">
        <v>25.0</v>
      </c>
      <c r="B35" s="356" t="s">
        <v>4363</v>
      </c>
      <c r="C35" s="356">
        <v>2.42510304E8</v>
      </c>
      <c r="D35" s="356" t="s">
        <v>4364</v>
      </c>
      <c r="E35" s="356" t="s">
        <v>3100</v>
      </c>
      <c r="F35" s="357" t="s">
        <v>4315</v>
      </c>
      <c r="G35" s="357">
        <v>10.0</v>
      </c>
      <c r="H35" s="357">
        <v>4.0</v>
      </c>
      <c r="I35" s="358"/>
      <c r="J35" s="333"/>
    </row>
    <row r="36">
      <c r="A36" s="355">
        <v>26.0</v>
      </c>
      <c r="B36" s="356" t="s">
        <v>4365</v>
      </c>
      <c r="C36" s="356">
        <v>2.42510305E8</v>
      </c>
      <c r="D36" s="356" t="s">
        <v>4366</v>
      </c>
      <c r="E36" s="359" t="s">
        <v>3099</v>
      </c>
      <c r="F36" s="357" t="s">
        <v>1187</v>
      </c>
      <c r="G36" s="357"/>
      <c r="H36" s="357"/>
      <c r="I36" s="358"/>
      <c r="J36" s="333"/>
    </row>
    <row r="37">
      <c r="A37" s="355">
        <v>27.0</v>
      </c>
      <c r="B37" s="356" t="s">
        <v>4367</v>
      </c>
      <c r="C37" s="356">
        <v>2.42510309E8</v>
      </c>
      <c r="D37" s="356" t="s">
        <v>4368</v>
      </c>
      <c r="E37" s="356" t="s">
        <v>3100</v>
      </c>
      <c r="F37" s="357" t="s">
        <v>4315</v>
      </c>
      <c r="G37" s="357">
        <v>10.0</v>
      </c>
      <c r="H37" s="357">
        <v>4.0</v>
      </c>
      <c r="I37" s="358"/>
      <c r="J37" s="333"/>
    </row>
    <row r="38">
      <c r="A38" s="355">
        <v>28.0</v>
      </c>
      <c r="B38" s="356" t="s">
        <v>4369</v>
      </c>
      <c r="C38" s="356">
        <v>2.42510339E8</v>
      </c>
      <c r="D38" s="356" t="s">
        <v>4370</v>
      </c>
      <c r="E38" s="356" t="s">
        <v>3100</v>
      </c>
      <c r="F38" s="357" t="s">
        <v>4315</v>
      </c>
      <c r="G38" s="357">
        <v>10.0</v>
      </c>
      <c r="H38" s="357">
        <v>4.0</v>
      </c>
      <c r="I38" s="358"/>
      <c r="J38" s="333"/>
    </row>
    <row r="39">
      <c r="A39" s="355">
        <v>29.0</v>
      </c>
      <c r="B39" s="356" t="s">
        <v>4371</v>
      </c>
      <c r="C39" s="356">
        <v>2.42510341E8</v>
      </c>
      <c r="D39" s="356" t="s">
        <v>4372</v>
      </c>
      <c r="E39" s="356" t="s">
        <v>3099</v>
      </c>
      <c r="F39" s="357" t="s">
        <v>4318</v>
      </c>
      <c r="G39" s="357">
        <v>5.0</v>
      </c>
      <c r="H39" s="357"/>
      <c r="I39" s="358"/>
      <c r="J39" s="333"/>
    </row>
    <row r="40">
      <c r="A40" s="355">
        <v>30.0</v>
      </c>
      <c r="B40" s="356" t="s">
        <v>4373</v>
      </c>
      <c r="C40" s="356">
        <v>2.42510349E8</v>
      </c>
      <c r="D40" s="356" t="s">
        <v>4374</v>
      </c>
      <c r="E40" s="356" t="s">
        <v>3099</v>
      </c>
      <c r="F40" s="360"/>
      <c r="G40" s="360"/>
      <c r="H40" s="360"/>
      <c r="I40" s="361"/>
      <c r="J40" s="333"/>
    </row>
    <row r="41">
      <c r="A41" s="355">
        <v>31.0</v>
      </c>
      <c r="B41" s="356" t="s">
        <v>4375</v>
      </c>
      <c r="C41" s="356">
        <v>2.42510352E8</v>
      </c>
      <c r="D41" s="356" t="s">
        <v>4376</v>
      </c>
      <c r="E41" s="356" t="s">
        <v>3099</v>
      </c>
      <c r="F41" s="362" t="s">
        <v>4318</v>
      </c>
      <c r="G41" s="362">
        <v>5.0</v>
      </c>
      <c r="H41" s="362">
        <v>3.0</v>
      </c>
      <c r="I41" s="363"/>
      <c r="J41" s="333"/>
    </row>
    <row r="42">
      <c r="A42" s="355">
        <v>32.0</v>
      </c>
      <c r="B42" s="356" t="s">
        <v>4377</v>
      </c>
      <c r="C42" s="356">
        <v>2.42510361E8</v>
      </c>
      <c r="D42" s="356" t="s">
        <v>4378</v>
      </c>
      <c r="E42" s="356" t="s">
        <v>3100</v>
      </c>
      <c r="F42" s="362" t="s">
        <v>4315</v>
      </c>
      <c r="G42" s="362">
        <v>10.0</v>
      </c>
      <c r="H42" s="362">
        <v>7.0</v>
      </c>
      <c r="I42" s="361"/>
      <c r="J42" s="333"/>
    </row>
    <row r="43">
      <c r="A43" s="355">
        <v>33.0</v>
      </c>
      <c r="B43" s="356" t="s">
        <v>4379</v>
      </c>
      <c r="C43" s="356">
        <v>2.42510387E8</v>
      </c>
      <c r="D43" s="356" t="s">
        <v>4380</v>
      </c>
      <c r="E43" s="356" t="s">
        <v>3100</v>
      </c>
      <c r="F43" s="362" t="s">
        <v>4315</v>
      </c>
      <c r="G43" s="362">
        <v>10.0</v>
      </c>
      <c r="H43" s="362">
        <v>4.0</v>
      </c>
      <c r="I43" s="361"/>
      <c r="J43" s="333"/>
    </row>
    <row r="44">
      <c r="A44" s="355">
        <v>34.0</v>
      </c>
      <c r="B44" s="356" t="s">
        <v>4381</v>
      </c>
      <c r="C44" s="356">
        <v>2.42510397E8</v>
      </c>
      <c r="D44" s="356" t="s">
        <v>4382</v>
      </c>
      <c r="E44" s="356" t="s">
        <v>3100</v>
      </c>
      <c r="F44" s="362" t="s">
        <v>4315</v>
      </c>
      <c r="G44" s="362">
        <v>10.0</v>
      </c>
      <c r="H44" s="362">
        <v>4.0</v>
      </c>
      <c r="I44" s="361"/>
      <c r="J44" s="333"/>
    </row>
    <row r="45">
      <c r="A45" s="355">
        <v>35.0</v>
      </c>
      <c r="B45" s="356" t="s">
        <v>4383</v>
      </c>
      <c r="C45" s="356">
        <v>2.42510398E8</v>
      </c>
      <c r="D45" s="356" t="s">
        <v>4384</v>
      </c>
      <c r="E45" s="356" t="s">
        <v>3100</v>
      </c>
      <c r="F45" s="362" t="s">
        <v>4315</v>
      </c>
      <c r="G45" s="362">
        <v>10.0</v>
      </c>
      <c r="H45" s="362">
        <v>5.0</v>
      </c>
      <c r="I45" s="361"/>
      <c r="J45" s="333"/>
    </row>
    <row r="46">
      <c r="A46" s="355">
        <v>36.0</v>
      </c>
      <c r="B46" s="356" t="s">
        <v>4385</v>
      </c>
      <c r="C46" s="356">
        <v>2.42510432E8</v>
      </c>
      <c r="D46" s="356" t="s">
        <v>4386</v>
      </c>
      <c r="E46" s="356" t="s">
        <v>3100</v>
      </c>
      <c r="F46" s="362" t="s">
        <v>4315</v>
      </c>
      <c r="G46" s="362">
        <v>10.0</v>
      </c>
      <c r="H46" s="360"/>
      <c r="I46" s="361"/>
      <c r="J46" s="333"/>
    </row>
    <row r="47">
      <c r="A47" s="355">
        <v>37.0</v>
      </c>
      <c r="B47" s="364"/>
      <c r="C47" s="364"/>
      <c r="D47" s="364"/>
      <c r="E47" s="364"/>
      <c r="F47" s="364"/>
      <c r="G47" s="364"/>
      <c r="H47" s="364"/>
      <c r="I47" s="365"/>
      <c r="J47" s="333"/>
    </row>
    <row r="48">
      <c r="A48" s="355">
        <v>38.0</v>
      </c>
      <c r="B48" s="364"/>
      <c r="C48" s="364"/>
      <c r="D48" s="364"/>
      <c r="E48" s="364"/>
      <c r="F48" s="364"/>
      <c r="G48" s="364"/>
      <c r="H48" s="364"/>
      <c r="I48" s="365"/>
      <c r="J48" s="333"/>
    </row>
    <row r="49">
      <c r="A49" s="365"/>
      <c r="B49" s="366" t="s">
        <v>3101</v>
      </c>
      <c r="C49" s="365"/>
      <c r="D49" s="367">
        <f>COUNTIF(E11:E51,"L")</f>
        <v>17</v>
      </c>
      <c r="E49" s="365"/>
      <c r="F49" s="365"/>
      <c r="G49" s="365"/>
      <c r="H49" s="365"/>
      <c r="I49" s="365"/>
      <c r="J49" s="333"/>
    </row>
    <row r="50">
      <c r="A50" s="365"/>
      <c r="B50" s="366" t="s">
        <v>3102</v>
      </c>
      <c r="C50" s="365"/>
      <c r="D50" s="367">
        <f>COUNTIF(E11:E51,"P")</f>
        <v>19</v>
      </c>
      <c r="E50" s="365"/>
      <c r="F50" s="365"/>
      <c r="G50" s="365"/>
      <c r="H50" s="365"/>
      <c r="I50" s="365"/>
      <c r="J50" s="333"/>
    </row>
    <row r="51">
      <c r="A51" s="365"/>
      <c r="B51" s="366" t="s">
        <v>3104</v>
      </c>
      <c r="C51" s="365"/>
      <c r="D51" s="367">
        <f>D49+D50</f>
        <v>36</v>
      </c>
      <c r="E51" s="365"/>
      <c r="F51" s="365"/>
      <c r="G51" s="365"/>
      <c r="H51" s="365"/>
      <c r="I51" s="365"/>
      <c r="J51" s="333"/>
    </row>
    <row r="52">
      <c r="A52" s="368" t="s">
        <v>4387</v>
      </c>
      <c r="B52" s="368"/>
      <c r="C52" s="368"/>
      <c r="D52" s="368"/>
      <c r="E52" s="368"/>
      <c r="F52" s="368"/>
      <c r="G52" s="368"/>
      <c r="H52" s="368"/>
      <c r="I52" s="187"/>
      <c r="J52" s="333"/>
    </row>
    <row r="53">
      <c r="A53" s="369" t="s">
        <v>4388</v>
      </c>
      <c r="B53" s="370"/>
      <c r="C53" s="370"/>
      <c r="D53" s="370"/>
      <c r="E53" s="370"/>
      <c r="F53" s="370"/>
      <c r="G53" s="370"/>
      <c r="H53" s="371"/>
      <c r="I53" s="332"/>
      <c r="J53" s="333"/>
    </row>
    <row r="54">
      <c r="A54" s="329" t="s">
        <v>4310</v>
      </c>
      <c r="B54" s="330"/>
      <c r="C54" s="330"/>
      <c r="D54" s="330"/>
      <c r="E54" s="330"/>
      <c r="F54" s="330"/>
      <c r="G54" s="330"/>
      <c r="H54" s="331"/>
      <c r="I54" s="332"/>
      <c r="J54" s="333"/>
    </row>
    <row r="55">
      <c r="A55" s="334" t="s">
        <v>4389</v>
      </c>
      <c r="B55" s="335"/>
      <c r="C55" s="335"/>
      <c r="D55" s="335"/>
      <c r="E55" s="335"/>
      <c r="F55" s="335"/>
      <c r="G55" s="335"/>
      <c r="H55" s="336"/>
      <c r="I55" s="337"/>
      <c r="J55" s="333"/>
    </row>
    <row r="56">
      <c r="A56" s="338" t="s">
        <v>4390</v>
      </c>
      <c r="B56" s="339"/>
      <c r="C56" s="339"/>
      <c r="D56" s="339"/>
      <c r="E56" s="339"/>
      <c r="F56" s="339"/>
      <c r="G56" s="340"/>
      <c r="H56" s="340"/>
      <c r="I56" s="341"/>
      <c r="J56" s="333"/>
    </row>
    <row r="57">
      <c r="A57" s="342" t="s">
        <v>1735</v>
      </c>
      <c r="B57" s="342" t="s">
        <v>1736</v>
      </c>
      <c r="C57" s="342" t="s">
        <v>1737</v>
      </c>
      <c r="D57" s="342" t="s">
        <v>1738</v>
      </c>
      <c r="E57" s="342" t="s">
        <v>1815</v>
      </c>
      <c r="F57" s="343"/>
      <c r="G57" s="343" t="s">
        <v>3097</v>
      </c>
      <c r="H57" s="372"/>
      <c r="I57" s="372"/>
      <c r="J57" s="344"/>
    </row>
    <row r="58">
      <c r="A58" s="346"/>
      <c r="B58" s="346"/>
      <c r="C58" s="346"/>
      <c r="D58" s="346"/>
      <c r="E58" s="346"/>
      <c r="F58" s="347" t="s">
        <v>2483</v>
      </c>
      <c r="G58" s="348" t="s">
        <v>3094</v>
      </c>
      <c r="H58" s="373" t="s">
        <v>4309</v>
      </c>
      <c r="I58" s="374"/>
      <c r="J58" s="375" t="s">
        <v>4391</v>
      </c>
    </row>
    <row r="59">
      <c r="A59" s="351"/>
      <c r="B59" s="351"/>
      <c r="C59" s="351"/>
      <c r="D59" s="351"/>
      <c r="E59" s="351"/>
      <c r="F59" s="352"/>
      <c r="G59" s="353"/>
      <c r="H59" s="376"/>
      <c r="I59" s="377"/>
      <c r="J59" s="378"/>
    </row>
    <row r="60">
      <c r="A60" s="355">
        <v>1.0</v>
      </c>
      <c r="B60" s="356" t="s">
        <v>4392</v>
      </c>
      <c r="C60" s="356">
        <v>2.42510014E8</v>
      </c>
      <c r="D60" s="356" t="s">
        <v>4393</v>
      </c>
      <c r="E60" s="356" t="s">
        <v>3100</v>
      </c>
      <c r="F60" s="357" t="s">
        <v>4394</v>
      </c>
      <c r="G60" s="357">
        <v>4.0</v>
      </c>
      <c r="H60" s="357"/>
      <c r="I60" s="379"/>
      <c r="J60" s="380" t="s">
        <v>4395</v>
      </c>
    </row>
    <row r="61">
      <c r="A61" s="355">
        <v>2.0</v>
      </c>
      <c r="B61" s="356" t="s">
        <v>4396</v>
      </c>
      <c r="C61" s="356">
        <v>2.42510038E8</v>
      </c>
      <c r="D61" s="356" t="s">
        <v>4397</v>
      </c>
      <c r="E61" s="356" t="s">
        <v>3100</v>
      </c>
      <c r="F61" s="357"/>
      <c r="G61" s="357">
        <v>4.0</v>
      </c>
      <c r="H61" s="357"/>
      <c r="I61" s="381"/>
      <c r="J61" s="382" t="s">
        <v>4398</v>
      </c>
    </row>
    <row r="62">
      <c r="A62" s="355">
        <v>3.0</v>
      </c>
      <c r="B62" s="356" t="s">
        <v>4399</v>
      </c>
      <c r="C62" s="356">
        <v>2.42510053E8</v>
      </c>
      <c r="D62" s="356" t="s">
        <v>4400</v>
      </c>
      <c r="E62" s="356" t="s">
        <v>3100</v>
      </c>
      <c r="F62" s="357" t="s">
        <v>4394</v>
      </c>
      <c r="G62" s="357">
        <v>4.0</v>
      </c>
      <c r="H62" s="357"/>
      <c r="I62" s="381"/>
      <c r="J62" s="382" t="s">
        <v>4401</v>
      </c>
    </row>
    <row r="63">
      <c r="A63" s="355">
        <v>4.0</v>
      </c>
      <c r="B63" s="356" t="s">
        <v>4402</v>
      </c>
      <c r="C63" s="356">
        <v>2.42510066E8</v>
      </c>
      <c r="D63" s="356" t="s">
        <v>4403</v>
      </c>
      <c r="E63" s="356" t="s">
        <v>3100</v>
      </c>
      <c r="F63" s="357" t="s">
        <v>4394</v>
      </c>
      <c r="G63" s="357">
        <v>4.0</v>
      </c>
      <c r="H63" s="357">
        <v>3.0</v>
      </c>
      <c r="I63" s="381"/>
      <c r="J63" s="382" t="s">
        <v>4404</v>
      </c>
    </row>
    <row r="64">
      <c r="A64" s="355">
        <v>5.0</v>
      </c>
      <c r="B64" s="356" t="s">
        <v>4405</v>
      </c>
      <c r="C64" s="356">
        <v>2.4251008E8</v>
      </c>
      <c r="D64" s="356" t="s">
        <v>4406</v>
      </c>
      <c r="E64" s="356" t="s">
        <v>3099</v>
      </c>
      <c r="F64" s="357" t="s">
        <v>4407</v>
      </c>
      <c r="G64" s="357">
        <v>4.0</v>
      </c>
      <c r="H64" s="357" t="s">
        <v>1187</v>
      </c>
      <c r="I64" s="381"/>
      <c r="J64" s="383"/>
    </row>
    <row r="65">
      <c r="A65" s="355">
        <v>6.0</v>
      </c>
      <c r="B65" s="356" t="s">
        <v>4408</v>
      </c>
      <c r="C65" s="356">
        <v>2.42510089E8</v>
      </c>
      <c r="D65" s="356" t="s">
        <v>4409</v>
      </c>
      <c r="E65" s="356" t="s">
        <v>3100</v>
      </c>
      <c r="F65" s="357" t="s">
        <v>4394</v>
      </c>
      <c r="G65" s="357">
        <v>4.0</v>
      </c>
      <c r="H65" s="357">
        <v>3.0</v>
      </c>
      <c r="I65" s="381"/>
      <c r="J65" s="382" t="s">
        <v>4410</v>
      </c>
    </row>
    <row r="66">
      <c r="A66" s="355">
        <v>7.0</v>
      </c>
      <c r="B66" s="356" t="s">
        <v>4411</v>
      </c>
      <c r="C66" s="356">
        <v>2.425101E8</v>
      </c>
      <c r="D66" s="356" t="s">
        <v>4412</v>
      </c>
      <c r="E66" s="356" t="s">
        <v>3099</v>
      </c>
      <c r="F66" s="357" t="s">
        <v>4407</v>
      </c>
      <c r="G66" s="357">
        <v>4.0</v>
      </c>
      <c r="H66" s="357" t="s">
        <v>1187</v>
      </c>
      <c r="I66" s="381"/>
      <c r="J66" s="383"/>
    </row>
    <row r="67">
      <c r="A67" s="355">
        <v>8.0</v>
      </c>
      <c r="B67" s="356" t="s">
        <v>4413</v>
      </c>
      <c r="C67" s="356">
        <v>2.42510103E8</v>
      </c>
      <c r="D67" s="356" t="s">
        <v>4414</v>
      </c>
      <c r="E67" s="356" t="s">
        <v>3099</v>
      </c>
      <c r="F67" s="357" t="s">
        <v>4407</v>
      </c>
      <c r="G67" s="357">
        <v>4.0</v>
      </c>
      <c r="H67" s="357" t="s">
        <v>1187</v>
      </c>
      <c r="I67" s="381"/>
      <c r="J67" s="383"/>
    </row>
    <row r="68">
      <c r="A68" s="355">
        <v>9.0</v>
      </c>
      <c r="B68" s="356" t="s">
        <v>4415</v>
      </c>
      <c r="C68" s="356">
        <v>2.42510121E8</v>
      </c>
      <c r="D68" s="356" t="s">
        <v>4416</v>
      </c>
      <c r="E68" s="356" t="s">
        <v>3100</v>
      </c>
      <c r="F68" s="357" t="s">
        <v>4394</v>
      </c>
      <c r="G68" s="357">
        <v>4.0</v>
      </c>
      <c r="H68" s="357">
        <v>2.0</v>
      </c>
      <c r="I68" s="381"/>
      <c r="J68" s="382" t="s">
        <v>4417</v>
      </c>
    </row>
    <row r="69">
      <c r="A69" s="355">
        <v>10.0</v>
      </c>
      <c r="B69" s="356" t="s">
        <v>4418</v>
      </c>
      <c r="C69" s="356">
        <v>2.42510122E8</v>
      </c>
      <c r="D69" s="356" t="s">
        <v>4419</v>
      </c>
      <c r="E69" s="356" t="s">
        <v>3100</v>
      </c>
      <c r="F69" s="357" t="s">
        <v>4394</v>
      </c>
      <c r="G69" s="357">
        <v>4.0</v>
      </c>
      <c r="H69" s="357">
        <v>2.0</v>
      </c>
      <c r="I69" s="381"/>
      <c r="J69" s="382" t="s">
        <v>4420</v>
      </c>
    </row>
    <row r="70">
      <c r="A70" s="355">
        <v>11.0</v>
      </c>
      <c r="B70" s="356" t="s">
        <v>4421</v>
      </c>
      <c r="C70" s="356">
        <v>2.4251013E8</v>
      </c>
      <c r="D70" s="356" t="s">
        <v>4422</v>
      </c>
      <c r="E70" s="356" t="s">
        <v>3100</v>
      </c>
      <c r="F70" s="357" t="s">
        <v>4394</v>
      </c>
      <c r="G70" s="357">
        <v>4.0</v>
      </c>
      <c r="H70" s="357"/>
      <c r="I70" s="381"/>
      <c r="J70" s="382" t="s">
        <v>4404</v>
      </c>
    </row>
    <row r="71">
      <c r="A71" s="355">
        <v>12.0</v>
      </c>
      <c r="B71" s="356" t="s">
        <v>4423</v>
      </c>
      <c r="C71" s="356">
        <v>2.42510136E8</v>
      </c>
      <c r="D71" s="356" t="s">
        <v>4424</v>
      </c>
      <c r="E71" s="356" t="s">
        <v>3100</v>
      </c>
      <c r="F71" s="357" t="s">
        <v>4394</v>
      </c>
      <c r="G71" s="357">
        <v>4.0</v>
      </c>
      <c r="H71" s="357"/>
      <c r="I71" s="381"/>
      <c r="J71" s="382" t="s">
        <v>4425</v>
      </c>
    </row>
    <row r="72">
      <c r="A72" s="355">
        <v>13.0</v>
      </c>
      <c r="B72" s="356" t="s">
        <v>4426</v>
      </c>
      <c r="C72" s="356">
        <v>2.42510141E8</v>
      </c>
      <c r="D72" s="356" t="s">
        <v>4427</v>
      </c>
      <c r="E72" s="356" t="s">
        <v>3100</v>
      </c>
      <c r="F72" s="357" t="s">
        <v>4394</v>
      </c>
      <c r="G72" s="357">
        <v>4.0</v>
      </c>
      <c r="H72" s="357">
        <v>1.0</v>
      </c>
      <c r="I72" s="381"/>
      <c r="J72" s="382" t="s">
        <v>4428</v>
      </c>
    </row>
    <row r="73">
      <c r="A73" s="355">
        <v>14.0</v>
      </c>
      <c r="B73" s="356" t="s">
        <v>4429</v>
      </c>
      <c r="C73" s="356">
        <v>2.42510158E8</v>
      </c>
      <c r="D73" s="356" t="s">
        <v>4430</v>
      </c>
      <c r="E73" s="356" t="s">
        <v>3099</v>
      </c>
      <c r="F73" s="357" t="s">
        <v>4407</v>
      </c>
      <c r="G73" s="357">
        <v>4.0</v>
      </c>
      <c r="H73" s="357" t="s">
        <v>1187</v>
      </c>
      <c r="I73" s="381"/>
      <c r="J73" s="383"/>
    </row>
    <row r="74">
      <c r="A74" s="355">
        <v>15.0</v>
      </c>
      <c r="B74" s="356" t="s">
        <v>4431</v>
      </c>
      <c r="C74" s="356">
        <v>2.42510175E8</v>
      </c>
      <c r="D74" s="356" t="s">
        <v>4432</v>
      </c>
      <c r="E74" s="356" t="s">
        <v>3099</v>
      </c>
      <c r="F74" s="357" t="s">
        <v>4407</v>
      </c>
      <c r="G74" s="357">
        <v>4.0</v>
      </c>
      <c r="H74" s="357" t="s">
        <v>1187</v>
      </c>
      <c r="I74" s="381"/>
      <c r="J74" s="383"/>
    </row>
    <row r="75">
      <c r="A75" s="355">
        <v>16.0</v>
      </c>
      <c r="B75" s="356" t="s">
        <v>4433</v>
      </c>
      <c r="C75" s="356">
        <v>2.42510179E8</v>
      </c>
      <c r="D75" s="356" t="s">
        <v>4434</v>
      </c>
      <c r="E75" s="356" t="s">
        <v>3100</v>
      </c>
      <c r="F75" s="357"/>
      <c r="G75" s="357"/>
      <c r="H75" s="357"/>
      <c r="I75" s="381"/>
      <c r="J75" s="382" t="s">
        <v>4398</v>
      </c>
    </row>
    <row r="76">
      <c r="A76" s="355">
        <v>17.0</v>
      </c>
      <c r="B76" s="356" t="s">
        <v>4435</v>
      </c>
      <c r="C76" s="356">
        <v>2.4251019E8</v>
      </c>
      <c r="D76" s="356" t="s">
        <v>4436</v>
      </c>
      <c r="E76" s="356" t="s">
        <v>3100</v>
      </c>
      <c r="F76" s="357" t="s">
        <v>4394</v>
      </c>
      <c r="G76" s="357">
        <v>4.0</v>
      </c>
      <c r="H76" s="357"/>
      <c r="I76" s="381"/>
      <c r="J76" s="382" t="s">
        <v>4401</v>
      </c>
    </row>
    <row r="77">
      <c r="A77" s="355">
        <v>18.0</v>
      </c>
      <c r="B77" s="356" t="s">
        <v>4437</v>
      </c>
      <c r="C77" s="356">
        <v>2.42510191E8</v>
      </c>
      <c r="D77" s="356" t="s">
        <v>4438</v>
      </c>
      <c r="E77" s="356" t="s">
        <v>3100</v>
      </c>
      <c r="F77" s="357" t="s">
        <v>4394</v>
      </c>
      <c r="G77" s="357">
        <v>4.0</v>
      </c>
      <c r="H77" s="357">
        <v>3.0</v>
      </c>
      <c r="I77" s="381"/>
      <c r="J77" s="382" t="s">
        <v>4439</v>
      </c>
    </row>
    <row r="78">
      <c r="A78" s="355">
        <v>19.0</v>
      </c>
      <c r="B78" s="356" t="s">
        <v>4440</v>
      </c>
      <c r="C78" s="356">
        <v>2.42510195E8</v>
      </c>
      <c r="D78" s="356" t="s">
        <v>4441</v>
      </c>
      <c r="E78" s="356" t="s">
        <v>3100</v>
      </c>
      <c r="F78" s="357" t="s">
        <v>4394</v>
      </c>
      <c r="G78" s="357">
        <v>4.0</v>
      </c>
      <c r="H78" s="357">
        <v>1.0</v>
      </c>
      <c r="I78" s="381"/>
      <c r="J78" s="382" t="s">
        <v>4420</v>
      </c>
    </row>
    <row r="79">
      <c r="A79" s="355">
        <v>20.0</v>
      </c>
      <c r="B79" s="356" t="s">
        <v>4442</v>
      </c>
      <c r="C79" s="356">
        <v>2.42510229E8</v>
      </c>
      <c r="D79" s="356" t="s">
        <v>4443</v>
      </c>
      <c r="E79" s="356" t="s">
        <v>3100</v>
      </c>
      <c r="F79" s="357" t="s">
        <v>4394</v>
      </c>
      <c r="G79" s="357">
        <v>4.0</v>
      </c>
      <c r="H79" s="357">
        <v>1.0</v>
      </c>
      <c r="I79" s="381"/>
      <c r="J79" s="382" t="s">
        <v>4420</v>
      </c>
    </row>
    <row r="80">
      <c r="A80" s="355">
        <v>21.0</v>
      </c>
      <c r="B80" s="356" t="s">
        <v>4444</v>
      </c>
      <c r="C80" s="356">
        <v>2.4251024E8</v>
      </c>
      <c r="D80" s="356" t="s">
        <v>4445</v>
      </c>
      <c r="E80" s="356" t="s">
        <v>3099</v>
      </c>
      <c r="F80" s="357" t="s">
        <v>4407</v>
      </c>
      <c r="G80" s="357">
        <v>4.0</v>
      </c>
      <c r="H80" s="357" t="s">
        <v>1187</v>
      </c>
      <c r="I80" s="381"/>
      <c r="J80" s="383"/>
    </row>
    <row r="81">
      <c r="A81" s="355">
        <v>22.0</v>
      </c>
      <c r="B81" s="356" t="s">
        <v>4446</v>
      </c>
      <c r="C81" s="356">
        <v>2.42510252E8</v>
      </c>
      <c r="D81" s="356" t="s">
        <v>4447</v>
      </c>
      <c r="E81" s="356" t="s">
        <v>3099</v>
      </c>
      <c r="F81" s="357" t="s">
        <v>4407</v>
      </c>
      <c r="G81" s="357">
        <v>4.0</v>
      </c>
      <c r="H81" s="357" t="s">
        <v>1187</v>
      </c>
      <c r="I81" s="381"/>
      <c r="J81" s="383"/>
    </row>
    <row r="82">
      <c r="A82" s="355">
        <v>23.0</v>
      </c>
      <c r="B82" s="356" t="s">
        <v>4448</v>
      </c>
      <c r="C82" s="356">
        <v>2.42510266E8</v>
      </c>
      <c r="D82" s="356" t="s">
        <v>4449</v>
      </c>
      <c r="E82" s="356" t="s">
        <v>3099</v>
      </c>
      <c r="F82" s="357" t="s">
        <v>4407</v>
      </c>
      <c r="G82" s="357">
        <v>4.0</v>
      </c>
      <c r="H82" s="357" t="s">
        <v>1187</v>
      </c>
      <c r="I82" s="381"/>
      <c r="J82" s="383"/>
    </row>
    <row r="83">
      <c r="A83" s="355">
        <v>24.0</v>
      </c>
      <c r="B83" s="356" t="s">
        <v>4450</v>
      </c>
      <c r="C83" s="356">
        <v>2.4251027E8</v>
      </c>
      <c r="D83" s="356" t="s">
        <v>4451</v>
      </c>
      <c r="E83" s="356" t="s">
        <v>3099</v>
      </c>
      <c r="F83" s="357" t="s">
        <v>4407</v>
      </c>
      <c r="G83" s="357">
        <v>4.0</v>
      </c>
      <c r="H83" s="357" t="s">
        <v>1187</v>
      </c>
      <c r="I83" s="381"/>
      <c r="J83" s="383"/>
    </row>
    <row r="84">
      <c r="A84" s="355">
        <v>25.0</v>
      </c>
      <c r="B84" s="356" t="s">
        <v>4452</v>
      </c>
      <c r="C84" s="356">
        <v>2.42510281E8</v>
      </c>
      <c r="D84" s="356" t="s">
        <v>4453</v>
      </c>
      <c r="E84" s="356" t="s">
        <v>3099</v>
      </c>
      <c r="F84" s="357" t="s">
        <v>4407</v>
      </c>
      <c r="G84" s="357">
        <v>4.0</v>
      </c>
      <c r="H84" s="357" t="s">
        <v>1187</v>
      </c>
      <c r="I84" s="381"/>
      <c r="J84" s="383"/>
    </row>
    <row r="85">
      <c r="A85" s="355">
        <v>26.0</v>
      </c>
      <c r="B85" s="356" t="s">
        <v>4454</v>
      </c>
      <c r="C85" s="356">
        <v>2.42510296E8</v>
      </c>
      <c r="D85" s="356" t="s">
        <v>4455</v>
      </c>
      <c r="E85" s="356" t="s">
        <v>3100</v>
      </c>
      <c r="F85" s="357" t="s">
        <v>4394</v>
      </c>
      <c r="G85" s="357">
        <v>4.0</v>
      </c>
      <c r="H85" s="357">
        <v>1.0</v>
      </c>
      <c r="I85" s="381"/>
      <c r="J85" s="382" t="s">
        <v>4401</v>
      </c>
    </row>
    <row r="86">
      <c r="A86" s="355">
        <v>27.0</v>
      </c>
      <c r="B86" s="356" t="s">
        <v>4456</v>
      </c>
      <c r="C86" s="356">
        <v>2.4251031E8</v>
      </c>
      <c r="D86" s="356" t="s">
        <v>4457</v>
      </c>
      <c r="E86" s="356" t="s">
        <v>3100</v>
      </c>
      <c r="F86" s="357" t="s">
        <v>4394</v>
      </c>
      <c r="G86" s="357">
        <v>4.0</v>
      </c>
      <c r="H86" s="357"/>
      <c r="I86" s="381"/>
      <c r="J86" s="382" t="s">
        <v>4428</v>
      </c>
    </row>
    <row r="87">
      <c r="A87" s="355">
        <v>28.0</v>
      </c>
      <c r="B87" s="356" t="s">
        <v>4458</v>
      </c>
      <c r="C87" s="356">
        <v>2.42510316E8</v>
      </c>
      <c r="D87" s="356" t="s">
        <v>4459</v>
      </c>
      <c r="E87" s="356" t="s">
        <v>3100</v>
      </c>
      <c r="F87" s="357" t="s">
        <v>4394</v>
      </c>
      <c r="G87" s="357">
        <v>4.0</v>
      </c>
      <c r="H87" s="357">
        <v>1.0</v>
      </c>
      <c r="I87" s="381"/>
      <c r="J87" s="382" t="s">
        <v>4420</v>
      </c>
    </row>
    <row r="88">
      <c r="A88" s="355">
        <v>29.0</v>
      </c>
      <c r="B88" s="356" t="s">
        <v>4460</v>
      </c>
      <c r="C88" s="356">
        <v>2.42510322E8</v>
      </c>
      <c r="D88" s="356" t="s">
        <v>4461</v>
      </c>
      <c r="E88" s="356" t="s">
        <v>3100</v>
      </c>
      <c r="F88" s="357" t="s">
        <v>4394</v>
      </c>
      <c r="G88" s="357">
        <v>4.0</v>
      </c>
      <c r="H88" s="357"/>
      <c r="I88" s="381"/>
      <c r="J88" s="382" t="s">
        <v>4462</v>
      </c>
    </row>
    <row r="89">
      <c r="A89" s="355">
        <v>30.0</v>
      </c>
      <c r="B89" s="356" t="s">
        <v>4463</v>
      </c>
      <c r="C89" s="356">
        <v>2.42510337E8</v>
      </c>
      <c r="D89" s="356" t="s">
        <v>4464</v>
      </c>
      <c r="E89" s="356" t="s">
        <v>3099</v>
      </c>
      <c r="F89" s="362" t="s">
        <v>4407</v>
      </c>
      <c r="G89" s="362">
        <v>4.0</v>
      </c>
      <c r="H89" s="362" t="s">
        <v>1187</v>
      </c>
      <c r="I89" s="384"/>
      <c r="J89" s="383"/>
    </row>
    <row r="90">
      <c r="A90" s="355">
        <v>31.0</v>
      </c>
      <c r="B90" s="356" t="s">
        <v>4465</v>
      </c>
      <c r="C90" s="356">
        <v>2.42510358E8</v>
      </c>
      <c r="D90" s="356" t="s">
        <v>4466</v>
      </c>
      <c r="E90" s="356" t="s">
        <v>3099</v>
      </c>
      <c r="F90" s="362" t="s">
        <v>4407</v>
      </c>
      <c r="G90" s="362">
        <v>4.0</v>
      </c>
      <c r="H90" s="362" t="s">
        <v>1187</v>
      </c>
      <c r="I90" s="384"/>
      <c r="J90" s="383"/>
    </row>
    <row r="91">
      <c r="A91" s="355">
        <v>32.0</v>
      </c>
      <c r="B91" s="356" t="s">
        <v>4467</v>
      </c>
      <c r="C91" s="356">
        <v>2.42510377E8</v>
      </c>
      <c r="D91" s="356" t="s">
        <v>4468</v>
      </c>
      <c r="E91" s="356" t="s">
        <v>3100</v>
      </c>
      <c r="F91" s="357" t="s">
        <v>4394</v>
      </c>
      <c r="G91" s="357">
        <v>4.0</v>
      </c>
      <c r="H91" s="362" t="s">
        <v>1187</v>
      </c>
      <c r="I91" s="384"/>
      <c r="J91" s="382" t="s">
        <v>4428</v>
      </c>
    </row>
    <row r="92">
      <c r="A92" s="355">
        <v>33.0</v>
      </c>
      <c r="B92" s="356" t="s">
        <v>4469</v>
      </c>
      <c r="C92" s="356">
        <v>2.42510381E8</v>
      </c>
      <c r="D92" s="356" t="s">
        <v>4470</v>
      </c>
      <c r="E92" s="356" t="s">
        <v>3100</v>
      </c>
      <c r="F92" s="357" t="s">
        <v>4394</v>
      </c>
      <c r="G92" s="357">
        <v>4.0</v>
      </c>
      <c r="H92" s="362">
        <v>1.0</v>
      </c>
      <c r="I92" s="384"/>
      <c r="J92" s="382" t="s">
        <v>4462</v>
      </c>
    </row>
    <row r="93">
      <c r="A93" s="355">
        <v>34.0</v>
      </c>
      <c r="B93" s="356" t="s">
        <v>4471</v>
      </c>
      <c r="C93" s="356">
        <v>2.42510401E8</v>
      </c>
      <c r="D93" s="356" t="s">
        <v>4472</v>
      </c>
      <c r="E93" s="356" t="s">
        <v>3099</v>
      </c>
      <c r="F93" s="362" t="s">
        <v>4407</v>
      </c>
      <c r="G93" s="362">
        <v>4.0</v>
      </c>
      <c r="H93" s="360"/>
      <c r="I93" s="385"/>
      <c r="J93" s="383"/>
    </row>
    <row r="94">
      <c r="A94" s="355">
        <v>35.0</v>
      </c>
      <c r="B94" s="356" t="s">
        <v>4473</v>
      </c>
      <c r="C94" s="356">
        <v>2.42510412E8</v>
      </c>
      <c r="D94" s="356" t="s">
        <v>4474</v>
      </c>
      <c r="E94" s="356" t="s">
        <v>3100</v>
      </c>
      <c r="F94" s="357" t="s">
        <v>4394</v>
      </c>
      <c r="G94" s="357">
        <v>4.0</v>
      </c>
      <c r="H94" s="362" t="s">
        <v>1187</v>
      </c>
      <c r="I94" s="384"/>
      <c r="J94" s="382" t="s">
        <v>4428</v>
      </c>
    </row>
    <row r="95">
      <c r="A95" s="355">
        <v>36.0</v>
      </c>
      <c r="B95" s="356" t="s">
        <v>4475</v>
      </c>
      <c r="C95" s="356">
        <v>2.42510429E8</v>
      </c>
      <c r="D95" s="356" t="s">
        <v>4476</v>
      </c>
      <c r="E95" s="356" t="s">
        <v>3099</v>
      </c>
      <c r="F95" s="362" t="s">
        <v>4407</v>
      </c>
      <c r="G95" s="362">
        <v>4.0</v>
      </c>
      <c r="H95" s="362">
        <v>3.0</v>
      </c>
      <c r="I95" s="386"/>
      <c r="J95" s="387"/>
    </row>
    <row r="96">
      <c r="A96" s="355">
        <v>37.0</v>
      </c>
      <c r="B96" s="364"/>
      <c r="C96" s="364"/>
      <c r="D96" s="364"/>
      <c r="E96" s="364"/>
      <c r="F96" s="364"/>
      <c r="G96" s="364"/>
      <c r="H96" s="364"/>
      <c r="I96" s="365"/>
      <c r="J96" s="333"/>
    </row>
    <row r="97">
      <c r="A97" s="355">
        <v>38.0</v>
      </c>
      <c r="B97" s="364"/>
      <c r="C97" s="364"/>
      <c r="D97" s="364"/>
      <c r="E97" s="364"/>
      <c r="F97" s="364"/>
      <c r="G97" s="364"/>
      <c r="H97" s="364"/>
      <c r="I97" s="365"/>
      <c r="J97" s="333"/>
    </row>
    <row r="98">
      <c r="A98" s="365"/>
      <c r="B98" s="366" t="s">
        <v>3101</v>
      </c>
      <c r="C98" s="365"/>
      <c r="D98" s="367">
        <f>COUNTIF(E60:E97,"L")</f>
        <v>14</v>
      </c>
      <c r="E98" s="365"/>
      <c r="F98" s="365"/>
      <c r="G98" s="365"/>
      <c r="H98" s="365"/>
      <c r="I98" s="365"/>
      <c r="J98" s="333"/>
    </row>
    <row r="99">
      <c r="A99" s="365"/>
      <c r="B99" s="366" t="s">
        <v>3102</v>
      </c>
      <c r="C99" s="365"/>
      <c r="D99" s="367">
        <f>COUNTIF(E60:E97,"P")</f>
        <v>22</v>
      </c>
      <c r="E99" s="365"/>
      <c r="F99" s="365"/>
      <c r="G99" s="365"/>
      <c r="H99" s="365"/>
      <c r="I99" s="365"/>
      <c r="J99" s="333"/>
    </row>
    <row r="100">
      <c r="A100" s="365"/>
      <c r="B100" s="366" t="s">
        <v>3104</v>
      </c>
      <c r="C100" s="365"/>
      <c r="D100" s="367">
        <f>D98+D99</f>
        <v>36</v>
      </c>
      <c r="E100" s="365"/>
      <c r="F100" s="365"/>
      <c r="G100" s="365"/>
      <c r="H100" s="365"/>
      <c r="I100" s="365"/>
      <c r="J100" s="333"/>
    </row>
    <row r="101">
      <c r="A101" s="388"/>
      <c r="B101" s="388"/>
      <c r="C101" s="388"/>
      <c r="D101" s="388"/>
      <c r="E101" s="388"/>
      <c r="F101" s="388"/>
      <c r="G101" s="388"/>
      <c r="H101" s="388"/>
      <c r="I101" s="388"/>
    </row>
    <row r="102">
      <c r="A102" s="388"/>
      <c r="B102" s="388"/>
      <c r="C102" s="388"/>
      <c r="D102" s="388"/>
      <c r="E102" s="388"/>
      <c r="F102" s="388"/>
      <c r="G102" s="388"/>
      <c r="H102" s="388"/>
      <c r="I102" s="388"/>
    </row>
    <row r="103">
      <c r="A103" s="368" t="s">
        <v>4387</v>
      </c>
      <c r="B103" s="368"/>
      <c r="C103" s="368"/>
      <c r="D103" s="368"/>
      <c r="E103" s="368"/>
      <c r="F103" s="368"/>
      <c r="G103" s="368"/>
      <c r="H103" s="368"/>
      <c r="I103" s="187"/>
    </row>
    <row r="104">
      <c r="A104" s="369" t="s">
        <v>4388</v>
      </c>
      <c r="B104" s="370"/>
      <c r="C104" s="370"/>
      <c r="D104" s="370"/>
      <c r="E104" s="370"/>
      <c r="F104" s="370"/>
      <c r="G104" s="370"/>
      <c r="H104" s="371"/>
      <c r="I104" s="332"/>
    </row>
    <row r="105">
      <c r="A105" s="329" t="s">
        <v>4310</v>
      </c>
      <c r="B105" s="330"/>
      <c r="C105" s="330"/>
      <c r="D105" s="330"/>
      <c r="E105" s="330"/>
      <c r="F105" s="330"/>
      <c r="G105" s="330"/>
      <c r="H105" s="331"/>
      <c r="I105" s="332"/>
    </row>
    <row r="106">
      <c r="A106" s="334" t="s">
        <v>4477</v>
      </c>
      <c r="B106" s="335"/>
      <c r="C106" s="335"/>
      <c r="D106" s="335"/>
      <c r="E106" s="335"/>
      <c r="F106" s="335"/>
      <c r="G106" s="335"/>
      <c r="H106" s="336"/>
      <c r="I106" s="337"/>
    </row>
    <row r="107">
      <c r="A107" s="389" t="s">
        <v>4478</v>
      </c>
      <c r="B107" s="390"/>
      <c r="C107" s="390"/>
      <c r="D107" s="390"/>
      <c r="E107" s="390"/>
      <c r="F107" s="339"/>
      <c r="G107" s="340"/>
      <c r="H107" s="340"/>
      <c r="I107" s="341"/>
    </row>
    <row r="108">
      <c r="A108" s="391" t="s">
        <v>1735</v>
      </c>
      <c r="B108" s="391" t="s">
        <v>1736</v>
      </c>
      <c r="C108" s="391" t="s">
        <v>1737</v>
      </c>
      <c r="D108" s="391" t="s">
        <v>1738</v>
      </c>
      <c r="E108" s="392" t="s">
        <v>1815</v>
      </c>
      <c r="F108" s="393"/>
      <c r="G108" s="393" t="s">
        <v>3097</v>
      </c>
      <c r="H108" s="394"/>
      <c r="I108" s="395"/>
    </row>
    <row r="109">
      <c r="A109" s="11"/>
      <c r="B109" s="11"/>
      <c r="C109" s="11"/>
      <c r="D109" s="11"/>
      <c r="E109" s="11"/>
      <c r="F109" s="396" t="s">
        <v>2483</v>
      </c>
      <c r="G109" s="397" t="s">
        <v>3094</v>
      </c>
      <c r="H109" s="398" t="s">
        <v>4309</v>
      </c>
      <c r="I109" s="128"/>
    </row>
    <row r="110">
      <c r="A110" s="20"/>
      <c r="B110" s="20"/>
      <c r="C110" s="20"/>
      <c r="D110" s="20"/>
      <c r="E110" s="20"/>
      <c r="F110" s="399"/>
      <c r="G110" s="28"/>
      <c r="H110" s="28"/>
      <c r="I110" s="128"/>
    </row>
    <row r="111">
      <c r="A111" s="100">
        <v>1.0</v>
      </c>
      <c r="B111" s="400" t="s">
        <v>4479</v>
      </c>
      <c r="C111" s="401">
        <v>2.4251001E8</v>
      </c>
      <c r="D111" s="400" t="s">
        <v>4480</v>
      </c>
      <c r="E111" s="402" t="s">
        <v>3099</v>
      </c>
      <c r="F111" s="403" t="s">
        <v>4481</v>
      </c>
      <c r="G111" s="403">
        <v>7.0</v>
      </c>
      <c r="H111" s="403">
        <v>0.0</v>
      </c>
      <c r="I111" s="404"/>
    </row>
    <row r="112">
      <c r="A112" s="100">
        <v>2.0</v>
      </c>
      <c r="B112" s="400" t="s">
        <v>4482</v>
      </c>
      <c r="C112" s="401">
        <v>2.42510016E8</v>
      </c>
      <c r="D112" s="400" t="s">
        <v>4483</v>
      </c>
      <c r="E112" s="402" t="s">
        <v>3100</v>
      </c>
      <c r="F112" s="145" t="s">
        <v>4484</v>
      </c>
      <c r="G112" s="145"/>
      <c r="H112" s="145"/>
      <c r="I112" s="405"/>
    </row>
    <row r="113">
      <c r="A113" s="100">
        <v>3.0</v>
      </c>
      <c r="B113" s="400" t="s">
        <v>4485</v>
      </c>
      <c r="C113" s="401">
        <v>2.42510043E8</v>
      </c>
      <c r="D113" s="400" t="s">
        <v>4486</v>
      </c>
      <c r="E113" s="402" t="s">
        <v>3099</v>
      </c>
      <c r="F113" s="403" t="s">
        <v>4481</v>
      </c>
      <c r="G113" s="403">
        <v>7.0</v>
      </c>
      <c r="H113" s="403">
        <v>1.0</v>
      </c>
      <c r="I113" s="404"/>
    </row>
    <row r="114">
      <c r="A114" s="100">
        <v>4.0</v>
      </c>
      <c r="B114" s="400" t="s">
        <v>4487</v>
      </c>
      <c r="C114" s="401">
        <v>2.42510051E8</v>
      </c>
      <c r="D114" s="400" t="s">
        <v>4488</v>
      </c>
      <c r="E114" s="402" t="s">
        <v>3100</v>
      </c>
      <c r="F114" s="145"/>
      <c r="G114" s="145"/>
      <c r="H114" s="145"/>
      <c r="I114" s="405"/>
    </row>
    <row r="115">
      <c r="A115" s="100">
        <v>5.0</v>
      </c>
      <c r="B115" s="402" t="s">
        <v>4489</v>
      </c>
      <c r="C115" s="401">
        <v>2.4251006E8</v>
      </c>
      <c r="D115" s="400" t="s">
        <v>4490</v>
      </c>
      <c r="E115" s="402" t="s">
        <v>3100</v>
      </c>
      <c r="F115" s="145"/>
      <c r="G115" s="145"/>
      <c r="H115" s="145"/>
      <c r="I115" s="405"/>
    </row>
    <row r="116">
      <c r="A116" s="112">
        <v>6.0</v>
      </c>
      <c r="B116" s="400" t="s">
        <v>4491</v>
      </c>
      <c r="C116" s="401">
        <v>2.42510067E8</v>
      </c>
      <c r="D116" s="400" t="s">
        <v>4492</v>
      </c>
      <c r="E116" s="402" t="s">
        <v>3100</v>
      </c>
      <c r="F116" s="145"/>
      <c r="G116" s="145"/>
      <c r="H116" s="145"/>
      <c r="I116" s="405"/>
    </row>
    <row r="117">
      <c r="A117" s="100">
        <v>7.0</v>
      </c>
      <c r="B117" s="400" t="s">
        <v>4493</v>
      </c>
      <c r="C117" s="401">
        <v>2.42510068E8</v>
      </c>
      <c r="D117" s="400" t="s">
        <v>4494</v>
      </c>
      <c r="E117" s="402" t="s">
        <v>3100</v>
      </c>
      <c r="F117" s="145"/>
      <c r="G117" s="145"/>
      <c r="H117" s="145"/>
      <c r="I117" s="405"/>
    </row>
    <row r="118">
      <c r="A118" s="100">
        <v>8.0</v>
      </c>
      <c r="B118" s="400" t="s">
        <v>4495</v>
      </c>
      <c r="C118" s="401">
        <v>2.42510075E8</v>
      </c>
      <c r="D118" s="400" t="s">
        <v>4496</v>
      </c>
      <c r="E118" s="402" t="s">
        <v>3100</v>
      </c>
      <c r="F118" s="145"/>
      <c r="G118" s="145"/>
      <c r="H118" s="145"/>
      <c r="I118" s="405"/>
    </row>
    <row r="119">
      <c r="A119" s="100">
        <v>9.0</v>
      </c>
      <c r="B119" s="400" t="s">
        <v>4497</v>
      </c>
      <c r="C119" s="401">
        <v>2.42510081E8</v>
      </c>
      <c r="D119" s="400" t="s">
        <v>4498</v>
      </c>
      <c r="E119" s="402" t="s">
        <v>3099</v>
      </c>
      <c r="F119" s="403" t="s">
        <v>4481</v>
      </c>
      <c r="G119" s="403">
        <v>7.0</v>
      </c>
      <c r="H119" s="403">
        <v>3.0</v>
      </c>
      <c r="I119" s="404"/>
    </row>
    <row r="120">
      <c r="A120" s="100">
        <v>10.0</v>
      </c>
      <c r="B120" s="400" t="s">
        <v>4499</v>
      </c>
      <c r="C120" s="401">
        <v>2.42510092E8</v>
      </c>
      <c r="D120" s="400" t="s">
        <v>4500</v>
      </c>
      <c r="E120" s="402" t="s">
        <v>3100</v>
      </c>
      <c r="F120" s="145"/>
      <c r="G120" s="145"/>
      <c r="H120" s="145"/>
      <c r="I120" s="405"/>
    </row>
    <row r="121">
      <c r="A121" s="100">
        <v>11.0</v>
      </c>
      <c r="B121" s="400" t="s">
        <v>4501</v>
      </c>
      <c r="C121" s="401">
        <v>2.42510101E8</v>
      </c>
      <c r="D121" s="400" t="s">
        <v>4502</v>
      </c>
      <c r="E121" s="402" t="s">
        <v>3099</v>
      </c>
      <c r="F121" s="403" t="s">
        <v>4481</v>
      </c>
      <c r="G121" s="403">
        <v>7.0</v>
      </c>
      <c r="H121" s="403">
        <v>3.0</v>
      </c>
      <c r="I121" s="404"/>
    </row>
    <row r="122">
      <c r="A122" s="100">
        <v>12.0</v>
      </c>
      <c r="B122" s="400" t="s">
        <v>4503</v>
      </c>
      <c r="C122" s="401">
        <v>2.42510102E8</v>
      </c>
      <c r="D122" s="400" t="s">
        <v>4504</v>
      </c>
      <c r="E122" s="402" t="s">
        <v>3100</v>
      </c>
      <c r="F122" s="145"/>
      <c r="G122" s="145"/>
      <c r="H122" s="145"/>
      <c r="I122" s="405"/>
    </row>
    <row r="123">
      <c r="A123" s="100">
        <v>13.0</v>
      </c>
      <c r="B123" s="400" t="s">
        <v>4505</v>
      </c>
      <c r="C123" s="401">
        <v>2.42510133E8</v>
      </c>
      <c r="D123" s="400" t="s">
        <v>4506</v>
      </c>
      <c r="E123" s="402" t="s">
        <v>3100</v>
      </c>
      <c r="F123" s="145"/>
      <c r="G123" s="145"/>
      <c r="H123" s="145"/>
      <c r="I123" s="405"/>
    </row>
    <row r="124">
      <c r="A124" s="100">
        <v>14.0</v>
      </c>
      <c r="B124" s="400" t="s">
        <v>4507</v>
      </c>
      <c r="C124" s="401">
        <v>2.42510143E8</v>
      </c>
      <c r="D124" s="400" t="s">
        <v>4508</v>
      </c>
      <c r="E124" s="402" t="s">
        <v>3100</v>
      </c>
      <c r="F124" s="145"/>
      <c r="G124" s="145"/>
      <c r="H124" s="145"/>
      <c r="I124" s="405"/>
    </row>
    <row r="125">
      <c r="A125" s="100">
        <v>15.0</v>
      </c>
      <c r="B125" s="400" t="s">
        <v>4509</v>
      </c>
      <c r="C125" s="401">
        <v>2.42510147E8</v>
      </c>
      <c r="D125" s="400" t="s">
        <v>4510</v>
      </c>
      <c r="E125" s="402" t="s">
        <v>3099</v>
      </c>
      <c r="F125" s="145"/>
      <c r="G125" s="145"/>
      <c r="H125" s="145"/>
      <c r="I125" s="405"/>
    </row>
    <row r="126">
      <c r="A126" s="100">
        <v>16.0</v>
      </c>
      <c r="B126" s="400" t="s">
        <v>4511</v>
      </c>
      <c r="C126" s="401">
        <v>2.42510159E8</v>
      </c>
      <c r="D126" s="400" t="s">
        <v>4512</v>
      </c>
      <c r="E126" s="402" t="s">
        <v>3099</v>
      </c>
      <c r="F126" s="403" t="s">
        <v>4481</v>
      </c>
      <c r="G126" s="403">
        <v>7.0</v>
      </c>
      <c r="H126" s="403">
        <v>5.0</v>
      </c>
      <c r="I126" s="404"/>
    </row>
    <row r="127">
      <c r="A127" s="100">
        <v>17.0</v>
      </c>
      <c r="B127" s="400" t="s">
        <v>4513</v>
      </c>
      <c r="C127" s="401">
        <v>2.4251016E8</v>
      </c>
      <c r="D127" s="400" t="s">
        <v>4514</v>
      </c>
      <c r="E127" s="402" t="s">
        <v>3099</v>
      </c>
      <c r="F127" s="403" t="s">
        <v>4481</v>
      </c>
      <c r="G127" s="403">
        <v>7.0</v>
      </c>
      <c r="H127" s="403">
        <v>3.0</v>
      </c>
      <c r="I127" s="404"/>
    </row>
    <row r="128">
      <c r="A128" s="100">
        <v>18.0</v>
      </c>
      <c r="B128" s="400" t="s">
        <v>4515</v>
      </c>
      <c r="C128" s="401">
        <v>2.42510186E8</v>
      </c>
      <c r="D128" s="400" t="s">
        <v>4516</v>
      </c>
      <c r="E128" s="402" t="s">
        <v>3100</v>
      </c>
      <c r="F128" s="145"/>
      <c r="G128" s="145"/>
      <c r="H128" s="145"/>
      <c r="I128" s="405"/>
    </row>
    <row r="129">
      <c r="A129" s="100">
        <v>19.0</v>
      </c>
      <c r="B129" s="402" t="s">
        <v>4517</v>
      </c>
      <c r="C129" s="401">
        <v>2.42510207E8</v>
      </c>
      <c r="D129" s="400" t="s">
        <v>4518</v>
      </c>
      <c r="E129" s="402" t="s">
        <v>3100</v>
      </c>
      <c r="F129" s="145"/>
      <c r="G129" s="145"/>
      <c r="H129" s="145"/>
      <c r="I129" s="405"/>
    </row>
    <row r="130">
      <c r="A130" s="100">
        <v>20.0</v>
      </c>
      <c r="B130" s="400" t="s">
        <v>4519</v>
      </c>
      <c r="C130" s="401">
        <v>2.42510213E8</v>
      </c>
      <c r="D130" s="400" t="s">
        <v>4520</v>
      </c>
      <c r="E130" s="402" t="s">
        <v>3100</v>
      </c>
      <c r="F130" s="145"/>
      <c r="G130" s="145"/>
      <c r="H130" s="145"/>
      <c r="I130" s="405"/>
    </row>
    <row r="131">
      <c r="A131" s="100">
        <v>21.0</v>
      </c>
      <c r="B131" s="402" t="s">
        <v>4521</v>
      </c>
      <c r="C131" s="401">
        <v>2.42510216E8</v>
      </c>
      <c r="D131" s="400" t="s">
        <v>4522</v>
      </c>
      <c r="E131" s="402" t="s">
        <v>3100</v>
      </c>
      <c r="F131" s="145"/>
      <c r="G131" s="145"/>
      <c r="H131" s="145"/>
      <c r="I131" s="405"/>
    </row>
    <row r="132">
      <c r="A132" s="100">
        <v>22.0</v>
      </c>
      <c r="B132" s="400" t="s">
        <v>4523</v>
      </c>
      <c r="C132" s="401">
        <v>2.42510219E8</v>
      </c>
      <c r="D132" s="400" t="s">
        <v>4524</v>
      </c>
      <c r="E132" s="402" t="s">
        <v>3099</v>
      </c>
      <c r="F132" s="403" t="s">
        <v>4481</v>
      </c>
      <c r="G132" s="403">
        <v>7.0</v>
      </c>
      <c r="H132" s="403">
        <v>3.0</v>
      </c>
      <c r="I132" s="404"/>
    </row>
    <row r="133">
      <c r="A133" s="100">
        <v>23.0</v>
      </c>
      <c r="B133" s="400" t="s">
        <v>4525</v>
      </c>
      <c r="C133" s="401">
        <v>2.42510223E8</v>
      </c>
      <c r="D133" s="400" t="s">
        <v>4526</v>
      </c>
      <c r="E133" s="402" t="s">
        <v>3100</v>
      </c>
      <c r="F133" s="145"/>
      <c r="G133" s="145"/>
      <c r="H133" s="145"/>
      <c r="I133" s="405"/>
    </row>
    <row r="134">
      <c r="A134" s="100">
        <v>24.0</v>
      </c>
      <c r="B134" s="400" t="s">
        <v>4527</v>
      </c>
      <c r="C134" s="401">
        <v>2.42510251E8</v>
      </c>
      <c r="D134" s="400" t="s">
        <v>4528</v>
      </c>
      <c r="E134" s="402" t="s">
        <v>3099</v>
      </c>
      <c r="F134" s="403" t="s">
        <v>4481</v>
      </c>
      <c r="G134" s="403">
        <v>7.0</v>
      </c>
      <c r="H134" s="403">
        <v>1.0</v>
      </c>
      <c r="I134" s="404"/>
    </row>
    <row r="135">
      <c r="A135" s="100">
        <v>25.0</v>
      </c>
      <c r="B135" s="400" t="s">
        <v>4529</v>
      </c>
      <c r="C135" s="401">
        <v>2.42510254E8</v>
      </c>
      <c r="D135" s="400" t="s">
        <v>4530</v>
      </c>
      <c r="E135" s="402" t="s">
        <v>3099</v>
      </c>
      <c r="F135" s="403" t="s">
        <v>4481</v>
      </c>
      <c r="G135" s="403">
        <v>7.0</v>
      </c>
      <c r="H135" s="403">
        <v>1.0</v>
      </c>
      <c r="I135" s="404"/>
    </row>
    <row r="136">
      <c r="A136" s="100">
        <v>26.0</v>
      </c>
      <c r="B136" s="400" t="s">
        <v>4531</v>
      </c>
      <c r="C136" s="401">
        <v>2.42510276E8</v>
      </c>
      <c r="D136" s="400" t="s">
        <v>4532</v>
      </c>
      <c r="E136" s="402" t="s">
        <v>3099</v>
      </c>
      <c r="F136" s="403" t="s">
        <v>4481</v>
      </c>
      <c r="G136" s="403">
        <v>7.0</v>
      </c>
      <c r="H136" s="403">
        <v>4.0</v>
      </c>
      <c r="I136" s="404"/>
    </row>
    <row r="137">
      <c r="A137" s="100">
        <v>27.0</v>
      </c>
      <c r="B137" s="400" t="s">
        <v>4533</v>
      </c>
      <c r="C137" s="401">
        <v>2.42510279E8</v>
      </c>
      <c r="D137" s="400" t="s">
        <v>4534</v>
      </c>
      <c r="E137" s="402" t="s">
        <v>3099</v>
      </c>
      <c r="F137" s="403" t="s">
        <v>4481</v>
      </c>
      <c r="G137" s="403">
        <v>7.0</v>
      </c>
      <c r="H137" s="403">
        <v>1.0</v>
      </c>
      <c r="I137" s="404"/>
    </row>
    <row r="138">
      <c r="A138" s="100">
        <v>28.0</v>
      </c>
      <c r="B138" s="400" t="s">
        <v>4535</v>
      </c>
      <c r="C138" s="401">
        <v>2.42510303E8</v>
      </c>
      <c r="D138" s="400" t="s">
        <v>4536</v>
      </c>
      <c r="E138" s="402" t="s">
        <v>3100</v>
      </c>
      <c r="F138" s="145"/>
      <c r="G138" s="145"/>
      <c r="H138" s="145"/>
      <c r="I138" s="405"/>
    </row>
    <row r="139">
      <c r="A139" s="100">
        <v>29.0</v>
      </c>
      <c r="B139" s="400" t="s">
        <v>4537</v>
      </c>
      <c r="C139" s="401">
        <v>2.42510336E8</v>
      </c>
      <c r="D139" s="400" t="s">
        <v>4538</v>
      </c>
      <c r="E139" s="402" t="s">
        <v>3100</v>
      </c>
      <c r="F139" s="145"/>
      <c r="G139" s="145"/>
      <c r="H139" s="145"/>
      <c r="I139" s="405"/>
    </row>
    <row r="140">
      <c r="A140" s="100">
        <v>30.0</v>
      </c>
      <c r="B140" s="400" t="s">
        <v>4539</v>
      </c>
      <c r="C140" s="401">
        <v>2.42510344E8</v>
      </c>
      <c r="D140" s="400" t="s">
        <v>4540</v>
      </c>
      <c r="E140" s="402" t="s">
        <v>3099</v>
      </c>
      <c r="F140" s="403" t="s">
        <v>4481</v>
      </c>
      <c r="G140" s="403">
        <v>7.0</v>
      </c>
      <c r="H140" s="403">
        <v>3.0</v>
      </c>
      <c r="I140" s="404"/>
    </row>
    <row r="141">
      <c r="A141" s="100">
        <v>31.0</v>
      </c>
      <c r="B141" s="400" t="s">
        <v>4541</v>
      </c>
      <c r="C141" s="401">
        <v>2.42510359E8</v>
      </c>
      <c r="D141" s="400" t="s">
        <v>4542</v>
      </c>
      <c r="E141" s="402" t="s">
        <v>3100</v>
      </c>
      <c r="F141" s="406"/>
      <c r="G141" s="406"/>
      <c r="H141" s="406"/>
      <c r="I141" s="407"/>
    </row>
    <row r="142">
      <c r="A142" s="100">
        <v>32.0</v>
      </c>
      <c r="B142" s="400" t="s">
        <v>4543</v>
      </c>
      <c r="C142" s="401">
        <v>2.42510364E8</v>
      </c>
      <c r="D142" s="400" t="s">
        <v>4544</v>
      </c>
      <c r="E142" s="402" t="s">
        <v>3100</v>
      </c>
      <c r="F142" s="406"/>
      <c r="G142" s="406"/>
      <c r="H142" s="406"/>
      <c r="I142" s="407"/>
    </row>
    <row r="143">
      <c r="A143" s="100">
        <v>33.0</v>
      </c>
      <c r="B143" s="402" t="s">
        <v>4545</v>
      </c>
      <c r="C143" s="401">
        <v>2.42510369E8</v>
      </c>
      <c r="D143" s="400" t="s">
        <v>4546</v>
      </c>
      <c r="E143" s="402" t="s">
        <v>3100</v>
      </c>
      <c r="F143" s="406"/>
      <c r="G143" s="406"/>
      <c r="H143" s="406"/>
      <c r="I143" s="407"/>
    </row>
    <row r="144">
      <c r="A144" s="100">
        <v>34.0</v>
      </c>
      <c r="B144" s="402" t="s">
        <v>4547</v>
      </c>
      <c r="C144" s="401">
        <v>2.42510403E8</v>
      </c>
      <c r="D144" s="400" t="s">
        <v>4548</v>
      </c>
      <c r="E144" s="402" t="s">
        <v>3099</v>
      </c>
      <c r="F144" s="403" t="s">
        <v>4481</v>
      </c>
      <c r="G144" s="403">
        <v>7.0</v>
      </c>
      <c r="H144" s="403">
        <v>1.0</v>
      </c>
      <c r="I144" s="404"/>
    </row>
    <row r="145">
      <c r="A145" s="100">
        <v>35.0</v>
      </c>
      <c r="B145" s="400" t="s">
        <v>4549</v>
      </c>
      <c r="C145" s="401">
        <v>2.42510415E8</v>
      </c>
      <c r="D145" s="400" t="s">
        <v>4550</v>
      </c>
      <c r="E145" s="402" t="s">
        <v>3100</v>
      </c>
      <c r="F145" s="406"/>
      <c r="G145" s="406"/>
      <c r="H145" s="406"/>
      <c r="I145" s="407"/>
    </row>
    <row r="146">
      <c r="A146" s="100">
        <v>36.0</v>
      </c>
      <c r="B146" s="400" t="s">
        <v>4551</v>
      </c>
      <c r="C146" s="401">
        <v>2.42510419E8</v>
      </c>
      <c r="D146" s="400" t="s">
        <v>4552</v>
      </c>
      <c r="E146" s="402" t="s">
        <v>3100</v>
      </c>
      <c r="F146" s="406"/>
      <c r="G146" s="406"/>
      <c r="H146" s="406"/>
      <c r="I146" s="407"/>
    </row>
    <row r="147">
      <c r="A147" s="100">
        <v>37.0</v>
      </c>
      <c r="B147" s="408"/>
      <c r="C147" s="408"/>
      <c r="D147" s="408"/>
      <c r="E147" s="408"/>
      <c r="F147" s="409"/>
      <c r="G147" s="409"/>
      <c r="H147" s="408"/>
      <c r="I147" s="388"/>
    </row>
    <row r="148">
      <c r="A148" s="100">
        <v>38.0</v>
      </c>
      <c r="B148" s="408"/>
      <c r="C148" s="408"/>
      <c r="D148" s="408"/>
      <c r="E148" s="410"/>
      <c r="F148" s="408"/>
      <c r="G148" s="408"/>
      <c r="H148" s="408"/>
      <c r="I148" s="388"/>
    </row>
    <row r="149">
      <c r="A149" s="388"/>
      <c r="B149" s="388"/>
      <c r="C149" s="388"/>
      <c r="D149" s="388"/>
      <c r="E149" s="388"/>
      <c r="F149" s="388"/>
      <c r="G149" s="388"/>
      <c r="H149" s="388"/>
      <c r="I149" s="388"/>
    </row>
    <row r="150">
      <c r="A150" s="388"/>
      <c r="B150" s="411" t="s">
        <v>3101</v>
      </c>
      <c r="C150" s="388"/>
      <c r="D150" s="412">
        <f>COUNTIF(E111:E148,"L")</f>
        <v>14</v>
      </c>
      <c r="E150" s="388"/>
      <c r="F150" s="388"/>
      <c r="G150" s="388"/>
      <c r="H150" s="388"/>
      <c r="I150" s="388"/>
    </row>
    <row r="151">
      <c r="A151" s="388"/>
      <c r="B151" s="411" t="s">
        <v>3102</v>
      </c>
      <c r="C151" s="388"/>
      <c r="D151" s="412">
        <f>COUNTIF(E111:E148,"P")</f>
        <v>22</v>
      </c>
      <c r="E151" s="388"/>
      <c r="F151" s="388"/>
      <c r="G151" s="388"/>
      <c r="H151" s="388"/>
      <c r="I151" s="388"/>
    </row>
    <row r="152">
      <c r="A152" s="388"/>
      <c r="B152" s="411" t="s">
        <v>3104</v>
      </c>
      <c r="C152" s="388"/>
      <c r="D152" s="412">
        <f>D150+D151</f>
        <v>36</v>
      </c>
      <c r="E152" s="388"/>
      <c r="F152" s="388"/>
      <c r="G152" s="388"/>
      <c r="H152" s="388"/>
      <c r="I152" s="388"/>
    </row>
    <row r="153">
      <c r="A153" s="388"/>
      <c r="B153" s="388"/>
      <c r="C153" s="388"/>
      <c r="D153" s="388"/>
      <c r="E153" s="388"/>
      <c r="F153" s="388"/>
      <c r="G153" s="388"/>
      <c r="H153" s="388"/>
      <c r="I153" s="388"/>
    </row>
    <row r="154">
      <c r="A154" s="368" t="s">
        <v>4387</v>
      </c>
      <c r="B154" s="368"/>
      <c r="C154" s="368"/>
      <c r="D154" s="368"/>
      <c r="E154" s="368"/>
      <c r="F154" s="368"/>
      <c r="G154" s="368"/>
      <c r="H154" s="368"/>
      <c r="I154" s="187"/>
    </row>
    <row r="155">
      <c r="A155" s="369" t="s">
        <v>4388</v>
      </c>
      <c r="B155" s="370"/>
      <c r="C155" s="370"/>
      <c r="D155" s="370"/>
      <c r="E155" s="370"/>
      <c r="F155" s="370"/>
      <c r="G155" s="370"/>
      <c r="H155" s="371"/>
      <c r="I155" s="332"/>
    </row>
    <row r="156">
      <c r="A156" s="329" t="s">
        <v>4310</v>
      </c>
      <c r="B156" s="330"/>
      <c r="C156" s="330"/>
      <c r="D156" s="330"/>
      <c r="E156" s="330"/>
      <c r="F156" s="330"/>
      <c r="G156" s="330"/>
      <c r="H156" s="331"/>
      <c r="I156" s="332"/>
    </row>
    <row r="157">
      <c r="A157" s="334" t="s">
        <v>4553</v>
      </c>
      <c r="B157" s="335"/>
      <c r="C157" s="335"/>
      <c r="D157" s="335"/>
      <c r="E157" s="335"/>
      <c r="F157" s="335"/>
      <c r="G157" s="335"/>
      <c r="H157" s="336"/>
      <c r="I157" s="337"/>
    </row>
    <row r="158">
      <c r="A158" s="338" t="s">
        <v>4554</v>
      </c>
      <c r="B158" s="339"/>
      <c r="C158" s="339"/>
      <c r="D158" s="339"/>
      <c r="E158" s="339"/>
      <c r="F158" s="339"/>
      <c r="G158" s="340"/>
      <c r="H158" s="340"/>
      <c r="I158" s="341"/>
    </row>
    <row r="159">
      <c r="A159" s="342" t="s">
        <v>1735</v>
      </c>
      <c r="B159" s="342" t="s">
        <v>1736</v>
      </c>
      <c r="C159" s="342" t="s">
        <v>1737</v>
      </c>
      <c r="D159" s="342" t="s">
        <v>1738</v>
      </c>
      <c r="E159" s="342" t="s">
        <v>1815</v>
      </c>
      <c r="F159" s="343"/>
      <c r="G159" s="343" t="s">
        <v>3097</v>
      </c>
      <c r="H159" s="344"/>
      <c r="I159" s="345"/>
    </row>
    <row r="160">
      <c r="A160" s="346"/>
      <c r="B160" s="346"/>
      <c r="C160" s="346"/>
      <c r="D160" s="346"/>
      <c r="E160" s="346"/>
      <c r="F160" s="413" t="s">
        <v>2483</v>
      </c>
      <c r="G160" s="348" t="s">
        <v>3094</v>
      </c>
      <c r="H160" s="349" t="s">
        <v>4309</v>
      </c>
      <c r="I160" s="350"/>
    </row>
    <row r="161">
      <c r="A161" s="414"/>
      <c r="B161" s="351"/>
      <c r="C161" s="351"/>
      <c r="D161" s="351"/>
      <c r="E161" s="351"/>
      <c r="F161" s="415"/>
      <c r="G161" s="353"/>
      <c r="H161" s="354"/>
      <c r="I161" s="350"/>
    </row>
    <row r="162">
      <c r="A162" s="416">
        <v>1.0</v>
      </c>
      <c r="B162" s="356" t="s">
        <v>4555</v>
      </c>
      <c r="C162" s="356">
        <v>2.42510002E8</v>
      </c>
      <c r="D162" s="356" t="s">
        <v>4556</v>
      </c>
      <c r="E162" s="356" t="s">
        <v>3099</v>
      </c>
      <c r="F162" s="357" t="s">
        <v>4318</v>
      </c>
      <c r="G162" s="357">
        <v>5.0</v>
      </c>
      <c r="H162" s="357">
        <v>0.0</v>
      </c>
      <c r="I162" s="358"/>
    </row>
    <row r="163">
      <c r="A163" s="355">
        <v>2.0</v>
      </c>
      <c r="B163" s="356" t="s">
        <v>4557</v>
      </c>
      <c r="C163" s="356">
        <v>2.42510026E8</v>
      </c>
      <c r="D163" s="356" t="s">
        <v>4558</v>
      </c>
      <c r="E163" s="356" t="s">
        <v>3100</v>
      </c>
      <c r="F163" s="357" t="s">
        <v>4559</v>
      </c>
      <c r="G163" s="357">
        <v>5.0</v>
      </c>
      <c r="H163" s="357">
        <v>5.0</v>
      </c>
      <c r="I163" s="358"/>
    </row>
    <row r="164">
      <c r="A164" s="416">
        <v>3.0</v>
      </c>
      <c r="B164" s="356" t="s">
        <v>4560</v>
      </c>
      <c r="C164" s="356">
        <v>2.42510033E8</v>
      </c>
      <c r="D164" s="356" t="s">
        <v>4561</v>
      </c>
      <c r="E164" s="356" t="s">
        <v>3100</v>
      </c>
      <c r="F164" s="357" t="s">
        <v>4562</v>
      </c>
      <c r="G164" s="357">
        <v>5.0</v>
      </c>
      <c r="H164" s="357">
        <v>5.0</v>
      </c>
      <c r="I164" s="358"/>
    </row>
    <row r="165">
      <c r="A165" s="355">
        <v>4.0</v>
      </c>
      <c r="B165" s="356" t="s">
        <v>4563</v>
      </c>
      <c r="C165" s="356">
        <v>2.42510048E8</v>
      </c>
      <c r="D165" s="356" t="s">
        <v>4564</v>
      </c>
      <c r="E165" s="356" t="s">
        <v>3100</v>
      </c>
      <c r="F165" s="357" t="s">
        <v>4565</v>
      </c>
      <c r="G165" s="357">
        <v>13.0</v>
      </c>
      <c r="H165" s="357">
        <v>10.0</v>
      </c>
      <c r="I165" s="358"/>
      <c r="J165" s="417" t="s">
        <v>2508</v>
      </c>
    </row>
    <row r="166">
      <c r="A166" s="416">
        <v>5.0</v>
      </c>
      <c r="B166" s="356" t="s">
        <v>4566</v>
      </c>
      <c r="C166" s="356">
        <v>2.4251005E8</v>
      </c>
      <c r="D166" s="356" t="s">
        <v>4567</v>
      </c>
      <c r="E166" s="356" t="s">
        <v>3100</v>
      </c>
      <c r="F166" s="357" t="s">
        <v>4562</v>
      </c>
      <c r="G166" s="357">
        <v>5.0</v>
      </c>
      <c r="H166" s="357">
        <v>5.0</v>
      </c>
      <c r="I166" s="358"/>
    </row>
    <row r="167">
      <c r="A167" s="355">
        <v>6.0</v>
      </c>
      <c r="B167" s="356" t="s">
        <v>4568</v>
      </c>
      <c r="C167" s="356">
        <v>2.42510052E8</v>
      </c>
      <c r="D167" s="356" t="s">
        <v>4569</v>
      </c>
      <c r="E167" s="356" t="s">
        <v>3100</v>
      </c>
      <c r="F167" s="357" t="s">
        <v>4562</v>
      </c>
      <c r="G167" s="357">
        <v>5.0</v>
      </c>
      <c r="H167" s="357">
        <v>5.0</v>
      </c>
      <c r="I167" s="358"/>
    </row>
    <row r="168">
      <c r="A168" s="416">
        <v>7.0</v>
      </c>
      <c r="B168" s="356" t="s">
        <v>4570</v>
      </c>
      <c r="C168" s="356">
        <v>2.42510057E8</v>
      </c>
      <c r="D168" s="356" t="s">
        <v>4571</v>
      </c>
      <c r="E168" s="356" t="s">
        <v>3100</v>
      </c>
      <c r="F168" s="357" t="s">
        <v>4565</v>
      </c>
      <c r="G168" s="357">
        <v>13.0</v>
      </c>
      <c r="H168" s="357">
        <v>4.0</v>
      </c>
      <c r="I168" s="358"/>
      <c r="J168" s="417" t="s">
        <v>4572</v>
      </c>
    </row>
    <row r="169">
      <c r="A169" s="355">
        <v>8.0</v>
      </c>
      <c r="B169" s="356" t="s">
        <v>4573</v>
      </c>
      <c r="C169" s="356">
        <v>2.42510061E8</v>
      </c>
      <c r="D169" s="356" t="s">
        <v>4574</v>
      </c>
      <c r="E169" s="356" t="s">
        <v>3100</v>
      </c>
      <c r="F169" s="357" t="s">
        <v>4562</v>
      </c>
      <c r="G169" s="357">
        <v>5.0</v>
      </c>
      <c r="H169" s="357">
        <v>5.0</v>
      </c>
      <c r="I169" s="358"/>
    </row>
    <row r="170">
      <c r="A170" s="416">
        <v>9.0</v>
      </c>
      <c r="B170" s="356" t="s">
        <v>4575</v>
      </c>
      <c r="C170" s="356">
        <v>2.42510083E8</v>
      </c>
      <c r="D170" s="356" t="s">
        <v>4576</v>
      </c>
      <c r="E170" s="356" t="s">
        <v>3099</v>
      </c>
      <c r="F170" s="357" t="s">
        <v>4318</v>
      </c>
      <c r="G170" s="357">
        <v>5.0</v>
      </c>
      <c r="H170" s="357">
        <v>1.0</v>
      </c>
      <c r="I170" s="358"/>
    </row>
    <row r="171">
      <c r="A171" s="355">
        <v>10.0</v>
      </c>
      <c r="B171" s="356" t="s">
        <v>4577</v>
      </c>
      <c r="C171" s="356">
        <v>2.42510105E8</v>
      </c>
      <c r="D171" s="356" t="s">
        <v>4578</v>
      </c>
      <c r="E171" s="356" t="s">
        <v>3100</v>
      </c>
      <c r="F171" s="357" t="s">
        <v>4562</v>
      </c>
      <c r="G171" s="357">
        <v>5.0</v>
      </c>
      <c r="H171" s="357">
        <v>5.0</v>
      </c>
      <c r="I171" s="358"/>
    </row>
    <row r="172">
      <c r="A172" s="416">
        <v>11.0</v>
      </c>
      <c r="B172" s="356" t="s">
        <v>4579</v>
      </c>
      <c r="C172" s="356">
        <v>2.42510107E8</v>
      </c>
      <c r="D172" s="356" t="s">
        <v>4580</v>
      </c>
      <c r="E172" s="356" t="s">
        <v>3100</v>
      </c>
      <c r="F172" s="357" t="s">
        <v>4562</v>
      </c>
      <c r="G172" s="357">
        <v>5.0</v>
      </c>
      <c r="H172" s="357">
        <v>5.0</v>
      </c>
      <c r="I172" s="358"/>
    </row>
    <row r="173">
      <c r="A173" s="355">
        <v>12.0</v>
      </c>
      <c r="B173" s="356" t="s">
        <v>4581</v>
      </c>
      <c r="C173" s="356">
        <v>2.42510135E8</v>
      </c>
      <c r="D173" s="356" t="s">
        <v>4582</v>
      </c>
      <c r="E173" s="356" t="s">
        <v>3100</v>
      </c>
      <c r="F173" s="357" t="s">
        <v>4565</v>
      </c>
      <c r="G173" s="357">
        <v>13.0</v>
      </c>
      <c r="H173" s="357">
        <v>10.0</v>
      </c>
      <c r="I173" s="358"/>
    </row>
    <row r="174">
      <c r="A174" s="416">
        <v>13.0</v>
      </c>
      <c r="B174" s="356" t="s">
        <v>4583</v>
      </c>
      <c r="C174" s="356">
        <v>2.42510164E8</v>
      </c>
      <c r="D174" s="356" t="s">
        <v>4584</v>
      </c>
      <c r="E174" s="356" t="s">
        <v>3099</v>
      </c>
      <c r="F174" s="357" t="s">
        <v>4318</v>
      </c>
      <c r="G174" s="357">
        <v>5.0</v>
      </c>
      <c r="H174" s="357">
        <v>2.0</v>
      </c>
      <c r="I174" s="358"/>
    </row>
    <row r="175">
      <c r="A175" s="355">
        <v>14.0</v>
      </c>
      <c r="B175" s="356" t="s">
        <v>4585</v>
      </c>
      <c r="C175" s="356">
        <v>2.42510176E8</v>
      </c>
      <c r="D175" s="356" t="s">
        <v>4586</v>
      </c>
      <c r="E175" s="356" t="s">
        <v>3099</v>
      </c>
      <c r="F175" s="357"/>
      <c r="G175" s="357"/>
      <c r="H175" s="357"/>
      <c r="I175" s="358"/>
    </row>
    <row r="176">
      <c r="A176" s="416">
        <v>15.0</v>
      </c>
      <c r="B176" s="356" t="s">
        <v>4587</v>
      </c>
      <c r="C176" s="356">
        <v>2.42510178E8</v>
      </c>
      <c r="D176" s="356" t="s">
        <v>4588</v>
      </c>
      <c r="E176" s="356" t="s">
        <v>3100</v>
      </c>
      <c r="F176" s="357" t="s">
        <v>4562</v>
      </c>
      <c r="G176" s="357">
        <v>5.0</v>
      </c>
      <c r="H176" s="357">
        <v>5.0</v>
      </c>
      <c r="I176" s="358"/>
    </row>
    <row r="177">
      <c r="A177" s="355">
        <v>16.0</v>
      </c>
      <c r="B177" s="356" t="s">
        <v>4589</v>
      </c>
      <c r="C177" s="356">
        <v>2.42510188E8</v>
      </c>
      <c r="D177" s="356" t="s">
        <v>4590</v>
      </c>
      <c r="E177" s="356" t="s">
        <v>3100</v>
      </c>
      <c r="F177" s="357" t="s">
        <v>4562</v>
      </c>
      <c r="G177" s="357">
        <v>5.0</v>
      </c>
      <c r="H177" s="357">
        <v>5.0</v>
      </c>
      <c r="I177" s="358"/>
    </row>
    <row r="178">
      <c r="A178" s="416">
        <v>17.0</v>
      </c>
      <c r="B178" s="356" t="s">
        <v>4591</v>
      </c>
      <c r="C178" s="356">
        <v>2.42510196E8</v>
      </c>
      <c r="D178" s="356" t="s">
        <v>4592</v>
      </c>
      <c r="E178" s="356" t="s">
        <v>3100</v>
      </c>
      <c r="F178" s="357" t="s">
        <v>4562</v>
      </c>
      <c r="G178" s="357">
        <v>5.0</v>
      </c>
      <c r="H178" s="357">
        <v>5.0</v>
      </c>
      <c r="I178" s="358"/>
    </row>
    <row r="179">
      <c r="A179" s="355">
        <v>18.0</v>
      </c>
      <c r="B179" s="356" t="s">
        <v>4593</v>
      </c>
      <c r="C179" s="356">
        <v>2.42510198E8</v>
      </c>
      <c r="D179" s="356" t="s">
        <v>4594</v>
      </c>
      <c r="E179" s="356" t="s">
        <v>3100</v>
      </c>
      <c r="F179" s="357" t="s">
        <v>4562</v>
      </c>
      <c r="G179" s="357">
        <v>5.0</v>
      </c>
      <c r="H179" s="357">
        <v>5.0</v>
      </c>
      <c r="I179" s="358"/>
    </row>
    <row r="180">
      <c r="A180" s="416">
        <v>19.0</v>
      </c>
      <c r="B180" s="356" t="s">
        <v>4595</v>
      </c>
      <c r="C180" s="356">
        <v>2.42510206E8</v>
      </c>
      <c r="D180" s="356" t="s">
        <v>4596</v>
      </c>
      <c r="E180" s="356" t="s">
        <v>3100</v>
      </c>
      <c r="F180" s="357" t="s">
        <v>4562</v>
      </c>
      <c r="G180" s="357">
        <v>5.0</v>
      </c>
      <c r="H180" s="357">
        <v>5.0</v>
      </c>
      <c r="I180" s="358"/>
    </row>
    <row r="181">
      <c r="A181" s="355">
        <v>20.0</v>
      </c>
      <c r="B181" s="356" t="s">
        <v>4597</v>
      </c>
      <c r="C181" s="356">
        <v>2.42510208E8</v>
      </c>
      <c r="D181" s="356" t="s">
        <v>4598</v>
      </c>
      <c r="E181" s="356" t="s">
        <v>3100</v>
      </c>
      <c r="F181" s="357" t="s">
        <v>4562</v>
      </c>
      <c r="G181" s="357">
        <v>5.0</v>
      </c>
      <c r="H181" s="357">
        <v>5.0</v>
      </c>
      <c r="I181" s="358"/>
    </row>
    <row r="182">
      <c r="A182" s="416">
        <v>21.0</v>
      </c>
      <c r="B182" s="356" t="s">
        <v>4599</v>
      </c>
      <c r="C182" s="356">
        <v>2.4251021E8</v>
      </c>
      <c r="D182" s="356" t="s">
        <v>4600</v>
      </c>
      <c r="E182" s="356" t="s">
        <v>3099</v>
      </c>
      <c r="F182" s="357" t="s">
        <v>4318</v>
      </c>
      <c r="G182" s="357">
        <v>5.0</v>
      </c>
      <c r="H182" s="357">
        <v>2.0</v>
      </c>
      <c r="I182" s="358"/>
    </row>
    <row r="183">
      <c r="A183" s="355">
        <v>22.0</v>
      </c>
      <c r="B183" s="356" t="s">
        <v>4601</v>
      </c>
      <c r="C183" s="356">
        <v>2.42510212E8</v>
      </c>
      <c r="D183" s="356" t="s">
        <v>4602</v>
      </c>
      <c r="E183" s="356" t="s">
        <v>3100</v>
      </c>
      <c r="F183" s="357" t="s">
        <v>4565</v>
      </c>
      <c r="G183" s="357">
        <v>13.0</v>
      </c>
      <c r="H183" s="357">
        <v>9.0</v>
      </c>
      <c r="I183" s="358"/>
      <c r="J183" s="417" t="s">
        <v>4572</v>
      </c>
    </row>
    <row r="184">
      <c r="A184" s="416">
        <v>23.0</v>
      </c>
      <c r="B184" s="356" t="s">
        <v>4603</v>
      </c>
      <c r="C184" s="356">
        <v>2.42510234E8</v>
      </c>
      <c r="D184" s="356" t="s">
        <v>4604</v>
      </c>
      <c r="E184" s="356" t="s">
        <v>3099</v>
      </c>
      <c r="F184" s="357" t="s">
        <v>4318</v>
      </c>
      <c r="G184" s="357">
        <v>5.0</v>
      </c>
      <c r="H184" s="357">
        <v>2.0</v>
      </c>
      <c r="I184" s="358"/>
    </row>
    <row r="185">
      <c r="A185" s="355">
        <v>24.0</v>
      </c>
      <c r="B185" s="356" t="s">
        <v>4605</v>
      </c>
      <c r="C185" s="356">
        <v>2.42510249E8</v>
      </c>
      <c r="D185" s="356" t="s">
        <v>4606</v>
      </c>
      <c r="E185" s="356" t="s">
        <v>3099</v>
      </c>
      <c r="F185" s="357" t="s">
        <v>4318</v>
      </c>
      <c r="G185" s="357">
        <v>5.0</v>
      </c>
      <c r="H185" s="357">
        <v>1.0</v>
      </c>
      <c r="I185" s="358"/>
    </row>
    <row r="186">
      <c r="A186" s="416">
        <v>25.0</v>
      </c>
      <c r="B186" s="356" t="s">
        <v>4607</v>
      </c>
      <c r="C186" s="356">
        <v>2.4251025E8</v>
      </c>
      <c r="D186" s="356" t="s">
        <v>4608</v>
      </c>
      <c r="E186" s="356" t="s">
        <v>3099</v>
      </c>
      <c r="F186" s="357" t="s">
        <v>4318</v>
      </c>
      <c r="G186" s="357">
        <v>5.0</v>
      </c>
      <c r="H186" s="357">
        <v>0.0</v>
      </c>
      <c r="I186" s="358"/>
    </row>
    <row r="187">
      <c r="A187" s="355">
        <v>26.0</v>
      </c>
      <c r="B187" s="356" t="s">
        <v>4609</v>
      </c>
      <c r="C187" s="356">
        <v>2.42510261E8</v>
      </c>
      <c r="D187" s="356" t="s">
        <v>1795</v>
      </c>
      <c r="E187" s="356" t="s">
        <v>3099</v>
      </c>
      <c r="F187" s="357" t="s">
        <v>4318</v>
      </c>
      <c r="G187" s="357">
        <v>5.0</v>
      </c>
      <c r="H187" s="357">
        <v>4.0</v>
      </c>
      <c r="I187" s="358"/>
    </row>
    <row r="188">
      <c r="A188" s="416">
        <v>27.0</v>
      </c>
      <c r="B188" s="356" t="s">
        <v>4610</v>
      </c>
      <c r="C188" s="356">
        <v>2.42510269E8</v>
      </c>
      <c r="D188" s="356" t="s">
        <v>4611</v>
      </c>
      <c r="E188" s="356" t="s">
        <v>3099</v>
      </c>
      <c r="F188" s="357" t="s">
        <v>4318</v>
      </c>
      <c r="G188" s="357">
        <v>5.0</v>
      </c>
      <c r="H188" s="357">
        <v>0.0</v>
      </c>
      <c r="I188" s="358"/>
    </row>
    <row r="189">
      <c r="A189" s="355">
        <v>28.0</v>
      </c>
      <c r="B189" s="356" t="s">
        <v>4612</v>
      </c>
      <c r="C189" s="356">
        <v>2.42510273E8</v>
      </c>
      <c r="D189" s="356" t="s">
        <v>4613</v>
      </c>
      <c r="E189" s="356" t="s">
        <v>3099</v>
      </c>
      <c r="F189" s="357" t="s">
        <v>4318</v>
      </c>
      <c r="G189" s="357">
        <v>5.0</v>
      </c>
      <c r="H189" s="357">
        <v>4.0</v>
      </c>
      <c r="I189" s="358"/>
    </row>
    <row r="190">
      <c r="A190" s="416">
        <v>29.0</v>
      </c>
      <c r="B190" s="356" t="s">
        <v>4614</v>
      </c>
      <c r="C190" s="356">
        <v>2.4251028E8</v>
      </c>
      <c r="D190" s="356" t="s">
        <v>4615</v>
      </c>
      <c r="E190" s="356" t="s">
        <v>3099</v>
      </c>
      <c r="F190" s="357" t="s">
        <v>4318</v>
      </c>
      <c r="G190" s="357">
        <v>5.0</v>
      </c>
      <c r="H190" s="357">
        <v>0.0</v>
      </c>
      <c r="I190" s="358"/>
    </row>
    <row r="191">
      <c r="A191" s="355">
        <v>30.0</v>
      </c>
      <c r="B191" s="356" t="s">
        <v>4616</v>
      </c>
      <c r="C191" s="356">
        <v>2.42510285E8</v>
      </c>
      <c r="D191" s="356" t="s">
        <v>4617</v>
      </c>
      <c r="E191" s="356" t="s">
        <v>3100</v>
      </c>
      <c r="F191" s="357" t="s">
        <v>4562</v>
      </c>
      <c r="G191" s="357">
        <v>5.0</v>
      </c>
      <c r="H191" s="357">
        <v>5.0</v>
      </c>
      <c r="I191" s="358"/>
    </row>
    <row r="192">
      <c r="A192" s="416">
        <v>31.0</v>
      </c>
      <c r="B192" s="356" t="s">
        <v>4618</v>
      </c>
      <c r="C192" s="356">
        <v>2.42510301E8</v>
      </c>
      <c r="D192" s="356" t="s">
        <v>4619</v>
      </c>
      <c r="E192" s="356" t="s">
        <v>3100</v>
      </c>
      <c r="F192" s="357" t="s">
        <v>4562</v>
      </c>
      <c r="G192" s="357">
        <v>5.0</v>
      </c>
      <c r="H192" s="357">
        <v>5.0</v>
      </c>
      <c r="I192" s="358"/>
    </row>
    <row r="193">
      <c r="A193" s="355">
        <v>32.0</v>
      </c>
      <c r="B193" s="356" t="s">
        <v>4620</v>
      </c>
      <c r="C193" s="356">
        <v>2.42510351E8</v>
      </c>
      <c r="D193" s="356" t="s">
        <v>4621</v>
      </c>
      <c r="E193" s="356" t="s">
        <v>3099</v>
      </c>
      <c r="F193" s="357" t="s">
        <v>4318</v>
      </c>
      <c r="G193" s="362">
        <v>5.0</v>
      </c>
      <c r="H193" s="362">
        <v>3.0</v>
      </c>
      <c r="I193" s="363"/>
    </row>
    <row r="194">
      <c r="A194" s="416">
        <v>33.0</v>
      </c>
      <c r="B194" s="356" t="s">
        <v>4622</v>
      </c>
      <c r="C194" s="356">
        <v>2.42510374E8</v>
      </c>
      <c r="D194" s="356" t="s">
        <v>4623</v>
      </c>
      <c r="E194" s="356" t="s">
        <v>3100</v>
      </c>
      <c r="F194" s="357" t="s">
        <v>4562</v>
      </c>
      <c r="G194" s="357">
        <v>5.0</v>
      </c>
      <c r="H194" s="357">
        <v>5.0</v>
      </c>
      <c r="I194" s="358"/>
    </row>
    <row r="195">
      <c r="A195" s="355">
        <v>34.0</v>
      </c>
      <c r="B195" s="356" t="s">
        <v>4624</v>
      </c>
      <c r="C195" s="356">
        <v>2.42510378E8</v>
      </c>
      <c r="D195" s="356" t="s">
        <v>4625</v>
      </c>
      <c r="E195" s="356" t="s">
        <v>3099</v>
      </c>
      <c r="F195" s="357" t="s">
        <v>4318</v>
      </c>
      <c r="G195" s="362">
        <v>5.0</v>
      </c>
      <c r="H195" s="362">
        <v>0.0</v>
      </c>
      <c r="I195" s="363"/>
    </row>
    <row r="196">
      <c r="A196" s="416">
        <v>35.0</v>
      </c>
      <c r="B196" s="356" t="s">
        <v>4626</v>
      </c>
      <c r="C196" s="356">
        <v>2.42510396E8</v>
      </c>
      <c r="D196" s="356" t="s">
        <v>4627</v>
      </c>
      <c r="E196" s="356" t="s">
        <v>3100</v>
      </c>
      <c r="F196" s="357" t="s">
        <v>4562</v>
      </c>
      <c r="G196" s="357">
        <v>5.0</v>
      </c>
      <c r="H196" s="357">
        <v>5.0</v>
      </c>
      <c r="I196" s="358"/>
    </row>
    <row r="197">
      <c r="A197" s="355">
        <v>36.0</v>
      </c>
      <c r="B197" s="356" t="s">
        <v>4628</v>
      </c>
      <c r="C197" s="356">
        <v>2.42510424E8</v>
      </c>
      <c r="D197" s="356" t="s">
        <v>4629</v>
      </c>
      <c r="E197" s="356" t="s">
        <v>3100</v>
      </c>
      <c r="F197" s="357" t="s">
        <v>4562</v>
      </c>
      <c r="G197" s="357">
        <v>5.0</v>
      </c>
      <c r="H197" s="357">
        <v>5.0</v>
      </c>
      <c r="I197" s="358"/>
    </row>
    <row r="198">
      <c r="A198" s="416">
        <v>37.0</v>
      </c>
      <c r="B198" s="364"/>
      <c r="C198" s="364"/>
      <c r="D198" s="364"/>
      <c r="E198" s="364"/>
      <c r="F198" s="364"/>
      <c r="G198" s="364"/>
      <c r="H198" s="364"/>
      <c r="I198" s="365"/>
    </row>
    <row r="199">
      <c r="A199" s="365"/>
      <c r="B199" s="366" t="s">
        <v>3101</v>
      </c>
      <c r="C199" s="365"/>
      <c r="D199" s="367">
        <f>COUNTIF(E162:E198,"L")</f>
        <v>14</v>
      </c>
      <c r="E199" s="365"/>
      <c r="F199" s="365"/>
      <c r="G199" s="365"/>
      <c r="H199" s="365"/>
      <c r="I199" s="365"/>
    </row>
    <row r="200">
      <c r="A200" s="365"/>
      <c r="B200" s="366" t="s">
        <v>3102</v>
      </c>
      <c r="C200" s="365"/>
      <c r="D200" s="367">
        <f>COUNTIF(E162:E198,"P")</f>
        <v>22</v>
      </c>
      <c r="E200" s="365"/>
      <c r="F200" s="365"/>
      <c r="G200" s="365"/>
      <c r="H200" s="365"/>
      <c r="I200" s="365"/>
    </row>
    <row r="201">
      <c r="A201" s="365"/>
      <c r="B201" s="366" t="s">
        <v>3104</v>
      </c>
      <c r="C201" s="365"/>
      <c r="D201" s="367">
        <f>SUM(D199:D200)</f>
        <v>36</v>
      </c>
      <c r="E201" s="365"/>
      <c r="F201" s="365"/>
      <c r="G201" s="365"/>
      <c r="H201" s="365"/>
      <c r="I201" s="365"/>
    </row>
    <row r="202">
      <c r="A202" s="365"/>
      <c r="B202" s="365"/>
      <c r="C202" s="365"/>
      <c r="D202" s="365"/>
      <c r="E202" s="365"/>
      <c r="F202" s="365"/>
      <c r="G202" s="365"/>
      <c r="H202" s="365"/>
      <c r="I202" s="365"/>
    </row>
    <row r="203">
      <c r="A203" s="365"/>
      <c r="B203" s="365"/>
      <c r="C203" s="365"/>
      <c r="D203" s="365"/>
      <c r="E203" s="365"/>
      <c r="F203" s="365"/>
      <c r="G203" s="365"/>
      <c r="H203" s="365"/>
      <c r="I203" s="365"/>
    </row>
    <row r="204">
      <c r="A204" s="365"/>
      <c r="B204" s="365"/>
      <c r="C204" s="365"/>
      <c r="D204" s="365"/>
      <c r="E204" s="365"/>
      <c r="F204" s="365"/>
      <c r="G204" s="365"/>
      <c r="H204" s="365"/>
      <c r="I204" s="365"/>
    </row>
    <row r="205">
      <c r="A205" s="368" t="s">
        <v>4387</v>
      </c>
      <c r="B205" s="368"/>
      <c r="C205" s="368"/>
      <c r="D205" s="368"/>
      <c r="E205" s="368"/>
      <c r="F205" s="368"/>
      <c r="G205" s="368"/>
      <c r="H205" s="368"/>
      <c r="I205" s="187"/>
    </row>
    <row r="206">
      <c r="A206" s="369" t="s">
        <v>4388</v>
      </c>
      <c r="B206" s="370"/>
      <c r="C206" s="370"/>
      <c r="D206" s="370"/>
      <c r="E206" s="370"/>
      <c r="F206" s="370"/>
      <c r="G206" s="370"/>
      <c r="H206" s="371"/>
      <c r="I206" s="332"/>
    </row>
    <row r="207">
      <c r="A207" s="329" t="s">
        <v>4310</v>
      </c>
      <c r="B207" s="330"/>
      <c r="C207" s="330"/>
      <c r="D207" s="330"/>
      <c r="E207" s="330"/>
      <c r="F207" s="330"/>
      <c r="G207" s="330"/>
      <c r="H207" s="331"/>
      <c r="I207" s="332"/>
    </row>
    <row r="208">
      <c r="A208" s="334" t="s">
        <v>4630</v>
      </c>
      <c r="B208" s="335"/>
      <c r="C208" s="335"/>
      <c r="D208" s="335"/>
      <c r="E208" s="335"/>
      <c r="F208" s="335"/>
      <c r="G208" s="335"/>
      <c r="H208" s="336"/>
      <c r="I208" s="337"/>
    </row>
    <row r="209">
      <c r="A209" s="338" t="s">
        <v>4631</v>
      </c>
      <c r="B209" s="339"/>
      <c r="C209" s="339"/>
      <c r="D209" s="339"/>
      <c r="E209" s="339"/>
      <c r="F209" s="339"/>
      <c r="G209" s="340"/>
      <c r="H209" s="340"/>
      <c r="I209" s="341"/>
    </row>
    <row r="210">
      <c r="A210" s="342" t="s">
        <v>1735</v>
      </c>
      <c r="B210" s="342" t="s">
        <v>1736</v>
      </c>
      <c r="C210" s="342" t="s">
        <v>1737</v>
      </c>
      <c r="D210" s="342" t="s">
        <v>1738</v>
      </c>
      <c r="E210" s="342" t="s">
        <v>1815</v>
      </c>
      <c r="F210" s="343"/>
      <c r="G210" s="343" t="s">
        <v>3097</v>
      </c>
      <c r="H210" s="344"/>
      <c r="I210" s="345"/>
    </row>
    <row r="211">
      <c r="A211" s="346"/>
      <c r="B211" s="346"/>
      <c r="C211" s="346"/>
      <c r="D211" s="346"/>
      <c r="E211" s="346"/>
      <c r="F211" s="413" t="s">
        <v>2483</v>
      </c>
      <c r="G211" s="348" t="s">
        <v>3094</v>
      </c>
      <c r="H211" s="349" t="s">
        <v>4309</v>
      </c>
      <c r="I211" s="350"/>
    </row>
    <row r="212">
      <c r="A212" s="351"/>
      <c r="B212" s="351"/>
      <c r="C212" s="351"/>
      <c r="D212" s="351"/>
      <c r="E212" s="351"/>
      <c r="F212" s="415"/>
      <c r="G212" s="353"/>
      <c r="H212" s="354"/>
      <c r="I212" s="350"/>
    </row>
    <row r="213">
      <c r="A213" s="355">
        <v>1.0</v>
      </c>
      <c r="B213" s="356" t="s">
        <v>4632</v>
      </c>
      <c r="C213" s="356">
        <v>2.42510013E8</v>
      </c>
      <c r="D213" s="356" t="s">
        <v>4633</v>
      </c>
      <c r="E213" s="356" t="s">
        <v>3100</v>
      </c>
      <c r="F213" s="362" t="s">
        <v>4634</v>
      </c>
      <c r="G213" s="362">
        <v>7.0</v>
      </c>
      <c r="H213" s="357">
        <v>4.0</v>
      </c>
      <c r="I213" s="358"/>
    </row>
    <row r="214">
      <c r="A214" s="355">
        <v>2.0</v>
      </c>
      <c r="B214" s="356" t="s">
        <v>4635</v>
      </c>
      <c r="C214" s="356">
        <v>2.42510022E8</v>
      </c>
      <c r="D214" s="356" t="s">
        <v>4636</v>
      </c>
      <c r="E214" s="356" t="s">
        <v>3099</v>
      </c>
      <c r="F214" s="362" t="s">
        <v>4481</v>
      </c>
      <c r="G214" s="362">
        <v>7.0</v>
      </c>
      <c r="H214" s="357"/>
      <c r="I214" s="358"/>
    </row>
    <row r="215">
      <c r="A215" s="355">
        <v>3.0</v>
      </c>
      <c r="B215" s="356" t="s">
        <v>4637</v>
      </c>
      <c r="C215" s="356">
        <v>2.42510023E8</v>
      </c>
      <c r="D215" s="356" t="s">
        <v>4638</v>
      </c>
      <c r="E215" s="356" t="s">
        <v>3100</v>
      </c>
      <c r="F215" s="362"/>
      <c r="G215" s="362">
        <v>7.0</v>
      </c>
      <c r="H215" s="357"/>
      <c r="I215" s="358"/>
    </row>
    <row r="216">
      <c r="A216" s="355">
        <v>4.0</v>
      </c>
      <c r="B216" s="356" t="s">
        <v>4639</v>
      </c>
      <c r="C216" s="356">
        <v>2.42510027E8</v>
      </c>
      <c r="D216" s="356" t="s">
        <v>4640</v>
      </c>
      <c r="E216" s="356" t="s">
        <v>3100</v>
      </c>
      <c r="F216" s="362"/>
      <c r="G216" s="362">
        <v>7.0</v>
      </c>
      <c r="H216" s="357">
        <v>2.0</v>
      </c>
      <c r="I216" s="358"/>
    </row>
    <row r="217">
      <c r="A217" s="355">
        <v>5.0</v>
      </c>
      <c r="B217" s="356" t="s">
        <v>4641</v>
      </c>
      <c r="C217" s="356">
        <v>2.42510032E8</v>
      </c>
      <c r="D217" s="356" t="s">
        <v>4642</v>
      </c>
      <c r="E217" s="356" t="s">
        <v>3099</v>
      </c>
      <c r="F217" s="362"/>
      <c r="G217" s="362">
        <v>7.0</v>
      </c>
      <c r="H217" s="357"/>
      <c r="I217" s="358"/>
    </row>
    <row r="218">
      <c r="A218" s="355">
        <v>6.0</v>
      </c>
      <c r="B218" s="356" t="s">
        <v>4643</v>
      </c>
      <c r="C218" s="356">
        <v>2.42510042E8</v>
      </c>
      <c r="D218" s="356" t="s">
        <v>4644</v>
      </c>
      <c r="E218" s="356" t="s">
        <v>3100</v>
      </c>
      <c r="F218" s="362"/>
      <c r="G218" s="362">
        <v>7.0</v>
      </c>
      <c r="H218" s="357">
        <v>2.0</v>
      </c>
      <c r="I218" s="358"/>
    </row>
    <row r="219">
      <c r="A219" s="355">
        <v>7.0</v>
      </c>
      <c r="B219" s="356" t="s">
        <v>4645</v>
      </c>
      <c r="C219" s="356">
        <v>2.42510046E8</v>
      </c>
      <c r="D219" s="356" t="s">
        <v>4646</v>
      </c>
      <c r="E219" s="356" t="s">
        <v>3100</v>
      </c>
      <c r="F219" s="362"/>
      <c r="G219" s="362">
        <v>7.0</v>
      </c>
      <c r="H219" s="357">
        <v>2.0</v>
      </c>
      <c r="I219" s="358"/>
    </row>
    <row r="220">
      <c r="A220" s="355">
        <v>8.0</v>
      </c>
      <c r="B220" s="356" t="s">
        <v>4647</v>
      </c>
      <c r="C220" s="356">
        <v>2.42510055E8</v>
      </c>
      <c r="D220" s="356" t="s">
        <v>4648</v>
      </c>
      <c r="E220" s="356" t="s">
        <v>3100</v>
      </c>
      <c r="F220" s="362"/>
      <c r="G220" s="362">
        <v>7.0</v>
      </c>
      <c r="H220" s="357">
        <v>4.0</v>
      </c>
      <c r="I220" s="358"/>
    </row>
    <row r="221">
      <c r="A221" s="355">
        <v>9.0</v>
      </c>
      <c r="B221" s="356" t="s">
        <v>4649</v>
      </c>
      <c r="C221" s="356">
        <v>2.42510059E8</v>
      </c>
      <c r="D221" s="356" t="s">
        <v>4650</v>
      </c>
      <c r="E221" s="356" t="s">
        <v>3099</v>
      </c>
      <c r="F221" s="362"/>
      <c r="G221" s="362">
        <v>7.0</v>
      </c>
      <c r="H221" s="362">
        <v>1.0</v>
      </c>
      <c r="I221" s="363"/>
    </row>
    <row r="222">
      <c r="A222" s="355">
        <v>10.0</v>
      </c>
      <c r="B222" s="356" t="s">
        <v>4651</v>
      </c>
      <c r="C222" s="356">
        <v>2.42510063E8</v>
      </c>
      <c r="D222" s="356" t="s">
        <v>4652</v>
      </c>
      <c r="E222" s="356" t="s">
        <v>3100</v>
      </c>
      <c r="F222" s="362"/>
      <c r="G222" s="362">
        <v>7.0</v>
      </c>
      <c r="H222" s="357">
        <v>5.0</v>
      </c>
      <c r="I222" s="358"/>
    </row>
    <row r="223">
      <c r="A223" s="355">
        <v>11.0</v>
      </c>
      <c r="B223" s="356" t="s">
        <v>4653</v>
      </c>
      <c r="C223" s="356">
        <v>2.42510079E8</v>
      </c>
      <c r="D223" s="356" t="s">
        <v>4654</v>
      </c>
      <c r="E223" s="356" t="s">
        <v>3099</v>
      </c>
      <c r="F223" s="362"/>
      <c r="G223" s="362">
        <v>7.0</v>
      </c>
      <c r="H223" s="362">
        <v>3.0</v>
      </c>
      <c r="I223" s="363"/>
    </row>
    <row r="224">
      <c r="A224" s="355">
        <v>12.0</v>
      </c>
      <c r="B224" s="356" t="s">
        <v>4655</v>
      </c>
      <c r="C224" s="356">
        <v>2.42510097E8</v>
      </c>
      <c r="D224" s="356" t="s">
        <v>4656</v>
      </c>
      <c r="E224" s="356" t="s">
        <v>3099</v>
      </c>
      <c r="F224" s="362"/>
      <c r="G224" s="362">
        <v>7.0</v>
      </c>
      <c r="H224" s="362">
        <v>1.0</v>
      </c>
      <c r="I224" s="363"/>
    </row>
    <row r="225">
      <c r="A225" s="355">
        <v>13.0</v>
      </c>
      <c r="B225" s="356" t="s">
        <v>4657</v>
      </c>
      <c r="C225" s="356">
        <v>2.42510104E8</v>
      </c>
      <c r="D225" s="356" t="s">
        <v>4658</v>
      </c>
      <c r="E225" s="356" t="s">
        <v>3099</v>
      </c>
      <c r="F225" s="362"/>
      <c r="G225" s="362">
        <v>7.0</v>
      </c>
      <c r="H225" s="362">
        <v>4.0</v>
      </c>
      <c r="I225" s="363"/>
    </row>
    <row r="226">
      <c r="A226" s="355">
        <v>14.0</v>
      </c>
      <c r="B226" s="356" t="s">
        <v>4659</v>
      </c>
      <c r="C226" s="356">
        <v>2.42510119E8</v>
      </c>
      <c r="D226" s="356" t="s">
        <v>4660</v>
      </c>
      <c r="E226" s="356" t="s">
        <v>3100</v>
      </c>
      <c r="F226" s="362"/>
      <c r="G226" s="362">
        <v>7.0</v>
      </c>
      <c r="H226" s="357">
        <v>5.0</v>
      </c>
      <c r="I226" s="358"/>
    </row>
    <row r="227">
      <c r="A227" s="355">
        <v>15.0</v>
      </c>
      <c r="B227" s="356" t="s">
        <v>4661</v>
      </c>
      <c r="C227" s="356">
        <v>2.42510129E8</v>
      </c>
      <c r="D227" s="356" t="s">
        <v>4662</v>
      </c>
      <c r="E227" s="356" t="s">
        <v>3100</v>
      </c>
      <c r="F227" s="362"/>
      <c r="G227" s="362">
        <v>7.0</v>
      </c>
      <c r="H227" s="357">
        <v>2.0</v>
      </c>
      <c r="I227" s="358"/>
    </row>
    <row r="228">
      <c r="A228" s="355">
        <v>16.0</v>
      </c>
      <c r="B228" s="356" t="s">
        <v>4663</v>
      </c>
      <c r="C228" s="356">
        <v>2.42510139E8</v>
      </c>
      <c r="D228" s="356" t="s">
        <v>4664</v>
      </c>
      <c r="E228" s="356" t="s">
        <v>3099</v>
      </c>
      <c r="F228" s="362"/>
      <c r="G228" s="362">
        <v>7.0</v>
      </c>
      <c r="H228" s="362">
        <v>0.0</v>
      </c>
      <c r="I228" s="363"/>
    </row>
    <row r="229">
      <c r="A229" s="355">
        <v>17.0</v>
      </c>
      <c r="B229" s="356" t="s">
        <v>4665</v>
      </c>
      <c r="C229" s="356">
        <v>2.42510142E8</v>
      </c>
      <c r="D229" s="356" t="s">
        <v>4666</v>
      </c>
      <c r="E229" s="356" t="s">
        <v>3100</v>
      </c>
      <c r="F229" s="362"/>
      <c r="G229" s="362">
        <v>7.0</v>
      </c>
      <c r="H229" s="357">
        <v>5.0</v>
      </c>
      <c r="I229" s="358"/>
    </row>
    <row r="230">
      <c r="A230" s="355">
        <v>18.0</v>
      </c>
      <c r="B230" s="356" t="s">
        <v>4667</v>
      </c>
      <c r="C230" s="356">
        <v>2.42510168E8</v>
      </c>
      <c r="D230" s="356" t="s">
        <v>4668</v>
      </c>
      <c r="E230" s="356" t="s">
        <v>3100</v>
      </c>
      <c r="F230" s="362"/>
      <c r="G230" s="362">
        <v>7.0</v>
      </c>
      <c r="H230" s="357">
        <v>4.0</v>
      </c>
      <c r="I230" s="358"/>
    </row>
    <row r="231">
      <c r="A231" s="418">
        <v>19.0</v>
      </c>
      <c r="B231" s="419" t="s">
        <v>4669</v>
      </c>
      <c r="C231" s="356">
        <v>2.42510205E8</v>
      </c>
      <c r="D231" s="356" t="s">
        <v>4670</v>
      </c>
      <c r="E231" s="356" t="s">
        <v>3100</v>
      </c>
      <c r="F231" s="362"/>
      <c r="G231" s="362">
        <v>7.0</v>
      </c>
      <c r="H231" s="357">
        <v>2.0</v>
      </c>
      <c r="I231" s="358"/>
    </row>
    <row r="232">
      <c r="A232" s="355">
        <v>20.0</v>
      </c>
      <c r="B232" s="356" t="s">
        <v>4671</v>
      </c>
      <c r="C232" s="356">
        <v>2.42510231E8</v>
      </c>
      <c r="D232" s="356" t="s">
        <v>4672</v>
      </c>
      <c r="E232" s="356" t="s">
        <v>3100</v>
      </c>
      <c r="F232" s="362"/>
      <c r="G232" s="362">
        <v>7.0</v>
      </c>
      <c r="H232" s="357">
        <v>4.0</v>
      </c>
      <c r="I232" s="358"/>
    </row>
    <row r="233">
      <c r="A233" s="355">
        <v>21.0</v>
      </c>
      <c r="B233" s="420">
        <v>3.082881499E9</v>
      </c>
      <c r="C233" s="356">
        <v>2.42510243E8</v>
      </c>
      <c r="D233" s="356" t="s">
        <v>4673</v>
      </c>
      <c r="E233" s="356" t="s">
        <v>3099</v>
      </c>
      <c r="F233" s="362"/>
      <c r="G233" s="362">
        <v>7.0</v>
      </c>
      <c r="H233" s="362">
        <v>1.0</v>
      </c>
      <c r="I233" s="363"/>
    </row>
    <row r="234">
      <c r="A234" s="355">
        <v>22.0</v>
      </c>
      <c r="B234" s="356" t="s">
        <v>4674</v>
      </c>
      <c r="C234" s="356">
        <v>2.42510245E8</v>
      </c>
      <c r="D234" s="356" t="s">
        <v>4675</v>
      </c>
      <c r="E234" s="356" t="s">
        <v>3099</v>
      </c>
      <c r="F234" s="362"/>
      <c r="G234" s="362">
        <v>7.0</v>
      </c>
      <c r="H234" s="362">
        <v>3.0</v>
      </c>
      <c r="I234" s="363"/>
    </row>
    <row r="235">
      <c r="A235" s="355">
        <v>23.0</v>
      </c>
      <c r="B235" s="356" t="s">
        <v>4676</v>
      </c>
      <c r="C235" s="356">
        <v>2.42510247E8</v>
      </c>
      <c r="D235" s="356" t="s">
        <v>4677</v>
      </c>
      <c r="E235" s="356" t="s">
        <v>3099</v>
      </c>
      <c r="F235" s="362"/>
      <c r="G235" s="362">
        <v>7.0</v>
      </c>
      <c r="H235" s="362">
        <v>2.0</v>
      </c>
      <c r="I235" s="363"/>
    </row>
    <row r="236">
      <c r="A236" s="355">
        <v>24.0</v>
      </c>
      <c r="B236" s="356" t="s">
        <v>4678</v>
      </c>
      <c r="C236" s="356">
        <v>2.42510258E8</v>
      </c>
      <c r="D236" s="356" t="s">
        <v>4679</v>
      </c>
      <c r="E236" s="356" t="s">
        <v>3099</v>
      </c>
      <c r="F236" s="362"/>
      <c r="G236" s="362">
        <v>7.0</v>
      </c>
      <c r="H236" s="362">
        <v>2.0</v>
      </c>
      <c r="I236" s="363"/>
    </row>
    <row r="237">
      <c r="A237" s="355">
        <v>25.0</v>
      </c>
      <c r="B237" s="356" t="s">
        <v>4680</v>
      </c>
      <c r="C237" s="356">
        <v>2.42510282E8</v>
      </c>
      <c r="D237" s="356" t="s">
        <v>4681</v>
      </c>
      <c r="E237" s="356" t="s">
        <v>3099</v>
      </c>
      <c r="F237" s="362"/>
      <c r="G237" s="362">
        <v>7.0</v>
      </c>
      <c r="H237" s="362">
        <v>6.0</v>
      </c>
      <c r="I237" s="363"/>
    </row>
    <row r="238">
      <c r="A238" s="355">
        <v>26.0</v>
      </c>
      <c r="B238" s="356" t="s">
        <v>4682</v>
      </c>
      <c r="C238" s="356">
        <v>2.42510291E8</v>
      </c>
      <c r="D238" s="356" t="s">
        <v>4683</v>
      </c>
      <c r="E238" s="356" t="s">
        <v>3100</v>
      </c>
      <c r="F238" s="362"/>
      <c r="G238" s="362">
        <v>7.0</v>
      </c>
      <c r="H238" s="357">
        <v>2.0</v>
      </c>
      <c r="I238" s="358"/>
    </row>
    <row r="239">
      <c r="A239" s="355">
        <v>27.0</v>
      </c>
      <c r="B239" s="356" t="s">
        <v>4684</v>
      </c>
      <c r="C239" s="356">
        <v>2.42510297E8</v>
      </c>
      <c r="D239" s="356" t="s">
        <v>4685</v>
      </c>
      <c r="E239" s="356" t="s">
        <v>3100</v>
      </c>
      <c r="F239" s="362"/>
      <c r="G239" s="362">
        <v>7.0</v>
      </c>
      <c r="H239" s="357">
        <v>6.0</v>
      </c>
      <c r="I239" s="358"/>
    </row>
    <row r="240">
      <c r="A240" s="355">
        <v>28.0</v>
      </c>
      <c r="B240" s="356" t="s">
        <v>4686</v>
      </c>
      <c r="C240" s="356">
        <v>2.425103E8</v>
      </c>
      <c r="D240" s="356" t="s">
        <v>4687</v>
      </c>
      <c r="E240" s="356" t="s">
        <v>3100</v>
      </c>
      <c r="F240" s="362"/>
      <c r="G240" s="362">
        <v>7.0</v>
      </c>
      <c r="H240" s="357">
        <v>4.0</v>
      </c>
      <c r="I240" s="358"/>
    </row>
    <row r="241">
      <c r="A241" s="355">
        <v>29.0</v>
      </c>
      <c r="B241" s="356" t="s">
        <v>4688</v>
      </c>
      <c r="C241" s="356">
        <v>2.42510314E8</v>
      </c>
      <c r="D241" s="356" t="s">
        <v>4689</v>
      </c>
      <c r="E241" s="356" t="s">
        <v>3099</v>
      </c>
      <c r="F241" s="362"/>
      <c r="G241" s="362">
        <v>7.0</v>
      </c>
      <c r="H241" s="362">
        <v>2.0</v>
      </c>
      <c r="I241" s="363"/>
    </row>
    <row r="242">
      <c r="A242" s="355">
        <v>30.0</v>
      </c>
      <c r="B242" s="356" t="s">
        <v>4690</v>
      </c>
      <c r="C242" s="356">
        <v>2.4251033E8</v>
      </c>
      <c r="D242" s="356" t="s">
        <v>4691</v>
      </c>
      <c r="E242" s="356" t="s">
        <v>3099</v>
      </c>
      <c r="F242" s="362"/>
      <c r="G242" s="362">
        <v>7.0</v>
      </c>
      <c r="H242" s="362">
        <v>2.0</v>
      </c>
      <c r="I242" s="363"/>
    </row>
    <row r="243">
      <c r="A243" s="355">
        <v>31.0</v>
      </c>
      <c r="B243" s="356" t="s">
        <v>4692</v>
      </c>
      <c r="C243" s="356">
        <v>2.42510342E8</v>
      </c>
      <c r="D243" s="356" t="s">
        <v>4693</v>
      </c>
      <c r="E243" s="356" t="s">
        <v>3100</v>
      </c>
      <c r="F243" s="362"/>
      <c r="G243" s="362">
        <v>7.0</v>
      </c>
      <c r="H243" s="362">
        <v>3.0</v>
      </c>
      <c r="I243" s="363"/>
    </row>
    <row r="244">
      <c r="A244" s="355">
        <v>32.0</v>
      </c>
      <c r="B244" s="356" t="s">
        <v>4694</v>
      </c>
      <c r="C244" s="356">
        <v>2.42510347E8</v>
      </c>
      <c r="D244" s="356" t="s">
        <v>4695</v>
      </c>
      <c r="E244" s="356" t="s">
        <v>3099</v>
      </c>
      <c r="F244" s="362"/>
      <c r="G244" s="362">
        <v>7.0</v>
      </c>
      <c r="H244" s="362">
        <v>1.0</v>
      </c>
      <c r="I244" s="363"/>
    </row>
    <row r="245">
      <c r="A245" s="355">
        <v>33.0</v>
      </c>
      <c r="B245" s="356" t="s">
        <v>4696</v>
      </c>
      <c r="C245" s="356">
        <v>2.42510355E8</v>
      </c>
      <c r="D245" s="356" t="s">
        <v>4697</v>
      </c>
      <c r="E245" s="356" t="s">
        <v>3100</v>
      </c>
      <c r="F245" s="362"/>
      <c r="G245" s="362">
        <v>7.0</v>
      </c>
      <c r="H245" s="362">
        <v>4.0</v>
      </c>
      <c r="I245" s="363"/>
    </row>
    <row r="246">
      <c r="A246" s="355">
        <v>34.0</v>
      </c>
      <c r="B246" s="356" t="s">
        <v>4698</v>
      </c>
      <c r="C246" s="356">
        <v>2.42510365E8</v>
      </c>
      <c r="D246" s="356" t="s">
        <v>4699</v>
      </c>
      <c r="E246" s="356" t="s">
        <v>3100</v>
      </c>
      <c r="F246" s="362"/>
      <c r="G246" s="362">
        <v>7.0</v>
      </c>
      <c r="H246" s="362">
        <v>4.0</v>
      </c>
      <c r="I246" s="363"/>
    </row>
    <row r="247">
      <c r="A247" s="355">
        <v>35.0</v>
      </c>
      <c r="B247" s="356" t="s">
        <v>4700</v>
      </c>
      <c r="C247" s="356">
        <v>2.42510427E8</v>
      </c>
      <c r="D247" s="356" t="s">
        <v>4701</v>
      </c>
      <c r="E247" s="356" t="s">
        <v>3100</v>
      </c>
      <c r="F247" s="362"/>
      <c r="G247" s="362">
        <v>7.0</v>
      </c>
      <c r="H247" s="362">
        <v>3.0</v>
      </c>
      <c r="I247" s="363"/>
    </row>
    <row r="248">
      <c r="A248" s="355">
        <v>36.0</v>
      </c>
      <c r="B248" s="356" t="s">
        <v>4702</v>
      </c>
      <c r="C248" s="356">
        <v>2.4251043E8</v>
      </c>
      <c r="D248" s="356" t="s">
        <v>4703</v>
      </c>
      <c r="E248" s="356" t="s">
        <v>3100</v>
      </c>
      <c r="F248" s="362"/>
      <c r="G248" s="362">
        <v>7.0</v>
      </c>
      <c r="H248" s="362">
        <v>3.0</v>
      </c>
      <c r="I248" s="363"/>
    </row>
    <row r="249">
      <c r="A249" s="355">
        <v>37.0</v>
      </c>
      <c r="B249" s="364"/>
      <c r="C249" s="364"/>
      <c r="D249" s="364"/>
      <c r="E249" s="364"/>
      <c r="F249" s="364"/>
      <c r="G249" s="364"/>
      <c r="H249" s="364"/>
      <c r="I249" s="365"/>
    </row>
    <row r="250">
      <c r="A250" s="355">
        <v>38.0</v>
      </c>
      <c r="B250" s="364"/>
      <c r="C250" s="364"/>
      <c r="D250" s="364"/>
      <c r="E250" s="364"/>
      <c r="F250" s="364"/>
      <c r="G250" s="364"/>
      <c r="H250" s="364"/>
      <c r="I250" s="365"/>
    </row>
    <row r="251">
      <c r="A251" s="365"/>
      <c r="B251" s="366" t="s">
        <v>3101</v>
      </c>
      <c r="C251" s="365"/>
      <c r="D251" s="367">
        <f>COUNTIF(E213:E250,"L")</f>
        <v>15</v>
      </c>
      <c r="E251" s="365"/>
      <c r="F251" s="365"/>
      <c r="G251" s="365"/>
      <c r="H251" s="365"/>
      <c r="I251" s="365"/>
    </row>
    <row r="252">
      <c r="A252" s="365"/>
      <c r="B252" s="366" t="s">
        <v>3102</v>
      </c>
      <c r="C252" s="365"/>
      <c r="D252" s="367">
        <f>COUNTIF(E213:E250,"P")</f>
        <v>21</v>
      </c>
      <c r="E252" s="365"/>
      <c r="F252" s="365"/>
      <c r="G252" s="365"/>
      <c r="H252" s="365"/>
      <c r="I252" s="365"/>
    </row>
    <row r="253">
      <c r="A253" s="365"/>
      <c r="B253" s="366" t="s">
        <v>3104</v>
      </c>
      <c r="C253" s="365"/>
      <c r="D253" s="367">
        <f>SUM(D251:D252)</f>
        <v>36</v>
      </c>
      <c r="E253" s="365"/>
      <c r="F253" s="365"/>
      <c r="G253" s="365"/>
      <c r="H253" s="365"/>
      <c r="I253" s="365"/>
    </row>
    <row r="254">
      <c r="A254" s="365"/>
      <c r="B254" s="365"/>
      <c r="C254" s="365"/>
      <c r="D254" s="365"/>
      <c r="E254" s="365"/>
      <c r="F254" s="365"/>
      <c r="G254" s="365"/>
      <c r="H254" s="365"/>
      <c r="I254" s="365"/>
    </row>
    <row r="255">
      <c r="A255" s="365"/>
      <c r="B255" s="365"/>
      <c r="C255" s="365"/>
      <c r="D255" s="365"/>
      <c r="E255" s="365"/>
      <c r="F255" s="365"/>
      <c r="G255" s="365"/>
      <c r="H255" s="365"/>
      <c r="I255" s="365"/>
    </row>
    <row r="256">
      <c r="A256" s="368" t="s">
        <v>4387</v>
      </c>
      <c r="B256" s="368"/>
      <c r="C256" s="368"/>
      <c r="D256" s="368"/>
      <c r="E256" s="368"/>
      <c r="F256" s="368"/>
      <c r="G256" s="368"/>
      <c r="H256" s="368"/>
      <c r="I256" s="187"/>
    </row>
    <row r="257">
      <c r="A257" s="369" t="s">
        <v>4388</v>
      </c>
      <c r="B257" s="370"/>
      <c r="C257" s="370"/>
      <c r="D257" s="370"/>
      <c r="E257" s="370"/>
      <c r="F257" s="370"/>
      <c r="G257" s="370"/>
      <c r="H257" s="371"/>
      <c r="I257" s="332"/>
    </row>
    <row r="258">
      <c r="A258" s="329" t="s">
        <v>4310</v>
      </c>
      <c r="B258" s="330"/>
      <c r="C258" s="330"/>
      <c r="D258" s="330"/>
      <c r="E258" s="330"/>
      <c r="F258" s="330"/>
      <c r="G258" s="330"/>
      <c r="H258" s="331"/>
      <c r="I258" s="332"/>
    </row>
    <row r="259">
      <c r="A259" s="334" t="s">
        <v>4704</v>
      </c>
      <c r="B259" s="335"/>
      <c r="C259" s="335"/>
      <c r="D259" s="335"/>
      <c r="E259" s="335"/>
      <c r="F259" s="335"/>
      <c r="G259" s="335"/>
      <c r="H259" s="336"/>
      <c r="I259" s="337"/>
    </row>
    <row r="260">
      <c r="A260" s="338" t="s">
        <v>4705</v>
      </c>
      <c r="B260" s="339"/>
      <c r="C260" s="339"/>
      <c r="D260" s="339"/>
      <c r="E260" s="339"/>
      <c r="F260" s="339"/>
      <c r="G260" s="340"/>
      <c r="H260" s="340"/>
      <c r="I260" s="341"/>
    </row>
    <row r="261">
      <c r="A261" s="342" t="s">
        <v>1735</v>
      </c>
      <c r="B261" s="342" t="s">
        <v>1736</v>
      </c>
      <c r="C261" s="342" t="s">
        <v>1737</v>
      </c>
      <c r="D261" s="342" t="s">
        <v>1738</v>
      </c>
      <c r="E261" s="342" t="s">
        <v>1815</v>
      </c>
      <c r="F261" s="343"/>
      <c r="G261" s="343" t="s">
        <v>3097</v>
      </c>
      <c r="H261" s="344"/>
      <c r="I261" s="345"/>
    </row>
    <row r="262">
      <c r="A262" s="346"/>
      <c r="B262" s="346"/>
      <c r="C262" s="346"/>
      <c r="D262" s="346"/>
      <c r="E262" s="346"/>
      <c r="F262" s="413" t="s">
        <v>2483</v>
      </c>
      <c r="G262" s="348" t="s">
        <v>3094</v>
      </c>
      <c r="H262" s="349" t="s">
        <v>4309</v>
      </c>
      <c r="I262" s="350"/>
    </row>
    <row r="263">
      <c r="A263" s="351"/>
      <c r="B263" s="351"/>
      <c r="C263" s="351"/>
      <c r="D263" s="351"/>
      <c r="E263" s="351"/>
      <c r="F263" s="415"/>
      <c r="G263" s="353"/>
      <c r="H263" s="354"/>
      <c r="I263" s="350"/>
    </row>
    <row r="264">
      <c r="A264" s="355">
        <v>1.0</v>
      </c>
      <c r="B264" s="356" t="s">
        <v>4706</v>
      </c>
      <c r="C264" s="356">
        <v>2.42510003E8</v>
      </c>
      <c r="D264" s="356" t="s">
        <v>4707</v>
      </c>
      <c r="E264" s="356" t="s">
        <v>3099</v>
      </c>
      <c r="F264" s="357" t="s">
        <v>4708</v>
      </c>
      <c r="G264" s="357">
        <v>6.0</v>
      </c>
      <c r="H264" s="357">
        <v>0.0</v>
      </c>
      <c r="I264" s="358"/>
    </row>
    <row r="265">
      <c r="A265" s="355">
        <v>2.0</v>
      </c>
      <c r="B265" s="356" t="s">
        <v>4709</v>
      </c>
      <c r="C265" s="356">
        <v>2.42510009E8</v>
      </c>
      <c r="D265" s="356" t="s">
        <v>4710</v>
      </c>
      <c r="E265" s="359" t="s">
        <v>3100</v>
      </c>
      <c r="F265" s="357" t="s">
        <v>4711</v>
      </c>
      <c r="G265" s="357">
        <v>5.0</v>
      </c>
      <c r="H265" s="357">
        <v>0.0</v>
      </c>
      <c r="I265" s="358"/>
    </row>
    <row r="266">
      <c r="A266" s="355">
        <v>3.0</v>
      </c>
      <c r="B266" s="356" t="s">
        <v>4712</v>
      </c>
      <c r="C266" s="356">
        <v>2.42510019E8</v>
      </c>
      <c r="D266" s="356" t="s">
        <v>4713</v>
      </c>
      <c r="E266" s="356" t="s">
        <v>3099</v>
      </c>
      <c r="F266" s="357"/>
      <c r="G266" s="357">
        <v>6.0</v>
      </c>
      <c r="H266" s="357">
        <v>6.0</v>
      </c>
      <c r="I266" s="358"/>
    </row>
    <row r="267">
      <c r="A267" s="355">
        <v>4.0</v>
      </c>
      <c r="B267" s="356" t="s">
        <v>4714</v>
      </c>
      <c r="C267" s="356">
        <v>2.42510041E8</v>
      </c>
      <c r="D267" s="356" t="s">
        <v>4715</v>
      </c>
      <c r="E267" s="356" t="s">
        <v>3099</v>
      </c>
      <c r="F267" s="357"/>
      <c r="G267" s="357">
        <v>6.0</v>
      </c>
      <c r="H267" s="357">
        <v>1.0</v>
      </c>
      <c r="I267" s="358"/>
    </row>
    <row r="268">
      <c r="A268" s="355">
        <v>5.0</v>
      </c>
      <c r="B268" s="356" t="s">
        <v>4716</v>
      </c>
      <c r="C268" s="356">
        <v>2.42510047E8</v>
      </c>
      <c r="D268" s="356" t="s">
        <v>4717</v>
      </c>
      <c r="E268" s="356" t="s">
        <v>3099</v>
      </c>
      <c r="F268" s="357"/>
      <c r="G268" s="357">
        <v>6.0</v>
      </c>
      <c r="H268" s="357">
        <v>2.0</v>
      </c>
      <c r="I268" s="358"/>
    </row>
    <row r="269">
      <c r="A269" s="355">
        <v>6.0</v>
      </c>
      <c r="B269" s="356" t="s">
        <v>4718</v>
      </c>
      <c r="C269" s="356">
        <v>2.42510093E8</v>
      </c>
      <c r="D269" s="356" t="s">
        <v>4719</v>
      </c>
      <c r="E269" s="359" t="s">
        <v>3100</v>
      </c>
      <c r="F269" s="357" t="s">
        <v>4711</v>
      </c>
      <c r="G269" s="357">
        <v>5.0</v>
      </c>
      <c r="H269" s="357">
        <v>4.0</v>
      </c>
      <c r="I269" s="358"/>
    </row>
    <row r="270">
      <c r="A270" s="355">
        <v>7.0</v>
      </c>
      <c r="B270" s="356" t="s">
        <v>4720</v>
      </c>
      <c r="C270" s="356">
        <v>2.42510106E8</v>
      </c>
      <c r="D270" s="356" t="s">
        <v>4721</v>
      </c>
      <c r="E270" s="359" t="s">
        <v>4722</v>
      </c>
      <c r="F270" s="357" t="s">
        <v>4565</v>
      </c>
      <c r="G270" s="357">
        <v>13.0</v>
      </c>
      <c r="H270" s="357">
        <v>9.0</v>
      </c>
      <c r="I270" s="358"/>
      <c r="J270" s="417" t="s">
        <v>4572</v>
      </c>
    </row>
    <row r="271">
      <c r="A271" s="355">
        <v>8.0</v>
      </c>
      <c r="B271" s="356" t="s">
        <v>4723</v>
      </c>
      <c r="C271" s="356">
        <v>2.4251011E8</v>
      </c>
      <c r="D271" s="356" t="s">
        <v>4724</v>
      </c>
      <c r="E271" s="359" t="s">
        <v>4722</v>
      </c>
      <c r="F271" s="357" t="s">
        <v>4711</v>
      </c>
      <c r="G271" s="357">
        <v>5.0</v>
      </c>
      <c r="H271" s="357">
        <v>0.0</v>
      </c>
      <c r="I271" s="358"/>
    </row>
    <row r="272">
      <c r="A272" s="355">
        <v>9.0</v>
      </c>
      <c r="B272" s="356" t="s">
        <v>4725</v>
      </c>
      <c r="C272" s="356">
        <v>2.42510115E8</v>
      </c>
      <c r="D272" s="356" t="s">
        <v>4726</v>
      </c>
      <c r="E272" s="359" t="s">
        <v>4722</v>
      </c>
      <c r="F272" s="357" t="s">
        <v>4711</v>
      </c>
      <c r="G272" s="357">
        <v>5.0</v>
      </c>
      <c r="H272" s="357">
        <v>1.0</v>
      </c>
      <c r="I272" s="358"/>
    </row>
    <row r="273">
      <c r="A273" s="355">
        <v>10.0</v>
      </c>
      <c r="B273" s="356" t="s">
        <v>4727</v>
      </c>
      <c r="C273" s="356">
        <v>2.42510144E8</v>
      </c>
      <c r="D273" s="356" t="s">
        <v>4728</v>
      </c>
      <c r="E273" s="359" t="s">
        <v>4722</v>
      </c>
      <c r="F273" s="357" t="s">
        <v>4711</v>
      </c>
      <c r="G273" s="357">
        <v>5.0</v>
      </c>
      <c r="H273" s="357">
        <v>0.0</v>
      </c>
      <c r="I273" s="358"/>
    </row>
    <row r="274">
      <c r="A274" s="355">
        <v>11.0</v>
      </c>
      <c r="B274" s="356" t="s">
        <v>4729</v>
      </c>
      <c r="C274" s="356">
        <v>2.42510161E8</v>
      </c>
      <c r="D274" s="356" t="s">
        <v>4730</v>
      </c>
      <c r="E274" s="359" t="s">
        <v>4722</v>
      </c>
      <c r="F274" s="357" t="s">
        <v>4711</v>
      </c>
      <c r="G274" s="357">
        <v>5.0</v>
      </c>
      <c r="H274" s="357">
        <v>3.0</v>
      </c>
      <c r="I274" s="358"/>
    </row>
    <row r="275">
      <c r="A275" s="355">
        <v>12.0</v>
      </c>
      <c r="B275" s="356" t="s">
        <v>4731</v>
      </c>
      <c r="C275" s="356">
        <v>2.42510162E8</v>
      </c>
      <c r="D275" s="356" t="s">
        <v>4732</v>
      </c>
      <c r="E275" s="356" t="s">
        <v>3099</v>
      </c>
      <c r="F275" s="357"/>
      <c r="G275" s="357">
        <v>6.0</v>
      </c>
      <c r="H275" s="357">
        <v>4.0</v>
      </c>
      <c r="I275" s="358"/>
    </row>
    <row r="276">
      <c r="A276" s="355">
        <v>13.0</v>
      </c>
      <c r="B276" s="356" t="s">
        <v>4733</v>
      </c>
      <c r="C276" s="356">
        <v>2.42510166E8</v>
      </c>
      <c r="D276" s="356" t="s">
        <v>4734</v>
      </c>
      <c r="E276" s="359" t="s">
        <v>4722</v>
      </c>
      <c r="F276" s="357" t="s">
        <v>4711</v>
      </c>
      <c r="G276" s="357">
        <v>5.0</v>
      </c>
      <c r="H276" s="357">
        <v>3.0</v>
      </c>
      <c r="I276" s="358"/>
    </row>
    <row r="277">
      <c r="A277" s="355">
        <v>14.0</v>
      </c>
      <c r="B277" s="356" t="s">
        <v>4735</v>
      </c>
      <c r="C277" s="356">
        <v>2.42510202E8</v>
      </c>
      <c r="D277" s="356" t="s">
        <v>4736</v>
      </c>
      <c r="E277" s="359" t="s">
        <v>4722</v>
      </c>
      <c r="F277" s="357" t="s">
        <v>4711</v>
      </c>
      <c r="G277" s="357">
        <v>5.0</v>
      </c>
      <c r="H277" s="357">
        <v>4.0</v>
      </c>
      <c r="I277" s="358"/>
    </row>
    <row r="278">
      <c r="A278" s="355">
        <v>15.0</v>
      </c>
      <c r="B278" s="356" t="s">
        <v>4737</v>
      </c>
      <c r="C278" s="356">
        <v>2.42510203E8</v>
      </c>
      <c r="D278" s="356" t="s">
        <v>4738</v>
      </c>
      <c r="E278" s="359" t="s">
        <v>4722</v>
      </c>
      <c r="F278" s="357" t="s">
        <v>4711</v>
      </c>
      <c r="G278" s="357">
        <v>5.0</v>
      </c>
      <c r="H278" s="357">
        <v>3.0</v>
      </c>
      <c r="I278" s="358"/>
    </row>
    <row r="279">
      <c r="A279" s="355">
        <v>16.0</v>
      </c>
      <c r="B279" s="356" t="s">
        <v>4739</v>
      </c>
      <c r="C279" s="356">
        <v>2.42510204E8</v>
      </c>
      <c r="D279" s="356" t="s">
        <v>4740</v>
      </c>
      <c r="E279" s="359" t="s">
        <v>4722</v>
      </c>
      <c r="F279" s="357" t="s">
        <v>4711</v>
      </c>
      <c r="G279" s="357">
        <v>5.0</v>
      </c>
      <c r="H279" s="357">
        <v>4.0</v>
      </c>
      <c r="I279" s="358"/>
    </row>
    <row r="280">
      <c r="A280" s="355">
        <v>17.0</v>
      </c>
      <c r="B280" s="356" t="s">
        <v>4741</v>
      </c>
      <c r="C280" s="356">
        <v>2.42510211E8</v>
      </c>
      <c r="D280" s="356" t="s">
        <v>4742</v>
      </c>
      <c r="E280" s="356" t="s">
        <v>3099</v>
      </c>
      <c r="F280" s="357"/>
      <c r="G280" s="357">
        <v>6.0</v>
      </c>
      <c r="H280" s="357">
        <v>6.0</v>
      </c>
      <c r="I280" s="358"/>
    </row>
    <row r="281">
      <c r="A281" s="355">
        <v>18.0</v>
      </c>
      <c r="B281" s="356" t="s">
        <v>4743</v>
      </c>
      <c r="C281" s="356">
        <v>2.42510214E8</v>
      </c>
      <c r="D281" s="356" t="s">
        <v>4744</v>
      </c>
      <c r="E281" s="356" t="s">
        <v>3099</v>
      </c>
      <c r="F281" s="357"/>
      <c r="G281" s="357">
        <v>6.0</v>
      </c>
      <c r="H281" s="357">
        <v>2.0</v>
      </c>
      <c r="I281" s="358"/>
    </row>
    <row r="282">
      <c r="A282" s="355">
        <v>19.0</v>
      </c>
      <c r="B282" s="356" t="s">
        <v>4745</v>
      </c>
      <c r="C282" s="356">
        <v>2.42510244E8</v>
      </c>
      <c r="D282" s="356" t="s">
        <v>4746</v>
      </c>
      <c r="E282" s="356" t="s">
        <v>3099</v>
      </c>
      <c r="F282" s="357"/>
      <c r="G282" s="357">
        <v>6.0</v>
      </c>
      <c r="H282" s="357">
        <v>3.0</v>
      </c>
      <c r="I282" s="358"/>
    </row>
    <row r="283">
      <c r="A283" s="355">
        <v>20.0</v>
      </c>
      <c r="B283" s="356" t="s">
        <v>4747</v>
      </c>
      <c r="C283" s="356">
        <v>2.42510253E8</v>
      </c>
      <c r="D283" s="356" t="s">
        <v>4748</v>
      </c>
      <c r="E283" s="356" t="s">
        <v>3099</v>
      </c>
      <c r="F283" s="357"/>
      <c r="G283" s="357">
        <v>6.0</v>
      </c>
      <c r="H283" s="357">
        <v>6.0</v>
      </c>
      <c r="I283" s="358"/>
    </row>
    <row r="284">
      <c r="A284" s="355">
        <v>21.0</v>
      </c>
      <c r="B284" s="356" t="s">
        <v>4749</v>
      </c>
      <c r="C284" s="356">
        <v>2.42510271E8</v>
      </c>
      <c r="D284" s="356" t="s">
        <v>4750</v>
      </c>
      <c r="E284" s="356" t="s">
        <v>3099</v>
      </c>
      <c r="F284" s="357"/>
      <c r="G284" s="357">
        <v>6.0</v>
      </c>
      <c r="H284" s="357">
        <v>2.0</v>
      </c>
      <c r="I284" s="358"/>
    </row>
    <row r="285">
      <c r="A285" s="355">
        <v>22.0</v>
      </c>
      <c r="B285" s="356" t="s">
        <v>4751</v>
      </c>
      <c r="C285" s="356">
        <v>2.42510283E8</v>
      </c>
      <c r="D285" s="356" t="s">
        <v>4752</v>
      </c>
      <c r="E285" s="359" t="s">
        <v>4722</v>
      </c>
      <c r="F285" s="357" t="s">
        <v>4711</v>
      </c>
      <c r="G285" s="357">
        <v>5.0</v>
      </c>
      <c r="H285" s="357">
        <v>0.0</v>
      </c>
      <c r="I285" s="358"/>
    </row>
    <row r="286">
      <c r="A286" s="355">
        <v>23.0</v>
      </c>
      <c r="B286" s="356" t="s">
        <v>4753</v>
      </c>
      <c r="C286" s="356">
        <v>2.42510284E8</v>
      </c>
      <c r="D286" s="356" t="s">
        <v>4754</v>
      </c>
      <c r="E286" s="359" t="s">
        <v>4722</v>
      </c>
      <c r="F286" s="357" t="s">
        <v>4711</v>
      </c>
      <c r="G286" s="357">
        <v>5.0</v>
      </c>
      <c r="H286" s="357">
        <v>4.0</v>
      </c>
      <c r="I286" s="358"/>
    </row>
    <row r="287">
      <c r="A287" s="355">
        <v>24.0</v>
      </c>
      <c r="B287" s="356" t="s">
        <v>4755</v>
      </c>
      <c r="C287" s="356">
        <v>2.42510286E8</v>
      </c>
      <c r="D287" s="356" t="s">
        <v>4756</v>
      </c>
      <c r="E287" s="359" t="s">
        <v>4722</v>
      </c>
      <c r="F287" s="357" t="s">
        <v>4711</v>
      </c>
      <c r="G287" s="357">
        <v>5.0</v>
      </c>
      <c r="H287" s="357">
        <v>1.0</v>
      </c>
      <c r="I287" s="358"/>
    </row>
    <row r="288">
      <c r="A288" s="355">
        <v>25.0</v>
      </c>
      <c r="B288" s="356" t="s">
        <v>4757</v>
      </c>
      <c r="C288" s="356">
        <v>2.42510295E8</v>
      </c>
      <c r="D288" s="356" t="s">
        <v>4758</v>
      </c>
      <c r="E288" s="359" t="s">
        <v>4722</v>
      </c>
      <c r="F288" s="357" t="s">
        <v>4711</v>
      </c>
      <c r="G288" s="357">
        <v>5.0</v>
      </c>
      <c r="H288" s="357">
        <v>4.0</v>
      </c>
      <c r="I288" s="358"/>
    </row>
    <row r="289">
      <c r="A289" s="355">
        <v>26.0</v>
      </c>
      <c r="B289" s="356" t="s">
        <v>4759</v>
      </c>
      <c r="C289" s="356">
        <v>2.42510306E8</v>
      </c>
      <c r="D289" s="356" t="s">
        <v>4760</v>
      </c>
      <c r="E289" s="359" t="s">
        <v>4722</v>
      </c>
      <c r="F289" s="357" t="s">
        <v>4711</v>
      </c>
      <c r="G289" s="357">
        <v>5.0</v>
      </c>
      <c r="H289" s="357">
        <v>1.0</v>
      </c>
      <c r="I289" s="358"/>
    </row>
    <row r="290">
      <c r="A290" s="355">
        <v>27.0</v>
      </c>
      <c r="B290" s="356" t="s">
        <v>4761</v>
      </c>
      <c r="C290" s="356">
        <v>2.42510333E8</v>
      </c>
      <c r="D290" s="356" t="s">
        <v>4762</v>
      </c>
      <c r="E290" s="356" t="s">
        <v>3099</v>
      </c>
      <c r="F290" s="357"/>
      <c r="G290" s="357">
        <v>6.0</v>
      </c>
      <c r="H290" s="357">
        <v>6.0</v>
      </c>
      <c r="I290" s="358"/>
    </row>
    <row r="291">
      <c r="A291" s="355">
        <v>28.0</v>
      </c>
      <c r="B291" s="356" t="s">
        <v>4763</v>
      </c>
      <c r="C291" s="356">
        <v>2.42510335E8</v>
      </c>
      <c r="D291" s="356" t="s">
        <v>4764</v>
      </c>
      <c r="E291" s="356" t="s">
        <v>3099</v>
      </c>
      <c r="F291" s="357" t="s">
        <v>1187</v>
      </c>
      <c r="G291" s="357" t="s">
        <v>1187</v>
      </c>
      <c r="H291" s="357" t="s">
        <v>1187</v>
      </c>
      <c r="I291" s="358"/>
    </row>
    <row r="292">
      <c r="A292" s="355">
        <v>29.0</v>
      </c>
      <c r="B292" s="356" t="s">
        <v>4765</v>
      </c>
      <c r="C292" s="356">
        <v>2.42510346E8</v>
      </c>
      <c r="D292" s="356" t="s">
        <v>4766</v>
      </c>
      <c r="E292" s="359" t="s">
        <v>4722</v>
      </c>
      <c r="F292" s="357" t="s">
        <v>4711</v>
      </c>
      <c r="G292" s="357">
        <v>5.0</v>
      </c>
      <c r="H292" s="357">
        <v>2.0</v>
      </c>
      <c r="I292" s="358"/>
    </row>
    <row r="293">
      <c r="A293" s="355">
        <v>30.0</v>
      </c>
      <c r="B293" s="356" t="s">
        <v>4767</v>
      </c>
      <c r="C293" s="356">
        <v>2.42510353E8</v>
      </c>
      <c r="D293" s="356" t="s">
        <v>4768</v>
      </c>
      <c r="E293" s="356" t="s">
        <v>3099</v>
      </c>
      <c r="F293" s="362"/>
      <c r="G293" s="362">
        <v>6.0</v>
      </c>
      <c r="H293" s="362">
        <v>2.0</v>
      </c>
      <c r="I293" s="363"/>
    </row>
    <row r="294">
      <c r="A294" s="355">
        <v>31.0</v>
      </c>
      <c r="B294" s="356" t="s">
        <v>4769</v>
      </c>
      <c r="C294" s="356">
        <v>2.42510368E8</v>
      </c>
      <c r="D294" s="356" t="s">
        <v>4770</v>
      </c>
      <c r="E294" s="359" t="s">
        <v>4722</v>
      </c>
      <c r="F294" s="362" t="s">
        <v>4711</v>
      </c>
      <c r="G294" s="362">
        <v>5.0</v>
      </c>
      <c r="H294" s="362">
        <v>5.0</v>
      </c>
      <c r="I294" s="363"/>
    </row>
    <row r="295">
      <c r="A295" s="355">
        <v>32.0</v>
      </c>
      <c r="B295" s="356" t="s">
        <v>4771</v>
      </c>
      <c r="C295" s="356">
        <v>2.4251037E8</v>
      </c>
      <c r="D295" s="356" t="s">
        <v>4772</v>
      </c>
      <c r="E295" s="356" t="s">
        <v>3099</v>
      </c>
      <c r="F295" s="362" t="s">
        <v>1187</v>
      </c>
      <c r="G295" s="362" t="s">
        <v>1187</v>
      </c>
      <c r="H295" s="362" t="s">
        <v>1187</v>
      </c>
      <c r="I295" s="363"/>
    </row>
    <row r="296">
      <c r="A296" s="355">
        <v>33.0</v>
      </c>
      <c r="B296" s="356" t="s">
        <v>4773</v>
      </c>
      <c r="C296" s="356">
        <v>2.42510383E8</v>
      </c>
      <c r="D296" s="356" t="s">
        <v>4774</v>
      </c>
      <c r="E296" s="359" t="s">
        <v>4722</v>
      </c>
      <c r="F296" s="362" t="s">
        <v>4711</v>
      </c>
      <c r="G296" s="362">
        <v>5.0</v>
      </c>
      <c r="H296" s="362">
        <v>5.0</v>
      </c>
      <c r="I296" s="363"/>
    </row>
    <row r="297">
      <c r="A297" s="355">
        <v>34.0</v>
      </c>
      <c r="B297" s="356" t="s">
        <v>4775</v>
      </c>
      <c r="C297" s="356">
        <v>2.425104E8</v>
      </c>
      <c r="D297" s="356" t="s">
        <v>4776</v>
      </c>
      <c r="E297" s="359" t="s">
        <v>4722</v>
      </c>
      <c r="F297" s="362" t="s">
        <v>4711</v>
      </c>
      <c r="G297" s="362">
        <v>5.0</v>
      </c>
      <c r="H297" s="362">
        <v>1.0</v>
      </c>
      <c r="I297" s="363"/>
    </row>
    <row r="298">
      <c r="A298" s="355">
        <v>35.0</v>
      </c>
      <c r="B298" s="356" t="s">
        <v>4777</v>
      </c>
      <c r="C298" s="356">
        <v>2.42510422E8</v>
      </c>
      <c r="D298" s="356" t="s">
        <v>4778</v>
      </c>
      <c r="E298" s="359" t="s">
        <v>4722</v>
      </c>
      <c r="F298" s="362" t="s">
        <v>4711</v>
      </c>
      <c r="G298" s="362">
        <v>5.0</v>
      </c>
      <c r="H298" s="362">
        <v>5.0</v>
      </c>
      <c r="I298" s="363"/>
    </row>
    <row r="299">
      <c r="A299" s="355">
        <v>36.0</v>
      </c>
      <c r="B299" s="356" t="s">
        <v>4779</v>
      </c>
      <c r="C299" s="356">
        <v>2.42510431E8</v>
      </c>
      <c r="D299" s="356" t="s">
        <v>4780</v>
      </c>
      <c r="E299" s="356" t="s">
        <v>3099</v>
      </c>
      <c r="F299" s="362"/>
      <c r="G299" s="362">
        <v>6.0</v>
      </c>
      <c r="H299" s="362">
        <v>6.0</v>
      </c>
      <c r="I299" s="363"/>
    </row>
    <row r="300">
      <c r="A300" s="355">
        <v>37.0</v>
      </c>
      <c r="B300" s="364"/>
      <c r="C300" s="364"/>
      <c r="D300" s="364"/>
      <c r="E300" s="364"/>
      <c r="F300" s="364"/>
      <c r="G300" s="364"/>
      <c r="H300" s="364"/>
      <c r="I300" s="365"/>
    </row>
    <row r="301">
      <c r="A301" s="355">
        <v>38.0</v>
      </c>
      <c r="B301" s="364"/>
      <c r="C301" s="364"/>
      <c r="D301" s="364"/>
      <c r="E301" s="364"/>
      <c r="F301" s="364"/>
      <c r="G301" s="364"/>
      <c r="H301" s="364"/>
      <c r="I301" s="365"/>
    </row>
    <row r="302">
      <c r="A302" s="365"/>
      <c r="B302" s="366" t="s">
        <v>3101</v>
      </c>
      <c r="C302" s="365"/>
      <c r="D302" s="367">
        <f>COUNTIF(E264:E301,"L")</f>
        <v>15</v>
      </c>
      <c r="E302" s="365"/>
      <c r="F302" s="365"/>
      <c r="G302" s="365"/>
      <c r="H302" s="365"/>
      <c r="I302" s="365"/>
    </row>
    <row r="303">
      <c r="A303" s="365"/>
      <c r="B303" s="366" t="s">
        <v>3102</v>
      </c>
      <c r="C303" s="365"/>
      <c r="D303" s="367">
        <f>COUNTIF(E264:E301,"P")</f>
        <v>21</v>
      </c>
      <c r="E303" s="365"/>
      <c r="F303" s="365"/>
      <c r="G303" s="365"/>
      <c r="H303" s="365"/>
      <c r="I303" s="365"/>
    </row>
    <row r="304">
      <c r="A304" s="365"/>
      <c r="B304" s="366" t="s">
        <v>3104</v>
      </c>
      <c r="C304" s="365"/>
      <c r="D304" s="367">
        <f>SUM(D302:D303)</f>
        <v>36</v>
      </c>
      <c r="E304" s="365"/>
      <c r="F304" s="365"/>
      <c r="G304" s="365"/>
      <c r="H304" s="365"/>
      <c r="I304" s="365"/>
    </row>
    <row r="305">
      <c r="A305" s="365"/>
      <c r="B305" s="365"/>
      <c r="C305" s="365"/>
      <c r="D305" s="365"/>
      <c r="E305" s="365"/>
      <c r="F305" s="365"/>
      <c r="G305" s="365"/>
      <c r="H305" s="365"/>
      <c r="I305" s="365"/>
    </row>
    <row r="306">
      <c r="A306" s="365"/>
      <c r="B306" s="365"/>
      <c r="C306" s="365"/>
      <c r="D306" s="365"/>
      <c r="E306" s="365"/>
      <c r="F306" s="365"/>
      <c r="G306" s="365"/>
      <c r="H306" s="365"/>
      <c r="I306" s="365"/>
    </row>
    <row r="307">
      <c r="A307" s="368" t="s">
        <v>4387</v>
      </c>
      <c r="B307" s="368"/>
      <c r="C307" s="368"/>
      <c r="D307" s="368"/>
      <c r="E307" s="368"/>
      <c r="F307" s="368"/>
      <c r="G307" s="368"/>
      <c r="H307" s="368"/>
      <c r="I307" s="187"/>
    </row>
    <row r="308">
      <c r="A308" s="369" t="s">
        <v>4388</v>
      </c>
      <c r="B308" s="370"/>
      <c r="C308" s="370"/>
      <c r="D308" s="370"/>
      <c r="E308" s="370"/>
      <c r="F308" s="370"/>
      <c r="G308" s="370"/>
      <c r="H308" s="371"/>
      <c r="I308" s="332"/>
    </row>
    <row r="309">
      <c r="A309" s="329" t="s">
        <v>4310</v>
      </c>
      <c r="B309" s="330"/>
      <c r="C309" s="330"/>
      <c r="D309" s="330"/>
      <c r="E309" s="330"/>
      <c r="F309" s="330"/>
      <c r="G309" s="330"/>
      <c r="H309" s="331"/>
      <c r="I309" s="332"/>
    </row>
    <row r="310">
      <c r="A310" s="334" t="s">
        <v>4781</v>
      </c>
      <c r="B310" s="335"/>
      <c r="C310" s="335"/>
      <c r="D310" s="335"/>
      <c r="E310" s="335"/>
      <c r="F310" s="335"/>
      <c r="G310" s="335"/>
      <c r="H310" s="336"/>
      <c r="I310" s="337"/>
    </row>
    <row r="311">
      <c r="A311" s="338" t="s">
        <v>4782</v>
      </c>
      <c r="B311" s="339"/>
      <c r="C311" s="339"/>
      <c r="D311" s="339"/>
      <c r="E311" s="339"/>
      <c r="F311" s="339"/>
      <c r="G311" s="340"/>
      <c r="H311" s="340"/>
      <c r="I311" s="341"/>
    </row>
    <row r="312">
      <c r="A312" s="342" t="s">
        <v>1735</v>
      </c>
      <c r="B312" s="342" t="s">
        <v>1736</v>
      </c>
      <c r="C312" s="342" t="s">
        <v>1737</v>
      </c>
      <c r="D312" s="342" t="s">
        <v>1738</v>
      </c>
      <c r="E312" s="342" t="s">
        <v>1815</v>
      </c>
      <c r="F312" s="343"/>
      <c r="G312" s="343" t="s">
        <v>3097</v>
      </c>
      <c r="H312" s="344"/>
      <c r="I312" s="345"/>
    </row>
    <row r="313">
      <c r="A313" s="346"/>
      <c r="B313" s="346"/>
      <c r="C313" s="346"/>
      <c r="D313" s="346"/>
      <c r="E313" s="346"/>
      <c r="F313" s="413" t="s">
        <v>2483</v>
      </c>
      <c r="G313" s="348" t="s">
        <v>3094</v>
      </c>
      <c r="H313" s="349" t="s">
        <v>4309</v>
      </c>
      <c r="I313" s="350"/>
    </row>
    <row r="314">
      <c r="A314" s="351"/>
      <c r="B314" s="351"/>
      <c r="C314" s="351"/>
      <c r="D314" s="351"/>
      <c r="E314" s="351"/>
      <c r="F314" s="415"/>
      <c r="G314" s="353"/>
      <c r="H314" s="354"/>
      <c r="I314" s="350"/>
    </row>
    <row r="315">
      <c r="A315" s="355">
        <v>1.0</v>
      </c>
      <c r="B315" s="356" t="s">
        <v>4783</v>
      </c>
      <c r="C315" s="356">
        <v>2.42510011E8</v>
      </c>
      <c r="D315" s="356" t="s">
        <v>4784</v>
      </c>
      <c r="E315" s="356" t="s">
        <v>3099</v>
      </c>
      <c r="F315" s="357" t="s">
        <v>4785</v>
      </c>
      <c r="G315" s="357">
        <v>6.0</v>
      </c>
      <c r="H315" s="357">
        <v>4.0</v>
      </c>
      <c r="I315" s="358"/>
    </row>
    <row r="316">
      <c r="A316" s="355">
        <v>2.0</v>
      </c>
      <c r="B316" s="356" t="s">
        <v>4786</v>
      </c>
      <c r="C316" s="356">
        <v>2.42510012E8</v>
      </c>
      <c r="D316" s="356" t="s">
        <v>4787</v>
      </c>
      <c r="E316" s="356" t="s">
        <v>3100</v>
      </c>
      <c r="F316" s="357" t="s">
        <v>4562</v>
      </c>
      <c r="G316" s="357">
        <v>5.0</v>
      </c>
      <c r="H316" s="357">
        <v>5.0</v>
      </c>
      <c r="I316" s="358"/>
    </row>
    <row r="317">
      <c r="A317" s="355">
        <v>3.0</v>
      </c>
      <c r="B317" s="356" t="s">
        <v>4788</v>
      </c>
      <c r="C317" s="356">
        <v>2.42510021E8</v>
      </c>
      <c r="D317" s="356" t="s">
        <v>4789</v>
      </c>
      <c r="E317" s="356" t="s">
        <v>3099</v>
      </c>
      <c r="F317" s="357"/>
      <c r="G317" s="357">
        <v>6.0</v>
      </c>
      <c r="H317" s="357">
        <v>5.0</v>
      </c>
      <c r="I317" s="358"/>
    </row>
    <row r="318">
      <c r="A318" s="355">
        <v>4.0</v>
      </c>
      <c r="B318" s="356" t="s">
        <v>4790</v>
      </c>
      <c r="C318" s="356">
        <v>2.42510028E8</v>
      </c>
      <c r="D318" s="356" t="s">
        <v>4791</v>
      </c>
      <c r="E318" s="356" t="s">
        <v>3100</v>
      </c>
      <c r="F318" s="357" t="s">
        <v>4562</v>
      </c>
      <c r="G318" s="357">
        <v>5.0</v>
      </c>
      <c r="H318" s="357">
        <v>5.0</v>
      </c>
      <c r="I318" s="358"/>
    </row>
    <row r="319">
      <c r="A319" s="355">
        <v>5.0</v>
      </c>
      <c r="B319" s="356" t="s">
        <v>4792</v>
      </c>
      <c r="C319" s="356">
        <v>2.42510037E8</v>
      </c>
      <c r="D319" s="356" t="s">
        <v>4793</v>
      </c>
      <c r="E319" s="356" t="s">
        <v>3100</v>
      </c>
      <c r="F319" s="357" t="s">
        <v>4562</v>
      </c>
      <c r="G319" s="357">
        <v>5.0</v>
      </c>
      <c r="H319" s="357">
        <v>5.0</v>
      </c>
      <c r="I319" s="358"/>
    </row>
    <row r="320">
      <c r="A320" s="355">
        <v>6.0</v>
      </c>
      <c r="B320" s="356" t="s">
        <v>4794</v>
      </c>
      <c r="C320" s="356">
        <v>2.42510045E8</v>
      </c>
      <c r="D320" s="356" t="s">
        <v>4795</v>
      </c>
      <c r="E320" s="356" t="s">
        <v>3100</v>
      </c>
      <c r="F320" s="357" t="s">
        <v>4562</v>
      </c>
      <c r="G320" s="357">
        <v>5.0</v>
      </c>
      <c r="H320" s="357">
        <v>5.0</v>
      </c>
      <c r="I320" s="358"/>
    </row>
    <row r="321">
      <c r="A321" s="355">
        <v>7.0</v>
      </c>
      <c r="B321" s="356" t="s">
        <v>4796</v>
      </c>
      <c r="C321" s="356">
        <v>2.42510065E8</v>
      </c>
      <c r="D321" s="356" t="s">
        <v>4797</v>
      </c>
      <c r="E321" s="356" t="s">
        <v>3100</v>
      </c>
      <c r="F321" s="357" t="s">
        <v>4562</v>
      </c>
      <c r="G321" s="357">
        <v>5.0</v>
      </c>
      <c r="H321" s="357">
        <v>5.0</v>
      </c>
      <c r="I321" s="358"/>
    </row>
    <row r="322">
      <c r="A322" s="355">
        <v>8.0</v>
      </c>
      <c r="B322" s="356" t="s">
        <v>4798</v>
      </c>
      <c r="C322" s="356">
        <v>2.4251007E8</v>
      </c>
      <c r="D322" s="356" t="s">
        <v>4799</v>
      </c>
      <c r="E322" s="356" t="s">
        <v>3100</v>
      </c>
      <c r="F322" s="357" t="s">
        <v>4562</v>
      </c>
      <c r="G322" s="357">
        <v>5.0</v>
      </c>
      <c r="H322" s="357">
        <v>5.0</v>
      </c>
      <c r="I322" s="358"/>
    </row>
    <row r="323">
      <c r="A323" s="355">
        <v>9.0</v>
      </c>
      <c r="B323" s="356" t="s">
        <v>4800</v>
      </c>
      <c r="C323" s="356">
        <v>2.42510071E8</v>
      </c>
      <c r="D323" s="356" t="s">
        <v>4801</v>
      </c>
      <c r="E323" s="356" t="s">
        <v>3100</v>
      </c>
      <c r="F323" s="357" t="s">
        <v>4562</v>
      </c>
      <c r="G323" s="357">
        <v>5.0</v>
      </c>
      <c r="H323" s="357">
        <v>5.0</v>
      </c>
      <c r="I323" s="358"/>
    </row>
    <row r="324">
      <c r="A324" s="355">
        <v>10.0</v>
      </c>
      <c r="B324" s="356" t="s">
        <v>4802</v>
      </c>
      <c r="C324" s="356">
        <v>2.42510099E8</v>
      </c>
      <c r="D324" s="356" t="s">
        <v>4803</v>
      </c>
      <c r="E324" s="356" t="s">
        <v>3100</v>
      </c>
      <c r="F324" s="357" t="s">
        <v>4562</v>
      </c>
      <c r="G324" s="357">
        <v>5.0</v>
      </c>
      <c r="H324" s="357">
        <v>5.0</v>
      </c>
      <c r="I324" s="358"/>
    </row>
    <row r="325">
      <c r="A325" s="355">
        <v>11.0</v>
      </c>
      <c r="B325" s="356" t="s">
        <v>4804</v>
      </c>
      <c r="C325" s="356">
        <v>2.42510116E8</v>
      </c>
      <c r="D325" s="356" t="s">
        <v>4805</v>
      </c>
      <c r="E325" s="356" t="s">
        <v>3100</v>
      </c>
      <c r="F325" s="357" t="s">
        <v>4562</v>
      </c>
      <c r="G325" s="357">
        <v>5.0</v>
      </c>
      <c r="H325" s="357">
        <v>5.0</v>
      </c>
      <c r="I325" s="358"/>
    </row>
    <row r="326">
      <c r="A326" s="355">
        <v>12.0</v>
      </c>
      <c r="B326" s="356" t="s">
        <v>4806</v>
      </c>
      <c r="C326" s="356">
        <v>2.4251012E8</v>
      </c>
      <c r="D326" s="356" t="s">
        <v>4807</v>
      </c>
      <c r="E326" s="356" t="s">
        <v>3100</v>
      </c>
      <c r="F326" s="357" t="s">
        <v>4562</v>
      </c>
      <c r="G326" s="357">
        <v>5.0</v>
      </c>
      <c r="H326" s="357">
        <v>5.0</v>
      </c>
      <c r="I326" s="358"/>
    </row>
    <row r="327">
      <c r="A327" s="355">
        <v>13.0</v>
      </c>
      <c r="B327" s="356" t="s">
        <v>4808</v>
      </c>
      <c r="C327" s="356">
        <v>2.42510138E8</v>
      </c>
      <c r="D327" s="356" t="s">
        <v>4809</v>
      </c>
      <c r="E327" s="356" t="s">
        <v>3099</v>
      </c>
      <c r="F327" s="357"/>
      <c r="G327" s="357">
        <v>6.0</v>
      </c>
      <c r="H327" s="357">
        <v>6.0</v>
      </c>
      <c r="I327" s="358"/>
    </row>
    <row r="328">
      <c r="A328" s="355">
        <v>14.0</v>
      </c>
      <c r="B328" s="356" t="s">
        <v>4810</v>
      </c>
      <c r="C328" s="356">
        <v>2.42510154E8</v>
      </c>
      <c r="D328" s="356" t="s">
        <v>4811</v>
      </c>
      <c r="E328" s="356" t="s">
        <v>3100</v>
      </c>
      <c r="F328" s="357" t="s">
        <v>4562</v>
      </c>
      <c r="G328" s="357">
        <v>5.0</v>
      </c>
      <c r="H328" s="357">
        <v>5.0</v>
      </c>
      <c r="I328" s="358"/>
    </row>
    <row r="329">
      <c r="A329" s="355">
        <v>15.0</v>
      </c>
      <c r="B329" s="356" t="s">
        <v>4812</v>
      </c>
      <c r="C329" s="356">
        <v>2.42510165E8</v>
      </c>
      <c r="D329" s="356" t="s">
        <v>4813</v>
      </c>
      <c r="E329" s="356" t="s">
        <v>3100</v>
      </c>
      <c r="F329" s="357" t="s">
        <v>4562</v>
      </c>
      <c r="G329" s="357">
        <v>5.0</v>
      </c>
      <c r="H329" s="357">
        <v>5.0</v>
      </c>
      <c r="I329" s="358"/>
    </row>
    <row r="330">
      <c r="A330" s="355">
        <v>16.0</v>
      </c>
      <c r="B330" s="356" t="s">
        <v>4814</v>
      </c>
      <c r="C330" s="356">
        <v>2.42510173E8</v>
      </c>
      <c r="D330" s="356" t="s">
        <v>4815</v>
      </c>
      <c r="E330" s="356" t="s">
        <v>3099</v>
      </c>
      <c r="F330" s="357"/>
      <c r="G330" s="357">
        <v>6.0</v>
      </c>
      <c r="H330" s="357">
        <v>6.0</v>
      </c>
      <c r="I330" s="358"/>
    </row>
    <row r="331">
      <c r="A331" s="355">
        <v>17.0</v>
      </c>
      <c r="B331" s="356" t="s">
        <v>4816</v>
      </c>
      <c r="C331" s="356">
        <v>2.42510197E8</v>
      </c>
      <c r="D331" s="356" t="s">
        <v>4817</v>
      </c>
      <c r="E331" s="356" t="s">
        <v>3100</v>
      </c>
      <c r="F331" s="357" t="s">
        <v>4562</v>
      </c>
      <c r="G331" s="357">
        <v>5.0</v>
      </c>
      <c r="H331" s="357">
        <v>5.0</v>
      </c>
      <c r="I331" s="358"/>
    </row>
    <row r="332">
      <c r="A332" s="355">
        <v>18.0</v>
      </c>
      <c r="B332" s="356" t="s">
        <v>4818</v>
      </c>
      <c r="C332" s="356">
        <v>2.42510215E8</v>
      </c>
      <c r="D332" s="356" t="s">
        <v>4819</v>
      </c>
      <c r="E332" s="356" t="s">
        <v>3099</v>
      </c>
      <c r="F332" s="357" t="s">
        <v>4562</v>
      </c>
      <c r="G332" s="357">
        <v>5.0</v>
      </c>
      <c r="H332" s="357">
        <v>5.0</v>
      </c>
      <c r="I332" s="358"/>
    </row>
    <row r="333">
      <c r="A333" s="355">
        <v>19.0</v>
      </c>
      <c r="B333" s="356" t="s">
        <v>4820</v>
      </c>
      <c r="C333" s="356">
        <v>2.42510237E8</v>
      </c>
      <c r="D333" s="356" t="s">
        <v>4821</v>
      </c>
      <c r="E333" s="356" t="s">
        <v>3099</v>
      </c>
      <c r="F333" s="357"/>
      <c r="G333" s="357">
        <v>6.0</v>
      </c>
      <c r="H333" s="357">
        <v>5.0</v>
      </c>
      <c r="I333" s="358"/>
    </row>
    <row r="334">
      <c r="A334" s="355">
        <v>20.0</v>
      </c>
      <c r="B334" s="356" t="s">
        <v>4822</v>
      </c>
      <c r="C334" s="356">
        <v>2.42510272E8</v>
      </c>
      <c r="D334" s="356" t="s">
        <v>4823</v>
      </c>
      <c r="E334" s="356" t="s">
        <v>3099</v>
      </c>
      <c r="F334" s="357"/>
      <c r="G334" s="357">
        <v>6.0</v>
      </c>
      <c r="H334" s="357">
        <v>5.0</v>
      </c>
      <c r="I334" s="358"/>
    </row>
    <row r="335">
      <c r="A335" s="418">
        <v>21.0</v>
      </c>
      <c r="B335" s="356" t="s">
        <v>4824</v>
      </c>
      <c r="C335" s="356">
        <v>2.4251029E8</v>
      </c>
      <c r="D335" s="356" t="s">
        <v>4825</v>
      </c>
      <c r="E335" s="356" t="s">
        <v>3099</v>
      </c>
      <c r="F335" s="357"/>
      <c r="G335" s="357">
        <v>6.0</v>
      </c>
      <c r="H335" s="357">
        <v>4.0</v>
      </c>
      <c r="I335" s="358"/>
    </row>
    <row r="336">
      <c r="A336" s="355">
        <v>22.0</v>
      </c>
      <c r="B336" s="356" t="s">
        <v>4826</v>
      </c>
      <c r="C336" s="356">
        <v>2.42510324E8</v>
      </c>
      <c r="D336" s="356" t="s">
        <v>4827</v>
      </c>
      <c r="E336" s="356" t="s">
        <v>3100</v>
      </c>
      <c r="F336" s="357" t="s">
        <v>4562</v>
      </c>
      <c r="G336" s="357">
        <v>5.0</v>
      </c>
      <c r="H336" s="357">
        <v>5.0</v>
      </c>
      <c r="I336" s="358"/>
    </row>
    <row r="337">
      <c r="A337" s="355">
        <v>23.0</v>
      </c>
      <c r="B337" s="356" t="s">
        <v>4828</v>
      </c>
      <c r="C337" s="356">
        <v>2.42510325E8</v>
      </c>
      <c r="D337" s="356" t="s">
        <v>4829</v>
      </c>
      <c r="E337" s="356" t="s">
        <v>3100</v>
      </c>
      <c r="F337" s="357" t="s">
        <v>4562</v>
      </c>
      <c r="G337" s="357">
        <v>5.0</v>
      </c>
      <c r="H337" s="357">
        <v>5.0</v>
      </c>
      <c r="I337" s="358"/>
    </row>
    <row r="338">
      <c r="A338" s="355">
        <v>24.0</v>
      </c>
      <c r="B338" s="356" t="s">
        <v>4830</v>
      </c>
      <c r="C338" s="356">
        <v>2.42510345E8</v>
      </c>
      <c r="D338" s="356" t="s">
        <v>4831</v>
      </c>
      <c r="E338" s="356" t="s">
        <v>3100</v>
      </c>
      <c r="F338" s="357" t="s">
        <v>4562</v>
      </c>
      <c r="G338" s="357">
        <v>5.0</v>
      </c>
      <c r="H338" s="357">
        <v>5.0</v>
      </c>
      <c r="I338" s="358"/>
    </row>
    <row r="339">
      <c r="A339" s="355">
        <v>25.0</v>
      </c>
      <c r="B339" s="356" t="s">
        <v>4832</v>
      </c>
      <c r="C339" s="356">
        <v>2.42510356E8</v>
      </c>
      <c r="D339" s="356" t="s">
        <v>4833</v>
      </c>
      <c r="E339" s="356" t="s">
        <v>3099</v>
      </c>
      <c r="F339" s="357"/>
      <c r="G339" s="357">
        <v>6.0</v>
      </c>
      <c r="H339" s="357">
        <v>4.0</v>
      </c>
      <c r="I339" s="358"/>
    </row>
    <row r="340">
      <c r="A340" s="355">
        <v>26.0</v>
      </c>
      <c r="B340" s="356" t="s">
        <v>4834</v>
      </c>
      <c r="C340" s="356">
        <v>2.4251036E8</v>
      </c>
      <c r="D340" s="356" t="s">
        <v>4835</v>
      </c>
      <c r="E340" s="356" t="s">
        <v>3100</v>
      </c>
      <c r="F340" s="357" t="s">
        <v>4565</v>
      </c>
      <c r="G340" s="357">
        <v>13.0</v>
      </c>
      <c r="H340" s="357">
        <v>6.0</v>
      </c>
      <c r="I340" s="358"/>
      <c r="J340" s="417" t="s">
        <v>4572</v>
      </c>
    </row>
    <row r="341">
      <c r="A341" s="355">
        <v>27.0</v>
      </c>
      <c r="B341" s="356" t="s">
        <v>4836</v>
      </c>
      <c r="C341" s="356">
        <v>2.42510371E8</v>
      </c>
      <c r="D341" s="356" t="s">
        <v>4837</v>
      </c>
      <c r="E341" s="356" t="s">
        <v>3099</v>
      </c>
      <c r="F341" s="357"/>
      <c r="G341" s="357"/>
      <c r="H341" s="357"/>
      <c r="I341" s="358"/>
    </row>
    <row r="342">
      <c r="A342" s="355">
        <v>28.0</v>
      </c>
      <c r="B342" s="356" t="s">
        <v>4838</v>
      </c>
      <c r="C342" s="356">
        <v>2.42510372E8</v>
      </c>
      <c r="D342" s="356" t="s">
        <v>4839</v>
      </c>
      <c r="E342" s="356" t="s">
        <v>3100</v>
      </c>
      <c r="F342" s="357" t="s">
        <v>4565</v>
      </c>
      <c r="G342" s="357">
        <v>13.0</v>
      </c>
      <c r="H342" s="357">
        <v>4.0</v>
      </c>
      <c r="I342" s="358"/>
      <c r="J342" s="417" t="s">
        <v>2508</v>
      </c>
    </row>
    <row r="343">
      <c r="A343" s="355">
        <v>29.0</v>
      </c>
      <c r="B343" s="356" t="s">
        <v>4840</v>
      </c>
      <c r="C343" s="356">
        <v>2.42510393E8</v>
      </c>
      <c r="D343" s="356" t="s">
        <v>4841</v>
      </c>
      <c r="E343" s="356" t="s">
        <v>3100</v>
      </c>
      <c r="F343" s="357" t="s">
        <v>4562</v>
      </c>
      <c r="G343" s="357">
        <v>5.0</v>
      </c>
      <c r="H343" s="357">
        <v>5.0</v>
      </c>
      <c r="I343" s="358"/>
    </row>
    <row r="344">
      <c r="A344" s="355">
        <v>30.0</v>
      </c>
      <c r="B344" s="356" t="s">
        <v>4842</v>
      </c>
      <c r="C344" s="356">
        <v>2.42510395E8</v>
      </c>
      <c r="D344" s="356" t="s">
        <v>4843</v>
      </c>
      <c r="E344" s="356" t="s">
        <v>3100</v>
      </c>
      <c r="F344" s="357" t="s">
        <v>4562</v>
      </c>
      <c r="G344" s="357">
        <v>5.0</v>
      </c>
      <c r="H344" s="357">
        <v>5.0</v>
      </c>
      <c r="I344" s="358"/>
    </row>
    <row r="345">
      <c r="A345" s="355">
        <v>31.0</v>
      </c>
      <c r="B345" s="421" t="s">
        <v>4844</v>
      </c>
      <c r="C345" s="356">
        <v>2.42510404E8</v>
      </c>
      <c r="D345" s="356" t="s">
        <v>4845</v>
      </c>
      <c r="E345" s="356" t="s">
        <v>3099</v>
      </c>
      <c r="F345" s="362"/>
      <c r="G345" s="362"/>
      <c r="H345" s="362"/>
      <c r="I345" s="363"/>
    </row>
    <row r="346">
      <c r="A346" s="355">
        <v>32.0</v>
      </c>
      <c r="B346" s="356" t="s">
        <v>4846</v>
      </c>
      <c r="C346" s="356">
        <v>2.42510413E8</v>
      </c>
      <c r="D346" s="356" t="s">
        <v>4847</v>
      </c>
      <c r="E346" s="356" t="s">
        <v>3099</v>
      </c>
      <c r="F346" s="362"/>
      <c r="G346" s="362">
        <v>6.0</v>
      </c>
      <c r="H346" s="362">
        <v>6.0</v>
      </c>
      <c r="I346" s="363"/>
    </row>
    <row r="347">
      <c r="A347" s="355">
        <v>33.0</v>
      </c>
      <c r="B347" s="356" t="s">
        <v>4848</v>
      </c>
      <c r="C347" s="356">
        <v>2.42510414E8</v>
      </c>
      <c r="D347" s="356" t="s">
        <v>4849</v>
      </c>
      <c r="E347" s="356" t="s">
        <v>3100</v>
      </c>
      <c r="F347" s="357" t="s">
        <v>4565</v>
      </c>
      <c r="G347" s="357">
        <v>13.0</v>
      </c>
      <c r="H347" s="357">
        <v>3.0</v>
      </c>
      <c r="I347" s="358"/>
      <c r="J347" s="417" t="s">
        <v>2508</v>
      </c>
    </row>
    <row r="348">
      <c r="A348" s="355">
        <v>34.0</v>
      </c>
      <c r="B348" s="356" t="s">
        <v>4850</v>
      </c>
      <c r="C348" s="356">
        <v>2.42510416E8</v>
      </c>
      <c r="D348" s="356" t="s">
        <v>4851</v>
      </c>
      <c r="E348" s="356" t="s">
        <v>3100</v>
      </c>
      <c r="F348" s="357"/>
      <c r="G348" s="357"/>
      <c r="H348" s="357"/>
      <c r="I348" s="358"/>
    </row>
    <row r="349">
      <c r="A349" s="355">
        <v>35.0</v>
      </c>
      <c r="B349" s="356" t="s">
        <v>4852</v>
      </c>
      <c r="C349" s="356">
        <v>2.42510423E8</v>
      </c>
      <c r="D349" s="356" t="s">
        <v>4853</v>
      </c>
      <c r="E349" s="356" t="s">
        <v>3099</v>
      </c>
      <c r="F349" s="362"/>
      <c r="G349" s="362">
        <v>6.0</v>
      </c>
      <c r="H349" s="362">
        <v>4.0</v>
      </c>
      <c r="I349" s="363"/>
    </row>
    <row r="350">
      <c r="A350" s="355">
        <v>36.0</v>
      </c>
      <c r="B350" s="356" t="s">
        <v>4854</v>
      </c>
      <c r="C350" s="356">
        <v>2.42510425E8</v>
      </c>
      <c r="D350" s="356" t="s">
        <v>4855</v>
      </c>
      <c r="E350" s="356" t="s">
        <v>3100</v>
      </c>
      <c r="F350" s="357" t="s">
        <v>4562</v>
      </c>
      <c r="G350" s="357">
        <v>5.0</v>
      </c>
      <c r="H350" s="357">
        <v>5.0</v>
      </c>
      <c r="I350" s="358"/>
    </row>
    <row r="351">
      <c r="A351" s="364"/>
      <c r="B351" s="364"/>
      <c r="C351" s="364"/>
      <c r="D351" s="364"/>
      <c r="E351" s="364"/>
      <c r="F351" s="357"/>
      <c r="G351" s="357"/>
      <c r="H351" s="357"/>
      <c r="I351" s="358"/>
    </row>
    <row r="352">
      <c r="A352" s="365"/>
      <c r="B352" s="366" t="s">
        <v>3101</v>
      </c>
      <c r="C352" s="365"/>
      <c r="D352" s="367">
        <f>COUNTIF(E315:E351,"L")</f>
        <v>13</v>
      </c>
      <c r="E352" s="365"/>
      <c r="F352" s="365"/>
      <c r="G352" s="365"/>
      <c r="H352" s="365"/>
      <c r="I352" s="365"/>
    </row>
    <row r="353">
      <c r="A353" s="365"/>
      <c r="B353" s="366" t="s">
        <v>3102</v>
      </c>
      <c r="C353" s="365"/>
      <c r="D353" s="367">
        <f>COUNTIF(E315:E351,"P")</f>
        <v>23</v>
      </c>
      <c r="E353" s="365"/>
      <c r="F353" s="365"/>
      <c r="G353" s="365"/>
      <c r="H353" s="365"/>
      <c r="I353" s="365"/>
    </row>
    <row r="354">
      <c r="A354" s="365"/>
      <c r="B354" s="366" t="s">
        <v>3104</v>
      </c>
      <c r="C354" s="365"/>
      <c r="D354" s="367">
        <f>SUM(D352:D353)</f>
        <v>36</v>
      </c>
      <c r="E354" s="365"/>
      <c r="F354" s="365"/>
      <c r="G354" s="365"/>
      <c r="H354" s="365"/>
      <c r="I354" s="365"/>
    </row>
    <row r="355">
      <c r="A355" s="365"/>
      <c r="B355" s="365"/>
      <c r="C355" s="365"/>
      <c r="D355" s="365"/>
      <c r="E355" s="365"/>
      <c r="F355" s="365"/>
      <c r="G355" s="365"/>
      <c r="H355" s="365"/>
      <c r="I355" s="365"/>
    </row>
    <row r="356">
      <c r="A356" s="365"/>
      <c r="B356" s="365"/>
      <c r="C356" s="365"/>
      <c r="D356" s="365"/>
      <c r="E356" s="365"/>
      <c r="F356" s="365"/>
      <c r="G356" s="365"/>
      <c r="H356" s="365"/>
      <c r="I356" s="365"/>
    </row>
    <row r="357">
      <c r="A357" s="368" t="s">
        <v>4387</v>
      </c>
      <c r="B357" s="368"/>
      <c r="C357" s="368"/>
      <c r="D357" s="368"/>
      <c r="E357" s="368"/>
      <c r="F357" s="368"/>
      <c r="G357" s="368"/>
      <c r="H357" s="368"/>
      <c r="I357" s="187"/>
    </row>
    <row r="358">
      <c r="A358" s="369" t="s">
        <v>4388</v>
      </c>
      <c r="B358" s="370"/>
      <c r="C358" s="370"/>
      <c r="D358" s="370"/>
      <c r="E358" s="370"/>
      <c r="F358" s="370"/>
      <c r="G358" s="370"/>
      <c r="H358" s="371"/>
      <c r="I358" s="332"/>
    </row>
    <row r="359">
      <c r="A359" s="329" t="s">
        <v>4310</v>
      </c>
      <c r="B359" s="330"/>
      <c r="C359" s="330"/>
      <c r="D359" s="330"/>
      <c r="E359" s="330"/>
      <c r="F359" s="330"/>
      <c r="G359" s="330"/>
      <c r="H359" s="331"/>
      <c r="I359" s="332"/>
    </row>
    <row r="360">
      <c r="A360" s="334" t="s">
        <v>4856</v>
      </c>
      <c r="B360" s="335"/>
      <c r="C360" s="335"/>
      <c r="D360" s="335"/>
      <c r="E360" s="335"/>
      <c r="F360" s="335"/>
      <c r="G360" s="335"/>
      <c r="H360" s="336"/>
      <c r="I360" s="337"/>
    </row>
    <row r="361">
      <c r="A361" s="338" t="s">
        <v>4857</v>
      </c>
      <c r="B361" s="339"/>
      <c r="C361" s="339"/>
      <c r="D361" s="339"/>
      <c r="E361" s="339"/>
      <c r="F361" s="339"/>
      <c r="G361" s="340"/>
      <c r="H361" s="340"/>
      <c r="I361" s="341"/>
    </row>
    <row r="362">
      <c r="A362" s="342" t="s">
        <v>1735</v>
      </c>
      <c r="B362" s="342" t="s">
        <v>1736</v>
      </c>
      <c r="C362" s="342" t="s">
        <v>1737</v>
      </c>
      <c r="D362" s="342" t="s">
        <v>1738</v>
      </c>
      <c r="E362" s="342" t="s">
        <v>1815</v>
      </c>
      <c r="F362" s="343"/>
      <c r="G362" s="343" t="s">
        <v>3097</v>
      </c>
      <c r="H362" s="344"/>
      <c r="I362" s="345"/>
    </row>
    <row r="363">
      <c r="A363" s="346"/>
      <c r="B363" s="346"/>
      <c r="C363" s="346"/>
      <c r="D363" s="346"/>
      <c r="E363" s="346"/>
      <c r="F363" s="422"/>
      <c r="G363" s="348" t="s">
        <v>3094</v>
      </c>
      <c r="H363" s="349" t="s">
        <v>4309</v>
      </c>
      <c r="I363" s="350"/>
    </row>
    <row r="364">
      <c r="A364" s="351"/>
      <c r="B364" s="351"/>
      <c r="C364" s="351"/>
      <c r="D364" s="351"/>
      <c r="E364" s="351"/>
      <c r="F364" s="422"/>
      <c r="G364" s="353"/>
      <c r="H364" s="354"/>
      <c r="I364" s="350"/>
    </row>
    <row r="365">
      <c r="A365" s="355">
        <v>1.0</v>
      </c>
      <c r="B365" s="419" t="s">
        <v>4858</v>
      </c>
      <c r="C365" s="356">
        <v>2.42510004E8</v>
      </c>
      <c r="D365" s="356" t="s">
        <v>4859</v>
      </c>
      <c r="E365" s="356" t="s">
        <v>3099</v>
      </c>
      <c r="F365" s="357" t="s">
        <v>4407</v>
      </c>
      <c r="G365" s="357">
        <v>4.0</v>
      </c>
      <c r="H365" s="357" t="s">
        <v>1187</v>
      </c>
      <c r="I365" s="358"/>
    </row>
    <row r="366">
      <c r="A366" s="355">
        <v>2.0</v>
      </c>
      <c r="B366" s="356" t="s">
        <v>4860</v>
      </c>
      <c r="C366" s="356">
        <v>2.42510006E8</v>
      </c>
      <c r="D366" s="356" t="s">
        <v>4861</v>
      </c>
      <c r="E366" s="356" t="s">
        <v>3100</v>
      </c>
      <c r="F366" s="357" t="s">
        <v>4634</v>
      </c>
      <c r="G366" s="357"/>
      <c r="H366" s="357"/>
      <c r="I366" s="358"/>
    </row>
    <row r="367">
      <c r="A367" s="355">
        <v>3.0</v>
      </c>
      <c r="B367" s="356" t="s">
        <v>4862</v>
      </c>
      <c r="C367" s="356">
        <v>2.42510024E8</v>
      </c>
      <c r="D367" s="356" t="s">
        <v>4863</v>
      </c>
      <c r="E367" s="356" t="s">
        <v>3099</v>
      </c>
      <c r="F367" s="357"/>
      <c r="G367" s="357">
        <v>4.0</v>
      </c>
      <c r="H367" s="357" t="s">
        <v>1187</v>
      </c>
      <c r="I367" s="358"/>
    </row>
    <row r="368">
      <c r="A368" s="355">
        <v>4.0</v>
      </c>
      <c r="B368" s="356" t="s">
        <v>4864</v>
      </c>
      <c r="C368" s="356">
        <v>2.42510035E8</v>
      </c>
      <c r="D368" s="356" t="s">
        <v>4865</v>
      </c>
      <c r="E368" s="356" t="s">
        <v>3100</v>
      </c>
      <c r="F368" s="357"/>
      <c r="G368" s="357"/>
      <c r="H368" s="357"/>
      <c r="I368" s="358"/>
    </row>
    <row r="369">
      <c r="A369" s="355">
        <v>5.0</v>
      </c>
      <c r="B369" s="356" t="s">
        <v>4866</v>
      </c>
      <c r="C369" s="356">
        <v>2.42510039E8</v>
      </c>
      <c r="D369" s="356" t="s">
        <v>4867</v>
      </c>
      <c r="E369" s="356" t="s">
        <v>3100</v>
      </c>
      <c r="F369" s="357"/>
      <c r="G369" s="357"/>
      <c r="H369" s="357"/>
      <c r="I369" s="358"/>
    </row>
    <row r="370">
      <c r="A370" s="355">
        <v>6.0</v>
      </c>
      <c r="B370" s="356" t="s">
        <v>4868</v>
      </c>
      <c r="C370" s="356">
        <v>2.42510064E8</v>
      </c>
      <c r="D370" s="356" t="s">
        <v>4869</v>
      </c>
      <c r="E370" s="356" t="s">
        <v>3100</v>
      </c>
      <c r="F370" s="357"/>
      <c r="G370" s="357"/>
      <c r="H370" s="357"/>
      <c r="I370" s="358"/>
    </row>
    <row r="371">
      <c r="A371" s="355">
        <v>7.0</v>
      </c>
      <c r="B371" s="356" t="s">
        <v>4870</v>
      </c>
      <c r="C371" s="356">
        <v>2.4251009E8</v>
      </c>
      <c r="D371" s="356" t="s">
        <v>4871</v>
      </c>
      <c r="E371" s="356" t="s">
        <v>3100</v>
      </c>
      <c r="F371" s="357"/>
      <c r="G371" s="357"/>
      <c r="H371" s="357"/>
      <c r="I371" s="358"/>
    </row>
    <row r="372">
      <c r="A372" s="355">
        <v>8.0</v>
      </c>
      <c r="B372" s="356" t="s">
        <v>4872</v>
      </c>
      <c r="C372" s="356">
        <v>2.42510098E8</v>
      </c>
      <c r="D372" s="356" t="s">
        <v>4873</v>
      </c>
      <c r="E372" s="356" t="s">
        <v>3099</v>
      </c>
      <c r="F372" s="357"/>
      <c r="G372" s="357">
        <v>4.0</v>
      </c>
      <c r="H372" s="357">
        <v>2.0</v>
      </c>
      <c r="I372" s="358"/>
    </row>
    <row r="373">
      <c r="A373" s="355">
        <v>9.0</v>
      </c>
      <c r="B373" s="356" t="s">
        <v>4874</v>
      </c>
      <c r="C373" s="356">
        <v>2.42510113E8</v>
      </c>
      <c r="D373" s="356" t="s">
        <v>4875</v>
      </c>
      <c r="E373" s="356" t="s">
        <v>3100</v>
      </c>
      <c r="F373" s="357"/>
      <c r="G373" s="357"/>
      <c r="H373" s="357"/>
      <c r="I373" s="358"/>
    </row>
    <row r="374">
      <c r="A374" s="355">
        <v>10.0</v>
      </c>
      <c r="B374" s="356" t="s">
        <v>4876</v>
      </c>
      <c r="C374" s="356">
        <v>2.42510118E8</v>
      </c>
      <c r="D374" s="356" t="s">
        <v>4877</v>
      </c>
      <c r="E374" s="356" t="s">
        <v>3100</v>
      </c>
      <c r="F374" s="357"/>
      <c r="G374" s="357"/>
      <c r="H374" s="357"/>
      <c r="I374" s="358"/>
    </row>
    <row r="375">
      <c r="A375" s="355">
        <v>11.0</v>
      </c>
      <c r="B375" s="356" t="s">
        <v>4878</v>
      </c>
      <c r="C375" s="356">
        <v>2.42510128E8</v>
      </c>
      <c r="D375" s="356" t="s">
        <v>4879</v>
      </c>
      <c r="E375" s="356" t="s">
        <v>3099</v>
      </c>
      <c r="F375" s="357"/>
      <c r="G375" s="357">
        <v>4.0</v>
      </c>
      <c r="H375" s="357" t="s">
        <v>1187</v>
      </c>
      <c r="I375" s="358"/>
    </row>
    <row r="376">
      <c r="A376" s="355">
        <v>12.0</v>
      </c>
      <c r="B376" s="356" t="s">
        <v>4880</v>
      </c>
      <c r="C376" s="356">
        <v>2.42510146E8</v>
      </c>
      <c r="D376" s="356" t="s">
        <v>4881</v>
      </c>
      <c r="E376" s="356" t="s">
        <v>3100</v>
      </c>
      <c r="F376" s="357"/>
      <c r="G376" s="357"/>
      <c r="H376" s="357"/>
      <c r="I376" s="358"/>
    </row>
    <row r="377">
      <c r="A377" s="355">
        <v>13.0</v>
      </c>
      <c r="B377" s="356" t="s">
        <v>4882</v>
      </c>
      <c r="C377" s="356">
        <v>2.42510148E8</v>
      </c>
      <c r="D377" s="356" t="s">
        <v>4883</v>
      </c>
      <c r="E377" s="356" t="s">
        <v>3099</v>
      </c>
      <c r="F377" s="357"/>
      <c r="G377" s="357">
        <v>4.0</v>
      </c>
      <c r="H377" s="357" t="s">
        <v>1187</v>
      </c>
      <c r="I377" s="358"/>
    </row>
    <row r="378">
      <c r="A378" s="355">
        <v>14.0</v>
      </c>
      <c r="B378" s="356" t="s">
        <v>4884</v>
      </c>
      <c r="C378" s="356">
        <v>2.42510149E8</v>
      </c>
      <c r="D378" s="356" t="s">
        <v>4885</v>
      </c>
      <c r="E378" s="356" t="s">
        <v>3100</v>
      </c>
      <c r="F378" s="357"/>
      <c r="G378" s="357"/>
      <c r="H378" s="357"/>
      <c r="I378" s="358"/>
    </row>
    <row r="379">
      <c r="A379" s="355">
        <v>15.0</v>
      </c>
      <c r="B379" s="356" t="s">
        <v>4886</v>
      </c>
      <c r="C379" s="356">
        <v>2.42510171E8</v>
      </c>
      <c r="D379" s="356" t="s">
        <v>4887</v>
      </c>
      <c r="E379" s="356" t="s">
        <v>3100</v>
      </c>
      <c r="F379" s="357"/>
      <c r="G379" s="357"/>
      <c r="H379" s="357"/>
      <c r="I379" s="358"/>
    </row>
    <row r="380">
      <c r="A380" s="355">
        <v>16.0</v>
      </c>
      <c r="B380" s="356" t="s">
        <v>4888</v>
      </c>
      <c r="C380" s="356">
        <v>2.42510184E8</v>
      </c>
      <c r="D380" s="356" t="s">
        <v>4889</v>
      </c>
      <c r="E380" s="356" t="s">
        <v>3100</v>
      </c>
      <c r="F380" s="357"/>
      <c r="G380" s="357"/>
      <c r="H380" s="357"/>
      <c r="I380" s="358"/>
    </row>
    <row r="381">
      <c r="A381" s="355">
        <v>17.0</v>
      </c>
      <c r="B381" s="356" t="s">
        <v>4890</v>
      </c>
      <c r="C381" s="356">
        <v>2.42510192E8</v>
      </c>
      <c r="D381" s="356" t="s">
        <v>4891</v>
      </c>
      <c r="E381" s="356" t="s">
        <v>3100</v>
      </c>
      <c r="F381" s="357"/>
      <c r="G381" s="357"/>
      <c r="H381" s="357"/>
      <c r="I381" s="358"/>
    </row>
    <row r="382">
      <c r="A382" s="355">
        <v>18.0</v>
      </c>
      <c r="B382" s="356" t="s">
        <v>4892</v>
      </c>
      <c r="C382" s="356">
        <v>2.42510201E8</v>
      </c>
      <c r="D382" s="356" t="s">
        <v>4893</v>
      </c>
      <c r="E382" s="356" t="s">
        <v>3100</v>
      </c>
      <c r="F382" s="357"/>
      <c r="G382" s="357"/>
      <c r="H382" s="357"/>
      <c r="I382" s="358"/>
    </row>
    <row r="383">
      <c r="A383" s="355">
        <v>19.0</v>
      </c>
      <c r="B383" s="356" t="s">
        <v>4894</v>
      </c>
      <c r="C383" s="356">
        <v>2.42510241E8</v>
      </c>
      <c r="D383" s="356" t="s">
        <v>4895</v>
      </c>
      <c r="E383" s="356" t="s">
        <v>3099</v>
      </c>
      <c r="F383" s="357"/>
      <c r="G383" s="357">
        <v>4.0</v>
      </c>
      <c r="H383" s="357" t="s">
        <v>1187</v>
      </c>
      <c r="I383" s="358"/>
    </row>
    <row r="384">
      <c r="A384" s="355">
        <v>20.0</v>
      </c>
      <c r="B384" s="356" t="s">
        <v>4896</v>
      </c>
      <c r="C384" s="356">
        <v>2.42510263E8</v>
      </c>
      <c r="D384" s="356" t="s">
        <v>4897</v>
      </c>
      <c r="E384" s="356" t="s">
        <v>3099</v>
      </c>
      <c r="F384" s="357"/>
      <c r="G384" s="357">
        <v>4.0</v>
      </c>
      <c r="H384" s="357" t="s">
        <v>1187</v>
      </c>
      <c r="I384" s="358"/>
    </row>
    <row r="385">
      <c r="A385" s="355">
        <v>21.0</v>
      </c>
      <c r="B385" s="356" t="s">
        <v>4898</v>
      </c>
      <c r="C385" s="356">
        <v>2.42510275E8</v>
      </c>
      <c r="D385" s="356" t="s">
        <v>4899</v>
      </c>
      <c r="E385" s="356" t="s">
        <v>3099</v>
      </c>
      <c r="F385" s="357"/>
      <c r="G385" s="357">
        <v>4.0</v>
      </c>
      <c r="H385" s="357" t="s">
        <v>1187</v>
      </c>
      <c r="I385" s="358"/>
    </row>
    <row r="386">
      <c r="A386" s="355">
        <v>22.0</v>
      </c>
      <c r="B386" s="356" t="s">
        <v>4900</v>
      </c>
      <c r="C386" s="356">
        <v>2.42510278E8</v>
      </c>
      <c r="D386" s="356" t="s">
        <v>4901</v>
      </c>
      <c r="E386" s="356" t="s">
        <v>3099</v>
      </c>
      <c r="F386" s="357"/>
      <c r="G386" s="357">
        <v>4.0</v>
      </c>
      <c r="H386" s="357" t="s">
        <v>1187</v>
      </c>
      <c r="I386" s="358"/>
    </row>
    <row r="387">
      <c r="A387" s="355">
        <v>23.0</v>
      </c>
      <c r="B387" s="356" t="s">
        <v>4902</v>
      </c>
      <c r="C387" s="356">
        <v>2.42510287E8</v>
      </c>
      <c r="D387" s="356" t="s">
        <v>4903</v>
      </c>
      <c r="E387" s="356" t="s">
        <v>3100</v>
      </c>
      <c r="F387" s="357"/>
      <c r="G387" s="357">
        <v>8.0</v>
      </c>
      <c r="H387" s="357">
        <v>7.0</v>
      </c>
      <c r="I387" s="358" t="s">
        <v>4904</v>
      </c>
    </row>
    <row r="388">
      <c r="A388" s="355">
        <v>24.0</v>
      </c>
      <c r="B388" s="356" t="s">
        <v>4905</v>
      </c>
      <c r="C388" s="356">
        <v>2.42510289E8</v>
      </c>
      <c r="D388" s="356" t="s">
        <v>4906</v>
      </c>
      <c r="E388" s="356" t="s">
        <v>3100</v>
      </c>
      <c r="F388" s="357"/>
      <c r="G388" s="357"/>
      <c r="H388" s="357"/>
      <c r="I388" s="358"/>
    </row>
    <row r="389">
      <c r="A389" s="355">
        <v>25.0</v>
      </c>
      <c r="B389" s="356" t="s">
        <v>4907</v>
      </c>
      <c r="C389" s="356">
        <v>2.42510292E8</v>
      </c>
      <c r="D389" s="356" t="s">
        <v>4908</v>
      </c>
      <c r="E389" s="356" t="s">
        <v>3100</v>
      </c>
      <c r="F389" s="357"/>
      <c r="G389" s="357"/>
      <c r="H389" s="357"/>
      <c r="I389" s="358"/>
    </row>
    <row r="390">
      <c r="A390" s="355">
        <v>26.0</v>
      </c>
      <c r="B390" s="356" t="s">
        <v>4909</v>
      </c>
      <c r="C390" s="356">
        <v>2.42510293E8</v>
      </c>
      <c r="D390" s="356" t="s">
        <v>4910</v>
      </c>
      <c r="E390" s="356" t="s">
        <v>3099</v>
      </c>
      <c r="F390" s="357"/>
      <c r="G390" s="357">
        <v>4.0</v>
      </c>
      <c r="H390" s="357" t="s">
        <v>1187</v>
      </c>
      <c r="I390" s="358"/>
    </row>
    <row r="391">
      <c r="A391" s="355">
        <v>27.0</v>
      </c>
      <c r="B391" s="356" t="s">
        <v>4911</v>
      </c>
      <c r="C391" s="356">
        <v>2.42510307E8</v>
      </c>
      <c r="D391" s="356" t="s">
        <v>4912</v>
      </c>
      <c r="E391" s="356" t="s">
        <v>3100</v>
      </c>
      <c r="F391" s="357"/>
      <c r="G391" s="357"/>
      <c r="H391" s="357"/>
      <c r="I391" s="358"/>
    </row>
    <row r="392">
      <c r="A392" s="355">
        <v>28.0</v>
      </c>
      <c r="B392" s="356" t="s">
        <v>4913</v>
      </c>
      <c r="C392" s="356">
        <v>2.42510319E8</v>
      </c>
      <c r="D392" s="356" t="s">
        <v>4914</v>
      </c>
      <c r="E392" s="356" t="s">
        <v>3100</v>
      </c>
      <c r="F392" s="357"/>
      <c r="G392" s="357"/>
      <c r="H392" s="357"/>
      <c r="I392" s="358"/>
    </row>
    <row r="393">
      <c r="A393" s="355">
        <v>29.0</v>
      </c>
      <c r="B393" s="356" t="s">
        <v>4915</v>
      </c>
      <c r="C393" s="356">
        <v>2.4251032E8</v>
      </c>
      <c r="D393" s="356" t="s">
        <v>4916</v>
      </c>
      <c r="E393" s="356" t="s">
        <v>3100</v>
      </c>
      <c r="F393" s="357"/>
      <c r="G393" s="357"/>
      <c r="H393" s="357"/>
      <c r="I393" s="358"/>
    </row>
    <row r="394">
      <c r="A394" s="355">
        <v>30.0</v>
      </c>
      <c r="B394" s="356" t="s">
        <v>4917</v>
      </c>
      <c r="C394" s="356">
        <v>2.42510323E8</v>
      </c>
      <c r="D394" s="356" t="s">
        <v>4918</v>
      </c>
      <c r="E394" s="356" t="s">
        <v>3100</v>
      </c>
      <c r="F394" s="360"/>
      <c r="G394" s="360"/>
      <c r="H394" s="360"/>
      <c r="I394" s="361"/>
    </row>
    <row r="395">
      <c r="A395" s="355">
        <v>31.0</v>
      </c>
      <c r="B395" s="356" t="s">
        <v>4919</v>
      </c>
      <c r="C395" s="356">
        <v>2.42510354E8</v>
      </c>
      <c r="D395" s="356" t="s">
        <v>4920</v>
      </c>
      <c r="E395" s="356" t="s">
        <v>3099</v>
      </c>
      <c r="F395" s="360"/>
      <c r="G395" s="362">
        <v>4.0</v>
      </c>
      <c r="H395" s="362" t="s">
        <v>1187</v>
      </c>
      <c r="I395" s="363"/>
    </row>
    <row r="396">
      <c r="A396" s="355">
        <v>32.0</v>
      </c>
      <c r="B396" s="356" t="s">
        <v>4921</v>
      </c>
      <c r="C396" s="356">
        <v>2.42510379E8</v>
      </c>
      <c r="D396" s="356" t="s">
        <v>4922</v>
      </c>
      <c r="E396" s="356" t="s">
        <v>3100</v>
      </c>
      <c r="F396" s="360"/>
      <c r="G396" s="360"/>
      <c r="H396" s="360"/>
      <c r="I396" s="361"/>
    </row>
    <row r="397">
      <c r="A397" s="355">
        <v>33.0</v>
      </c>
      <c r="B397" s="356" t="s">
        <v>4923</v>
      </c>
      <c r="C397" s="356">
        <v>2.42510385E8</v>
      </c>
      <c r="D397" s="356" t="s">
        <v>4924</v>
      </c>
      <c r="E397" s="356" t="s">
        <v>3099</v>
      </c>
      <c r="F397" s="360"/>
      <c r="G397" s="362">
        <v>4.0</v>
      </c>
      <c r="H397" s="362" t="s">
        <v>1187</v>
      </c>
      <c r="I397" s="363"/>
    </row>
    <row r="398">
      <c r="A398" s="355">
        <v>34.0</v>
      </c>
      <c r="B398" s="356" t="s">
        <v>4925</v>
      </c>
      <c r="C398" s="356">
        <v>2.42510392E8</v>
      </c>
      <c r="D398" s="356" t="s">
        <v>4926</v>
      </c>
      <c r="E398" s="356" t="s">
        <v>3100</v>
      </c>
      <c r="F398" s="360"/>
      <c r="G398" s="360"/>
      <c r="H398" s="360"/>
      <c r="I398" s="361"/>
    </row>
    <row r="399">
      <c r="A399" s="355">
        <v>35.0</v>
      </c>
      <c r="B399" s="356" t="s">
        <v>4927</v>
      </c>
      <c r="C399" s="356">
        <v>2.42510405E8</v>
      </c>
      <c r="D399" s="356" t="s">
        <v>4928</v>
      </c>
      <c r="E399" s="356" t="s">
        <v>3099</v>
      </c>
      <c r="F399" s="360"/>
      <c r="G399" s="362">
        <v>4.0</v>
      </c>
      <c r="H399" s="362" t="s">
        <v>1187</v>
      </c>
      <c r="I399" s="363"/>
    </row>
    <row r="400">
      <c r="A400" s="355">
        <v>36.0</v>
      </c>
      <c r="B400" s="356" t="s">
        <v>4929</v>
      </c>
      <c r="C400" s="356">
        <v>2.42510418E8</v>
      </c>
      <c r="D400" s="356" t="s">
        <v>4930</v>
      </c>
      <c r="E400" s="356" t="s">
        <v>3100</v>
      </c>
      <c r="F400" s="360"/>
      <c r="G400" s="360"/>
      <c r="H400" s="360"/>
      <c r="I400" s="361"/>
    </row>
    <row r="401">
      <c r="A401" s="355">
        <v>37.0</v>
      </c>
      <c r="B401" s="364"/>
      <c r="C401" s="364"/>
      <c r="D401" s="364"/>
      <c r="E401" s="364"/>
      <c r="F401" s="364"/>
      <c r="G401" s="364"/>
      <c r="H401" s="364"/>
      <c r="I401" s="365"/>
    </row>
    <row r="402">
      <c r="A402" s="355">
        <v>38.0</v>
      </c>
      <c r="B402" s="364"/>
      <c r="C402" s="364"/>
      <c r="D402" s="364"/>
      <c r="E402" s="364"/>
      <c r="F402" s="364"/>
      <c r="G402" s="364"/>
      <c r="H402" s="364"/>
      <c r="I402" s="365"/>
    </row>
    <row r="403">
      <c r="A403" s="365"/>
      <c r="B403" s="366" t="s">
        <v>3101</v>
      </c>
      <c r="C403" s="365"/>
      <c r="D403" s="367">
        <f>COUNTIF(E365:E402,"L")</f>
        <v>13</v>
      </c>
      <c r="E403" s="365"/>
      <c r="F403" s="365"/>
      <c r="G403" s="365"/>
      <c r="H403" s="365"/>
      <c r="I403" s="365"/>
    </row>
    <row r="404">
      <c r="A404" s="365"/>
      <c r="B404" s="366" t="s">
        <v>3102</v>
      </c>
      <c r="C404" s="365"/>
      <c r="D404" s="367">
        <f>COUNTIF(E365:E402,"P")</f>
        <v>23</v>
      </c>
      <c r="E404" s="365"/>
      <c r="F404" s="365"/>
      <c r="G404" s="365"/>
      <c r="H404" s="365"/>
      <c r="I404" s="365"/>
    </row>
    <row r="405">
      <c r="A405" s="365"/>
      <c r="B405" s="366" t="s">
        <v>3104</v>
      </c>
      <c r="C405" s="365"/>
      <c r="D405" s="367">
        <f>SUM(D403:D404)</f>
        <v>36</v>
      </c>
      <c r="E405" s="365"/>
      <c r="F405" s="365"/>
      <c r="G405" s="365"/>
      <c r="H405" s="365"/>
      <c r="I405" s="365"/>
    </row>
    <row r="406">
      <c r="A406" s="365"/>
      <c r="B406" s="365"/>
      <c r="C406" s="365"/>
      <c r="D406" s="365"/>
      <c r="E406" s="365"/>
      <c r="F406" s="365"/>
      <c r="G406" s="365"/>
      <c r="H406" s="365"/>
      <c r="I406" s="365"/>
    </row>
    <row r="407">
      <c r="A407" s="368" t="s">
        <v>4387</v>
      </c>
      <c r="B407" s="368"/>
      <c r="C407" s="368"/>
      <c r="D407" s="368"/>
      <c r="E407" s="368"/>
      <c r="F407" s="368"/>
      <c r="G407" s="368"/>
      <c r="H407" s="368"/>
      <c r="I407" s="187"/>
    </row>
    <row r="408">
      <c r="A408" s="369" t="s">
        <v>4388</v>
      </c>
      <c r="B408" s="370"/>
      <c r="C408" s="370"/>
      <c r="D408" s="370"/>
      <c r="E408" s="370"/>
      <c r="F408" s="370"/>
      <c r="G408" s="370"/>
      <c r="H408" s="371"/>
      <c r="I408" s="332"/>
    </row>
    <row r="409">
      <c r="A409" s="329" t="s">
        <v>4310</v>
      </c>
      <c r="B409" s="330"/>
      <c r="C409" s="330"/>
      <c r="D409" s="330"/>
      <c r="E409" s="330"/>
      <c r="F409" s="330"/>
      <c r="G409" s="330"/>
      <c r="H409" s="331"/>
      <c r="I409" s="332"/>
    </row>
    <row r="410">
      <c r="A410" s="334" t="s">
        <v>4931</v>
      </c>
      <c r="B410" s="335"/>
      <c r="C410" s="335"/>
      <c r="D410" s="335"/>
      <c r="E410" s="335"/>
      <c r="F410" s="335"/>
      <c r="G410" s="335"/>
      <c r="H410" s="336"/>
      <c r="I410" s="337"/>
    </row>
    <row r="411">
      <c r="A411" s="338" t="s">
        <v>4932</v>
      </c>
      <c r="B411" s="339"/>
      <c r="C411" s="339"/>
      <c r="D411" s="339"/>
      <c r="E411" s="339"/>
      <c r="F411" s="339"/>
      <c r="G411" s="340"/>
      <c r="H411" s="340"/>
      <c r="I411" s="341"/>
    </row>
    <row r="412">
      <c r="A412" s="342" t="s">
        <v>1735</v>
      </c>
      <c r="B412" s="342" t="s">
        <v>1736</v>
      </c>
      <c r="C412" s="342" t="s">
        <v>1737</v>
      </c>
      <c r="D412" s="342" t="s">
        <v>1738</v>
      </c>
      <c r="E412" s="342" t="s">
        <v>1815</v>
      </c>
      <c r="F412" s="343"/>
      <c r="G412" s="343" t="s">
        <v>3097</v>
      </c>
      <c r="H412" s="344"/>
      <c r="I412" s="345"/>
    </row>
    <row r="413">
      <c r="A413" s="346"/>
      <c r="B413" s="346"/>
      <c r="C413" s="346"/>
      <c r="D413" s="346"/>
      <c r="E413" s="346"/>
      <c r="F413" s="422"/>
      <c r="G413" s="348" t="s">
        <v>3094</v>
      </c>
      <c r="H413" s="349" t="s">
        <v>4309</v>
      </c>
      <c r="I413" s="350"/>
    </row>
    <row r="414">
      <c r="A414" s="351"/>
      <c r="B414" s="351"/>
      <c r="C414" s="351"/>
      <c r="D414" s="351"/>
      <c r="E414" s="351"/>
      <c r="F414" s="422"/>
      <c r="G414" s="353"/>
      <c r="H414" s="354"/>
      <c r="I414" s="350"/>
    </row>
    <row r="415">
      <c r="A415" s="355">
        <v>1.0</v>
      </c>
      <c r="B415" s="356" t="s">
        <v>4933</v>
      </c>
      <c r="C415" s="356">
        <v>2.42510001E8</v>
      </c>
      <c r="D415" s="356" t="s">
        <v>4934</v>
      </c>
      <c r="E415" s="364" t="s">
        <v>3099</v>
      </c>
      <c r="F415" s="357" t="s">
        <v>4935</v>
      </c>
      <c r="G415" s="357"/>
      <c r="H415" s="357"/>
      <c r="I415" s="358"/>
    </row>
    <row r="416">
      <c r="A416" s="355">
        <v>2.0</v>
      </c>
      <c r="B416" s="356" t="s">
        <v>4936</v>
      </c>
      <c r="C416" s="356">
        <v>2.42510018E8</v>
      </c>
      <c r="D416" s="356" t="s">
        <v>4937</v>
      </c>
      <c r="E416" s="364" t="s">
        <v>3100</v>
      </c>
      <c r="F416" s="357" t="s">
        <v>4938</v>
      </c>
      <c r="G416" s="357">
        <v>8.0</v>
      </c>
      <c r="H416" s="357">
        <v>0.0</v>
      </c>
      <c r="I416" s="358"/>
    </row>
    <row r="417">
      <c r="A417" s="355">
        <v>3.0</v>
      </c>
      <c r="B417" s="356" t="s">
        <v>4939</v>
      </c>
      <c r="C417" s="356">
        <v>2.42510025E8</v>
      </c>
      <c r="D417" s="356" t="s">
        <v>4940</v>
      </c>
      <c r="E417" s="364" t="s">
        <v>3100</v>
      </c>
      <c r="F417" s="357"/>
      <c r="G417" s="357">
        <v>8.0</v>
      </c>
      <c r="H417" s="357">
        <v>2.0</v>
      </c>
      <c r="I417" s="358"/>
    </row>
    <row r="418">
      <c r="A418" s="355">
        <v>4.0</v>
      </c>
      <c r="B418" s="356" t="s">
        <v>4941</v>
      </c>
      <c r="C418" s="356">
        <v>2.42510049E8</v>
      </c>
      <c r="D418" s="356" t="s">
        <v>4942</v>
      </c>
      <c r="E418" s="364" t="s">
        <v>3099</v>
      </c>
      <c r="F418" s="357"/>
      <c r="G418" s="357"/>
      <c r="H418" s="357"/>
      <c r="I418" s="358"/>
    </row>
    <row r="419">
      <c r="A419" s="355">
        <v>5.0</v>
      </c>
      <c r="B419" s="356" t="s">
        <v>4943</v>
      </c>
      <c r="C419" s="356">
        <v>2.42510076E8</v>
      </c>
      <c r="D419" s="356" t="s">
        <v>4944</v>
      </c>
      <c r="E419" s="364" t="s">
        <v>3100</v>
      </c>
      <c r="F419" s="357"/>
      <c r="G419" s="357">
        <v>8.0</v>
      </c>
      <c r="H419" s="357">
        <v>1.0</v>
      </c>
      <c r="I419" s="358"/>
    </row>
    <row r="420">
      <c r="A420" s="355">
        <v>6.0</v>
      </c>
      <c r="B420" s="356" t="s">
        <v>4945</v>
      </c>
      <c r="C420" s="356">
        <v>2.42510087E8</v>
      </c>
      <c r="D420" s="356" t="s">
        <v>4946</v>
      </c>
      <c r="E420" s="364" t="s">
        <v>3100</v>
      </c>
      <c r="F420" s="357"/>
      <c r="G420" s="357">
        <v>8.0</v>
      </c>
      <c r="H420" s="357">
        <v>7.0</v>
      </c>
      <c r="I420" s="358" t="s">
        <v>3106</v>
      </c>
    </row>
    <row r="421">
      <c r="A421" s="355">
        <v>7.0</v>
      </c>
      <c r="B421" s="356" t="s">
        <v>4947</v>
      </c>
      <c r="C421" s="356">
        <v>2.42510152E8</v>
      </c>
      <c r="D421" s="356" t="s">
        <v>4948</v>
      </c>
      <c r="E421" s="364" t="s">
        <v>3100</v>
      </c>
      <c r="F421" s="357"/>
      <c r="G421" s="357">
        <v>8.0</v>
      </c>
      <c r="H421" s="357">
        <v>3.0</v>
      </c>
      <c r="I421" s="358"/>
    </row>
    <row r="422">
      <c r="A422" s="355">
        <v>8.0</v>
      </c>
      <c r="B422" s="356" t="s">
        <v>4949</v>
      </c>
      <c r="C422" s="356">
        <v>2.42510155E8</v>
      </c>
      <c r="D422" s="356" t="s">
        <v>4950</v>
      </c>
      <c r="E422" s="364" t="s">
        <v>3100</v>
      </c>
      <c r="F422" s="357"/>
      <c r="G422" s="357">
        <v>8.0</v>
      </c>
      <c r="H422" s="357">
        <v>1.0</v>
      </c>
      <c r="I422" s="358"/>
    </row>
    <row r="423">
      <c r="A423" s="355">
        <v>9.0</v>
      </c>
      <c r="B423" s="356" t="s">
        <v>4951</v>
      </c>
      <c r="C423" s="356">
        <v>2.42510156E8</v>
      </c>
      <c r="D423" s="356" t="s">
        <v>4952</v>
      </c>
      <c r="E423" s="364" t="s">
        <v>3100</v>
      </c>
      <c r="F423" s="357"/>
      <c r="G423" s="357">
        <v>8.0</v>
      </c>
      <c r="H423" s="357">
        <v>1.0</v>
      </c>
      <c r="I423" s="358"/>
    </row>
    <row r="424">
      <c r="A424" s="355">
        <v>10.0</v>
      </c>
      <c r="B424" s="356" t="s">
        <v>4953</v>
      </c>
      <c r="C424" s="356">
        <v>2.42510172E8</v>
      </c>
      <c r="D424" s="356" t="s">
        <v>4954</v>
      </c>
      <c r="E424" s="364" t="s">
        <v>3100</v>
      </c>
      <c r="F424" s="357"/>
      <c r="G424" s="357">
        <v>8.0</v>
      </c>
      <c r="H424" s="357">
        <v>1.0</v>
      </c>
      <c r="I424" s="358"/>
    </row>
    <row r="425">
      <c r="A425" s="355">
        <v>11.0</v>
      </c>
      <c r="B425" s="356" t="s">
        <v>4955</v>
      </c>
      <c r="C425" s="356">
        <v>2.42510193E8</v>
      </c>
      <c r="D425" s="356" t="s">
        <v>4956</v>
      </c>
      <c r="E425" s="364" t="s">
        <v>3100</v>
      </c>
      <c r="F425" s="357"/>
      <c r="G425" s="357">
        <v>8.0</v>
      </c>
      <c r="H425" s="357">
        <v>0.0</v>
      </c>
      <c r="I425" s="358"/>
    </row>
    <row r="426">
      <c r="A426" s="355">
        <v>12.0</v>
      </c>
      <c r="B426" s="356" t="s">
        <v>4957</v>
      </c>
      <c r="C426" s="356">
        <v>2.42510199E8</v>
      </c>
      <c r="D426" s="356" t="s">
        <v>4958</v>
      </c>
      <c r="E426" s="364" t="s">
        <v>3100</v>
      </c>
      <c r="F426" s="357"/>
      <c r="G426" s="357">
        <v>8.0</v>
      </c>
      <c r="H426" s="357">
        <v>3.0</v>
      </c>
      <c r="I426" s="358"/>
    </row>
    <row r="427">
      <c r="A427" s="355">
        <v>13.0</v>
      </c>
      <c r="B427" s="356" t="s">
        <v>4959</v>
      </c>
      <c r="C427" s="356">
        <v>2.4251022E8</v>
      </c>
      <c r="D427" s="356" t="s">
        <v>4960</v>
      </c>
      <c r="E427" s="364" t="s">
        <v>3100</v>
      </c>
      <c r="F427" s="357"/>
      <c r="G427" s="357">
        <v>8.0</v>
      </c>
      <c r="H427" s="357">
        <v>1.0</v>
      </c>
      <c r="I427" s="358"/>
    </row>
    <row r="428">
      <c r="A428" s="355">
        <v>14.0</v>
      </c>
      <c r="B428" s="356" t="s">
        <v>4961</v>
      </c>
      <c r="C428" s="356">
        <v>2.42510222E8</v>
      </c>
      <c r="D428" s="356" t="s">
        <v>4962</v>
      </c>
      <c r="E428" s="364" t="s">
        <v>3100</v>
      </c>
      <c r="F428" s="357"/>
      <c r="G428" s="357">
        <v>8.0</v>
      </c>
      <c r="H428" s="357">
        <v>0.0</v>
      </c>
      <c r="I428" s="358"/>
    </row>
    <row r="429">
      <c r="A429" s="355">
        <v>15.0</v>
      </c>
      <c r="B429" s="356" t="s">
        <v>4963</v>
      </c>
      <c r="C429" s="356">
        <v>2.4251023E8</v>
      </c>
      <c r="D429" s="356" t="s">
        <v>4964</v>
      </c>
      <c r="E429" s="364" t="s">
        <v>3100</v>
      </c>
      <c r="F429" s="357"/>
      <c r="G429" s="357">
        <v>8.0</v>
      </c>
      <c r="H429" s="357">
        <v>3.0</v>
      </c>
      <c r="I429" s="358"/>
    </row>
    <row r="430">
      <c r="A430" s="355">
        <v>16.0</v>
      </c>
      <c r="B430" s="356" t="s">
        <v>4965</v>
      </c>
      <c r="C430" s="356">
        <v>2.42510232E8</v>
      </c>
      <c r="D430" s="356" t="s">
        <v>4966</v>
      </c>
      <c r="E430" s="364" t="s">
        <v>3100</v>
      </c>
      <c r="F430" s="357"/>
      <c r="G430" s="357">
        <v>8.0</v>
      </c>
      <c r="H430" s="357">
        <v>1.0</v>
      </c>
      <c r="I430" s="358"/>
    </row>
    <row r="431">
      <c r="A431" s="355">
        <v>17.0</v>
      </c>
      <c r="B431" s="356" t="s">
        <v>4967</v>
      </c>
      <c r="C431" s="356">
        <v>2.42510235E8</v>
      </c>
      <c r="D431" s="356" t="s">
        <v>4968</v>
      </c>
      <c r="E431" s="364" t="s">
        <v>3099</v>
      </c>
      <c r="F431" s="357"/>
      <c r="G431" s="357"/>
      <c r="H431" s="357"/>
      <c r="I431" s="358"/>
    </row>
    <row r="432">
      <c r="A432" s="355">
        <v>18.0</v>
      </c>
      <c r="B432" s="356" t="s">
        <v>4969</v>
      </c>
      <c r="C432" s="356">
        <v>2.42510236E8</v>
      </c>
      <c r="D432" s="356" t="s">
        <v>4970</v>
      </c>
      <c r="E432" s="364" t="s">
        <v>3099</v>
      </c>
      <c r="F432" s="357"/>
      <c r="G432" s="357"/>
      <c r="H432" s="357"/>
      <c r="I432" s="358"/>
    </row>
    <row r="433">
      <c r="A433" s="355">
        <v>19.0</v>
      </c>
      <c r="B433" s="356" t="s">
        <v>4971</v>
      </c>
      <c r="C433" s="356">
        <v>2.42510238E8</v>
      </c>
      <c r="D433" s="356" t="s">
        <v>4972</v>
      </c>
      <c r="E433" s="364" t="s">
        <v>3099</v>
      </c>
      <c r="F433" s="357"/>
      <c r="G433" s="357"/>
      <c r="H433" s="357"/>
      <c r="I433" s="358"/>
    </row>
    <row r="434">
      <c r="A434" s="355">
        <v>20.0</v>
      </c>
      <c r="B434" s="356" t="s">
        <v>4973</v>
      </c>
      <c r="C434" s="356">
        <v>2.42510239E8</v>
      </c>
      <c r="D434" s="356" t="s">
        <v>4974</v>
      </c>
      <c r="E434" s="364" t="s">
        <v>3099</v>
      </c>
      <c r="F434" s="357"/>
      <c r="G434" s="357"/>
      <c r="H434" s="357"/>
      <c r="I434" s="358"/>
    </row>
    <row r="435">
      <c r="A435" s="355">
        <v>21.0</v>
      </c>
      <c r="B435" s="356" t="s">
        <v>4975</v>
      </c>
      <c r="C435" s="356">
        <v>2.42510255E8</v>
      </c>
      <c r="D435" s="356" t="s">
        <v>4976</v>
      </c>
      <c r="E435" s="364" t="s">
        <v>3099</v>
      </c>
      <c r="F435" s="357"/>
      <c r="G435" s="357"/>
      <c r="H435" s="357"/>
      <c r="I435" s="358"/>
    </row>
    <row r="436">
      <c r="A436" s="355">
        <v>22.0</v>
      </c>
      <c r="B436" s="356" t="s">
        <v>4977</v>
      </c>
      <c r="C436" s="356">
        <v>2.42510262E8</v>
      </c>
      <c r="D436" s="356" t="s">
        <v>2246</v>
      </c>
      <c r="E436" s="364" t="s">
        <v>3099</v>
      </c>
      <c r="F436" s="357"/>
      <c r="G436" s="357"/>
      <c r="H436" s="357"/>
      <c r="I436" s="358"/>
    </row>
    <row r="437">
      <c r="A437" s="355">
        <v>23.0</v>
      </c>
      <c r="B437" s="356" t="s">
        <v>4978</v>
      </c>
      <c r="C437" s="356">
        <v>2.42510264E8</v>
      </c>
      <c r="D437" s="356" t="s">
        <v>4979</v>
      </c>
      <c r="E437" s="364" t="s">
        <v>3099</v>
      </c>
      <c r="F437" s="357"/>
      <c r="G437" s="357"/>
      <c r="H437" s="357"/>
      <c r="I437" s="358"/>
    </row>
    <row r="438">
      <c r="A438" s="355">
        <v>24.0</v>
      </c>
      <c r="B438" s="356" t="s">
        <v>4980</v>
      </c>
      <c r="C438" s="356">
        <v>2.42510265E8</v>
      </c>
      <c r="D438" s="356" t="s">
        <v>4981</v>
      </c>
      <c r="E438" s="364" t="s">
        <v>3099</v>
      </c>
      <c r="F438" s="357"/>
      <c r="G438" s="357"/>
      <c r="H438" s="357"/>
      <c r="I438" s="358"/>
    </row>
    <row r="439">
      <c r="A439" s="355">
        <v>25.0</v>
      </c>
      <c r="B439" s="356" t="s">
        <v>4982</v>
      </c>
      <c r="C439" s="356">
        <v>2.42510298E8</v>
      </c>
      <c r="D439" s="356" t="s">
        <v>4983</v>
      </c>
      <c r="E439" s="364" t="s">
        <v>3100</v>
      </c>
      <c r="F439" s="357"/>
      <c r="G439" s="357">
        <v>8.0</v>
      </c>
      <c r="H439" s="357">
        <v>3.0</v>
      </c>
      <c r="I439" s="358"/>
    </row>
    <row r="440">
      <c r="A440" s="355">
        <v>26.0</v>
      </c>
      <c r="B440" s="356" t="s">
        <v>4984</v>
      </c>
      <c r="C440" s="356">
        <v>2.42510311E8</v>
      </c>
      <c r="D440" s="356" t="s">
        <v>4985</v>
      </c>
      <c r="E440" s="364" t="s">
        <v>3100</v>
      </c>
      <c r="F440" s="357"/>
      <c r="G440" s="357">
        <v>8.0</v>
      </c>
      <c r="H440" s="357">
        <v>0.0</v>
      </c>
      <c r="I440" s="358"/>
    </row>
    <row r="441">
      <c r="A441" s="355">
        <v>27.0</v>
      </c>
      <c r="B441" s="356" t="s">
        <v>4986</v>
      </c>
      <c r="C441" s="356">
        <v>2.42510315E8</v>
      </c>
      <c r="D441" s="356" t="s">
        <v>4987</v>
      </c>
      <c r="E441" s="364" t="s">
        <v>3100</v>
      </c>
      <c r="F441" s="357"/>
      <c r="G441" s="357"/>
      <c r="H441" s="357"/>
      <c r="I441" s="358"/>
    </row>
    <row r="442">
      <c r="A442" s="355">
        <v>28.0</v>
      </c>
      <c r="B442" s="356" t="s">
        <v>4988</v>
      </c>
      <c r="C442" s="356">
        <v>2.42510317E8</v>
      </c>
      <c r="D442" s="356" t="s">
        <v>4989</v>
      </c>
      <c r="E442" s="364" t="s">
        <v>3100</v>
      </c>
      <c r="F442" s="357"/>
      <c r="G442" s="357">
        <v>8.0</v>
      </c>
      <c r="H442" s="357">
        <v>3.0</v>
      </c>
      <c r="I442" s="358"/>
    </row>
    <row r="443">
      <c r="A443" s="355">
        <v>29.0</v>
      </c>
      <c r="B443" s="356" t="s">
        <v>4990</v>
      </c>
      <c r="C443" s="356">
        <v>2.42510331E8</v>
      </c>
      <c r="D443" s="356" t="s">
        <v>4991</v>
      </c>
      <c r="E443" s="364" t="s">
        <v>3100</v>
      </c>
      <c r="F443" s="357"/>
      <c r="G443" s="357">
        <v>8.0</v>
      </c>
      <c r="H443" s="357">
        <v>1.0</v>
      </c>
      <c r="I443" s="358"/>
    </row>
    <row r="444">
      <c r="A444" s="355">
        <v>30.0</v>
      </c>
      <c r="B444" s="356" t="s">
        <v>4992</v>
      </c>
      <c r="C444" s="356">
        <v>2.42510332E8</v>
      </c>
      <c r="D444" s="356" t="s">
        <v>4993</v>
      </c>
      <c r="E444" s="364" t="s">
        <v>3099</v>
      </c>
      <c r="F444" s="360"/>
      <c r="G444" s="360"/>
      <c r="H444" s="360"/>
      <c r="I444" s="361"/>
    </row>
    <row r="445">
      <c r="A445" s="355">
        <v>31.0</v>
      </c>
      <c r="B445" s="356" t="s">
        <v>4994</v>
      </c>
      <c r="C445" s="356">
        <v>2.42510363E8</v>
      </c>
      <c r="D445" s="356" t="s">
        <v>4995</v>
      </c>
      <c r="E445" s="364" t="s">
        <v>3100</v>
      </c>
      <c r="F445" s="362"/>
      <c r="G445" s="362">
        <v>8.0</v>
      </c>
      <c r="H445" s="362">
        <v>0.0</v>
      </c>
      <c r="I445" s="363"/>
    </row>
    <row r="446">
      <c r="A446" s="355">
        <v>32.0</v>
      </c>
      <c r="B446" s="356" t="s">
        <v>4996</v>
      </c>
      <c r="C446" s="356">
        <v>2.42510389E8</v>
      </c>
      <c r="D446" s="356" t="s">
        <v>4997</v>
      </c>
      <c r="E446" s="364" t="s">
        <v>3099</v>
      </c>
      <c r="F446" s="360"/>
      <c r="G446" s="360"/>
      <c r="H446" s="360"/>
      <c r="I446" s="361"/>
    </row>
    <row r="447">
      <c r="A447" s="355">
        <v>33.0</v>
      </c>
      <c r="B447" s="356" t="s">
        <v>4998</v>
      </c>
      <c r="C447" s="356">
        <v>2.42510399E8</v>
      </c>
      <c r="D447" s="356" t="s">
        <v>4999</v>
      </c>
      <c r="E447" s="364" t="s">
        <v>3099</v>
      </c>
      <c r="F447" s="360"/>
      <c r="G447" s="360"/>
      <c r="H447" s="360"/>
      <c r="I447" s="361"/>
    </row>
    <row r="448">
      <c r="A448" s="355">
        <v>34.0</v>
      </c>
      <c r="B448" s="356" t="s">
        <v>5000</v>
      </c>
      <c r="C448" s="356">
        <v>2.42510407E8</v>
      </c>
      <c r="D448" s="356" t="s">
        <v>5001</v>
      </c>
      <c r="E448" s="364" t="s">
        <v>3100</v>
      </c>
      <c r="F448" s="362"/>
      <c r="G448" s="362">
        <v>8.0</v>
      </c>
      <c r="H448" s="362">
        <v>7.0</v>
      </c>
      <c r="I448" s="363" t="s">
        <v>3106</v>
      </c>
    </row>
    <row r="449">
      <c r="A449" s="355">
        <v>35.0</v>
      </c>
      <c r="B449" s="356" t="s">
        <v>5002</v>
      </c>
      <c r="C449" s="356">
        <v>2.42510409E8</v>
      </c>
      <c r="D449" s="356" t="s">
        <v>5003</v>
      </c>
      <c r="E449" s="364" t="s">
        <v>3100</v>
      </c>
      <c r="F449" s="362"/>
      <c r="G449" s="362">
        <v>8.0</v>
      </c>
      <c r="H449" s="362">
        <v>5.0</v>
      </c>
      <c r="I449" s="363"/>
    </row>
    <row r="450">
      <c r="A450" s="355">
        <v>36.0</v>
      </c>
      <c r="B450" s="356" t="s">
        <v>5004</v>
      </c>
      <c r="C450" s="356">
        <v>2.4251042E8</v>
      </c>
      <c r="D450" s="356" t="s">
        <v>5005</v>
      </c>
      <c r="E450" s="364" t="s">
        <v>3100</v>
      </c>
      <c r="F450" s="362"/>
      <c r="G450" s="362">
        <v>8.0</v>
      </c>
      <c r="H450" s="362">
        <v>7.0</v>
      </c>
      <c r="I450" s="363" t="s">
        <v>3106</v>
      </c>
    </row>
    <row r="451">
      <c r="A451" s="355">
        <v>37.0</v>
      </c>
      <c r="B451" s="364"/>
      <c r="C451" s="364"/>
      <c r="D451" s="364"/>
      <c r="E451" s="364"/>
      <c r="F451" s="364"/>
      <c r="G451" s="364"/>
      <c r="H451" s="364"/>
      <c r="I451" s="365"/>
    </row>
    <row r="452">
      <c r="A452" s="355">
        <v>38.0</v>
      </c>
      <c r="B452" s="364"/>
      <c r="C452" s="364"/>
      <c r="D452" s="364"/>
      <c r="E452" s="364"/>
      <c r="F452" s="364"/>
      <c r="G452" s="364"/>
      <c r="H452" s="364"/>
      <c r="I452" s="365"/>
    </row>
    <row r="453">
      <c r="A453" s="355">
        <v>39.0</v>
      </c>
      <c r="B453" s="364"/>
      <c r="C453" s="364"/>
      <c r="D453" s="364"/>
      <c r="E453" s="364"/>
      <c r="F453" s="364"/>
      <c r="G453" s="364"/>
      <c r="H453" s="364"/>
      <c r="I453" s="365"/>
    </row>
    <row r="454">
      <c r="A454" s="365"/>
      <c r="B454" s="366" t="s">
        <v>3101</v>
      </c>
      <c r="C454" s="365"/>
      <c r="D454" s="367">
        <f>COUNTIF(E415:E453,"L")</f>
        <v>13</v>
      </c>
      <c r="E454" s="365"/>
      <c r="F454" s="365"/>
      <c r="G454" s="365"/>
      <c r="H454" s="365"/>
      <c r="I454" s="365"/>
    </row>
    <row r="455">
      <c r="A455" s="365"/>
      <c r="B455" s="366" t="s">
        <v>3102</v>
      </c>
      <c r="C455" s="365"/>
      <c r="D455" s="367">
        <f>COUNTIF(E415:E453,"P")</f>
        <v>23</v>
      </c>
      <c r="E455" s="365"/>
      <c r="F455" s="365"/>
      <c r="G455" s="365"/>
      <c r="H455" s="365"/>
      <c r="I455" s="365"/>
    </row>
    <row r="456">
      <c r="A456" s="365"/>
      <c r="B456" s="366" t="s">
        <v>3104</v>
      </c>
      <c r="C456" s="365"/>
      <c r="D456" s="367">
        <f>SUM(D454:D455)</f>
        <v>36</v>
      </c>
      <c r="E456" s="365"/>
      <c r="F456" s="365"/>
      <c r="G456" s="365"/>
      <c r="H456" s="365"/>
      <c r="I456" s="365"/>
    </row>
    <row r="457">
      <c r="A457" s="365"/>
      <c r="B457" s="365"/>
      <c r="C457" s="365"/>
      <c r="D457" s="365"/>
      <c r="E457" s="365"/>
      <c r="F457" s="365"/>
      <c r="G457" s="365"/>
      <c r="H457" s="365"/>
      <c r="I457" s="365"/>
    </row>
    <row r="458">
      <c r="A458" s="365"/>
      <c r="B458" s="365"/>
      <c r="C458" s="365"/>
      <c r="D458" s="365"/>
      <c r="E458" s="365"/>
      <c r="F458" s="365"/>
      <c r="G458" s="365"/>
      <c r="H458" s="365"/>
      <c r="I458" s="365"/>
    </row>
    <row r="459">
      <c r="A459" s="368" t="s">
        <v>4387</v>
      </c>
      <c r="B459" s="368"/>
      <c r="C459" s="368"/>
      <c r="D459" s="368"/>
      <c r="E459" s="368"/>
      <c r="F459" s="368"/>
      <c r="G459" s="368"/>
      <c r="H459" s="368"/>
      <c r="I459" s="187"/>
    </row>
    <row r="460">
      <c r="A460" s="369" t="s">
        <v>4388</v>
      </c>
      <c r="B460" s="370"/>
      <c r="C460" s="370"/>
      <c r="D460" s="370"/>
      <c r="E460" s="370"/>
      <c r="F460" s="370"/>
      <c r="G460" s="370"/>
      <c r="H460" s="371"/>
      <c r="I460" s="332"/>
    </row>
    <row r="461">
      <c r="A461" s="329" t="s">
        <v>4310</v>
      </c>
      <c r="B461" s="330"/>
      <c r="C461" s="330"/>
      <c r="D461" s="330"/>
      <c r="E461" s="330"/>
      <c r="F461" s="330"/>
      <c r="G461" s="330"/>
      <c r="H461" s="331"/>
      <c r="I461" s="332"/>
    </row>
    <row r="462">
      <c r="A462" s="334" t="s">
        <v>5006</v>
      </c>
      <c r="B462" s="335"/>
      <c r="C462" s="335"/>
      <c r="D462" s="335"/>
      <c r="E462" s="335"/>
      <c r="F462" s="335"/>
      <c r="G462" s="335"/>
      <c r="H462" s="336"/>
      <c r="I462" s="337"/>
    </row>
    <row r="463">
      <c r="A463" s="338" t="s">
        <v>5007</v>
      </c>
      <c r="B463" s="339"/>
      <c r="C463" s="339"/>
      <c r="D463" s="339"/>
      <c r="E463" s="339"/>
      <c r="F463" s="339"/>
      <c r="G463" s="340"/>
      <c r="H463" s="340"/>
      <c r="I463" s="341"/>
    </row>
    <row r="464">
      <c r="A464" s="342" t="s">
        <v>1735</v>
      </c>
      <c r="B464" s="342" t="s">
        <v>1736</v>
      </c>
      <c r="C464" s="342" t="s">
        <v>1737</v>
      </c>
      <c r="D464" s="342" t="s">
        <v>1738</v>
      </c>
      <c r="E464" s="342" t="s">
        <v>1815</v>
      </c>
      <c r="F464" s="343"/>
      <c r="G464" s="343" t="s">
        <v>3097</v>
      </c>
      <c r="H464" s="344"/>
      <c r="I464" s="345"/>
    </row>
    <row r="465">
      <c r="A465" s="346"/>
      <c r="B465" s="346"/>
      <c r="C465" s="346"/>
      <c r="D465" s="346"/>
      <c r="E465" s="346"/>
      <c r="F465" s="422"/>
      <c r="G465" s="348" t="s">
        <v>3094</v>
      </c>
      <c r="H465" s="349" t="s">
        <v>4309</v>
      </c>
      <c r="I465" s="350"/>
    </row>
    <row r="466">
      <c r="A466" s="351"/>
      <c r="B466" s="351"/>
      <c r="C466" s="351"/>
      <c r="D466" s="351"/>
      <c r="E466" s="351"/>
      <c r="F466" s="422"/>
      <c r="G466" s="353"/>
      <c r="H466" s="354"/>
      <c r="I466" s="350"/>
    </row>
    <row r="467">
      <c r="A467" s="355">
        <v>1.0</v>
      </c>
      <c r="B467" s="356" t="s">
        <v>5008</v>
      </c>
      <c r="C467" s="356">
        <v>2.42510007E8</v>
      </c>
      <c r="D467" s="356" t="s">
        <v>5009</v>
      </c>
      <c r="E467" s="356" t="s">
        <v>3099</v>
      </c>
      <c r="F467" s="357" t="s">
        <v>5010</v>
      </c>
      <c r="G467" s="357">
        <v>7.0</v>
      </c>
      <c r="H467" s="357">
        <v>0.0</v>
      </c>
      <c r="I467" s="358"/>
    </row>
    <row r="468">
      <c r="A468" s="355">
        <v>2.0</v>
      </c>
      <c r="B468" s="356" t="s">
        <v>5011</v>
      </c>
      <c r="C468" s="356">
        <v>2.42510015E8</v>
      </c>
      <c r="D468" s="356" t="s">
        <v>5012</v>
      </c>
      <c r="E468" s="356" t="s">
        <v>3100</v>
      </c>
      <c r="F468" s="357" t="s">
        <v>4938</v>
      </c>
      <c r="G468" s="357">
        <v>8.0</v>
      </c>
      <c r="H468" s="357">
        <v>0.0</v>
      </c>
      <c r="I468" s="358"/>
    </row>
    <row r="469">
      <c r="A469" s="355">
        <v>3.0</v>
      </c>
      <c r="B469" s="356" t="s">
        <v>5013</v>
      </c>
      <c r="C469" s="356">
        <v>2.42510029E8</v>
      </c>
      <c r="D469" s="356" t="s">
        <v>5014</v>
      </c>
      <c r="E469" s="356" t="s">
        <v>3100</v>
      </c>
      <c r="F469" s="357"/>
      <c r="G469" s="357">
        <v>8.0</v>
      </c>
      <c r="H469" s="357">
        <v>5.0</v>
      </c>
      <c r="I469" s="358"/>
    </row>
    <row r="470">
      <c r="A470" s="355">
        <v>4.0</v>
      </c>
      <c r="B470" s="356" t="s">
        <v>5015</v>
      </c>
      <c r="C470" s="356">
        <v>2.42510034E8</v>
      </c>
      <c r="D470" s="356" t="s">
        <v>5016</v>
      </c>
      <c r="E470" s="356" t="s">
        <v>3100</v>
      </c>
      <c r="F470" s="357"/>
      <c r="G470" s="357">
        <v>8.0</v>
      </c>
      <c r="H470" s="357">
        <v>1.0</v>
      </c>
      <c r="I470" s="358"/>
    </row>
    <row r="471">
      <c r="A471" s="355">
        <v>5.0</v>
      </c>
      <c r="B471" s="356" t="s">
        <v>5017</v>
      </c>
      <c r="C471" s="356">
        <v>2.42510044E8</v>
      </c>
      <c r="D471" s="356" t="s">
        <v>5018</v>
      </c>
      <c r="E471" s="356" t="s">
        <v>3100</v>
      </c>
      <c r="F471" s="357"/>
      <c r="G471" s="357">
        <v>8.0</v>
      </c>
      <c r="H471" s="357">
        <v>2.0</v>
      </c>
      <c r="I471" s="358"/>
    </row>
    <row r="472">
      <c r="A472" s="355">
        <v>6.0</v>
      </c>
      <c r="B472" s="356" t="s">
        <v>5019</v>
      </c>
      <c r="C472" s="356">
        <v>2.42510054E8</v>
      </c>
      <c r="D472" s="356" t="s">
        <v>5020</v>
      </c>
      <c r="E472" s="356" t="s">
        <v>3099</v>
      </c>
      <c r="F472" s="357"/>
      <c r="G472" s="357"/>
      <c r="H472" s="357"/>
      <c r="I472" s="358"/>
    </row>
    <row r="473">
      <c r="A473" s="355">
        <v>7.0</v>
      </c>
      <c r="B473" s="356" t="s">
        <v>5021</v>
      </c>
      <c r="C473" s="356">
        <v>2.42510056E8</v>
      </c>
      <c r="D473" s="356" t="s">
        <v>5022</v>
      </c>
      <c r="E473" s="356" t="s">
        <v>3100</v>
      </c>
      <c r="F473" s="357"/>
      <c r="G473" s="357">
        <v>8.0</v>
      </c>
      <c r="H473" s="357">
        <v>1.0</v>
      </c>
      <c r="I473" s="358"/>
    </row>
    <row r="474">
      <c r="A474" s="355">
        <v>8.0</v>
      </c>
      <c r="B474" s="356" t="s">
        <v>5023</v>
      </c>
      <c r="C474" s="356">
        <v>2.42510062E8</v>
      </c>
      <c r="D474" s="356" t="s">
        <v>5024</v>
      </c>
      <c r="E474" s="356" t="s">
        <v>3099</v>
      </c>
      <c r="F474" s="357"/>
      <c r="G474" s="357">
        <v>7.0</v>
      </c>
      <c r="H474" s="357">
        <v>2.0</v>
      </c>
      <c r="I474" s="358"/>
    </row>
    <row r="475">
      <c r="A475" s="355">
        <v>9.0</v>
      </c>
      <c r="B475" s="356" t="s">
        <v>5025</v>
      </c>
      <c r="C475" s="356">
        <v>2.42510086E8</v>
      </c>
      <c r="D475" s="356" t="s">
        <v>5026</v>
      </c>
      <c r="E475" s="356" t="s">
        <v>3099</v>
      </c>
      <c r="F475" s="357"/>
      <c r="G475" s="357">
        <v>7.0</v>
      </c>
      <c r="H475" s="357">
        <v>0.0</v>
      </c>
      <c r="I475" s="358"/>
    </row>
    <row r="476">
      <c r="A476" s="355">
        <v>10.0</v>
      </c>
      <c r="B476" s="356" t="s">
        <v>5027</v>
      </c>
      <c r="C476" s="356">
        <v>2.42510091E8</v>
      </c>
      <c r="D476" s="356" t="s">
        <v>5028</v>
      </c>
      <c r="E476" s="356" t="s">
        <v>3100</v>
      </c>
      <c r="F476" s="357"/>
      <c r="G476" s="357">
        <v>8.0</v>
      </c>
      <c r="H476" s="357">
        <v>0.0</v>
      </c>
      <c r="I476" s="358"/>
    </row>
    <row r="477">
      <c r="A477" s="355">
        <v>11.0</v>
      </c>
      <c r="B477" s="356" t="s">
        <v>5029</v>
      </c>
      <c r="C477" s="356">
        <v>2.42510109E8</v>
      </c>
      <c r="D477" s="356" t="s">
        <v>5030</v>
      </c>
      <c r="E477" s="356" t="s">
        <v>3099</v>
      </c>
      <c r="F477" s="357"/>
      <c r="G477" s="357">
        <v>7.0</v>
      </c>
      <c r="H477" s="357">
        <v>0.0</v>
      </c>
      <c r="I477" s="358"/>
    </row>
    <row r="478">
      <c r="A478" s="355">
        <v>12.0</v>
      </c>
      <c r="B478" s="356" t="s">
        <v>5031</v>
      </c>
      <c r="C478" s="356">
        <v>2.42510111E8</v>
      </c>
      <c r="D478" s="356" t="s">
        <v>5032</v>
      </c>
      <c r="E478" s="356" t="s">
        <v>3099</v>
      </c>
      <c r="F478" s="357"/>
      <c r="G478" s="357">
        <v>7.0</v>
      </c>
      <c r="H478" s="357">
        <v>0.0</v>
      </c>
      <c r="I478" s="358"/>
    </row>
    <row r="479">
      <c r="A479" s="355">
        <v>13.0</v>
      </c>
      <c r="B479" s="356" t="s">
        <v>5033</v>
      </c>
      <c r="C479" s="356">
        <v>2.42510125E8</v>
      </c>
      <c r="D479" s="356" t="s">
        <v>5034</v>
      </c>
      <c r="E479" s="356" t="s">
        <v>3099</v>
      </c>
      <c r="F479" s="357"/>
      <c r="G479" s="357">
        <v>7.0</v>
      </c>
      <c r="H479" s="357">
        <v>0.0</v>
      </c>
      <c r="I479" s="358"/>
    </row>
    <row r="480">
      <c r="A480" s="355">
        <v>14.0</v>
      </c>
      <c r="B480" s="356" t="s">
        <v>5035</v>
      </c>
      <c r="C480" s="356">
        <v>2.42510134E8</v>
      </c>
      <c r="D480" s="356" t="s">
        <v>5036</v>
      </c>
      <c r="E480" s="356" t="s">
        <v>3100</v>
      </c>
      <c r="F480" s="357"/>
      <c r="G480" s="357">
        <v>8.0</v>
      </c>
      <c r="H480" s="357">
        <v>2.0</v>
      </c>
      <c r="I480" s="358"/>
    </row>
    <row r="481">
      <c r="A481" s="355">
        <v>15.0</v>
      </c>
      <c r="B481" s="356" t="s">
        <v>5037</v>
      </c>
      <c r="C481" s="356">
        <v>2.42510167E8</v>
      </c>
      <c r="D481" s="356" t="s">
        <v>5038</v>
      </c>
      <c r="E481" s="356" t="s">
        <v>3100</v>
      </c>
      <c r="F481" s="357"/>
      <c r="G481" s="357">
        <v>8.0</v>
      </c>
      <c r="H481" s="357">
        <v>5.0</v>
      </c>
      <c r="I481" s="358"/>
    </row>
    <row r="482">
      <c r="A482" s="355">
        <v>16.0</v>
      </c>
      <c r="B482" s="356" t="s">
        <v>5039</v>
      </c>
      <c r="C482" s="356">
        <v>2.42510169E8</v>
      </c>
      <c r="D482" s="356" t="s">
        <v>5040</v>
      </c>
      <c r="E482" s="356" t="s">
        <v>3100</v>
      </c>
      <c r="F482" s="357"/>
      <c r="G482" s="357">
        <v>8.0</v>
      </c>
      <c r="H482" s="357">
        <v>5.0</v>
      </c>
      <c r="I482" s="358"/>
    </row>
    <row r="483">
      <c r="A483" s="355">
        <v>17.0</v>
      </c>
      <c r="B483" s="356" t="s">
        <v>5041</v>
      </c>
      <c r="C483" s="356">
        <v>2.4251017E8</v>
      </c>
      <c r="D483" s="356" t="s">
        <v>5042</v>
      </c>
      <c r="E483" s="356" t="s">
        <v>3099</v>
      </c>
      <c r="F483" s="357"/>
      <c r="G483" s="357">
        <v>7.0</v>
      </c>
      <c r="H483" s="357">
        <v>3.0</v>
      </c>
      <c r="I483" s="358"/>
    </row>
    <row r="484">
      <c r="A484" s="355">
        <v>18.0</v>
      </c>
      <c r="B484" s="356" t="s">
        <v>5043</v>
      </c>
      <c r="C484" s="356">
        <v>2.4251018E8</v>
      </c>
      <c r="D484" s="356" t="s">
        <v>5044</v>
      </c>
      <c r="E484" s="356" t="s">
        <v>3099</v>
      </c>
      <c r="F484" s="357"/>
      <c r="G484" s="357"/>
      <c r="H484" s="357"/>
      <c r="I484" s="358"/>
    </row>
    <row r="485">
      <c r="A485" s="355">
        <v>19.0</v>
      </c>
      <c r="B485" s="356" t="s">
        <v>5045</v>
      </c>
      <c r="C485" s="356">
        <v>2.42510182E8</v>
      </c>
      <c r="D485" s="356" t="s">
        <v>5046</v>
      </c>
      <c r="E485" s="356" t="s">
        <v>3100</v>
      </c>
      <c r="F485" s="357"/>
      <c r="G485" s="357">
        <v>8.0</v>
      </c>
      <c r="H485" s="357">
        <v>5.0</v>
      </c>
      <c r="I485" s="358"/>
    </row>
    <row r="486">
      <c r="A486" s="355">
        <v>20.0</v>
      </c>
      <c r="B486" s="356" t="s">
        <v>5047</v>
      </c>
      <c r="C486" s="356">
        <v>2.42510209E8</v>
      </c>
      <c r="D486" s="356" t="s">
        <v>5048</v>
      </c>
      <c r="E486" s="356" t="s">
        <v>3100</v>
      </c>
      <c r="F486" s="357"/>
      <c r="G486" s="357">
        <v>8.0</v>
      </c>
      <c r="H486" s="357">
        <v>3.0</v>
      </c>
      <c r="I486" s="358"/>
    </row>
    <row r="487">
      <c r="A487" s="355">
        <v>21.0</v>
      </c>
      <c r="B487" s="356" t="s">
        <v>5049</v>
      </c>
      <c r="C487" s="356">
        <v>2.42510217E8</v>
      </c>
      <c r="D487" s="356" t="s">
        <v>5050</v>
      </c>
      <c r="E487" s="356" t="s">
        <v>3099</v>
      </c>
      <c r="F487" s="357"/>
      <c r="G487" s="357">
        <v>7.0</v>
      </c>
      <c r="H487" s="357">
        <v>0.0</v>
      </c>
      <c r="I487" s="358"/>
    </row>
    <row r="488">
      <c r="A488" s="355">
        <v>22.0</v>
      </c>
      <c r="B488" s="356" t="s">
        <v>5051</v>
      </c>
      <c r="C488" s="356">
        <v>2.42510242E8</v>
      </c>
      <c r="D488" s="356" t="s">
        <v>5052</v>
      </c>
      <c r="E488" s="356" t="s">
        <v>3099</v>
      </c>
      <c r="F488" s="357"/>
      <c r="G488" s="357">
        <v>7.0</v>
      </c>
      <c r="H488" s="357">
        <v>0.0</v>
      </c>
      <c r="I488" s="358"/>
    </row>
    <row r="489">
      <c r="A489" s="355">
        <v>23.0</v>
      </c>
      <c r="B489" s="356" t="s">
        <v>5053</v>
      </c>
      <c r="C489" s="356">
        <v>2.42510294E8</v>
      </c>
      <c r="D489" s="356" t="s">
        <v>5054</v>
      </c>
      <c r="E489" s="356" t="s">
        <v>3099</v>
      </c>
      <c r="F489" s="357"/>
      <c r="G489" s="357">
        <v>7.0</v>
      </c>
      <c r="H489" s="357">
        <v>4.0</v>
      </c>
      <c r="I489" s="358"/>
    </row>
    <row r="490">
      <c r="A490" s="355">
        <v>24.0</v>
      </c>
      <c r="B490" s="356" t="s">
        <v>5055</v>
      </c>
      <c r="C490" s="356">
        <v>2.42510299E8</v>
      </c>
      <c r="D490" s="356" t="s">
        <v>5056</v>
      </c>
      <c r="E490" s="356" t="s">
        <v>3100</v>
      </c>
      <c r="F490" s="357"/>
      <c r="G490" s="357">
        <v>8.0</v>
      </c>
      <c r="H490" s="357">
        <v>4.0</v>
      </c>
      <c r="I490" s="358"/>
    </row>
    <row r="491">
      <c r="A491" s="355">
        <v>25.0</v>
      </c>
      <c r="B491" s="356" t="s">
        <v>5057</v>
      </c>
      <c r="C491" s="356">
        <v>2.42510302E8</v>
      </c>
      <c r="D491" s="356" t="s">
        <v>5058</v>
      </c>
      <c r="E491" s="356" t="s">
        <v>3100</v>
      </c>
      <c r="F491" s="357"/>
      <c r="G491" s="357">
        <v>8.0</v>
      </c>
      <c r="H491" s="357">
        <v>3.0</v>
      </c>
      <c r="I491" s="358"/>
    </row>
    <row r="492">
      <c r="A492" s="355">
        <v>26.0</v>
      </c>
      <c r="B492" s="356" t="s">
        <v>5059</v>
      </c>
      <c r="C492" s="356">
        <v>2.42510326E8</v>
      </c>
      <c r="D492" s="356" t="s">
        <v>5060</v>
      </c>
      <c r="E492" s="356" t="s">
        <v>3100</v>
      </c>
      <c r="F492" s="357"/>
      <c r="G492" s="357">
        <v>8.0</v>
      </c>
      <c r="H492" s="357">
        <v>5.0</v>
      </c>
      <c r="I492" s="358"/>
    </row>
    <row r="493">
      <c r="A493" s="355">
        <v>27.0</v>
      </c>
      <c r="B493" s="356" t="s">
        <v>5061</v>
      </c>
      <c r="C493" s="356">
        <v>2.42510327E8</v>
      </c>
      <c r="D493" s="356" t="s">
        <v>5062</v>
      </c>
      <c r="E493" s="356" t="s">
        <v>3100</v>
      </c>
      <c r="F493" s="357"/>
      <c r="G493" s="357">
        <v>8.0</v>
      </c>
      <c r="H493" s="357">
        <v>5.0</v>
      </c>
      <c r="I493" s="358"/>
    </row>
    <row r="494">
      <c r="A494" s="355">
        <v>28.0</v>
      </c>
      <c r="B494" s="356" t="s">
        <v>5063</v>
      </c>
      <c r="C494" s="356">
        <v>2.42510328E8</v>
      </c>
      <c r="D494" s="356" t="s">
        <v>5064</v>
      </c>
      <c r="E494" s="356" t="s">
        <v>3100</v>
      </c>
      <c r="F494" s="357"/>
      <c r="G494" s="357">
        <v>8.0</v>
      </c>
      <c r="H494" s="357">
        <v>4.0</v>
      </c>
      <c r="I494" s="358"/>
    </row>
    <row r="495">
      <c r="A495" s="355">
        <v>29.0</v>
      </c>
      <c r="B495" s="356" t="s">
        <v>5065</v>
      </c>
      <c r="C495" s="356">
        <v>2.42510343E8</v>
      </c>
      <c r="D495" s="356" t="s">
        <v>5066</v>
      </c>
      <c r="E495" s="356" t="s">
        <v>3100</v>
      </c>
      <c r="F495" s="357"/>
      <c r="G495" s="357">
        <v>8.0</v>
      </c>
      <c r="H495" s="357">
        <v>2.0</v>
      </c>
      <c r="I495" s="358"/>
    </row>
    <row r="496">
      <c r="A496" s="355">
        <v>30.0</v>
      </c>
      <c r="B496" s="356" t="s">
        <v>5067</v>
      </c>
      <c r="C496" s="356">
        <v>2.42510357E8</v>
      </c>
      <c r="D496" s="356" t="s">
        <v>5068</v>
      </c>
      <c r="E496" s="356" t="s">
        <v>3099</v>
      </c>
      <c r="F496" s="362"/>
      <c r="G496" s="362">
        <v>7.0</v>
      </c>
      <c r="H496" s="362">
        <v>0.0</v>
      </c>
      <c r="I496" s="363"/>
    </row>
    <row r="497">
      <c r="A497" s="355">
        <v>31.0</v>
      </c>
      <c r="B497" s="356" t="s">
        <v>5069</v>
      </c>
      <c r="C497" s="356">
        <v>2.42510362E8</v>
      </c>
      <c r="D497" s="356" t="s">
        <v>5070</v>
      </c>
      <c r="E497" s="356" t="s">
        <v>3100</v>
      </c>
      <c r="F497" s="362"/>
      <c r="G497" s="362">
        <v>8.0</v>
      </c>
      <c r="H497" s="362">
        <v>7.0</v>
      </c>
      <c r="I497" s="363"/>
    </row>
    <row r="498">
      <c r="A498" s="355">
        <v>32.0</v>
      </c>
      <c r="B498" s="356" t="s">
        <v>5071</v>
      </c>
      <c r="C498" s="356">
        <v>2.42510373E8</v>
      </c>
      <c r="D498" s="356" t="s">
        <v>5072</v>
      </c>
      <c r="E498" s="356" t="s">
        <v>3100</v>
      </c>
      <c r="F498" s="362"/>
      <c r="G498" s="362">
        <v>8.0</v>
      </c>
      <c r="H498" s="360"/>
      <c r="I498" s="361"/>
    </row>
    <row r="499">
      <c r="A499" s="355">
        <v>33.0</v>
      </c>
      <c r="B499" s="356" t="s">
        <v>5073</v>
      </c>
      <c r="C499" s="356">
        <v>2.42510376E8</v>
      </c>
      <c r="D499" s="356" t="s">
        <v>5074</v>
      </c>
      <c r="E499" s="356" t="s">
        <v>3099</v>
      </c>
      <c r="F499" s="362"/>
      <c r="G499" s="362">
        <v>8.0</v>
      </c>
      <c r="H499" s="362">
        <v>7.0</v>
      </c>
      <c r="I499" s="363" t="s">
        <v>3106</v>
      </c>
    </row>
    <row r="500">
      <c r="A500" s="355">
        <v>34.0</v>
      </c>
      <c r="B500" s="356" t="s">
        <v>5075</v>
      </c>
      <c r="C500" s="356">
        <v>2.42510391E8</v>
      </c>
      <c r="D500" s="356" t="s">
        <v>5076</v>
      </c>
      <c r="E500" s="356" t="s">
        <v>3100</v>
      </c>
      <c r="F500" s="362"/>
      <c r="G500" s="362">
        <v>8.0</v>
      </c>
      <c r="H500" s="362">
        <v>7.0</v>
      </c>
      <c r="I500" s="363"/>
    </row>
    <row r="501">
      <c r="A501" s="355">
        <v>35.0</v>
      </c>
      <c r="B501" s="356" t="s">
        <v>5077</v>
      </c>
      <c r="C501" s="356">
        <v>2.42510394E8</v>
      </c>
      <c r="D501" s="356" t="s">
        <v>5078</v>
      </c>
      <c r="E501" s="356" t="s">
        <v>3100</v>
      </c>
      <c r="F501" s="362"/>
      <c r="G501" s="362">
        <v>8.0</v>
      </c>
      <c r="H501" s="362">
        <v>4.0</v>
      </c>
      <c r="I501" s="363"/>
    </row>
    <row r="502">
      <c r="A502" s="355">
        <v>36.0</v>
      </c>
      <c r="B502" s="356" t="s">
        <v>5079</v>
      </c>
      <c r="C502" s="356">
        <v>2.4251041E8</v>
      </c>
      <c r="D502" s="356" t="s">
        <v>5080</v>
      </c>
      <c r="E502" s="356" t="s">
        <v>3100</v>
      </c>
      <c r="F502" s="362"/>
      <c r="G502" s="362">
        <v>8.0</v>
      </c>
      <c r="H502" s="362">
        <v>1.0</v>
      </c>
      <c r="I502" s="363"/>
    </row>
    <row r="503">
      <c r="A503" s="355">
        <v>37.0</v>
      </c>
      <c r="B503" s="364"/>
      <c r="C503" s="364"/>
      <c r="D503" s="364"/>
      <c r="E503" s="364"/>
      <c r="F503" s="364"/>
      <c r="G503" s="364"/>
      <c r="H503" s="364"/>
      <c r="I503" s="365"/>
    </row>
    <row r="504">
      <c r="A504" s="365"/>
      <c r="B504" s="365"/>
      <c r="C504" s="365"/>
      <c r="D504" s="365"/>
      <c r="E504" s="365"/>
      <c r="F504" s="365"/>
      <c r="G504" s="365"/>
      <c r="H504" s="365"/>
      <c r="I504" s="365"/>
    </row>
    <row r="505">
      <c r="A505" s="365"/>
      <c r="B505" s="366" t="s">
        <v>3101</v>
      </c>
      <c r="C505" s="365"/>
      <c r="D505" s="367">
        <f>COUNTIF(E467:E504,"L")</f>
        <v>14</v>
      </c>
      <c r="E505" s="365"/>
      <c r="F505" s="365"/>
      <c r="G505" s="365"/>
      <c r="H505" s="365"/>
      <c r="I505" s="365"/>
    </row>
    <row r="506">
      <c r="A506" s="365"/>
      <c r="B506" s="366" t="s">
        <v>3102</v>
      </c>
      <c r="C506" s="365"/>
      <c r="D506" s="367">
        <f>COUNTIF(E467:E504,"P")</f>
        <v>22</v>
      </c>
      <c r="E506" s="365"/>
      <c r="F506" s="365"/>
      <c r="G506" s="365"/>
      <c r="H506" s="365"/>
      <c r="I506" s="365"/>
    </row>
    <row r="507">
      <c r="A507" s="365"/>
      <c r="B507" s="366" t="s">
        <v>3104</v>
      </c>
      <c r="C507" s="365"/>
      <c r="D507" s="367">
        <f>SUM(D505:D506)</f>
        <v>36</v>
      </c>
      <c r="E507" s="365"/>
      <c r="F507" s="365"/>
      <c r="G507" s="365"/>
      <c r="H507" s="365"/>
      <c r="I507" s="365"/>
    </row>
    <row r="508">
      <c r="A508" s="365"/>
      <c r="B508" s="365"/>
      <c r="C508" s="365"/>
      <c r="D508" s="365"/>
      <c r="E508" s="365"/>
      <c r="F508" s="365"/>
      <c r="G508" s="365"/>
      <c r="H508" s="365"/>
      <c r="I508" s="365"/>
    </row>
    <row r="509">
      <c r="A509" s="368" t="s">
        <v>4387</v>
      </c>
      <c r="B509" s="368"/>
      <c r="C509" s="368"/>
      <c r="D509" s="368"/>
      <c r="E509" s="368"/>
      <c r="F509" s="368"/>
      <c r="G509" s="368"/>
      <c r="H509" s="368"/>
      <c r="I509" s="187"/>
    </row>
    <row r="510">
      <c r="A510" s="369" t="s">
        <v>4388</v>
      </c>
      <c r="B510" s="370"/>
      <c r="C510" s="370"/>
      <c r="D510" s="370"/>
      <c r="E510" s="370"/>
      <c r="F510" s="370"/>
      <c r="G510" s="370"/>
      <c r="H510" s="371"/>
      <c r="I510" s="332"/>
    </row>
    <row r="511">
      <c r="A511" s="329" t="s">
        <v>4310</v>
      </c>
      <c r="B511" s="330"/>
      <c r="C511" s="330"/>
      <c r="D511" s="330"/>
      <c r="E511" s="330"/>
      <c r="F511" s="330"/>
      <c r="G511" s="330"/>
      <c r="H511" s="331"/>
      <c r="I511" s="332"/>
    </row>
    <row r="512">
      <c r="A512" s="334" t="s">
        <v>5081</v>
      </c>
      <c r="B512" s="335"/>
      <c r="C512" s="335"/>
      <c r="D512" s="335"/>
      <c r="E512" s="335"/>
      <c r="F512" s="335"/>
      <c r="G512" s="335"/>
      <c r="H512" s="336"/>
      <c r="I512" s="337"/>
    </row>
    <row r="513">
      <c r="A513" s="338" t="s">
        <v>5082</v>
      </c>
      <c r="B513" s="339"/>
      <c r="C513" s="339"/>
      <c r="D513" s="339"/>
      <c r="E513" s="339"/>
      <c r="F513" s="339"/>
      <c r="G513" s="340"/>
      <c r="H513" s="340"/>
      <c r="I513" s="341"/>
    </row>
    <row r="514">
      <c r="A514" s="342" t="s">
        <v>1735</v>
      </c>
      <c r="B514" s="342" t="s">
        <v>1736</v>
      </c>
      <c r="C514" s="342" t="s">
        <v>1737</v>
      </c>
      <c r="D514" s="342" t="s">
        <v>1738</v>
      </c>
      <c r="E514" s="342" t="s">
        <v>1815</v>
      </c>
      <c r="F514" s="343"/>
      <c r="G514" s="343" t="s">
        <v>3097</v>
      </c>
      <c r="H514" s="344"/>
      <c r="I514" s="345"/>
    </row>
    <row r="515">
      <c r="A515" s="346"/>
      <c r="B515" s="346"/>
      <c r="C515" s="346"/>
      <c r="D515" s="346"/>
      <c r="E515" s="346"/>
      <c r="F515" s="413" t="s">
        <v>2483</v>
      </c>
      <c r="G515" s="348" t="s">
        <v>3094</v>
      </c>
      <c r="H515" s="349" t="s">
        <v>4309</v>
      </c>
      <c r="I515" s="350"/>
    </row>
    <row r="516">
      <c r="A516" s="414"/>
      <c r="B516" s="351"/>
      <c r="C516" s="351"/>
      <c r="D516" s="351"/>
      <c r="E516" s="351"/>
      <c r="F516" s="415"/>
      <c r="G516" s="353"/>
      <c r="H516" s="354"/>
      <c r="I516" s="350"/>
    </row>
    <row r="517">
      <c r="A517" s="416">
        <v>1.0</v>
      </c>
      <c r="B517" s="356" t="s">
        <v>5083</v>
      </c>
      <c r="C517" s="356">
        <v>2.42510008E8</v>
      </c>
      <c r="D517" s="356" t="s">
        <v>5084</v>
      </c>
      <c r="E517" s="356" t="s">
        <v>3099</v>
      </c>
      <c r="F517" s="357" t="s">
        <v>5010</v>
      </c>
      <c r="G517" s="357">
        <v>7.0</v>
      </c>
      <c r="H517" s="357">
        <v>3.0</v>
      </c>
      <c r="I517" s="358"/>
    </row>
    <row r="518">
      <c r="A518" s="355">
        <v>2.0</v>
      </c>
      <c r="B518" s="356" t="s">
        <v>5085</v>
      </c>
      <c r="C518" s="356">
        <v>2.42510017E8</v>
      </c>
      <c r="D518" s="356" t="s">
        <v>5086</v>
      </c>
      <c r="E518" s="356" t="s">
        <v>3100</v>
      </c>
      <c r="F518" s="357" t="s">
        <v>5087</v>
      </c>
      <c r="G518" s="357">
        <v>7.0</v>
      </c>
      <c r="H518" s="357"/>
      <c r="I518" s="358"/>
    </row>
    <row r="519">
      <c r="A519" s="416">
        <v>3.0</v>
      </c>
      <c r="B519" s="356" t="s">
        <v>5088</v>
      </c>
      <c r="C519" s="356">
        <v>2.4251003E8</v>
      </c>
      <c r="D519" s="356" t="s">
        <v>5089</v>
      </c>
      <c r="E519" s="356" t="s">
        <v>3100</v>
      </c>
      <c r="F519" s="357"/>
      <c r="G519" s="357"/>
      <c r="H519" s="357"/>
      <c r="I519" s="358"/>
    </row>
    <row r="520">
      <c r="A520" s="355">
        <v>4.0</v>
      </c>
      <c r="B520" s="356" t="s">
        <v>5090</v>
      </c>
      <c r="C520" s="356">
        <v>2.4251004E8</v>
      </c>
      <c r="D520" s="356" t="s">
        <v>5091</v>
      </c>
      <c r="E520" s="356" t="s">
        <v>3100</v>
      </c>
      <c r="F520" s="357"/>
      <c r="G520" s="357">
        <v>7.0</v>
      </c>
      <c r="H520" s="357">
        <v>3.0</v>
      </c>
      <c r="I520" s="358"/>
    </row>
    <row r="521">
      <c r="A521" s="416">
        <v>5.0</v>
      </c>
      <c r="B521" s="356" t="s">
        <v>5092</v>
      </c>
      <c r="C521" s="356">
        <v>2.42510073E8</v>
      </c>
      <c r="D521" s="356" t="s">
        <v>5093</v>
      </c>
      <c r="E521" s="356" t="s">
        <v>3100</v>
      </c>
      <c r="F521" s="357"/>
      <c r="G521" s="357">
        <v>7.0</v>
      </c>
      <c r="H521" s="357">
        <v>6.0</v>
      </c>
      <c r="I521" s="358"/>
    </row>
    <row r="522">
      <c r="A522" s="355">
        <v>6.0</v>
      </c>
      <c r="B522" s="356" t="s">
        <v>5094</v>
      </c>
      <c r="C522" s="356">
        <v>2.42510077E8</v>
      </c>
      <c r="D522" s="356" t="s">
        <v>5095</v>
      </c>
      <c r="E522" s="356" t="s">
        <v>3100</v>
      </c>
      <c r="F522" s="357"/>
      <c r="G522" s="357">
        <v>7.0</v>
      </c>
      <c r="H522" s="357">
        <v>3.0</v>
      </c>
      <c r="I522" s="358"/>
    </row>
    <row r="523">
      <c r="A523" s="416">
        <v>7.0</v>
      </c>
      <c r="B523" s="356" t="s">
        <v>5096</v>
      </c>
      <c r="C523" s="356">
        <v>2.42510085E8</v>
      </c>
      <c r="D523" s="356" t="s">
        <v>5097</v>
      </c>
      <c r="E523" s="356" t="s">
        <v>3100</v>
      </c>
      <c r="F523" s="357"/>
      <c r="G523" s="357">
        <v>7.0</v>
      </c>
      <c r="H523" s="357">
        <v>4.0</v>
      </c>
      <c r="I523" s="358"/>
    </row>
    <row r="524">
      <c r="A524" s="355">
        <v>8.0</v>
      </c>
      <c r="B524" s="356" t="s">
        <v>5098</v>
      </c>
      <c r="C524" s="356">
        <v>2.42510108E8</v>
      </c>
      <c r="D524" s="356" t="s">
        <v>5099</v>
      </c>
      <c r="E524" s="356" t="s">
        <v>3099</v>
      </c>
      <c r="F524" s="357"/>
      <c r="G524" s="357">
        <v>7.0</v>
      </c>
      <c r="H524" s="357">
        <v>0.0</v>
      </c>
      <c r="I524" s="358"/>
    </row>
    <row r="525">
      <c r="A525" s="416">
        <v>9.0</v>
      </c>
      <c r="B525" s="356" t="s">
        <v>5100</v>
      </c>
      <c r="C525" s="356">
        <v>2.42510117E8</v>
      </c>
      <c r="D525" s="356" t="s">
        <v>5101</v>
      </c>
      <c r="E525" s="356" t="s">
        <v>3100</v>
      </c>
      <c r="F525" s="357"/>
      <c r="G525" s="357">
        <v>7.0</v>
      </c>
      <c r="H525" s="357">
        <v>2.0</v>
      </c>
      <c r="I525" s="358"/>
    </row>
    <row r="526">
      <c r="A526" s="355">
        <v>10.0</v>
      </c>
      <c r="B526" s="356" t="s">
        <v>5102</v>
      </c>
      <c r="C526" s="356">
        <v>2.42510123E8</v>
      </c>
      <c r="D526" s="356" t="s">
        <v>5103</v>
      </c>
      <c r="E526" s="356" t="s">
        <v>3099</v>
      </c>
      <c r="F526" s="357"/>
      <c r="G526" s="357"/>
      <c r="H526" s="357"/>
      <c r="I526" s="358"/>
    </row>
    <row r="527">
      <c r="A527" s="416">
        <v>11.0</v>
      </c>
      <c r="B527" s="356" t="s">
        <v>5104</v>
      </c>
      <c r="C527" s="356">
        <v>2.42510127E8</v>
      </c>
      <c r="D527" s="356" t="s">
        <v>5105</v>
      </c>
      <c r="E527" s="356" t="s">
        <v>3100</v>
      </c>
      <c r="F527" s="357"/>
      <c r="G527" s="357">
        <v>7.0</v>
      </c>
      <c r="H527" s="357"/>
      <c r="I527" s="358"/>
    </row>
    <row r="528">
      <c r="A528" s="355">
        <v>12.0</v>
      </c>
      <c r="B528" s="356" t="s">
        <v>5106</v>
      </c>
      <c r="C528" s="356">
        <v>2.42510137E8</v>
      </c>
      <c r="D528" s="356" t="s">
        <v>5107</v>
      </c>
      <c r="E528" s="356" t="s">
        <v>3099</v>
      </c>
      <c r="F528" s="357"/>
      <c r="G528" s="357"/>
      <c r="H528" s="357"/>
      <c r="I528" s="358"/>
    </row>
    <row r="529">
      <c r="A529" s="416">
        <v>13.0</v>
      </c>
      <c r="B529" s="356" t="s">
        <v>5108</v>
      </c>
      <c r="C529" s="356">
        <v>2.42510153E8</v>
      </c>
      <c r="D529" s="356" t="s">
        <v>5109</v>
      </c>
      <c r="E529" s="356" t="s">
        <v>3099</v>
      </c>
      <c r="F529" s="357"/>
      <c r="G529" s="357"/>
      <c r="H529" s="357"/>
      <c r="I529" s="358"/>
    </row>
    <row r="530">
      <c r="A530" s="355">
        <v>14.0</v>
      </c>
      <c r="B530" s="356" t="s">
        <v>5110</v>
      </c>
      <c r="C530" s="356">
        <v>2.42510157E8</v>
      </c>
      <c r="D530" s="356" t="s">
        <v>5111</v>
      </c>
      <c r="E530" s="356" t="s">
        <v>3100</v>
      </c>
      <c r="F530" s="357"/>
      <c r="G530" s="357">
        <v>7.0</v>
      </c>
      <c r="H530" s="357"/>
      <c r="I530" s="358"/>
    </row>
    <row r="531">
      <c r="A531" s="416">
        <v>15.0</v>
      </c>
      <c r="B531" s="356" t="s">
        <v>5112</v>
      </c>
      <c r="C531" s="356">
        <v>2.42510177E8</v>
      </c>
      <c r="D531" s="356" t="s">
        <v>5113</v>
      </c>
      <c r="E531" s="356" t="s">
        <v>3099</v>
      </c>
      <c r="F531" s="357"/>
      <c r="G531" s="357">
        <v>7.0</v>
      </c>
      <c r="H531" s="357">
        <v>4.0</v>
      </c>
      <c r="I531" s="358"/>
    </row>
    <row r="532">
      <c r="A532" s="355">
        <v>16.0</v>
      </c>
      <c r="B532" s="356" t="s">
        <v>5114</v>
      </c>
      <c r="C532" s="356">
        <v>2.42510187E8</v>
      </c>
      <c r="D532" s="356" t="s">
        <v>5115</v>
      </c>
      <c r="E532" s="356" t="s">
        <v>3100</v>
      </c>
      <c r="F532" s="357"/>
      <c r="G532" s="357">
        <v>7.0</v>
      </c>
      <c r="H532" s="357">
        <v>3.0</v>
      </c>
      <c r="I532" s="358"/>
    </row>
    <row r="533">
      <c r="A533" s="416">
        <v>17.0</v>
      </c>
      <c r="B533" s="356" t="s">
        <v>5116</v>
      </c>
      <c r="C533" s="356">
        <v>2.425102E8</v>
      </c>
      <c r="D533" s="356" t="s">
        <v>5117</v>
      </c>
      <c r="E533" s="356" t="s">
        <v>3100</v>
      </c>
      <c r="F533" s="357"/>
      <c r="G533" s="357">
        <v>7.0</v>
      </c>
      <c r="H533" s="357"/>
      <c r="I533" s="358"/>
    </row>
    <row r="534">
      <c r="A534" s="355">
        <v>18.0</v>
      </c>
      <c r="B534" s="356" t="s">
        <v>5118</v>
      </c>
      <c r="C534" s="356">
        <v>2.42510225E8</v>
      </c>
      <c r="D534" s="356" t="s">
        <v>5119</v>
      </c>
      <c r="E534" s="356" t="s">
        <v>3100</v>
      </c>
      <c r="F534" s="357"/>
      <c r="G534" s="357">
        <v>7.0</v>
      </c>
      <c r="H534" s="357">
        <v>5.0</v>
      </c>
      <c r="I534" s="358"/>
    </row>
    <row r="535">
      <c r="A535" s="416">
        <v>19.0</v>
      </c>
      <c r="B535" s="356" t="s">
        <v>5120</v>
      </c>
      <c r="C535" s="356">
        <v>2.42510226E8</v>
      </c>
      <c r="D535" s="356" t="s">
        <v>5121</v>
      </c>
      <c r="E535" s="356" t="s">
        <v>3099</v>
      </c>
      <c r="F535" s="357"/>
      <c r="G535" s="357">
        <v>7.0</v>
      </c>
      <c r="H535" s="357">
        <v>0.0</v>
      </c>
      <c r="I535" s="358"/>
    </row>
    <row r="536">
      <c r="A536" s="355">
        <v>20.0</v>
      </c>
      <c r="B536" s="356" t="s">
        <v>5122</v>
      </c>
      <c r="C536" s="356">
        <v>2.42510246E8</v>
      </c>
      <c r="D536" s="356" t="s">
        <v>5123</v>
      </c>
      <c r="E536" s="356" t="s">
        <v>3099</v>
      </c>
      <c r="F536" s="357"/>
      <c r="G536" s="357">
        <v>7.0</v>
      </c>
      <c r="H536" s="357">
        <v>0.0</v>
      </c>
      <c r="I536" s="358"/>
    </row>
    <row r="537">
      <c r="A537" s="416">
        <v>21.0</v>
      </c>
      <c r="B537" s="356" t="s">
        <v>5124</v>
      </c>
      <c r="C537" s="356">
        <v>2.42510256E8</v>
      </c>
      <c r="D537" s="356" t="s">
        <v>5125</v>
      </c>
      <c r="E537" s="356" t="s">
        <v>3099</v>
      </c>
      <c r="F537" s="357"/>
      <c r="G537" s="357">
        <v>7.0</v>
      </c>
      <c r="H537" s="357">
        <v>5.0</v>
      </c>
      <c r="I537" s="358"/>
    </row>
    <row r="538">
      <c r="A538" s="355">
        <v>22.0</v>
      </c>
      <c r="B538" s="356" t="s">
        <v>5126</v>
      </c>
      <c r="C538" s="356">
        <v>2.42510268E8</v>
      </c>
      <c r="D538" s="356" t="s">
        <v>5127</v>
      </c>
      <c r="E538" s="356" t="s">
        <v>3099</v>
      </c>
      <c r="F538" s="357"/>
      <c r="G538" s="357">
        <v>7.0</v>
      </c>
      <c r="H538" s="357">
        <v>4.0</v>
      </c>
      <c r="I538" s="358"/>
    </row>
    <row r="539">
      <c r="A539" s="416">
        <v>23.0</v>
      </c>
      <c r="B539" s="356" t="s">
        <v>5128</v>
      </c>
      <c r="C539" s="356">
        <v>2.42510312E8</v>
      </c>
      <c r="D539" s="356" t="s">
        <v>5129</v>
      </c>
      <c r="E539" s="356" t="s">
        <v>3100</v>
      </c>
      <c r="F539" s="357"/>
      <c r="G539" s="357"/>
      <c r="H539" s="357"/>
      <c r="I539" s="358"/>
    </row>
    <row r="540">
      <c r="A540" s="355">
        <v>24.0</v>
      </c>
      <c r="B540" s="356" t="s">
        <v>5130</v>
      </c>
      <c r="C540" s="356">
        <v>2.42510318E8</v>
      </c>
      <c r="D540" s="356" t="s">
        <v>5131</v>
      </c>
      <c r="E540" s="356" t="s">
        <v>3100</v>
      </c>
      <c r="F540" s="357"/>
      <c r="G540" s="357">
        <v>7.0</v>
      </c>
      <c r="H540" s="357">
        <v>3.0</v>
      </c>
      <c r="I540" s="358"/>
    </row>
    <row r="541">
      <c r="A541" s="416">
        <v>25.0</v>
      </c>
      <c r="B541" s="356" t="s">
        <v>5132</v>
      </c>
      <c r="C541" s="356">
        <v>2.42510321E8</v>
      </c>
      <c r="D541" s="356" t="s">
        <v>5133</v>
      </c>
      <c r="E541" s="356" t="s">
        <v>3100</v>
      </c>
      <c r="F541" s="357"/>
      <c r="G541" s="357">
        <v>7.0</v>
      </c>
      <c r="H541" s="357">
        <v>6.0</v>
      </c>
      <c r="I541" s="358"/>
    </row>
    <row r="542">
      <c r="A542" s="355">
        <v>26.0</v>
      </c>
      <c r="B542" s="356" t="s">
        <v>5134</v>
      </c>
      <c r="C542" s="356">
        <v>2.42510334E8</v>
      </c>
      <c r="D542" s="356" t="s">
        <v>5135</v>
      </c>
      <c r="E542" s="356" t="s">
        <v>3099</v>
      </c>
      <c r="F542" s="357"/>
      <c r="G542" s="357">
        <v>7.0</v>
      </c>
      <c r="H542" s="357">
        <v>1.0</v>
      </c>
      <c r="I542" s="358"/>
    </row>
    <row r="543">
      <c r="A543" s="416">
        <v>27.0</v>
      </c>
      <c r="B543" s="356" t="s">
        <v>5136</v>
      </c>
      <c r="C543" s="356">
        <v>2.42510348E8</v>
      </c>
      <c r="D543" s="356" t="s">
        <v>5137</v>
      </c>
      <c r="E543" s="356" t="s">
        <v>3100</v>
      </c>
      <c r="F543" s="357"/>
      <c r="G543" s="357">
        <v>7.0</v>
      </c>
      <c r="H543" s="357"/>
      <c r="I543" s="358"/>
    </row>
    <row r="544">
      <c r="A544" s="355">
        <v>28.0</v>
      </c>
      <c r="B544" s="356" t="s">
        <v>5138</v>
      </c>
      <c r="C544" s="356">
        <v>2.42510367E8</v>
      </c>
      <c r="D544" s="356" t="s">
        <v>5139</v>
      </c>
      <c r="E544" s="356" t="s">
        <v>3100</v>
      </c>
      <c r="F544" s="357"/>
      <c r="G544" s="357">
        <v>7.0</v>
      </c>
      <c r="H544" s="357">
        <v>3.0</v>
      </c>
      <c r="I544" s="358"/>
    </row>
    <row r="545">
      <c r="A545" s="416">
        <v>29.0</v>
      </c>
      <c r="B545" s="356" t="s">
        <v>5140</v>
      </c>
      <c r="C545" s="356">
        <v>2.42510375E8</v>
      </c>
      <c r="D545" s="356" t="s">
        <v>5141</v>
      </c>
      <c r="E545" s="356" t="s">
        <v>3099</v>
      </c>
      <c r="F545" s="357"/>
      <c r="G545" s="357"/>
      <c r="H545" s="357"/>
      <c r="I545" s="358"/>
    </row>
    <row r="546">
      <c r="A546" s="355">
        <v>30.0</v>
      </c>
      <c r="B546" s="356" t="s">
        <v>5142</v>
      </c>
      <c r="C546" s="356">
        <v>2.42510384E8</v>
      </c>
      <c r="D546" s="356" t="s">
        <v>5143</v>
      </c>
      <c r="E546" s="356" t="s">
        <v>3100</v>
      </c>
      <c r="F546" s="362"/>
      <c r="G546" s="362">
        <v>7.0</v>
      </c>
      <c r="H546" s="362"/>
      <c r="I546" s="363"/>
    </row>
    <row r="547">
      <c r="A547" s="416">
        <v>31.0</v>
      </c>
      <c r="B547" s="356" t="s">
        <v>5144</v>
      </c>
      <c r="C547" s="356">
        <v>2.42510388E8</v>
      </c>
      <c r="D547" s="356" t="s">
        <v>5145</v>
      </c>
      <c r="E547" s="356" t="s">
        <v>3100</v>
      </c>
      <c r="F547" s="362"/>
      <c r="G547" s="362">
        <v>7.0</v>
      </c>
      <c r="H547" s="362"/>
      <c r="I547" s="363"/>
    </row>
    <row r="548">
      <c r="A548" s="355">
        <v>32.0</v>
      </c>
      <c r="B548" s="356" t="s">
        <v>5146</v>
      </c>
      <c r="C548" s="356">
        <v>2.42510402E8</v>
      </c>
      <c r="D548" s="356" t="s">
        <v>5147</v>
      </c>
      <c r="E548" s="356" t="s">
        <v>3099</v>
      </c>
      <c r="F548" s="362"/>
      <c r="G548" s="362">
        <v>7.0</v>
      </c>
      <c r="H548" s="362">
        <v>1.0</v>
      </c>
      <c r="I548" s="363"/>
    </row>
    <row r="549">
      <c r="A549" s="416">
        <v>33.0</v>
      </c>
      <c r="B549" s="356" t="s">
        <v>5148</v>
      </c>
      <c r="C549" s="356">
        <v>2.42510406E8</v>
      </c>
      <c r="D549" s="356" t="s">
        <v>5149</v>
      </c>
      <c r="E549" s="356" t="s">
        <v>3100</v>
      </c>
      <c r="F549" s="362"/>
      <c r="G549" s="362">
        <v>7.0</v>
      </c>
      <c r="H549" s="362"/>
      <c r="I549" s="363"/>
    </row>
    <row r="550">
      <c r="A550" s="355">
        <v>34.0</v>
      </c>
      <c r="B550" s="356" t="s">
        <v>5150</v>
      </c>
      <c r="C550" s="356">
        <v>2.42510411E8</v>
      </c>
      <c r="D550" s="356" t="s">
        <v>5151</v>
      </c>
      <c r="E550" s="356" t="s">
        <v>3100</v>
      </c>
      <c r="F550" s="362"/>
      <c r="G550" s="362">
        <v>7.0</v>
      </c>
      <c r="H550" s="362">
        <v>3.0</v>
      </c>
      <c r="I550" s="363"/>
    </row>
    <row r="551">
      <c r="A551" s="416">
        <v>35.0</v>
      </c>
      <c r="B551" s="356" t="s">
        <v>5152</v>
      </c>
      <c r="C551" s="356">
        <v>2.42510421E8</v>
      </c>
      <c r="D551" s="356" t="s">
        <v>5153</v>
      </c>
      <c r="E551" s="356" t="s">
        <v>3100</v>
      </c>
      <c r="F551" s="362"/>
      <c r="G551" s="362">
        <v>7.0</v>
      </c>
      <c r="H551" s="362">
        <v>3.0</v>
      </c>
      <c r="I551" s="363"/>
    </row>
    <row r="552">
      <c r="A552" s="355">
        <v>36.0</v>
      </c>
      <c r="B552" s="356" t="s">
        <v>5154</v>
      </c>
      <c r="C552" s="356">
        <v>2.42510426E8</v>
      </c>
      <c r="D552" s="356" t="s">
        <v>5155</v>
      </c>
      <c r="E552" s="356" t="s">
        <v>3100</v>
      </c>
      <c r="F552" s="362"/>
      <c r="G552" s="362">
        <v>7.0</v>
      </c>
      <c r="H552" s="362">
        <v>3.0</v>
      </c>
      <c r="I552" s="363"/>
    </row>
    <row r="553">
      <c r="A553" s="365"/>
      <c r="B553" s="365"/>
      <c r="C553" s="365"/>
      <c r="D553" s="365"/>
      <c r="E553" s="365"/>
      <c r="F553" s="365"/>
      <c r="G553" s="365"/>
      <c r="H553" s="365"/>
      <c r="I553" s="365"/>
    </row>
    <row r="554">
      <c r="A554" s="365"/>
      <c r="B554" s="366" t="s">
        <v>3101</v>
      </c>
      <c r="C554" s="365"/>
      <c r="D554" s="367">
        <f>COUNTIF(E515:E553,"L")</f>
        <v>13</v>
      </c>
      <c r="E554" s="365"/>
      <c r="F554" s="365"/>
      <c r="G554" s="365"/>
      <c r="H554" s="365"/>
      <c r="I554" s="365"/>
    </row>
    <row r="555">
      <c r="A555" s="365"/>
      <c r="B555" s="366" t="s">
        <v>3102</v>
      </c>
      <c r="C555" s="365"/>
      <c r="D555" s="367">
        <f>COUNTIF(E515:E553,"P")</f>
        <v>23</v>
      </c>
      <c r="E555" s="365"/>
      <c r="F555" s="365"/>
      <c r="G555" s="365"/>
      <c r="H555" s="365"/>
      <c r="I555" s="365"/>
    </row>
    <row r="556">
      <c r="A556" s="365"/>
      <c r="B556" s="366" t="s">
        <v>3104</v>
      </c>
      <c r="C556" s="365"/>
      <c r="D556" s="367">
        <f>SUM(D554:D555)</f>
        <v>36</v>
      </c>
      <c r="E556" s="365"/>
      <c r="F556" s="365"/>
      <c r="G556" s="365"/>
      <c r="H556" s="365"/>
      <c r="I556" s="365"/>
    </row>
    <row r="557">
      <c r="A557" s="368" t="s">
        <v>4387</v>
      </c>
      <c r="B557" s="368"/>
      <c r="C557" s="368"/>
      <c r="D557" s="368"/>
      <c r="E557" s="368"/>
      <c r="F557" s="368"/>
      <c r="G557" s="368"/>
      <c r="H557" s="368"/>
      <c r="I557" s="187"/>
    </row>
    <row r="558">
      <c r="A558" s="369" t="s">
        <v>4388</v>
      </c>
      <c r="B558" s="370"/>
      <c r="C558" s="370"/>
      <c r="D558" s="370"/>
      <c r="E558" s="370"/>
      <c r="F558" s="370"/>
      <c r="G558" s="370"/>
      <c r="H558" s="371"/>
      <c r="I558" s="332"/>
    </row>
    <row r="559">
      <c r="A559" s="329" t="s">
        <v>4310</v>
      </c>
      <c r="B559" s="330"/>
      <c r="C559" s="330"/>
      <c r="D559" s="330"/>
      <c r="E559" s="330"/>
      <c r="F559" s="330"/>
      <c r="G559" s="330"/>
      <c r="H559" s="331"/>
      <c r="I559" s="332"/>
    </row>
    <row r="560">
      <c r="A560" s="334" t="s">
        <v>5156</v>
      </c>
      <c r="B560" s="335"/>
      <c r="C560" s="335"/>
      <c r="D560" s="335"/>
      <c r="E560" s="335"/>
      <c r="F560" s="335"/>
      <c r="G560" s="335"/>
      <c r="H560" s="336"/>
      <c r="I560" s="337"/>
    </row>
    <row r="561">
      <c r="A561" s="338" t="s">
        <v>5157</v>
      </c>
      <c r="B561" s="339"/>
      <c r="C561" s="339"/>
      <c r="D561" s="339"/>
      <c r="E561" s="339"/>
      <c r="F561" s="339"/>
      <c r="G561" s="340"/>
      <c r="H561" s="340"/>
      <c r="I561" s="341"/>
    </row>
    <row r="562">
      <c r="A562" s="342" t="s">
        <v>1735</v>
      </c>
      <c r="B562" s="342" t="s">
        <v>1736</v>
      </c>
      <c r="C562" s="342" t="s">
        <v>1737</v>
      </c>
      <c r="D562" s="342" t="s">
        <v>1738</v>
      </c>
      <c r="E562" s="342" t="s">
        <v>1815</v>
      </c>
      <c r="F562" s="343"/>
      <c r="G562" s="343" t="s">
        <v>3097</v>
      </c>
      <c r="H562" s="344"/>
      <c r="I562" s="345"/>
    </row>
    <row r="563">
      <c r="A563" s="346"/>
      <c r="B563" s="346"/>
      <c r="C563" s="346"/>
      <c r="D563" s="346"/>
      <c r="E563" s="346"/>
      <c r="F563" s="413" t="s">
        <v>2483</v>
      </c>
      <c r="G563" s="348" t="s">
        <v>3094</v>
      </c>
      <c r="H563" s="349" t="s">
        <v>4309</v>
      </c>
      <c r="I563" s="350"/>
    </row>
    <row r="564">
      <c r="A564" s="351"/>
      <c r="B564" s="351"/>
      <c r="C564" s="351"/>
      <c r="D564" s="351"/>
      <c r="E564" s="351"/>
      <c r="F564" s="415"/>
      <c r="G564" s="353"/>
      <c r="H564" s="354"/>
      <c r="I564" s="350"/>
    </row>
    <row r="565">
      <c r="A565" s="355">
        <v>1.0</v>
      </c>
      <c r="B565" s="356" t="s">
        <v>5158</v>
      </c>
      <c r="C565" s="356">
        <v>2.42510036E8</v>
      </c>
      <c r="D565" s="356" t="s">
        <v>5159</v>
      </c>
      <c r="E565" s="356" t="s">
        <v>3100</v>
      </c>
      <c r="F565" s="357"/>
      <c r="G565" s="357"/>
      <c r="H565" s="357"/>
      <c r="I565" s="358"/>
    </row>
    <row r="566">
      <c r="A566" s="355">
        <v>2.0</v>
      </c>
      <c r="B566" s="356" t="s">
        <v>5160</v>
      </c>
      <c r="C566" s="356">
        <v>2.42510058E8</v>
      </c>
      <c r="D566" s="356" t="s">
        <v>5161</v>
      </c>
      <c r="E566" s="356" t="s">
        <v>3099</v>
      </c>
      <c r="F566" s="357" t="s">
        <v>5162</v>
      </c>
      <c r="G566" s="357">
        <v>4.0</v>
      </c>
      <c r="H566" s="357">
        <v>3.0</v>
      </c>
      <c r="I566" s="358"/>
    </row>
    <row r="567">
      <c r="A567" s="355">
        <v>3.0</v>
      </c>
      <c r="B567" s="356" t="s">
        <v>5163</v>
      </c>
      <c r="C567" s="356">
        <v>2.42510072E8</v>
      </c>
      <c r="D567" s="356" t="s">
        <v>5164</v>
      </c>
      <c r="E567" s="356" t="s">
        <v>3100</v>
      </c>
      <c r="F567" s="357" t="s">
        <v>4565</v>
      </c>
      <c r="G567" s="357">
        <v>13.0</v>
      </c>
      <c r="H567" s="357">
        <v>4.0</v>
      </c>
      <c r="I567" s="358"/>
      <c r="J567" s="417" t="s">
        <v>2508</v>
      </c>
    </row>
    <row r="568">
      <c r="A568" s="355">
        <v>4.0</v>
      </c>
      <c r="B568" s="356" t="s">
        <v>5165</v>
      </c>
      <c r="C568" s="356">
        <v>2.42510078E8</v>
      </c>
      <c r="D568" s="356" t="s">
        <v>5166</v>
      </c>
      <c r="E568" s="356" t="s">
        <v>3100</v>
      </c>
      <c r="F568" s="357" t="s">
        <v>5167</v>
      </c>
      <c r="G568" s="357">
        <v>6.0</v>
      </c>
      <c r="H568" s="357">
        <v>4.0</v>
      </c>
      <c r="I568" s="358"/>
    </row>
    <row r="569">
      <c r="A569" s="355">
        <v>5.0</v>
      </c>
      <c r="B569" s="356" t="s">
        <v>5168</v>
      </c>
      <c r="C569" s="356">
        <v>2.42510082E8</v>
      </c>
      <c r="D569" s="356" t="s">
        <v>5169</v>
      </c>
      <c r="E569" s="356" t="s">
        <v>3099</v>
      </c>
      <c r="F569" s="357"/>
      <c r="G569" s="357">
        <v>4.0</v>
      </c>
      <c r="H569" s="357">
        <v>3.0</v>
      </c>
      <c r="I569" s="358"/>
    </row>
    <row r="570">
      <c r="A570" s="355">
        <v>6.0</v>
      </c>
      <c r="B570" s="356" t="s">
        <v>5170</v>
      </c>
      <c r="C570" s="356">
        <v>2.42510084E8</v>
      </c>
      <c r="D570" s="356" t="s">
        <v>5171</v>
      </c>
      <c r="E570" s="356" t="s">
        <v>3100</v>
      </c>
      <c r="F570" s="357"/>
      <c r="G570" s="357">
        <v>6.0</v>
      </c>
      <c r="H570" s="357">
        <v>2.0</v>
      </c>
      <c r="I570" s="358"/>
    </row>
    <row r="571">
      <c r="A571" s="355">
        <v>7.0</v>
      </c>
      <c r="B571" s="356" t="s">
        <v>5172</v>
      </c>
      <c r="C571" s="356">
        <v>2.42510088E8</v>
      </c>
      <c r="D571" s="356" t="s">
        <v>5173</v>
      </c>
      <c r="E571" s="356" t="s">
        <v>3100</v>
      </c>
      <c r="F571" s="357"/>
      <c r="G571" s="357"/>
      <c r="H571" s="357"/>
      <c r="I571" s="358"/>
    </row>
    <row r="572">
      <c r="A572" s="355">
        <v>8.0</v>
      </c>
      <c r="B572" s="356" t="s">
        <v>5174</v>
      </c>
      <c r="C572" s="356">
        <v>2.42510094E8</v>
      </c>
      <c r="D572" s="356" t="s">
        <v>5175</v>
      </c>
      <c r="E572" s="356" t="s">
        <v>3100</v>
      </c>
      <c r="F572" s="357"/>
      <c r="G572" s="357"/>
      <c r="H572" s="357"/>
      <c r="I572" s="358"/>
    </row>
    <row r="573">
      <c r="A573" s="355">
        <v>9.0</v>
      </c>
      <c r="B573" s="356" t="s">
        <v>5176</v>
      </c>
      <c r="C573" s="356">
        <v>2.42510112E8</v>
      </c>
      <c r="D573" s="356" t="s">
        <v>5177</v>
      </c>
      <c r="E573" s="356" t="s">
        <v>3099</v>
      </c>
      <c r="F573" s="357"/>
      <c r="G573" s="357">
        <v>4.0</v>
      </c>
      <c r="H573" s="357">
        <v>4.0</v>
      </c>
      <c r="I573" s="358"/>
    </row>
    <row r="574">
      <c r="A574" s="355">
        <v>10.0</v>
      </c>
      <c r="B574" s="356" t="s">
        <v>5178</v>
      </c>
      <c r="C574" s="356">
        <v>2.42510126E8</v>
      </c>
      <c r="D574" s="356" t="s">
        <v>5179</v>
      </c>
      <c r="E574" s="356" t="s">
        <v>3100</v>
      </c>
      <c r="F574" s="357"/>
      <c r="G574" s="357">
        <v>6.0</v>
      </c>
      <c r="H574" s="357">
        <v>2.0</v>
      </c>
      <c r="I574" s="358"/>
    </row>
    <row r="575">
      <c r="A575" s="355">
        <v>11.0</v>
      </c>
      <c r="B575" s="356" t="s">
        <v>5180</v>
      </c>
      <c r="C575" s="356">
        <v>2.42510131E8</v>
      </c>
      <c r="D575" s="356" t="s">
        <v>5181</v>
      </c>
      <c r="E575" s="356" t="s">
        <v>3099</v>
      </c>
      <c r="F575" s="357"/>
      <c r="G575" s="357">
        <v>4.0</v>
      </c>
      <c r="H575" s="357">
        <v>3.0</v>
      </c>
      <c r="I575" s="358"/>
    </row>
    <row r="576">
      <c r="A576" s="355">
        <v>12.0</v>
      </c>
      <c r="B576" s="356" t="s">
        <v>5182</v>
      </c>
      <c r="C576" s="356">
        <v>2.4251015E8</v>
      </c>
      <c r="D576" s="356" t="s">
        <v>5183</v>
      </c>
      <c r="E576" s="356" t="s">
        <v>3100</v>
      </c>
      <c r="F576" s="357"/>
      <c r="G576" s="357">
        <v>6.0</v>
      </c>
      <c r="H576" s="357">
        <v>4.0</v>
      </c>
      <c r="I576" s="358"/>
    </row>
    <row r="577">
      <c r="A577" s="355">
        <v>13.0</v>
      </c>
      <c r="B577" s="356" t="s">
        <v>5184</v>
      </c>
      <c r="C577" s="356">
        <v>2.42510151E8</v>
      </c>
      <c r="D577" s="356" t="s">
        <v>5185</v>
      </c>
      <c r="E577" s="356" t="s">
        <v>3099</v>
      </c>
      <c r="F577" s="357"/>
      <c r="G577" s="357"/>
      <c r="H577" s="357"/>
      <c r="I577" s="358"/>
    </row>
    <row r="578">
      <c r="A578" s="355">
        <v>14.0</v>
      </c>
      <c r="B578" s="356" t="s">
        <v>5186</v>
      </c>
      <c r="C578" s="356">
        <v>2.42510163E8</v>
      </c>
      <c r="D578" s="356" t="s">
        <v>5187</v>
      </c>
      <c r="E578" s="356" t="s">
        <v>3099</v>
      </c>
      <c r="F578" s="357"/>
      <c r="G578" s="357">
        <v>4.0</v>
      </c>
      <c r="H578" s="357">
        <v>4.0</v>
      </c>
      <c r="I578" s="358"/>
    </row>
    <row r="579">
      <c r="A579" s="355">
        <v>15.0</v>
      </c>
      <c r="B579" s="356" t="s">
        <v>5188</v>
      </c>
      <c r="C579" s="356">
        <v>2.42510221E8</v>
      </c>
      <c r="D579" s="356" t="s">
        <v>5189</v>
      </c>
      <c r="E579" s="356" t="s">
        <v>3100</v>
      </c>
      <c r="F579" s="357"/>
      <c r="G579" s="357">
        <v>6.0</v>
      </c>
      <c r="H579" s="357">
        <v>1.0</v>
      </c>
      <c r="I579" s="358"/>
    </row>
    <row r="580">
      <c r="A580" s="355">
        <v>16.0</v>
      </c>
      <c r="B580" s="356" t="s">
        <v>5190</v>
      </c>
      <c r="C580" s="356">
        <v>2.42510227E8</v>
      </c>
      <c r="D580" s="356" t="s">
        <v>5191</v>
      </c>
      <c r="E580" s="356" t="s">
        <v>3100</v>
      </c>
      <c r="F580" s="357"/>
      <c r="G580" s="357"/>
      <c r="H580" s="357"/>
      <c r="I580" s="358"/>
    </row>
    <row r="581">
      <c r="A581" s="355">
        <v>17.0</v>
      </c>
      <c r="B581" s="356" t="s">
        <v>5192</v>
      </c>
      <c r="C581" s="356">
        <v>2.42510228E8</v>
      </c>
      <c r="D581" s="356" t="s">
        <v>5193</v>
      </c>
      <c r="E581" s="356" t="s">
        <v>3100</v>
      </c>
      <c r="F581" s="357"/>
      <c r="G581" s="357"/>
      <c r="H581" s="357"/>
      <c r="I581" s="358"/>
    </row>
    <row r="582">
      <c r="A582" s="355">
        <v>18.0</v>
      </c>
      <c r="B582" s="356" t="s">
        <v>5194</v>
      </c>
      <c r="C582" s="356">
        <v>2.42510233E8</v>
      </c>
      <c r="D582" s="356" t="s">
        <v>5195</v>
      </c>
      <c r="E582" s="356" t="s">
        <v>3100</v>
      </c>
      <c r="F582" s="357"/>
      <c r="G582" s="357">
        <v>6.0</v>
      </c>
      <c r="H582" s="357">
        <v>1.0</v>
      </c>
      <c r="I582" s="358"/>
    </row>
    <row r="583">
      <c r="A583" s="355">
        <v>19.0</v>
      </c>
      <c r="B583" s="356" t="s">
        <v>5196</v>
      </c>
      <c r="C583" s="356">
        <v>2.42510259E8</v>
      </c>
      <c r="D583" s="356" t="s">
        <v>5197</v>
      </c>
      <c r="E583" s="356" t="s">
        <v>3099</v>
      </c>
      <c r="F583" s="357"/>
      <c r="G583" s="357">
        <v>4.0</v>
      </c>
      <c r="H583" s="357">
        <v>4.0</v>
      </c>
      <c r="I583" s="358"/>
    </row>
    <row r="584">
      <c r="A584" s="355">
        <v>20.0</v>
      </c>
      <c r="B584" s="356" t="s">
        <v>5198</v>
      </c>
      <c r="C584" s="356">
        <v>2.4251026E8</v>
      </c>
      <c r="D584" s="356" t="s">
        <v>5199</v>
      </c>
      <c r="E584" s="356" t="s">
        <v>3099</v>
      </c>
      <c r="F584" s="357"/>
      <c r="G584" s="357">
        <v>4.0</v>
      </c>
      <c r="H584" s="357">
        <v>4.0</v>
      </c>
      <c r="I584" s="358"/>
    </row>
    <row r="585">
      <c r="A585" s="355">
        <v>21.0</v>
      </c>
      <c r="B585" s="356" t="s">
        <v>5200</v>
      </c>
      <c r="C585" s="356">
        <v>2.42510267E8</v>
      </c>
      <c r="D585" s="356" t="s">
        <v>5201</v>
      </c>
      <c r="E585" s="356" t="s">
        <v>3099</v>
      </c>
      <c r="F585" s="357"/>
      <c r="G585" s="357">
        <v>4.0</v>
      </c>
      <c r="H585" s="357">
        <v>4.0</v>
      </c>
      <c r="I585" s="358"/>
    </row>
    <row r="586">
      <c r="A586" s="355">
        <v>22.0</v>
      </c>
      <c r="B586" s="356" t="s">
        <v>5202</v>
      </c>
      <c r="C586" s="356">
        <v>2.42510277E8</v>
      </c>
      <c r="D586" s="356" t="s">
        <v>5203</v>
      </c>
      <c r="E586" s="356" t="s">
        <v>3099</v>
      </c>
      <c r="F586" s="357"/>
      <c r="G586" s="357">
        <v>4.0</v>
      </c>
      <c r="H586" s="357">
        <v>3.0</v>
      </c>
      <c r="I586" s="358"/>
    </row>
    <row r="587">
      <c r="A587" s="355">
        <v>23.0</v>
      </c>
      <c r="B587" s="356" t="s">
        <v>5204</v>
      </c>
      <c r="C587" s="356">
        <v>2.42510308E8</v>
      </c>
      <c r="D587" s="356" t="s">
        <v>5205</v>
      </c>
      <c r="E587" s="356" t="s">
        <v>3100</v>
      </c>
      <c r="F587" s="357"/>
      <c r="G587" s="357">
        <v>6.0</v>
      </c>
      <c r="H587" s="357">
        <v>5.0</v>
      </c>
      <c r="I587" s="358"/>
    </row>
    <row r="588">
      <c r="A588" s="355">
        <v>24.0</v>
      </c>
      <c r="B588" s="356" t="s">
        <v>5206</v>
      </c>
      <c r="C588" s="356">
        <v>2.42510313E8</v>
      </c>
      <c r="D588" s="356" t="s">
        <v>5207</v>
      </c>
      <c r="E588" s="356" t="s">
        <v>3100</v>
      </c>
      <c r="F588" s="357"/>
      <c r="G588" s="357"/>
      <c r="H588" s="357"/>
      <c r="I588" s="358"/>
    </row>
    <row r="589">
      <c r="A589" s="355">
        <v>25.0</v>
      </c>
      <c r="B589" s="356" t="s">
        <v>5208</v>
      </c>
      <c r="C589" s="356">
        <v>2.42510329E8</v>
      </c>
      <c r="D589" s="356" t="s">
        <v>5209</v>
      </c>
      <c r="E589" s="356" t="s">
        <v>3099</v>
      </c>
      <c r="F589" s="357"/>
      <c r="G589" s="357">
        <v>4.0</v>
      </c>
      <c r="H589" s="357">
        <v>4.0</v>
      </c>
      <c r="I589" s="358"/>
    </row>
    <row r="590">
      <c r="A590" s="355">
        <v>26.0</v>
      </c>
      <c r="B590" s="356" t="s">
        <v>5210</v>
      </c>
      <c r="C590" s="356">
        <v>2.42510338E8</v>
      </c>
      <c r="D590" s="356" t="s">
        <v>5211</v>
      </c>
      <c r="E590" s="356" t="s">
        <v>3100</v>
      </c>
      <c r="F590" s="357"/>
      <c r="G590" s="357">
        <v>6.0</v>
      </c>
      <c r="H590" s="357">
        <v>2.0</v>
      </c>
      <c r="I590" s="358"/>
    </row>
    <row r="591">
      <c r="A591" s="355">
        <v>27.0</v>
      </c>
      <c r="B591" s="356" t="s">
        <v>5212</v>
      </c>
      <c r="C591" s="356">
        <v>2.4251034E8</v>
      </c>
      <c r="D591" s="356" t="s">
        <v>5213</v>
      </c>
      <c r="E591" s="356" t="s">
        <v>3099</v>
      </c>
      <c r="F591" s="357"/>
      <c r="G591" s="357">
        <v>4.0</v>
      </c>
      <c r="H591" s="357">
        <v>2.0</v>
      </c>
      <c r="I591" s="358"/>
    </row>
    <row r="592">
      <c r="A592" s="355">
        <v>28.0</v>
      </c>
      <c r="B592" s="356" t="s">
        <v>5214</v>
      </c>
      <c r="C592" s="356">
        <v>2.4251035E8</v>
      </c>
      <c r="D592" s="356" t="s">
        <v>5215</v>
      </c>
      <c r="E592" s="356" t="s">
        <v>3099</v>
      </c>
      <c r="F592" s="357"/>
      <c r="G592" s="357">
        <v>4.0</v>
      </c>
      <c r="H592" s="357">
        <v>3.0</v>
      </c>
      <c r="I592" s="358"/>
    </row>
    <row r="593">
      <c r="A593" s="355">
        <v>29.0</v>
      </c>
      <c r="B593" s="356" t="s">
        <v>5216</v>
      </c>
      <c r="C593" s="356">
        <v>2.42510366E8</v>
      </c>
      <c r="D593" s="356" t="s">
        <v>5217</v>
      </c>
      <c r="E593" s="356" t="s">
        <v>3100</v>
      </c>
      <c r="F593" s="357"/>
      <c r="G593" s="357"/>
      <c r="H593" s="357"/>
      <c r="I593" s="358"/>
    </row>
    <row r="594">
      <c r="A594" s="355">
        <v>30.0</v>
      </c>
      <c r="B594" s="356" t="s">
        <v>5218</v>
      </c>
      <c r="C594" s="356">
        <v>2.4251038E8</v>
      </c>
      <c r="D594" s="356" t="s">
        <v>5219</v>
      </c>
      <c r="E594" s="356" t="s">
        <v>3100</v>
      </c>
      <c r="F594" s="362" t="s">
        <v>4565</v>
      </c>
      <c r="G594" s="362">
        <v>13.0</v>
      </c>
      <c r="H594" s="362">
        <v>5.0</v>
      </c>
      <c r="I594" s="363"/>
      <c r="J594" s="417" t="s">
        <v>2508</v>
      </c>
    </row>
    <row r="595">
      <c r="A595" s="355">
        <v>31.0</v>
      </c>
      <c r="B595" s="356" t="s">
        <v>5220</v>
      </c>
      <c r="C595" s="356">
        <v>2.42510382E8</v>
      </c>
      <c r="D595" s="356" t="s">
        <v>5221</v>
      </c>
      <c r="E595" s="356" t="s">
        <v>3100</v>
      </c>
      <c r="F595" s="362" t="s">
        <v>5167</v>
      </c>
      <c r="G595" s="362">
        <v>6.0</v>
      </c>
      <c r="H595" s="362">
        <v>3.0</v>
      </c>
      <c r="I595" s="363"/>
    </row>
    <row r="596">
      <c r="A596" s="355">
        <v>32.0</v>
      </c>
      <c r="B596" s="356" t="s">
        <v>5222</v>
      </c>
      <c r="C596" s="356">
        <v>2.42510386E8</v>
      </c>
      <c r="D596" s="356" t="s">
        <v>5223</v>
      </c>
      <c r="E596" s="356" t="s">
        <v>3099</v>
      </c>
      <c r="F596" s="362"/>
      <c r="G596" s="362">
        <v>4.0</v>
      </c>
      <c r="H596" s="362">
        <v>3.0</v>
      </c>
      <c r="I596" s="363"/>
    </row>
    <row r="597">
      <c r="A597" s="355">
        <v>33.0</v>
      </c>
      <c r="B597" s="356" t="s">
        <v>5224</v>
      </c>
      <c r="C597" s="356">
        <v>2.4251039E8</v>
      </c>
      <c r="D597" s="356" t="s">
        <v>5225</v>
      </c>
      <c r="E597" s="356" t="s">
        <v>3100</v>
      </c>
      <c r="F597" s="362"/>
      <c r="G597" s="362">
        <v>6.0</v>
      </c>
      <c r="H597" s="362">
        <v>3.0</v>
      </c>
      <c r="I597" s="363"/>
    </row>
    <row r="598">
      <c r="A598" s="355">
        <v>34.0</v>
      </c>
      <c r="B598" s="356" t="s">
        <v>5226</v>
      </c>
      <c r="C598" s="356">
        <v>2.42510408E8</v>
      </c>
      <c r="D598" s="356" t="s">
        <v>5227</v>
      </c>
      <c r="E598" s="356" t="s">
        <v>3100</v>
      </c>
      <c r="F598" s="360"/>
      <c r="G598" s="360"/>
      <c r="H598" s="360"/>
      <c r="I598" s="361"/>
    </row>
    <row r="599">
      <c r="A599" s="355">
        <v>35.0</v>
      </c>
      <c r="B599" s="356" t="s">
        <v>5228</v>
      </c>
      <c r="C599" s="356">
        <v>2.42510417E8</v>
      </c>
      <c r="D599" s="356" t="s">
        <v>5229</v>
      </c>
      <c r="E599" s="356" t="s">
        <v>3100</v>
      </c>
      <c r="F599" s="362"/>
      <c r="G599" s="362">
        <v>6.0</v>
      </c>
      <c r="H599" s="362">
        <v>1.0</v>
      </c>
      <c r="I599" s="363"/>
    </row>
    <row r="600">
      <c r="A600" s="355">
        <v>36.0</v>
      </c>
      <c r="B600" s="356" t="s">
        <v>5230</v>
      </c>
      <c r="C600" s="356">
        <v>2.42510428E8</v>
      </c>
      <c r="D600" s="356" t="s">
        <v>5231</v>
      </c>
      <c r="E600" s="356" t="s">
        <v>3100</v>
      </c>
      <c r="F600" s="362" t="s">
        <v>4565</v>
      </c>
      <c r="G600" s="362">
        <v>13.0</v>
      </c>
      <c r="H600" s="362">
        <v>10.0</v>
      </c>
      <c r="I600" s="363"/>
      <c r="J600" s="417" t="s">
        <v>4572</v>
      </c>
    </row>
    <row r="601">
      <c r="A601" s="423"/>
      <c r="B601" s="388"/>
      <c r="C601" s="388"/>
      <c r="D601" s="388"/>
      <c r="E601" s="388"/>
      <c r="F601" s="388"/>
      <c r="G601" s="388"/>
      <c r="H601" s="388"/>
      <c r="I601" s="388"/>
    </row>
    <row r="602">
      <c r="A602" s="423"/>
      <c r="B602" s="411" t="s">
        <v>3101</v>
      </c>
      <c r="C602" s="388"/>
      <c r="D602" s="412">
        <f>COUNTIF(E562:E601,"L")</f>
        <v>14</v>
      </c>
      <c r="E602" s="388"/>
      <c r="F602" s="388"/>
      <c r="G602" s="388"/>
      <c r="H602" s="388"/>
      <c r="I602" s="388"/>
    </row>
    <row r="603">
      <c r="A603" s="423"/>
      <c r="B603" s="411" t="s">
        <v>3102</v>
      </c>
      <c r="C603" s="388"/>
      <c r="D603" s="412">
        <f>COUNTIF(E562:E601,"P")</f>
        <v>22</v>
      </c>
      <c r="E603" s="388"/>
      <c r="F603" s="388"/>
      <c r="G603" s="388"/>
      <c r="H603" s="388"/>
      <c r="I603" s="388"/>
    </row>
    <row r="604">
      <c r="A604" s="423"/>
      <c r="B604" s="411" t="s">
        <v>3104</v>
      </c>
      <c r="C604" s="388"/>
      <c r="D604" s="412">
        <f>SUM(D602:D603)</f>
        <v>36</v>
      </c>
      <c r="E604" s="388"/>
      <c r="F604" s="388"/>
      <c r="G604" s="388"/>
      <c r="H604" s="388"/>
      <c r="I604" s="388"/>
    </row>
    <row r="605">
      <c r="A605" s="423"/>
      <c r="B605" s="388"/>
      <c r="C605" s="388"/>
      <c r="D605" s="388"/>
      <c r="E605" s="388"/>
      <c r="F605" s="388"/>
      <c r="G605" s="388"/>
      <c r="H605" s="388"/>
      <c r="I605" s="388"/>
    </row>
    <row r="606">
      <c r="A606" s="423"/>
      <c r="B606" s="388"/>
      <c r="C606" s="388"/>
      <c r="D606" s="388"/>
      <c r="E606" s="388"/>
      <c r="F606" s="388"/>
      <c r="G606" s="388"/>
      <c r="H606" s="388"/>
      <c r="I606" s="388"/>
    </row>
    <row r="607">
      <c r="A607" s="423"/>
      <c r="B607" s="388"/>
      <c r="C607" s="388"/>
      <c r="D607" s="388"/>
      <c r="E607" s="388"/>
      <c r="F607" s="388"/>
      <c r="G607" s="388"/>
      <c r="H607" s="388"/>
      <c r="I607" s="388"/>
    </row>
    <row r="608">
      <c r="A608" s="423"/>
      <c r="B608" s="388"/>
      <c r="C608" s="388"/>
      <c r="D608" s="388"/>
      <c r="E608" s="388"/>
      <c r="F608" s="388"/>
      <c r="G608" s="388"/>
      <c r="H608" s="388"/>
      <c r="I608" s="388"/>
    </row>
    <row r="609">
      <c r="A609" s="423"/>
      <c r="B609" s="388"/>
      <c r="C609" s="388"/>
      <c r="D609" s="388"/>
      <c r="E609" s="388"/>
      <c r="F609" s="388"/>
      <c r="G609" s="388"/>
      <c r="H609" s="388"/>
      <c r="I609" s="388"/>
    </row>
    <row r="610">
      <c r="A610" s="423"/>
      <c r="B610" s="388"/>
      <c r="C610" s="388"/>
      <c r="D610" s="388"/>
      <c r="E610" s="388"/>
      <c r="F610" s="388"/>
      <c r="G610" s="388"/>
      <c r="H610" s="388"/>
      <c r="I610" s="388"/>
    </row>
    <row r="611">
      <c r="A611" s="423"/>
      <c r="B611" s="388"/>
      <c r="C611" s="388"/>
      <c r="D611" s="388"/>
      <c r="E611" s="388"/>
      <c r="F611" s="388"/>
      <c r="G611" s="388"/>
      <c r="H611" s="388"/>
      <c r="I611" s="388"/>
    </row>
    <row r="612">
      <c r="A612" s="423"/>
      <c r="B612" s="388"/>
      <c r="C612" s="388"/>
      <c r="D612" s="388"/>
      <c r="E612" s="388"/>
      <c r="F612" s="388"/>
      <c r="G612" s="388"/>
      <c r="H612" s="388"/>
      <c r="I612" s="388"/>
    </row>
    <row r="613">
      <c r="A613" s="423"/>
      <c r="B613" s="388"/>
      <c r="C613" s="388"/>
      <c r="D613" s="388"/>
      <c r="E613" s="388"/>
      <c r="F613" s="388"/>
      <c r="G613" s="388"/>
      <c r="H613" s="388"/>
      <c r="I613" s="388"/>
    </row>
    <row r="614">
      <c r="A614" s="423"/>
      <c r="B614" s="388"/>
      <c r="C614" s="388"/>
      <c r="D614" s="388"/>
      <c r="E614" s="388"/>
      <c r="F614" s="388"/>
      <c r="G614" s="388"/>
      <c r="H614" s="388"/>
      <c r="I614" s="388"/>
    </row>
    <row r="615">
      <c r="A615" s="423"/>
      <c r="B615" s="388"/>
      <c r="C615" s="388"/>
      <c r="D615" s="388"/>
      <c r="E615" s="388"/>
      <c r="F615" s="388"/>
      <c r="G615" s="388"/>
      <c r="H615" s="388"/>
      <c r="I615" s="388"/>
    </row>
    <row r="616">
      <c r="A616" s="423"/>
      <c r="B616" s="388"/>
      <c r="C616" s="388"/>
      <c r="D616" s="388"/>
      <c r="E616" s="388"/>
      <c r="F616" s="388"/>
      <c r="G616" s="388"/>
      <c r="H616" s="388"/>
      <c r="I616" s="388"/>
    </row>
    <row r="617">
      <c r="A617" s="423"/>
      <c r="B617" s="388"/>
      <c r="C617" s="388"/>
      <c r="D617" s="388"/>
      <c r="E617" s="388"/>
      <c r="F617" s="388"/>
      <c r="G617" s="388"/>
      <c r="H617" s="388"/>
      <c r="I617" s="388"/>
    </row>
    <row r="618">
      <c r="A618" s="423"/>
      <c r="B618" s="388"/>
      <c r="C618" s="388"/>
      <c r="D618" s="388"/>
      <c r="E618" s="388"/>
      <c r="F618" s="388"/>
      <c r="G618" s="388"/>
      <c r="H618" s="388"/>
      <c r="I618" s="388"/>
    </row>
    <row r="619">
      <c r="A619" s="423"/>
      <c r="B619" s="388"/>
      <c r="C619" s="388"/>
      <c r="D619" s="388"/>
      <c r="E619" s="388"/>
      <c r="F619" s="388"/>
      <c r="G619" s="388"/>
      <c r="H619" s="388"/>
      <c r="I619" s="388"/>
    </row>
    <row r="620">
      <c r="A620" s="423"/>
      <c r="B620" s="388"/>
      <c r="C620" s="388"/>
      <c r="D620" s="388"/>
      <c r="E620" s="388"/>
      <c r="F620" s="388"/>
      <c r="G620" s="388"/>
      <c r="H620" s="388"/>
      <c r="I620" s="388"/>
    </row>
    <row r="621">
      <c r="A621" s="423"/>
      <c r="B621" s="388"/>
      <c r="C621" s="388"/>
      <c r="D621" s="388"/>
      <c r="E621" s="388"/>
      <c r="F621" s="388"/>
      <c r="G621" s="388"/>
      <c r="H621" s="388"/>
      <c r="I621" s="388"/>
    </row>
    <row r="622">
      <c r="A622" s="423"/>
      <c r="B622" s="388"/>
      <c r="C622" s="388"/>
      <c r="D622" s="388"/>
      <c r="E622" s="388"/>
      <c r="F622" s="388"/>
      <c r="G622" s="388"/>
      <c r="H622" s="388"/>
      <c r="I622" s="388"/>
    </row>
    <row r="623">
      <c r="A623" s="423"/>
      <c r="B623" s="388"/>
      <c r="C623" s="388"/>
      <c r="D623" s="388"/>
      <c r="E623" s="388"/>
      <c r="F623" s="388"/>
      <c r="G623" s="388"/>
      <c r="H623" s="388"/>
      <c r="I623" s="388"/>
    </row>
    <row r="624">
      <c r="A624" s="423"/>
      <c r="B624" s="388"/>
      <c r="C624" s="388"/>
      <c r="D624" s="388"/>
      <c r="E624" s="388"/>
      <c r="F624" s="388"/>
      <c r="G624" s="388"/>
      <c r="H624" s="388"/>
      <c r="I624" s="388"/>
    </row>
    <row r="625">
      <c r="A625" s="423"/>
      <c r="B625" s="388"/>
      <c r="C625" s="388"/>
      <c r="D625" s="388"/>
      <c r="E625" s="388"/>
      <c r="F625" s="388"/>
      <c r="G625" s="388"/>
      <c r="H625" s="388"/>
      <c r="I625" s="388"/>
    </row>
    <row r="626">
      <c r="A626" s="423"/>
      <c r="B626" s="388"/>
      <c r="C626" s="388"/>
      <c r="D626" s="388"/>
      <c r="E626" s="388"/>
      <c r="F626" s="388"/>
      <c r="G626" s="388"/>
      <c r="H626" s="388"/>
      <c r="I626" s="388"/>
    </row>
    <row r="627">
      <c r="A627" s="423"/>
      <c r="B627" s="388"/>
      <c r="C627" s="388"/>
      <c r="D627" s="388"/>
      <c r="E627" s="388"/>
      <c r="F627" s="388"/>
      <c r="G627" s="388"/>
      <c r="H627" s="388"/>
      <c r="I627" s="388"/>
    </row>
    <row r="628">
      <c r="A628" s="423"/>
      <c r="B628" s="388"/>
      <c r="C628" s="388"/>
      <c r="D628" s="388"/>
      <c r="E628" s="388"/>
      <c r="F628" s="388"/>
      <c r="G628" s="388"/>
      <c r="H628" s="388"/>
      <c r="I628" s="388"/>
    </row>
    <row r="629">
      <c r="A629" s="423"/>
      <c r="B629" s="388"/>
      <c r="C629" s="388"/>
      <c r="D629" s="388"/>
      <c r="E629" s="388"/>
      <c r="F629" s="388"/>
      <c r="G629" s="388"/>
      <c r="H629" s="388"/>
      <c r="I629" s="388"/>
    </row>
    <row r="630">
      <c r="A630" s="423"/>
      <c r="B630" s="388"/>
      <c r="C630" s="388"/>
      <c r="D630" s="388"/>
      <c r="E630" s="388"/>
      <c r="F630" s="388"/>
      <c r="G630" s="388"/>
      <c r="H630" s="388"/>
      <c r="I630" s="388"/>
    </row>
    <row r="631">
      <c r="A631" s="423"/>
      <c r="B631" s="388"/>
      <c r="C631" s="388"/>
      <c r="D631" s="388"/>
      <c r="E631" s="388"/>
      <c r="F631" s="388"/>
      <c r="G631" s="388"/>
      <c r="H631" s="388"/>
      <c r="I631" s="388"/>
    </row>
    <row r="632">
      <c r="A632" s="423"/>
      <c r="B632" s="388"/>
      <c r="C632" s="388"/>
      <c r="D632" s="388"/>
      <c r="E632" s="388"/>
      <c r="F632" s="388"/>
      <c r="G632" s="388"/>
      <c r="H632" s="388"/>
      <c r="I632" s="388"/>
    </row>
    <row r="633">
      <c r="A633" s="423"/>
      <c r="B633" s="388"/>
      <c r="C633" s="388"/>
      <c r="D633" s="388"/>
      <c r="E633" s="388"/>
      <c r="F633" s="388"/>
      <c r="G633" s="388"/>
      <c r="H633" s="388"/>
      <c r="I633" s="388"/>
    </row>
    <row r="634">
      <c r="A634" s="423"/>
      <c r="B634" s="388"/>
      <c r="C634" s="388"/>
      <c r="D634" s="388"/>
      <c r="E634" s="388"/>
      <c r="F634" s="388"/>
      <c r="G634" s="388"/>
      <c r="H634" s="388"/>
      <c r="I634" s="388"/>
    </row>
    <row r="635">
      <c r="A635" s="423"/>
      <c r="B635" s="388"/>
      <c r="C635" s="388"/>
      <c r="D635" s="388"/>
      <c r="E635" s="388"/>
      <c r="F635" s="388"/>
      <c r="G635" s="388"/>
      <c r="H635" s="388"/>
      <c r="I635" s="388"/>
    </row>
    <row r="636">
      <c r="A636" s="423"/>
      <c r="B636" s="388"/>
      <c r="C636" s="388"/>
      <c r="D636" s="388"/>
      <c r="E636" s="388"/>
      <c r="F636" s="388"/>
      <c r="G636" s="388"/>
      <c r="H636" s="388"/>
      <c r="I636" s="388"/>
    </row>
    <row r="637">
      <c r="A637" s="423"/>
      <c r="B637" s="388"/>
      <c r="C637" s="388"/>
      <c r="D637" s="388"/>
      <c r="E637" s="388"/>
      <c r="F637" s="388"/>
      <c r="G637" s="388"/>
      <c r="H637" s="388"/>
      <c r="I637" s="388"/>
    </row>
    <row r="638">
      <c r="A638" s="423"/>
      <c r="B638" s="388"/>
      <c r="C638" s="388"/>
      <c r="D638" s="388"/>
      <c r="E638" s="388"/>
      <c r="F638" s="388"/>
      <c r="G638" s="388"/>
      <c r="H638" s="388"/>
      <c r="I638" s="388"/>
    </row>
    <row r="639">
      <c r="A639" s="423"/>
      <c r="B639" s="388"/>
      <c r="C639" s="388"/>
      <c r="D639" s="388"/>
      <c r="E639" s="388"/>
      <c r="F639" s="388"/>
      <c r="G639" s="388"/>
      <c r="H639" s="388"/>
      <c r="I639" s="388"/>
    </row>
    <row r="640">
      <c r="A640" s="423"/>
      <c r="B640" s="388"/>
      <c r="C640" s="388"/>
      <c r="D640" s="388"/>
      <c r="E640" s="388"/>
      <c r="F640" s="388"/>
      <c r="G640" s="388"/>
      <c r="H640" s="388"/>
      <c r="I640" s="388"/>
    </row>
    <row r="641">
      <c r="A641" s="423"/>
      <c r="B641" s="388"/>
      <c r="C641" s="388"/>
      <c r="D641" s="388"/>
      <c r="E641" s="388"/>
      <c r="F641" s="388"/>
      <c r="G641" s="388"/>
      <c r="H641" s="388"/>
      <c r="I641" s="388"/>
    </row>
    <row r="642">
      <c r="A642" s="423"/>
      <c r="B642" s="388"/>
      <c r="C642" s="388"/>
      <c r="D642" s="388"/>
      <c r="E642" s="388"/>
      <c r="F642" s="388"/>
      <c r="G642" s="388"/>
      <c r="H642" s="388"/>
      <c r="I642" s="388"/>
    </row>
    <row r="643">
      <c r="A643" s="423"/>
      <c r="B643" s="388"/>
      <c r="C643" s="388"/>
      <c r="D643" s="388"/>
      <c r="E643" s="388"/>
      <c r="F643" s="388"/>
      <c r="G643" s="388"/>
      <c r="H643" s="388"/>
      <c r="I643" s="388"/>
    </row>
    <row r="644">
      <c r="A644" s="423"/>
      <c r="B644" s="388"/>
      <c r="C644" s="388"/>
      <c r="D644" s="388"/>
      <c r="E644" s="388"/>
      <c r="F644" s="388"/>
      <c r="G644" s="388"/>
      <c r="H644" s="388"/>
      <c r="I644" s="388"/>
    </row>
    <row r="645">
      <c r="A645" s="423"/>
      <c r="B645" s="388"/>
      <c r="C645" s="388"/>
      <c r="D645" s="388"/>
      <c r="E645" s="388"/>
      <c r="F645" s="388"/>
      <c r="G645" s="388"/>
      <c r="H645" s="388"/>
      <c r="I645" s="388"/>
    </row>
    <row r="646">
      <c r="A646" s="423"/>
      <c r="B646" s="388"/>
      <c r="C646" s="388"/>
      <c r="D646" s="388"/>
      <c r="E646" s="388"/>
      <c r="F646" s="388"/>
      <c r="G646" s="388"/>
      <c r="H646" s="388"/>
      <c r="I646" s="388"/>
    </row>
    <row r="647">
      <c r="A647" s="423"/>
      <c r="B647" s="388"/>
      <c r="C647" s="388"/>
      <c r="D647" s="388"/>
      <c r="E647" s="388"/>
      <c r="F647" s="388"/>
      <c r="G647" s="388"/>
      <c r="H647" s="388"/>
      <c r="I647" s="388"/>
    </row>
    <row r="648">
      <c r="A648" s="423"/>
      <c r="B648" s="388"/>
      <c r="C648" s="388"/>
      <c r="D648" s="388"/>
      <c r="E648" s="388"/>
      <c r="F648" s="388"/>
      <c r="G648" s="388"/>
      <c r="H648" s="388"/>
      <c r="I648" s="388"/>
    </row>
    <row r="649">
      <c r="A649" s="423"/>
      <c r="B649" s="388"/>
      <c r="C649" s="388"/>
      <c r="D649" s="388"/>
      <c r="E649" s="388"/>
      <c r="F649" s="388"/>
      <c r="G649" s="388"/>
      <c r="H649" s="388"/>
      <c r="I649" s="388"/>
    </row>
    <row r="650">
      <c r="A650" s="423"/>
      <c r="B650" s="388"/>
      <c r="C650" s="388"/>
      <c r="D650" s="388"/>
      <c r="E650" s="388"/>
      <c r="F650" s="388"/>
      <c r="G650" s="388"/>
      <c r="H650" s="388"/>
      <c r="I650" s="388"/>
    </row>
    <row r="651">
      <c r="A651" s="423"/>
      <c r="B651" s="388"/>
      <c r="C651" s="388"/>
      <c r="D651" s="388"/>
      <c r="E651" s="388"/>
      <c r="F651" s="388"/>
      <c r="G651" s="388"/>
      <c r="H651" s="388"/>
      <c r="I651" s="388"/>
    </row>
    <row r="652">
      <c r="A652" s="423"/>
      <c r="B652" s="388"/>
      <c r="C652" s="388"/>
      <c r="D652" s="388"/>
      <c r="E652" s="388"/>
      <c r="F652" s="388"/>
      <c r="G652" s="388"/>
      <c r="H652" s="388"/>
      <c r="I652" s="388"/>
    </row>
    <row r="653">
      <c r="A653" s="423"/>
      <c r="B653" s="388"/>
      <c r="C653" s="388"/>
      <c r="D653" s="388"/>
      <c r="E653" s="388"/>
      <c r="F653" s="388"/>
      <c r="G653" s="388"/>
      <c r="H653" s="388"/>
      <c r="I653" s="388"/>
    </row>
    <row r="654">
      <c r="A654" s="423"/>
      <c r="B654" s="388"/>
      <c r="C654" s="388"/>
      <c r="D654" s="388"/>
      <c r="E654" s="388"/>
      <c r="F654" s="388"/>
      <c r="G654" s="388"/>
      <c r="H654" s="388"/>
      <c r="I654" s="388"/>
    </row>
    <row r="655">
      <c r="A655" s="423"/>
      <c r="B655" s="388"/>
      <c r="C655" s="388"/>
      <c r="D655" s="388"/>
      <c r="E655" s="388"/>
      <c r="F655" s="388"/>
      <c r="G655" s="388"/>
      <c r="H655" s="388"/>
      <c r="I655" s="388"/>
    </row>
    <row r="656">
      <c r="A656" s="423"/>
      <c r="B656" s="388"/>
      <c r="C656" s="388"/>
      <c r="D656" s="388"/>
      <c r="E656" s="388"/>
      <c r="F656" s="388"/>
      <c r="G656" s="388"/>
      <c r="H656" s="388"/>
      <c r="I656" s="388"/>
    </row>
    <row r="657">
      <c r="A657" s="423"/>
      <c r="B657" s="388"/>
      <c r="C657" s="388"/>
      <c r="D657" s="388"/>
      <c r="E657" s="388"/>
      <c r="F657" s="388"/>
      <c r="G657" s="388"/>
      <c r="H657" s="388"/>
      <c r="I657" s="388"/>
    </row>
    <row r="658">
      <c r="A658" s="423"/>
      <c r="B658" s="388"/>
      <c r="C658" s="388"/>
      <c r="D658" s="388"/>
      <c r="E658" s="388"/>
      <c r="F658" s="388"/>
      <c r="G658" s="388"/>
      <c r="H658" s="388"/>
      <c r="I658" s="388"/>
    </row>
    <row r="659">
      <c r="A659" s="423"/>
      <c r="B659" s="388"/>
      <c r="C659" s="388"/>
      <c r="D659" s="388"/>
      <c r="E659" s="388"/>
      <c r="F659" s="388"/>
      <c r="G659" s="388"/>
      <c r="H659" s="388"/>
      <c r="I659" s="388"/>
    </row>
    <row r="660">
      <c r="A660" s="423"/>
      <c r="B660" s="388"/>
      <c r="C660" s="388"/>
      <c r="D660" s="388"/>
      <c r="E660" s="388"/>
      <c r="F660" s="388"/>
      <c r="G660" s="388"/>
      <c r="H660" s="388"/>
      <c r="I660" s="388"/>
    </row>
    <row r="661">
      <c r="A661" s="423"/>
      <c r="B661" s="388"/>
      <c r="C661" s="388"/>
      <c r="D661" s="388"/>
      <c r="E661" s="388"/>
      <c r="F661" s="388"/>
      <c r="G661" s="388"/>
      <c r="H661" s="388"/>
      <c r="I661" s="388"/>
    </row>
    <row r="662">
      <c r="A662" s="423"/>
      <c r="B662" s="388"/>
      <c r="C662" s="388"/>
      <c r="D662" s="388"/>
      <c r="E662" s="388"/>
      <c r="F662" s="388"/>
      <c r="G662" s="388"/>
      <c r="H662" s="388"/>
      <c r="I662" s="388"/>
    </row>
    <row r="663">
      <c r="A663" s="423"/>
      <c r="B663" s="388"/>
      <c r="C663" s="388"/>
      <c r="D663" s="388"/>
      <c r="E663" s="388"/>
      <c r="F663" s="388"/>
      <c r="G663" s="388"/>
      <c r="H663" s="388"/>
      <c r="I663" s="388"/>
    </row>
    <row r="664">
      <c r="A664" s="423"/>
      <c r="B664" s="388"/>
      <c r="C664" s="388"/>
      <c r="D664" s="388"/>
      <c r="E664" s="388"/>
      <c r="F664" s="388"/>
      <c r="G664" s="388"/>
      <c r="H664" s="388"/>
      <c r="I664" s="388"/>
    </row>
    <row r="665">
      <c r="A665" s="423"/>
      <c r="B665" s="388"/>
      <c r="C665" s="388"/>
      <c r="D665" s="388"/>
      <c r="E665" s="388"/>
      <c r="F665" s="388"/>
      <c r="G665" s="388"/>
      <c r="H665" s="388"/>
      <c r="I665" s="388"/>
    </row>
    <row r="666">
      <c r="A666" s="423"/>
      <c r="B666" s="388"/>
      <c r="C666" s="388"/>
      <c r="D666" s="388"/>
      <c r="E666" s="388"/>
      <c r="F666" s="388"/>
      <c r="G666" s="388"/>
      <c r="H666" s="388"/>
      <c r="I666" s="388"/>
    </row>
    <row r="667">
      <c r="A667" s="423"/>
      <c r="B667" s="388"/>
      <c r="C667" s="388"/>
      <c r="D667" s="388"/>
      <c r="E667" s="388"/>
      <c r="F667" s="388"/>
      <c r="G667" s="388"/>
      <c r="H667" s="388"/>
      <c r="I667" s="388"/>
    </row>
    <row r="668">
      <c r="A668" s="423"/>
      <c r="B668" s="388"/>
      <c r="C668" s="388"/>
      <c r="D668" s="388"/>
      <c r="E668" s="388"/>
      <c r="F668" s="388"/>
      <c r="G668" s="388"/>
      <c r="H668" s="388"/>
      <c r="I668" s="388"/>
    </row>
    <row r="669">
      <c r="A669" s="423"/>
      <c r="B669" s="388"/>
      <c r="C669" s="388"/>
      <c r="D669" s="388"/>
      <c r="E669" s="388"/>
      <c r="F669" s="388"/>
      <c r="G669" s="388"/>
      <c r="H669" s="388"/>
      <c r="I669" s="388"/>
    </row>
    <row r="670">
      <c r="A670" s="423"/>
      <c r="B670" s="388"/>
      <c r="C670" s="388"/>
      <c r="D670" s="388"/>
      <c r="E670" s="388"/>
      <c r="F670" s="388"/>
      <c r="G670" s="388"/>
      <c r="H670" s="388"/>
      <c r="I670" s="388"/>
    </row>
    <row r="671">
      <c r="A671" s="423"/>
      <c r="B671" s="388"/>
      <c r="C671" s="388"/>
      <c r="D671" s="388"/>
      <c r="E671" s="388"/>
      <c r="F671" s="388"/>
      <c r="G671" s="388"/>
      <c r="H671" s="388"/>
      <c r="I671" s="388"/>
    </row>
    <row r="672">
      <c r="A672" s="423"/>
      <c r="B672" s="388"/>
      <c r="C672" s="388"/>
      <c r="D672" s="388"/>
      <c r="E672" s="388"/>
      <c r="F672" s="388"/>
      <c r="G672" s="388"/>
      <c r="H672" s="388"/>
      <c r="I672" s="388"/>
    </row>
    <row r="673">
      <c r="A673" s="423"/>
      <c r="B673" s="388"/>
      <c r="C673" s="388"/>
      <c r="D673" s="388"/>
      <c r="E673" s="388"/>
      <c r="F673" s="388"/>
      <c r="G673" s="388"/>
      <c r="H673" s="388"/>
      <c r="I673" s="388"/>
    </row>
    <row r="674">
      <c r="A674" s="423"/>
      <c r="B674" s="388"/>
      <c r="C674" s="388"/>
      <c r="D674" s="388"/>
      <c r="E674" s="388"/>
      <c r="F674" s="388"/>
      <c r="G674" s="388"/>
      <c r="H674" s="388"/>
      <c r="I674" s="388"/>
    </row>
    <row r="675">
      <c r="A675" s="423"/>
      <c r="B675" s="388"/>
      <c r="C675" s="388"/>
      <c r="D675" s="388"/>
      <c r="E675" s="388"/>
      <c r="F675" s="388"/>
      <c r="G675" s="388"/>
      <c r="H675" s="388"/>
      <c r="I675" s="388"/>
    </row>
    <row r="676">
      <c r="A676" s="423"/>
      <c r="B676" s="388"/>
      <c r="C676" s="388"/>
      <c r="D676" s="388"/>
      <c r="E676" s="388"/>
      <c r="F676" s="388"/>
      <c r="G676" s="388"/>
      <c r="H676" s="388"/>
      <c r="I676" s="388"/>
    </row>
    <row r="677">
      <c r="A677" s="423"/>
      <c r="B677" s="388"/>
      <c r="C677" s="388"/>
      <c r="D677" s="388"/>
      <c r="E677" s="388"/>
      <c r="F677" s="388"/>
      <c r="G677" s="388"/>
      <c r="H677" s="388"/>
      <c r="I677" s="388"/>
    </row>
    <row r="678">
      <c r="A678" s="423"/>
      <c r="B678" s="388"/>
      <c r="C678" s="388"/>
      <c r="D678" s="388"/>
      <c r="E678" s="388"/>
      <c r="F678" s="388"/>
      <c r="G678" s="388"/>
      <c r="H678" s="388"/>
      <c r="I678" s="388"/>
    </row>
    <row r="679">
      <c r="A679" s="423"/>
      <c r="B679" s="388"/>
      <c r="C679" s="388"/>
      <c r="D679" s="388"/>
      <c r="E679" s="388"/>
      <c r="F679" s="388"/>
      <c r="G679" s="388"/>
      <c r="H679" s="388"/>
      <c r="I679" s="388"/>
    </row>
    <row r="680">
      <c r="A680" s="423"/>
      <c r="B680" s="388"/>
      <c r="C680" s="388"/>
      <c r="D680" s="388"/>
      <c r="E680" s="388"/>
      <c r="F680" s="388"/>
      <c r="G680" s="388"/>
      <c r="H680" s="388"/>
      <c r="I680" s="388"/>
    </row>
    <row r="681">
      <c r="A681" s="423"/>
      <c r="B681" s="388"/>
      <c r="C681" s="388"/>
      <c r="D681" s="388"/>
      <c r="E681" s="388"/>
      <c r="F681" s="388"/>
      <c r="G681" s="388"/>
      <c r="H681" s="388"/>
      <c r="I681" s="388"/>
    </row>
    <row r="682">
      <c r="A682" s="423"/>
      <c r="B682" s="388"/>
      <c r="C682" s="388"/>
      <c r="D682" s="388"/>
      <c r="E682" s="388"/>
      <c r="F682" s="388"/>
      <c r="G682" s="388"/>
      <c r="H682" s="388"/>
      <c r="I682" s="388"/>
    </row>
    <row r="683">
      <c r="A683" s="423"/>
      <c r="B683" s="388"/>
      <c r="C683" s="388"/>
      <c r="D683" s="388"/>
      <c r="E683" s="388"/>
      <c r="F683" s="388"/>
      <c r="G683" s="388"/>
      <c r="H683" s="388"/>
      <c r="I683" s="388"/>
    </row>
    <row r="684">
      <c r="A684" s="423"/>
      <c r="B684" s="388"/>
      <c r="C684" s="388"/>
      <c r="D684" s="388"/>
      <c r="E684" s="388"/>
      <c r="F684" s="388"/>
      <c r="G684" s="388"/>
      <c r="H684" s="388"/>
      <c r="I684" s="388"/>
    </row>
    <row r="685">
      <c r="A685" s="423"/>
      <c r="B685" s="388"/>
      <c r="C685" s="388"/>
      <c r="D685" s="388"/>
      <c r="E685" s="388"/>
      <c r="F685" s="388"/>
      <c r="G685" s="388"/>
      <c r="H685" s="388"/>
      <c r="I685" s="388"/>
    </row>
    <row r="686">
      <c r="A686" s="423"/>
      <c r="B686" s="388"/>
      <c r="C686" s="388"/>
      <c r="D686" s="388"/>
      <c r="E686" s="388"/>
      <c r="F686" s="388"/>
      <c r="G686" s="388"/>
      <c r="H686" s="388"/>
      <c r="I686" s="388"/>
    </row>
    <row r="687">
      <c r="A687" s="423"/>
      <c r="B687" s="388"/>
      <c r="C687" s="388"/>
      <c r="D687" s="388"/>
      <c r="E687" s="388"/>
      <c r="F687" s="388"/>
      <c r="G687" s="388"/>
      <c r="H687" s="388"/>
      <c r="I687" s="388"/>
    </row>
    <row r="688">
      <c r="A688" s="423"/>
      <c r="B688" s="388"/>
      <c r="C688" s="388"/>
      <c r="D688" s="388"/>
      <c r="E688" s="388"/>
      <c r="F688" s="388"/>
      <c r="G688" s="388"/>
      <c r="H688" s="388"/>
      <c r="I688" s="388"/>
    </row>
    <row r="689">
      <c r="A689" s="423"/>
      <c r="B689" s="388"/>
      <c r="C689" s="388"/>
      <c r="D689" s="388"/>
      <c r="E689" s="388"/>
      <c r="F689" s="388"/>
      <c r="G689" s="388"/>
      <c r="H689" s="388"/>
      <c r="I689" s="388"/>
    </row>
    <row r="690">
      <c r="A690" s="423"/>
      <c r="B690" s="388"/>
      <c r="C690" s="388"/>
      <c r="D690" s="388"/>
      <c r="E690" s="388"/>
      <c r="F690" s="388"/>
      <c r="G690" s="388"/>
      <c r="H690" s="388"/>
      <c r="I690" s="388"/>
    </row>
    <row r="691">
      <c r="A691" s="423"/>
      <c r="B691" s="388"/>
      <c r="C691" s="388"/>
      <c r="D691" s="388"/>
      <c r="E691" s="388"/>
      <c r="F691" s="388"/>
      <c r="G691" s="388"/>
      <c r="H691" s="388"/>
      <c r="I691" s="388"/>
    </row>
    <row r="692">
      <c r="A692" s="423"/>
      <c r="B692" s="388"/>
      <c r="C692" s="388"/>
      <c r="D692" s="388"/>
      <c r="E692" s="388"/>
      <c r="F692" s="388"/>
      <c r="G692" s="388"/>
      <c r="H692" s="388"/>
      <c r="I692" s="388"/>
    </row>
    <row r="693">
      <c r="A693" s="423"/>
      <c r="B693" s="388"/>
      <c r="C693" s="388"/>
      <c r="D693" s="388"/>
      <c r="E693" s="388"/>
      <c r="F693" s="388"/>
      <c r="G693" s="388"/>
      <c r="H693" s="388"/>
      <c r="I693" s="388"/>
    </row>
    <row r="694">
      <c r="A694" s="423"/>
      <c r="B694" s="388"/>
      <c r="C694" s="388"/>
      <c r="D694" s="388"/>
      <c r="E694" s="388"/>
      <c r="F694" s="388"/>
      <c r="G694" s="388"/>
      <c r="H694" s="388"/>
      <c r="I694" s="388"/>
    </row>
    <row r="695">
      <c r="A695" s="423"/>
      <c r="B695" s="388"/>
      <c r="C695" s="388"/>
      <c r="D695" s="388"/>
      <c r="E695" s="388"/>
      <c r="F695" s="388"/>
      <c r="G695" s="388"/>
      <c r="H695" s="388"/>
      <c r="I695" s="388"/>
    </row>
    <row r="696">
      <c r="A696" s="423"/>
      <c r="B696" s="388"/>
      <c r="C696" s="388"/>
      <c r="D696" s="388"/>
      <c r="E696" s="388"/>
      <c r="F696" s="388"/>
      <c r="G696" s="388"/>
      <c r="H696" s="388"/>
      <c r="I696" s="388"/>
    </row>
    <row r="697">
      <c r="A697" s="423"/>
      <c r="B697" s="388"/>
      <c r="C697" s="388"/>
      <c r="D697" s="388"/>
      <c r="E697" s="388"/>
      <c r="F697" s="388"/>
      <c r="G697" s="388"/>
      <c r="H697" s="388"/>
      <c r="I697" s="388"/>
    </row>
    <row r="698">
      <c r="A698" s="423"/>
      <c r="B698" s="388"/>
      <c r="C698" s="388"/>
      <c r="D698" s="388"/>
      <c r="E698" s="388"/>
      <c r="F698" s="388"/>
      <c r="G698" s="388"/>
      <c r="H698" s="388"/>
      <c r="I698" s="388"/>
    </row>
    <row r="699">
      <c r="A699" s="423"/>
      <c r="B699" s="388"/>
      <c r="C699" s="388"/>
      <c r="D699" s="388"/>
      <c r="E699" s="388"/>
      <c r="F699" s="388"/>
      <c r="G699" s="388"/>
      <c r="H699" s="388"/>
      <c r="I699" s="388"/>
    </row>
    <row r="700">
      <c r="A700" s="423"/>
      <c r="B700" s="388"/>
      <c r="C700" s="388"/>
      <c r="D700" s="388"/>
      <c r="E700" s="388"/>
      <c r="F700" s="388"/>
      <c r="G700" s="388"/>
      <c r="H700" s="388"/>
      <c r="I700" s="388"/>
    </row>
    <row r="701">
      <c r="A701" s="423"/>
      <c r="B701" s="388"/>
      <c r="C701" s="388"/>
      <c r="D701" s="388"/>
      <c r="E701" s="388"/>
      <c r="F701" s="388"/>
      <c r="G701" s="388"/>
      <c r="H701" s="388"/>
      <c r="I701" s="388"/>
    </row>
    <row r="702">
      <c r="A702" s="423"/>
      <c r="B702" s="388"/>
      <c r="C702" s="388"/>
      <c r="D702" s="388"/>
      <c r="E702" s="388"/>
      <c r="F702" s="388"/>
      <c r="G702" s="388"/>
      <c r="H702" s="388"/>
      <c r="I702" s="388"/>
    </row>
    <row r="703">
      <c r="A703" s="423"/>
      <c r="B703" s="388"/>
      <c r="C703" s="388"/>
      <c r="D703" s="388"/>
      <c r="E703" s="388"/>
      <c r="F703" s="388"/>
      <c r="G703" s="388"/>
      <c r="H703" s="388"/>
      <c r="I703" s="388"/>
    </row>
    <row r="704">
      <c r="A704" s="423"/>
      <c r="B704" s="388"/>
      <c r="C704" s="388"/>
      <c r="D704" s="388"/>
      <c r="E704" s="388"/>
      <c r="F704" s="388"/>
      <c r="G704" s="388"/>
      <c r="H704" s="388"/>
      <c r="I704" s="388"/>
    </row>
    <row r="705">
      <c r="A705" s="423"/>
      <c r="B705" s="388"/>
      <c r="C705" s="388"/>
      <c r="D705" s="388"/>
      <c r="E705" s="388"/>
      <c r="F705" s="388"/>
      <c r="G705" s="388"/>
      <c r="H705" s="388"/>
      <c r="I705" s="388"/>
    </row>
    <row r="706">
      <c r="A706" s="423"/>
      <c r="B706" s="388"/>
      <c r="C706" s="388"/>
      <c r="D706" s="388"/>
      <c r="E706" s="388"/>
      <c r="F706" s="388"/>
      <c r="G706" s="388"/>
      <c r="H706" s="388"/>
      <c r="I706" s="388"/>
    </row>
    <row r="707">
      <c r="A707" s="423"/>
      <c r="B707" s="388"/>
      <c r="C707" s="388"/>
      <c r="D707" s="388"/>
      <c r="E707" s="388"/>
      <c r="F707" s="388"/>
      <c r="G707" s="388"/>
      <c r="H707" s="388"/>
      <c r="I707" s="388"/>
    </row>
    <row r="708">
      <c r="A708" s="423"/>
      <c r="B708" s="388"/>
      <c r="C708" s="388"/>
      <c r="D708" s="388"/>
      <c r="E708" s="388"/>
      <c r="F708" s="388"/>
      <c r="G708" s="388"/>
      <c r="H708" s="388"/>
      <c r="I708" s="388"/>
    </row>
    <row r="709">
      <c r="A709" s="423"/>
      <c r="B709" s="388"/>
      <c r="C709" s="388"/>
      <c r="D709" s="388"/>
      <c r="E709" s="388"/>
      <c r="F709" s="388"/>
      <c r="G709" s="388"/>
      <c r="H709" s="388"/>
      <c r="I709" s="388"/>
    </row>
    <row r="710">
      <c r="A710" s="423"/>
      <c r="B710" s="388"/>
      <c r="C710" s="388"/>
      <c r="D710" s="388"/>
      <c r="E710" s="388"/>
      <c r="F710" s="388"/>
      <c r="G710" s="388"/>
      <c r="H710" s="388"/>
      <c r="I710" s="388"/>
    </row>
    <row r="711">
      <c r="A711" s="423"/>
      <c r="B711" s="388"/>
      <c r="C711" s="388"/>
      <c r="D711" s="388"/>
      <c r="E711" s="388"/>
      <c r="F711" s="388"/>
      <c r="G711" s="388"/>
      <c r="H711" s="388"/>
      <c r="I711" s="388"/>
    </row>
    <row r="712">
      <c r="A712" s="423"/>
      <c r="B712" s="388"/>
      <c r="C712" s="388"/>
      <c r="D712" s="388"/>
      <c r="E712" s="388"/>
      <c r="F712" s="388"/>
      <c r="G712" s="388"/>
      <c r="H712" s="388"/>
      <c r="I712" s="388"/>
    </row>
    <row r="713">
      <c r="A713" s="423"/>
      <c r="B713" s="388"/>
      <c r="C713" s="388"/>
      <c r="D713" s="388"/>
      <c r="E713" s="388"/>
      <c r="F713" s="388"/>
      <c r="G713" s="388"/>
      <c r="H713" s="388"/>
      <c r="I713" s="388"/>
    </row>
    <row r="714">
      <c r="A714" s="423"/>
      <c r="B714" s="388"/>
      <c r="C714" s="388"/>
      <c r="D714" s="388"/>
      <c r="E714" s="388"/>
      <c r="F714" s="388"/>
      <c r="G714" s="388"/>
      <c r="H714" s="388"/>
      <c r="I714" s="388"/>
    </row>
    <row r="715">
      <c r="A715" s="423"/>
      <c r="B715" s="388"/>
      <c r="C715" s="388"/>
      <c r="D715" s="388"/>
      <c r="E715" s="388"/>
      <c r="F715" s="388"/>
      <c r="G715" s="388"/>
      <c r="H715" s="388"/>
      <c r="I715" s="388"/>
    </row>
    <row r="716">
      <c r="A716" s="423"/>
      <c r="B716" s="388"/>
      <c r="C716" s="388"/>
      <c r="D716" s="388"/>
      <c r="E716" s="388"/>
      <c r="F716" s="388"/>
      <c r="G716" s="388"/>
      <c r="H716" s="388"/>
      <c r="I716" s="388"/>
    </row>
    <row r="717">
      <c r="A717" s="423"/>
      <c r="B717" s="388"/>
      <c r="C717" s="388"/>
      <c r="D717" s="388"/>
      <c r="E717" s="388"/>
      <c r="F717" s="388"/>
      <c r="G717" s="388"/>
      <c r="H717" s="388"/>
      <c r="I717" s="388"/>
    </row>
    <row r="718">
      <c r="A718" s="423"/>
      <c r="B718" s="388"/>
      <c r="C718" s="388"/>
      <c r="D718" s="388"/>
      <c r="E718" s="388"/>
      <c r="F718" s="388"/>
      <c r="G718" s="388"/>
      <c r="H718" s="388"/>
      <c r="I718" s="388"/>
    </row>
    <row r="719">
      <c r="A719" s="423"/>
      <c r="B719" s="388"/>
      <c r="C719" s="388"/>
      <c r="D719" s="388"/>
      <c r="E719" s="388"/>
      <c r="F719" s="388"/>
      <c r="G719" s="388"/>
      <c r="H719" s="388"/>
      <c r="I719" s="388"/>
    </row>
    <row r="720">
      <c r="A720" s="423"/>
      <c r="B720" s="388"/>
      <c r="C720" s="388"/>
      <c r="D720" s="388"/>
      <c r="E720" s="388"/>
      <c r="F720" s="388"/>
      <c r="G720" s="388"/>
      <c r="H720" s="388"/>
      <c r="I720" s="388"/>
    </row>
    <row r="721">
      <c r="A721" s="423"/>
      <c r="B721" s="388"/>
      <c r="C721" s="388"/>
      <c r="D721" s="388"/>
      <c r="E721" s="388"/>
      <c r="F721" s="388"/>
      <c r="G721" s="388"/>
      <c r="H721" s="388"/>
      <c r="I721" s="388"/>
    </row>
    <row r="722">
      <c r="A722" s="423"/>
      <c r="B722" s="388"/>
      <c r="C722" s="388"/>
      <c r="D722" s="388"/>
      <c r="E722" s="388"/>
      <c r="F722" s="388"/>
      <c r="G722" s="388"/>
      <c r="H722" s="388"/>
      <c r="I722" s="388"/>
    </row>
    <row r="723">
      <c r="A723" s="423"/>
      <c r="B723" s="388"/>
      <c r="C723" s="388"/>
      <c r="D723" s="388"/>
      <c r="E723" s="388"/>
      <c r="F723" s="388"/>
      <c r="G723" s="388"/>
      <c r="H723" s="388"/>
      <c r="I723" s="388"/>
    </row>
    <row r="724">
      <c r="A724" s="423"/>
      <c r="B724" s="388"/>
      <c r="C724" s="388"/>
      <c r="D724" s="388"/>
      <c r="E724" s="388"/>
      <c r="F724" s="388"/>
      <c r="G724" s="388"/>
      <c r="H724" s="388"/>
      <c r="I724" s="388"/>
    </row>
    <row r="725">
      <c r="A725" s="423"/>
      <c r="B725" s="388"/>
      <c r="C725" s="388"/>
      <c r="D725" s="388"/>
      <c r="E725" s="388"/>
      <c r="F725" s="388"/>
      <c r="G725" s="388"/>
      <c r="H725" s="388"/>
      <c r="I725" s="388"/>
    </row>
    <row r="726">
      <c r="A726" s="423"/>
      <c r="B726" s="388"/>
      <c r="C726" s="388"/>
      <c r="D726" s="388"/>
      <c r="E726" s="388"/>
      <c r="F726" s="388"/>
      <c r="G726" s="388"/>
      <c r="H726" s="388"/>
      <c r="I726" s="388"/>
    </row>
    <row r="727">
      <c r="A727" s="423"/>
      <c r="B727" s="388"/>
      <c r="C727" s="388"/>
      <c r="D727" s="388"/>
      <c r="E727" s="388"/>
      <c r="F727" s="388"/>
      <c r="G727" s="388"/>
      <c r="H727" s="388"/>
      <c r="I727" s="388"/>
    </row>
    <row r="728">
      <c r="A728" s="423"/>
      <c r="B728" s="388"/>
      <c r="C728" s="388"/>
      <c r="D728" s="388"/>
      <c r="E728" s="388"/>
      <c r="F728" s="388"/>
      <c r="G728" s="388"/>
      <c r="H728" s="388"/>
      <c r="I728" s="388"/>
    </row>
    <row r="729">
      <c r="A729" s="423"/>
      <c r="B729" s="388"/>
      <c r="C729" s="388"/>
      <c r="D729" s="388"/>
      <c r="E729" s="388"/>
      <c r="F729" s="388"/>
      <c r="G729" s="388"/>
      <c r="H729" s="388"/>
      <c r="I729" s="388"/>
    </row>
    <row r="730">
      <c r="A730" s="423"/>
      <c r="B730" s="388"/>
      <c r="C730" s="388"/>
      <c r="D730" s="388"/>
      <c r="E730" s="388"/>
      <c r="F730" s="388"/>
      <c r="G730" s="388"/>
      <c r="H730" s="388"/>
      <c r="I730" s="388"/>
    </row>
    <row r="731">
      <c r="A731" s="423"/>
      <c r="B731" s="388"/>
      <c r="C731" s="388"/>
      <c r="D731" s="388"/>
      <c r="E731" s="388"/>
      <c r="F731" s="388"/>
      <c r="G731" s="388"/>
      <c r="H731" s="388"/>
      <c r="I731" s="388"/>
    </row>
    <row r="732">
      <c r="A732" s="423"/>
      <c r="B732" s="388"/>
      <c r="C732" s="388"/>
      <c r="D732" s="388"/>
      <c r="E732" s="388"/>
      <c r="F732" s="388"/>
      <c r="G732" s="388"/>
      <c r="H732" s="388"/>
      <c r="I732" s="388"/>
    </row>
    <row r="733">
      <c r="A733" s="423"/>
      <c r="B733" s="388"/>
      <c r="C733" s="388"/>
      <c r="D733" s="388"/>
      <c r="E733" s="388"/>
      <c r="F733" s="388"/>
      <c r="G733" s="388"/>
      <c r="H733" s="388"/>
      <c r="I733" s="388"/>
    </row>
    <row r="734">
      <c r="A734" s="423"/>
      <c r="B734" s="388"/>
      <c r="C734" s="388"/>
      <c r="D734" s="388"/>
      <c r="E734" s="388"/>
      <c r="F734" s="388"/>
      <c r="G734" s="388"/>
      <c r="H734" s="388"/>
      <c r="I734" s="388"/>
    </row>
    <row r="735">
      <c r="A735" s="423"/>
      <c r="B735" s="388"/>
      <c r="C735" s="388"/>
      <c r="D735" s="388"/>
      <c r="E735" s="388"/>
      <c r="F735" s="388"/>
      <c r="G735" s="388"/>
      <c r="H735" s="388"/>
      <c r="I735" s="388"/>
    </row>
    <row r="736">
      <c r="A736" s="423"/>
      <c r="B736" s="388"/>
      <c r="C736" s="388"/>
      <c r="D736" s="388"/>
      <c r="E736" s="388"/>
      <c r="F736" s="388"/>
      <c r="G736" s="388"/>
      <c r="H736" s="388"/>
      <c r="I736" s="388"/>
    </row>
    <row r="737">
      <c r="A737" s="423"/>
      <c r="B737" s="388"/>
      <c r="C737" s="388"/>
      <c r="D737" s="388"/>
      <c r="E737" s="388"/>
      <c r="F737" s="388"/>
      <c r="G737" s="388"/>
      <c r="H737" s="388"/>
      <c r="I737" s="388"/>
    </row>
    <row r="738">
      <c r="A738" s="423"/>
      <c r="B738" s="388"/>
      <c r="C738" s="388"/>
      <c r="D738" s="388"/>
      <c r="E738" s="388"/>
      <c r="F738" s="388"/>
      <c r="G738" s="388"/>
      <c r="H738" s="388"/>
      <c r="I738" s="388"/>
    </row>
    <row r="739">
      <c r="A739" s="423"/>
      <c r="B739" s="388"/>
      <c r="C739" s="388"/>
      <c r="D739" s="388"/>
      <c r="E739" s="388"/>
      <c r="F739" s="388"/>
      <c r="G739" s="388"/>
      <c r="H739" s="388"/>
      <c r="I739" s="388"/>
    </row>
    <row r="740">
      <c r="A740" s="423"/>
      <c r="B740" s="388"/>
      <c r="C740" s="388"/>
      <c r="D740" s="388"/>
      <c r="E740" s="388"/>
      <c r="F740" s="388"/>
      <c r="G740" s="388"/>
      <c r="H740" s="388"/>
      <c r="I740" s="388"/>
    </row>
    <row r="741">
      <c r="A741" s="423"/>
      <c r="B741" s="388"/>
      <c r="C741" s="388"/>
      <c r="D741" s="388"/>
      <c r="E741" s="388"/>
      <c r="F741" s="388"/>
      <c r="G741" s="388"/>
      <c r="H741" s="388"/>
      <c r="I741" s="388"/>
    </row>
    <row r="742">
      <c r="A742" s="423"/>
      <c r="B742" s="388"/>
      <c r="C742" s="388"/>
      <c r="D742" s="388"/>
      <c r="E742" s="388"/>
      <c r="F742" s="388"/>
      <c r="G742" s="388"/>
      <c r="H742" s="388"/>
      <c r="I742" s="388"/>
    </row>
    <row r="743">
      <c r="A743" s="423"/>
      <c r="B743" s="388"/>
      <c r="C743" s="388"/>
      <c r="D743" s="388"/>
      <c r="E743" s="388"/>
      <c r="F743" s="388"/>
      <c r="G743" s="388"/>
      <c r="H743" s="388"/>
      <c r="I743" s="388"/>
    </row>
    <row r="744">
      <c r="A744" s="423"/>
      <c r="B744" s="388"/>
      <c r="C744" s="388"/>
      <c r="D744" s="388"/>
      <c r="E744" s="388"/>
      <c r="F744" s="388"/>
      <c r="G744" s="388"/>
      <c r="H744" s="388"/>
      <c r="I744" s="388"/>
    </row>
    <row r="745">
      <c r="A745" s="423"/>
      <c r="B745" s="388"/>
      <c r="C745" s="388"/>
      <c r="D745" s="388"/>
      <c r="E745" s="388"/>
      <c r="F745" s="388"/>
      <c r="G745" s="388"/>
      <c r="H745" s="388"/>
      <c r="I745" s="388"/>
    </row>
    <row r="746">
      <c r="A746" s="423"/>
      <c r="B746" s="388"/>
      <c r="C746" s="388"/>
      <c r="D746" s="388"/>
      <c r="E746" s="388"/>
      <c r="F746" s="388"/>
      <c r="G746" s="388"/>
      <c r="H746" s="388"/>
      <c r="I746" s="388"/>
    </row>
    <row r="747">
      <c r="A747" s="423"/>
      <c r="B747" s="388"/>
      <c r="C747" s="388"/>
      <c r="D747" s="388"/>
      <c r="E747" s="388"/>
      <c r="F747" s="388"/>
      <c r="G747" s="388"/>
      <c r="H747" s="388"/>
      <c r="I747" s="388"/>
    </row>
    <row r="748">
      <c r="A748" s="423"/>
      <c r="B748" s="388"/>
      <c r="C748" s="388"/>
      <c r="D748" s="388"/>
      <c r="E748" s="388"/>
      <c r="F748" s="388"/>
      <c r="G748" s="388"/>
      <c r="H748" s="388"/>
      <c r="I748" s="388"/>
    </row>
    <row r="749">
      <c r="A749" s="423"/>
      <c r="B749" s="388"/>
      <c r="C749" s="388"/>
      <c r="D749" s="388"/>
      <c r="E749" s="388"/>
      <c r="F749" s="388"/>
      <c r="G749" s="388"/>
      <c r="H749" s="388"/>
      <c r="I749" s="388"/>
    </row>
    <row r="750">
      <c r="A750" s="423"/>
      <c r="B750" s="388"/>
      <c r="C750" s="388"/>
      <c r="D750" s="388"/>
      <c r="E750" s="388"/>
      <c r="F750" s="388"/>
      <c r="G750" s="388"/>
      <c r="H750" s="388"/>
      <c r="I750" s="388"/>
    </row>
    <row r="751">
      <c r="A751" s="423"/>
      <c r="B751" s="388"/>
      <c r="C751" s="388"/>
      <c r="D751" s="388"/>
      <c r="E751" s="388"/>
      <c r="F751" s="388"/>
      <c r="G751" s="388"/>
      <c r="H751" s="388"/>
      <c r="I751" s="388"/>
    </row>
    <row r="752">
      <c r="A752" s="423"/>
      <c r="B752" s="388"/>
      <c r="C752" s="388"/>
      <c r="D752" s="388"/>
      <c r="E752" s="388"/>
      <c r="F752" s="388"/>
      <c r="G752" s="388"/>
      <c r="H752" s="388"/>
      <c r="I752" s="388"/>
    </row>
    <row r="753">
      <c r="A753" s="423"/>
      <c r="B753" s="388"/>
      <c r="C753" s="388"/>
      <c r="D753" s="388"/>
      <c r="E753" s="388"/>
      <c r="F753" s="388"/>
      <c r="G753" s="388"/>
      <c r="H753" s="388"/>
      <c r="I753" s="388"/>
    </row>
    <row r="754">
      <c r="A754" s="423"/>
      <c r="B754" s="388"/>
      <c r="C754" s="388"/>
      <c r="D754" s="388"/>
      <c r="E754" s="388"/>
      <c r="F754" s="388"/>
      <c r="G754" s="388"/>
      <c r="H754" s="388"/>
      <c r="I754" s="388"/>
    </row>
    <row r="755">
      <c r="A755" s="423"/>
      <c r="B755" s="388"/>
      <c r="C755" s="388"/>
      <c r="D755" s="388"/>
      <c r="E755" s="388"/>
      <c r="F755" s="388"/>
      <c r="G755" s="388"/>
      <c r="H755" s="388"/>
      <c r="I755" s="388"/>
    </row>
    <row r="756">
      <c r="A756" s="423"/>
      <c r="B756" s="388"/>
      <c r="C756" s="388"/>
      <c r="D756" s="388"/>
      <c r="E756" s="388"/>
      <c r="F756" s="388"/>
      <c r="G756" s="388"/>
      <c r="H756" s="388"/>
      <c r="I756" s="388"/>
    </row>
    <row r="757">
      <c r="A757" s="423"/>
      <c r="B757" s="388"/>
      <c r="C757" s="388"/>
      <c r="D757" s="388"/>
      <c r="E757" s="388"/>
      <c r="F757" s="388"/>
      <c r="G757" s="388"/>
      <c r="H757" s="388"/>
      <c r="I757" s="388"/>
    </row>
    <row r="758">
      <c r="A758" s="423"/>
      <c r="B758" s="388"/>
      <c r="C758" s="388"/>
      <c r="D758" s="388"/>
      <c r="E758" s="388"/>
      <c r="F758" s="388"/>
      <c r="G758" s="388"/>
      <c r="H758" s="388"/>
      <c r="I758" s="388"/>
    </row>
    <row r="759">
      <c r="A759" s="423"/>
      <c r="B759" s="388"/>
      <c r="C759" s="388"/>
      <c r="D759" s="388"/>
      <c r="E759" s="388"/>
      <c r="F759" s="388"/>
      <c r="G759" s="388"/>
      <c r="H759" s="388"/>
      <c r="I759" s="388"/>
    </row>
    <row r="760">
      <c r="A760" s="423"/>
      <c r="B760" s="388"/>
      <c r="C760" s="388"/>
      <c r="D760" s="388"/>
      <c r="E760" s="388"/>
      <c r="F760" s="388"/>
      <c r="G760" s="388"/>
      <c r="H760" s="388"/>
      <c r="I760" s="388"/>
    </row>
    <row r="761">
      <c r="A761" s="423"/>
      <c r="B761" s="388"/>
      <c r="C761" s="388"/>
      <c r="D761" s="388"/>
      <c r="E761" s="388"/>
      <c r="F761" s="388"/>
      <c r="G761" s="388"/>
      <c r="H761" s="388"/>
      <c r="I761" s="388"/>
    </row>
    <row r="762">
      <c r="A762" s="423"/>
      <c r="B762" s="388"/>
      <c r="C762" s="388"/>
      <c r="D762" s="388"/>
      <c r="E762" s="388"/>
      <c r="F762" s="388"/>
      <c r="G762" s="388"/>
      <c r="H762" s="388"/>
      <c r="I762" s="388"/>
    </row>
    <row r="763">
      <c r="A763" s="423"/>
      <c r="B763" s="388"/>
      <c r="C763" s="388"/>
      <c r="D763" s="388"/>
      <c r="E763" s="388"/>
      <c r="F763" s="388"/>
      <c r="G763" s="388"/>
      <c r="H763" s="388"/>
      <c r="I763" s="388"/>
    </row>
    <row r="764">
      <c r="A764" s="423"/>
      <c r="B764" s="388"/>
      <c r="C764" s="388"/>
      <c r="D764" s="388"/>
      <c r="E764" s="388"/>
      <c r="F764" s="388"/>
      <c r="G764" s="388"/>
      <c r="H764" s="388"/>
      <c r="I764" s="388"/>
    </row>
    <row r="765">
      <c r="A765" s="423"/>
      <c r="B765" s="388"/>
      <c r="C765" s="388"/>
      <c r="D765" s="388"/>
      <c r="E765" s="388"/>
      <c r="F765" s="388"/>
      <c r="G765" s="388"/>
      <c r="H765" s="388"/>
      <c r="I765" s="388"/>
    </row>
    <row r="766">
      <c r="A766" s="423"/>
      <c r="B766" s="388"/>
      <c r="C766" s="388"/>
      <c r="D766" s="388"/>
      <c r="E766" s="388"/>
      <c r="F766" s="388"/>
      <c r="G766" s="388"/>
      <c r="H766" s="388"/>
      <c r="I766" s="388"/>
    </row>
    <row r="767">
      <c r="A767" s="423"/>
      <c r="B767" s="388"/>
      <c r="C767" s="388"/>
      <c r="D767" s="388"/>
      <c r="E767" s="388"/>
      <c r="F767" s="388"/>
      <c r="G767" s="388"/>
      <c r="H767" s="388"/>
      <c r="I767" s="388"/>
    </row>
    <row r="768">
      <c r="A768" s="423"/>
      <c r="B768" s="388"/>
      <c r="C768" s="388"/>
      <c r="D768" s="388"/>
      <c r="E768" s="388"/>
      <c r="F768" s="388"/>
      <c r="G768" s="388"/>
      <c r="H768" s="388"/>
      <c r="I768" s="388"/>
    </row>
    <row r="769">
      <c r="A769" s="423"/>
      <c r="B769" s="388"/>
      <c r="C769" s="388"/>
      <c r="D769" s="388"/>
      <c r="E769" s="388"/>
      <c r="F769" s="388"/>
      <c r="G769" s="388"/>
      <c r="H769" s="388"/>
      <c r="I769" s="388"/>
    </row>
    <row r="770">
      <c r="A770" s="423"/>
      <c r="B770" s="388"/>
      <c r="C770" s="388"/>
      <c r="D770" s="388"/>
      <c r="E770" s="388"/>
      <c r="F770" s="388"/>
      <c r="G770" s="388"/>
      <c r="H770" s="388"/>
      <c r="I770" s="388"/>
    </row>
    <row r="771">
      <c r="A771" s="423"/>
      <c r="B771" s="388"/>
      <c r="C771" s="388"/>
      <c r="D771" s="388"/>
      <c r="E771" s="388"/>
      <c r="F771" s="388"/>
      <c r="G771" s="388"/>
      <c r="H771" s="388"/>
      <c r="I771" s="388"/>
    </row>
    <row r="772">
      <c r="A772" s="423"/>
      <c r="B772" s="388"/>
      <c r="C772" s="388"/>
      <c r="D772" s="388"/>
      <c r="E772" s="388"/>
      <c r="F772" s="388"/>
      <c r="G772" s="388"/>
      <c r="H772" s="388"/>
      <c r="I772" s="388"/>
    </row>
    <row r="773">
      <c r="A773" s="423"/>
      <c r="B773" s="388"/>
      <c r="C773" s="388"/>
      <c r="D773" s="388"/>
      <c r="E773" s="388"/>
      <c r="F773" s="388"/>
      <c r="G773" s="388"/>
      <c r="H773" s="388"/>
      <c r="I773" s="388"/>
    </row>
    <row r="774">
      <c r="A774" s="423"/>
      <c r="B774" s="388"/>
      <c r="C774" s="388"/>
      <c r="D774" s="388"/>
      <c r="E774" s="388"/>
      <c r="F774" s="388"/>
      <c r="G774" s="388"/>
      <c r="H774" s="388"/>
      <c r="I774" s="388"/>
    </row>
    <row r="775">
      <c r="A775" s="423"/>
      <c r="B775" s="388"/>
      <c r="C775" s="388"/>
      <c r="D775" s="388"/>
      <c r="E775" s="388"/>
      <c r="F775" s="388"/>
      <c r="G775" s="388"/>
      <c r="H775" s="388"/>
      <c r="I775" s="388"/>
    </row>
    <row r="776">
      <c r="A776" s="423"/>
      <c r="B776" s="388"/>
      <c r="C776" s="388"/>
      <c r="D776" s="388"/>
      <c r="E776" s="388"/>
      <c r="F776" s="388"/>
      <c r="G776" s="388"/>
      <c r="H776" s="388"/>
      <c r="I776" s="388"/>
    </row>
    <row r="777">
      <c r="A777" s="423"/>
      <c r="B777" s="388"/>
      <c r="C777" s="388"/>
      <c r="D777" s="388"/>
      <c r="E777" s="388"/>
      <c r="F777" s="388"/>
      <c r="G777" s="388"/>
      <c r="H777" s="388"/>
      <c r="I777" s="388"/>
    </row>
    <row r="778">
      <c r="A778" s="423"/>
      <c r="B778" s="388"/>
      <c r="C778" s="388"/>
      <c r="D778" s="388"/>
      <c r="E778" s="388"/>
      <c r="F778" s="388"/>
      <c r="G778" s="388"/>
      <c r="H778" s="388"/>
      <c r="I778" s="388"/>
    </row>
    <row r="779">
      <c r="A779" s="423"/>
      <c r="B779" s="388"/>
      <c r="C779" s="388"/>
      <c r="D779" s="388"/>
      <c r="E779" s="388"/>
      <c r="F779" s="388"/>
      <c r="G779" s="388"/>
      <c r="H779" s="388"/>
      <c r="I779" s="388"/>
    </row>
    <row r="780">
      <c r="A780" s="423"/>
      <c r="B780" s="388"/>
      <c r="C780" s="388"/>
      <c r="D780" s="388"/>
      <c r="E780" s="388"/>
      <c r="F780" s="388"/>
      <c r="G780" s="388"/>
      <c r="H780" s="388"/>
      <c r="I780" s="388"/>
    </row>
    <row r="781">
      <c r="A781" s="423"/>
      <c r="B781" s="388"/>
      <c r="C781" s="388"/>
      <c r="D781" s="388"/>
      <c r="E781" s="388"/>
      <c r="F781" s="388"/>
      <c r="G781" s="388"/>
      <c r="H781" s="388"/>
      <c r="I781" s="388"/>
    </row>
    <row r="782">
      <c r="A782" s="423"/>
      <c r="B782" s="388"/>
      <c r="C782" s="388"/>
      <c r="D782" s="388"/>
      <c r="E782" s="388"/>
      <c r="F782" s="388"/>
      <c r="G782" s="388"/>
      <c r="H782" s="388"/>
      <c r="I782" s="388"/>
    </row>
    <row r="783">
      <c r="A783" s="423"/>
      <c r="B783" s="388"/>
      <c r="C783" s="388"/>
      <c r="D783" s="388"/>
      <c r="E783" s="388"/>
      <c r="F783" s="388"/>
      <c r="G783" s="388"/>
      <c r="H783" s="388"/>
      <c r="I783" s="388"/>
    </row>
    <row r="784">
      <c r="A784" s="423"/>
      <c r="B784" s="388"/>
      <c r="C784" s="388"/>
      <c r="D784" s="388"/>
      <c r="E784" s="388"/>
      <c r="F784" s="388"/>
      <c r="G784" s="388"/>
      <c r="H784" s="388"/>
      <c r="I784" s="388"/>
    </row>
    <row r="785">
      <c r="A785" s="423"/>
      <c r="B785" s="388"/>
      <c r="C785" s="388"/>
      <c r="D785" s="388"/>
      <c r="E785" s="388"/>
      <c r="F785" s="388"/>
      <c r="G785" s="388"/>
      <c r="H785" s="388"/>
      <c r="I785" s="388"/>
    </row>
    <row r="786">
      <c r="A786" s="423"/>
      <c r="B786" s="388"/>
      <c r="C786" s="388"/>
      <c r="D786" s="388"/>
      <c r="E786" s="388"/>
      <c r="F786" s="388"/>
      <c r="G786" s="388"/>
      <c r="H786" s="388"/>
      <c r="I786" s="388"/>
    </row>
    <row r="787">
      <c r="A787" s="423"/>
      <c r="B787" s="388"/>
      <c r="C787" s="388"/>
      <c r="D787" s="388"/>
      <c r="E787" s="388"/>
      <c r="F787" s="388"/>
      <c r="G787" s="388"/>
      <c r="H787" s="388"/>
      <c r="I787" s="388"/>
    </row>
    <row r="788">
      <c r="A788" s="423"/>
      <c r="B788" s="388"/>
      <c r="C788" s="388"/>
      <c r="D788" s="388"/>
      <c r="E788" s="388"/>
      <c r="F788" s="388"/>
      <c r="G788" s="388"/>
      <c r="H788" s="388"/>
      <c r="I788" s="388"/>
    </row>
    <row r="789">
      <c r="A789" s="423"/>
      <c r="B789" s="388"/>
      <c r="C789" s="388"/>
      <c r="D789" s="388"/>
      <c r="E789" s="388"/>
      <c r="F789" s="388"/>
      <c r="G789" s="388"/>
      <c r="H789" s="388"/>
      <c r="I789" s="388"/>
    </row>
    <row r="790">
      <c r="A790" s="423"/>
      <c r="B790" s="388"/>
      <c r="C790" s="388"/>
      <c r="D790" s="388"/>
      <c r="E790" s="388"/>
      <c r="F790" s="388"/>
      <c r="G790" s="388"/>
      <c r="H790" s="388"/>
      <c r="I790" s="388"/>
    </row>
    <row r="791">
      <c r="A791" s="423"/>
      <c r="B791" s="388"/>
      <c r="C791" s="388"/>
      <c r="D791" s="388"/>
      <c r="E791" s="388"/>
      <c r="F791" s="388"/>
      <c r="G791" s="388"/>
      <c r="H791" s="388"/>
      <c r="I791" s="388"/>
    </row>
    <row r="792">
      <c r="A792" s="423"/>
      <c r="B792" s="388"/>
      <c r="C792" s="388"/>
      <c r="D792" s="388"/>
      <c r="E792" s="388"/>
      <c r="F792" s="388"/>
      <c r="G792" s="388"/>
      <c r="H792" s="388"/>
      <c r="I792" s="388"/>
    </row>
    <row r="793">
      <c r="A793" s="423"/>
      <c r="B793" s="388"/>
      <c r="C793" s="388"/>
      <c r="D793" s="388"/>
      <c r="E793" s="388"/>
      <c r="F793" s="388"/>
      <c r="G793" s="388"/>
      <c r="H793" s="388"/>
      <c r="I793" s="388"/>
    </row>
    <row r="794">
      <c r="A794" s="423"/>
      <c r="B794" s="388"/>
      <c r="C794" s="388"/>
      <c r="D794" s="388"/>
      <c r="E794" s="388"/>
      <c r="F794" s="388"/>
      <c r="G794" s="388"/>
      <c r="H794" s="388"/>
      <c r="I794" s="388"/>
    </row>
    <row r="795">
      <c r="A795" s="423"/>
      <c r="B795" s="388"/>
      <c r="C795" s="388"/>
      <c r="D795" s="388"/>
      <c r="E795" s="388"/>
      <c r="F795" s="388"/>
      <c r="G795" s="388"/>
      <c r="H795" s="388"/>
      <c r="I795" s="388"/>
    </row>
    <row r="796">
      <c r="A796" s="423"/>
      <c r="B796" s="388"/>
      <c r="C796" s="388"/>
      <c r="D796" s="388"/>
      <c r="E796" s="388"/>
      <c r="F796" s="388"/>
      <c r="G796" s="388"/>
      <c r="H796" s="388"/>
      <c r="I796" s="388"/>
    </row>
    <row r="797">
      <c r="A797" s="423"/>
      <c r="B797" s="388"/>
      <c r="C797" s="388"/>
      <c r="D797" s="388"/>
      <c r="E797" s="388"/>
      <c r="F797" s="388"/>
      <c r="G797" s="388"/>
      <c r="H797" s="388"/>
      <c r="I797" s="388"/>
    </row>
    <row r="798">
      <c r="A798" s="423"/>
      <c r="B798" s="388"/>
      <c r="C798" s="388"/>
      <c r="D798" s="388"/>
      <c r="E798" s="388"/>
      <c r="F798" s="388"/>
      <c r="G798" s="388"/>
      <c r="H798" s="388"/>
      <c r="I798" s="388"/>
    </row>
    <row r="799">
      <c r="A799" s="423"/>
      <c r="B799" s="388"/>
      <c r="C799" s="388"/>
      <c r="D799" s="388"/>
      <c r="E799" s="388"/>
      <c r="F799" s="388"/>
      <c r="G799" s="388"/>
      <c r="H799" s="388"/>
      <c r="I799" s="388"/>
    </row>
    <row r="800">
      <c r="A800" s="423"/>
      <c r="B800" s="388"/>
      <c r="C800" s="388"/>
      <c r="D800" s="388"/>
      <c r="E800" s="388"/>
      <c r="F800" s="388"/>
      <c r="G800" s="388"/>
      <c r="H800" s="388"/>
      <c r="I800" s="388"/>
    </row>
    <row r="801">
      <c r="A801" s="423"/>
      <c r="B801" s="388"/>
      <c r="C801" s="388"/>
      <c r="D801" s="388"/>
      <c r="E801" s="388"/>
      <c r="F801" s="388"/>
      <c r="G801" s="388"/>
      <c r="H801" s="388"/>
      <c r="I801" s="388"/>
    </row>
    <row r="802">
      <c r="A802" s="423"/>
      <c r="B802" s="388"/>
      <c r="C802" s="388"/>
      <c r="D802" s="388"/>
      <c r="E802" s="388"/>
      <c r="F802" s="388"/>
      <c r="G802" s="388"/>
      <c r="H802" s="388"/>
      <c r="I802" s="388"/>
    </row>
    <row r="803">
      <c r="A803" s="423"/>
      <c r="B803" s="388"/>
      <c r="C803" s="388"/>
      <c r="D803" s="388"/>
      <c r="E803" s="388"/>
      <c r="F803" s="388"/>
      <c r="G803" s="388"/>
      <c r="H803" s="388"/>
      <c r="I803" s="388"/>
    </row>
    <row r="804">
      <c r="A804" s="423"/>
      <c r="B804" s="388"/>
      <c r="C804" s="388"/>
      <c r="D804" s="388"/>
      <c r="E804" s="388"/>
      <c r="F804" s="388"/>
      <c r="G804" s="388"/>
      <c r="H804" s="388"/>
      <c r="I804" s="388"/>
    </row>
    <row r="805">
      <c r="A805" s="423"/>
      <c r="B805" s="388"/>
      <c r="C805" s="388"/>
      <c r="D805" s="388"/>
      <c r="E805" s="388"/>
      <c r="F805" s="388"/>
      <c r="G805" s="388"/>
      <c r="H805" s="388"/>
      <c r="I805" s="388"/>
    </row>
    <row r="806">
      <c r="A806" s="423"/>
      <c r="B806" s="388"/>
      <c r="C806" s="388"/>
      <c r="D806" s="388"/>
      <c r="E806" s="388"/>
      <c r="F806" s="388"/>
      <c r="G806" s="388"/>
      <c r="H806" s="388"/>
      <c r="I806" s="388"/>
    </row>
    <row r="807">
      <c r="A807" s="423"/>
      <c r="B807" s="388"/>
      <c r="C807" s="388"/>
      <c r="D807" s="388"/>
      <c r="E807" s="388"/>
      <c r="F807" s="388"/>
      <c r="G807" s="388"/>
      <c r="H807" s="388"/>
      <c r="I807" s="388"/>
    </row>
    <row r="808">
      <c r="A808" s="423"/>
      <c r="B808" s="388"/>
      <c r="C808" s="388"/>
      <c r="D808" s="388"/>
      <c r="E808" s="388"/>
      <c r="F808" s="388"/>
      <c r="G808" s="388"/>
      <c r="H808" s="388"/>
      <c r="I808" s="388"/>
    </row>
    <row r="809">
      <c r="A809" s="423"/>
      <c r="B809" s="388"/>
      <c r="C809" s="388"/>
      <c r="D809" s="388"/>
      <c r="E809" s="388"/>
      <c r="F809" s="388"/>
      <c r="G809" s="388"/>
      <c r="H809" s="388"/>
      <c r="I809" s="388"/>
    </row>
    <row r="810">
      <c r="A810" s="423"/>
      <c r="B810" s="388"/>
      <c r="C810" s="388"/>
      <c r="D810" s="388"/>
      <c r="E810" s="388"/>
      <c r="F810" s="388"/>
      <c r="G810" s="388"/>
      <c r="H810" s="388"/>
      <c r="I810" s="388"/>
    </row>
    <row r="811">
      <c r="A811" s="423"/>
      <c r="B811" s="388"/>
      <c r="C811" s="388"/>
      <c r="D811" s="388"/>
      <c r="E811" s="388"/>
      <c r="F811" s="388"/>
      <c r="G811" s="388"/>
      <c r="H811" s="388"/>
      <c r="I811" s="388"/>
    </row>
    <row r="812">
      <c r="A812" s="423"/>
      <c r="B812" s="388"/>
      <c r="C812" s="388"/>
      <c r="D812" s="388"/>
      <c r="E812" s="388"/>
      <c r="F812" s="388"/>
      <c r="G812" s="388"/>
      <c r="H812" s="388"/>
      <c r="I812" s="388"/>
    </row>
    <row r="813">
      <c r="A813" s="423"/>
      <c r="B813" s="388"/>
      <c r="C813" s="388"/>
      <c r="D813" s="388"/>
      <c r="E813" s="388"/>
      <c r="F813" s="388"/>
      <c r="G813" s="388"/>
      <c r="H813" s="388"/>
      <c r="I813" s="388"/>
    </row>
    <row r="814">
      <c r="A814" s="423"/>
      <c r="B814" s="388"/>
      <c r="C814" s="388"/>
      <c r="D814" s="388"/>
      <c r="E814" s="388"/>
      <c r="F814" s="388"/>
      <c r="G814" s="388"/>
      <c r="H814" s="388"/>
      <c r="I814" s="388"/>
    </row>
    <row r="815">
      <c r="A815" s="423"/>
      <c r="B815" s="388"/>
      <c r="C815" s="388"/>
      <c r="D815" s="388"/>
      <c r="E815" s="388"/>
      <c r="F815" s="388"/>
      <c r="G815" s="388"/>
      <c r="H815" s="388"/>
      <c r="I815" s="388"/>
    </row>
    <row r="816">
      <c r="A816" s="423"/>
      <c r="B816" s="388"/>
      <c r="C816" s="388"/>
      <c r="D816" s="388"/>
      <c r="E816" s="388"/>
      <c r="F816" s="388"/>
      <c r="G816" s="388"/>
      <c r="H816" s="388"/>
      <c r="I816" s="388"/>
    </row>
    <row r="817">
      <c r="A817" s="423"/>
      <c r="B817" s="388"/>
      <c r="C817" s="388"/>
      <c r="D817" s="388"/>
      <c r="E817" s="388"/>
      <c r="F817" s="388"/>
      <c r="G817" s="388"/>
      <c r="H817" s="388"/>
      <c r="I817" s="388"/>
    </row>
    <row r="818">
      <c r="A818" s="423"/>
      <c r="B818" s="388"/>
      <c r="C818" s="388"/>
      <c r="D818" s="388"/>
      <c r="E818" s="388"/>
      <c r="F818" s="388"/>
      <c r="G818" s="388"/>
      <c r="H818" s="388"/>
      <c r="I818" s="388"/>
    </row>
    <row r="819">
      <c r="A819" s="423"/>
      <c r="B819" s="388"/>
      <c r="C819" s="388"/>
      <c r="D819" s="388"/>
      <c r="E819" s="388"/>
      <c r="F819" s="388"/>
      <c r="G819" s="388"/>
      <c r="H819" s="388"/>
      <c r="I819" s="388"/>
    </row>
    <row r="820">
      <c r="A820" s="423"/>
      <c r="B820" s="388"/>
      <c r="C820" s="388"/>
      <c r="D820" s="388"/>
      <c r="E820" s="388"/>
      <c r="F820" s="388"/>
      <c r="G820" s="388"/>
      <c r="H820" s="388"/>
      <c r="I820" s="388"/>
    </row>
    <row r="821">
      <c r="A821" s="423"/>
      <c r="B821" s="388"/>
      <c r="C821" s="388"/>
      <c r="D821" s="388"/>
      <c r="E821" s="388"/>
      <c r="F821" s="388"/>
      <c r="G821" s="388"/>
      <c r="H821" s="388"/>
      <c r="I821" s="388"/>
    </row>
    <row r="822">
      <c r="A822" s="423"/>
      <c r="B822" s="388"/>
      <c r="C822" s="388"/>
      <c r="D822" s="388"/>
      <c r="E822" s="388"/>
      <c r="F822" s="388"/>
      <c r="G822" s="388"/>
      <c r="H822" s="388"/>
      <c r="I822" s="388"/>
    </row>
    <row r="823">
      <c r="A823" s="423"/>
      <c r="B823" s="388"/>
      <c r="C823" s="388"/>
      <c r="D823" s="388"/>
      <c r="E823" s="388"/>
      <c r="F823" s="388"/>
      <c r="G823" s="388"/>
      <c r="H823" s="388"/>
      <c r="I823" s="388"/>
    </row>
    <row r="824">
      <c r="A824" s="423"/>
      <c r="B824" s="388"/>
      <c r="C824" s="388"/>
      <c r="D824" s="388"/>
      <c r="E824" s="388"/>
      <c r="F824" s="388"/>
      <c r="G824" s="388"/>
      <c r="H824" s="388"/>
      <c r="I824" s="388"/>
    </row>
    <row r="825">
      <c r="A825" s="423"/>
      <c r="B825" s="388"/>
      <c r="C825" s="388"/>
      <c r="D825" s="388"/>
      <c r="E825" s="388"/>
      <c r="F825" s="388"/>
      <c r="G825" s="388"/>
      <c r="H825" s="388"/>
      <c r="I825" s="388"/>
    </row>
    <row r="826">
      <c r="A826" s="423"/>
      <c r="B826" s="388"/>
      <c r="C826" s="388"/>
      <c r="D826" s="388"/>
      <c r="E826" s="388"/>
      <c r="F826" s="388"/>
      <c r="G826" s="388"/>
      <c r="H826" s="388"/>
      <c r="I826" s="388"/>
    </row>
    <row r="827">
      <c r="A827" s="423"/>
      <c r="B827" s="388"/>
      <c r="C827" s="388"/>
      <c r="D827" s="388"/>
      <c r="E827" s="388"/>
      <c r="F827" s="388"/>
      <c r="G827" s="388"/>
      <c r="H827" s="388"/>
      <c r="I827" s="388"/>
    </row>
    <row r="828">
      <c r="A828" s="423"/>
      <c r="B828" s="388"/>
      <c r="C828" s="388"/>
      <c r="D828" s="388"/>
      <c r="E828" s="388"/>
      <c r="F828" s="388"/>
      <c r="G828" s="388"/>
      <c r="H828" s="388"/>
      <c r="I828" s="388"/>
    </row>
    <row r="829">
      <c r="A829" s="423"/>
      <c r="B829" s="388"/>
      <c r="C829" s="388"/>
      <c r="D829" s="388"/>
      <c r="E829" s="388"/>
      <c r="F829" s="388"/>
      <c r="G829" s="388"/>
      <c r="H829" s="388"/>
      <c r="I829" s="388"/>
    </row>
    <row r="830">
      <c r="A830" s="423"/>
      <c r="B830" s="388"/>
      <c r="C830" s="388"/>
      <c r="D830" s="388"/>
      <c r="E830" s="388"/>
      <c r="F830" s="388"/>
      <c r="G830" s="388"/>
      <c r="H830" s="388"/>
      <c r="I830" s="388"/>
    </row>
    <row r="831">
      <c r="A831" s="423"/>
      <c r="B831" s="388"/>
      <c r="C831" s="388"/>
      <c r="D831" s="388"/>
      <c r="E831" s="388"/>
      <c r="F831" s="388"/>
      <c r="G831" s="388"/>
      <c r="H831" s="388"/>
      <c r="I831" s="388"/>
    </row>
    <row r="832">
      <c r="A832" s="423"/>
      <c r="B832" s="388"/>
      <c r="C832" s="388"/>
      <c r="D832" s="388"/>
      <c r="E832" s="388"/>
      <c r="F832" s="388"/>
      <c r="G832" s="388"/>
      <c r="H832" s="388"/>
      <c r="I832" s="388"/>
    </row>
    <row r="833">
      <c r="A833" s="423"/>
      <c r="B833" s="388"/>
      <c r="C833" s="388"/>
      <c r="D833" s="388"/>
      <c r="E833" s="388"/>
      <c r="F833" s="388"/>
      <c r="G833" s="388"/>
      <c r="H833" s="388"/>
      <c r="I833" s="388"/>
    </row>
    <row r="834">
      <c r="A834" s="423"/>
      <c r="B834" s="388"/>
      <c r="C834" s="388"/>
      <c r="D834" s="388"/>
      <c r="E834" s="388"/>
      <c r="F834" s="388"/>
      <c r="G834" s="388"/>
      <c r="H834" s="388"/>
      <c r="I834" s="388"/>
    </row>
    <row r="835">
      <c r="A835" s="423"/>
      <c r="B835" s="388"/>
      <c r="C835" s="388"/>
      <c r="D835" s="388"/>
      <c r="E835" s="388"/>
      <c r="F835" s="388"/>
      <c r="G835" s="388"/>
      <c r="H835" s="388"/>
      <c r="I835" s="388"/>
    </row>
    <row r="836">
      <c r="A836" s="423"/>
      <c r="B836" s="388"/>
      <c r="C836" s="388"/>
      <c r="D836" s="388"/>
      <c r="E836" s="388"/>
      <c r="F836" s="388"/>
      <c r="G836" s="388"/>
      <c r="H836" s="388"/>
      <c r="I836" s="388"/>
    </row>
    <row r="837">
      <c r="A837" s="423"/>
      <c r="B837" s="388"/>
      <c r="C837" s="388"/>
      <c r="D837" s="388"/>
      <c r="E837" s="388"/>
      <c r="F837" s="388"/>
      <c r="G837" s="388"/>
      <c r="H837" s="388"/>
      <c r="I837" s="388"/>
    </row>
    <row r="838">
      <c r="A838" s="423"/>
      <c r="B838" s="388"/>
      <c r="C838" s="388"/>
      <c r="D838" s="388"/>
      <c r="E838" s="388"/>
      <c r="F838" s="388"/>
      <c r="G838" s="388"/>
      <c r="H838" s="388"/>
      <c r="I838" s="388"/>
    </row>
    <row r="839">
      <c r="A839" s="423"/>
      <c r="B839" s="388"/>
      <c r="C839" s="388"/>
      <c r="D839" s="388"/>
      <c r="E839" s="388"/>
      <c r="F839" s="388"/>
      <c r="G839" s="388"/>
      <c r="H839" s="388"/>
      <c r="I839" s="388"/>
    </row>
    <row r="840">
      <c r="A840" s="423"/>
      <c r="B840" s="388"/>
      <c r="C840" s="388"/>
      <c r="D840" s="388"/>
      <c r="E840" s="388"/>
      <c r="F840" s="388"/>
      <c r="G840" s="388"/>
      <c r="H840" s="388"/>
      <c r="I840" s="388"/>
    </row>
    <row r="841">
      <c r="A841" s="423"/>
      <c r="B841" s="388"/>
      <c r="C841" s="388"/>
      <c r="D841" s="388"/>
      <c r="E841" s="388"/>
      <c r="F841" s="388"/>
      <c r="G841" s="388"/>
      <c r="H841" s="388"/>
      <c r="I841" s="388"/>
    </row>
    <row r="842">
      <c r="A842" s="423"/>
      <c r="B842" s="388"/>
      <c r="C842" s="388"/>
      <c r="D842" s="388"/>
      <c r="E842" s="388"/>
      <c r="F842" s="388"/>
      <c r="G842" s="388"/>
      <c r="H842" s="388"/>
      <c r="I842" s="388"/>
    </row>
    <row r="843">
      <c r="A843" s="423"/>
      <c r="B843" s="388"/>
      <c r="C843" s="388"/>
      <c r="D843" s="388"/>
      <c r="E843" s="388"/>
      <c r="F843" s="388"/>
      <c r="G843" s="388"/>
      <c r="H843" s="388"/>
      <c r="I843" s="388"/>
    </row>
    <row r="844">
      <c r="A844" s="423"/>
      <c r="B844" s="388"/>
      <c r="C844" s="388"/>
      <c r="D844" s="388"/>
      <c r="E844" s="388"/>
      <c r="F844" s="388"/>
      <c r="G844" s="388"/>
      <c r="H844" s="388"/>
      <c r="I844" s="388"/>
    </row>
    <row r="845">
      <c r="A845" s="423"/>
      <c r="B845" s="388"/>
      <c r="C845" s="388"/>
      <c r="D845" s="388"/>
      <c r="E845" s="388"/>
      <c r="F845" s="388"/>
      <c r="G845" s="388"/>
      <c r="H845" s="388"/>
      <c r="I845" s="388"/>
    </row>
    <row r="846">
      <c r="A846" s="423"/>
      <c r="B846" s="388"/>
      <c r="C846" s="388"/>
      <c r="D846" s="388"/>
      <c r="E846" s="388"/>
      <c r="F846" s="388"/>
      <c r="G846" s="388"/>
      <c r="H846" s="388"/>
      <c r="I846" s="388"/>
    </row>
    <row r="847">
      <c r="A847" s="423"/>
      <c r="B847" s="388"/>
      <c r="C847" s="388"/>
      <c r="D847" s="388"/>
      <c r="E847" s="388"/>
      <c r="F847" s="388"/>
      <c r="G847" s="388"/>
      <c r="H847" s="388"/>
      <c r="I847" s="388"/>
    </row>
    <row r="848">
      <c r="A848" s="423"/>
      <c r="B848" s="388"/>
      <c r="C848" s="388"/>
      <c r="D848" s="388"/>
      <c r="E848" s="388"/>
      <c r="F848" s="388"/>
      <c r="G848" s="388"/>
      <c r="H848" s="388"/>
      <c r="I848" s="388"/>
    </row>
    <row r="849">
      <c r="A849" s="423"/>
      <c r="B849" s="388"/>
      <c r="C849" s="388"/>
      <c r="D849" s="388"/>
      <c r="E849" s="388"/>
      <c r="F849" s="388"/>
      <c r="G849" s="388"/>
      <c r="H849" s="388"/>
      <c r="I849" s="388"/>
    </row>
    <row r="850">
      <c r="A850" s="423"/>
      <c r="B850" s="388"/>
      <c r="C850" s="388"/>
      <c r="D850" s="388"/>
      <c r="E850" s="388"/>
      <c r="F850" s="388"/>
      <c r="G850" s="388"/>
      <c r="H850" s="388"/>
      <c r="I850" s="388"/>
    </row>
    <row r="851">
      <c r="A851" s="423"/>
      <c r="B851" s="388"/>
      <c r="C851" s="388"/>
      <c r="D851" s="388"/>
      <c r="E851" s="388"/>
      <c r="F851" s="388"/>
      <c r="G851" s="388"/>
      <c r="H851" s="388"/>
      <c r="I851" s="388"/>
    </row>
    <row r="852">
      <c r="A852" s="423"/>
      <c r="B852" s="388"/>
      <c r="C852" s="388"/>
      <c r="D852" s="388"/>
      <c r="E852" s="388"/>
      <c r="F852" s="388"/>
      <c r="G852" s="388"/>
      <c r="H852" s="388"/>
      <c r="I852" s="388"/>
    </row>
    <row r="853">
      <c r="A853" s="423"/>
      <c r="B853" s="388"/>
      <c r="C853" s="388"/>
      <c r="D853" s="388"/>
      <c r="E853" s="388"/>
      <c r="F853" s="388"/>
      <c r="G853" s="388"/>
      <c r="H853" s="388"/>
      <c r="I853" s="388"/>
    </row>
    <row r="854">
      <c r="A854" s="423"/>
      <c r="B854" s="388"/>
      <c r="C854" s="388"/>
      <c r="D854" s="388"/>
      <c r="E854" s="388"/>
      <c r="F854" s="388"/>
      <c r="G854" s="388"/>
      <c r="H854" s="388"/>
      <c r="I854" s="388"/>
    </row>
    <row r="855">
      <c r="A855" s="423"/>
      <c r="B855" s="388"/>
      <c r="C855" s="388"/>
      <c r="D855" s="388"/>
      <c r="E855" s="388"/>
      <c r="F855" s="388"/>
      <c r="G855" s="388"/>
      <c r="H855" s="388"/>
      <c r="I855" s="388"/>
    </row>
    <row r="856">
      <c r="A856" s="423"/>
      <c r="B856" s="388"/>
      <c r="C856" s="388"/>
      <c r="D856" s="388"/>
      <c r="E856" s="388"/>
      <c r="F856" s="388"/>
      <c r="G856" s="388"/>
      <c r="H856" s="388"/>
      <c r="I856" s="388"/>
    </row>
    <row r="857">
      <c r="A857" s="423"/>
      <c r="B857" s="388"/>
      <c r="C857" s="388"/>
      <c r="D857" s="388"/>
      <c r="E857" s="388"/>
      <c r="F857" s="388"/>
      <c r="G857" s="388"/>
      <c r="H857" s="388"/>
      <c r="I857" s="388"/>
    </row>
    <row r="858">
      <c r="A858" s="423"/>
      <c r="B858" s="388"/>
      <c r="C858" s="388"/>
      <c r="D858" s="388"/>
      <c r="E858" s="388"/>
      <c r="F858" s="388"/>
      <c r="G858" s="388"/>
      <c r="H858" s="388"/>
      <c r="I858" s="388"/>
    </row>
    <row r="859">
      <c r="A859" s="423"/>
      <c r="B859" s="388"/>
      <c r="C859" s="388"/>
      <c r="D859" s="388"/>
      <c r="E859" s="388"/>
      <c r="F859" s="388"/>
      <c r="G859" s="388"/>
      <c r="H859" s="388"/>
      <c r="I859" s="388"/>
    </row>
    <row r="860">
      <c r="A860" s="423"/>
      <c r="B860" s="388"/>
      <c r="C860" s="388"/>
      <c r="D860" s="388"/>
      <c r="E860" s="388"/>
      <c r="F860" s="388"/>
      <c r="G860" s="388"/>
      <c r="H860" s="388"/>
      <c r="I860" s="388"/>
    </row>
    <row r="861">
      <c r="A861" s="423"/>
      <c r="B861" s="388"/>
      <c r="C861" s="388"/>
      <c r="D861" s="388"/>
      <c r="E861" s="388"/>
      <c r="F861" s="388"/>
      <c r="G861" s="388"/>
      <c r="H861" s="388"/>
      <c r="I861" s="388"/>
    </row>
    <row r="862">
      <c r="A862" s="423"/>
      <c r="B862" s="388"/>
      <c r="C862" s="388"/>
      <c r="D862" s="388"/>
      <c r="E862" s="388"/>
      <c r="F862" s="388"/>
      <c r="G862" s="388"/>
      <c r="H862" s="388"/>
      <c r="I862" s="388"/>
    </row>
    <row r="863">
      <c r="A863" s="423"/>
      <c r="B863" s="388"/>
      <c r="C863" s="388"/>
      <c r="D863" s="388"/>
      <c r="E863" s="388"/>
      <c r="F863" s="388"/>
      <c r="G863" s="388"/>
      <c r="H863" s="388"/>
      <c r="I863" s="388"/>
    </row>
    <row r="864">
      <c r="A864" s="423"/>
      <c r="B864" s="388"/>
      <c r="C864" s="388"/>
      <c r="D864" s="388"/>
      <c r="E864" s="388"/>
      <c r="F864" s="388"/>
      <c r="G864" s="388"/>
      <c r="H864" s="388"/>
      <c r="I864" s="388"/>
    </row>
    <row r="865">
      <c r="A865" s="423"/>
      <c r="B865" s="388"/>
      <c r="C865" s="388"/>
      <c r="D865" s="388"/>
      <c r="E865" s="388"/>
      <c r="F865" s="388"/>
      <c r="G865" s="388"/>
      <c r="H865" s="388"/>
      <c r="I865" s="388"/>
    </row>
    <row r="866">
      <c r="A866" s="423"/>
      <c r="B866" s="388"/>
      <c r="C866" s="388"/>
      <c r="D866" s="388"/>
      <c r="E866" s="388"/>
      <c r="F866" s="388"/>
      <c r="G866" s="388"/>
      <c r="H866" s="388"/>
      <c r="I866" s="388"/>
    </row>
    <row r="867">
      <c r="A867" s="423"/>
      <c r="B867" s="388"/>
      <c r="C867" s="388"/>
      <c r="D867" s="388"/>
      <c r="E867" s="388"/>
      <c r="F867" s="388"/>
      <c r="G867" s="388"/>
      <c r="H867" s="388"/>
      <c r="I867" s="388"/>
    </row>
    <row r="868">
      <c r="A868" s="423"/>
      <c r="B868" s="388"/>
      <c r="C868" s="388"/>
      <c r="D868" s="388"/>
      <c r="E868" s="388"/>
      <c r="F868" s="388"/>
      <c r="G868" s="388"/>
      <c r="H868" s="388"/>
      <c r="I868" s="388"/>
    </row>
    <row r="869">
      <c r="A869" s="423"/>
      <c r="B869" s="388"/>
      <c r="C869" s="388"/>
      <c r="D869" s="388"/>
      <c r="E869" s="388"/>
      <c r="F869" s="388"/>
      <c r="G869" s="388"/>
      <c r="H869" s="388"/>
      <c r="I869" s="388"/>
    </row>
    <row r="870">
      <c r="A870" s="423"/>
      <c r="B870" s="388"/>
      <c r="C870" s="388"/>
      <c r="D870" s="388"/>
      <c r="E870" s="388"/>
      <c r="F870" s="388"/>
      <c r="G870" s="388"/>
      <c r="H870" s="388"/>
      <c r="I870" s="388"/>
    </row>
    <row r="871">
      <c r="A871" s="423"/>
      <c r="B871" s="388"/>
      <c r="C871" s="388"/>
      <c r="D871" s="388"/>
      <c r="E871" s="388"/>
      <c r="F871" s="388"/>
      <c r="G871" s="388"/>
      <c r="H871" s="388"/>
      <c r="I871" s="388"/>
    </row>
    <row r="872">
      <c r="A872" s="423"/>
      <c r="B872" s="388"/>
      <c r="C872" s="388"/>
      <c r="D872" s="388"/>
      <c r="E872" s="388"/>
      <c r="F872" s="388"/>
      <c r="G872" s="388"/>
      <c r="H872" s="388"/>
      <c r="I872" s="388"/>
    </row>
    <row r="873">
      <c r="A873" s="423"/>
      <c r="B873" s="388"/>
      <c r="C873" s="388"/>
      <c r="D873" s="388"/>
      <c r="E873" s="388"/>
      <c r="F873" s="388"/>
      <c r="G873" s="388"/>
      <c r="H873" s="388"/>
      <c r="I873" s="388"/>
    </row>
    <row r="874">
      <c r="A874" s="423"/>
      <c r="B874" s="388"/>
      <c r="C874" s="388"/>
      <c r="D874" s="388"/>
      <c r="E874" s="388"/>
      <c r="F874" s="388"/>
      <c r="G874" s="388"/>
      <c r="H874" s="388"/>
      <c r="I874" s="388"/>
    </row>
    <row r="875">
      <c r="A875" s="423"/>
      <c r="B875" s="388"/>
      <c r="C875" s="388"/>
      <c r="D875" s="388"/>
      <c r="E875" s="388"/>
      <c r="F875" s="388"/>
      <c r="G875" s="388"/>
      <c r="H875" s="388"/>
      <c r="I875" s="388"/>
    </row>
    <row r="876">
      <c r="A876" s="423"/>
      <c r="B876" s="388"/>
      <c r="C876" s="388"/>
      <c r="D876" s="388"/>
      <c r="E876" s="388"/>
      <c r="F876" s="388"/>
      <c r="G876" s="388"/>
      <c r="H876" s="388"/>
      <c r="I876" s="388"/>
    </row>
    <row r="877">
      <c r="A877" s="423"/>
      <c r="B877" s="388"/>
      <c r="C877" s="388"/>
      <c r="D877" s="388"/>
      <c r="E877" s="388"/>
      <c r="F877" s="388"/>
      <c r="G877" s="388"/>
      <c r="H877" s="388"/>
      <c r="I877" s="388"/>
    </row>
    <row r="878">
      <c r="A878" s="423"/>
      <c r="B878" s="388"/>
      <c r="C878" s="388"/>
      <c r="D878" s="388"/>
      <c r="E878" s="388"/>
      <c r="F878" s="388"/>
      <c r="G878" s="388"/>
      <c r="H878" s="388"/>
      <c r="I878" s="388"/>
    </row>
    <row r="879">
      <c r="A879" s="423"/>
      <c r="B879" s="388"/>
      <c r="C879" s="388"/>
      <c r="D879" s="388"/>
      <c r="E879" s="388"/>
      <c r="F879" s="388"/>
      <c r="G879" s="388"/>
      <c r="H879" s="388"/>
      <c r="I879" s="388"/>
    </row>
    <row r="880">
      <c r="A880" s="423"/>
      <c r="B880" s="388"/>
      <c r="C880" s="388"/>
      <c r="D880" s="388"/>
      <c r="E880" s="388"/>
      <c r="F880" s="388"/>
      <c r="G880" s="388"/>
      <c r="H880" s="388"/>
      <c r="I880" s="388"/>
    </row>
    <row r="881">
      <c r="A881" s="423"/>
      <c r="B881" s="388"/>
      <c r="C881" s="388"/>
      <c r="D881" s="388"/>
      <c r="E881" s="388"/>
      <c r="F881" s="388"/>
      <c r="G881" s="388"/>
      <c r="H881" s="388"/>
      <c r="I881" s="388"/>
    </row>
    <row r="882">
      <c r="A882" s="423"/>
      <c r="B882" s="388"/>
      <c r="C882" s="388"/>
      <c r="D882" s="388"/>
      <c r="E882" s="388"/>
      <c r="F882" s="388"/>
      <c r="G882" s="388"/>
      <c r="H882" s="388"/>
      <c r="I882" s="388"/>
    </row>
    <row r="883">
      <c r="A883" s="423"/>
      <c r="B883" s="388"/>
      <c r="C883" s="388"/>
      <c r="D883" s="388"/>
      <c r="E883" s="388"/>
      <c r="F883" s="388"/>
      <c r="G883" s="388"/>
      <c r="H883" s="388"/>
      <c r="I883" s="388"/>
    </row>
    <row r="884">
      <c r="A884" s="423"/>
      <c r="B884" s="388"/>
      <c r="C884" s="388"/>
      <c r="D884" s="388"/>
      <c r="E884" s="388"/>
      <c r="F884" s="388"/>
      <c r="G884" s="388"/>
      <c r="H884" s="388"/>
      <c r="I884" s="388"/>
    </row>
    <row r="885">
      <c r="A885" s="423"/>
      <c r="B885" s="388"/>
      <c r="C885" s="388"/>
      <c r="D885" s="388"/>
      <c r="E885" s="388"/>
      <c r="F885" s="388"/>
      <c r="G885" s="388"/>
      <c r="H885" s="388"/>
      <c r="I885" s="388"/>
    </row>
    <row r="886">
      <c r="A886" s="423"/>
      <c r="B886" s="388"/>
      <c r="C886" s="388"/>
      <c r="D886" s="388"/>
      <c r="E886" s="388"/>
      <c r="F886" s="388"/>
      <c r="G886" s="388"/>
      <c r="H886" s="388"/>
      <c r="I886" s="388"/>
    </row>
    <row r="887">
      <c r="A887" s="423"/>
      <c r="B887" s="388"/>
      <c r="C887" s="388"/>
      <c r="D887" s="388"/>
      <c r="E887" s="388"/>
      <c r="F887" s="388"/>
      <c r="G887" s="388"/>
      <c r="H887" s="388"/>
      <c r="I887" s="388"/>
    </row>
    <row r="888">
      <c r="A888" s="423"/>
      <c r="B888" s="388"/>
      <c r="C888" s="388"/>
      <c r="D888" s="388"/>
      <c r="E888" s="388"/>
      <c r="F888" s="388"/>
      <c r="G888" s="388"/>
      <c r="H888" s="388"/>
      <c r="I888" s="388"/>
    </row>
    <row r="889">
      <c r="A889" s="423"/>
      <c r="B889" s="388"/>
      <c r="C889" s="388"/>
      <c r="D889" s="388"/>
      <c r="E889" s="388"/>
      <c r="F889" s="388"/>
      <c r="G889" s="388"/>
      <c r="H889" s="388"/>
      <c r="I889" s="388"/>
    </row>
    <row r="890">
      <c r="A890" s="423"/>
      <c r="B890" s="388"/>
      <c r="C890" s="388"/>
      <c r="D890" s="388"/>
      <c r="E890" s="388"/>
      <c r="F890" s="388"/>
      <c r="G890" s="388"/>
      <c r="H890" s="388"/>
      <c r="I890" s="388"/>
    </row>
    <row r="891">
      <c r="A891" s="423"/>
      <c r="B891" s="388"/>
      <c r="C891" s="388"/>
      <c r="D891" s="388"/>
      <c r="E891" s="388"/>
      <c r="F891" s="388"/>
      <c r="G891" s="388"/>
      <c r="H891" s="388"/>
      <c r="I891" s="388"/>
    </row>
    <row r="892">
      <c r="A892" s="423"/>
      <c r="B892" s="388"/>
      <c r="C892" s="388"/>
      <c r="D892" s="388"/>
      <c r="E892" s="388"/>
      <c r="F892" s="388"/>
      <c r="G892" s="388"/>
      <c r="H892" s="388"/>
      <c r="I892" s="388"/>
    </row>
    <row r="893">
      <c r="A893" s="423"/>
      <c r="B893" s="388"/>
      <c r="C893" s="388"/>
      <c r="D893" s="388"/>
      <c r="E893" s="388"/>
      <c r="F893" s="388"/>
      <c r="G893" s="388"/>
      <c r="H893" s="388"/>
      <c r="I893" s="388"/>
    </row>
    <row r="894">
      <c r="A894" s="423"/>
      <c r="B894" s="388"/>
      <c r="C894" s="388"/>
      <c r="D894" s="388"/>
      <c r="E894" s="388"/>
      <c r="F894" s="388"/>
      <c r="G894" s="388"/>
      <c r="H894" s="388"/>
      <c r="I894" s="388"/>
    </row>
    <row r="895">
      <c r="A895" s="423"/>
      <c r="B895" s="388"/>
      <c r="C895" s="388"/>
      <c r="D895" s="388"/>
      <c r="E895" s="388"/>
      <c r="F895" s="388"/>
      <c r="G895" s="388"/>
      <c r="H895" s="388"/>
      <c r="I895" s="388"/>
    </row>
    <row r="896">
      <c r="A896" s="423"/>
      <c r="B896" s="388"/>
      <c r="C896" s="388"/>
      <c r="D896" s="388"/>
      <c r="E896" s="388"/>
      <c r="F896" s="388"/>
      <c r="G896" s="388"/>
      <c r="H896" s="388"/>
      <c r="I896" s="388"/>
    </row>
    <row r="897">
      <c r="A897" s="423"/>
      <c r="B897" s="388"/>
      <c r="C897" s="388"/>
      <c r="D897" s="388"/>
      <c r="E897" s="388"/>
      <c r="F897" s="388"/>
      <c r="G897" s="388"/>
      <c r="H897" s="388"/>
      <c r="I897" s="388"/>
    </row>
    <row r="898">
      <c r="A898" s="423"/>
      <c r="B898" s="388"/>
      <c r="C898" s="388"/>
      <c r="D898" s="388"/>
      <c r="E898" s="388"/>
      <c r="F898" s="388"/>
      <c r="G898" s="388"/>
      <c r="H898" s="388"/>
      <c r="I898" s="388"/>
    </row>
    <row r="899">
      <c r="A899" s="423"/>
      <c r="B899" s="388"/>
      <c r="C899" s="388"/>
      <c r="D899" s="388"/>
      <c r="E899" s="388"/>
      <c r="F899" s="388"/>
      <c r="G899" s="388"/>
      <c r="H899" s="388"/>
      <c r="I899" s="388"/>
    </row>
    <row r="900">
      <c r="A900" s="423"/>
      <c r="B900" s="388"/>
      <c r="C900" s="388"/>
      <c r="D900" s="388"/>
      <c r="E900" s="388"/>
      <c r="F900" s="388"/>
      <c r="G900" s="388"/>
      <c r="H900" s="388"/>
      <c r="I900" s="388"/>
    </row>
    <row r="901">
      <c r="A901" s="423"/>
      <c r="B901" s="388"/>
      <c r="C901" s="388"/>
      <c r="D901" s="388"/>
      <c r="E901" s="388"/>
      <c r="F901" s="388"/>
      <c r="G901" s="388"/>
      <c r="H901" s="388"/>
      <c r="I901" s="388"/>
    </row>
    <row r="902">
      <c r="A902" s="423"/>
      <c r="B902" s="388"/>
      <c r="C902" s="388"/>
      <c r="D902" s="388"/>
      <c r="E902" s="388"/>
      <c r="F902" s="388"/>
      <c r="G902" s="388"/>
      <c r="H902" s="388"/>
      <c r="I902" s="388"/>
    </row>
    <row r="903">
      <c r="A903" s="423"/>
      <c r="B903" s="388"/>
      <c r="C903" s="388"/>
      <c r="D903" s="388"/>
      <c r="E903" s="388"/>
      <c r="F903" s="388"/>
      <c r="G903" s="388"/>
      <c r="H903" s="388"/>
      <c r="I903" s="388"/>
    </row>
    <row r="904">
      <c r="A904" s="423"/>
      <c r="B904" s="388"/>
      <c r="C904" s="388"/>
      <c r="D904" s="388"/>
      <c r="E904" s="388"/>
      <c r="F904" s="388"/>
      <c r="G904" s="388"/>
      <c r="H904" s="388"/>
      <c r="I904" s="388"/>
    </row>
    <row r="905">
      <c r="A905" s="423"/>
      <c r="B905" s="388"/>
      <c r="C905" s="388"/>
      <c r="D905" s="388"/>
      <c r="E905" s="388"/>
      <c r="F905" s="388"/>
      <c r="G905" s="388"/>
      <c r="H905" s="388"/>
      <c r="I905" s="388"/>
    </row>
    <row r="906">
      <c r="A906" s="423"/>
      <c r="B906" s="388"/>
      <c r="C906" s="388"/>
      <c r="D906" s="388"/>
      <c r="E906" s="388"/>
      <c r="F906" s="388"/>
      <c r="G906" s="388"/>
      <c r="H906" s="388"/>
      <c r="I906" s="388"/>
    </row>
    <row r="907">
      <c r="A907" s="423"/>
      <c r="B907" s="388"/>
      <c r="C907" s="388"/>
      <c r="D907" s="388"/>
      <c r="E907" s="388"/>
      <c r="F907" s="388"/>
      <c r="G907" s="388"/>
      <c r="H907" s="388"/>
      <c r="I907" s="388"/>
    </row>
    <row r="908">
      <c r="A908" s="423"/>
      <c r="B908" s="388"/>
      <c r="C908" s="388"/>
      <c r="D908" s="388"/>
      <c r="E908" s="388"/>
      <c r="F908" s="388"/>
      <c r="G908" s="388"/>
      <c r="H908" s="388"/>
      <c r="I908" s="388"/>
    </row>
    <row r="909">
      <c r="A909" s="423"/>
      <c r="B909" s="388"/>
      <c r="C909" s="388"/>
      <c r="D909" s="388"/>
      <c r="E909" s="388"/>
      <c r="F909" s="388"/>
      <c r="G909" s="388"/>
      <c r="H909" s="388"/>
      <c r="I909" s="388"/>
    </row>
    <row r="910">
      <c r="A910" s="423"/>
      <c r="B910" s="388"/>
      <c r="C910" s="388"/>
      <c r="D910" s="388"/>
      <c r="E910" s="388"/>
      <c r="F910" s="388"/>
      <c r="G910" s="388"/>
      <c r="H910" s="388"/>
      <c r="I910" s="388"/>
    </row>
    <row r="911">
      <c r="A911" s="423"/>
      <c r="B911" s="388"/>
      <c r="C911" s="388"/>
      <c r="D911" s="388"/>
      <c r="E911" s="388"/>
      <c r="F911" s="388"/>
      <c r="G911" s="388"/>
      <c r="H911" s="388"/>
      <c r="I911" s="388"/>
    </row>
    <row r="912">
      <c r="A912" s="423"/>
      <c r="B912" s="388"/>
      <c r="C912" s="388"/>
      <c r="D912" s="388"/>
      <c r="E912" s="388"/>
      <c r="F912" s="388"/>
      <c r="G912" s="388"/>
      <c r="H912" s="388"/>
      <c r="I912" s="388"/>
    </row>
    <row r="913">
      <c r="A913" s="423"/>
      <c r="B913" s="388"/>
      <c r="C913" s="388"/>
      <c r="D913" s="388"/>
      <c r="E913" s="388"/>
      <c r="F913" s="388"/>
      <c r="G913" s="388"/>
      <c r="H913" s="388"/>
      <c r="I913" s="388"/>
    </row>
    <row r="914">
      <c r="A914" s="423"/>
      <c r="B914" s="388"/>
      <c r="C914" s="388"/>
      <c r="D914" s="388"/>
      <c r="E914" s="388"/>
      <c r="F914" s="388"/>
      <c r="G914" s="388"/>
      <c r="H914" s="388"/>
      <c r="I914" s="388"/>
    </row>
    <row r="915">
      <c r="A915" s="423"/>
      <c r="B915" s="388"/>
      <c r="C915" s="388"/>
      <c r="D915" s="388"/>
      <c r="E915" s="388"/>
      <c r="F915" s="388"/>
      <c r="G915" s="388"/>
      <c r="H915" s="388"/>
      <c r="I915" s="388"/>
    </row>
    <row r="916">
      <c r="A916" s="423"/>
      <c r="B916" s="388"/>
      <c r="C916" s="388"/>
      <c r="D916" s="388"/>
      <c r="E916" s="388"/>
      <c r="F916" s="388"/>
      <c r="G916" s="388"/>
      <c r="H916" s="388"/>
      <c r="I916" s="388"/>
    </row>
    <row r="917">
      <c r="A917" s="423"/>
      <c r="B917" s="388"/>
      <c r="C917" s="388"/>
      <c r="D917" s="388"/>
      <c r="E917" s="388"/>
      <c r="F917" s="388"/>
      <c r="G917" s="388"/>
      <c r="H917" s="388"/>
      <c r="I917" s="388"/>
    </row>
    <row r="918">
      <c r="A918" s="423"/>
      <c r="B918" s="388"/>
      <c r="C918" s="388"/>
      <c r="D918" s="388"/>
      <c r="E918" s="388"/>
      <c r="F918" s="388"/>
      <c r="G918" s="388"/>
      <c r="H918" s="388"/>
      <c r="I918" s="388"/>
    </row>
    <row r="919">
      <c r="A919" s="423"/>
      <c r="B919" s="388"/>
      <c r="C919" s="388"/>
      <c r="D919" s="388"/>
      <c r="E919" s="388"/>
      <c r="F919" s="388"/>
      <c r="G919" s="388"/>
      <c r="H919" s="388"/>
      <c r="I919" s="388"/>
    </row>
    <row r="920">
      <c r="A920" s="423"/>
      <c r="B920" s="388"/>
      <c r="C920" s="388"/>
      <c r="D920" s="388"/>
      <c r="E920" s="388"/>
      <c r="F920" s="388"/>
      <c r="G920" s="388"/>
      <c r="H920" s="388"/>
      <c r="I920" s="388"/>
    </row>
    <row r="921">
      <c r="A921" s="423"/>
      <c r="B921" s="388"/>
      <c r="C921" s="388"/>
      <c r="D921" s="388"/>
      <c r="E921" s="388"/>
      <c r="F921" s="388"/>
      <c r="G921" s="388"/>
      <c r="H921" s="388"/>
      <c r="I921" s="388"/>
    </row>
    <row r="922">
      <c r="A922" s="423"/>
      <c r="B922" s="388"/>
      <c r="C922" s="388"/>
      <c r="D922" s="388"/>
      <c r="E922" s="388"/>
      <c r="F922" s="388"/>
      <c r="G922" s="388"/>
      <c r="H922" s="388"/>
      <c r="I922" s="388"/>
    </row>
    <row r="923">
      <c r="A923" s="423"/>
      <c r="B923" s="388"/>
      <c r="C923" s="388"/>
      <c r="D923" s="388"/>
      <c r="E923" s="388"/>
      <c r="F923" s="388"/>
      <c r="G923" s="388"/>
      <c r="H923" s="388"/>
      <c r="I923" s="388"/>
    </row>
    <row r="924">
      <c r="A924" s="423"/>
      <c r="B924" s="388"/>
      <c r="C924" s="388"/>
      <c r="D924" s="388"/>
      <c r="E924" s="388"/>
      <c r="F924" s="388"/>
      <c r="G924" s="388"/>
      <c r="H924" s="388"/>
      <c r="I924" s="388"/>
    </row>
    <row r="925">
      <c r="A925" s="423"/>
      <c r="B925" s="388"/>
      <c r="C925" s="388"/>
      <c r="D925" s="388"/>
      <c r="E925" s="388"/>
      <c r="F925" s="388"/>
      <c r="G925" s="388"/>
      <c r="H925" s="388"/>
      <c r="I925" s="388"/>
    </row>
    <row r="926">
      <c r="A926" s="423"/>
      <c r="B926" s="388"/>
      <c r="C926" s="388"/>
      <c r="D926" s="388"/>
      <c r="E926" s="388"/>
      <c r="F926" s="388"/>
      <c r="G926" s="388"/>
      <c r="H926" s="388"/>
      <c r="I926" s="388"/>
    </row>
    <row r="927">
      <c r="A927" s="423"/>
      <c r="B927" s="388"/>
      <c r="C927" s="388"/>
      <c r="D927" s="388"/>
      <c r="E927" s="388"/>
      <c r="F927" s="388"/>
      <c r="G927" s="388"/>
      <c r="H927" s="388"/>
      <c r="I927" s="388"/>
    </row>
    <row r="928">
      <c r="A928" s="423"/>
      <c r="B928" s="388"/>
      <c r="C928" s="388"/>
      <c r="D928" s="388"/>
      <c r="E928" s="388"/>
      <c r="F928" s="388"/>
      <c r="G928" s="388"/>
      <c r="H928" s="388"/>
      <c r="I928" s="388"/>
    </row>
    <row r="929">
      <c r="A929" s="423"/>
      <c r="B929" s="388"/>
      <c r="C929" s="388"/>
      <c r="D929" s="388"/>
      <c r="E929" s="388"/>
      <c r="F929" s="388"/>
      <c r="G929" s="388"/>
      <c r="H929" s="388"/>
      <c r="I929" s="388"/>
    </row>
    <row r="930">
      <c r="A930" s="423"/>
      <c r="B930" s="388"/>
      <c r="C930" s="388"/>
      <c r="D930" s="388"/>
      <c r="E930" s="388"/>
      <c r="F930" s="388"/>
      <c r="G930" s="388"/>
      <c r="H930" s="388"/>
      <c r="I930" s="388"/>
    </row>
    <row r="931">
      <c r="A931" s="423"/>
      <c r="B931" s="388"/>
      <c r="C931" s="388"/>
      <c r="D931" s="388"/>
      <c r="E931" s="388"/>
      <c r="F931" s="388"/>
      <c r="G931" s="388"/>
      <c r="H931" s="388"/>
      <c r="I931" s="388"/>
    </row>
    <row r="932">
      <c r="A932" s="423"/>
      <c r="B932" s="388"/>
      <c r="C932" s="388"/>
      <c r="D932" s="388"/>
      <c r="E932" s="388"/>
      <c r="F932" s="388"/>
      <c r="G932" s="388"/>
      <c r="H932" s="388"/>
      <c r="I932" s="388"/>
    </row>
    <row r="933">
      <c r="A933" s="423"/>
      <c r="B933" s="388"/>
      <c r="C933" s="388"/>
      <c r="D933" s="388"/>
      <c r="E933" s="388"/>
      <c r="F933" s="388"/>
      <c r="G933" s="388"/>
      <c r="H933" s="388"/>
      <c r="I933" s="388"/>
    </row>
    <row r="934">
      <c r="A934" s="423"/>
      <c r="B934" s="388"/>
      <c r="C934" s="388"/>
      <c r="D934" s="388"/>
      <c r="E934" s="388"/>
      <c r="F934" s="388"/>
      <c r="G934" s="388"/>
      <c r="H934" s="388"/>
      <c r="I934" s="388"/>
    </row>
    <row r="935">
      <c r="A935" s="423"/>
      <c r="B935" s="388"/>
      <c r="C935" s="388"/>
      <c r="D935" s="388"/>
      <c r="E935" s="388"/>
      <c r="F935" s="388"/>
      <c r="G935" s="388"/>
      <c r="H935" s="388"/>
      <c r="I935" s="388"/>
    </row>
    <row r="936">
      <c r="A936" s="423"/>
      <c r="B936" s="388"/>
      <c r="C936" s="388"/>
      <c r="D936" s="388"/>
      <c r="E936" s="388"/>
      <c r="F936" s="388"/>
      <c r="G936" s="388"/>
      <c r="H936" s="388"/>
      <c r="I936" s="388"/>
    </row>
    <row r="937">
      <c r="A937" s="423"/>
      <c r="B937" s="388"/>
      <c r="C937" s="388"/>
      <c r="D937" s="388"/>
      <c r="E937" s="388"/>
      <c r="F937" s="388"/>
      <c r="G937" s="388"/>
      <c r="H937" s="388"/>
      <c r="I937" s="388"/>
    </row>
    <row r="938">
      <c r="A938" s="423"/>
      <c r="B938" s="388"/>
      <c r="C938" s="388"/>
      <c r="D938" s="388"/>
      <c r="E938" s="388"/>
      <c r="F938" s="388"/>
      <c r="G938" s="388"/>
      <c r="H938" s="388"/>
      <c r="I938" s="388"/>
    </row>
    <row r="939">
      <c r="A939" s="423"/>
      <c r="B939" s="388"/>
      <c r="C939" s="388"/>
      <c r="D939" s="388"/>
      <c r="E939" s="388"/>
      <c r="F939" s="388"/>
      <c r="G939" s="388"/>
      <c r="H939" s="388"/>
      <c r="I939" s="388"/>
    </row>
    <row r="940">
      <c r="A940" s="423"/>
      <c r="B940" s="388"/>
      <c r="C940" s="388"/>
      <c r="D940" s="388"/>
      <c r="E940" s="388"/>
      <c r="F940" s="388"/>
      <c r="G940" s="388"/>
      <c r="H940" s="388"/>
      <c r="I940" s="388"/>
    </row>
    <row r="941">
      <c r="A941" s="423"/>
      <c r="B941" s="388"/>
      <c r="C941" s="388"/>
      <c r="D941" s="388"/>
      <c r="E941" s="388"/>
      <c r="F941" s="388"/>
      <c r="G941" s="388"/>
      <c r="H941" s="388"/>
      <c r="I941" s="388"/>
    </row>
    <row r="942">
      <c r="A942" s="423"/>
      <c r="B942" s="388"/>
      <c r="C942" s="388"/>
      <c r="D942" s="388"/>
      <c r="E942" s="388"/>
      <c r="F942" s="388"/>
      <c r="G942" s="388"/>
      <c r="H942" s="388"/>
      <c r="I942" s="388"/>
    </row>
    <row r="943">
      <c r="A943" s="423"/>
      <c r="B943" s="388"/>
      <c r="C943" s="388"/>
      <c r="D943" s="388"/>
      <c r="E943" s="388"/>
      <c r="F943" s="388"/>
      <c r="G943" s="388"/>
      <c r="H943" s="388"/>
      <c r="I943" s="388"/>
    </row>
    <row r="944">
      <c r="A944" s="423"/>
      <c r="B944" s="388"/>
      <c r="C944" s="388"/>
      <c r="D944" s="388"/>
      <c r="E944" s="388"/>
      <c r="F944" s="388"/>
      <c r="G944" s="388"/>
      <c r="H944" s="388"/>
      <c r="I944" s="388"/>
    </row>
    <row r="945">
      <c r="A945" s="423"/>
      <c r="B945" s="388"/>
      <c r="C945" s="388"/>
      <c r="D945" s="388"/>
      <c r="E945" s="388"/>
      <c r="F945" s="388"/>
      <c r="G945" s="388"/>
      <c r="H945" s="388"/>
      <c r="I945" s="388"/>
    </row>
    <row r="946">
      <c r="A946" s="423"/>
      <c r="B946" s="388"/>
      <c r="C946" s="388"/>
      <c r="D946" s="388"/>
      <c r="E946" s="388"/>
      <c r="F946" s="388"/>
      <c r="G946" s="388"/>
      <c r="H946" s="388"/>
      <c r="I946" s="388"/>
    </row>
    <row r="947">
      <c r="A947" s="423"/>
      <c r="B947" s="388"/>
      <c r="C947" s="388"/>
      <c r="D947" s="388"/>
      <c r="E947" s="388"/>
      <c r="F947" s="388"/>
      <c r="G947" s="388"/>
      <c r="H947" s="388"/>
      <c r="I947" s="388"/>
    </row>
    <row r="948">
      <c r="A948" s="423"/>
      <c r="B948" s="388"/>
      <c r="C948" s="388"/>
      <c r="D948" s="388"/>
      <c r="E948" s="388"/>
      <c r="F948" s="388"/>
      <c r="G948" s="388"/>
      <c r="H948" s="388"/>
      <c r="I948" s="388"/>
    </row>
    <row r="949">
      <c r="A949" s="423"/>
      <c r="B949" s="388"/>
      <c r="C949" s="388"/>
      <c r="D949" s="388"/>
      <c r="E949" s="388"/>
      <c r="F949" s="388"/>
      <c r="G949" s="388"/>
      <c r="H949" s="388"/>
      <c r="I949" s="388"/>
    </row>
    <row r="950">
      <c r="A950" s="423"/>
      <c r="B950" s="388"/>
      <c r="C950" s="388"/>
      <c r="D950" s="388"/>
      <c r="E950" s="388"/>
      <c r="F950" s="388"/>
      <c r="G950" s="388"/>
      <c r="H950" s="388"/>
      <c r="I950" s="388"/>
    </row>
    <row r="951">
      <c r="A951" s="423"/>
      <c r="B951" s="388"/>
      <c r="C951" s="388"/>
      <c r="D951" s="388"/>
      <c r="E951" s="388"/>
      <c r="F951" s="388"/>
      <c r="G951" s="388"/>
      <c r="H951" s="388"/>
      <c r="I951" s="388"/>
    </row>
    <row r="952">
      <c r="A952" s="423"/>
      <c r="B952" s="388"/>
      <c r="C952" s="388"/>
      <c r="D952" s="388"/>
      <c r="E952" s="388"/>
      <c r="F952" s="388"/>
      <c r="G952" s="388"/>
      <c r="H952" s="388"/>
      <c r="I952" s="388"/>
    </row>
    <row r="953">
      <c r="A953" s="423"/>
      <c r="B953" s="388"/>
      <c r="C953" s="388"/>
      <c r="D953" s="388"/>
      <c r="E953" s="388"/>
      <c r="F953" s="388"/>
      <c r="G953" s="388"/>
      <c r="H953" s="388"/>
      <c r="I953" s="388"/>
    </row>
    <row r="954">
      <c r="A954" s="423"/>
      <c r="B954" s="388"/>
      <c r="C954" s="388"/>
      <c r="D954" s="388"/>
      <c r="E954" s="388"/>
      <c r="F954" s="388"/>
      <c r="G954" s="388"/>
      <c r="H954" s="388"/>
      <c r="I954" s="388"/>
    </row>
    <row r="955">
      <c r="A955" s="423"/>
      <c r="B955" s="388"/>
      <c r="C955" s="388"/>
      <c r="D955" s="388"/>
      <c r="E955" s="388"/>
      <c r="F955" s="388"/>
      <c r="G955" s="388"/>
      <c r="H955" s="388"/>
      <c r="I955" s="388"/>
    </row>
    <row r="956">
      <c r="A956" s="423"/>
      <c r="B956" s="388"/>
      <c r="C956" s="388"/>
      <c r="D956" s="388"/>
      <c r="E956" s="388"/>
      <c r="F956" s="388"/>
      <c r="G956" s="388"/>
      <c r="H956" s="388"/>
      <c r="I956" s="388"/>
    </row>
    <row r="957">
      <c r="A957" s="423"/>
      <c r="B957" s="388"/>
      <c r="C957" s="388"/>
      <c r="D957" s="388"/>
      <c r="E957" s="388"/>
      <c r="F957" s="388"/>
      <c r="G957" s="388"/>
      <c r="H957" s="388"/>
      <c r="I957" s="388"/>
    </row>
    <row r="958">
      <c r="A958" s="423"/>
      <c r="B958" s="388"/>
      <c r="C958" s="388"/>
      <c r="D958" s="388"/>
      <c r="E958" s="388"/>
      <c r="F958" s="388"/>
      <c r="G958" s="388"/>
      <c r="H958" s="388"/>
      <c r="I958" s="388"/>
    </row>
    <row r="959">
      <c r="A959" s="423"/>
      <c r="B959" s="388"/>
      <c r="C959" s="388"/>
      <c r="D959" s="388"/>
      <c r="E959" s="388"/>
      <c r="F959" s="388"/>
      <c r="G959" s="388"/>
      <c r="H959" s="388"/>
      <c r="I959" s="388"/>
    </row>
    <row r="960">
      <c r="A960" s="423"/>
      <c r="B960" s="388"/>
      <c r="C960" s="388"/>
      <c r="D960" s="388"/>
      <c r="E960" s="388"/>
      <c r="F960" s="388"/>
      <c r="G960" s="388"/>
      <c r="H960" s="388"/>
      <c r="I960" s="388"/>
    </row>
    <row r="961">
      <c r="A961" s="423"/>
      <c r="B961" s="388"/>
      <c r="C961" s="388"/>
      <c r="D961" s="388"/>
      <c r="E961" s="388"/>
      <c r="F961" s="388"/>
      <c r="G961" s="388"/>
      <c r="H961" s="388"/>
      <c r="I961" s="388"/>
    </row>
    <row r="962">
      <c r="A962" s="423"/>
      <c r="B962" s="388"/>
      <c r="C962" s="388"/>
      <c r="D962" s="388"/>
      <c r="E962" s="388"/>
      <c r="F962" s="388"/>
      <c r="G962" s="388"/>
      <c r="H962" s="388"/>
      <c r="I962" s="388"/>
    </row>
    <row r="963">
      <c r="A963" s="423"/>
      <c r="B963" s="388"/>
      <c r="C963" s="388"/>
      <c r="D963" s="388"/>
      <c r="E963" s="388"/>
      <c r="F963" s="388"/>
      <c r="G963" s="388"/>
      <c r="H963" s="388"/>
      <c r="I963" s="388"/>
    </row>
    <row r="964">
      <c r="A964" s="423"/>
      <c r="B964" s="388"/>
      <c r="C964" s="388"/>
      <c r="D964" s="388"/>
      <c r="E964" s="388"/>
      <c r="F964" s="388"/>
      <c r="G964" s="388"/>
      <c r="H964" s="388"/>
      <c r="I964" s="388"/>
    </row>
    <row r="965">
      <c r="A965" s="423"/>
      <c r="B965" s="388"/>
      <c r="C965" s="388"/>
      <c r="D965" s="388"/>
      <c r="E965" s="388"/>
      <c r="F965" s="388"/>
      <c r="G965" s="388"/>
      <c r="H965" s="388"/>
      <c r="I965" s="388"/>
    </row>
    <row r="966">
      <c r="A966" s="423"/>
      <c r="B966" s="388"/>
      <c r="C966" s="388"/>
      <c r="D966" s="388"/>
      <c r="E966" s="388"/>
      <c r="F966" s="388"/>
      <c r="G966" s="388"/>
      <c r="H966" s="388"/>
      <c r="I966" s="388"/>
    </row>
    <row r="967">
      <c r="A967" s="423"/>
      <c r="B967" s="388"/>
      <c r="C967" s="388"/>
      <c r="D967" s="388"/>
      <c r="E967" s="388"/>
      <c r="F967" s="388"/>
      <c r="G967" s="388"/>
      <c r="H967" s="388"/>
      <c r="I967" s="388"/>
    </row>
    <row r="968">
      <c r="A968" s="423"/>
      <c r="B968" s="388"/>
      <c r="C968" s="388"/>
      <c r="D968" s="388"/>
      <c r="E968" s="388"/>
      <c r="F968" s="388"/>
      <c r="G968" s="388"/>
      <c r="H968" s="388"/>
      <c r="I968" s="388"/>
    </row>
    <row r="969">
      <c r="A969" s="423"/>
      <c r="B969" s="388"/>
      <c r="C969" s="388"/>
      <c r="D969" s="388"/>
      <c r="E969" s="388"/>
      <c r="F969" s="388"/>
      <c r="G969" s="388"/>
      <c r="H969" s="388"/>
      <c r="I969" s="388"/>
    </row>
    <row r="970">
      <c r="A970" s="423"/>
      <c r="B970" s="388"/>
      <c r="C970" s="388"/>
      <c r="D970" s="388"/>
      <c r="E970" s="388"/>
      <c r="F970" s="388"/>
      <c r="G970" s="388"/>
      <c r="H970" s="388"/>
      <c r="I970" s="388"/>
    </row>
    <row r="971">
      <c r="A971" s="423"/>
      <c r="B971" s="388"/>
      <c r="C971" s="388"/>
      <c r="D971" s="388"/>
      <c r="E971" s="388"/>
      <c r="F971" s="388"/>
      <c r="G971" s="388"/>
      <c r="H971" s="388"/>
      <c r="I971" s="388"/>
    </row>
    <row r="972">
      <c r="A972" s="423"/>
      <c r="B972" s="388"/>
      <c r="C972" s="388"/>
      <c r="D972" s="388"/>
      <c r="E972" s="388"/>
      <c r="F972" s="388"/>
      <c r="G972" s="388"/>
      <c r="H972" s="388"/>
      <c r="I972" s="388"/>
    </row>
    <row r="973">
      <c r="A973" s="423"/>
      <c r="B973" s="388"/>
      <c r="C973" s="388"/>
      <c r="D973" s="388"/>
      <c r="E973" s="388"/>
      <c r="F973" s="388"/>
      <c r="G973" s="388"/>
      <c r="H973" s="388"/>
      <c r="I973" s="388"/>
    </row>
    <row r="974">
      <c r="A974" s="423"/>
      <c r="B974" s="388"/>
      <c r="C974" s="388"/>
      <c r="D974" s="388"/>
      <c r="E974" s="388"/>
      <c r="F974" s="388"/>
      <c r="G974" s="388"/>
      <c r="H974" s="388"/>
      <c r="I974" s="388"/>
    </row>
    <row r="975">
      <c r="A975" s="423"/>
      <c r="B975" s="388"/>
      <c r="C975" s="388"/>
      <c r="D975" s="388"/>
      <c r="E975" s="388"/>
      <c r="F975" s="388"/>
      <c r="G975" s="388"/>
      <c r="H975" s="388"/>
      <c r="I975" s="388"/>
    </row>
    <row r="976">
      <c r="A976" s="423"/>
      <c r="B976" s="388"/>
      <c r="C976" s="388"/>
      <c r="D976" s="388"/>
      <c r="E976" s="388"/>
      <c r="F976" s="388"/>
      <c r="G976" s="388"/>
      <c r="H976" s="388"/>
      <c r="I976" s="388"/>
    </row>
    <row r="977">
      <c r="A977" s="423"/>
      <c r="B977" s="388"/>
      <c r="C977" s="388"/>
      <c r="D977" s="388"/>
      <c r="E977" s="388"/>
      <c r="F977" s="388"/>
      <c r="G977" s="388"/>
      <c r="H977" s="388"/>
      <c r="I977" s="388"/>
    </row>
    <row r="978">
      <c r="A978" s="423"/>
      <c r="B978" s="388"/>
      <c r="C978" s="388"/>
      <c r="D978" s="388"/>
      <c r="E978" s="388"/>
      <c r="F978" s="388"/>
      <c r="G978" s="388"/>
      <c r="H978" s="388"/>
      <c r="I978" s="388"/>
    </row>
    <row r="979">
      <c r="A979" s="423"/>
      <c r="B979" s="388"/>
      <c r="C979" s="388"/>
      <c r="D979" s="388"/>
      <c r="E979" s="388"/>
      <c r="F979" s="388"/>
      <c r="G979" s="388"/>
      <c r="H979" s="388"/>
      <c r="I979" s="388"/>
    </row>
    <row r="980">
      <c r="A980" s="423"/>
      <c r="B980" s="388"/>
      <c r="C980" s="388"/>
      <c r="D980" s="388"/>
      <c r="E980" s="388"/>
      <c r="F980" s="388"/>
      <c r="G980" s="388"/>
      <c r="H980" s="388"/>
      <c r="I980" s="388"/>
    </row>
    <row r="981">
      <c r="A981" s="423"/>
      <c r="B981" s="388"/>
      <c r="C981" s="388"/>
      <c r="D981" s="388"/>
      <c r="E981" s="388"/>
      <c r="F981" s="388"/>
      <c r="G981" s="388"/>
      <c r="H981" s="388"/>
      <c r="I981" s="388"/>
    </row>
    <row r="982">
      <c r="A982" s="423"/>
      <c r="B982" s="388"/>
      <c r="C982" s="388"/>
      <c r="D982" s="388"/>
      <c r="E982" s="388"/>
      <c r="F982" s="388"/>
      <c r="G982" s="388"/>
      <c r="H982" s="388"/>
      <c r="I982" s="388"/>
    </row>
    <row r="983">
      <c r="A983" s="423"/>
      <c r="B983" s="388"/>
      <c r="C983" s="388"/>
      <c r="D983" s="388"/>
      <c r="E983" s="388"/>
      <c r="F983" s="388"/>
      <c r="G983" s="388"/>
      <c r="H983" s="388"/>
      <c r="I983" s="388"/>
    </row>
    <row r="984">
      <c r="A984" s="423"/>
      <c r="B984" s="388"/>
      <c r="C984" s="388"/>
      <c r="D984" s="388"/>
      <c r="E984" s="388"/>
      <c r="F984" s="388"/>
      <c r="G984" s="388"/>
      <c r="H984" s="388"/>
      <c r="I984" s="388"/>
    </row>
    <row r="985">
      <c r="A985" s="423"/>
      <c r="B985" s="388"/>
      <c r="C985" s="388"/>
      <c r="D985" s="388"/>
      <c r="E985" s="388"/>
      <c r="F985" s="388"/>
      <c r="G985" s="388"/>
      <c r="H985" s="388"/>
      <c r="I985" s="388"/>
    </row>
    <row r="986">
      <c r="A986" s="423"/>
      <c r="B986" s="388"/>
      <c r="C986" s="388"/>
      <c r="D986" s="388"/>
      <c r="E986" s="388"/>
      <c r="F986" s="388"/>
      <c r="G986" s="388"/>
      <c r="H986" s="388"/>
      <c r="I986" s="388"/>
    </row>
    <row r="987">
      <c r="A987" s="423"/>
      <c r="B987" s="388"/>
      <c r="C987" s="388"/>
      <c r="D987" s="388"/>
      <c r="E987" s="388"/>
      <c r="F987" s="388"/>
      <c r="G987" s="388"/>
      <c r="H987" s="388"/>
      <c r="I987" s="388"/>
    </row>
    <row r="988">
      <c r="A988" s="423"/>
      <c r="B988" s="388"/>
      <c r="C988" s="388"/>
      <c r="D988" s="388"/>
      <c r="E988" s="388"/>
      <c r="F988" s="388"/>
      <c r="G988" s="388"/>
      <c r="H988" s="388"/>
      <c r="I988" s="388"/>
    </row>
    <row r="989">
      <c r="A989" s="423"/>
      <c r="B989" s="388"/>
      <c r="C989" s="388"/>
      <c r="D989" s="388"/>
      <c r="E989" s="388"/>
      <c r="F989" s="388"/>
      <c r="G989" s="388"/>
      <c r="H989" s="388"/>
      <c r="I989" s="388"/>
    </row>
    <row r="990">
      <c r="A990" s="423"/>
      <c r="B990" s="388"/>
      <c r="C990" s="388"/>
      <c r="D990" s="388"/>
      <c r="E990" s="388"/>
      <c r="F990" s="388"/>
      <c r="G990" s="388"/>
      <c r="H990" s="388"/>
      <c r="I990" s="388"/>
    </row>
    <row r="991">
      <c r="A991" s="423"/>
      <c r="B991" s="388"/>
      <c r="C991" s="388"/>
      <c r="D991" s="388"/>
      <c r="E991" s="388"/>
      <c r="F991" s="388"/>
      <c r="G991" s="388"/>
      <c r="H991" s="388"/>
      <c r="I991" s="388"/>
    </row>
    <row r="992">
      <c r="A992" s="423"/>
      <c r="B992" s="388"/>
      <c r="C992" s="388"/>
      <c r="D992" s="388"/>
      <c r="E992" s="388"/>
      <c r="F992" s="388"/>
      <c r="G992" s="388"/>
      <c r="H992" s="388"/>
      <c r="I992" s="388"/>
    </row>
    <row r="993">
      <c r="A993" s="423"/>
      <c r="B993" s="388"/>
      <c r="C993" s="388"/>
      <c r="D993" s="388"/>
      <c r="E993" s="388"/>
      <c r="F993" s="388"/>
      <c r="G993" s="388"/>
      <c r="H993" s="388"/>
      <c r="I993" s="388"/>
    </row>
    <row r="994">
      <c r="A994" s="423"/>
      <c r="B994" s="388"/>
      <c r="C994" s="388"/>
      <c r="D994" s="388"/>
      <c r="E994" s="388"/>
      <c r="F994" s="388"/>
      <c r="G994" s="388"/>
      <c r="H994" s="388"/>
      <c r="I994" s="388"/>
    </row>
    <row r="995">
      <c r="A995" s="423"/>
      <c r="B995" s="388"/>
      <c r="C995" s="388"/>
      <c r="D995" s="388"/>
      <c r="E995" s="388"/>
      <c r="F995" s="388"/>
      <c r="G995" s="388"/>
      <c r="H995" s="388"/>
      <c r="I995" s="388"/>
    </row>
    <row r="996">
      <c r="A996" s="423"/>
      <c r="B996" s="388"/>
      <c r="C996" s="388"/>
      <c r="D996" s="388"/>
      <c r="E996" s="388"/>
      <c r="F996" s="388"/>
      <c r="G996" s="388"/>
      <c r="H996" s="388"/>
      <c r="I996" s="388"/>
    </row>
    <row r="997">
      <c r="A997" s="423"/>
      <c r="B997" s="388"/>
      <c r="C997" s="388"/>
      <c r="D997" s="388"/>
      <c r="E997" s="388"/>
      <c r="F997" s="388"/>
      <c r="G997" s="388"/>
      <c r="H997" s="388"/>
      <c r="I997" s="388"/>
    </row>
    <row r="998">
      <c r="A998" s="423"/>
      <c r="B998" s="388"/>
      <c r="C998" s="388"/>
      <c r="D998" s="388"/>
      <c r="E998" s="388"/>
      <c r="F998" s="388"/>
      <c r="G998" s="388"/>
      <c r="H998" s="388"/>
      <c r="I998" s="388"/>
    </row>
    <row r="999">
      <c r="A999" s="423"/>
      <c r="B999" s="388"/>
      <c r="C999" s="388"/>
      <c r="D999" s="388"/>
      <c r="E999" s="388"/>
      <c r="F999" s="388"/>
      <c r="G999" s="388"/>
      <c r="H999" s="388"/>
      <c r="I999" s="388"/>
    </row>
    <row r="1000">
      <c r="A1000" s="423"/>
      <c r="B1000" s="388"/>
      <c r="C1000" s="388"/>
      <c r="D1000" s="388"/>
      <c r="E1000" s="388"/>
      <c r="F1000" s="388"/>
      <c r="G1000" s="388"/>
      <c r="H1000" s="388"/>
      <c r="I1000" s="388"/>
    </row>
    <row r="1001">
      <c r="A1001" s="423"/>
      <c r="B1001" s="388"/>
      <c r="C1001" s="388"/>
      <c r="D1001" s="388"/>
      <c r="E1001" s="388"/>
      <c r="F1001" s="388"/>
      <c r="G1001" s="388"/>
      <c r="H1001" s="388"/>
      <c r="I1001" s="388"/>
    </row>
    <row r="1002">
      <c r="A1002" s="423"/>
      <c r="B1002" s="388"/>
      <c r="C1002" s="388"/>
      <c r="D1002" s="388"/>
      <c r="E1002" s="388"/>
      <c r="F1002" s="388"/>
      <c r="G1002" s="388"/>
      <c r="H1002" s="388"/>
      <c r="I1002" s="388"/>
    </row>
  </sheetData>
  <autoFilter ref="$A$4:$J$604"/>
  <mergeCells count="11">
    <mergeCell ref="E108:E110"/>
    <mergeCell ref="F109:F110"/>
    <mergeCell ref="G109:G110"/>
    <mergeCell ref="H109:H110"/>
    <mergeCell ref="A1:H1"/>
    <mergeCell ref="A2:H2"/>
    <mergeCell ref="A108:A110"/>
    <mergeCell ref="B108:B110"/>
    <mergeCell ref="C108:C110"/>
    <mergeCell ref="D108:D110"/>
    <mergeCell ref="G108:H108"/>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29"/>
    <col customWidth="1" min="2" max="2" width="8.14"/>
    <col customWidth="1" min="3" max="3" width="11.86"/>
    <col customWidth="1" min="4" max="4" width="17.57"/>
    <col customWidth="1" min="5" max="5" width="6.29"/>
    <col customWidth="1" min="6" max="6" width="10.86"/>
    <col customWidth="1" min="7" max="7" width="9.29"/>
    <col customWidth="1" min="8" max="8" width="11.14"/>
    <col customWidth="1" min="9" max="9" width="17.43"/>
    <col customWidth="1" min="10" max="10" width="8.0"/>
    <col customWidth="1" min="11" max="11" width="11.14"/>
    <col customWidth="1" min="12" max="12" width="19.43"/>
    <col customWidth="1" min="13" max="13" width="11.57"/>
    <col customWidth="1" min="14" max="14" width="12.29"/>
    <col customWidth="1" min="15" max="15" width="10.86"/>
  </cols>
  <sheetData>
    <row r="1">
      <c r="A1" s="424" t="s">
        <v>5232</v>
      </c>
      <c r="M1" s="424"/>
      <c r="N1" s="424"/>
      <c r="O1" s="424"/>
      <c r="P1" s="424"/>
      <c r="Q1" s="424"/>
      <c r="R1" s="424"/>
    </row>
    <row r="2">
      <c r="A2" s="425"/>
      <c r="B2" s="425"/>
      <c r="C2" s="425"/>
      <c r="D2" s="425"/>
      <c r="E2" s="425"/>
      <c r="F2" s="425"/>
      <c r="G2" s="425"/>
      <c r="H2" s="425"/>
      <c r="I2" s="425"/>
      <c r="J2" s="425"/>
      <c r="K2" s="425"/>
      <c r="L2" s="425"/>
      <c r="M2" s="425"/>
      <c r="N2" s="425"/>
      <c r="O2" s="425"/>
      <c r="P2" s="425"/>
      <c r="Q2" s="425"/>
      <c r="R2" s="425"/>
    </row>
    <row r="3">
      <c r="A3" s="426" t="s">
        <v>5233</v>
      </c>
      <c r="J3" s="425"/>
      <c r="K3" s="425"/>
      <c r="L3" s="425"/>
      <c r="M3" s="425"/>
      <c r="N3" s="425"/>
      <c r="O3" s="425"/>
      <c r="P3" s="425"/>
      <c r="R3" s="425"/>
    </row>
    <row r="4">
      <c r="A4" s="427" t="s">
        <v>5234</v>
      </c>
      <c r="B4" s="428" t="s">
        <v>5235</v>
      </c>
      <c r="C4" s="429" t="s">
        <v>5236</v>
      </c>
      <c r="D4" s="427" t="s">
        <v>2483</v>
      </c>
      <c r="E4" s="425"/>
      <c r="F4" s="427" t="s">
        <v>5237</v>
      </c>
      <c r="G4" s="428" t="s">
        <v>5235</v>
      </c>
      <c r="H4" s="429" t="s">
        <v>5236</v>
      </c>
      <c r="I4" s="429" t="s">
        <v>5238</v>
      </c>
      <c r="J4" s="428" t="s">
        <v>5235</v>
      </c>
      <c r="K4" s="429" t="s">
        <v>5236</v>
      </c>
      <c r="L4" s="429" t="s">
        <v>5239</v>
      </c>
      <c r="M4" s="425"/>
      <c r="N4" s="425"/>
      <c r="O4" s="425"/>
      <c r="P4" s="425"/>
      <c r="Q4" s="425"/>
      <c r="R4" s="425"/>
    </row>
    <row r="5">
      <c r="A5" s="430" t="s">
        <v>5240</v>
      </c>
      <c r="B5" s="313" t="b">
        <v>1</v>
      </c>
      <c r="C5" s="313" t="b">
        <v>1</v>
      </c>
      <c r="D5" s="427" t="s">
        <v>2495</v>
      </c>
      <c r="E5" s="425"/>
      <c r="F5" s="430" t="s">
        <v>5240</v>
      </c>
      <c r="G5" s="313" t="b">
        <v>1</v>
      </c>
      <c r="H5" s="313" t="b">
        <v>0</v>
      </c>
      <c r="I5" s="427" t="s">
        <v>2497</v>
      </c>
      <c r="J5" s="313" t="b">
        <v>1</v>
      </c>
      <c r="K5" s="313" t="b">
        <v>0</v>
      </c>
      <c r="L5" s="427" t="s">
        <v>5241</v>
      </c>
      <c r="M5" s="425"/>
      <c r="N5" s="425"/>
      <c r="O5" s="425"/>
      <c r="P5" s="425"/>
      <c r="Q5" s="425"/>
      <c r="R5" s="425"/>
    </row>
    <row r="6">
      <c r="A6" s="430" t="s">
        <v>5242</v>
      </c>
      <c r="B6" s="313" t="b">
        <v>1</v>
      </c>
      <c r="C6" s="313" t="b">
        <v>0</v>
      </c>
      <c r="D6" s="427" t="s">
        <v>2558</v>
      </c>
      <c r="E6" s="425"/>
      <c r="F6" s="430" t="s">
        <v>5242</v>
      </c>
      <c r="G6" s="313" t="b">
        <v>1</v>
      </c>
      <c r="H6" s="313" t="b">
        <v>0</v>
      </c>
      <c r="I6" s="427" t="s">
        <v>5243</v>
      </c>
      <c r="J6" s="313" t="b">
        <v>1</v>
      </c>
      <c r="K6" s="313" t="b">
        <v>0</v>
      </c>
      <c r="L6" s="427" t="s">
        <v>5244</v>
      </c>
      <c r="M6" s="425"/>
      <c r="N6" s="425"/>
      <c r="O6" s="425"/>
      <c r="P6" s="425"/>
      <c r="Q6" s="425"/>
      <c r="R6" s="425"/>
    </row>
    <row r="7">
      <c r="A7" s="430" t="s">
        <v>5245</v>
      </c>
      <c r="B7" s="313" t="b">
        <v>1</v>
      </c>
      <c r="C7" s="313" t="b">
        <v>1</v>
      </c>
      <c r="D7" s="427" t="s">
        <v>2602</v>
      </c>
      <c r="E7" s="425"/>
      <c r="F7" s="430" t="s">
        <v>5245</v>
      </c>
      <c r="G7" s="313" t="b">
        <v>1</v>
      </c>
      <c r="H7" s="313" t="b">
        <v>1</v>
      </c>
      <c r="I7" s="427" t="s">
        <v>2605</v>
      </c>
      <c r="J7" s="313" t="b">
        <v>1</v>
      </c>
      <c r="K7" s="313" t="b">
        <v>0</v>
      </c>
      <c r="L7" s="427" t="s">
        <v>5246</v>
      </c>
      <c r="M7" s="425"/>
      <c r="N7" s="425"/>
      <c r="O7" s="425"/>
      <c r="P7" s="425"/>
      <c r="Q7" s="425"/>
      <c r="R7" s="425"/>
    </row>
    <row r="8">
      <c r="A8" s="430" t="s">
        <v>5247</v>
      </c>
      <c r="B8" s="313" t="b">
        <v>1</v>
      </c>
      <c r="C8" s="313" t="b">
        <v>0</v>
      </c>
      <c r="D8" s="429" t="s">
        <v>2651</v>
      </c>
      <c r="E8" s="425"/>
      <c r="F8" s="430" t="s">
        <v>5247</v>
      </c>
      <c r="G8" s="313" t="b">
        <v>1</v>
      </c>
      <c r="H8" s="313" t="b">
        <v>0</v>
      </c>
      <c r="I8" s="427" t="s">
        <v>2655</v>
      </c>
      <c r="J8" s="313" t="b">
        <v>1</v>
      </c>
      <c r="K8" s="313" t="b">
        <v>0</v>
      </c>
      <c r="L8" s="427" t="s">
        <v>5248</v>
      </c>
      <c r="M8" s="425"/>
      <c r="N8" s="425"/>
      <c r="O8" s="425"/>
      <c r="P8" s="425"/>
      <c r="Q8" s="425"/>
      <c r="R8" s="425"/>
    </row>
    <row r="9">
      <c r="A9" s="430" t="s">
        <v>5249</v>
      </c>
      <c r="B9" s="313" t="b">
        <v>1</v>
      </c>
      <c r="C9" s="313" t="b">
        <v>1</v>
      </c>
      <c r="D9" s="427" t="s">
        <v>5250</v>
      </c>
      <c r="E9" s="425"/>
      <c r="F9" s="430" t="s">
        <v>5249</v>
      </c>
      <c r="G9" s="313" t="b">
        <v>1</v>
      </c>
      <c r="H9" s="313" t="b">
        <v>0</v>
      </c>
      <c r="I9" s="427" t="s">
        <v>5251</v>
      </c>
      <c r="J9" s="313" t="b">
        <v>0</v>
      </c>
      <c r="K9" s="313" t="b">
        <v>0</v>
      </c>
      <c r="L9" s="427" t="s">
        <v>5252</v>
      </c>
      <c r="M9" s="425"/>
      <c r="N9" s="425"/>
      <c r="O9" s="425"/>
      <c r="P9" s="425"/>
      <c r="Q9" s="425"/>
      <c r="R9" s="425"/>
    </row>
    <row r="10">
      <c r="A10" s="430" t="s">
        <v>5253</v>
      </c>
      <c r="B10" s="313" t="b">
        <v>1</v>
      </c>
      <c r="C10" s="313" t="b">
        <v>1</v>
      </c>
      <c r="D10" s="429" t="s">
        <v>2748</v>
      </c>
      <c r="E10" s="425"/>
      <c r="F10" s="430" t="s">
        <v>5253</v>
      </c>
      <c r="G10" s="313" t="b">
        <v>1</v>
      </c>
      <c r="H10" s="313" t="b">
        <v>1</v>
      </c>
      <c r="I10" s="427" t="s">
        <v>5254</v>
      </c>
      <c r="J10" s="313" t="b">
        <v>1</v>
      </c>
      <c r="K10" s="313" t="b">
        <v>0</v>
      </c>
      <c r="L10" s="427" t="s">
        <v>5255</v>
      </c>
      <c r="M10" s="425"/>
      <c r="N10" s="425"/>
      <c r="O10" s="425"/>
      <c r="P10" s="425"/>
      <c r="Q10" s="425"/>
      <c r="R10" s="425"/>
    </row>
    <row r="11">
      <c r="A11" s="430" t="s">
        <v>5256</v>
      </c>
      <c r="B11" s="313" t="b">
        <v>1</v>
      </c>
      <c r="C11" s="313" t="b">
        <v>1</v>
      </c>
      <c r="D11" s="427" t="s">
        <v>5257</v>
      </c>
      <c r="E11" s="425"/>
      <c r="F11" s="430" t="s">
        <v>5256</v>
      </c>
      <c r="G11" s="313" t="b">
        <v>1</v>
      </c>
      <c r="H11" s="313" t="b">
        <v>1</v>
      </c>
      <c r="I11" s="427" t="s">
        <v>5258</v>
      </c>
      <c r="J11" s="313" t="b">
        <v>1</v>
      </c>
      <c r="K11" s="313" t="b">
        <v>0</v>
      </c>
      <c r="L11" s="427" t="s">
        <v>5259</v>
      </c>
      <c r="M11" s="425"/>
      <c r="N11" s="425"/>
      <c r="O11" s="425"/>
      <c r="P11" s="425"/>
      <c r="Q11" s="425"/>
      <c r="R11" s="425"/>
    </row>
    <row r="12">
      <c r="A12" s="430" t="s">
        <v>5260</v>
      </c>
      <c r="B12" s="313" t="b">
        <v>1</v>
      </c>
      <c r="C12" s="313" t="b">
        <v>1</v>
      </c>
      <c r="D12" s="427" t="s">
        <v>2855</v>
      </c>
      <c r="E12" s="425"/>
      <c r="F12" s="430" t="s">
        <v>5260</v>
      </c>
      <c r="G12" s="313" t="b">
        <v>0</v>
      </c>
      <c r="H12" s="313" t="b">
        <v>0</v>
      </c>
      <c r="I12" s="427" t="s">
        <v>2844</v>
      </c>
      <c r="J12" s="313" t="b">
        <v>1</v>
      </c>
      <c r="K12" s="313" t="b">
        <v>1</v>
      </c>
      <c r="L12" s="427" t="s">
        <v>5261</v>
      </c>
      <c r="M12" s="425"/>
      <c r="N12" s="425"/>
      <c r="O12" s="425"/>
      <c r="P12" s="425"/>
      <c r="Q12" s="425"/>
      <c r="R12" s="425"/>
    </row>
    <row r="13">
      <c r="A13" s="430" t="s">
        <v>5262</v>
      </c>
      <c r="B13" s="313" t="b">
        <v>1</v>
      </c>
      <c r="C13" s="313" t="b">
        <v>0</v>
      </c>
      <c r="D13" s="431" t="s">
        <v>5263</v>
      </c>
      <c r="E13" s="425"/>
      <c r="F13" s="430" t="s">
        <v>5262</v>
      </c>
      <c r="G13" s="313" t="b">
        <v>1</v>
      </c>
      <c r="H13" s="313" t="b">
        <v>0</v>
      </c>
      <c r="I13" s="427" t="s">
        <v>5264</v>
      </c>
      <c r="J13" s="313" t="b">
        <v>1</v>
      </c>
      <c r="K13" s="313" t="b">
        <v>0</v>
      </c>
      <c r="L13" s="427" t="s">
        <v>5265</v>
      </c>
      <c r="M13" s="425"/>
      <c r="N13" s="425"/>
      <c r="O13" s="425"/>
      <c r="P13" s="425"/>
      <c r="Q13" s="425"/>
      <c r="R13" s="425"/>
    </row>
    <row r="14">
      <c r="A14" s="430" t="s">
        <v>5266</v>
      </c>
      <c r="B14" s="313" t="b">
        <v>1</v>
      </c>
      <c r="C14" s="313" t="b">
        <v>1</v>
      </c>
      <c r="D14" s="427" t="s">
        <v>5267</v>
      </c>
      <c r="E14" s="425"/>
      <c r="F14" s="430" t="s">
        <v>5266</v>
      </c>
      <c r="G14" s="313" t="b">
        <v>1</v>
      </c>
      <c r="H14" s="313" t="b">
        <v>1</v>
      </c>
      <c r="I14" s="427" t="s">
        <v>2949</v>
      </c>
      <c r="J14" s="313" t="b">
        <v>1</v>
      </c>
      <c r="K14" s="313" t="b">
        <v>1</v>
      </c>
      <c r="L14" s="427" t="s">
        <v>5268</v>
      </c>
      <c r="M14" s="425"/>
      <c r="N14" s="425"/>
      <c r="O14" s="425"/>
      <c r="P14" s="425"/>
      <c r="Q14" s="425"/>
      <c r="R14" s="425"/>
    </row>
    <row r="15">
      <c r="A15" s="430" t="s">
        <v>5269</v>
      </c>
      <c r="B15" s="313" t="b">
        <v>1</v>
      </c>
      <c r="C15" s="313" t="b">
        <v>1</v>
      </c>
      <c r="D15" s="427" t="s">
        <v>5270</v>
      </c>
      <c r="E15" s="425"/>
      <c r="F15" s="430" t="s">
        <v>5269</v>
      </c>
      <c r="G15" s="313" t="b">
        <v>1</v>
      </c>
      <c r="H15" s="313" t="b">
        <v>1</v>
      </c>
      <c r="I15" s="432" t="s">
        <v>5271</v>
      </c>
      <c r="J15" s="313" t="b">
        <v>1</v>
      </c>
      <c r="K15" s="313" t="b">
        <v>0</v>
      </c>
      <c r="L15" s="427" t="s">
        <v>5272</v>
      </c>
      <c r="M15" s="425"/>
      <c r="N15" s="425"/>
      <c r="O15" s="425"/>
      <c r="P15" s="425"/>
      <c r="Q15" s="425"/>
      <c r="R15" s="425"/>
    </row>
    <row r="16">
      <c r="A16" s="430" t="s">
        <v>5273</v>
      </c>
      <c r="B16" s="313" t="b">
        <v>1</v>
      </c>
      <c r="C16" s="313" t="b">
        <v>0</v>
      </c>
      <c r="D16" s="427" t="s">
        <v>5274</v>
      </c>
      <c r="E16" s="425"/>
      <c r="F16" s="430" t="s">
        <v>5273</v>
      </c>
      <c r="G16" s="313" t="b">
        <v>1</v>
      </c>
      <c r="H16" s="313" t="b">
        <v>0</v>
      </c>
      <c r="I16" s="427" t="s">
        <v>5275</v>
      </c>
      <c r="J16" s="313" t="b">
        <v>0</v>
      </c>
      <c r="K16" s="313" t="b">
        <v>0</v>
      </c>
      <c r="L16" s="427" t="s">
        <v>5276</v>
      </c>
      <c r="M16" s="425"/>
      <c r="N16" s="425"/>
      <c r="O16" s="425"/>
      <c r="P16" s="425"/>
      <c r="Q16" s="425"/>
      <c r="R16" s="425"/>
    </row>
    <row r="17">
      <c r="A17" s="430" t="s">
        <v>5277</v>
      </c>
      <c r="B17" s="313" t="b">
        <v>1</v>
      </c>
      <c r="C17" s="313" t="b">
        <v>0</v>
      </c>
      <c r="D17" s="427" t="s">
        <v>2583</v>
      </c>
      <c r="E17" s="425"/>
      <c r="F17" s="430" t="s">
        <v>5278</v>
      </c>
      <c r="G17" s="313" t="b">
        <v>1</v>
      </c>
      <c r="H17" s="313" t="b">
        <v>0</v>
      </c>
      <c r="I17" s="427" t="s">
        <v>2507</v>
      </c>
      <c r="J17" s="430"/>
      <c r="K17" s="430"/>
      <c r="L17" s="430" t="s">
        <v>1187</v>
      </c>
      <c r="M17" s="425"/>
      <c r="N17" s="425"/>
      <c r="O17" s="425"/>
      <c r="P17" s="425"/>
      <c r="Q17" s="425"/>
      <c r="R17" s="425"/>
    </row>
    <row r="18">
      <c r="A18" s="425"/>
      <c r="B18" s="425"/>
      <c r="C18" s="425"/>
      <c r="D18" s="425"/>
      <c r="E18" s="425"/>
      <c r="F18" s="430" t="s">
        <v>5279</v>
      </c>
      <c r="G18" s="313" t="b">
        <v>1</v>
      </c>
      <c r="H18" s="313" t="b">
        <v>0</v>
      </c>
      <c r="I18" s="427" t="s">
        <v>2551</v>
      </c>
      <c r="J18" s="430"/>
      <c r="K18" s="427"/>
      <c r="L18" s="427" t="s">
        <v>1187</v>
      </c>
      <c r="M18" s="425"/>
      <c r="N18" s="425"/>
      <c r="O18" s="425"/>
      <c r="P18" s="425"/>
      <c r="Q18" s="425"/>
      <c r="R18" s="425"/>
    </row>
    <row r="19">
      <c r="A19" s="425"/>
      <c r="B19" s="425"/>
      <c r="C19" s="425"/>
      <c r="D19" s="425"/>
      <c r="E19" s="425"/>
      <c r="F19" s="425"/>
      <c r="G19" s="425"/>
      <c r="H19" s="425"/>
      <c r="I19" s="425"/>
      <c r="J19" s="425"/>
      <c r="K19" s="425"/>
      <c r="L19" s="425"/>
      <c r="M19" s="425"/>
      <c r="N19" s="425"/>
      <c r="O19" s="425"/>
      <c r="P19" s="425"/>
      <c r="Q19" s="425"/>
      <c r="R19" s="425"/>
    </row>
    <row r="20">
      <c r="A20" s="426" t="s">
        <v>5280</v>
      </c>
      <c r="J20" s="425"/>
      <c r="K20" s="425"/>
      <c r="L20" s="425"/>
      <c r="M20" s="425"/>
      <c r="N20" s="425"/>
      <c r="O20" s="425"/>
      <c r="P20" s="425"/>
      <c r="Q20" s="425"/>
      <c r="R20" s="425"/>
    </row>
    <row r="21">
      <c r="A21" s="427" t="s">
        <v>5234</v>
      </c>
      <c r="B21" s="428" t="s">
        <v>5235</v>
      </c>
      <c r="C21" s="429" t="s">
        <v>5236</v>
      </c>
      <c r="D21" s="427" t="s">
        <v>2483</v>
      </c>
      <c r="E21" s="425"/>
      <c r="F21" s="427" t="s">
        <v>5237</v>
      </c>
      <c r="G21" s="428" t="s">
        <v>5235</v>
      </c>
      <c r="H21" s="429" t="s">
        <v>5236</v>
      </c>
      <c r="I21" s="427" t="s">
        <v>2483</v>
      </c>
      <c r="J21" s="425"/>
      <c r="L21" s="433" t="s">
        <v>5281</v>
      </c>
      <c r="M21" s="434" t="s">
        <v>2483</v>
      </c>
      <c r="N21" s="428" t="s">
        <v>5235</v>
      </c>
      <c r="O21" s="429" t="s">
        <v>5236</v>
      </c>
      <c r="P21" s="425"/>
    </row>
    <row r="22">
      <c r="A22" s="430" t="s">
        <v>5240</v>
      </c>
      <c r="B22" s="313" t="b">
        <v>1</v>
      </c>
      <c r="C22" s="313" t="b">
        <v>1</v>
      </c>
      <c r="D22" s="431" t="s">
        <v>4318</v>
      </c>
      <c r="E22" s="425"/>
      <c r="F22" s="430" t="s">
        <v>5240</v>
      </c>
      <c r="G22" s="313" t="b">
        <v>1</v>
      </c>
      <c r="H22" s="313" t="b">
        <v>0</v>
      </c>
      <c r="I22" s="427" t="s">
        <v>2997</v>
      </c>
      <c r="J22" s="425"/>
      <c r="L22" s="430" t="s">
        <v>5234</v>
      </c>
      <c r="M22" s="427" t="s">
        <v>5282</v>
      </c>
      <c r="N22" s="313" t="b">
        <v>0</v>
      </c>
      <c r="O22" s="313" t="b">
        <v>0</v>
      </c>
      <c r="P22" s="425"/>
    </row>
    <row r="23">
      <c r="A23" s="430" t="s">
        <v>5242</v>
      </c>
      <c r="B23" s="313" t="b">
        <v>1</v>
      </c>
      <c r="C23" s="313" t="b">
        <v>0</v>
      </c>
      <c r="D23" s="431" t="s">
        <v>5283</v>
      </c>
      <c r="E23" s="425"/>
      <c r="F23" s="430" t="s">
        <v>5242</v>
      </c>
      <c r="G23" s="313" t="b">
        <v>1</v>
      </c>
      <c r="H23" s="313" t="b">
        <v>1</v>
      </c>
      <c r="I23" s="427" t="s">
        <v>4394</v>
      </c>
      <c r="J23" s="425"/>
      <c r="L23" s="430" t="s">
        <v>5284</v>
      </c>
      <c r="M23" s="427" t="s">
        <v>4565</v>
      </c>
      <c r="N23" s="313" t="b">
        <v>1</v>
      </c>
      <c r="O23" s="313" t="b">
        <v>0</v>
      </c>
      <c r="P23" s="425"/>
    </row>
    <row r="24">
      <c r="A24" s="430" t="s">
        <v>5245</v>
      </c>
      <c r="B24" s="313" t="b">
        <v>1</v>
      </c>
      <c r="C24" s="313" t="b">
        <v>1</v>
      </c>
      <c r="D24" s="427" t="s">
        <v>4481</v>
      </c>
      <c r="E24" s="425"/>
      <c r="F24" s="430" t="s">
        <v>5245</v>
      </c>
      <c r="G24" s="313" t="b">
        <v>0</v>
      </c>
      <c r="H24" s="313" t="b">
        <v>0</v>
      </c>
      <c r="I24" s="427" t="s">
        <v>4484</v>
      </c>
      <c r="J24" s="425"/>
      <c r="L24" s="430" t="s">
        <v>5285</v>
      </c>
      <c r="M24" s="427" t="s">
        <v>5286</v>
      </c>
      <c r="N24" s="313" t="b">
        <v>1</v>
      </c>
      <c r="O24" s="313" t="b">
        <v>0</v>
      </c>
      <c r="P24" s="425"/>
    </row>
    <row r="25">
      <c r="A25" s="430" t="s">
        <v>5247</v>
      </c>
      <c r="B25" s="313" t="b">
        <v>1</v>
      </c>
      <c r="C25" s="313" t="b">
        <v>1</v>
      </c>
      <c r="D25" s="427" t="s">
        <v>4318</v>
      </c>
      <c r="E25" s="425"/>
      <c r="F25" s="430" t="s">
        <v>5247</v>
      </c>
      <c r="G25" s="313" t="b">
        <v>1</v>
      </c>
      <c r="H25" s="313" t="b">
        <v>1</v>
      </c>
      <c r="I25" s="427" t="s">
        <v>4559</v>
      </c>
      <c r="J25" s="425"/>
      <c r="L25" s="425"/>
      <c r="M25" s="425"/>
      <c r="N25" s="425"/>
      <c r="O25" s="425"/>
      <c r="P25" s="425"/>
    </row>
    <row r="26">
      <c r="A26" s="430" t="s">
        <v>5249</v>
      </c>
      <c r="B26" s="313" t="b">
        <v>1</v>
      </c>
      <c r="C26" s="313" t="b">
        <v>1</v>
      </c>
      <c r="D26" s="427" t="s">
        <v>4481</v>
      </c>
      <c r="E26" s="425"/>
      <c r="F26" s="430" t="s">
        <v>5249</v>
      </c>
      <c r="G26" s="313" t="b">
        <v>1</v>
      </c>
      <c r="H26" s="313" t="b">
        <v>1</v>
      </c>
      <c r="I26" s="431" t="s">
        <v>4634</v>
      </c>
      <c r="J26" s="425"/>
      <c r="L26" s="433" t="s">
        <v>5287</v>
      </c>
      <c r="M26" s="434" t="s">
        <v>2483</v>
      </c>
      <c r="N26" s="428" t="s">
        <v>5235</v>
      </c>
      <c r="O26" s="429" t="s">
        <v>5236</v>
      </c>
      <c r="P26" s="425"/>
    </row>
    <row r="27">
      <c r="A27" s="430" t="s">
        <v>5253</v>
      </c>
      <c r="B27" s="313" t="b">
        <v>1</v>
      </c>
      <c r="C27" s="313" t="b">
        <v>1</v>
      </c>
      <c r="D27" s="427" t="s">
        <v>5288</v>
      </c>
      <c r="E27" s="425"/>
      <c r="F27" s="430" t="s">
        <v>5253</v>
      </c>
      <c r="G27" s="313" t="b">
        <v>1</v>
      </c>
      <c r="H27" s="313" t="b">
        <v>1</v>
      </c>
      <c r="I27" s="427" t="s">
        <v>4711</v>
      </c>
      <c r="J27" s="425"/>
      <c r="L27" s="430" t="s">
        <v>5289</v>
      </c>
      <c r="M27" s="427" t="s">
        <v>5290</v>
      </c>
      <c r="N27" s="313" t="b">
        <v>0</v>
      </c>
      <c r="O27" s="313" t="b">
        <v>1</v>
      </c>
      <c r="P27" s="425"/>
    </row>
    <row r="28">
      <c r="A28" s="430" t="s">
        <v>5256</v>
      </c>
      <c r="B28" s="313" t="b">
        <v>1</v>
      </c>
      <c r="C28" s="313" t="b">
        <v>0</v>
      </c>
      <c r="D28" s="431" t="s">
        <v>5291</v>
      </c>
      <c r="E28" s="425"/>
      <c r="F28" s="430" t="s">
        <v>5256</v>
      </c>
      <c r="G28" s="313" t="b">
        <v>1</v>
      </c>
      <c r="H28" s="313" t="b">
        <v>1</v>
      </c>
      <c r="I28" s="431" t="s">
        <v>5292</v>
      </c>
      <c r="J28" s="425"/>
      <c r="L28" s="430" t="s">
        <v>5284</v>
      </c>
      <c r="M28" s="429" t="s">
        <v>2507</v>
      </c>
      <c r="N28" s="313" t="b">
        <v>1</v>
      </c>
      <c r="O28" s="313" t="b">
        <v>1</v>
      </c>
      <c r="P28" s="425"/>
    </row>
    <row r="29">
      <c r="A29" s="430" t="s">
        <v>5260</v>
      </c>
      <c r="B29" s="313" t="b">
        <v>1</v>
      </c>
      <c r="C29" s="313" t="b">
        <v>0</v>
      </c>
      <c r="D29" s="431" t="s">
        <v>5283</v>
      </c>
      <c r="E29" s="425"/>
      <c r="F29" s="430" t="s">
        <v>5260</v>
      </c>
      <c r="G29" s="313" t="b">
        <v>0</v>
      </c>
      <c r="H29" s="313" t="b">
        <v>0</v>
      </c>
      <c r="I29" s="431" t="s">
        <v>5293</v>
      </c>
      <c r="J29" s="425"/>
      <c r="L29" s="430" t="s">
        <v>5294</v>
      </c>
      <c r="M29" s="427" t="s">
        <v>5295</v>
      </c>
      <c r="N29" s="313" t="b">
        <v>1</v>
      </c>
      <c r="O29" s="313" t="b">
        <v>1</v>
      </c>
      <c r="P29" s="425"/>
    </row>
    <row r="30">
      <c r="A30" s="430" t="s">
        <v>5262</v>
      </c>
      <c r="B30" s="313" t="b">
        <v>0</v>
      </c>
      <c r="C30" s="313" t="b">
        <v>0</v>
      </c>
      <c r="D30" s="427" t="s">
        <v>5296</v>
      </c>
      <c r="E30" s="425"/>
      <c r="F30" s="430" t="s">
        <v>5262</v>
      </c>
      <c r="G30" s="313" t="b">
        <v>1</v>
      </c>
      <c r="H30" s="313" t="b">
        <v>0</v>
      </c>
      <c r="I30" s="427" t="s">
        <v>4938</v>
      </c>
      <c r="J30" s="425"/>
      <c r="L30" s="430" t="s">
        <v>5285</v>
      </c>
      <c r="M30" s="427" t="s">
        <v>5297</v>
      </c>
      <c r="N30" s="313" t="b">
        <v>1</v>
      </c>
      <c r="O30" s="313" t="b">
        <v>1</v>
      </c>
      <c r="P30" s="425"/>
    </row>
    <row r="31">
      <c r="A31" s="430" t="s">
        <v>5266</v>
      </c>
      <c r="B31" s="313" t="b">
        <v>1</v>
      </c>
      <c r="C31" s="313" t="b">
        <v>1</v>
      </c>
      <c r="D31" s="431" t="s">
        <v>5010</v>
      </c>
      <c r="E31" s="425"/>
      <c r="F31" s="430" t="s">
        <v>5266</v>
      </c>
      <c r="G31" s="313" t="b">
        <v>1</v>
      </c>
      <c r="H31" s="313" t="b">
        <v>0</v>
      </c>
      <c r="I31" s="427" t="s">
        <v>4938</v>
      </c>
      <c r="J31" s="425"/>
      <c r="K31" s="425"/>
      <c r="L31" s="425"/>
      <c r="M31" s="425"/>
      <c r="N31" s="425"/>
      <c r="O31" s="425"/>
      <c r="P31" s="425"/>
      <c r="Q31" s="425"/>
      <c r="R31" s="425"/>
    </row>
    <row r="32">
      <c r="A32" s="430" t="s">
        <v>5269</v>
      </c>
      <c r="B32" s="313" t="b">
        <v>1</v>
      </c>
      <c r="C32" s="313" t="b">
        <v>1</v>
      </c>
      <c r="D32" s="427" t="s">
        <v>5010</v>
      </c>
      <c r="E32" s="425"/>
      <c r="F32" s="430" t="s">
        <v>5269</v>
      </c>
      <c r="G32" s="313" t="b">
        <v>1</v>
      </c>
      <c r="H32" s="313" t="b">
        <v>1</v>
      </c>
      <c r="I32" s="427" t="s">
        <v>5298</v>
      </c>
      <c r="J32" s="425"/>
      <c r="K32" s="425"/>
      <c r="L32" s="425"/>
      <c r="M32" s="425"/>
      <c r="N32" s="425"/>
      <c r="O32" s="425"/>
      <c r="P32" s="425"/>
      <c r="Q32" s="425"/>
      <c r="R32" s="425"/>
    </row>
    <row r="33">
      <c r="A33" s="430" t="s">
        <v>5273</v>
      </c>
      <c r="B33" s="313" t="b">
        <v>1</v>
      </c>
      <c r="C33" s="313" t="b">
        <v>1</v>
      </c>
      <c r="D33" s="427" t="s">
        <v>5162</v>
      </c>
      <c r="E33" s="425"/>
      <c r="F33" s="430" t="s">
        <v>5273</v>
      </c>
      <c r="G33" s="313" t="b">
        <v>1</v>
      </c>
      <c r="H33" s="313" t="b">
        <v>0</v>
      </c>
      <c r="I33" s="431" t="s">
        <v>5299</v>
      </c>
      <c r="J33" s="425"/>
      <c r="K33" s="425"/>
      <c r="L33" s="425"/>
      <c r="M33" s="425"/>
      <c r="N33" s="425"/>
      <c r="O33" s="425"/>
      <c r="P33" s="425"/>
      <c r="Q33" s="425"/>
      <c r="R33" s="425"/>
    </row>
    <row r="34">
      <c r="A34" s="425"/>
      <c r="B34" s="425"/>
      <c r="C34" s="425"/>
      <c r="D34" s="425"/>
      <c r="E34" s="425"/>
      <c r="F34" s="425"/>
      <c r="G34" s="425"/>
      <c r="H34" s="425"/>
      <c r="I34" s="425"/>
      <c r="J34" s="425"/>
      <c r="K34" s="425"/>
      <c r="L34" s="425"/>
      <c r="M34" s="425"/>
      <c r="N34" s="425"/>
      <c r="O34" s="425"/>
      <c r="P34" s="425"/>
      <c r="Q34" s="425"/>
      <c r="R34" s="425"/>
    </row>
    <row r="35">
      <c r="A35" s="425"/>
      <c r="B35" s="425"/>
      <c r="C35" s="425"/>
      <c r="D35" s="425"/>
      <c r="E35" s="425"/>
      <c r="F35" s="425"/>
      <c r="G35" s="425"/>
      <c r="H35" s="425"/>
      <c r="I35" s="425"/>
      <c r="J35" s="425"/>
      <c r="K35" s="425"/>
      <c r="L35" s="425"/>
      <c r="M35" s="425"/>
      <c r="N35" s="425"/>
      <c r="O35" s="425"/>
      <c r="P35" s="425"/>
      <c r="Q35" s="425"/>
      <c r="R35" s="425"/>
    </row>
    <row r="36">
      <c r="A36" s="426" t="s">
        <v>5300</v>
      </c>
      <c r="M36" s="425"/>
      <c r="N36" s="425"/>
      <c r="O36" s="425"/>
      <c r="P36" s="425"/>
      <c r="Q36" s="425"/>
      <c r="R36" s="425"/>
    </row>
    <row r="37">
      <c r="A37" s="430" t="s">
        <v>5234</v>
      </c>
      <c r="B37" s="428" t="s">
        <v>5235</v>
      </c>
      <c r="C37" s="429" t="s">
        <v>5236</v>
      </c>
      <c r="D37" s="430" t="s">
        <v>2483</v>
      </c>
      <c r="E37" s="430" t="s">
        <v>5301</v>
      </c>
      <c r="F37" s="425"/>
      <c r="H37" s="425"/>
      <c r="I37" s="430" t="s">
        <v>5237</v>
      </c>
      <c r="J37" s="428" t="s">
        <v>5235</v>
      </c>
      <c r="K37" s="429" t="s">
        <v>5236</v>
      </c>
      <c r="L37" s="430" t="s">
        <v>2483</v>
      </c>
      <c r="M37" s="430" t="s">
        <v>5301</v>
      </c>
      <c r="N37" s="425"/>
      <c r="O37" s="425"/>
      <c r="P37" s="425"/>
      <c r="Q37" s="425"/>
      <c r="R37" s="425"/>
    </row>
    <row r="38">
      <c r="A38" s="430" t="s">
        <v>5240</v>
      </c>
      <c r="B38" s="313" t="b">
        <v>0</v>
      </c>
      <c r="C38" s="313" t="b">
        <v>0</v>
      </c>
      <c r="D38" s="435" t="s">
        <v>2583</v>
      </c>
      <c r="E38" s="436" t="s">
        <v>2487</v>
      </c>
      <c r="F38" s="425"/>
      <c r="H38" s="425"/>
      <c r="I38" s="430" t="s">
        <v>5240</v>
      </c>
      <c r="J38" s="313" t="b">
        <v>1</v>
      </c>
      <c r="K38" s="313" t="b">
        <v>1</v>
      </c>
      <c r="L38" s="435" t="s">
        <v>5302</v>
      </c>
      <c r="M38" s="436" t="s">
        <v>2487</v>
      </c>
      <c r="N38" s="425"/>
      <c r="O38" s="425"/>
      <c r="P38" s="425"/>
      <c r="Q38" s="425"/>
      <c r="R38" s="425"/>
    </row>
    <row r="39">
      <c r="A39" s="430" t="s">
        <v>5242</v>
      </c>
      <c r="B39" s="313" t="b">
        <v>0</v>
      </c>
      <c r="C39" s="313" t="b">
        <v>0</v>
      </c>
      <c r="D39" s="427" t="s">
        <v>2558</v>
      </c>
      <c r="E39" s="11"/>
      <c r="F39" s="425"/>
      <c r="H39" s="425"/>
      <c r="I39" s="430" t="s">
        <v>5242</v>
      </c>
      <c r="J39" s="313" t="b">
        <v>0</v>
      </c>
      <c r="K39" s="313" t="b">
        <v>0</v>
      </c>
      <c r="L39" s="437" t="s">
        <v>2605</v>
      </c>
      <c r="M39" s="11"/>
      <c r="N39" s="425"/>
      <c r="O39" s="425"/>
      <c r="P39" s="425"/>
      <c r="Q39" s="425"/>
      <c r="R39" s="425"/>
    </row>
    <row r="40">
      <c r="A40" s="430" t="s">
        <v>5245</v>
      </c>
      <c r="B40" s="313" t="b">
        <v>0</v>
      </c>
      <c r="C40" s="313" t="b">
        <v>0</v>
      </c>
      <c r="D40" s="435" t="s">
        <v>2583</v>
      </c>
      <c r="E40" s="11"/>
      <c r="F40" s="425"/>
      <c r="H40" s="425"/>
      <c r="I40" s="430" t="s">
        <v>5245</v>
      </c>
      <c r="J40" s="313" t="b">
        <v>0</v>
      </c>
      <c r="K40" s="313" t="b">
        <v>0</v>
      </c>
      <c r="L40" s="435" t="s">
        <v>5303</v>
      </c>
      <c r="M40" s="11"/>
      <c r="N40" s="425"/>
      <c r="O40" s="425"/>
      <c r="P40" s="425"/>
      <c r="Q40" s="425"/>
      <c r="R40" s="425"/>
    </row>
    <row r="41">
      <c r="A41" s="430" t="s">
        <v>5247</v>
      </c>
      <c r="B41" s="313" t="b">
        <v>0</v>
      </c>
      <c r="C41" s="313" t="b">
        <v>0</v>
      </c>
      <c r="D41" s="427" t="s">
        <v>2558</v>
      </c>
      <c r="E41" s="11"/>
      <c r="F41" s="425"/>
      <c r="H41" s="425"/>
      <c r="I41" s="430" t="s">
        <v>5247</v>
      </c>
      <c r="J41" s="313" t="b">
        <v>1</v>
      </c>
      <c r="K41" s="313" t="b">
        <v>1</v>
      </c>
      <c r="L41" s="435" t="s">
        <v>5302</v>
      </c>
      <c r="M41" s="11"/>
      <c r="N41" s="425"/>
      <c r="O41" s="425"/>
      <c r="P41" s="425"/>
      <c r="Q41" s="425"/>
      <c r="R41" s="425"/>
    </row>
    <row r="42">
      <c r="A42" s="430" t="s">
        <v>5249</v>
      </c>
      <c r="B42" s="313" t="b">
        <v>0</v>
      </c>
      <c r="C42" s="313" t="b">
        <v>0</v>
      </c>
      <c r="D42" s="435" t="s">
        <v>2583</v>
      </c>
      <c r="E42" s="11"/>
      <c r="F42" s="425"/>
      <c r="H42" s="425"/>
      <c r="I42" s="430" t="s">
        <v>5249</v>
      </c>
      <c r="J42" s="313" t="b">
        <v>1</v>
      </c>
      <c r="K42" s="313" t="b">
        <v>1</v>
      </c>
      <c r="L42" s="435" t="s">
        <v>5302</v>
      </c>
      <c r="M42" s="11"/>
      <c r="N42" s="425"/>
      <c r="O42" s="425"/>
      <c r="P42" s="425"/>
      <c r="Q42" s="425"/>
      <c r="R42" s="425"/>
    </row>
    <row r="43">
      <c r="A43" s="430" t="s">
        <v>5253</v>
      </c>
      <c r="B43" s="313" t="b">
        <v>0</v>
      </c>
      <c r="C43" s="313" t="b">
        <v>0</v>
      </c>
      <c r="D43" s="427" t="s">
        <v>2558</v>
      </c>
      <c r="E43" s="11"/>
      <c r="F43" s="425"/>
      <c r="H43" s="425"/>
      <c r="I43" s="430" t="s">
        <v>5253</v>
      </c>
      <c r="J43" s="313" t="b">
        <v>1</v>
      </c>
      <c r="K43" s="313" t="b">
        <v>1</v>
      </c>
      <c r="L43" s="435" t="s">
        <v>5302</v>
      </c>
      <c r="M43" s="11"/>
      <c r="N43" s="425"/>
      <c r="O43" s="425"/>
      <c r="P43" s="425"/>
      <c r="Q43" s="425"/>
      <c r="R43" s="425"/>
    </row>
    <row r="44">
      <c r="A44" s="430" t="s">
        <v>5256</v>
      </c>
      <c r="B44" s="313" t="b">
        <v>0</v>
      </c>
      <c r="C44" s="313" t="b">
        <v>0</v>
      </c>
      <c r="D44" s="435" t="s">
        <v>2583</v>
      </c>
      <c r="E44" s="11"/>
      <c r="F44" s="425"/>
      <c r="H44" s="425"/>
      <c r="I44" s="430" t="s">
        <v>5256</v>
      </c>
      <c r="J44" s="313" t="b">
        <v>1</v>
      </c>
      <c r="K44" s="313" t="b">
        <v>1</v>
      </c>
      <c r="L44" s="435" t="s">
        <v>5304</v>
      </c>
      <c r="M44" s="11"/>
      <c r="N44" s="425"/>
      <c r="O44" s="425"/>
      <c r="P44" s="425"/>
      <c r="Q44" s="425"/>
      <c r="R44" s="425"/>
    </row>
    <row r="45">
      <c r="A45" s="430" t="s">
        <v>5260</v>
      </c>
      <c r="B45" s="313" t="b">
        <v>0</v>
      </c>
      <c r="C45" s="313" t="b">
        <v>0</v>
      </c>
      <c r="D45" s="427" t="s">
        <v>2558</v>
      </c>
      <c r="E45" s="11"/>
      <c r="F45" s="425"/>
      <c r="H45" s="425"/>
      <c r="I45" s="430" t="s">
        <v>5260</v>
      </c>
      <c r="J45" s="313" t="b">
        <v>1</v>
      </c>
      <c r="K45" s="313" t="b">
        <v>1</v>
      </c>
      <c r="L45" s="435" t="s">
        <v>5304</v>
      </c>
      <c r="M45" s="11"/>
      <c r="N45" s="425"/>
      <c r="O45" s="425"/>
      <c r="P45" s="425"/>
      <c r="Q45" s="425"/>
      <c r="R45" s="425"/>
    </row>
    <row r="46">
      <c r="A46" s="430" t="s">
        <v>5262</v>
      </c>
      <c r="B46" s="313" t="b">
        <v>0</v>
      </c>
      <c r="C46" s="313" t="b">
        <v>0</v>
      </c>
      <c r="D46" s="435" t="s">
        <v>2583</v>
      </c>
      <c r="E46" s="11"/>
      <c r="F46" s="425"/>
      <c r="H46" s="425"/>
      <c r="I46" s="430" t="s">
        <v>5262</v>
      </c>
      <c r="J46" s="313" t="b">
        <v>0</v>
      </c>
      <c r="K46" s="313" t="b">
        <v>0</v>
      </c>
      <c r="L46" s="437" t="s">
        <v>5258</v>
      </c>
      <c r="M46" s="11"/>
      <c r="N46" s="425"/>
      <c r="O46" s="425"/>
      <c r="P46" s="425"/>
      <c r="Q46" s="425"/>
      <c r="R46" s="425"/>
    </row>
    <row r="47">
      <c r="A47" s="430" t="s">
        <v>5266</v>
      </c>
      <c r="B47" s="313" t="b">
        <v>0</v>
      </c>
      <c r="C47" s="313" t="b">
        <v>0</v>
      </c>
      <c r="D47" s="427" t="s">
        <v>2558</v>
      </c>
      <c r="E47" s="11"/>
      <c r="F47" s="425"/>
      <c r="H47" s="425"/>
      <c r="I47" s="430" t="s">
        <v>5266</v>
      </c>
      <c r="J47" s="313" t="b">
        <v>1</v>
      </c>
      <c r="K47" s="313" t="b">
        <v>1</v>
      </c>
      <c r="L47" s="435" t="s">
        <v>5302</v>
      </c>
      <c r="M47" s="11"/>
      <c r="N47" s="425"/>
      <c r="O47" s="425"/>
      <c r="P47" s="425"/>
      <c r="Q47" s="425"/>
      <c r="R47" s="425"/>
    </row>
    <row r="48">
      <c r="A48" s="430" t="s">
        <v>5269</v>
      </c>
      <c r="B48" s="313" t="b">
        <v>0</v>
      </c>
      <c r="C48" s="313" t="b">
        <v>0</v>
      </c>
      <c r="D48" s="427" t="s">
        <v>2558</v>
      </c>
      <c r="E48" s="11"/>
      <c r="F48" s="425"/>
      <c r="H48" s="425"/>
      <c r="I48" s="430" t="s">
        <v>5269</v>
      </c>
      <c r="J48" s="313" t="b">
        <v>1</v>
      </c>
      <c r="K48" s="313" t="b">
        <v>1</v>
      </c>
      <c r="L48" s="435" t="s">
        <v>5302</v>
      </c>
      <c r="M48" s="11"/>
      <c r="N48" s="425"/>
      <c r="O48" s="425"/>
      <c r="P48" s="425"/>
      <c r="Q48" s="425"/>
      <c r="R48" s="425"/>
    </row>
    <row r="49">
      <c r="A49" s="430" t="s">
        <v>5273</v>
      </c>
      <c r="B49" s="313" t="b">
        <v>0</v>
      </c>
      <c r="C49" s="313" t="b">
        <v>0</v>
      </c>
      <c r="D49" s="427" t="s">
        <v>2558</v>
      </c>
      <c r="E49" s="20"/>
      <c r="F49" s="425"/>
      <c r="H49" s="425"/>
      <c r="I49" s="430" t="s">
        <v>5273</v>
      </c>
      <c r="J49" s="313" t="b">
        <v>0</v>
      </c>
      <c r="K49" s="313" t="b">
        <v>0</v>
      </c>
      <c r="L49" s="430" t="s">
        <v>2655</v>
      </c>
      <c r="M49" s="20"/>
      <c r="N49" s="425"/>
      <c r="O49" s="425"/>
      <c r="P49" s="425"/>
      <c r="Q49" s="425"/>
      <c r="R49" s="425"/>
    </row>
  </sheetData>
  <mergeCells count="7">
    <mergeCell ref="A1:L1"/>
    <mergeCell ref="A3:I3"/>
    <mergeCell ref="P3:Q3"/>
    <mergeCell ref="A20:I20"/>
    <mergeCell ref="A36:L36"/>
    <mergeCell ref="E38:E49"/>
    <mergeCell ref="M38:M4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29"/>
    <col customWidth="1" min="3" max="3" width="42.29"/>
  </cols>
  <sheetData>
    <row r="1" ht="22.5" customHeight="1">
      <c r="A1" s="438" t="s">
        <v>5305</v>
      </c>
      <c r="B1" s="439" t="s">
        <v>5306</v>
      </c>
      <c r="C1" s="439" t="s">
        <v>5307</v>
      </c>
      <c r="D1" s="439" t="s">
        <v>5308</v>
      </c>
      <c r="E1" s="439" t="s">
        <v>5309</v>
      </c>
      <c r="F1" s="440" t="s">
        <v>5310</v>
      </c>
      <c r="G1" s="441" t="s">
        <v>5311</v>
      </c>
      <c r="H1" s="425"/>
      <c r="I1" s="425"/>
      <c r="J1" s="425"/>
      <c r="K1" s="425"/>
      <c r="L1" s="425"/>
      <c r="M1" s="425"/>
    </row>
    <row r="2" ht="22.5" customHeight="1">
      <c r="A2" s="442">
        <v>45955.42017128472</v>
      </c>
      <c r="B2" s="443" t="s">
        <v>5312</v>
      </c>
      <c r="C2" s="444" t="s">
        <v>5313</v>
      </c>
      <c r="D2" s="445">
        <v>8.1511290608E10</v>
      </c>
      <c r="E2" s="443" t="s">
        <v>5314</v>
      </c>
      <c r="F2" s="446" t="s">
        <v>5295</v>
      </c>
      <c r="G2" s="447">
        <v>1.0</v>
      </c>
      <c r="H2" s="425"/>
      <c r="I2" s="425"/>
      <c r="J2" s="425"/>
      <c r="K2" s="425"/>
      <c r="L2" s="425"/>
      <c r="M2" s="425"/>
    </row>
    <row r="3" ht="22.5" customHeight="1">
      <c r="A3" s="448">
        <v>45955.441799016204</v>
      </c>
      <c r="B3" s="449" t="s">
        <v>5312</v>
      </c>
      <c r="C3" s="450" t="s">
        <v>2494</v>
      </c>
      <c r="D3" s="451" t="s">
        <v>5315</v>
      </c>
      <c r="E3" s="449" t="s">
        <v>5240</v>
      </c>
      <c r="F3" s="452" t="s">
        <v>2495</v>
      </c>
      <c r="G3" s="447">
        <v>1.0</v>
      </c>
      <c r="H3" s="425"/>
      <c r="I3" s="425"/>
      <c r="J3" s="425"/>
      <c r="K3" s="425"/>
      <c r="L3" s="425"/>
      <c r="M3" s="425"/>
    </row>
    <row r="4" ht="22.5" customHeight="1">
      <c r="A4" s="442">
        <v>45954.681228078705</v>
      </c>
      <c r="B4" s="443" t="s">
        <v>5316</v>
      </c>
      <c r="C4" s="453" t="s">
        <v>1777</v>
      </c>
      <c r="D4" s="454" t="s">
        <v>5317</v>
      </c>
      <c r="E4" s="443" t="s">
        <v>4428</v>
      </c>
      <c r="F4" s="446" t="s">
        <v>2997</v>
      </c>
      <c r="G4" s="447">
        <v>1.0</v>
      </c>
      <c r="H4" s="425"/>
      <c r="I4" s="425"/>
      <c r="J4" s="425"/>
      <c r="K4" s="425"/>
      <c r="L4" s="425"/>
      <c r="M4" s="425"/>
    </row>
    <row r="5" ht="22.5" customHeight="1">
      <c r="A5" s="448">
        <v>45955.434733518516</v>
      </c>
      <c r="B5" s="449" t="s">
        <v>5312</v>
      </c>
      <c r="C5" s="450" t="s">
        <v>5318</v>
      </c>
      <c r="D5" s="451" t="s">
        <v>5319</v>
      </c>
      <c r="E5" s="449" t="s">
        <v>5320</v>
      </c>
      <c r="F5" s="452" t="s">
        <v>2558</v>
      </c>
      <c r="G5" s="447">
        <v>1.0</v>
      </c>
      <c r="H5" s="425"/>
      <c r="I5" s="425"/>
      <c r="J5" s="425"/>
      <c r="K5" s="425"/>
      <c r="L5" s="425"/>
      <c r="M5" s="425"/>
    </row>
    <row r="6" ht="22.5" customHeight="1">
      <c r="A6" s="455">
        <v>45955.43223695602</v>
      </c>
      <c r="B6" s="456" t="s">
        <v>5312</v>
      </c>
      <c r="C6" s="457" t="s">
        <v>5321</v>
      </c>
      <c r="D6" s="458" t="s">
        <v>5322</v>
      </c>
      <c r="E6" s="456" t="s">
        <v>5323</v>
      </c>
      <c r="F6" s="459" t="s">
        <v>2495</v>
      </c>
      <c r="G6" s="447">
        <v>1.0</v>
      </c>
      <c r="H6" s="425"/>
      <c r="I6" s="425"/>
      <c r="J6" s="425"/>
      <c r="K6" s="425"/>
      <c r="L6" s="425"/>
      <c r="M6" s="425"/>
    </row>
    <row r="7" ht="22.5" customHeight="1">
      <c r="A7" s="448">
        <v>45955.44325694445</v>
      </c>
      <c r="B7" s="449" t="s">
        <v>5316</v>
      </c>
      <c r="C7" s="450" t="s">
        <v>5324</v>
      </c>
      <c r="D7" s="451" t="s">
        <v>5325</v>
      </c>
      <c r="E7" s="449" t="s">
        <v>5326</v>
      </c>
      <c r="F7" s="452" t="s">
        <v>4565</v>
      </c>
      <c r="G7" s="447">
        <v>1.0</v>
      </c>
      <c r="H7" s="425"/>
      <c r="I7" s="425"/>
      <c r="J7" s="425"/>
      <c r="K7" s="425"/>
      <c r="L7" s="425"/>
      <c r="M7" s="425"/>
    </row>
    <row r="8" ht="22.5" customHeight="1">
      <c r="A8" s="455">
        <v>45955.3385225463</v>
      </c>
      <c r="B8" s="456" t="s">
        <v>5316</v>
      </c>
      <c r="C8" s="457" t="s">
        <v>1855</v>
      </c>
      <c r="D8" s="458" t="s">
        <v>5327</v>
      </c>
      <c r="E8" s="456" t="s">
        <v>4439</v>
      </c>
      <c r="F8" s="459" t="s">
        <v>5298</v>
      </c>
      <c r="G8" s="447">
        <v>1.0</v>
      </c>
      <c r="H8" s="425"/>
      <c r="I8" s="425"/>
      <c r="J8" s="425"/>
      <c r="K8" s="425"/>
      <c r="L8" s="425"/>
      <c r="M8" s="425"/>
    </row>
    <row r="9" ht="22.5" customHeight="1">
      <c r="A9" s="448">
        <v>45955.40926789352</v>
      </c>
      <c r="B9" s="449" t="s">
        <v>5312</v>
      </c>
      <c r="C9" s="460" t="s">
        <v>1933</v>
      </c>
      <c r="D9" s="451" t="s">
        <v>5328</v>
      </c>
      <c r="E9" s="449" t="s">
        <v>4395</v>
      </c>
      <c r="F9" s="452" t="s">
        <v>5288</v>
      </c>
      <c r="G9" s="447">
        <v>1.0</v>
      </c>
      <c r="H9" s="425"/>
      <c r="I9" s="425"/>
      <c r="J9" s="425"/>
      <c r="K9" s="425"/>
      <c r="L9" s="425"/>
      <c r="M9" s="425"/>
    </row>
    <row r="10" ht="22.5" customHeight="1">
      <c r="A10" s="442">
        <v>45955.427701203706</v>
      </c>
      <c r="B10" s="443" t="s">
        <v>5316</v>
      </c>
      <c r="C10" s="444" t="s">
        <v>1857</v>
      </c>
      <c r="D10" s="454" t="s">
        <v>5329</v>
      </c>
      <c r="E10" s="443" t="s">
        <v>5330</v>
      </c>
      <c r="F10" s="446" t="s">
        <v>5241</v>
      </c>
      <c r="G10" s="447">
        <v>1.0</v>
      </c>
      <c r="H10" s="425"/>
      <c r="I10" s="425"/>
      <c r="J10" s="425"/>
      <c r="K10" s="425"/>
      <c r="L10" s="425"/>
      <c r="M10" s="425"/>
    </row>
    <row r="11" ht="22.5" customHeight="1">
      <c r="A11" s="448">
        <v>45955.46721164352</v>
      </c>
      <c r="B11" s="449" t="s">
        <v>5316</v>
      </c>
      <c r="C11" s="450" t="s">
        <v>2263</v>
      </c>
      <c r="D11" s="451" t="s">
        <v>5331</v>
      </c>
      <c r="E11" s="449" t="s">
        <v>4462</v>
      </c>
      <c r="F11" s="452" t="s">
        <v>4938</v>
      </c>
      <c r="G11" s="447">
        <v>1.0</v>
      </c>
      <c r="H11" s="425"/>
      <c r="I11" s="425"/>
      <c r="J11" s="425"/>
      <c r="K11" s="425"/>
      <c r="L11" s="425"/>
      <c r="M11" s="425"/>
    </row>
    <row r="12" ht="22.5" customHeight="1">
      <c r="A12" s="442">
        <v>45955.43358466435</v>
      </c>
      <c r="B12" s="443" t="s">
        <v>5316</v>
      </c>
      <c r="C12" s="453" t="s">
        <v>2496</v>
      </c>
      <c r="D12" s="454" t="s">
        <v>5332</v>
      </c>
      <c r="E12" s="443" t="s">
        <v>5333</v>
      </c>
      <c r="F12" s="446" t="s">
        <v>2497</v>
      </c>
      <c r="G12" s="447">
        <v>1.0</v>
      </c>
      <c r="H12" s="425"/>
      <c r="I12" s="425"/>
      <c r="J12" s="425"/>
      <c r="K12" s="425"/>
      <c r="L12" s="425"/>
      <c r="M12" s="425"/>
    </row>
    <row r="13" ht="22.5" customHeight="1">
      <c r="A13" s="461">
        <v>45955.35531341435</v>
      </c>
      <c r="B13" s="462" t="s">
        <v>5316</v>
      </c>
      <c r="C13" s="463" t="s">
        <v>2498</v>
      </c>
      <c r="D13" s="464" t="s">
        <v>5334</v>
      </c>
      <c r="E13" s="462" t="s">
        <v>5240</v>
      </c>
      <c r="F13" s="465" t="s">
        <v>2497</v>
      </c>
      <c r="G13" s="447">
        <v>1.0</v>
      </c>
      <c r="H13" s="425"/>
      <c r="I13" s="425"/>
      <c r="J13" s="425"/>
      <c r="K13" s="425"/>
      <c r="L13" s="425"/>
      <c r="M13" s="425"/>
    </row>
    <row r="14" ht="22.5" customHeight="1">
      <c r="A14" s="442">
        <v>45954.59580635416</v>
      </c>
      <c r="B14" s="443" t="s">
        <v>5316</v>
      </c>
      <c r="C14" s="444" t="s">
        <v>2707</v>
      </c>
      <c r="D14" s="454" t="s">
        <v>5335</v>
      </c>
      <c r="E14" s="443" t="s">
        <v>5336</v>
      </c>
      <c r="F14" s="446" t="s">
        <v>5251</v>
      </c>
      <c r="G14" s="447">
        <v>1.0</v>
      </c>
      <c r="H14" s="425"/>
      <c r="I14" s="425"/>
      <c r="J14" s="425"/>
      <c r="K14" s="425"/>
      <c r="L14" s="425"/>
      <c r="M14" s="425"/>
    </row>
    <row r="15" ht="22.5" customHeight="1">
      <c r="A15" s="448">
        <v>45954.77667579861</v>
      </c>
      <c r="B15" s="449" t="s">
        <v>5316</v>
      </c>
      <c r="C15" s="460" t="s">
        <v>1861</v>
      </c>
      <c r="D15" s="451" t="s">
        <v>5337</v>
      </c>
      <c r="E15" s="449" t="s">
        <v>5330</v>
      </c>
      <c r="F15" s="452" t="s">
        <v>4634</v>
      </c>
      <c r="G15" s="447">
        <v>1.0</v>
      </c>
      <c r="H15" s="425"/>
      <c r="I15" s="425"/>
      <c r="J15" s="425"/>
      <c r="K15" s="425"/>
      <c r="L15" s="425"/>
      <c r="M15" s="425"/>
    </row>
    <row r="16" ht="22.5" customHeight="1">
      <c r="A16" s="455">
        <v>45955.42342688657</v>
      </c>
      <c r="B16" s="456" t="s">
        <v>5316</v>
      </c>
      <c r="C16" s="457" t="s">
        <v>1939</v>
      </c>
      <c r="D16" s="458" t="s">
        <v>5338</v>
      </c>
      <c r="E16" s="456" t="s">
        <v>4395</v>
      </c>
      <c r="F16" s="459" t="s">
        <v>4938</v>
      </c>
      <c r="G16" s="447">
        <v>1.0</v>
      </c>
      <c r="H16" s="425"/>
      <c r="I16" s="425"/>
      <c r="J16" s="425"/>
      <c r="K16" s="425"/>
      <c r="L16" s="425"/>
      <c r="M16" s="425"/>
    </row>
    <row r="17" ht="22.5" customHeight="1">
      <c r="A17" s="461">
        <v>45955.419950034724</v>
      </c>
      <c r="B17" s="462" t="s">
        <v>5312</v>
      </c>
      <c r="C17" s="466" t="s">
        <v>5339</v>
      </c>
      <c r="D17" s="464" t="s">
        <v>5340</v>
      </c>
      <c r="E17" s="462" t="s">
        <v>5341</v>
      </c>
      <c r="F17" s="465" t="s">
        <v>5295</v>
      </c>
      <c r="G17" s="447">
        <v>1.0</v>
      </c>
      <c r="H17" s="425"/>
      <c r="I17" s="425"/>
      <c r="J17" s="425"/>
      <c r="K17" s="425"/>
      <c r="L17" s="425"/>
      <c r="M17" s="425"/>
    </row>
    <row r="18" ht="22.5" customHeight="1">
      <c r="A18" s="442">
        <v>45955.45283196759</v>
      </c>
      <c r="B18" s="443" t="s">
        <v>5316</v>
      </c>
      <c r="C18" s="444" t="s">
        <v>2005</v>
      </c>
      <c r="D18" s="454" t="s">
        <v>5342</v>
      </c>
      <c r="E18" s="443" t="s">
        <v>4404</v>
      </c>
      <c r="F18" s="446" t="s">
        <v>4634</v>
      </c>
      <c r="G18" s="447">
        <v>1.0</v>
      </c>
      <c r="H18" s="425"/>
      <c r="I18" s="425"/>
      <c r="J18" s="425"/>
      <c r="K18" s="425"/>
      <c r="L18" s="425"/>
      <c r="M18" s="425"/>
    </row>
    <row r="19" ht="22.5" customHeight="1">
      <c r="A19" s="461">
        <v>45954.85926336805</v>
      </c>
      <c r="B19" s="462" t="s">
        <v>5312</v>
      </c>
      <c r="C19" s="466" t="s">
        <v>2229</v>
      </c>
      <c r="D19" s="464" t="s">
        <v>5343</v>
      </c>
      <c r="E19" s="462" t="s">
        <v>5344</v>
      </c>
      <c r="F19" s="465" t="s">
        <v>4481</v>
      </c>
      <c r="G19" s="447">
        <v>1.0</v>
      </c>
      <c r="H19" s="425"/>
      <c r="I19" s="425"/>
      <c r="J19" s="425"/>
      <c r="K19" s="425"/>
      <c r="L19" s="425"/>
      <c r="M19" s="425"/>
    </row>
    <row r="20" ht="22.5" customHeight="1">
      <c r="A20" s="442">
        <v>45955.41631190972</v>
      </c>
      <c r="B20" s="443" t="s">
        <v>5316</v>
      </c>
      <c r="C20" s="453" t="s">
        <v>2343</v>
      </c>
      <c r="D20" s="454" t="s">
        <v>5345</v>
      </c>
      <c r="E20" s="443" t="s">
        <v>4410</v>
      </c>
      <c r="F20" s="446" t="s">
        <v>4559</v>
      </c>
      <c r="G20" s="447">
        <v>1.0</v>
      </c>
      <c r="H20" s="425"/>
      <c r="I20" s="425"/>
      <c r="J20" s="425"/>
      <c r="K20" s="425"/>
      <c r="L20" s="425"/>
      <c r="M20" s="425"/>
    </row>
    <row r="21" ht="22.5" customHeight="1">
      <c r="A21" s="448">
        <v>45954.71937387731</v>
      </c>
      <c r="B21" s="449" t="s">
        <v>5316</v>
      </c>
      <c r="C21" s="450" t="s">
        <v>2501</v>
      </c>
      <c r="D21" s="451" t="s">
        <v>5346</v>
      </c>
      <c r="E21" s="449" t="s">
        <v>5240</v>
      </c>
      <c r="F21" s="452" t="s">
        <v>2497</v>
      </c>
      <c r="G21" s="447">
        <v>1.0</v>
      </c>
      <c r="H21" s="425"/>
      <c r="I21" s="425"/>
      <c r="J21" s="425"/>
      <c r="K21" s="425"/>
      <c r="L21" s="425"/>
      <c r="M21" s="425"/>
    </row>
    <row r="22" ht="22.5" customHeight="1">
      <c r="A22" s="442">
        <v>45954.74724271991</v>
      </c>
      <c r="B22" s="443" t="s">
        <v>5316</v>
      </c>
      <c r="C22" s="453" t="s">
        <v>2165</v>
      </c>
      <c r="D22" s="454" t="s">
        <v>5347</v>
      </c>
      <c r="E22" s="443" t="s">
        <v>4401</v>
      </c>
      <c r="F22" s="446" t="s">
        <v>4484</v>
      </c>
      <c r="G22" s="447">
        <v>1.0</v>
      </c>
      <c r="H22" s="425"/>
      <c r="I22" s="425"/>
      <c r="J22" s="425"/>
      <c r="K22" s="425"/>
      <c r="L22" s="425"/>
      <c r="M22" s="425"/>
    </row>
    <row r="23" ht="22.5" customHeight="1">
      <c r="A23" s="461">
        <v>45955.35195931713</v>
      </c>
      <c r="B23" s="462" t="s">
        <v>5316</v>
      </c>
      <c r="C23" s="463" t="s">
        <v>2167</v>
      </c>
      <c r="D23" s="464" t="s">
        <v>5348</v>
      </c>
      <c r="E23" s="462" t="s">
        <v>4401</v>
      </c>
      <c r="F23" s="465" t="s">
        <v>4484</v>
      </c>
      <c r="G23" s="447">
        <v>1.0</v>
      </c>
      <c r="H23" s="425"/>
      <c r="I23" s="425"/>
      <c r="J23" s="425"/>
      <c r="K23" s="425"/>
      <c r="L23" s="425"/>
      <c r="M23" s="425"/>
    </row>
    <row r="24" ht="22.5" customHeight="1">
      <c r="A24" s="442">
        <v>45954.76810986111</v>
      </c>
      <c r="B24" s="443" t="s">
        <v>5316</v>
      </c>
      <c r="C24" s="453" t="s">
        <v>2503</v>
      </c>
      <c r="D24" s="454" t="s">
        <v>5349</v>
      </c>
      <c r="E24" s="443" t="s">
        <v>5350</v>
      </c>
      <c r="F24" s="446" t="s">
        <v>2497</v>
      </c>
      <c r="G24" s="447">
        <v>1.0</v>
      </c>
      <c r="H24" s="425"/>
      <c r="I24" s="425"/>
      <c r="J24" s="425"/>
      <c r="K24" s="425"/>
      <c r="L24" s="425"/>
      <c r="M24" s="425"/>
    </row>
    <row r="25" ht="22.5" customHeight="1">
      <c r="A25" s="461">
        <v>45955.504648877315</v>
      </c>
      <c r="B25" s="462" t="s">
        <v>5316</v>
      </c>
      <c r="C25" s="463" t="s">
        <v>2504</v>
      </c>
      <c r="D25" s="464" t="s">
        <v>5351</v>
      </c>
      <c r="E25" s="462" t="s">
        <v>5240</v>
      </c>
      <c r="F25" s="465" t="s">
        <v>2497</v>
      </c>
      <c r="G25" s="447">
        <v>1.0</v>
      </c>
      <c r="H25" s="425"/>
      <c r="I25" s="425"/>
      <c r="J25" s="425"/>
      <c r="K25" s="425"/>
      <c r="L25" s="425"/>
      <c r="M25" s="425"/>
    </row>
    <row r="26" ht="22.5" customHeight="1">
      <c r="A26" s="455">
        <v>45954.693490879625</v>
      </c>
      <c r="B26" s="456" t="s">
        <v>5316</v>
      </c>
      <c r="C26" s="467" t="s">
        <v>2169</v>
      </c>
      <c r="D26" s="458" t="s">
        <v>5352</v>
      </c>
      <c r="E26" s="456" t="s">
        <v>5353</v>
      </c>
      <c r="F26" s="459" t="s">
        <v>5298</v>
      </c>
      <c r="G26" s="447">
        <v>1.0</v>
      </c>
      <c r="H26" s="425"/>
      <c r="I26" s="425"/>
      <c r="J26" s="425"/>
      <c r="K26" s="425"/>
      <c r="L26" s="425"/>
      <c r="M26" s="425"/>
    </row>
    <row r="27" ht="22.5" customHeight="1">
      <c r="A27" s="448">
        <v>45955.423385636575</v>
      </c>
      <c r="B27" s="449" t="s">
        <v>5316</v>
      </c>
      <c r="C27" s="450" t="s">
        <v>3005</v>
      </c>
      <c r="D27" s="451" t="s">
        <v>5354</v>
      </c>
      <c r="E27" s="449" t="s">
        <v>5355</v>
      </c>
      <c r="F27" s="452" t="s">
        <v>2997</v>
      </c>
      <c r="G27" s="447">
        <v>1.0</v>
      </c>
      <c r="H27" s="425"/>
      <c r="I27" s="425"/>
      <c r="J27" s="425"/>
      <c r="K27" s="425"/>
      <c r="L27" s="425"/>
      <c r="M27" s="425"/>
    </row>
    <row r="28" ht="22.5" customHeight="1">
      <c r="A28" s="442">
        <v>45954.953147962966</v>
      </c>
      <c r="B28" s="443" t="s">
        <v>5312</v>
      </c>
      <c r="C28" s="453" t="s">
        <v>2277</v>
      </c>
      <c r="D28" s="454" t="s">
        <v>5356</v>
      </c>
      <c r="E28" s="443" t="s">
        <v>5357</v>
      </c>
      <c r="F28" s="446" t="s">
        <v>5162</v>
      </c>
      <c r="G28" s="447">
        <v>1.0</v>
      </c>
      <c r="H28" s="425"/>
      <c r="I28" s="425"/>
      <c r="J28" s="425"/>
      <c r="K28" s="425"/>
      <c r="L28" s="425"/>
      <c r="M28" s="425"/>
    </row>
    <row r="29" ht="22.5" customHeight="1">
      <c r="A29" s="448">
        <v>45955.428909305556</v>
      </c>
      <c r="B29" s="449" t="s">
        <v>5312</v>
      </c>
      <c r="C29" s="450" t="s">
        <v>2854</v>
      </c>
      <c r="D29" s="468">
        <v>8.5880163225E10</v>
      </c>
      <c r="E29" s="449" t="s">
        <v>5260</v>
      </c>
      <c r="F29" s="452" t="s">
        <v>2855</v>
      </c>
      <c r="G29" s="447">
        <v>1.0</v>
      </c>
      <c r="H29" s="425"/>
      <c r="I29" s="425"/>
      <c r="J29" s="425"/>
      <c r="K29" s="425"/>
      <c r="L29" s="425"/>
      <c r="M29" s="425"/>
    </row>
    <row r="30" ht="22.5" customHeight="1">
      <c r="A30" s="442">
        <v>45954.69624679398</v>
      </c>
      <c r="B30" s="443" t="s">
        <v>5316</v>
      </c>
      <c r="C30" s="444" t="s">
        <v>2175</v>
      </c>
      <c r="D30" s="454" t="s">
        <v>5358</v>
      </c>
      <c r="E30" s="443" t="s">
        <v>4401</v>
      </c>
      <c r="F30" s="446" t="s">
        <v>5286</v>
      </c>
      <c r="G30" s="447">
        <v>1.0</v>
      </c>
      <c r="H30" s="425"/>
      <c r="I30" s="425"/>
      <c r="J30" s="425"/>
      <c r="K30" s="425"/>
      <c r="L30" s="425"/>
      <c r="M30" s="425"/>
    </row>
    <row r="31" ht="22.5" customHeight="1">
      <c r="A31" s="448">
        <v>45955.42384163194</v>
      </c>
      <c r="B31" s="449" t="s">
        <v>5316</v>
      </c>
      <c r="C31" s="460" t="s">
        <v>5173</v>
      </c>
      <c r="D31" s="451" t="s">
        <v>5359</v>
      </c>
      <c r="E31" s="449" t="s">
        <v>4395</v>
      </c>
      <c r="F31" s="452" t="s">
        <v>5299</v>
      </c>
      <c r="G31" s="447">
        <v>1.0</v>
      </c>
      <c r="H31" s="425"/>
      <c r="I31" s="425"/>
      <c r="J31" s="425"/>
      <c r="K31" s="425"/>
      <c r="L31" s="425"/>
      <c r="M31" s="425"/>
    </row>
    <row r="32" ht="22.5" customHeight="1">
      <c r="A32" s="455">
        <v>45955.27147547454</v>
      </c>
      <c r="B32" s="456" t="s">
        <v>5316</v>
      </c>
      <c r="C32" s="467" t="s">
        <v>2095</v>
      </c>
      <c r="D32" s="458" t="s">
        <v>5360</v>
      </c>
      <c r="E32" s="456" t="s">
        <v>4417</v>
      </c>
      <c r="F32" s="459" t="s">
        <v>4484</v>
      </c>
      <c r="G32" s="447">
        <v>1.0</v>
      </c>
      <c r="H32" s="425"/>
      <c r="I32" s="425"/>
      <c r="J32" s="425"/>
      <c r="K32" s="425"/>
      <c r="L32" s="425"/>
      <c r="M32" s="425"/>
    </row>
    <row r="33" ht="22.5" customHeight="1">
      <c r="A33" s="448">
        <v>45955.45034631944</v>
      </c>
      <c r="B33" s="449" t="s">
        <v>5312</v>
      </c>
      <c r="C33" s="450" t="s">
        <v>5361</v>
      </c>
      <c r="D33" s="451" t="s">
        <v>5362</v>
      </c>
      <c r="E33" s="449" t="s">
        <v>5363</v>
      </c>
      <c r="F33" s="452" t="s">
        <v>2583</v>
      </c>
      <c r="G33" s="447">
        <v>1.0</v>
      </c>
      <c r="H33" s="425"/>
      <c r="I33" s="425"/>
      <c r="J33" s="425"/>
      <c r="K33" s="425"/>
      <c r="L33" s="425"/>
      <c r="M33" s="425"/>
    </row>
    <row r="34" ht="22.5" customHeight="1">
      <c r="A34" s="442">
        <v>45955.45028680556</v>
      </c>
      <c r="B34" s="443" t="s">
        <v>5312</v>
      </c>
      <c r="C34" s="444" t="s">
        <v>5364</v>
      </c>
      <c r="D34" s="454" t="s">
        <v>5365</v>
      </c>
      <c r="E34" s="443" t="s">
        <v>5366</v>
      </c>
      <c r="F34" s="446" t="s">
        <v>2583</v>
      </c>
      <c r="G34" s="447">
        <v>1.0</v>
      </c>
      <c r="H34" s="425"/>
      <c r="I34" s="425"/>
      <c r="J34" s="425"/>
      <c r="K34" s="425"/>
      <c r="L34" s="425"/>
      <c r="M34" s="425"/>
    </row>
    <row r="35" ht="22.5" customHeight="1">
      <c r="A35" s="448">
        <v>45955.52531246528</v>
      </c>
      <c r="B35" s="449" t="s">
        <v>5316</v>
      </c>
      <c r="C35" s="460" t="s">
        <v>1867</v>
      </c>
      <c r="D35" s="451" t="s">
        <v>5367</v>
      </c>
      <c r="E35" s="449" t="s">
        <v>4439</v>
      </c>
      <c r="F35" s="452" t="s">
        <v>4484</v>
      </c>
      <c r="G35" s="447">
        <v>1.0</v>
      </c>
      <c r="H35" s="425"/>
      <c r="I35" s="425"/>
      <c r="J35" s="425"/>
      <c r="K35" s="425"/>
      <c r="L35" s="425"/>
      <c r="M35" s="425"/>
    </row>
    <row r="36" ht="22.5" customHeight="1">
      <c r="A36" s="455">
        <v>45955.3313171412</v>
      </c>
      <c r="B36" s="456" t="s">
        <v>5312</v>
      </c>
      <c r="C36" s="457" t="s">
        <v>2232</v>
      </c>
      <c r="D36" s="458" t="s">
        <v>5368</v>
      </c>
      <c r="E36" s="456" t="s">
        <v>5369</v>
      </c>
      <c r="F36" s="459" t="s">
        <v>5370</v>
      </c>
      <c r="G36" s="447">
        <v>1.0</v>
      </c>
      <c r="H36" s="425"/>
      <c r="I36" s="425"/>
      <c r="J36" s="425"/>
      <c r="K36" s="425"/>
      <c r="L36" s="425"/>
      <c r="M36" s="425"/>
    </row>
    <row r="37" ht="22.5" customHeight="1">
      <c r="A37" s="461">
        <v>45955.38341903935</v>
      </c>
      <c r="B37" s="462" t="s">
        <v>5312</v>
      </c>
      <c r="C37" s="463" t="s">
        <v>1785</v>
      </c>
      <c r="D37" s="464" t="s">
        <v>5371</v>
      </c>
      <c r="E37" s="462" t="s">
        <v>5372</v>
      </c>
      <c r="F37" s="465" t="s">
        <v>4481</v>
      </c>
      <c r="G37" s="447">
        <v>1.0</v>
      </c>
      <c r="H37" s="425"/>
      <c r="I37" s="425"/>
      <c r="J37" s="425"/>
      <c r="K37" s="425"/>
      <c r="L37" s="425"/>
      <c r="M37" s="425"/>
    </row>
    <row r="38" ht="22.5" customHeight="1">
      <c r="A38" s="455">
        <v>45956.5253125</v>
      </c>
      <c r="B38" s="469" t="s">
        <v>5316</v>
      </c>
      <c r="C38" s="457" t="s">
        <v>2427</v>
      </c>
      <c r="D38" s="469">
        <v>8.8213068513E10</v>
      </c>
      <c r="E38" s="469" t="s">
        <v>4420</v>
      </c>
      <c r="F38" s="470" t="s">
        <v>4565</v>
      </c>
      <c r="G38" s="447">
        <v>1.0</v>
      </c>
      <c r="H38" s="425"/>
      <c r="I38" s="425"/>
      <c r="J38" s="425"/>
      <c r="K38" s="425"/>
      <c r="L38" s="425"/>
      <c r="M38" s="425"/>
    </row>
    <row r="39" ht="22.5" customHeight="1">
      <c r="A39" s="448">
        <v>45955.460068217595</v>
      </c>
      <c r="B39" s="449" t="s">
        <v>5316</v>
      </c>
      <c r="C39" s="460" t="s">
        <v>2429</v>
      </c>
      <c r="D39" s="451" t="s">
        <v>5373</v>
      </c>
      <c r="E39" s="449" t="s">
        <v>4420</v>
      </c>
      <c r="F39" s="452" t="s">
        <v>4559</v>
      </c>
      <c r="G39" s="447">
        <v>1.0</v>
      </c>
      <c r="H39" s="425"/>
      <c r="I39" s="425"/>
      <c r="J39" s="425"/>
      <c r="K39" s="425"/>
      <c r="L39" s="425"/>
      <c r="M39" s="425"/>
    </row>
    <row r="40" ht="22.5" customHeight="1">
      <c r="A40" s="455">
        <v>45954.595237222224</v>
      </c>
      <c r="B40" s="456" t="s">
        <v>5316</v>
      </c>
      <c r="C40" s="457" t="s">
        <v>2713</v>
      </c>
      <c r="D40" s="458" t="s">
        <v>5374</v>
      </c>
      <c r="E40" s="456" t="s">
        <v>5249</v>
      </c>
      <c r="F40" s="459" t="s">
        <v>5251</v>
      </c>
      <c r="G40" s="447">
        <v>1.0</v>
      </c>
      <c r="H40" s="425"/>
      <c r="I40" s="425"/>
      <c r="J40" s="425"/>
      <c r="K40" s="425"/>
      <c r="L40" s="425"/>
      <c r="M40" s="425"/>
    </row>
    <row r="41" ht="22.5" customHeight="1">
      <c r="A41" s="461">
        <v>45955.4415443287</v>
      </c>
      <c r="B41" s="462" t="s">
        <v>5312</v>
      </c>
      <c r="C41" s="463" t="s">
        <v>2511</v>
      </c>
      <c r="D41" s="464" t="s">
        <v>5375</v>
      </c>
      <c r="E41" s="462" t="s">
        <v>5240</v>
      </c>
      <c r="F41" s="465" t="s">
        <v>2495</v>
      </c>
      <c r="G41" s="447">
        <v>1.0</v>
      </c>
      <c r="H41" s="425"/>
      <c r="I41" s="425"/>
      <c r="J41" s="425"/>
      <c r="K41" s="425"/>
      <c r="L41" s="425"/>
      <c r="M41" s="425"/>
    </row>
    <row r="42" ht="22.5" customHeight="1">
      <c r="A42" s="455">
        <v>45955.43348620371</v>
      </c>
      <c r="B42" s="456" t="s">
        <v>5316</v>
      </c>
      <c r="C42" s="457" t="s">
        <v>2512</v>
      </c>
      <c r="D42" s="458" t="s">
        <v>5376</v>
      </c>
      <c r="E42" s="456" t="s">
        <v>5240</v>
      </c>
      <c r="F42" s="459" t="s">
        <v>2497</v>
      </c>
      <c r="G42" s="447">
        <v>1.0</v>
      </c>
      <c r="H42" s="425"/>
      <c r="I42" s="425"/>
      <c r="J42" s="425"/>
      <c r="K42" s="425"/>
      <c r="L42" s="425"/>
      <c r="M42" s="425"/>
    </row>
    <row r="43" ht="22.5" customHeight="1">
      <c r="A43" s="448">
        <v>45955.429943449075</v>
      </c>
      <c r="B43" s="449" t="s">
        <v>5316</v>
      </c>
      <c r="C43" s="460" t="s">
        <v>2097</v>
      </c>
      <c r="D43" s="451" t="s">
        <v>5377</v>
      </c>
      <c r="E43" s="449" t="s">
        <v>4417</v>
      </c>
      <c r="F43" s="452" t="s">
        <v>4634</v>
      </c>
      <c r="G43" s="447">
        <v>1.0</v>
      </c>
      <c r="H43" s="425"/>
      <c r="I43" s="425"/>
      <c r="J43" s="425"/>
      <c r="K43" s="425"/>
      <c r="L43" s="425"/>
      <c r="M43" s="425"/>
    </row>
    <row r="44" ht="22.5" customHeight="1">
      <c r="A44" s="442">
        <v>45954.77617434028</v>
      </c>
      <c r="B44" s="443" t="s">
        <v>5316</v>
      </c>
      <c r="C44" s="453" t="s">
        <v>2025</v>
      </c>
      <c r="D44" s="454" t="s">
        <v>5378</v>
      </c>
      <c r="E44" s="443" t="s">
        <v>5379</v>
      </c>
      <c r="F44" s="446" t="s">
        <v>4394</v>
      </c>
      <c r="G44" s="447">
        <v>1.0</v>
      </c>
      <c r="H44" s="425"/>
      <c r="I44" s="425"/>
      <c r="J44" s="425"/>
      <c r="K44" s="425"/>
      <c r="L44" s="425"/>
      <c r="M44" s="425"/>
    </row>
    <row r="45" ht="22.5" customHeight="1">
      <c r="A45" s="461">
        <v>45954.83594878472</v>
      </c>
      <c r="B45" s="462" t="s">
        <v>5316</v>
      </c>
      <c r="C45" s="466" t="s">
        <v>2355</v>
      </c>
      <c r="D45" s="464" t="s">
        <v>5380</v>
      </c>
      <c r="E45" s="462" t="s">
        <v>5381</v>
      </c>
      <c r="F45" s="465" t="s">
        <v>2997</v>
      </c>
      <c r="G45" s="447">
        <v>1.0</v>
      </c>
      <c r="H45" s="425"/>
      <c r="I45" s="425"/>
      <c r="J45" s="425"/>
      <c r="K45" s="425"/>
      <c r="L45" s="425"/>
      <c r="M45" s="425"/>
    </row>
    <row r="46" ht="22.5" customHeight="1">
      <c r="A46" s="455">
        <v>45955.35378895834</v>
      </c>
      <c r="B46" s="456" t="s">
        <v>5316</v>
      </c>
      <c r="C46" s="467" t="s">
        <v>1869</v>
      </c>
      <c r="D46" s="458" t="s">
        <v>5382</v>
      </c>
      <c r="E46" s="456" t="s">
        <v>5330</v>
      </c>
      <c r="F46" s="459" t="s">
        <v>4484</v>
      </c>
      <c r="G46" s="447">
        <v>1.0</v>
      </c>
      <c r="H46" s="425"/>
      <c r="I46" s="425"/>
      <c r="J46" s="425"/>
      <c r="K46" s="425"/>
      <c r="L46" s="425"/>
      <c r="M46" s="425"/>
    </row>
    <row r="47" ht="22.5" customHeight="1">
      <c r="A47" s="448">
        <v>45955.42098722223</v>
      </c>
      <c r="B47" s="449" t="s">
        <v>5312</v>
      </c>
      <c r="C47" s="450" t="s">
        <v>2513</v>
      </c>
      <c r="D47" s="451" t="s">
        <v>5383</v>
      </c>
      <c r="E47" s="449" t="s">
        <v>5240</v>
      </c>
      <c r="F47" s="452" t="s">
        <v>2495</v>
      </c>
      <c r="G47" s="447">
        <v>1.0</v>
      </c>
      <c r="H47" s="425"/>
      <c r="I47" s="425"/>
      <c r="J47" s="425"/>
      <c r="K47" s="425"/>
      <c r="L47" s="425"/>
      <c r="M47" s="425"/>
    </row>
    <row r="48" ht="22.5" customHeight="1">
      <c r="A48" s="455">
        <v>45954.71592837963</v>
      </c>
      <c r="B48" s="456" t="s">
        <v>5316</v>
      </c>
      <c r="C48" s="457" t="s">
        <v>1873</v>
      </c>
      <c r="D48" s="458" t="s">
        <v>5384</v>
      </c>
      <c r="E48" s="456" t="s">
        <v>5385</v>
      </c>
      <c r="F48" s="459" t="s">
        <v>4565</v>
      </c>
      <c r="G48" s="447">
        <v>1.0</v>
      </c>
      <c r="H48" s="425"/>
      <c r="I48" s="425"/>
      <c r="J48" s="425"/>
      <c r="K48" s="425"/>
      <c r="L48" s="425"/>
      <c r="M48" s="425"/>
    </row>
    <row r="49" ht="22.5" customHeight="1">
      <c r="A49" s="448">
        <v>45955.43010881945</v>
      </c>
      <c r="B49" s="449" t="s">
        <v>5312</v>
      </c>
      <c r="C49" s="450" t="s">
        <v>2861</v>
      </c>
      <c r="D49" s="451" t="s">
        <v>5386</v>
      </c>
      <c r="E49" s="449" t="s">
        <v>5260</v>
      </c>
      <c r="F49" s="452" t="s">
        <v>2855</v>
      </c>
      <c r="G49" s="447">
        <v>1.0</v>
      </c>
      <c r="H49" s="425"/>
      <c r="I49" s="425"/>
      <c r="J49" s="425"/>
      <c r="K49" s="425"/>
      <c r="L49" s="425"/>
      <c r="M49" s="425"/>
    </row>
    <row r="50" ht="22.5" customHeight="1">
      <c r="A50" s="442">
        <v>45955.43190548611</v>
      </c>
      <c r="B50" s="443" t="s">
        <v>5312</v>
      </c>
      <c r="C50" s="444" t="s">
        <v>5387</v>
      </c>
      <c r="D50" s="454" t="s">
        <v>5388</v>
      </c>
      <c r="E50" s="443" t="s">
        <v>5389</v>
      </c>
      <c r="F50" s="446" t="s">
        <v>5296</v>
      </c>
      <c r="G50" s="447">
        <v>1.0</v>
      </c>
      <c r="H50" s="425"/>
      <c r="I50" s="425"/>
      <c r="J50" s="425"/>
      <c r="K50" s="425"/>
      <c r="L50" s="425"/>
      <c r="M50" s="425"/>
    </row>
    <row r="51" ht="22.5" customHeight="1">
      <c r="A51" s="461">
        <v>45955.42651350694</v>
      </c>
      <c r="B51" s="462" t="s">
        <v>5316</v>
      </c>
      <c r="C51" s="466" t="s">
        <v>5390</v>
      </c>
      <c r="D51" s="464" t="s">
        <v>5391</v>
      </c>
      <c r="E51" s="462" t="s">
        <v>5392</v>
      </c>
      <c r="F51" s="465" t="s">
        <v>2507</v>
      </c>
      <c r="G51" s="447">
        <v>1.0</v>
      </c>
      <c r="H51" s="425"/>
      <c r="I51" s="425"/>
      <c r="J51" s="425"/>
      <c r="K51" s="425"/>
      <c r="L51" s="425"/>
      <c r="M51" s="425"/>
    </row>
    <row r="52" ht="22.5" customHeight="1">
      <c r="A52" s="442">
        <v>45955.43072226852</v>
      </c>
      <c r="B52" s="443" t="s">
        <v>5316</v>
      </c>
      <c r="C52" s="444" t="s">
        <v>2515</v>
      </c>
      <c r="D52" s="454" t="s">
        <v>5393</v>
      </c>
      <c r="E52" s="443" t="s">
        <v>5240</v>
      </c>
      <c r="F52" s="446" t="s">
        <v>2497</v>
      </c>
      <c r="G52" s="447">
        <v>1.0</v>
      </c>
      <c r="H52" s="425"/>
      <c r="I52" s="425"/>
      <c r="J52" s="425"/>
      <c r="K52" s="425"/>
      <c r="L52" s="425"/>
      <c r="M52" s="425"/>
    </row>
    <row r="53" ht="22.5" customHeight="1">
      <c r="A53" s="448">
        <v>45955.39635321759</v>
      </c>
      <c r="B53" s="449" t="s">
        <v>5316</v>
      </c>
      <c r="C53" s="460" t="s">
        <v>1875</v>
      </c>
      <c r="D53" s="451" t="s">
        <v>5394</v>
      </c>
      <c r="E53" s="449" t="s">
        <v>4439</v>
      </c>
      <c r="F53" s="452" t="s">
        <v>4634</v>
      </c>
      <c r="G53" s="447">
        <v>1.0</v>
      </c>
      <c r="H53" s="425"/>
      <c r="I53" s="425"/>
      <c r="J53" s="425"/>
      <c r="K53" s="425"/>
      <c r="L53" s="425"/>
      <c r="M53" s="425"/>
    </row>
    <row r="54" ht="22.5" customHeight="1">
      <c r="A54" s="442">
        <v>45955.42939733797</v>
      </c>
      <c r="B54" s="443" t="s">
        <v>5316</v>
      </c>
      <c r="C54" s="444" t="s">
        <v>5395</v>
      </c>
      <c r="D54" s="454" t="s">
        <v>5396</v>
      </c>
      <c r="E54" s="443" t="s">
        <v>5397</v>
      </c>
      <c r="F54" s="446" t="s">
        <v>4634</v>
      </c>
      <c r="G54" s="447">
        <v>1.0</v>
      </c>
      <c r="H54" s="425"/>
      <c r="I54" s="425"/>
      <c r="J54" s="425"/>
      <c r="K54" s="425"/>
      <c r="L54" s="425"/>
      <c r="M54" s="425"/>
    </row>
    <row r="55" ht="22.5" customHeight="1">
      <c r="A55" s="448">
        <v>45955.406016249995</v>
      </c>
      <c r="B55" s="449" t="s">
        <v>5312</v>
      </c>
      <c r="C55" s="460" t="s">
        <v>5398</v>
      </c>
      <c r="D55" s="451" t="s">
        <v>5399</v>
      </c>
      <c r="E55" s="449" t="s">
        <v>4404</v>
      </c>
      <c r="F55" s="452" t="s">
        <v>5370</v>
      </c>
      <c r="G55" s="447">
        <v>1.0</v>
      </c>
      <c r="H55" s="425"/>
      <c r="I55" s="425"/>
      <c r="J55" s="425"/>
      <c r="K55" s="425"/>
      <c r="L55" s="425"/>
      <c r="M55" s="425"/>
    </row>
    <row r="56" ht="22.5" customHeight="1">
      <c r="A56" s="455">
        <v>45955.36020847222</v>
      </c>
      <c r="B56" s="456" t="s">
        <v>5316</v>
      </c>
      <c r="C56" s="467" t="s">
        <v>2516</v>
      </c>
      <c r="D56" s="458" t="s">
        <v>5400</v>
      </c>
      <c r="E56" s="456" t="s">
        <v>5350</v>
      </c>
      <c r="F56" s="459" t="s">
        <v>2497</v>
      </c>
      <c r="G56" s="447">
        <v>1.0</v>
      </c>
      <c r="H56" s="425"/>
      <c r="I56" s="425"/>
      <c r="J56" s="425"/>
      <c r="K56" s="425"/>
      <c r="L56" s="425"/>
      <c r="M56" s="425"/>
    </row>
    <row r="57" ht="22.5" customHeight="1">
      <c r="A57" s="448">
        <v>45955.426486909724</v>
      </c>
      <c r="B57" s="449" t="s">
        <v>5312</v>
      </c>
      <c r="C57" s="450" t="s">
        <v>1791</v>
      </c>
      <c r="D57" s="451" t="s">
        <v>5401</v>
      </c>
      <c r="E57" s="449" t="s">
        <v>4428</v>
      </c>
      <c r="F57" s="452" t="s">
        <v>4481</v>
      </c>
      <c r="G57" s="447">
        <v>1.0</v>
      </c>
      <c r="H57" s="425"/>
      <c r="I57" s="425"/>
      <c r="J57" s="425"/>
      <c r="K57" s="425"/>
      <c r="L57" s="425"/>
      <c r="M57" s="425"/>
    </row>
    <row r="58" ht="22.5" customHeight="1">
      <c r="A58" s="442">
        <v>45955.33816304398</v>
      </c>
      <c r="B58" s="443" t="s">
        <v>5316</v>
      </c>
      <c r="C58" s="453" t="s">
        <v>1947</v>
      </c>
      <c r="D58" s="454" t="s">
        <v>5402</v>
      </c>
      <c r="E58" s="443" t="s">
        <v>4395</v>
      </c>
      <c r="F58" s="446" t="s">
        <v>4711</v>
      </c>
      <c r="G58" s="447">
        <v>1.0</v>
      </c>
      <c r="H58" s="425"/>
      <c r="I58" s="425"/>
      <c r="J58" s="425"/>
      <c r="K58" s="425"/>
      <c r="L58" s="425"/>
      <c r="M58" s="425"/>
    </row>
    <row r="59" ht="22.5" customHeight="1">
      <c r="A59" s="461">
        <v>45955.42995803241</v>
      </c>
      <c r="B59" s="462" t="s">
        <v>5316</v>
      </c>
      <c r="C59" s="463" t="s">
        <v>2369</v>
      </c>
      <c r="D59" s="464" t="s">
        <v>5403</v>
      </c>
      <c r="E59" s="462" t="s">
        <v>4410</v>
      </c>
      <c r="F59" s="465" t="s">
        <v>4634</v>
      </c>
      <c r="G59" s="447">
        <v>1.0</v>
      </c>
      <c r="H59" s="425"/>
      <c r="I59" s="425"/>
      <c r="J59" s="425"/>
      <c r="K59" s="425"/>
      <c r="L59" s="425"/>
      <c r="M59" s="425"/>
    </row>
    <row r="60" ht="22.5" customHeight="1">
      <c r="A60" s="455">
        <v>45955.468144548606</v>
      </c>
      <c r="B60" s="456" t="s">
        <v>5316</v>
      </c>
      <c r="C60" s="467" t="s">
        <v>5404</v>
      </c>
      <c r="D60" s="458" t="s">
        <v>5405</v>
      </c>
      <c r="E60" s="456" t="s">
        <v>4439</v>
      </c>
      <c r="F60" s="459" t="s">
        <v>4938</v>
      </c>
      <c r="G60" s="447">
        <v>1.0</v>
      </c>
      <c r="H60" s="425"/>
      <c r="I60" s="425"/>
      <c r="J60" s="425"/>
      <c r="K60" s="425"/>
      <c r="L60" s="425"/>
      <c r="M60" s="425"/>
    </row>
    <row r="61" ht="22.5" customHeight="1">
      <c r="A61" s="461">
        <v>45955.40626729166</v>
      </c>
      <c r="B61" s="462" t="s">
        <v>5312</v>
      </c>
      <c r="C61" s="463" t="s">
        <v>1752</v>
      </c>
      <c r="D61" s="464" t="s">
        <v>5406</v>
      </c>
      <c r="E61" s="462" t="s">
        <v>5397</v>
      </c>
      <c r="F61" s="465" t="s">
        <v>5407</v>
      </c>
      <c r="G61" s="447">
        <v>1.0</v>
      </c>
      <c r="H61" s="425"/>
      <c r="I61" s="425"/>
      <c r="J61" s="425"/>
      <c r="K61" s="425"/>
      <c r="L61" s="425"/>
      <c r="M61" s="425"/>
    </row>
    <row r="62" ht="22.5" customHeight="1">
      <c r="A62" s="442">
        <v>45955.42339863426</v>
      </c>
      <c r="B62" s="443" t="s">
        <v>5316</v>
      </c>
      <c r="C62" s="444" t="s">
        <v>3013</v>
      </c>
      <c r="D62" s="454" t="s">
        <v>5408</v>
      </c>
      <c r="E62" s="443" t="s">
        <v>5269</v>
      </c>
      <c r="F62" s="446" t="s">
        <v>2997</v>
      </c>
      <c r="G62" s="447">
        <v>1.0</v>
      </c>
      <c r="H62" s="425"/>
      <c r="I62" s="425"/>
      <c r="J62" s="425"/>
      <c r="K62" s="425"/>
      <c r="L62" s="425"/>
      <c r="M62" s="425"/>
    </row>
    <row r="63" ht="22.5" customHeight="1">
      <c r="A63" s="461">
        <v>45955.46747072917</v>
      </c>
      <c r="B63" s="462" t="s">
        <v>5316</v>
      </c>
      <c r="C63" s="463" t="s">
        <v>2033</v>
      </c>
      <c r="D63" s="464" t="s">
        <v>5409</v>
      </c>
      <c r="E63" s="462" t="s">
        <v>5410</v>
      </c>
      <c r="F63" s="465" t="s">
        <v>4938</v>
      </c>
      <c r="G63" s="447">
        <v>1.0</v>
      </c>
      <c r="H63" s="425"/>
      <c r="I63" s="425"/>
      <c r="J63" s="425"/>
      <c r="K63" s="425"/>
      <c r="L63" s="425"/>
      <c r="M63" s="425"/>
    </row>
    <row r="64" ht="22.5" customHeight="1">
      <c r="A64" s="455">
        <v>45955.411529108795</v>
      </c>
      <c r="B64" s="456" t="s">
        <v>5312</v>
      </c>
      <c r="C64" s="457" t="s">
        <v>5411</v>
      </c>
      <c r="D64" s="471">
        <v>8.5121037205E10</v>
      </c>
      <c r="E64" s="456" t="s">
        <v>5389</v>
      </c>
      <c r="F64" s="459" t="s">
        <v>5295</v>
      </c>
      <c r="G64" s="447">
        <v>1.0</v>
      </c>
      <c r="H64" s="425"/>
      <c r="I64" s="425"/>
      <c r="J64" s="425"/>
      <c r="K64" s="425"/>
      <c r="L64" s="425"/>
      <c r="M64" s="425"/>
    </row>
    <row r="65" ht="22.5" customHeight="1">
      <c r="A65" s="448">
        <v>45954.837002314816</v>
      </c>
      <c r="B65" s="449" t="s">
        <v>5316</v>
      </c>
      <c r="C65" s="450" t="s">
        <v>5412</v>
      </c>
      <c r="D65" s="451" t="s">
        <v>5413</v>
      </c>
      <c r="E65" s="449" t="s">
        <v>5414</v>
      </c>
      <c r="F65" s="452" t="s">
        <v>5304</v>
      </c>
      <c r="G65" s="447">
        <v>1.0</v>
      </c>
      <c r="H65" s="425"/>
      <c r="I65" s="425"/>
      <c r="J65" s="425"/>
      <c r="K65" s="425"/>
      <c r="L65" s="425"/>
      <c r="M65" s="425"/>
    </row>
    <row r="66" ht="22.5" customHeight="1">
      <c r="A66" s="455">
        <v>45954.75611993056</v>
      </c>
      <c r="B66" s="456" t="s">
        <v>5316</v>
      </c>
      <c r="C66" s="467" t="s">
        <v>2449</v>
      </c>
      <c r="D66" s="458" t="s">
        <v>5415</v>
      </c>
      <c r="E66" s="456" t="s">
        <v>5416</v>
      </c>
      <c r="F66" s="459" t="s">
        <v>4711</v>
      </c>
      <c r="G66" s="447">
        <v>1.0</v>
      </c>
      <c r="H66" s="425"/>
      <c r="I66" s="425"/>
      <c r="J66" s="425"/>
      <c r="K66" s="425"/>
      <c r="L66" s="425"/>
      <c r="M66" s="425"/>
    </row>
    <row r="67" ht="22.5" customHeight="1">
      <c r="A67" s="448">
        <v>45954.81353678241</v>
      </c>
      <c r="B67" s="449" t="s">
        <v>5312</v>
      </c>
      <c r="C67" s="460" t="s">
        <v>2295</v>
      </c>
      <c r="D67" s="451" t="s">
        <v>5417</v>
      </c>
      <c r="E67" s="449" t="s">
        <v>5418</v>
      </c>
      <c r="F67" s="452" t="s">
        <v>4318</v>
      </c>
      <c r="G67" s="447">
        <v>1.0</v>
      </c>
      <c r="H67" s="425"/>
      <c r="I67" s="425"/>
      <c r="J67" s="425"/>
      <c r="K67" s="425"/>
      <c r="L67" s="425"/>
      <c r="M67" s="425"/>
    </row>
    <row r="68" ht="22.5" customHeight="1">
      <c r="A68" s="442">
        <v>45955.42246296296</v>
      </c>
      <c r="B68" s="443" t="s">
        <v>5316</v>
      </c>
      <c r="C68" s="453" t="s">
        <v>1955</v>
      </c>
      <c r="D68" s="454" t="s">
        <v>5419</v>
      </c>
      <c r="E68" s="443" t="s">
        <v>4395</v>
      </c>
      <c r="F68" s="446" t="s">
        <v>4938</v>
      </c>
      <c r="G68" s="447">
        <v>1.0</v>
      </c>
      <c r="H68" s="425"/>
      <c r="I68" s="425"/>
      <c r="J68" s="425"/>
      <c r="K68" s="425"/>
      <c r="L68" s="425"/>
      <c r="M68" s="425"/>
    </row>
    <row r="69" ht="22.5" customHeight="1">
      <c r="A69" s="448">
        <v>45955.423069861106</v>
      </c>
      <c r="B69" s="449" t="s">
        <v>5316</v>
      </c>
      <c r="C69" s="460" t="s">
        <v>1957</v>
      </c>
      <c r="D69" s="451" t="s">
        <v>5420</v>
      </c>
      <c r="E69" s="449" t="s">
        <v>5421</v>
      </c>
      <c r="F69" s="452" t="s">
        <v>5299</v>
      </c>
      <c r="G69" s="447">
        <v>1.0</v>
      </c>
      <c r="H69" s="425"/>
      <c r="I69" s="425"/>
      <c r="J69" s="425"/>
      <c r="K69" s="425"/>
      <c r="L69" s="425"/>
      <c r="M69" s="425"/>
    </row>
    <row r="70" ht="22.5" customHeight="1">
      <c r="A70" s="455">
        <v>45954.382438622684</v>
      </c>
      <c r="B70" s="456" t="s">
        <v>5316</v>
      </c>
      <c r="C70" s="457" t="s">
        <v>2457</v>
      </c>
      <c r="D70" s="458" t="s">
        <v>5422</v>
      </c>
      <c r="E70" s="456" t="s">
        <v>5423</v>
      </c>
      <c r="F70" s="459" t="s">
        <v>4394</v>
      </c>
      <c r="G70" s="447">
        <v>1.0</v>
      </c>
      <c r="H70" s="425"/>
      <c r="I70" s="425"/>
      <c r="J70" s="425"/>
      <c r="K70" s="425"/>
      <c r="L70" s="425"/>
      <c r="M70" s="425"/>
    </row>
    <row r="71" ht="22.5" customHeight="1">
      <c r="A71" s="448">
        <v>45955.29273568287</v>
      </c>
      <c r="B71" s="449" t="s">
        <v>5316</v>
      </c>
      <c r="C71" s="450" t="s">
        <v>1831</v>
      </c>
      <c r="D71" s="451" t="s">
        <v>5424</v>
      </c>
      <c r="E71" s="449" t="s">
        <v>4425</v>
      </c>
      <c r="F71" s="452" t="s">
        <v>4938</v>
      </c>
      <c r="G71" s="447">
        <v>1.0</v>
      </c>
      <c r="H71" s="425"/>
      <c r="I71" s="425"/>
      <c r="J71" s="425"/>
      <c r="K71" s="425"/>
      <c r="L71" s="425"/>
      <c r="M71" s="425"/>
    </row>
    <row r="72" ht="22.5" customHeight="1">
      <c r="A72" s="455">
        <v>45955.415982314815</v>
      </c>
      <c r="B72" s="456" t="s">
        <v>5312</v>
      </c>
      <c r="C72" s="457" t="s">
        <v>1897</v>
      </c>
      <c r="D72" s="458" t="s">
        <v>5425</v>
      </c>
      <c r="E72" s="456" t="s">
        <v>4439</v>
      </c>
      <c r="F72" s="459" t="s">
        <v>5282</v>
      </c>
      <c r="G72" s="447">
        <v>1.0</v>
      </c>
      <c r="H72" s="425"/>
      <c r="I72" s="425"/>
      <c r="J72" s="425"/>
      <c r="K72" s="425"/>
      <c r="L72" s="425"/>
      <c r="M72" s="425"/>
    </row>
    <row r="73" ht="22.5" customHeight="1">
      <c r="A73" s="448">
        <v>45955.43051857639</v>
      </c>
      <c r="B73" s="449" t="s">
        <v>5312</v>
      </c>
      <c r="C73" s="450" t="s">
        <v>2870</v>
      </c>
      <c r="D73" s="468">
        <v>8.5716850155E10</v>
      </c>
      <c r="E73" s="449" t="s">
        <v>5260</v>
      </c>
      <c r="F73" s="452" t="s">
        <v>2583</v>
      </c>
      <c r="G73" s="447">
        <v>1.0</v>
      </c>
      <c r="H73" s="425"/>
      <c r="I73" s="425"/>
      <c r="J73" s="425"/>
      <c r="K73" s="425"/>
      <c r="L73" s="425"/>
      <c r="M73" s="425"/>
    </row>
    <row r="74" ht="22.5" customHeight="1">
      <c r="A74" s="442">
        <v>45955.400653460645</v>
      </c>
      <c r="B74" s="443" t="s">
        <v>5312</v>
      </c>
      <c r="C74" s="453" t="s">
        <v>5426</v>
      </c>
      <c r="D74" s="454" t="s">
        <v>5427</v>
      </c>
      <c r="E74" s="443" t="s">
        <v>5392</v>
      </c>
      <c r="F74" s="446" t="s">
        <v>5290</v>
      </c>
      <c r="G74" s="447">
        <v>1.0</v>
      </c>
      <c r="H74" s="425"/>
      <c r="I74" s="425"/>
      <c r="J74" s="425"/>
      <c r="K74" s="425"/>
      <c r="L74" s="425"/>
      <c r="M74" s="425"/>
    </row>
    <row r="75" ht="22.5" customHeight="1">
      <c r="A75" s="448">
        <v>45955.382932465276</v>
      </c>
      <c r="B75" s="449" t="s">
        <v>5312</v>
      </c>
      <c r="C75" s="460" t="s">
        <v>1835</v>
      </c>
      <c r="D75" s="451" t="s">
        <v>5428</v>
      </c>
      <c r="E75" s="449" t="s">
        <v>4425</v>
      </c>
      <c r="F75" s="452" t="s">
        <v>5288</v>
      </c>
      <c r="G75" s="447">
        <v>1.0</v>
      </c>
      <c r="H75" s="425"/>
      <c r="I75" s="425"/>
      <c r="J75" s="425"/>
      <c r="K75" s="425"/>
      <c r="L75" s="425"/>
      <c r="M75" s="425"/>
    </row>
    <row r="76" ht="22.5" customHeight="1">
      <c r="A76" s="442">
        <v>45955.29250436343</v>
      </c>
      <c r="B76" s="443" t="s">
        <v>5312</v>
      </c>
      <c r="C76" s="444" t="s">
        <v>2195</v>
      </c>
      <c r="D76" s="454" t="s">
        <v>5429</v>
      </c>
      <c r="E76" s="443" t="s">
        <v>5430</v>
      </c>
      <c r="F76" s="446" t="s">
        <v>5010</v>
      </c>
      <c r="G76" s="447">
        <v>1.0</v>
      </c>
      <c r="H76" s="425"/>
      <c r="I76" s="425"/>
      <c r="J76" s="425"/>
      <c r="K76" s="425"/>
      <c r="L76" s="425"/>
      <c r="M76" s="425"/>
    </row>
    <row r="77" ht="22.5" customHeight="1">
      <c r="A77" s="448">
        <v>45955.28543778935</v>
      </c>
      <c r="B77" s="449" t="s">
        <v>5312</v>
      </c>
      <c r="C77" s="450" t="s">
        <v>2585</v>
      </c>
      <c r="D77" s="451" t="s">
        <v>5431</v>
      </c>
      <c r="E77" s="449" t="s">
        <v>5242</v>
      </c>
      <c r="F77" s="452" t="s">
        <v>2558</v>
      </c>
      <c r="G77" s="447">
        <v>1.0</v>
      </c>
      <c r="H77" s="425"/>
      <c r="I77" s="425"/>
      <c r="J77" s="425"/>
      <c r="K77" s="425"/>
      <c r="L77" s="425"/>
      <c r="M77" s="425"/>
    </row>
    <row r="78" ht="22.5" customHeight="1">
      <c r="A78" s="455">
        <v>45955.41937729166</v>
      </c>
      <c r="B78" s="456" t="s">
        <v>5312</v>
      </c>
      <c r="C78" s="457" t="s">
        <v>2243</v>
      </c>
      <c r="D78" s="458" t="s">
        <v>5432</v>
      </c>
      <c r="E78" s="456" t="s">
        <v>5344</v>
      </c>
      <c r="F78" s="459" t="s">
        <v>5370</v>
      </c>
      <c r="G78" s="447">
        <v>1.0</v>
      </c>
      <c r="H78" s="425"/>
      <c r="I78" s="425"/>
      <c r="J78" s="425"/>
      <c r="K78" s="425"/>
      <c r="L78" s="425"/>
      <c r="M78" s="425"/>
    </row>
    <row r="79" ht="22.5" customHeight="1">
      <c r="A79" s="461">
        <v>45954.862926435184</v>
      </c>
      <c r="B79" s="462" t="s">
        <v>5312</v>
      </c>
      <c r="C79" s="466" t="s">
        <v>2197</v>
      </c>
      <c r="D79" s="464" t="s">
        <v>5433</v>
      </c>
      <c r="E79" s="462" t="s">
        <v>4401</v>
      </c>
      <c r="F79" s="465" t="s">
        <v>5288</v>
      </c>
      <c r="G79" s="447">
        <v>1.0</v>
      </c>
      <c r="H79" s="425"/>
      <c r="I79" s="425"/>
      <c r="J79" s="425"/>
      <c r="K79" s="425"/>
      <c r="L79" s="425"/>
      <c r="M79" s="425"/>
    </row>
    <row r="80" ht="22.5" customHeight="1">
      <c r="A80" s="455">
        <v>45955.4278906713</v>
      </c>
      <c r="B80" s="456" t="s">
        <v>5312</v>
      </c>
      <c r="C80" s="457" t="s">
        <v>5434</v>
      </c>
      <c r="D80" s="458" t="s">
        <v>5435</v>
      </c>
      <c r="E80" s="456" t="s">
        <v>5436</v>
      </c>
      <c r="F80" s="459" t="s">
        <v>5250</v>
      </c>
      <c r="G80" s="447">
        <v>1.0</v>
      </c>
      <c r="H80" s="425"/>
      <c r="I80" s="425"/>
      <c r="J80" s="425"/>
      <c r="K80" s="425"/>
      <c r="L80" s="425"/>
      <c r="M80" s="425"/>
    </row>
    <row r="81" ht="22.5" customHeight="1">
      <c r="A81" s="461">
        <v>45955.43274203704</v>
      </c>
      <c r="B81" s="462" t="s">
        <v>5312</v>
      </c>
      <c r="C81" s="463" t="s">
        <v>2385</v>
      </c>
      <c r="D81" s="464" t="s">
        <v>5437</v>
      </c>
      <c r="E81" s="462" t="s">
        <v>4410</v>
      </c>
      <c r="F81" s="465" t="s">
        <v>4481</v>
      </c>
      <c r="G81" s="447">
        <v>1.0</v>
      </c>
      <c r="H81" s="425"/>
      <c r="I81" s="425"/>
      <c r="J81" s="425"/>
      <c r="K81" s="425"/>
      <c r="L81" s="425"/>
      <c r="M81" s="425"/>
    </row>
    <row r="82" ht="22.5" customHeight="1">
      <c r="A82" s="442">
        <v>45955.42984917824</v>
      </c>
      <c r="B82" s="443" t="s">
        <v>5312</v>
      </c>
      <c r="C82" s="444" t="s">
        <v>2873</v>
      </c>
      <c r="D82" s="454" t="s">
        <v>5438</v>
      </c>
      <c r="E82" s="443" t="s">
        <v>5260</v>
      </c>
      <c r="F82" s="446" t="s">
        <v>2583</v>
      </c>
      <c r="G82" s="447">
        <v>1.0</v>
      </c>
      <c r="H82" s="425"/>
      <c r="I82" s="425"/>
      <c r="J82" s="425"/>
      <c r="K82" s="425"/>
      <c r="L82" s="425"/>
      <c r="M82" s="425"/>
    </row>
    <row r="83" ht="22.5" customHeight="1">
      <c r="A83" s="461">
        <v>45955.4419321875</v>
      </c>
      <c r="B83" s="462" t="s">
        <v>5312</v>
      </c>
      <c r="C83" s="463" t="s">
        <v>2531</v>
      </c>
      <c r="D83" s="464" t="s">
        <v>5439</v>
      </c>
      <c r="E83" s="462" t="s">
        <v>5350</v>
      </c>
      <c r="F83" s="465" t="s">
        <v>2495</v>
      </c>
      <c r="G83" s="447">
        <v>1.0</v>
      </c>
      <c r="H83" s="425"/>
      <c r="I83" s="425"/>
      <c r="J83" s="425"/>
      <c r="K83" s="425"/>
      <c r="L83" s="425"/>
      <c r="M83" s="425"/>
    </row>
    <row r="84" ht="22.5" customHeight="1">
      <c r="A84" s="455">
        <v>45955.44759791667</v>
      </c>
      <c r="B84" s="456" t="s">
        <v>5312</v>
      </c>
      <c r="C84" s="467" t="s">
        <v>2301</v>
      </c>
      <c r="D84" s="458" t="s">
        <v>5440</v>
      </c>
      <c r="E84" s="456" t="s">
        <v>4462</v>
      </c>
      <c r="F84" s="459" t="s">
        <v>5370</v>
      </c>
      <c r="G84" s="447">
        <v>1.0</v>
      </c>
      <c r="H84" s="425"/>
      <c r="I84" s="425"/>
      <c r="J84" s="425"/>
      <c r="K84" s="425"/>
      <c r="L84" s="425"/>
      <c r="M84" s="425"/>
    </row>
    <row r="85" ht="22.5" customHeight="1">
      <c r="A85" s="461">
        <v>45955.410708125</v>
      </c>
      <c r="B85" s="462" t="s">
        <v>5312</v>
      </c>
      <c r="C85" s="463" t="s">
        <v>5441</v>
      </c>
      <c r="D85" s="464" t="s">
        <v>5442</v>
      </c>
      <c r="E85" s="462" t="s">
        <v>5443</v>
      </c>
      <c r="F85" s="465" t="s">
        <v>2583</v>
      </c>
      <c r="G85" s="447">
        <v>1.0</v>
      </c>
      <c r="H85" s="425"/>
      <c r="I85" s="425"/>
      <c r="J85" s="425"/>
      <c r="K85" s="425"/>
      <c r="L85" s="425"/>
      <c r="M85" s="425"/>
    </row>
    <row r="86" ht="22.5" customHeight="1">
      <c r="A86" s="455">
        <v>45954.679840717596</v>
      </c>
      <c r="B86" s="456" t="s">
        <v>5312</v>
      </c>
      <c r="C86" s="457" t="s">
        <v>2201</v>
      </c>
      <c r="D86" s="458" t="s">
        <v>5444</v>
      </c>
      <c r="E86" s="456" t="s">
        <v>4401</v>
      </c>
      <c r="F86" s="459" t="s">
        <v>4318</v>
      </c>
      <c r="G86" s="447">
        <v>1.0</v>
      </c>
      <c r="H86" s="425"/>
      <c r="I86" s="425"/>
      <c r="J86" s="425"/>
      <c r="K86" s="425"/>
      <c r="L86" s="425"/>
      <c r="M86" s="425"/>
    </row>
    <row r="87" ht="22.5" customHeight="1">
      <c r="A87" s="461">
        <v>45955.31500018519</v>
      </c>
      <c r="B87" s="462" t="s">
        <v>5312</v>
      </c>
      <c r="C87" s="463" t="s">
        <v>2249</v>
      </c>
      <c r="D87" s="464" t="s">
        <v>5445</v>
      </c>
      <c r="E87" s="462" t="s">
        <v>5446</v>
      </c>
      <c r="F87" s="465" t="s">
        <v>5282</v>
      </c>
      <c r="G87" s="447">
        <v>1.0</v>
      </c>
      <c r="H87" s="425"/>
      <c r="I87" s="425"/>
      <c r="J87" s="425"/>
      <c r="K87" s="425"/>
      <c r="L87" s="425"/>
      <c r="M87" s="425"/>
    </row>
    <row r="88" ht="22.5" customHeight="1">
      <c r="A88" s="442">
        <v>45954.41783099537</v>
      </c>
      <c r="B88" s="443" t="s">
        <v>5312</v>
      </c>
      <c r="C88" s="453" t="s">
        <v>1836</v>
      </c>
      <c r="D88" s="454" t="s">
        <v>5447</v>
      </c>
      <c r="E88" s="443" t="s">
        <v>4425</v>
      </c>
      <c r="F88" s="446" t="s">
        <v>5370</v>
      </c>
      <c r="G88" s="447">
        <v>1.0</v>
      </c>
      <c r="H88" s="425"/>
      <c r="I88" s="425"/>
      <c r="J88" s="425"/>
      <c r="K88" s="425"/>
      <c r="L88" s="425"/>
      <c r="M88" s="425"/>
    </row>
    <row r="89" ht="22.5" customHeight="1">
      <c r="A89" s="448">
        <v>45955.42678091435</v>
      </c>
      <c r="B89" s="449" t="s">
        <v>5316</v>
      </c>
      <c r="C89" s="460" t="s">
        <v>1965</v>
      </c>
      <c r="D89" s="451" t="s">
        <v>5448</v>
      </c>
      <c r="E89" s="449" t="s">
        <v>4395</v>
      </c>
      <c r="F89" s="452" t="s">
        <v>4711</v>
      </c>
      <c r="G89" s="447">
        <v>1.0</v>
      </c>
      <c r="H89" s="425"/>
      <c r="I89" s="425"/>
      <c r="J89" s="425"/>
      <c r="K89" s="425"/>
      <c r="L89" s="425"/>
      <c r="M89" s="425"/>
    </row>
    <row r="90" ht="22.5" customHeight="1">
      <c r="A90" s="442">
        <v>45954.71706417824</v>
      </c>
      <c r="B90" s="443" t="s">
        <v>5316</v>
      </c>
      <c r="C90" s="444" t="s">
        <v>4617</v>
      </c>
      <c r="D90" s="454" t="s">
        <v>5449</v>
      </c>
      <c r="E90" s="443" t="s">
        <v>5450</v>
      </c>
      <c r="F90" s="446" t="s">
        <v>4559</v>
      </c>
      <c r="G90" s="447">
        <v>1.0</v>
      </c>
      <c r="H90" s="425"/>
      <c r="I90" s="425"/>
      <c r="J90" s="425"/>
      <c r="K90" s="425"/>
      <c r="L90" s="425"/>
      <c r="M90" s="425"/>
    </row>
    <row r="91" ht="22.5" customHeight="1">
      <c r="A91" s="461">
        <v>45955.41427149306</v>
      </c>
      <c r="B91" s="462" t="s">
        <v>5316</v>
      </c>
      <c r="C91" s="463" t="s">
        <v>5451</v>
      </c>
      <c r="D91" s="464" t="s">
        <v>5452</v>
      </c>
      <c r="E91" s="462" t="s">
        <v>5453</v>
      </c>
      <c r="F91" s="465" t="s">
        <v>2507</v>
      </c>
      <c r="G91" s="447">
        <v>1.0</v>
      </c>
      <c r="H91" s="425"/>
      <c r="I91" s="425"/>
      <c r="J91" s="425"/>
      <c r="K91" s="425"/>
      <c r="L91" s="425"/>
      <c r="M91" s="425"/>
    </row>
    <row r="92" ht="22.5" customHeight="1">
      <c r="A92" s="455">
        <v>45954.921525439815</v>
      </c>
      <c r="B92" s="456" t="s">
        <v>5312</v>
      </c>
      <c r="C92" s="457" t="s">
        <v>2309</v>
      </c>
      <c r="D92" s="458" t="s">
        <v>5454</v>
      </c>
      <c r="E92" s="456" t="s">
        <v>5455</v>
      </c>
      <c r="F92" s="459" t="s">
        <v>5010</v>
      </c>
      <c r="G92" s="447">
        <v>1.0</v>
      </c>
      <c r="H92" s="425"/>
      <c r="I92" s="425"/>
      <c r="J92" s="425"/>
      <c r="K92" s="425"/>
      <c r="L92" s="425"/>
      <c r="M92" s="425"/>
    </row>
    <row r="93" ht="22.5" customHeight="1">
      <c r="A93" s="448">
        <v>45955.42761290509</v>
      </c>
      <c r="B93" s="449" t="s">
        <v>5316</v>
      </c>
      <c r="C93" s="450" t="s">
        <v>1971</v>
      </c>
      <c r="D93" s="451" t="s">
        <v>5456</v>
      </c>
      <c r="E93" s="449" t="s">
        <v>5457</v>
      </c>
      <c r="F93" s="452" t="s">
        <v>4938</v>
      </c>
      <c r="G93" s="447">
        <v>1.0</v>
      </c>
      <c r="H93" s="425"/>
      <c r="I93" s="425"/>
      <c r="J93" s="425"/>
      <c r="K93" s="425"/>
      <c r="L93" s="425"/>
      <c r="M93" s="425"/>
    </row>
    <row r="94" ht="22.5" customHeight="1">
      <c r="A94" s="442">
        <v>45955.460494652776</v>
      </c>
      <c r="B94" s="443" t="s">
        <v>5316</v>
      </c>
      <c r="C94" s="453" t="s">
        <v>1903</v>
      </c>
      <c r="D94" s="454" t="s">
        <v>5458</v>
      </c>
      <c r="E94" s="443" t="s">
        <v>4439</v>
      </c>
      <c r="F94" s="446" t="s">
        <v>4559</v>
      </c>
      <c r="G94" s="447">
        <v>1.0</v>
      </c>
      <c r="H94" s="425"/>
      <c r="I94" s="425"/>
      <c r="J94" s="425"/>
      <c r="K94" s="425"/>
      <c r="L94" s="425"/>
      <c r="M94" s="425"/>
    </row>
    <row r="95" ht="22.5" customHeight="1">
      <c r="A95" s="461">
        <v>45954.720447175925</v>
      </c>
      <c r="B95" s="462" t="s">
        <v>5316</v>
      </c>
      <c r="C95" s="466" t="s">
        <v>3029</v>
      </c>
      <c r="D95" s="464" t="s">
        <v>5459</v>
      </c>
      <c r="E95" s="462" t="s">
        <v>5269</v>
      </c>
      <c r="F95" s="465" t="s">
        <v>2551</v>
      </c>
      <c r="G95" s="447">
        <v>1.0</v>
      </c>
      <c r="H95" s="425"/>
      <c r="I95" s="425"/>
      <c r="J95" s="425"/>
      <c r="K95" s="425"/>
      <c r="L95" s="425"/>
      <c r="M95" s="425"/>
    </row>
    <row r="96" ht="22.5" customHeight="1">
      <c r="A96" s="442">
        <v>45955.4230744213</v>
      </c>
      <c r="B96" s="443" t="s">
        <v>5316</v>
      </c>
      <c r="C96" s="444" t="s">
        <v>1800</v>
      </c>
      <c r="D96" s="454" t="s">
        <v>5460</v>
      </c>
      <c r="E96" s="443" t="s">
        <v>4428</v>
      </c>
      <c r="F96" s="446" t="s">
        <v>5299</v>
      </c>
      <c r="G96" s="447">
        <v>1.0</v>
      </c>
      <c r="H96" s="425"/>
      <c r="I96" s="425"/>
      <c r="J96" s="425"/>
      <c r="K96" s="425"/>
      <c r="L96" s="425"/>
      <c r="M96" s="425"/>
    </row>
    <row r="97" ht="22.5" customHeight="1">
      <c r="A97" s="448">
        <v>45954.77507584491</v>
      </c>
      <c r="B97" s="449" t="s">
        <v>5316</v>
      </c>
      <c r="C97" s="450" t="s">
        <v>1907</v>
      </c>
      <c r="D97" s="451" t="s">
        <v>5461</v>
      </c>
      <c r="E97" s="449" t="s">
        <v>4439</v>
      </c>
      <c r="F97" s="452" t="s">
        <v>5298</v>
      </c>
      <c r="G97" s="447">
        <v>1.0</v>
      </c>
      <c r="H97" s="425"/>
      <c r="I97" s="425"/>
      <c r="J97" s="425"/>
      <c r="K97" s="425"/>
      <c r="L97" s="425"/>
      <c r="M97" s="425"/>
    </row>
    <row r="98" ht="22.5" customHeight="1">
      <c r="A98" s="455">
        <v>45954.74544193287</v>
      </c>
      <c r="B98" s="456" t="s">
        <v>5316</v>
      </c>
      <c r="C98" s="467" t="s">
        <v>2127</v>
      </c>
      <c r="D98" s="458" t="s">
        <v>5462</v>
      </c>
      <c r="E98" s="456" t="s">
        <v>4417</v>
      </c>
      <c r="F98" s="459" t="s">
        <v>4938</v>
      </c>
      <c r="G98" s="447">
        <v>1.0</v>
      </c>
      <c r="H98" s="425"/>
      <c r="I98" s="425"/>
      <c r="J98" s="425"/>
      <c r="K98" s="425"/>
      <c r="L98" s="425"/>
      <c r="M98" s="425"/>
    </row>
    <row r="99" ht="22.5" customHeight="1">
      <c r="A99" s="461">
        <v>45955.42700751158</v>
      </c>
      <c r="B99" s="462" t="s">
        <v>5316</v>
      </c>
      <c r="C99" s="466" t="s">
        <v>1841</v>
      </c>
      <c r="D99" s="464" t="s">
        <v>5463</v>
      </c>
      <c r="E99" s="462" t="s">
        <v>4425</v>
      </c>
      <c r="F99" s="465" t="s">
        <v>4938</v>
      </c>
      <c r="G99" s="447">
        <v>1.0</v>
      </c>
      <c r="H99" s="425"/>
      <c r="I99" s="425"/>
      <c r="J99" s="425"/>
      <c r="K99" s="425"/>
      <c r="L99" s="425"/>
      <c r="M99" s="425"/>
    </row>
    <row r="100" ht="22.5" customHeight="1">
      <c r="A100" s="442">
        <v>45955.422975856476</v>
      </c>
      <c r="B100" s="443" t="s">
        <v>5316</v>
      </c>
      <c r="C100" s="444" t="s">
        <v>1803</v>
      </c>
      <c r="D100" s="454" t="s">
        <v>5464</v>
      </c>
      <c r="E100" s="443" t="s">
        <v>5465</v>
      </c>
      <c r="F100" s="446" t="s">
        <v>5299</v>
      </c>
      <c r="G100" s="447">
        <v>1.0</v>
      </c>
      <c r="H100" s="425"/>
      <c r="I100" s="425"/>
      <c r="J100" s="425"/>
      <c r="K100" s="425"/>
      <c r="L100" s="425"/>
      <c r="M100" s="425"/>
    </row>
    <row r="101" ht="22.5" customHeight="1">
      <c r="A101" s="448">
        <v>45954.828278622685</v>
      </c>
      <c r="B101" s="449" t="s">
        <v>5316</v>
      </c>
      <c r="C101" s="450" t="s">
        <v>2397</v>
      </c>
      <c r="D101" s="451" t="s">
        <v>5466</v>
      </c>
      <c r="E101" s="449" t="s">
        <v>5467</v>
      </c>
      <c r="F101" s="452" t="s">
        <v>2997</v>
      </c>
      <c r="G101" s="447">
        <v>1.0</v>
      </c>
      <c r="H101" s="425"/>
      <c r="I101" s="425"/>
      <c r="J101" s="425"/>
      <c r="K101" s="425"/>
      <c r="L101" s="425"/>
      <c r="M101" s="425"/>
    </row>
    <row r="102" ht="22.5" customHeight="1">
      <c r="A102" s="442">
        <v>45955.43024207176</v>
      </c>
      <c r="B102" s="443" t="s">
        <v>5312</v>
      </c>
      <c r="C102" s="444" t="s">
        <v>2254</v>
      </c>
      <c r="D102" s="454" t="s">
        <v>5468</v>
      </c>
      <c r="E102" s="443" t="s">
        <v>5446</v>
      </c>
      <c r="F102" s="446" t="s">
        <v>4481</v>
      </c>
      <c r="G102" s="447">
        <v>1.0</v>
      </c>
      <c r="H102" s="425"/>
      <c r="I102" s="425"/>
      <c r="J102" s="425"/>
      <c r="K102" s="425"/>
      <c r="L102" s="425"/>
      <c r="M102" s="425"/>
    </row>
    <row r="103" ht="22.5" customHeight="1">
      <c r="A103" s="448">
        <v>45954.787227361114</v>
      </c>
      <c r="B103" s="449" t="s">
        <v>5312</v>
      </c>
      <c r="C103" s="460" t="s">
        <v>5469</v>
      </c>
      <c r="D103" s="451" t="s">
        <v>5470</v>
      </c>
      <c r="E103" s="449" t="s">
        <v>5471</v>
      </c>
      <c r="F103" s="452" t="s">
        <v>5295</v>
      </c>
      <c r="G103" s="447">
        <v>1.0</v>
      </c>
      <c r="H103" s="425"/>
      <c r="I103" s="425"/>
      <c r="J103" s="425"/>
      <c r="K103" s="425"/>
      <c r="L103" s="425"/>
      <c r="M103" s="425"/>
    </row>
    <row r="104" ht="22.5" customHeight="1">
      <c r="A104" s="455">
        <v>45955.4199930787</v>
      </c>
      <c r="B104" s="456" t="s">
        <v>5312</v>
      </c>
      <c r="C104" s="467" t="s">
        <v>2542</v>
      </c>
      <c r="D104" s="458" t="s">
        <v>5472</v>
      </c>
      <c r="E104" s="456" t="s">
        <v>5240</v>
      </c>
      <c r="F104" s="459" t="s">
        <v>2495</v>
      </c>
      <c r="G104" s="447">
        <v>1.0</v>
      </c>
      <c r="H104" s="425"/>
      <c r="I104" s="425"/>
      <c r="J104" s="425"/>
      <c r="K104" s="425"/>
      <c r="L104" s="425"/>
      <c r="M104" s="425"/>
    </row>
    <row r="105" ht="22.5" customHeight="1">
      <c r="A105" s="461">
        <v>45954.79233856482</v>
      </c>
      <c r="B105" s="462" t="s">
        <v>5312</v>
      </c>
      <c r="C105" s="466" t="s">
        <v>2213</v>
      </c>
      <c r="D105" s="464" t="s">
        <v>5473</v>
      </c>
      <c r="E105" s="462" t="s">
        <v>5430</v>
      </c>
      <c r="F105" s="465" t="s">
        <v>5288</v>
      </c>
      <c r="G105" s="447">
        <v>1.0</v>
      </c>
      <c r="H105" s="425"/>
      <c r="I105" s="425"/>
      <c r="J105" s="425"/>
      <c r="K105" s="425"/>
      <c r="L105" s="425"/>
      <c r="M105" s="425"/>
    </row>
    <row r="106" ht="22.5" customHeight="1">
      <c r="A106" s="442">
        <v>45955.42379563657</v>
      </c>
      <c r="B106" s="443" t="s">
        <v>5316</v>
      </c>
      <c r="C106" s="444" t="s">
        <v>5474</v>
      </c>
      <c r="D106" s="454" t="s">
        <v>5475</v>
      </c>
      <c r="E106" s="443" t="s">
        <v>5476</v>
      </c>
      <c r="F106" s="446" t="s">
        <v>2605</v>
      </c>
      <c r="G106" s="447">
        <v>1.0</v>
      </c>
      <c r="H106" s="425"/>
      <c r="I106" s="425"/>
      <c r="J106" s="425"/>
      <c r="K106" s="425"/>
      <c r="L106" s="425"/>
      <c r="M106" s="425"/>
    </row>
    <row r="107" ht="22.5" customHeight="1">
      <c r="A107" s="461">
        <v>45955.28459364583</v>
      </c>
      <c r="B107" s="462" t="s">
        <v>5312</v>
      </c>
      <c r="C107" s="466" t="s">
        <v>1804</v>
      </c>
      <c r="D107" s="464" t="s">
        <v>5477</v>
      </c>
      <c r="E107" s="462" t="s">
        <v>4428</v>
      </c>
      <c r="F107" s="465" t="s">
        <v>5370</v>
      </c>
      <c r="G107" s="447">
        <v>1.0</v>
      </c>
      <c r="H107" s="425"/>
      <c r="I107" s="425"/>
      <c r="J107" s="425"/>
      <c r="K107" s="425"/>
      <c r="L107" s="425"/>
      <c r="M107" s="425"/>
    </row>
    <row r="108" ht="22.5" customHeight="1">
      <c r="A108" s="455">
        <v>45955.4296874537</v>
      </c>
      <c r="B108" s="456" t="s">
        <v>5316</v>
      </c>
      <c r="C108" s="457" t="s">
        <v>1805</v>
      </c>
      <c r="D108" s="458" t="s">
        <v>5478</v>
      </c>
      <c r="E108" s="456" t="s">
        <v>4428</v>
      </c>
      <c r="F108" s="459" t="s">
        <v>4634</v>
      </c>
      <c r="G108" s="447">
        <v>1.0</v>
      </c>
      <c r="H108" s="425"/>
      <c r="I108" s="425"/>
      <c r="J108" s="425"/>
      <c r="K108" s="425"/>
      <c r="L108" s="425"/>
      <c r="M108" s="425"/>
    </row>
    <row r="109" ht="22.5" customHeight="1">
      <c r="A109" s="448">
        <v>45954.86047108796</v>
      </c>
      <c r="B109" s="449" t="s">
        <v>5316</v>
      </c>
      <c r="C109" s="450" t="s">
        <v>2131</v>
      </c>
      <c r="D109" s="451" t="s">
        <v>5479</v>
      </c>
      <c r="E109" s="449" t="s">
        <v>5450</v>
      </c>
      <c r="F109" s="452" t="s">
        <v>4634</v>
      </c>
      <c r="G109" s="447">
        <v>1.0</v>
      </c>
      <c r="H109" s="425"/>
      <c r="I109" s="425"/>
      <c r="J109" s="425"/>
      <c r="K109" s="425"/>
      <c r="L109" s="425"/>
      <c r="M109" s="425"/>
    </row>
    <row r="110" ht="22.5" customHeight="1">
      <c r="A110" s="442">
        <v>45954.78288782407</v>
      </c>
      <c r="B110" s="443" t="s">
        <v>5316</v>
      </c>
      <c r="C110" s="453" t="s">
        <v>1989</v>
      </c>
      <c r="D110" s="454" t="s">
        <v>5480</v>
      </c>
      <c r="E110" s="443" t="s">
        <v>4395</v>
      </c>
      <c r="F110" s="446" t="s">
        <v>5298</v>
      </c>
      <c r="G110" s="447">
        <v>1.0</v>
      </c>
      <c r="H110" s="425"/>
      <c r="I110" s="425"/>
      <c r="J110" s="425"/>
      <c r="K110" s="425"/>
      <c r="L110" s="425"/>
      <c r="M110" s="425"/>
    </row>
    <row r="111" ht="22.5" customHeight="1">
      <c r="A111" s="461">
        <v>45955.409610902774</v>
      </c>
      <c r="B111" s="462" t="s">
        <v>5316</v>
      </c>
      <c r="C111" s="466" t="s">
        <v>2063</v>
      </c>
      <c r="D111" s="464" t="s">
        <v>5481</v>
      </c>
      <c r="E111" s="462" t="s">
        <v>5482</v>
      </c>
      <c r="F111" s="465" t="s">
        <v>4711</v>
      </c>
      <c r="G111" s="447">
        <v>1.0</v>
      </c>
      <c r="H111" s="425"/>
      <c r="I111" s="425"/>
      <c r="J111" s="425"/>
      <c r="K111" s="425"/>
      <c r="L111" s="425"/>
      <c r="M111" s="425"/>
    </row>
    <row r="112" ht="22.5" customHeight="1">
      <c r="A112" s="455">
        <v>45955.42265418981</v>
      </c>
      <c r="B112" s="456" t="s">
        <v>5316</v>
      </c>
      <c r="C112" s="467" t="s">
        <v>5483</v>
      </c>
      <c r="D112" s="458" t="s">
        <v>5484</v>
      </c>
      <c r="E112" s="456" t="s">
        <v>4395</v>
      </c>
      <c r="F112" s="459" t="s">
        <v>4565</v>
      </c>
      <c r="G112" s="447">
        <v>1.0</v>
      </c>
      <c r="H112" s="425"/>
      <c r="I112" s="425"/>
      <c r="J112" s="425"/>
      <c r="K112" s="425"/>
      <c r="L112" s="425"/>
      <c r="M112" s="425"/>
    </row>
    <row r="113" ht="22.5" customHeight="1">
      <c r="A113" s="461">
        <v>45955.366648125</v>
      </c>
      <c r="B113" s="462" t="s">
        <v>5316</v>
      </c>
      <c r="C113" s="466" t="s">
        <v>2067</v>
      </c>
      <c r="D113" s="464" t="s">
        <v>5485</v>
      </c>
      <c r="E113" s="462" t="s">
        <v>4404</v>
      </c>
      <c r="F113" s="465" t="s">
        <v>4711</v>
      </c>
      <c r="G113" s="447">
        <v>1.0</v>
      </c>
      <c r="H113" s="425"/>
      <c r="I113" s="425"/>
      <c r="J113" s="425"/>
      <c r="K113" s="425"/>
      <c r="L113" s="425"/>
      <c r="M113" s="425"/>
    </row>
    <row r="114" ht="22.5" customHeight="1">
      <c r="A114" s="442">
        <v>45955.415922361106</v>
      </c>
      <c r="B114" s="443" t="s">
        <v>5312</v>
      </c>
      <c r="C114" s="444" t="s">
        <v>2217</v>
      </c>
      <c r="D114" s="454" t="s">
        <v>5486</v>
      </c>
      <c r="E114" s="443" t="s">
        <v>5487</v>
      </c>
      <c r="F114" s="446" t="s">
        <v>5370</v>
      </c>
      <c r="G114" s="447">
        <v>1.0</v>
      </c>
      <c r="H114" s="425"/>
      <c r="I114" s="425"/>
      <c r="J114" s="425"/>
      <c r="K114" s="425"/>
      <c r="L114" s="425"/>
      <c r="M114" s="425"/>
    </row>
    <row r="115" ht="22.5" customHeight="1">
      <c r="A115" s="448">
        <v>45955.42702042824</v>
      </c>
      <c r="B115" s="449" t="s">
        <v>5316</v>
      </c>
      <c r="C115" s="450" t="s">
        <v>1995</v>
      </c>
      <c r="D115" s="451" t="s">
        <v>5488</v>
      </c>
      <c r="E115" s="449" t="s">
        <v>5489</v>
      </c>
      <c r="F115" s="452" t="s">
        <v>4938</v>
      </c>
      <c r="G115" s="447">
        <v>1.0</v>
      </c>
      <c r="H115" s="425"/>
      <c r="I115" s="425"/>
      <c r="J115" s="425"/>
      <c r="K115" s="425"/>
      <c r="L115" s="425"/>
      <c r="M115" s="425"/>
    </row>
    <row r="116" ht="22.5" customHeight="1">
      <c r="A116" s="442">
        <v>45955.42828807871</v>
      </c>
      <c r="B116" s="443" t="s">
        <v>5316</v>
      </c>
      <c r="C116" s="444" t="s">
        <v>1846</v>
      </c>
      <c r="D116" s="454" t="s">
        <v>5490</v>
      </c>
      <c r="E116" s="443" t="s">
        <v>4425</v>
      </c>
      <c r="F116" s="446" t="s">
        <v>5292</v>
      </c>
      <c r="G116" s="447">
        <v>1.0</v>
      </c>
      <c r="H116" s="425"/>
      <c r="I116" s="425"/>
      <c r="J116" s="425"/>
      <c r="K116" s="425"/>
      <c r="L116" s="425"/>
      <c r="M116" s="425"/>
    </row>
    <row r="117" ht="22.5" customHeight="1">
      <c r="A117" s="461">
        <v>45955.426158726856</v>
      </c>
      <c r="B117" s="462" t="s">
        <v>5316</v>
      </c>
      <c r="C117" s="466" t="s">
        <v>5491</v>
      </c>
      <c r="D117" s="464" t="s">
        <v>5492</v>
      </c>
      <c r="E117" s="462" t="s">
        <v>5493</v>
      </c>
      <c r="F117" s="465" t="s">
        <v>2507</v>
      </c>
      <c r="G117" s="447">
        <v>1.0</v>
      </c>
      <c r="H117" s="425"/>
      <c r="I117" s="425"/>
      <c r="J117" s="425"/>
      <c r="K117" s="425"/>
      <c r="L117" s="425"/>
      <c r="M117" s="425"/>
    </row>
    <row r="118" ht="22.5" customHeight="1">
      <c r="A118" s="455">
        <v>45955.41546993055</v>
      </c>
      <c r="B118" s="456" t="s">
        <v>5316</v>
      </c>
      <c r="C118" s="457" t="s">
        <v>2403</v>
      </c>
      <c r="D118" s="458" t="s">
        <v>5494</v>
      </c>
      <c r="E118" s="456" t="s">
        <v>5495</v>
      </c>
      <c r="F118" s="459" t="s">
        <v>4559</v>
      </c>
      <c r="G118" s="447">
        <v>1.0</v>
      </c>
      <c r="H118" s="425"/>
      <c r="I118" s="425"/>
      <c r="J118" s="425"/>
      <c r="K118" s="425"/>
      <c r="L118" s="425"/>
      <c r="M118" s="425"/>
    </row>
    <row r="119" ht="22.5" customHeight="1">
      <c r="A119" s="448">
        <v>45954.65146652778</v>
      </c>
      <c r="B119" s="449" t="s">
        <v>5316</v>
      </c>
      <c r="C119" s="460" t="s">
        <v>2219</v>
      </c>
      <c r="D119" s="451" t="s">
        <v>5496</v>
      </c>
      <c r="E119" s="449" t="s">
        <v>4401</v>
      </c>
      <c r="F119" s="452" t="s">
        <v>2997</v>
      </c>
      <c r="G119" s="447">
        <v>1.0</v>
      </c>
      <c r="H119" s="425"/>
      <c r="I119" s="425"/>
      <c r="J119" s="425"/>
      <c r="K119" s="425"/>
      <c r="L119" s="425"/>
      <c r="M119" s="425"/>
    </row>
    <row r="120" ht="22.5" customHeight="1">
      <c r="A120" s="442">
        <v>45954.81437688657</v>
      </c>
      <c r="B120" s="443" t="s">
        <v>5312</v>
      </c>
      <c r="C120" s="453" t="s">
        <v>2327</v>
      </c>
      <c r="D120" s="454" t="s">
        <v>5497</v>
      </c>
      <c r="E120" s="443" t="s">
        <v>4462</v>
      </c>
      <c r="F120" s="446" t="s">
        <v>5370</v>
      </c>
      <c r="G120" s="447">
        <v>1.0</v>
      </c>
      <c r="H120" s="425"/>
      <c r="I120" s="425"/>
      <c r="J120" s="425"/>
      <c r="K120" s="425"/>
      <c r="L120" s="425"/>
      <c r="M120" s="425"/>
    </row>
    <row r="121" ht="22.5" customHeight="1">
      <c r="A121" s="461">
        <v>45955.42705009259</v>
      </c>
      <c r="B121" s="462" t="s">
        <v>5316</v>
      </c>
      <c r="C121" s="466" t="s">
        <v>1849</v>
      </c>
      <c r="D121" s="464" t="s">
        <v>5498</v>
      </c>
      <c r="E121" s="462" t="s">
        <v>4425</v>
      </c>
      <c r="F121" s="465" t="s">
        <v>4938</v>
      </c>
      <c r="G121" s="447">
        <v>1.0</v>
      </c>
      <c r="H121" s="425"/>
      <c r="I121" s="425"/>
      <c r="J121" s="425"/>
      <c r="K121" s="425"/>
      <c r="L121" s="425"/>
      <c r="M121" s="425"/>
    </row>
    <row r="122" ht="22.5" customHeight="1">
      <c r="A122" s="442">
        <v>45954.67903246528</v>
      </c>
      <c r="B122" s="443" t="s">
        <v>5316</v>
      </c>
      <c r="C122" s="444" t="s">
        <v>5499</v>
      </c>
      <c r="D122" s="454" t="s">
        <v>5500</v>
      </c>
      <c r="E122" s="443" t="s">
        <v>5501</v>
      </c>
      <c r="F122" s="446" t="s">
        <v>5286</v>
      </c>
      <c r="G122" s="447">
        <v>1.0</v>
      </c>
      <c r="H122" s="425"/>
      <c r="I122" s="425"/>
      <c r="J122" s="425"/>
      <c r="K122" s="425"/>
      <c r="L122" s="425"/>
      <c r="M122" s="425"/>
    </row>
    <row r="123" ht="22.5" customHeight="1">
      <c r="A123" s="461">
        <v>45955.4458853588</v>
      </c>
      <c r="B123" s="462" t="s">
        <v>5312</v>
      </c>
      <c r="C123" s="463" t="s">
        <v>2545</v>
      </c>
      <c r="D123" s="472">
        <v>8.1257571118E10</v>
      </c>
      <c r="E123" s="462" t="s">
        <v>5350</v>
      </c>
      <c r="F123" s="465" t="s">
        <v>2495</v>
      </c>
      <c r="G123" s="447">
        <v>1.0</v>
      </c>
      <c r="H123" s="425"/>
      <c r="I123" s="425"/>
      <c r="J123" s="425"/>
      <c r="K123" s="425"/>
      <c r="L123" s="425"/>
      <c r="M123" s="425"/>
    </row>
    <row r="124" ht="22.5" customHeight="1">
      <c r="A124" s="473">
        <v>45955.43140685185</v>
      </c>
      <c r="B124" s="474" t="s">
        <v>5312</v>
      </c>
      <c r="C124" s="475" t="s">
        <v>2259</v>
      </c>
      <c r="D124" s="476" t="s">
        <v>5502</v>
      </c>
      <c r="E124" s="474" t="s">
        <v>5344</v>
      </c>
      <c r="F124" s="477" t="s">
        <v>5282</v>
      </c>
      <c r="G124" s="447">
        <v>1.0</v>
      </c>
      <c r="H124" s="425"/>
      <c r="I124" s="425"/>
      <c r="J124" s="425"/>
      <c r="K124" s="425"/>
      <c r="L124" s="425"/>
      <c r="M124" s="425"/>
    </row>
    <row r="125" ht="22.5" customHeight="1">
      <c r="A125" s="473">
        <v>45955.41036517361</v>
      </c>
      <c r="B125" s="478" t="s">
        <v>5312</v>
      </c>
      <c r="C125" s="479" t="s">
        <v>5503</v>
      </c>
      <c r="D125" s="480" t="s">
        <v>5504</v>
      </c>
      <c r="E125" s="478" t="s">
        <v>5505</v>
      </c>
      <c r="F125" s="478" t="s">
        <v>5295</v>
      </c>
      <c r="G125" s="447">
        <v>1.0</v>
      </c>
      <c r="H125" s="425"/>
      <c r="I125" s="425"/>
      <c r="J125" s="425"/>
      <c r="K125" s="425"/>
      <c r="L125" s="425"/>
      <c r="M125" s="425"/>
    </row>
    <row r="126">
      <c r="A126" s="425"/>
      <c r="B126" s="425"/>
      <c r="C126" s="425"/>
      <c r="D126" s="425"/>
      <c r="E126" s="425"/>
      <c r="F126" s="425"/>
      <c r="G126" s="425"/>
      <c r="H126" s="425"/>
      <c r="I126" s="425"/>
      <c r="J126" s="425"/>
      <c r="K126" s="425"/>
      <c r="L126" s="425"/>
      <c r="M126" s="425"/>
    </row>
    <row r="127">
      <c r="A127" s="425"/>
      <c r="B127" s="425"/>
      <c r="C127" s="425"/>
      <c r="D127" s="425"/>
      <c r="E127" s="425"/>
      <c r="F127" s="425"/>
      <c r="G127" s="425"/>
      <c r="H127" s="425"/>
      <c r="I127" s="425"/>
      <c r="J127" s="425"/>
      <c r="K127" s="425"/>
      <c r="L127" s="425"/>
      <c r="M127" s="425"/>
    </row>
    <row r="128">
      <c r="A128" s="425"/>
      <c r="B128" s="425"/>
      <c r="C128" s="425"/>
      <c r="D128" s="425"/>
      <c r="E128" s="425"/>
      <c r="F128" s="425"/>
      <c r="G128" s="425"/>
      <c r="H128" s="425"/>
      <c r="I128" s="425"/>
      <c r="J128" s="425"/>
      <c r="K128" s="425"/>
      <c r="L128" s="425"/>
      <c r="M128" s="425"/>
    </row>
    <row r="129">
      <c r="A129" s="425"/>
      <c r="B129" s="425"/>
      <c r="C129" s="425"/>
      <c r="D129" s="425"/>
      <c r="E129" s="425"/>
      <c r="F129" s="425"/>
      <c r="G129" s="425"/>
      <c r="H129" s="425"/>
      <c r="I129" s="425"/>
      <c r="J129" s="425"/>
      <c r="K129" s="425"/>
      <c r="L129" s="425"/>
      <c r="M129" s="425"/>
    </row>
    <row r="130">
      <c r="A130" s="425"/>
      <c r="B130" s="425"/>
      <c r="C130" s="425"/>
      <c r="D130" s="425"/>
      <c r="E130" s="425"/>
      <c r="F130" s="425"/>
      <c r="G130" s="425"/>
      <c r="H130" s="425"/>
      <c r="I130" s="425"/>
      <c r="J130" s="425"/>
      <c r="K130" s="425"/>
      <c r="L130" s="425"/>
      <c r="M130" s="425"/>
    </row>
    <row r="131">
      <c r="A131" s="425"/>
      <c r="B131" s="425"/>
      <c r="C131" s="425"/>
      <c r="D131" s="425"/>
      <c r="E131" s="425"/>
      <c r="F131" s="425"/>
      <c r="G131" s="425"/>
      <c r="H131" s="425"/>
      <c r="I131" s="425"/>
      <c r="J131" s="425"/>
      <c r="K131" s="425"/>
      <c r="L131" s="425"/>
      <c r="M131" s="425"/>
    </row>
    <row r="132">
      <c r="A132" s="425"/>
      <c r="B132" s="425"/>
      <c r="C132" s="425"/>
      <c r="D132" s="425"/>
      <c r="E132" s="425"/>
      <c r="F132" s="425"/>
      <c r="G132" s="425"/>
      <c r="H132" s="425"/>
      <c r="I132" s="425"/>
      <c r="J132" s="425"/>
      <c r="K132" s="425"/>
      <c r="L132" s="425"/>
      <c r="M132" s="425"/>
    </row>
    <row r="133">
      <c r="A133" s="425"/>
      <c r="B133" s="425"/>
      <c r="C133" s="425"/>
      <c r="D133" s="425"/>
      <c r="E133" s="425"/>
      <c r="F133" s="425"/>
      <c r="G133" s="425"/>
      <c r="H133" s="425"/>
      <c r="I133" s="425"/>
      <c r="J133" s="425"/>
      <c r="K133" s="425"/>
      <c r="L133" s="425"/>
      <c r="M133" s="425"/>
    </row>
    <row r="134">
      <c r="A134" s="425"/>
      <c r="B134" s="425"/>
      <c r="C134" s="425"/>
      <c r="D134" s="425"/>
      <c r="E134" s="425"/>
      <c r="F134" s="425"/>
      <c r="G134" s="425"/>
      <c r="H134" s="425"/>
      <c r="I134" s="425"/>
      <c r="J134" s="425"/>
      <c r="K134" s="425"/>
      <c r="L134" s="425"/>
      <c r="M134" s="425"/>
    </row>
    <row r="135">
      <c r="A135" s="425"/>
      <c r="B135" s="425"/>
      <c r="C135" s="425"/>
      <c r="D135" s="425"/>
      <c r="E135" s="425"/>
      <c r="F135" s="425"/>
      <c r="G135" s="425"/>
      <c r="H135" s="425"/>
      <c r="I135" s="425"/>
      <c r="J135" s="425"/>
      <c r="K135" s="425"/>
      <c r="L135" s="425"/>
      <c r="M135" s="425"/>
    </row>
    <row r="136">
      <c r="A136" s="425"/>
      <c r="B136" s="425"/>
      <c r="C136" s="425"/>
      <c r="D136" s="425"/>
      <c r="E136" s="425"/>
      <c r="F136" s="425"/>
      <c r="G136" s="425"/>
      <c r="H136" s="425"/>
      <c r="I136" s="425"/>
      <c r="J136" s="425"/>
      <c r="K136" s="425"/>
      <c r="L136" s="425"/>
      <c r="M136" s="425"/>
    </row>
    <row r="137">
      <c r="A137" s="425"/>
      <c r="B137" s="425"/>
      <c r="C137" s="425"/>
      <c r="D137" s="425"/>
      <c r="E137" s="425"/>
      <c r="F137" s="425"/>
      <c r="G137" s="425"/>
      <c r="H137" s="425"/>
      <c r="I137" s="425"/>
      <c r="J137" s="425"/>
      <c r="K137" s="425"/>
      <c r="L137" s="425"/>
      <c r="M137" s="425"/>
    </row>
    <row r="138">
      <c r="A138" s="425"/>
      <c r="B138" s="425"/>
      <c r="C138" s="425"/>
      <c r="D138" s="425"/>
      <c r="E138" s="425"/>
      <c r="F138" s="425"/>
      <c r="G138" s="425"/>
      <c r="H138" s="425"/>
      <c r="I138" s="425"/>
      <c r="J138" s="425"/>
      <c r="K138" s="425"/>
      <c r="L138" s="425"/>
      <c r="M138" s="425"/>
    </row>
    <row r="139">
      <c r="A139" s="425"/>
      <c r="B139" s="425"/>
      <c r="C139" s="425"/>
      <c r="D139" s="425"/>
      <c r="E139" s="425"/>
      <c r="F139" s="425"/>
      <c r="G139" s="425"/>
      <c r="H139" s="425"/>
      <c r="I139" s="425"/>
      <c r="J139" s="425"/>
      <c r="K139" s="425"/>
      <c r="L139" s="425"/>
      <c r="M139" s="425"/>
    </row>
    <row r="140">
      <c r="A140" s="425"/>
      <c r="B140" s="425"/>
      <c r="C140" s="425"/>
      <c r="D140" s="425"/>
      <c r="E140" s="425"/>
      <c r="F140" s="425"/>
      <c r="G140" s="425"/>
      <c r="H140" s="425"/>
      <c r="I140" s="425"/>
      <c r="J140" s="425"/>
      <c r="K140" s="425"/>
      <c r="L140" s="425"/>
      <c r="M140" s="425"/>
    </row>
    <row r="141">
      <c r="A141" s="425"/>
      <c r="B141" s="425"/>
      <c r="C141" s="425"/>
      <c r="D141" s="425"/>
      <c r="E141" s="425"/>
      <c r="F141" s="425"/>
      <c r="G141" s="425"/>
      <c r="H141" s="425"/>
      <c r="I141" s="425"/>
      <c r="J141" s="425"/>
      <c r="K141" s="425"/>
      <c r="L141" s="425"/>
      <c r="M141" s="425"/>
    </row>
    <row r="142">
      <c r="A142" s="425"/>
      <c r="B142" s="425"/>
      <c r="C142" s="425"/>
      <c r="D142" s="425"/>
      <c r="E142" s="425"/>
      <c r="F142" s="425"/>
      <c r="G142" s="425"/>
      <c r="H142" s="425"/>
      <c r="I142" s="425"/>
      <c r="J142" s="425"/>
      <c r="K142" s="425"/>
      <c r="L142" s="425"/>
      <c r="M142" s="425"/>
    </row>
    <row r="143">
      <c r="A143" s="425"/>
      <c r="B143" s="425"/>
      <c r="C143" s="425"/>
      <c r="D143" s="425"/>
      <c r="E143" s="425"/>
      <c r="F143" s="425"/>
      <c r="G143" s="425"/>
      <c r="H143" s="425"/>
      <c r="I143" s="425"/>
      <c r="J143" s="425"/>
      <c r="K143" s="425"/>
      <c r="L143" s="425"/>
      <c r="M143" s="425"/>
    </row>
    <row r="144">
      <c r="A144" s="425"/>
      <c r="B144" s="425"/>
      <c r="C144" s="425"/>
      <c r="D144" s="425"/>
      <c r="E144" s="425"/>
      <c r="F144" s="425"/>
      <c r="G144" s="425"/>
      <c r="H144" s="425"/>
      <c r="I144" s="425"/>
      <c r="J144" s="425"/>
      <c r="K144" s="425"/>
      <c r="L144" s="425"/>
      <c r="M144" s="425"/>
    </row>
    <row r="145">
      <c r="A145" s="425"/>
      <c r="B145" s="425"/>
      <c r="C145" s="425"/>
      <c r="D145" s="425"/>
      <c r="E145" s="425"/>
      <c r="F145" s="425"/>
      <c r="G145" s="425"/>
      <c r="H145" s="425"/>
      <c r="I145" s="425"/>
      <c r="J145" s="425"/>
      <c r="K145" s="425"/>
      <c r="L145" s="425"/>
      <c r="M145" s="425"/>
    </row>
    <row r="146">
      <c r="A146" s="425"/>
      <c r="B146" s="425"/>
      <c r="C146" s="425"/>
      <c r="D146" s="425"/>
      <c r="E146" s="425"/>
      <c r="F146" s="425"/>
      <c r="G146" s="425"/>
      <c r="H146" s="425"/>
      <c r="I146" s="425"/>
      <c r="J146" s="425"/>
      <c r="K146" s="425"/>
      <c r="L146" s="425"/>
      <c r="M146" s="425"/>
    </row>
    <row r="147">
      <c r="A147" s="425"/>
      <c r="B147" s="425"/>
      <c r="C147" s="425"/>
      <c r="D147" s="425"/>
      <c r="E147" s="425"/>
      <c r="F147" s="425"/>
      <c r="G147" s="425"/>
      <c r="H147" s="425"/>
      <c r="I147" s="425"/>
      <c r="J147" s="425"/>
      <c r="K147" s="425"/>
      <c r="L147" s="425"/>
      <c r="M147" s="425"/>
    </row>
    <row r="148">
      <c r="A148" s="425"/>
      <c r="B148" s="425"/>
      <c r="C148" s="425"/>
      <c r="D148" s="425"/>
      <c r="E148" s="425"/>
      <c r="F148" s="425"/>
      <c r="G148" s="425"/>
      <c r="H148" s="425"/>
      <c r="I148" s="425"/>
      <c r="J148" s="425"/>
      <c r="K148" s="425"/>
      <c r="L148" s="425"/>
      <c r="M148" s="425"/>
    </row>
    <row r="149">
      <c r="A149" s="425"/>
      <c r="B149" s="425"/>
      <c r="C149" s="425"/>
      <c r="D149" s="425"/>
      <c r="E149" s="425"/>
      <c r="F149" s="425"/>
      <c r="G149" s="425"/>
      <c r="H149" s="425"/>
      <c r="I149" s="425"/>
      <c r="J149" s="425"/>
      <c r="K149" s="425"/>
      <c r="L149" s="425"/>
      <c r="M149" s="425"/>
    </row>
    <row r="150">
      <c r="A150" s="425"/>
      <c r="B150" s="425"/>
      <c r="C150" s="425"/>
      <c r="D150" s="425"/>
      <c r="E150" s="425"/>
      <c r="F150" s="425"/>
      <c r="G150" s="425"/>
      <c r="H150" s="425"/>
      <c r="I150" s="425"/>
      <c r="J150" s="425"/>
      <c r="K150" s="425"/>
      <c r="L150" s="425"/>
      <c r="M150" s="425"/>
    </row>
    <row r="151">
      <c r="A151" s="425"/>
      <c r="B151" s="425"/>
      <c r="C151" s="425"/>
      <c r="D151" s="425"/>
      <c r="E151" s="425"/>
      <c r="F151" s="425"/>
      <c r="G151" s="425"/>
      <c r="H151" s="425"/>
      <c r="I151" s="425"/>
      <c r="J151" s="425"/>
      <c r="K151" s="425"/>
      <c r="L151" s="425"/>
      <c r="M151" s="425"/>
    </row>
    <row r="152">
      <c r="A152" s="425"/>
      <c r="B152" s="425"/>
      <c r="C152" s="425"/>
      <c r="D152" s="425"/>
      <c r="E152" s="425"/>
      <c r="F152" s="425"/>
      <c r="G152" s="425"/>
      <c r="H152" s="425"/>
      <c r="I152" s="425"/>
      <c r="J152" s="425"/>
      <c r="K152" s="425"/>
      <c r="L152" s="425"/>
      <c r="M152" s="425"/>
    </row>
    <row r="153">
      <c r="A153" s="425"/>
      <c r="B153" s="425"/>
      <c r="C153" s="425"/>
      <c r="D153" s="425"/>
      <c r="E153" s="425"/>
      <c r="F153" s="425"/>
      <c r="G153" s="425"/>
      <c r="H153" s="425"/>
      <c r="I153" s="425"/>
      <c r="J153" s="425"/>
      <c r="K153" s="425"/>
      <c r="L153" s="425"/>
      <c r="M153" s="425"/>
    </row>
    <row r="154">
      <c r="A154" s="425"/>
      <c r="B154" s="425"/>
      <c r="C154" s="425"/>
      <c r="D154" s="425"/>
      <c r="E154" s="425"/>
      <c r="F154" s="425"/>
      <c r="G154" s="425"/>
      <c r="H154" s="425"/>
      <c r="I154" s="425"/>
      <c r="J154" s="425"/>
      <c r="K154" s="425"/>
      <c r="L154" s="425"/>
      <c r="M154" s="425"/>
    </row>
    <row r="155">
      <c r="A155" s="425"/>
      <c r="B155" s="425"/>
      <c r="C155" s="425"/>
      <c r="D155" s="425"/>
      <c r="E155" s="425"/>
      <c r="F155" s="425"/>
      <c r="G155" s="425"/>
      <c r="H155" s="425"/>
      <c r="I155" s="425"/>
      <c r="J155" s="425"/>
      <c r="K155" s="425"/>
      <c r="L155" s="425"/>
      <c r="M155" s="425"/>
    </row>
    <row r="156">
      <c r="A156" s="425"/>
      <c r="B156" s="425"/>
      <c r="C156" s="425"/>
      <c r="D156" s="425"/>
      <c r="E156" s="425"/>
      <c r="F156" s="425"/>
      <c r="G156" s="425"/>
      <c r="H156" s="425"/>
      <c r="I156" s="425"/>
      <c r="J156" s="425"/>
      <c r="K156" s="425"/>
      <c r="L156" s="425"/>
      <c r="M156" s="425"/>
    </row>
    <row r="157">
      <c r="A157" s="425"/>
      <c r="B157" s="425"/>
      <c r="C157" s="425"/>
      <c r="D157" s="425"/>
      <c r="E157" s="425"/>
      <c r="F157" s="425"/>
      <c r="G157" s="425"/>
      <c r="H157" s="425"/>
      <c r="I157" s="425"/>
      <c r="J157" s="425"/>
      <c r="K157" s="425"/>
      <c r="L157" s="425"/>
      <c r="M157" s="425"/>
    </row>
    <row r="158">
      <c r="A158" s="425"/>
      <c r="B158" s="425"/>
      <c r="C158" s="425"/>
      <c r="D158" s="425"/>
      <c r="E158" s="425"/>
      <c r="F158" s="425"/>
      <c r="G158" s="425"/>
      <c r="H158" s="425"/>
      <c r="I158" s="425"/>
      <c r="J158" s="425"/>
      <c r="K158" s="425"/>
      <c r="L158" s="425"/>
      <c r="M158" s="425"/>
    </row>
    <row r="159">
      <c r="A159" s="425"/>
      <c r="B159" s="425"/>
      <c r="C159" s="425"/>
      <c r="D159" s="425"/>
      <c r="E159" s="425"/>
      <c r="F159" s="425"/>
      <c r="G159" s="425"/>
      <c r="H159" s="425"/>
      <c r="I159" s="425"/>
      <c r="J159" s="425"/>
      <c r="K159" s="425"/>
      <c r="L159" s="425"/>
      <c r="M159" s="425"/>
    </row>
    <row r="160">
      <c r="A160" s="425"/>
      <c r="B160" s="425"/>
      <c r="C160" s="425"/>
      <c r="D160" s="425"/>
      <c r="E160" s="425"/>
      <c r="F160" s="425"/>
      <c r="G160" s="425"/>
      <c r="H160" s="425"/>
      <c r="I160" s="425"/>
      <c r="J160" s="425"/>
      <c r="K160" s="425"/>
      <c r="L160" s="425"/>
      <c r="M160" s="425"/>
    </row>
    <row r="161">
      <c r="A161" s="425"/>
      <c r="B161" s="425"/>
      <c r="C161" s="425"/>
      <c r="D161" s="425"/>
      <c r="E161" s="425"/>
      <c r="F161" s="425"/>
      <c r="G161" s="425"/>
      <c r="H161" s="425"/>
      <c r="I161" s="425"/>
      <c r="J161" s="425"/>
      <c r="K161" s="425"/>
      <c r="L161" s="425"/>
      <c r="M161" s="425"/>
    </row>
    <row r="162">
      <c r="A162" s="425"/>
      <c r="B162" s="425"/>
      <c r="C162" s="425"/>
      <c r="D162" s="425"/>
      <c r="E162" s="425"/>
      <c r="F162" s="425"/>
      <c r="G162" s="425"/>
      <c r="H162" s="425"/>
      <c r="I162" s="425"/>
      <c r="J162" s="425"/>
      <c r="K162" s="425"/>
      <c r="L162" s="425"/>
      <c r="M162" s="425"/>
    </row>
    <row r="163">
      <c r="A163" s="425"/>
      <c r="B163" s="425"/>
      <c r="C163" s="425"/>
      <c r="D163" s="425"/>
      <c r="E163" s="425"/>
      <c r="F163" s="425"/>
      <c r="G163" s="425"/>
      <c r="H163" s="425"/>
      <c r="I163" s="425"/>
      <c r="J163" s="425"/>
      <c r="K163" s="425"/>
      <c r="L163" s="425"/>
      <c r="M163" s="425"/>
    </row>
    <row r="164">
      <c r="A164" s="425"/>
      <c r="B164" s="425"/>
      <c r="C164" s="425"/>
      <c r="D164" s="425"/>
      <c r="E164" s="425"/>
      <c r="F164" s="425"/>
      <c r="G164" s="425"/>
      <c r="H164" s="425"/>
      <c r="I164" s="425"/>
      <c r="J164" s="425"/>
      <c r="K164" s="425"/>
      <c r="L164" s="425"/>
      <c r="M164" s="425"/>
    </row>
    <row r="165">
      <c r="A165" s="425"/>
      <c r="B165" s="425"/>
      <c r="C165" s="425"/>
      <c r="D165" s="425"/>
      <c r="E165" s="425"/>
      <c r="F165" s="425"/>
      <c r="G165" s="425"/>
      <c r="H165" s="425"/>
      <c r="I165" s="425"/>
      <c r="J165" s="425"/>
      <c r="K165" s="425"/>
      <c r="L165" s="425"/>
      <c r="M165" s="425"/>
    </row>
    <row r="166">
      <c r="A166" s="425"/>
      <c r="B166" s="425"/>
      <c r="C166" s="425"/>
      <c r="D166" s="425"/>
      <c r="E166" s="425"/>
      <c r="F166" s="425"/>
      <c r="G166" s="425"/>
      <c r="H166" s="425"/>
      <c r="I166" s="425"/>
      <c r="J166" s="425"/>
      <c r="K166" s="425"/>
      <c r="L166" s="425"/>
      <c r="M166" s="425"/>
    </row>
    <row r="167">
      <c r="A167" s="425"/>
      <c r="B167" s="425"/>
      <c r="C167" s="425"/>
      <c r="D167" s="425"/>
      <c r="E167" s="425"/>
      <c r="F167" s="425"/>
      <c r="G167" s="425"/>
      <c r="H167" s="425"/>
      <c r="I167" s="425"/>
      <c r="J167" s="425"/>
      <c r="K167" s="425"/>
      <c r="L167" s="425"/>
      <c r="M167" s="425"/>
    </row>
    <row r="168">
      <c r="A168" s="425"/>
      <c r="B168" s="425"/>
      <c r="C168" s="425"/>
      <c r="D168" s="425"/>
      <c r="E168" s="425"/>
      <c r="F168" s="425"/>
      <c r="G168" s="425"/>
      <c r="H168" s="425"/>
      <c r="I168" s="425"/>
      <c r="J168" s="425"/>
      <c r="K168" s="425"/>
      <c r="L168" s="425"/>
      <c r="M168" s="425"/>
    </row>
    <row r="169">
      <c r="A169" s="425"/>
      <c r="B169" s="425"/>
      <c r="C169" s="425"/>
      <c r="D169" s="425"/>
      <c r="E169" s="425"/>
      <c r="F169" s="425"/>
      <c r="G169" s="425"/>
      <c r="H169" s="425"/>
      <c r="I169" s="425"/>
      <c r="J169" s="425"/>
      <c r="K169" s="425"/>
      <c r="L169" s="425"/>
      <c r="M169" s="425"/>
    </row>
    <row r="170">
      <c r="A170" s="425"/>
      <c r="B170" s="425"/>
      <c r="C170" s="425"/>
      <c r="D170" s="425"/>
      <c r="E170" s="425"/>
      <c r="F170" s="425"/>
      <c r="G170" s="425"/>
      <c r="H170" s="425"/>
      <c r="I170" s="425"/>
      <c r="J170" s="425"/>
      <c r="K170" s="425"/>
      <c r="L170" s="425"/>
      <c r="M170" s="425"/>
    </row>
    <row r="171">
      <c r="A171" s="425"/>
      <c r="B171" s="425"/>
      <c r="C171" s="425"/>
      <c r="D171" s="425"/>
      <c r="E171" s="425"/>
      <c r="F171" s="425"/>
      <c r="G171" s="425"/>
      <c r="H171" s="425"/>
      <c r="I171" s="425"/>
      <c r="J171" s="425"/>
      <c r="K171" s="425"/>
      <c r="L171" s="425"/>
      <c r="M171" s="425"/>
    </row>
    <row r="172">
      <c r="A172" s="425"/>
      <c r="B172" s="425"/>
      <c r="C172" s="425"/>
      <c r="D172" s="425"/>
      <c r="E172" s="425"/>
      <c r="F172" s="425"/>
      <c r="G172" s="425"/>
      <c r="H172" s="425"/>
      <c r="I172" s="425"/>
      <c r="J172" s="425"/>
      <c r="K172" s="425"/>
      <c r="L172" s="425"/>
      <c r="M172" s="425"/>
    </row>
    <row r="173">
      <c r="A173" s="425"/>
      <c r="B173" s="425"/>
      <c r="C173" s="425"/>
      <c r="D173" s="425"/>
      <c r="E173" s="425"/>
      <c r="F173" s="425"/>
      <c r="G173" s="425"/>
      <c r="H173" s="425"/>
      <c r="I173" s="425"/>
      <c r="J173" s="425"/>
      <c r="K173" s="425"/>
      <c r="L173" s="425"/>
      <c r="M173" s="425"/>
    </row>
    <row r="174">
      <c r="A174" s="425"/>
      <c r="B174" s="425"/>
      <c r="C174" s="425"/>
      <c r="D174" s="425"/>
      <c r="E174" s="425"/>
      <c r="F174" s="425"/>
      <c r="G174" s="425"/>
      <c r="H174" s="425"/>
      <c r="I174" s="425"/>
      <c r="J174" s="425"/>
      <c r="K174" s="425"/>
      <c r="L174" s="425"/>
      <c r="M174" s="425"/>
    </row>
    <row r="175">
      <c r="A175" s="425"/>
      <c r="B175" s="425"/>
      <c r="C175" s="425"/>
      <c r="D175" s="425"/>
      <c r="E175" s="425"/>
      <c r="F175" s="425"/>
      <c r="G175" s="425"/>
      <c r="H175" s="425"/>
      <c r="I175" s="425"/>
      <c r="J175" s="425"/>
      <c r="K175" s="425"/>
      <c r="L175" s="425"/>
      <c r="M175" s="425"/>
    </row>
    <row r="176">
      <c r="A176" s="425"/>
      <c r="B176" s="425"/>
      <c r="C176" s="425"/>
      <c r="D176" s="425"/>
      <c r="E176" s="425"/>
      <c r="F176" s="425"/>
      <c r="G176" s="425"/>
      <c r="H176" s="425"/>
      <c r="I176" s="425"/>
      <c r="J176" s="425"/>
      <c r="K176" s="425"/>
      <c r="L176" s="425"/>
      <c r="M176" s="425"/>
    </row>
    <row r="177">
      <c r="A177" s="425"/>
      <c r="B177" s="425"/>
      <c r="C177" s="425"/>
      <c r="D177" s="425"/>
      <c r="E177" s="425"/>
      <c r="F177" s="425"/>
      <c r="G177" s="425"/>
      <c r="H177" s="425"/>
      <c r="I177" s="425"/>
      <c r="J177" s="425"/>
      <c r="K177" s="425"/>
      <c r="L177" s="425"/>
      <c r="M177" s="425"/>
    </row>
    <row r="178">
      <c r="A178" s="425"/>
      <c r="B178" s="425"/>
      <c r="C178" s="425"/>
      <c r="D178" s="425"/>
      <c r="E178" s="425"/>
      <c r="F178" s="425"/>
      <c r="G178" s="425"/>
      <c r="H178" s="425"/>
      <c r="I178" s="425"/>
      <c r="J178" s="425"/>
      <c r="K178" s="425"/>
      <c r="L178" s="425"/>
      <c r="M178" s="425"/>
    </row>
    <row r="179">
      <c r="A179" s="425"/>
      <c r="B179" s="425"/>
      <c r="C179" s="425"/>
      <c r="D179" s="425"/>
      <c r="E179" s="425"/>
      <c r="F179" s="425"/>
      <c r="G179" s="425"/>
      <c r="H179" s="425"/>
      <c r="I179" s="425"/>
      <c r="J179" s="425"/>
      <c r="K179" s="425"/>
      <c r="L179" s="425"/>
      <c r="M179" s="425"/>
    </row>
    <row r="180">
      <c r="A180" s="425"/>
      <c r="B180" s="425"/>
      <c r="C180" s="425"/>
      <c r="D180" s="425"/>
      <c r="E180" s="425"/>
      <c r="F180" s="425"/>
      <c r="G180" s="425"/>
      <c r="H180" s="425"/>
      <c r="I180" s="425"/>
      <c r="J180" s="425"/>
      <c r="K180" s="425"/>
      <c r="L180" s="425"/>
      <c r="M180" s="425"/>
    </row>
    <row r="181">
      <c r="A181" s="425"/>
      <c r="B181" s="425"/>
      <c r="C181" s="425"/>
      <c r="D181" s="425"/>
      <c r="E181" s="425"/>
      <c r="F181" s="425"/>
      <c r="G181" s="425"/>
      <c r="H181" s="425"/>
      <c r="I181" s="425"/>
      <c r="J181" s="425"/>
      <c r="K181" s="425"/>
      <c r="L181" s="425"/>
      <c r="M181" s="425"/>
    </row>
    <row r="182">
      <c r="A182" s="425"/>
      <c r="B182" s="425"/>
      <c r="C182" s="425"/>
      <c r="D182" s="425"/>
      <c r="E182" s="425"/>
      <c r="F182" s="425"/>
      <c r="G182" s="425"/>
      <c r="H182" s="425"/>
      <c r="I182" s="425"/>
      <c r="J182" s="425"/>
      <c r="K182" s="425"/>
      <c r="L182" s="425"/>
      <c r="M182" s="425"/>
    </row>
    <row r="183">
      <c r="A183" s="425"/>
      <c r="B183" s="425"/>
      <c r="C183" s="425"/>
      <c r="D183" s="425"/>
      <c r="E183" s="425"/>
      <c r="F183" s="425"/>
      <c r="G183" s="425"/>
      <c r="H183" s="425"/>
      <c r="I183" s="425"/>
      <c r="J183" s="425"/>
      <c r="K183" s="425"/>
      <c r="L183" s="425"/>
      <c r="M183" s="425"/>
    </row>
    <row r="184">
      <c r="A184" s="425"/>
      <c r="B184" s="425"/>
      <c r="C184" s="425"/>
      <c r="D184" s="425"/>
      <c r="E184" s="425"/>
      <c r="F184" s="425"/>
      <c r="G184" s="425"/>
      <c r="H184" s="425"/>
      <c r="I184" s="425"/>
      <c r="J184" s="425"/>
      <c r="K184" s="425"/>
      <c r="L184" s="425"/>
      <c r="M184" s="425"/>
    </row>
    <row r="185">
      <c r="A185" s="425"/>
      <c r="B185" s="425"/>
      <c r="C185" s="425"/>
      <c r="D185" s="425"/>
      <c r="E185" s="425"/>
      <c r="F185" s="425"/>
      <c r="G185" s="425"/>
      <c r="H185" s="425"/>
      <c r="I185" s="425"/>
      <c r="J185" s="425"/>
      <c r="K185" s="425"/>
      <c r="L185" s="425"/>
      <c r="M185" s="425"/>
    </row>
    <row r="186">
      <c r="A186" s="425"/>
      <c r="B186" s="425"/>
      <c r="C186" s="425"/>
      <c r="D186" s="425"/>
      <c r="E186" s="425"/>
      <c r="F186" s="425"/>
      <c r="G186" s="425"/>
      <c r="H186" s="425"/>
      <c r="I186" s="425"/>
      <c r="J186" s="425"/>
      <c r="K186" s="425"/>
      <c r="L186" s="425"/>
      <c r="M186" s="425"/>
    </row>
    <row r="187">
      <c r="A187" s="425"/>
      <c r="B187" s="425"/>
      <c r="C187" s="425"/>
      <c r="D187" s="425"/>
      <c r="E187" s="425"/>
      <c r="F187" s="425"/>
      <c r="G187" s="425"/>
      <c r="H187" s="425"/>
      <c r="I187" s="425"/>
      <c r="J187" s="425"/>
      <c r="K187" s="425"/>
      <c r="L187" s="425"/>
      <c r="M187" s="425"/>
    </row>
    <row r="188">
      <c r="A188" s="425"/>
      <c r="B188" s="425"/>
      <c r="C188" s="425"/>
      <c r="D188" s="425"/>
      <c r="E188" s="425"/>
      <c r="F188" s="425"/>
      <c r="G188" s="425"/>
      <c r="H188" s="425"/>
      <c r="I188" s="425"/>
      <c r="J188" s="425"/>
      <c r="K188" s="425"/>
      <c r="L188" s="425"/>
      <c r="M188" s="425"/>
    </row>
    <row r="189">
      <c r="A189" s="425"/>
      <c r="B189" s="425"/>
      <c r="C189" s="425"/>
      <c r="D189" s="425"/>
      <c r="E189" s="425"/>
      <c r="F189" s="425"/>
      <c r="G189" s="425"/>
      <c r="H189" s="425"/>
      <c r="I189" s="425"/>
      <c r="J189" s="425"/>
      <c r="K189" s="425"/>
      <c r="L189" s="425"/>
      <c r="M189" s="425"/>
    </row>
    <row r="190">
      <c r="A190" s="425"/>
      <c r="B190" s="425"/>
      <c r="C190" s="425"/>
      <c r="D190" s="425"/>
      <c r="E190" s="425"/>
      <c r="F190" s="425"/>
      <c r="G190" s="425"/>
      <c r="H190" s="425"/>
      <c r="I190" s="425"/>
      <c r="J190" s="425"/>
      <c r="K190" s="425"/>
      <c r="L190" s="425"/>
      <c r="M190" s="425"/>
    </row>
    <row r="191">
      <c r="A191" s="425"/>
      <c r="B191" s="425"/>
      <c r="C191" s="425"/>
      <c r="D191" s="425"/>
      <c r="E191" s="425"/>
      <c r="F191" s="425"/>
      <c r="G191" s="425"/>
      <c r="H191" s="425"/>
      <c r="I191" s="425"/>
      <c r="J191" s="425"/>
      <c r="K191" s="425"/>
      <c r="L191" s="425"/>
      <c r="M191" s="425"/>
    </row>
    <row r="192">
      <c r="A192" s="425"/>
      <c r="B192" s="425"/>
      <c r="C192" s="425"/>
      <c r="D192" s="425"/>
      <c r="E192" s="425"/>
      <c r="F192" s="425"/>
      <c r="G192" s="425"/>
      <c r="H192" s="425"/>
      <c r="I192" s="425"/>
      <c r="J192" s="425"/>
      <c r="K192" s="425"/>
      <c r="L192" s="425"/>
      <c r="M192" s="425"/>
    </row>
    <row r="193">
      <c r="A193" s="425"/>
      <c r="B193" s="425"/>
      <c r="C193" s="425"/>
      <c r="D193" s="425"/>
      <c r="E193" s="425"/>
      <c r="F193" s="425"/>
      <c r="G193" s="425"/>
      <c r="H193" s="425"/>
      <c r="I193" s="425"/>
      <c r="J193" s="425"/>
      <c r="K193" s="425"/>
      <c r="L193" s="425"/>
      <c r="M193" s="425"/>
    </row>
    <row r="194">
      <c r="A194" s="425"/>
      <c r="B194" s="425"/>
      <c r="C194" s="425"/>
      <c r="D194" s="425"/>
      <c r="E194" s="425"/>
      <c r="F194" s="425"/>
      <c r="G194" s="425"/>
      <c r="H194" s="425"/>
      <c r="I194" s="425"/>
      <c r="J194" s="425"/>
      <c r="K194" s="425"/>
      <c r="L194" s="425"/>
      <c r="M194" s="425"/>
    </row>
    <row r="195">
      <c r="A195" s="425"/>
      <c r="B195" s="425"/>
      <c r="C195" s="425"/>
      <c r="D195" s="425"/>
      <c r="E195" s="425"/>
      <c r="F195" s="425"/>
      <c r="G195" s="425"/>
      <c r="H195" s="425"/>
      <c r="I195" s="425"/>
      <c r="J195" s="425"/>
      <c r="K195" s="425"/>
      <c r="L195" s="425"/>
      <c r="M195" s="425"/>
    </row>
    <row r="196">
      <c r="A196" s="425"/>
      <c r="B196" s="425"/>
      <c r="C196" s="425"/>
      <c r="D196" s="425"/>
      <c r="E196" s="425"/>
      <c r="F196" s="425"/>
      <c r="G196" s="425"/>
      <c r="H196" s="425"/>
      <c r="I196" s="425"/>
      <c r="J196" s="425"/>
      <c r="K196" s="425"/>
      <c r="L196" s="425"/>
      <c r="M196" s="425"/>
    </row>
    <row r="197">
      <c r="A197" s="425"/>
      <c r="B197" s="425"/>
      <c r="C197" s="425"/>
      <c r="D197" s="425"/>
      <c r="E197" s="425"/>
      <c r="F197" s="425"/>
      <c r="G197" s="425"/>
      <c r="H197" s="425"/>
      <c r="I197" s="425"/>
      <c r="J197" s="425"/>
      <c r="K197" s="425"/>
      <c r="L197" s="425"/>
      <c r="M197" s="425"/>
    </row>
    <row r="198">
      <c r="A198" s="425"/>
      <c r="B198" s="425"/>
      <c r="C198" s="425"/>
      <c r="D198" s="425"/>
      <c r="E198" s="425"/>
      <c r="F198" s="425"/>
      <c r="G198" s="425"/>
      <c r="H198" s="425"/>
      <c r="I198" s="425"/>
      <c r="J198" s="425"/>
      <c r="K198" s="425"/>
      <c r="L198" s="425"/>
      <c r="M198" s="425"/>
    </row>
    <row r="199">
      <c r="A199" s="425"/>
      <c r="B199" s="425"/>
      <c r="C199" s="425"/>
      <c r="D199" s="425"/>
      <c r="E199" s="425"/>
      <c r="F199" s="425"/>
      <c r="G199" s="425"/>
      <c r="H199" s="425"/>
      <c r="I199" s="425"/>
      <c r="J199" s="425"/>
      <c r="K199" s="425"/>
      <c r="L199" s="425"/>
      <c r="M199" s="425"/>
    </row>
    <row r="200">
      <c r="A200" s="425"/>
      <c r="B200" s="425"/>
      <c r="C200" s="425"/>
      <c r="D200" s="425"/>
      <c r="E200" s="425"/>
      <c r="F200" s="425"/>
      <c r="G200" s="425"/>
      <c r="H200" s="425"/>
      <c r="I200" s="425"/>
      <c r="J200" s="425"/>
      <c r="K200" s="425"/>
      <c r="L200" s="425"/>
      <c r="M200" s="425"/>
    </row>
    <row r="201">
      <c r="A201" s="425"/>
      <c r="B201" s="425"/>
      <c r="C201" s="425"/>
      <c r="D201" s="425"/>
      <c r="E201" s="425"/>
      <c r="F201" s="425"/>
      <c r="G201" s="425"/>
      <c r="H201" s="425"/>
      <c r="I201" s="425"/>
      <c r="J201" s="425"/>
      <c r="K201" s="425"/>
      <c r="L201" s="425"/>
      <c r="M201" s="425"/>
    </row>
    <row r="202">
      <c r="A202" s="425"/>
      <c r="B202" s="425"/>
      <c r="C202" s="425"/>
      <c r="D202" s="425"/>
      <c r="E202" s="425"/>
      <c r="F202" s="425"/>
      <c r="G202" s="425"/>
      <c r="H202" s="425"/>
      <c r="I202" s="425"/>
      <c r="J202" s="425"/>
      <c r="K202" s="425"/>
      <c r="L202" s="425"/>
      <c r="M202" s="425"/>
    </row>
    <row r="203">
      <c r="A203" s="425"/>
      <c r="B203" s="425"/>
      <c r="C203" s="425"/>
      <c r="D203" s="425"/>
      <c r="E203" s="425"/>
      <c r="F203" s="425"/>
      <c r="G203" s="425"/>
      <c r="H203" s="425"/>
      <c r="I203" s="425"/>
      <c r="J203" s="425"/>
      <c r="K203" s="425"/>
      <c r="L203" s="425"/>
      <c r="M203" s="425"/>
    </row>
    <row r="204">
      <c r="A204" s="425"/>
      <c r="B204" s="425"/>
      <c r="C204" s="425"/>
      <c r="D204" s="425"/>
      <c r="E204" s="425"/>
      <c r="F204" s="425"/>
      <c r="G204" s="425"/>
      <c r="H204" s="425"/>
      <c r="I204" s="425"/>
      <c r="J204" s="425"/>
      <c r="K204" s="425"/>
      <c r="L204" s="425"/>
      <c r="M204" s="425"/>
    </row>
    <row r="205">
      <c r="A205" s="425"/>
      <c r="B205" s="425"/>
      <c r="C205" s="425"/>
      <c r="D205" s="425"/>
      <c r="E205" s="425"/>
      <c r="F205" s="425"/>
      <c r="G205" s="425"/>
      <c r="H205" s="425"/>
      <c r="I205" s="425"/>
      <c r="J205" s="425"/>
      <c r="K205" s="425"/>
      <c r="L205" s="425"/>
      <c r="M205" s="425"/>
    </row>
    <row r="206">
      <c r="A206" s="425"/>
      <c r="B206" s="425"/>
      <c r="C206" s="425"/>
      <c r="D206" s="425"/>
      <c r="E206" s="425"/>
      <c r="F206" s="425"/>
      <c r="G206" s="425"/>
      <c r="H206" s="425"/>
      <c r="I206" s="425"/>
      <c r="J206" s="425"/>
      <c r="K206" s="425"/>
      <c r="L206" s="425"/>
      <c r="M206" s="425"/>
    </row>
    <row r="207">
      <c r="A207" s="425"/>
      <c r="B207" s="425"/>
      <c r="C207" s="425"/>
      <c r="D207" s="425"/>
      <c r="E207" s="425"/>
      <c r="F207" s="425"/>
      <c r="G207" s="425"/>
      <c r="H207" s="425"/>
      <c r="I207" s="425"/>
      <c r="J207" s="425"/>
      <c r="K207" s="425"/>
      <c r="L207" s="425"/>
      <c r="M207" s="425"/>
    </row>
    <row r="208">
      <c r="A208" s="425"/>
      <c r="B208" s="425"/>
      <c r="C208" s="425"/>
      <c r="D208" s="425"/>
      <c r="E208" s="425"/>
      <c r="F208" s="425"/>
      <c r="G208" s="425"/>
      <c r="H208" s="425"/>
      <c r="I208" s="425"/>
      <c r="J208" s="425"/>
      <c r="K208" s="425"/>
      <c r="L208" s="425"/>
      <c r="M208" s="425"/>
    </row>
    <row r="209">
      <c r="A209" s="425"/>
      <c r="B209" s="425"/>
      <c r="C209" s="425"/>
      <c r="D209" s="425"/>
      <c r="E209" s="425"/>
      <c r="F209" s="425"/>
      <c r="G209" s="425"/>
      <c r="H209" s="425"/>
      <c r="I209" s="425"/>
      <c r="J209" s="425"/>
      <c r="K209" s="425"/>
      <c r="L209" s="425"/>
      <c r="M209" s="425"/>
    </row>
    <row r="210">
      <c r="A210" s="425"/>
      <c r="B210" s="425"/>
      <c r="C210" s="425"/>
      <c r="D210" s="425"/>
      <c r="E210" s="425"/>
      <c r="F210" s="425"/>
      <c r="G210" s="425"/>
      <c r="H210" s="425"/>
      <c r="I210" s="425"/>
      <c r="J210" s="425"/>
      <c r="K210" s="425"/>
      <c r="L210" s="425"/>
      <c r="M210" s="425"/>
    </row>
    <row r="211">
      <c r="A211" s="425"/>
      <c r="B211" s="425"/>
      <c r="C211" s="425"/>
      <c r="D211" s="425"/>
      <c r="E211" s="425"/>
      <c r="F211" s="425"/>
      <c r="G211" s="425"/>
      <c r="H211" s="425"/>
      <c r="I211" s="425"/>
      <c r="J211" s="425"/>
      <c r="K211" s="425"/>
      <c r="L211" s="425"/>
      <c r="M211" s="425"/>
    </row>
    <row r="212">
      <c r="A212" s="425"/>
      <c r="B212" s="425"/>
      <c r="C212" s="425"/>
      <c r="D212" s="425"/>
      <c r="E212" s="425"/>
      <c r="F212" s="425"/>
      <c r="G212" s="425"/>
      <c r="H212" s="425"/>
      <c r="I212" s="425"/>
      <c r="J212" s="425"/>
      <c r="K212" s="425"/>
      <c r="L212" s="425"/>
      <c r="M212" s="425"/>
    </row>
    <row r="213">
      <c r="A213" s="425"/>
      <c r="B213" s="425"/>
      <c r="C213" s="425"/>
      <c r="D213" s="425"/>
      <c r="E213" s="425"/>
      <c r="F213" s="425"/>
      <c r="G213" s="425"/>
      <c r="H213" s="425"/>
      <c r="I213" s="425"/>
      <c r="J213" s="425"/>
      <c r="K213" s="425"/>
      <c r="L213" s="425"/>
      <c r="M213" s="425"/>
    </row>
    <row r="214">
      <c r="A214" s="425"/>
      <c r="B214" s="425"/>
      <c r="C214" s="425"/>
      <c r="D214" s="425"/>
      <c r="E214" s="425"/>
      <c r="F214" s="425"/>
      <c r="G214" s="425"/>
      <c r="H214" s="425"/>
      <c r="I214" s="425"/>
      <c r="J214" s="425"/>
      <c r="K214" s="425"/>
      <c r="L214" s="425"/>
      <c r="M214" s="425"/>
    </row>
    <row r="215">
      <c r="A215" s="425"/>
      <c r="B215" s="425"/>
      <c r="C215" s="425"/>
      <c r="D215" s="425"/>
      <c r="E215" s="425"/>
      <c r="F215" s="425"/>
      <c r="G215" s="425"/>
      <c r="H215" s="425"/>
      <c r="I215" s="425"/>
      <c r="J215" s="425"/>
      <c r="K215" s="425"/>
      <c r="L215" s="425"/>
      <c r="M215" s="425"/>
    </row>
    <row r="216">
      <c r="A216" s="425"/>
      <c r="B216" s="425"/>
      <c r="C216" s="425"/>
      <c r="D216" s="425"/>
      <c r="E216" s="425"/>
      <c r="F216" s="425"/>
      <c r="G216" s="425"/>
      <c r="H216" s="425"/>
      <c r="I216" s="425"/>
      <c r="J216" s="425"/>
      <c r="K216" s="425"/>
      <c r="L216" s="425"/>
      <c r="M216" s="425"/>
    </row>
    <row r="217">
      <c r="A217" s="425"/>
      <c r="B217" s="425"/>
      <c r="C217" s="425"/>
      <c r="D217" s="425"/>
      <c r="E217" s="425"/>
      <c r="F217" s="425"/>
      <c r="G217" s="425"/>
      <c r="H217" s="425"/>
      <c r="I217" s="425"/>
      <c r="J217" s="425"/>
      <c r="K217" s="425"/>
      <c r="L217" s="425"/>
      <c r="M217" s="425"/>
    </row>
    <row r="218">
      <c r="A218" s="425"/>
      <c r="B218" s="425"/>
      <c r="C218" s="425"/>
      <c r="D218" s="425"/>
      <c r="E218" s="425"/>
      <c r="F218" s="425"/>
      <c r="G218" s="425"/>
      <c r="H218" s="425"/>
      <c r="I218" s="425"/>
      <c r="J218" s="425"/>
      <c r="K218" s="425"/>
      <c r="L218" s="425"/>
      <c r="M218" s="425"/>
    </row>
    <row r="219">
      <c r="A219" s="425"/>
      <c r="B219" s="425"/>
      <c r="C219" s="425"/>
      <c r="D219" s="425"/>
      <c r="E219" s="425"/>
      <c r="F219" s="425"/>
      <c r="G219" s="425"/>
      <c r="H219" s="425"/>
      <c r="I219" s="425"/>
      <c r="J219" s="425"/>
      <c r="K219" s="425"/>
      <c r="L219" s="425"/>
      <c r="M219" s="425"/>
    </row>
    <row r="220">
      <c r="A220" s="425"/>
      <c r="B220" s="425"/>
      <c r="C220" s="425"/>
      <c r="D220" s="425"/>
      <c r="E220" s="425"/>
      <c r="F220" s="425"/>
      <c r="G220" s="425"/>
      <c r="H220" s="425"/>
      <c r="I220" s="425"/>
      <c r="J220" s="425"/>
      <c r="K220" s="425"/>
      <c r="L220" s="425"/>
      <c r="M220" s="425"/>
    </row>
    <row r="221">
      <c r="A221" s="425"/>
      <c r="B221" s="425"/>
      <c r="C221" s="425"/>
      <c r="D221" s="425"/>
      <c r="E221" s="425"/>
      <c r="F221" s="425"/>
      <c r="G221" s="425"/>
      <c r="H221" s="425"/>
      <c r="I221" s="425"/>
      <c r="J221" s="425"/>
      <c r="K221" s="425"/>
      <c r="L221" s="425"/>
      <c r="M221" s="425"/>
    </row>
    <row r="222">
      <c r="A222" s="425"/>
      <c r="B222" s="425"/>
      <c r="C222" s="425"/>
      <c r="D222" s="425"/>
      <c r="E222" s="425"/>
      <c r="F222" s="425"/>
      <c r="G222" s="425"/>
      <c r="H222" s="425"/>
      <c r="I222" s="425"/>
      <c r="J222" s="425"/>
      <c r="K222" s="425"/>
      <c r="L222" s="425"/>
      <c r="M222" s="425"/>
    </row>
    <row r="223">
      <c r="A223" s="425"/>
      <c r="B223" s="425"/>
      <c r="C223" s="425"/>
      <c r="D223" s="425"/>
      <c r="E223" s="425"/>
      <c r="F223" s="425"/>
      <c r="G223" s="425"/>
      <c r="H223" s="425"/>
      <c r="I223" s="425"/>
      <c r="J223" s="425"/>
      <c r="K223" s="425"/>
      <c r="L223" s="425"/>
      <c r="M223" s="425"/>
    </row>
    <row r="224">
      <c r="A224" s="425"/>
      <c r="B224" s="425"/>
      <c r="C224" s="425"/>
      <c r="D224" s="425"/>
      <c r="E224" s="425"/>
      <c r="F224" s="425"/>
      <c r="G224" s="425"/>
      <c r="H224" s="425"/>
      <c r="I224" s="425"/>
      <c r="J224" s="425"/>
      <c r="K224" s="425"/>
      <c r="L224" s="425"/>
      <c r="M224" s="425"/>
    </row>
  </sheetData>
  <dataValidations>
    <dataValidation type="list" allowBlank="1" sqref="C2:C125">
      <formula1>#REF!</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7.86"/>
    <col customWidth="1" min="6" max="6" width="38.57"/>
  </cols>
  <sheetData>
    <row r="1">
      <c r="A1" s="481" t="s">
        <v>5506</v>
      </c>
      <c r="B1" s="425"/>
      <c r="C1" s="425"/>
      <c r="D1" s="425"/>
      <c r="E1" s="425"/>
    </row>
    <row r="2">
      <c r="A2" s="482">
        <v>1.0</v>
      </c>
      <c r="B2" s="483" t="s">
        <v>3441</v>
      </c>
      <c r="C2" s="482" t="s">
        <v>3442</v>
      </c>
      <c r="D2" s="484" t="s">
        <v>3443</v>
      </c>
      <c r="E2" s="482" t="s">
        <v>3099</v>
      </c>
      <c r="F2" s="485" t="str">
        <f t="shared" ref="F2:F433" si="1">PROPER(D2)</f>
        <v>Abiyu Ahmad Zahran</v>
      </c>
    </row>
    <row r="3">
      <c r="A3" s="482">
        <v>1.0</v>
      </c>
      <c r="B3" s="482">
        <v>2.32410002E8</v>
      </c>
      <c r="C3" s="482" t="s">
        <v>3342</v>
      </c>
      <c r="D3" s="484" t="s">
        <v>3343</v>
      </c>
      <c r="E3" s="482" t="s">
        <v>3099</v>
      </c>
      <c r="F3" s="485" t="str">
        <f t="shared" si="1"/>
        <v>Adam Ristiaji Machfudz</v>
      </c>
    </row>
    <row r="4">
      <c r="A4" s="482">
        <v>1.0</v>
      </c>
      <c r="B4" s="482" t="s">
        <v>4199</v>
      </c>
      <c r="C4" s="482" t="s">
        <v>4200</v>
      </c>
      <c r="D4" s="484" t="s">
        <v>5507</v>
      </c>
      <c r="E4" s="482" t="s">
        <v>3100</v>
      </c>
      <c r="F4" s="485" t="str">
        <f t="shared" si="1"/>
        <v>Adinda Haifa Syahidah</v>
      </c>
    </row>
    <row r="5">
      <c r="A5" s="482">
        <v>1.0</v>
      </c>
      <c r="B5" s="482">
        <v>2.32410004E8</v>
      </c>
      <c r="C5" s="483" t="s">
        <v>3265</v>
      </c>
      <c r="D5" s="484" t="s">
        <v>3266</v>
      </c>
      <c r="E5" s="482" t="s">
        <v>3099</v>
      </c>
      <c r="F5" s="485" t="str">
        <f t="shared" si="1"/>
        <v>Aditya Firdaus</v>
      </c>
    </row>
    <row r="6">
      <c r="A6" s="482">
        <v>1.0</v>
      </c>
      <c r="B6" s="482" t="s">
        <v>3874</v>
      </c>
      <c r="C6" s="482" t="s">
        <v>3875</v>
      </c>
      <c r="D6" s="484" t="s">
        <v>3876</v>
      </c>
      <c r="E6" s="482" t="s">
        <v>3099</v>
      </c>
      <c r="F6" s="485" t="str">
        <f t="shared" si="1"/>
        <v>Aditya Nufail Rizqullah</v>
      </c>
    </row>
    <row r="7">
      <c r="A7" s="482">
        <v>1.0</v>
      </c>
      <c r="B7" s="482" t="s">
        <v>3659</v>
      </c>
      <c r="C7" s="483" t="s">
        <v>3660</v>
      </c>
      <c r="D7" s="484" t="s">
        <v>3661</v>
      </c>
      <c r="E7" s="482" t="s">
        <v>3099</v>
      </c>
      <c r="F7" s="485" t="str">
        <f t="shared" si="1"/>
        <v>Adnan Juliandyra</v>
      </c>
    </row>
    <row r="8">
      <c r="A8" s="482">
        <v>2.0</v>
      </c>
      <c r="B8" s="482">
        <v>2.32410007E8</v>
      </c>
      <c r="C8" s="483" t="s">
        <v>3267</v>
      </c>
      <c r="D8" s="484" t="s">
        <v>3268</v>
      </c>
      <c r="E8" s="482" t="s">
        <v>3099</v>
      </c>
      <c r="F8" s="485" t="str">
        <f t="shared" si="1"/>
        <v>Adrian Rizky Alghifari</v>
      </c>
    </row>
    <row r="9">
      <c r="A9" s="486">
        <v>1.0</v>
      </c>
      <c r="B9" s="486" t="s">
        <v>3548</v>
      </c>
      <c r="C9" s="486" t="s">
        <v>3549</v>
      </c>
      <c r="D9" s="487" t="s">
        <v>3550</v>
      </c>
      <c r="E9" s="486" t="s">
        <v>3099</v>
      </c>
      <c r="F9" s="485" t="str">
        <f t="shared" si="1"/>
        <v>Adyatma Huda Ramdani</v>
      </c>
    </row>
    <row r="10">
      <c r="A10" s="486">
        <v>2.0</v>
      </c>
      <c r="B10" s="486" t="s">
        <v>4202</v>
      </c>
      <c r="C10" s="488" t="s">
        <v>4203</v>
      </c>
      <c r="D10" s="487" t="s">
        <v>5508</v>
      </c>
      <c r="E10" s="486" t="s">
        <v>3100</v>
      </c>
      <c r="F10" s="485" t="str">
        <f t="shared" si="1"/>
        <v>Adzkia Alma Muyassar</v>
      </c>
    </row>
    <row r="11">
      <c r="A11" s="486">
        <v>1.0</v>
      </c>
      <c r="B11" s="486" t="s">
        <v>3979</v>
      </c>
      <c r="C11" s="488" t="s">
        <v>3980</v>
      </c>
      <c r="D11" s="487" t="s">
        <v>3981</v>
      </c>
      <c r="E11" s="486" t="s">
        <v>3100</v>
      </c>
      <c r="F11" s="485" t="str">
        <f t="shared" si="1"/>
        <v>Agatrie Sella Siregar</v>
      </c>
    </row>
    <row r="12">
      <c r="A12" s="486">
        <v>2.0</v>
      </c>
      <c r="B12" s="486">
        <v>2.32410011E8</v>
      </c>
      <c r="C12" s="488" t="s">
        <v>3344</v>
      </c>
      <c r="D12" s="487" t="s">
        <v>3345</v>
      </c>
      <c r="E12" s="486" t="s">
        <v>3099</v>
      </c>
      <c r="F12" s="485" t="str">
        <f t="shared" si="1"/>
        <v>Ahmad Abdurrahman A.</v>
      </c>
    </row>
    <row r="13">
      <c r="A13" s="489">
        <v>2.0</v>
      </c>
      <c r="B13" s="489" t="s">
        <v>3877</v>
      </c>
      <c r="C13" s="490" t="s">
        <v>3878</v>
      </c>
      <c r="D13" s="491" t="s">
        <v>3879</v>
      </c>
      <c r="E13" s="489" t="s">
        <v>3099</v>
      </c>
      <c r="F13" s="485" t="str">
        <f t="shared" si="1"/>
        <v>Ahmad Haidar Rosyiiq</v>
      </c>
    </row>
    <row r="14">
      <c r="A14" s="492">
        <v>1.0</v>
      </c>
      <c r="B14" s="493" t="s">
        <v>3768</v>
      </c>
      <c r="C14" s="494" t="s">
        <v>3769</v>
      </c>
      <c r="D14" s="495" t="s">
        <v>3770</v>
      </c>
      <c r="E14" s="493" t="s">
        <v>3099</v>
      </c>
      <c r="F14" s="485" t="str">
        <f t="shared" si="1"/>
        <v>Ahmad Maulana Jiban</v>
      </c>
    </row>
    <row r="15">
      <c r="A15" s="496">
        <v>2.0</v>
      </c>
      <c r="B15" s="497" t="s">
        <v>3662</v>
      </c>
      <c r="C15" s="497" t="s">
        <v>3663</v>
      </c>
      <c r="D15" s="498" t="s">
        <v>3664</v>
      </c>
      <c r="E15" s="497" t="s">
        <v>3100</v>
      </c>
      <c r="F15" s="485" t="str">
        <f t="shared" si="1"/>
        <v>Aisha Madyska Putri</v>
      </c>
    </row>
    <row r="16">
      <c r="A16" s="496">
        <v>2.0</v>
      </c>
      <c r="B16" s="497" t="s">
        <v>3982</v>
      </c>
      <c r="C16" s="497" t="s">
        <v>3983</v>
      </c>
      <c r="D16" s="498" t="s">
        <v>3984</v>
      </c>
      <c r="E16" s="497" t="s">
        <v>3100</v>
      </c>
      <c r="F16" s="485" t="str">
        <f t="shared" si="1"/>
        <v>Aishaura Putri Dea</v>
      </c>
    </row>
    <row r="17">
      <c r="A17" s="499">
        <v>2.0</v>
      </c>
      <c r="B17" s="499" t="s">
        <v>3444</v>
      </c>
      <c r="C17" s="499" t="s">
        <v>3445</v>
      </c>
      <c r="D17" s="500" t="s">
        <v>3446</v>
      </c>
      <c r="E17" s="499" t="s">
        <v>3100</v>
      </c>
      <c r="F17" s="485" t="str">
        <f t="shared" si="1"/>
        <v>Aisyah Sausan Amani</v>
      </c>
    </row>
    <row r="18">
      <c r="A18" s="501">
        <v>3.0</v>
      </c>
      <c r="B18" s="501" t="s">
        <v>3665</v>
      </c>
      <c r="C18" s="501" t="s">
        <v>3666</v>
      </c>
      <c r="D18" s="502" t="s">
        <v>3667</v>
      </c>
      <c r="E18" s="501" t="s">
        <v>3100</v>
      </c>
      <c r="F18" s="485" t="str">
        <f t="shared" si="1"/>
        <v>Aleyna Najmia Salma El Hassan</v>
      </c>
    </row>
    <row r="19">
      <c r="A19" s="503">
        <v>3.0</v>
      </c>
      <c r="B19" s="504" t="s">
        <v>3985</v>
      </c>
      <c r="C19" s="504" t="s">
        <v>3986</v>
      </c>
      <c r="D19" s="505" t="s">
        <v>3987</v>
      </c>
      <c r="E19" s="504" t="s">
        <v>3099</v>
      </c>
      <c r="F19" s="485" t="str">
        <f t="shared" si="1"/>
        <v>Alfathan Raditya Gunara</v>
      </c>
    </row>
    <row r="20">
      <c r="A20" s="506">
        <v>4.0</v>
      </c>
      <c r="B20" s="506" t="s">
        <v>3988</v>
      </c>
      <c r="C20" s="506" t="s">
        <v>3989</v>
      </c>
      <c r="D20" s="507" t="s">
        <v>3990</v>
      </c>
      <c r="E20" s="506" t="s">
        <v>3100</v>
      </c>
      <c r="F20" s="485" t="str">
        <f t="shared" si="1"/>
        <v>Alicia Marcella Gulo</v>
      </c>
    </row>
    <row r="21">
      <c r="A21" s="482">
        <v>5.0</v>
      </c>
      <c r="B21" s="482" t="s">
        <v>3991</v>
      </c>
      <c r="C21" s="483" t="s">
        <v>3992</v>
      </c>
      <c r="D21" s="484" t="s">
        <v>3993</v>
      </c>
      <c r="E21" s="482" t="s">
        <v>3099</v>
      </c>
      <c r="F21" s="485" t="str">
        <f t="shared" si="1"/>
        <v>Alif Nur Rizki</v>
      </c>
    </row>
    <row r="22">
      <c r="A22" s="482">
        <v>3.0</v>
      </c>
      <c r="B22" s="482" t="s">
        <v>3447</v>
      </c>
      <c r="C22" s="483" t="s">
        <v>3448</v>
      </c>
      <c r="D22" s="508" t="s">
        <v>3449</v>
      </c>
      <c r="E22" s="482" t="s">
        <v>3100</v>
      </c>
      <c r="F22" s="485" t="str">
        <f t="shared" si="1"/>
        <v>Alisha Venita Raphelle Adhitya</v>
      </c>
    </row>
    <row r="23">
      <c r="A23" s="482">
        <v>3.0</v>
      </c>
      <c r="B23" s="482">
        <v>2.32410022E8</v>
      </c>
      <c r="C23" s="483" t="s">
        <v>3269</v>
      </c>
      <c r="D23" s="484" t="s">
        <v>3270</v>
      </c>
      <c r="E23" s="482" t="s">
        <v>3100</v>
      </c>
      <c r="F23" s="485" t="str">
        <f t="shared" si="1"/>
        <v>Alisya Putri Khairunnisa</v>
      </c>
    </row>
    <row r="24">
      <c r="A24" s="482">
        <v>6.0</v>
      </c>
      <c r="B24" s="482" t="s">
        <v>3994</v>
      </c>
      <c r="C24" s="482" t="s">
        <v>3995</v>
      </c>
      <c r="D24" s="484" t="s">
        <v>3996</v>
      </c>
      <c r="E24" s="482" t="s">
        <v>3100</v>
      </c>
      <c r="F24" s="485" t="str">
        <f t="shared" si="1"/>
        <v>Allbie Avicenna</v>
      </c>
    </row>
    <row r="25">
      <c r="A25" s="482">
        <v>2.0</v>
      </c>
      <c r="B25" s="482" t="s">
        <v>3771</v>
      </c>
      <c r="C25" s="482" t="s">
        <v>3772</v>
      </c>
      <c r="D25" s="484" t="s">
        <v>3773</v>
      </c>
      <c r="E25" s="482" t="s">
        <v>3100</v>
      </c>
      <c r="F25" s="485" t="str">
        <f t="shared" si="1"/>
        <v>Allysia Nurfauziyah</v>
      </c>
    </row>
    <row r="26">
      <c r="A26" s="482">
        <v>2.0</v>
      </c>
      <c r="B26" s="482" t="s">
        <v>3551</v>
      </c>
      <c r="C26" s="483" t="s">
        <v>3552</v>
      </c>
      <c r="D26" s="484" t="s">
        <v>3553</v>
      </c>
      <c r="E26" s="482" t="s">
        <v>3100</v>
      </c>
      <c r="F26" s="485" t="str">
        <f t="shared" si="1"/>
        <v>Almaqhvira Haydar Siswoyo</v>
      </c>
    </row>
    <row r="27">
      <c r="A27" s="482">
        <v>1.0</v>
      </c>
      <c r="B27" s="482" t="s">
        <v>4089</v>
      </c>
      <c r="C27" s="482" t="s">
        <v>4090</v>
      </c>
      <c r="D27" s="484" t="s">
        <v>4091</v>
      </c>
      <c r="E27" s="482" t="s">
        <v>3099</v>
      </c>
      <c r="F27" s="485" t="str">
        <f t="shared" si="1"/>
        <v>Almer Athallah Khairy</v>
      </c>
    </row>
    <row r="28">
      <c r="A28" s="482">
        <v>7.0</v>
      </c>
      <c r="B28" s="482" t="s">
        <v>3997</v>
      </c>
      <c r="C28" s="482" t="s">
        <v>3998</v>
      </c>
      <c r="D28" s="484" t="s">
        <v>3999</v>
      </c>
      <c r="E28" s="482" t="s">
        <v>3100</v>
      </c>
      <c r="F28" s="485" t="str">
        <f t="shared" si="1"/>
        <v>Almira Maulida Putri Apsari</v>
      </c>
    </row>
    <row r="29">
      <c r="A29" s="482">
        <v>2.0</v>
      </c>
      <c r="B29" s="482" t="s">
        <v>4092</v>
      </c>
      <c r="C29" s="482" t="s">
        <v>4093</v>
      </c>
      <c r="D29" s="484" t="s">
        <v>4094</v>
      </c>
      <c r="E29" s="482" t="s">
        <v>3100</v>
      </c>
      <c r="F29" s="485" t="str">
        <f t="shared" si="1"/>
        <v>Alvira Rachmat Lestari</v>
      </c>
    </row>
    <row r="30">
      <c r="A30" s="482">
        <v>1.0</v>
      </c>
      <c r="B30" s="482">
        <v>2.3241003E8</v>
      </c>
      <c r="C30" s="482" t="s">
        <v>3115</v>
      </c>
      <c r="D30" s="484" t="s">
        <v>3116</v>
      </c>
      <c r="E30" s="482" t="s">
        <v>3100</v>
      </c>
      <c r="F30" s="485" t="str">
        <f t="shared" si="1"/>
        <v>Alyssa Mutiara Saptia</v>
      </c>
    </row>
    <row r="31">
      <c r="A31" s="482">
        <v>3.0</v>
      </c>
      <c r="B31" s="482" t="s">
        <v>3880</v>
      </c>
      <c r="C31" s="482" t="s">
        <v>3881</v>
      </c>
      <c r="D31" s="484" t="s">
        <v>3882</v>
      </c>
      <c r="E31" s="482" t="s">
        <v>3100</v>
      </c>
      <c r="F31" s="485" t="str">
        <f t="shared" si="1"/>
        <v>Andi Nasya Kamila Azzahra</v>
      </c>
    </row>
    <row r="32">
      <c r="A32" s="482">
        <v>3.0</v>
      </c>
      <c r="B32" s="509">
        <v>2.42511439E8</v>
      </c>
      <c r="C32" s="510" t="s">
        <v>4095</v>
      </c>
      <c r="D32" s="511" t="s">
        <v>4096</v>
      </c>
      <c r="E32" s="509" t="s">
        <v>3099</v>
      </c>
      <c r="F32" s="485" t="str">
        <f t="shared" si="1"/>
        <v>Andika Putra Pranata</v>
      </c>
    </row>
    <row r="33">
      <c r="A33" s="482">
        <v>3.0</v>
      </c>
      <c r="B33" s="482">
        <v>2.32410032E8</v>
      </c>
      <c r="C33" s="488" t="s">
        <v>3346</v>
      </c>
      <c r="D33" s="484" t="s">
        <v>3347</v>
      </c>
      <c r="E33" s="482" t="s">
        <v>3100</v>
      </c>
      <c r="F33" s="485" t="str">
        <f t="shared" si="1"/>
        <v>Andrea Salma Aisya</v>
      </c>
    </row>
    <row r="34">
      <c r="A34" s="482">
        <v>4.0</v>
      </c>
      <c r="B34" s="482" t="s">
        <v>3668</v>
      </c>
      <c r="C34" s="483" t="s">
        <v>3669</v>
      </c>
      <c r="D34" s="484" t="s">
        <v>3670</v>
      </c>
      <c r="E34" s="482" t="s">
        <v>3100</v>
      </c>
      <c r="F34" s="485" t="str">
        <f t="shared" si="1"/>
        <v>Anggraini Disti Meitasyah</v>
      </c>
    </row>
    <row r="35">
      <c r="A35" s="482">
        <v>3.0</v>
      </c>
      <c r="B35" s="482">
        <v>2.32410034E8</v>
      </c>
      <c r="C35" s="483" t="s">
        <v>3774</v>
      </c>
      <c r="D35" s="484" t="s">
        <v>3775</v>
      </c>
      <c r="E35" s="482" t="s">
        <v>3100</v>
      </c>
      <c r="F35" s="485" t="str">
        <f t="shared" si="1"/>
        <v>Anisa Rihhadatul Aisy</v>
      </c>
    </row>
    <row r="36">
      <c r="A36" s="482">
        <v>8.0</v>
      </c>
      <c r="B36" s="482" t="s">
        <v>4000</v>
      </c>
      <c r="C36" s="482" t="s">
        <v>4001</v>
      </c>
      <c r="D36" s="484" t="s">
        <v>4002</v>
      </c>
      <c r="E36" s="482" t="s">
        <v>3100</v>
      </c>
      <c r="F36" s="485" t="str">
        <f t="shared" si="1"/>
        <v>Anita Tri Anggraini</v>
      </c>
    </row>
    <row r="37">
      <c r="A37" s="482">
        <v>9.0</v>
      </c>
      <c r="B37" s="482" t="s">
        <v>4003</v>
      </c>
      <c r="C37" s="482" t="s">
        <v>4004</v>
      </c>
      <c r="D37" s="484" t="s">
        <v>4005</v>
      </c>
      <c r="E37" s="482" t="s">
        <v>3100</v>
      </c>
      <c r="F37" s="485" t="str">
        <f t="shared" si="1"/>
        <v>Annisa Alya Maharani</v>
      </c>
    </row>
    <row r="38">
      <c r="A38" s="482">
        <v>5.0</v>
      </c>
      <c r="B38" s="482" t="s">
        <v>3671</v>
      </c>
      <c r="C38" s="482" t="s">
        <v>3672</v>
      </c>
      <c r="D38" s="484" t="s">
        <v>3673</v>
      </c>
      <c r="E38" s="482" t="s">
        <v>3100</v>
      </c>
      <c r="F38" s="485" t="str">
        <f t="shared" si="1"/>
        <v>Annisa Pebrianita</v>
      </c>
    </row>
    <row r="39">
      <c r="A39" s="482">
        <v>4.0</v>
      </c>
      <c r="B39" s="482" t="s">
        <v>3776</v>
      </c>
      <c r="C39" s="482" t="s">
        <v>3777</v>
      </c>
      <c r="D39" s="484" t="s">
        <v>3778</v>
      </c>
      <c r="E39" s="482" t="s">
        <v>3100</v>
      </c>
      <c r="F39" s="485" t="str">
        <f t="shared" si="1"/>
        <v>Annisa Putri Sandi</v>
      </c>
    </row>
    <row r="40">
      <c r="A40" s="482">
        <v>3.0</v>
      </c>
      <c r="B40" s="482" t="s">
        <v>3554</v>
      </c>
      <c r="C40" s="483" t="s">
        <v>3555</v>
      </c>
      <c r="D40" s="484" t="s">
        <v>3556</v>
      </c>
      <c r="E40" s="482" t="s">
        <v>3100</v>
      </c>
      <c r="F40" s="485" t="str">
        <f t="shared" si="1"/>
        <v>Aqila Nafisa</v>
      </c>
    </row>
    <row r="41">
      <c r="A41" s="482">
        <v>4.0</v>
      </c>
      <c r="B41" s="482" t="s">
        <v>4097</v>
      </c>
      <c r="C41" s="482" t="s">
        <v>4098</v>
      </c>
      <c r="D41" s="484" t="s">
        <v>4099</v>
      </c>
      <c r="E41" s="482" t="s">
        <v>3099</v>
      </c>
      <c r="F41" s="485" t="str">
        <f t="shared" si="1"/>
        <v>Aqila Syadid</v>
      </c>
    </row>
    <row r="42">
      <c r="A42" s="482">
        <v>5.0</v>
      </c>
      <c r="B42" s="482" t="s">
        <v>3779</v>
      </c>
      <c r="C42" s="482" t="s">
        <v>3780</v>
      </c>
      <c r="D42" s="484" t="s">
        <v>3781</v>
      </c>
      <c r="E42" s="482" t="s">
        <v>3100</v>
      </c>
      <c r="F42" s="485" t="str">
        <f t="shared" si="1"/>
        <v>Ardita Septyaningrum</v>
      </c>
    </row>
    <row r="43">
      <c r="A43" s="482">
        <v>6.0</v>
      </c>
      <c r="B43" s="482" t="s">
        <v>3674</v>
      </c>
      <c r="C43" s="482" t="s">
        <v>3675</v>
      </c>
      <c r="D43" s="484" t="s">
        <v>5509</v>
      </c>
      <c r="E43" s="482" t="s">
        <v>3100</v>
      </c>
      <c r="F43" s="485" t="str">
        <f t="shared" si="1"/>
        <v>Ardyanti Pratiwi G.R</v>
      </c>
    </row>
    <row r="44">
      <c r="A44" s="482">
        <v>4.0</v>
      </c>
      <c r="B44" s="482">
        <v>2.32410043E8</v>
      </c>
      <c r="C44" s="482" t="s">
        <v>3348</v>
      </c>
      <c r="D44" s="484" t="s">
        <v>3349</v>
      </c>
      <c r="E44" s="482" t="s">
        <v>3100</v>
      </c>
      <c r="F44" s="485" t="str">
        <f t="shared" si="1"/>
        <v>Aretha Asyifa Nur</v>
      </c>
    </row>
    <row r="45">
      <c r="A45" s="482">
        <v>4.0</v>
      </c>
      <c r="B45" s="482" t="s">
        <v>3557</v>
      </c>
      <c r="C45" s="482" t="s">
        <v>3558</v>
      </c>
      <c r="D45" s="484" t="s">
        <v>3559</v>
      </c>
      <c r="E45" s="482" t="s">
        <v>3099</v>
      </c>
      <c r="F45" s="485" t="str">
        <f t="shared" si="1"/>
        <v>Arfi Abdan Muqimashaim</v>
      </c>
    </row>
    <row r="46">
      <c r="A46" s="482">
        <v>5.0</v>
      </c>
      <c r="B46" s="482">
        <v>2.32410045E8</v>
      </c>
      <c r="C46" s="482" t="s">
        <v>3350</v>
      </c>
      <c r="D46" s="484" t="s">
        <v>3351</v>
      </c>
      <c r="E46" s="482" t="s">
        <v>3100</v>
      </c>
      <c r="F46" s="485" t="str">
        <f t="shared" si="1"/>
        <v>Argiska Mardiyana</v>
      </c>
    </row>
    <row r="47">
      <c r="A47" s="482">
        <v>5.0</v>
      </c>
      <c r="B47" s="482" t="s">
        <v>3560</v>
      </c>
      <c r="C47" s="482" t="s">
        <v>3561</v>
      </c>
      <c r="D47" s="484" t="s">
        <v>3562</v>
      </c>
      <c r="E47" s="482" t="s">
        <v>3099</v>
      </c>
      <c r="F47" s="485" t="str">
        <f t="shared" si="1"/>
        <v>Arief Darmawan</v>
      </c>
    </row>
    <row r="48">
      <c r="A48" s="482">
        <v>2.0</v>
      </c>
      <c r="B48" s="482">
        <v>2.32410047E8</v>
      </c>
      <c r="C48" s="483" t="s">
        <v>3117</v>
      </c>
      <c r="D48" s="484" t="s">
        <v>3118</v>
      </c>
      <c r="E48" s="482" t="s">
        <v>3100</v>
      </c>
      <c r="F48" s="485" t="str">
        <f t="shared" si="1"/>
        <v>Arkanuliya Akramina</v>
      </c>
    </row>
    <row r="49">
      <c r="A49" s="482">
        <v>3.0</v>
      </c>
      <c r="B49" s="482" t="s">
        <v>4205</v>
      </c>
      <c r="C49" s="482" t="s">
        <v>4206</v>
      </c>
      <c r="D49" s="508" t="s">
        <v>5510</v>
      </c>
      <c r="E49" s="482" t="s">
        <v>3100</v>
      </c>
      <c r="F49" s="485" t="str">
        <f t="shared" si="1"/>
        <v>Armanita Dhiva Trisnaningtyas</v>
      </c>
    </row>
    <row r="50">
      <c r="A50" s="482">
        <v>7.0</v>
      </c>
      <c r="B50" s="482" t="s">
        <v>3677</v>
      </c>
      <c r="C50" s="482" t="s">
        <v>3678</v>
      </c>
      <c r="D50" s="484" t="s">
        <v>3679</v>
      </c>
      <c r="E50" s="482" t="s">
        <v>3100</v>
      </c>
      <c r="F50" s="485" t="str">
        <f t="shared" si="1"/>
        <v>Artanti Talitha Dwiana</v>
      </c>
    </row>
    <row r="51">
      <c r="A51" s="482">
        <v>4.0</v>
      </c>
      <c r="B51" s="482" t="s">
        <v>4208</v>
      </c>
      <c r="C51" s="482" t="s">
        <v>4209</v>
      </c>
      <c r="D51" s="508" t="s">
        <v>5511</v>
      </c>
      <c r="E51" s="482" t="s">
        <v>3099</v>
      </c>
      <c r="F51" s="485" t="str">
        <f t="shared" si="1"/>
        <v>Arven Fadelto Wirda Muhandava</v>
      </c>
    </row>
    <row r="52">
      <c r="A52" s="482">
        <v>4.0</v>
      </c>
      <c r="B52" s="482" t="s">
        <v>3450</v>
      </c>
      <c r="C52" s="482" t="s">
        <v>3451</v>
      </c>
      <c r="D52" s="484" t="s">
        <v>3452</v>
      </c>
      <c r="E52" s="482" t="s">
        <v>3099</v>
      </c>
      <c r="F52" s="485" t="str">
        <f t="shared" si="1"/>
        <v>Arya Indrawijaya</v>
      </c>
    </row>
    <row r="53">
      <c r="A53" s="482">
        <v>6.0</v>
      </c>
      <c r="B53" s="482">
        <v>2.32410052E8</v>
      </c>
      <c r="C53" s="482" t="s">
        <v>3352</v>
      </c>
      <c r="D53" s="484" t="s">
        <v>3353</v>
      </c>
      <c r="E53" s="482" t="s">
        <v>3099</v>
      </c>
      <c r="F53" s="485" t="str">
        <f t="shared" si="1"/>
        <v>Asfaro Muzakki</v>
      </c>
    </row>
    <row r="54">
      <c r="A54" s="482">
        <v>3.0</v>
      </c>
      <c r="B54" s="482">
        <v>2.32410054E8</v>
      </c>
      <c r="C54" s="482" t="s">
        <v>3119</v>
      </c>
      <c r="D54" s="484" t="s">
        <v>3120</v>
      </c>
      <c r="E54" s="482" t="s">
        <v>3099</v>
      </c>
      <c r="F54" s="485" t="str">
        <f t="shared" si="1"/>
        <v>Asykar Handa Al Munawwar</v>
      </c>
    </row>
    <row r="55">
      <c r="A55" s="482">
        <v>6.0</v>
      </c>
      <c r="B55" s="482" t="s">
        <v>3782</v>
      </c>
      <c r="C55" s="482" t="s">
        <v>3783</v>
      </c>
      <c r="D55" s="484" t="s">
        <v>3784</v>
      </c>
      <c r="E55" s="482" t="s">
        <v>3100</v>
      </c>
      <c r="F55" s="485" t="str">
        <f t="shared" si="1"/>
        <v>Athifaluna Mutia Darmawan</v>
      </c>
    </row>
    <row r="56">
      <c r="A56" s="482">
        <v>4.0</v>
      </c>
      <c r="B56" s="482">
        <v>2.32410056E8</v>
      </c>
      <c r="C56" s="483" t="s">
        <v>3121</v>
      </c>
      <c r="D56" s="484" t="s">
        <v>3122</v>
      </c>
      <c r="E56" s="482" t="s">
        <v>3100</v>
      </c>
      <c r="F56" s="485" t="str">
        <f t="shared" si="1"/>
        <v>Athiyya Mumtaza</v>
      </c>
    </row>
    <row r="57">
      <c r="A57" s="486">
        <v>7.0</v>
      </c>
      <c r="B57" s="486" t="s">
        <v>3785</v>
      </c>
      <c r="C57" s="488" t="s">
        <v>3786</v>
      </c>
      <c r="D57" s="487" t="s">
        <v>3787</v>
      </c>
      <c r="E57" s="486" t="s">
        <v>3100</v>
      </c>
      <c r="F57" s="485" t="str">
        <f t="shared" si="1"/>
        <v>Audyah Putri Murni N.</v>
      </c>
    </row>
    <row r="58">
      <c r="A58" s="486">
        <v>8.0</v>
      </c>
      <c r="B58" s="512" t="s">
        <v>3680</v>
      </c>
      <c r="C58" s="513" t="s">
        <v>3681</v>
      </c>
      <c r="D58" s="514" t="s">
        <v>3682</v>
      </c>
      <c r="E58" s="512" t="s">
        <v>3100</v>
      </c>
      <c r="F58" s="485" t="str">
        <f t="shared" si="1"/>
        <v>Aulia Asfarina Dhany</v>
      </c>
    </row>
    <row r="59">
      <c r="A59" s="486">
        <v>5.0</v>
      </c>
      <c r="B59" s="486" t="s">
        <v>3453</v>
      </c>
      <c r="C59" s="488" t="s">
        <v>3454</v>
      </c>
      <c r="D59" s="487" t="s">
        <v>3455</v>
      </c>
      <c r="E59" s="486" t="s">
        <v>3100</v>
      </c>
      <c r="F59" s="485" t="str">
        <f t="shared" si="1"/>
        <v>Aulia Eka Putri Bakti</v>
      </c>
    </row>
    <row r="60">
      <c r="A60" s="486">
        <v>5.0</v>
      </c>
      <c r="B60" s="486" t="s">
        <v>4100</v>
      </c>
      <c r="C60" s="486" t="s">
        <v>4101</v>
      </c>
      <c r="D60" s="487" t="s">
        <v>4102</v>
      </c>
      <c r="E60" s="486" t="s">
        <v>3100</v>
      </c>
      <c r="F60" s="485" t="str">
        <f t="shared" si="1"/>
        <v>Aura Scarletta Jaya</v>
      </c>
    </row>
    <row r="61">
      <c r="A61" s="489">
        <v>5.0</v>
      </c>
      <c r="B61" s="489" t="s">
        <v>4211</v>
      </c>
      <c r="C61" s="489" t="s">
        <v>4212</v>
      </c>
      <c r="D61" s="491" t="s">
        <v>5512</v>
      </c>
      <c r="E61" s="489" t="s">
        <v>3100</v>
      </c>
      <c r="F61" s="485" t="str">
        <f t="shared" si="1"/>
        <v>Aurel Amanda Sari</v>
      </c>
    </row>
    <row r="62">
      <c r="A62" s="492">
        <v>7.0</v>
      </c>
      <c r="B62" s="493">
        <v>2.32410062E8</v>
      </c>
      <c r="C62" s="493" t="s">
        <v>3354</v>
      </c>
      <c r="D62" s="495" t="s">
        <v>3355</v>
      </c>
      <c r="E62" s="493" t="s">
        <v>3100</v>
      </c>
      <c r="F62" s="485" t="str">
        <f t="shared" si="1"/>
        <v>Aurelia Quabyla Ramadhani</v>
      </c>
    </row>
    <row r="63">
      <c r="A63" s="496">
        <v>6.0</v>
      </c>
      <c r="B63" s="497" t="s">
        <v>3456</v>
      </c>
      <c r="C63" s="497" t="s">
        <v>3457</v>
      </c>
      <c r="D63" s="498" t="s">
        <v>3458</v>
      </c>
      <c r="E63" s="497" t="s">
        <v>3099</v>
      </c>
      <c r="F63" s="485" t="str">
        <f t="shared" si="1"/>
        <v>Aurellio Dean Keefa</v>
      </c>
    </row>
    <row r="64">
      <c r="A64" s="496">
        <v>6.0</v>
      </c>
      <c r="B64" s="497" t="s">
        <v>4214</v>
      </c>
      <c r="C64" s="515" t="s">
        <v>4215</v>
      </c>
      <c r="D64" s="498" t="s">
        <v>5513</v>
      </c>
      <c r="E64" s="497" t="s">
        <v>3099</v>
      </c>
      <c r="F64" s="485" t="str">
        <f t="shared" si="1"/>
        <v>Avesenna Vivaldi Zahri</v>
      </c>
    </row>
    <row r="65">
      <c r="A65" s="499">
        <v>10.0</v>
      </c>
      <c r="B65" s="499" t="s">
        <v>4006</v>
      </c>
      <c r="C65" s="499" t="s">
        <v>4007</v>
      </c>
      <c r="D65" s="500" t="s">
        <v>4008</v>
      </c>
      <c r="E65" s="499" t="s">
        <v>3100</v>
      </c>
      <c r="F65" s="485" t="str">
        <f t="shared" si="1"/>
        <v>Ayu Aryani</v>
      </c>
    </row>
    <row r="66">
      <c r="A66" s="501">
        <v>7.0</v>
      </c>
      <c r="B66" s="501" t="s">
        <v>3459</v>
      </c>
      <c r="C66" s="501" t="s">
        <v>3460</v>
      </c>
      <c r="D66" s="516" t="s">
        <v>3461</v>
      </c>
      <c r="E66" s="501" t="s">
        <v>3100</v>
      </c>
      <c r="F66" s="485" t="str">
        <f t="shared" si="1"/>
        <v>Ayu Puspita Rahman</v>
      </c>
    </row>
    <row r="67">
      <c r="A67" s="503">
        <v>5.0</v>
      </c>
      <c r="B67" s="503">
        <v>2.32410066E8</v>
      </c>
      <c r="C67" s="517" t="s">
        <v>3123</v>
      </c>
      <c r="D67" s="518" t="s">
        <v>3124</v>
      </c>
      <c r="E67" s="503" t="s">
        <v>3100</v>
      </c>
      <c r="F67" s="485" t="str">
        <f t="shared" si="1"/>
        <v>Ayu Widya Ningsih</v>
      </c>
    </row>
    <row r="68">
      <c r="A68" s="506">
        <v>11.0</v>
      </c>
      <c r="B68" s="506" t="s">
        <v>4009</v>
      </c>
      <c r="C68" s="506" t="s">
        <v>4010</v>
      </c>
      <c r="D68" s="507" t="s">
        <v>4011</v>
      </c>
      <c r="E68" s="506" t="s">
        <v>3100</v>
      </c>
      <c r="F68" s="485" t="str">
        <f t="shared" si="1"/>
        <v>Ayudya Rachmawati</v>
      </c>
    </row>
    <row r="69">
      <c r="A69" s="482">
        <v>8.0</v>
      </c>
      <c r="B69" s="482" t="s">
        <v>3462</v>
      </c>
      <c r="C69" s="482" t="s">
        <v>3463</v>
      </c>
      <c r="D69" s="484" t="s">
        <v>3464</v>
      </c>
      <c r="E69" s="482" t="s">
        <v>3099</v>
      </c>
      <c r="F69" s="485" t="str">
        <f t="shared" si="1"/>
        <v>Ayyash Ardhana Shiddieqy</v>
      </c>
    </row>
    <row r="70">
      <c r="A70" s="482">
        <v>4.0</v>
      </c>
      <c r="B70" s="482" t="s">
        <v>3271</v>
      </c>
      <c r="C70" s="483" t="s">
        <v>3272</v>
      </c>
      <c r="D70" s="484" t="s">
        <v>3273</v>
      </c>
      <c r="E70" s="482" t="s">
        <v>3099</v>
      </c>
      <c r="F70" s="485" t="str">
        <f t="shared" si="1"/>
        <v>Aziz Aditya Pratama</v>
      </c>
    </row>
    <row r="71">
      <c r="A71" s="482">
        <v>9.0</v>
      </c>
      <c r="B71" s="482" t="s">
        <v>3683</v>
      </c>
      <c r="C71" s="482" t="s">
        <v>3684</v>
      </c>
      <c r="D71" s="484" t="s">
        <v>3685</v>
      </c>
      <c r="E71" s="482" t="s">
        <v>3099</v>
      </c>
      <c r="F71" s="485" t="str">
        <f t="shared" si="1"/>
        <v>Azizu Achmad Fauzan</v>
      </c>
    </row>
    <row r="72">
      <c r="A72" s="482">
        <v>9.0</v>
      </c>
      <c r="B72" s="482" t="s">
        <v>3465</v>
      </c>
      <c r="C72" s="482" t="s">
        <v>3466</v>
      </c>
      <c r="D72" s="484" t="s">
        <v>3467</v>
      </c>
      <c r="E72" s="482" t="s">
        <v>3099</v>
      </c>
      <c r="F72" s="485" t="str">
        <f t="shared" si="1"/>
        <v>Azka Faiz Ataullah</v>
      </c>
    </row>
    <row r="73">
      <c r="A73" s="482">
        <v>7.0</v>
      </c>
      <c r="B73" s="482" t="s">
        <v>4217</v>
      </c>
      <c r="C73" s="482" t="s">
        <v>4218</v>
      </c>
      <c r="D73" s="484" t="s">
        <v>5514</v>
      </c>
      <c r="E73" s="482" t="s">
        <v>3100</v>
      </c>
      <c r="F73" s="485" t="str">
        <f t="shared" si="1"/>
        <v>Azkia Rayzanaya Puteri</v>
      </c>
    </row>
    <row r="74">
      <c r="A74" s="482">
        <v>1.0</v>
      </c>
      <c r="B74" s="482">
        <v>2.32410073E8</v>
      </c>
      <c r="C74" s="483" t="s">
        <v>3191</v>
      </c>
      <c r="D74" s="484" t="s">
        <v>3192</v>
      </c>
      <c r="E74" s="482" t="s">
        <v>3100</v>
      </c>
      <c r="F74" s="485" t="str">
        <f t="shared" si="1"/>
        <v>Azmirula Syahda Wahada G.</v>
      </c>
    </row>
    <row r="75">
      <c r="A75" s="482">
        <v>12.0</v>
      </c>
      <c r="B75" s="482" t="s">
        <v>4012</v>
      </c>
      <c r="C75" s="483" t="s">
        <v>4013</v>
      </c>
      <c r="D75" s="484" t="s">
        <v>4014</v>
      </c>
      <c r="E75" s="482" t="s">
        <v>3099</v>
      </c>
      <c r="F75" s="485" t="str">
        <f t="shared" si="1"/>
        <v>Azuan Putra Satia</v>
      </c>
    </row>
    <row r="76">
      <c r="A76" s="482">
        <v>10.0</v>
      </c>
      <c r="B76" s="482" t="s">
        <v>3468</v>
      </c>
      <c r="C76" s="482" t="s">
        <v>3469</v>
      </c>
      <c r="D76" s="484" t="s">
        <v>3470</v>
      </c>
      <c r="E76" s="482" t="s">
        <v>3099</v>
      </c>
      <c r="F76" s="485" t="str">
        <f t="shared" si="1"/>
        <v>Azzam Fathur Raihan</v>
      </c>
    </row>
    <row r="77">
      <c r="A77" s="482">
        <v>10.0</v>
      </c>
      <c r="B77" s="482" t="s">
        <v>3686</v>
      </c>
      <c r="C77" s="482" t="s">
        <v>3687</v>
      </c>
      <c r="D77" s="484" t="s">
        <v>3688</v>
      </c>
      <c r="E77" s="482" t="s">
        <v>3100</v>
      </c>
      <c r="F77" s="485" t="str">
        <f t="shared" si="1"/>
        <v>Belelia Cindikia Dera</v>
      </c>
    </row>
    <row r="78">
      <c r="A78" s="482">
        <v>6.0</v>
      </c>
      <c r="B78" s="482" t="s">
        <v>4103</v>
      </c>
      <c r="C78" s="483" t="s">
        <v>4104</v>
      </c>
      <c r="D78" s="484" t="s">
        <v>4105</v>
      </c>
      <c r="E78" s="482" t="s">
        <v>3100</v>
      </c>
      <c r="F78" s="485" t="str">
        <f t="shared" si="1"/>
        <v>Benaya Amarasti Widiatma</v>
      </c>
    </row>
    <row r="79">
      <c r="A79" s="482">
        <v>13.0</v>
      </c>
      <c r="B79" s="482" t="s">
        <v>4015</v>
      </c>
      <c r="C79" s="482" t="s">
        <v>4016</v>
      </c>
      <c r="D79" s="484" t="s">
        <v>4017</v>
      </c>
      <c r="E79" s="482" t="s">
        <v>3100</v>
      </c>
      <c r="F79" s="485" t="str">
        <f t="shared" si="1"/>
        <v>Bianca Indhira Hanuun</v>
      </c>
    </row>
    <row r="80">
      <c r="A80" s="482">
        <v>14.0</v>
      </c>
      <c r="B80" s="482" t="s">
        <v>4018</v>
      </c>
      <c r="C80" s="482" t="s">
        <v>4019</v>
      </c>
      <c r="D80" s="484" t="s">
        <v>4020</v>
      </c>
      <c r="E80" s="482" t="s">
        <v>3100</v>
      </c>
      <c r="F80" s="485" t="str">
        <f t="shared" si="1"/>
        <v>Bilqis Afrilia Nazwa Rani</v>
      </c>
    </row>
    <row r="81">
      <c r="A81" s="482">
        <v>11.0</v>
      </c>
      <c r="B81" s="482" t="s">
        <v>3471</v>
      </c>
      <c r="C81" s="482" t="s">
        <v>3472</v>
      </c>
      <c r="D81" s="484" t="s">
        <v>3473</v>
      </c>
      <c r="E81" s="482" t="s">
        <v>3099</v>
      </c>
      <c r="F81" s="485" t="str">
        <f t="shared" si="1"/>
        <v>Bintang Pamungkas S.A.</v>
      </c>
    </row>
    <row r="82">
      <c r="A82" s="482">
        <v>7.0</v>
      </c>
      <c r="B82" s="482" t="s">
        <v>4106</v>
      </c>
      <c r="C82" s="483" t="s">
        <v>4107</v>
      </c>
      <c r="D82" s="484" t="s">
        <v>4108</v>
      </c>
      <c r="E82" s="482" t="s">
        <v>3100</v>
      </c>
      <c r="F82" s="485" t="str">
        <f t="shared" si="1"/>
        <v>Bunga Claresta Tumanung</v>
      </c>
    </row>
    <row r="83">
      <c r="A83" s="482">
        <v>4.0</v>
      </c>
      <c r="B83" s="482" t="s">
        <v>3883</v>
      </c>
      <c r="C83" s="482" t="s">
        <v>3884</v>
      </c>
      <c r="D83" s="484" t="s">
        <v>3885</v>
      </c>
      <c r="E83" s="482" t="s">
        <v>3100</v>
      </c>
      <c r="F83" s="485" t="str">
        <f t="shared" si="1"/>
        <v>Cahaya Edina Jatmiko</v>
      </c>
    </row>
    <row r="84">
      <c r="A84" s="482">
        <v>6.0</v>
      </c>
      <c r="B84" s="482" t="s">
        <v>3563</v>
      </c>
      <c r="C84" s="482" t="s">
        <v>3564</v>
      </c>
      <c r="D84" s="484" t="s">
        <v>3565</v>
      </c>
      <c r="E84" s="482" t="s">
        <v>3100</v>
      </c>
      <c r="F84" s="485" t="str">
        <f t="shared" si="1"/>
        <v>Calista Dianti Huwaidah</v>
      </c>
    </row>
    <row r="85">
      <c r="A85" s="482">
        <v>15.0</v>
      </c>
      <c r="B85" s="519" t="s">
        <v>4021</v>
      </c>
      <c r="C85" s="482" t="s">
        <v>4022</v>
      </c>
      <c r="D85" s="508" t="s">
        <v>4023</v>
      </c>
      <c r="E85" s="482" t="s">
        <v>3100</v>
      </c>
      <c r="F85" s="485" t="str">
        <f t="shared" si="1"/>
        <v>Callista Dominic Laura Ginta</v>
      </c>
    </row>
    <row r="86">
      <c r="A86" s="482">
        <v>7.0</v>
      </c>
      <c r="B86" s="482" t="s">
        <v>3566</v>
      </c>
      <c r="C86" s="482" t="s">
        <v>3567</v>
      </c>
      <c r="D86" s="484" t="s">
        <v>3568</v>
      </c>
      <c r="E86" s="482" t="s">
        <v>3100</v>
      </c>
      <c r="F86" s="485" t="str">
        <f t="shared" si="1"/>
        <v>Callysta Asti Arbia</v>
      </c>
    </row>
    <row r="87">
      <c r="A87" s="482">
        <v>12.0</v>
      </c>
      <c r="B87" s="482" t="s">
        <v>3474</v>
      </c>
      <c r="C87" s="483" t="s">
        <v>3475</v>
      </c>
      <c r="D87" s="508" t="s">
        <v>3476</v>
      </c>
      <c r="E87" s="482" t="s">
        <v>3099</v>
      </c>
      <c r="F87" s="485" t="str">
        <f t="shared" si="1"/>
        <v>Calvin Jireh Parasian Pasaribu</v>
      </c>
    </row>
    <row r="88">
      <c r="A88" s="482">
        <v>8.0</v>
      </c>
      <c r="B88" s="482" t="s">
        <v>3569</v>
      </c>
      <c r="C88" s="486" t="s">
        <v>3570</v>
      </c>
      <c r="D88" s="484" t="s">
        <v>3571</v>
      </c>
      <c r="E88" s="482" t="s">
        <v>3100</v>
      </c>
      <c r="F88" s="485" t="str">
        <f t="shared" si="1"/>
        <v>Cesilia D. Ichwanuddin</v>
      </c>
    </row>
    <row r="89">
      <c r="A89" s="482">
        <v>16.0</v>
      </c>
      <c r="B89" s="482" t="s">
        <v>4024</v>
      </c>
      <c r="C89" s="482" t="s">
        <v>4025</v>
      </c>
      <c r="D89" s="508" t="s">
        <v>4026</v>
      </c>
      <c r="E89" s="482" t="s">
        <v>3100</v>
      </c>
      <c r="F89" s="485" t="str">
        <f t="shared" si="1"/>
        <v>Chechillia Azzahra Putri Kurniadi</v>
      </c>
    </row>
    <row r="90">
      <c r="A90" s="482">
        <v>5.0</v>
      </c>
      <c r="B90" s="482">
        <v>2.32410089E8</v>
      </c>
      <c r="C90" s="483" t="s">
        <v>3274</v>
      </c>
      <c r="D90" s="484" t="s">
        <v>3275</v>
      </c>
      <c r="E90" s="482" t="s">
        <v>3100</v>
      </c>
      <c r="F90" s="485" t="str">
        <f t="shared" si="1"/>
        <v>Cindy Nurkhalifah</v>
      </c>
    </row>
    <row r="91">
      <c r="A91" s="482">
        <v>2.0</v>
      </c>
      <c r="B91" s="482">
        <v>2.3241009E8</v>
      </c>
      <c r="C91" s="482" t="s">
        <v>3193</v>
      </c>
      <c r="D91" s="484" t="s">
        <v>3194</v>
      </c>
      <c r="E91" s="482" t="s">
        <v>3100</v>
      </c>
      <c r="F91" s="485" t="str">
        <f t="shared" si="1"/>
        <v>Cintya Ramadhani S.</v>
      </c>
    </row>
    <row r="92">
      <c r="A92" s="482">
        <v>13.0</v>
      </c>
      <c r="B92" s="482" t="s">
        <v>3477</v>
      </c>
      <c r="C92" s="482" t="s">
        <v>3478</v>
      </c>
      <c r="D92" s="484" t="s">
        <v>3479</v>
      </c>
      <c r="E92" s="482" t="s">
        <v>3100</v>
      </c>
      <c r="F92" s="485" t="str">
        <f t="shared" si="1"/>
        <v>Citra Nayla</v>
      </c>
    </row>
    <row r="93">
      <c r="A93" s="482">
        <v>3.0</v>
      </c>
      <c r="B93" s="482">
        <v>2.32410092E8</v>
      </c>
      <c r="C93" s="483" t="s">
        <v>3195</v>
      </c>
      <c r="D93" s="484" t="s">
        <v>3196</v>
      </c>
      <c r="E93" s="482" t="s">
        <v>3100</v>
      </c>
      <c r="F93" s="485" t="str">
        <f t="shared" si="1"/>
        <v>Cyrilla Elvaretta N.</v>
      </c>
    </row>
    <row r="94">
      <c r="A94" s="482">
        <v>17.0</v>
      </c>
      <c r="B94" s="482" t="s">
        <v>4027</v>
      </c>
      <c r="C94" s="482" t="s">
        <v>4028</v>
      </c>
      <c r="D94" s="484" t="s">
        <v>4029</v>
      </c>
      <c r="E94" s="482" t="s">
        <v>3099</v>
      </c>
      <c r="F94" s="485" t="str">
        <f t="shared" si="1"/>
        <v>Daffa Khairu Ramadhan</v>
      </c>
    </row>
    <row r="95">
      <c r="A95" s="482">
        <v>8.0</v>
      </c>
      <c r="B95" s="482" t="s">
        <v>3788</v>
      </c>
      <c r="C95" s="483" t="s">
        <v>3789</v>
      </c>
      <c r="D95" s="484" t="s">
        <v>3790</v>
      </c>
      <c r="E95" s="482" t="s">
        <v>3099</v>
      </c>
      <c r="F95" s="485" t="str">
        <f t="shared" si="1"/>
        <v>Daffa Muhazzib Ibni</v>
      </c>
    </row>
    <row r="96">
      <c r="A96" s="482">
        <v>4.0</v>
      </c>
      <c r="B96" s="482">
        <v>2.32410095E8</v>
      </c>
      <c r="C96" s="483" t="s">
        <v>3197</v>
      </c>
      <c r="D96" s="484" t="s">
        <v>3198</v>
      </c>
      <c r="E96" s="482" t="s">
        <v>3099</v>
      </c>
      <c r="F96" s="485" t="str">
        <f t="shared" si="1"/>
        <v>Daffa Rizky Darmawan</v>
      </c>
    </row>
    <row r="97">
      <c r="A97" s="482">
        <v>5.0</v>
      </c>
      <c r="B97" s="482" t="s">
        <v>3886</v>
      </c>
      <c r="C97" s="483" t="s">
        <v>3887</v>
      </c>
      <c r="D97" s="484" t="s">
        <v>3888</v>
      </c>
      <c r="E97" s="482" t="s">
        <v>3099</v>
      </c>
      <c r="F97" s="485" t="str">
        <f t="shared" si="1"/>
        <v>Danial Rizky Jonsa</v>
      </c>
    </row>
    <row r="98">
      <c r="A98" s="482">
        <v>6.0</v>
      </c>
      <c r="B98" s="482" t="s">
        <v>3889</v>
      </c>
      <c r="C98" s="482" t="s">
        <v>3890</v>
      </c>
      <c r="D98" s="484" t="s">
        <v>3891</v>
      </c>
      <c r="E98" s="482" t="s">
        <v>3099</v>
      </c>
      <c r="F98" s="485" t="str">
        <f t="shared" si="1"/>
        <v>Daniel Ihsan</v>
      </c>
    </row>
    <row r="99">
      <c r="A99" s="482">
        <v>18.0</v>
      </c>
      <c r="B99" s="482" t="s">
        <v>4030</v>
      </c>
      <c r="C99" s="482" t="s">
        <v>4031</v>
      </c>
      <c r="D99" s="508" t="s">
        <v>4032</v>
      </c>
      <c r="E99" s="482" t="s">
        <v>3099</v>
      </c>
      <c r="F99" s="485" t="str">
        <f t="shared" si="1"/>
        <v>Dary Dzakwan Putra Cahyadi</v>
      </c>
    </row>
    <row r="100">
      <c r="A100" s="482">
        <v>8.0</v>
      </c>
      <c r="B100" s="482" t="s">
        <v>3356</v>
      </c>
      <c r="C100" s="483" t="s">
        <v>3357</v>
      </c>
      <c r="D100" s="484" t="s">
        <v>3358</v>
      </c>
      <c r="E100" s="482" t="s">
        <v>3099</v>
      </c>
      <c r="F100" s="485" t="str">
        <f t="shared" si="1"/>
        <v>Darys Dzakir</v>
      </c>
    </row>
    <row r="101">
      <c r="A101" s="482">
        <v>9.0</v>
      </c>
      <c r="B101" s="482">
        <v>2.324101E8</v>
      </c>
      <c r="C101" s="482" t="s">
        <v>3357</v>
      </c>
      <c r="D101" s="484" t="s">
        <v>3359</v>
      </c>
      <c r="E101" s="482" t="s">
        <v>3099</v>
      </c>
      <c r="F101" s="485" t="str">
        <f t="shared" si="1"/>
        <v>Deandra Ibnu Kaffa Sofyan</v>
      </c>
    </row>
    <row r="102">
      <c r="A102" s="482">
        <v>7.0</v>
      </c>
      <c r="B102" s="482" t="s">
        <v>3892</v>
      </c>
      <c r="C102" s="483" t="s">
        <v>3573</v>
      </c>
      <c r="D102" s="484" t="s">
        <v>3893</v>
      </c>
      <c r="E102" s="482" t="s">
        <v>3099</v>
      </c>
      <c r="F102" s="485" t="str">
        <f t="shared" si="1"/>
        <v>Def Khalif Yaz</v>
      </c>
    </row>
    <row r="103">
      <c r="A103" s="482">
        <v>9.0</v>
      </c>
      <c r="B103" s="482" t="s">
        <v>3572</v>
      </c>
      <c r="C103" s="482" t="s">
        <v>3573</v>
      </c>
      <c r="D103" s="484" t="s">
        <v>3574</v>
      </c>
      <c r="E103" s="482" t="s">
        <v>3100</v>
      </c>
      <c r="F103" s="485" t="str">
        <f t="shared" si="1"/>
        <v>Denia Zevira Genara</v>
      </c>
    </row>
    <row r="104">
      <c r="A104" s="482">
        <v>11.0</v>
      </c>
      <c r="B104" s="482" t="s">
        <v>3689</v>
      </c>
      <c r="C104" s="482" t="s">
        <v>3690</v>
      </c>
      <c r="D104" s="484" t="s">
        <v>3691</v>
      </c>
      <c r="E104" s="482" t="s">
        <v>3100</v>
      </c>
      <c r="F104" s="485" t="str">
        <f t="shared" si="1"/>
        <v>Devi Amelia</v>
      </c>
    </row>
    <row r="105">
      <c r="A105" s="486">
        <v>9.0</v>
      </c>
      <c r="B105" s="486" t="s">
        <v>3791</v>
      </c>
      <c r="C105" s="488" t="s">
        <v>3792</v>
      </c>
      <c r="D105" s="487" t="s">
        <v>3793</v>
      </c>
      <c r="E105" s="486" t="s">
        <v>3100</v>
      </c>
      <c r="F105" s="485" t="str">
        <f t="shared" si="1"/>
        <v>Devina Keysa Maharani</v>
      </c>
    </row>
    <row r="106">
      <c r="A106" s="486">
        <v>8.0</v>
      </c>
      <c r="B106" s="486" t="s">
        <v>4220</v>
      </c>
      <c r="C106" s="486" t="s">
        <v>3792</v>
      </c>
      <c r="D106" s="487" t="s">
        <v>5515</v>
      </c>
      <c r="E106" s="486" t="s">
        <v>3099</v>
      </c>
      <c r="F106" s="485" t="str">
        <f t="shared" si="1"/>
        <v>Dewa Arga Harsono Putro</v>
      </c>
    </row>
    <row r="107">
      <c r="A107" s="486">
        <v>19.0</v>
      </c>
      <c r="B107" s="486" t="s">
        <v>4033</v>
      </c>
      <c r="C107" s="486" t="s">
        <v>4034</v>
      </c>
      <c r="D107" s="487" t="s">
        <v>4035</v>
      </c>
      <c r="E107" s="486" t="s">
        <v>3100</v>
      </c>
      <c r="F107" s="485" t="str">
        <f t="shared" si="1"/>
        <v>Diandra Zahra Adani</v>
      </c>
    </row>
    <row r="108">
      <c r="A108" s="486">
        <v>20.0</v>
      </c>
      <c r="B108" s="486" t="s">
        <v>4036</v>
      </c>
      <c r="C108" s="486" t="s">
        <v>4037</v>
      </c>
      <c r="D108" s="520" t="s">
        <v>4038</v>
      </c>
      <c r="E108" s="486" t="s">
        <v>3099</v>
      </c>
      <c r="F108" s="485" t="str">
        <f t="shared" si="1"/>
        <v>Dimas Ariansyah Siagian</v>
      </c>
    </row>
    <row r="109">
      <c r="A109" s="489">
        <v>5.0</v>
      </c>
      <c r="B109" s="489">
        <v>2.32410108E8</v>
      </c>
      <c r="C109" s="521" t="s">
        <v>3199</v>
      </c>
      <c r="D109" s="491" t="s">
        <v>3200</v>
      </c>
      <c r="E109" s="489" t="s">
        <v>3099</v>
      </c>
      <c r="F109" s="485" t="str">
        <f t="shared" si="1"/>
        <v>Dimas Rizky Satriawan</v>
      </c>
    </row>
    <row r="110">
      <c r="A110" s="492">
        <v>6.0</v>
      </c>
      <c r="B110" s="493">
        <v>2.32410109E8</v>
      </c>
      <c r="C110" s="494" t="s">
        <v>3199</v>
      </c>
      <c r="D110" s="495" t="s">
        <v>3276</v>
      </c>
      <c r="E110" s="493" t="s">
        <v>3099</v>
      </c>
      <c r="F110" s="485" t="str">
        <f t="shared" si="1"/>
        <v>Dimas Surya Pratama</v>
      </c>
    </row>
    <row r="111">
      <c r="A111" s="496">
        <v>6.0</v>
      </c>
      <c r="B111" s="497">
        <v>2.3241011E8</v>
      </c>
      <c r="C111" s="515" t="s">
        <v>3201</v>
      </c>
      <c r="D111" s="498" t="s">
        <v>3202</v>
      </c>
      <c r="E111" s="497" t="s">
        <v>3100</v>
      </c>
      <c r="F111" s="485" t="str">
        <f t="shared" si="1"/>
        <v>Dinar Adilla Mufidasari</v>
      </c>
    </row>
    <row r="112">
      <c r="A112" s="496">
        <v>10.0</v>
      </c>
      <c r="B112" s="497">
        <v>2.32410111E8</v>
      </c>
      <c r="C112" s="515" t="s">
        <v>3360</v>
      </c>
      <c r="D112" s="498" t="s">
        <v>3361</v>
      </c>
      <c r="E112" s="497" t="s">
        <v>3100</v>
      </c>
      <c r="F112" s="485" t="str">
        <f t="shared" si="1"/>
        <v>Dini</v>
      </c>
    </row>
    <row r="113">
      <c r="A113" s="499">
        <v>9.0</v>
      </c>
      <c r="B113" s="499" t="s">
        <v>4222</v>
      </c>
      <c r="C113" s="499" t="s">
        <v>3360</v>
      </c>
      <c r="D113" s="500" t="s">
        <v>5516</v>
      </c>
      <c r="E113" s="499" t="s">
        <v>3099</v>
      </c>
      <c r="F113" s="485" t="str">
        <f t="shared" si="1"/>
        <v>Dionisius Evandra</v>
      </c>
    </row>
    <row r="114">
      <c r="A114" s="501">
        <v>12.0</v>
      </c>
      <c r="B114" s="501" t="s">
        <v>3692</v>
      </c>
      <c r="C114" s="501" t="s">
        <v>3693</v>
      </c>
      <c r="D114" s="516" t="s">
        <v>3694</v>
      </c>
      <c r="E114" s="501" t="s">
        <v>3099</v>
      </c>
      <c r="F114" s="485" t="str">
        <f t="shared" si="1"/>
        <v>Dyo El Rizqi Kamil</v>
      </c>
    </row>
    <row r="115">
      <c r="A115" s="503">
        <v>8.0</v>
      </c>
      <c r="B115" s="503" t="s">
        <v>3894</v>
      </c>
      <c r="C115" s="503" t="s">
        <v>3895</v>
      </c>
      <c r="D115" s="518" t="s">
        <v>3896</v>
      </c>
      <c r="E115" s="503" t="s">
        <v>3100</v>
      </c>
      <c r="F115" s="485" t="str">
        <f t="shared" si="1"/>
        <v>Egalita Adliyah</v>
      </c>
    </row>
    <row r="116">
      <c r="A116" s="522">
        <v>10.0</v>
      </c>
      <c r="B116" s="506" t="s">
        <v>3575</v>
      </c>
      <c r="C116" s="506" t="s">
        <v>3576</v>
      </c>
      <c r="D116" s="507" t="s">
        <v>3577</v>
      </c>
      <c r="E116" s="506" t="s">
        <v>3100</v>
      </c>
      <c r="F116" s="485" t="str">
        <f t="shared" si="1"/>
        <v>Elma Nursari</v>
      </c>
    </row>
    <row r="117">
      <c r="A117" s="506">
        <v>10.0</v>
      </c>
      <c r="B117" s="482" t="s">
        <v>3794</v>
      </c>
      <c r="C117" s="483" t="s">
        <v>3795</v>
      </c>
      <c r="D117" s="484" t="s">
        <v>3796</v>
      </c>
      <c r="E117" s="482" t="s">
        <v>3100</v>
      </c>
      <c r="F117" s="485" t="str">
        <f t="shared" si="1"/>
        <v>Elvira Eca Maharani</v>
      </c>
    </row>
    <row r="118">
      <c r="A118" s="482">
        <v>11.0</v>
      </c>
      <c r="B118" s="482" t="s">
        <v>3797</v>
      </c>
      <c r="C118" s="523" t="s">
        <v>3203</v>
      </c>
      <c r="D118" s="484" t="s">
        <v>3798</v>
      </c>
      <c r="E118" s="482" t="s">
        <v>3100</v>
      </c>
      <c r="F118" s="485" t="str">
        <f t="shared" si="1"/>
        <v>Emerald Tsabbita Adristi</v>
      </c>
    </row>
    <row r="119">
      <c r="A119" s="506">
        <v>11.0</v>
      </c>
      <c r="B119" s="482">
        <v>2.32410436E8</v>
      </c>
      <c r="C119" s="483" t="s">
        <v>3362</v>
      </c>
      <c r="D119" s="484" t="s">
        <v>3363</v>
      </c>
      <c r="E119" s="482" t="s">
        <v>3099</v>
      </c>
      <c r="F119" s="485" t="str">
        <f t="shared" si="1"/>
        <v>Erich Raditya</v>
      </c>
    </row>
    <row r="120">
      <c r="A120" s="482">
        <v>7.0</v>
      </c>
      <c r="B120" s="482">
        <v>2.32410118E8</v>
      </c>
      <c r="C120" s="482" t="s">
        <v>3203</v>
      </c>
      <c r="D120" s="484" t="s">
        <v>3204</v>
      </c>
      <c r="E120" s="482" t="s">
        <v>3100</v>
      </c>
      <c r="F120" s="485" t="str">
        <f t="shared" si="1"/>
        <v>Erika Julia Gracia Sihite</v>
      </c>
    </row>
    <row r="121">
      <c r="A121" s="506">
        <v>6.0</v>
      </c>
      <c r="B121" s="482">
        <v>2.32410119E8</v>
      </c>
      <c r="C121" s="483" t="s">
        <v>3125</v>
      </c>
      <c r="D121" s="484" t="s">
        <v>3126</v>
      </c>
      <c r="E121" s="482" t="s">
        <v>3100</v>
      </c>
      <c r="F121" s="485" t="str">
        <f t="shared" si="1"/>
        <v>Essi Ester Anjuani Manik</v>
      </c>
    </row>
    <row r="122">
      <c r="A122" s="482">
        <v>11.0</v>
      </c>
      <c r="B122" s="482" t="s">
        <v>3578</v>
      </c>
      <c r="C122" s="483" t="s">
        <v>3579</v>
      </c>
      <c r="D122" s="484" t="s">
        <v>3580</v>
      </c>
      <c r="E122" s="482" t="s">
        <v>3099</v>
      </c>
      <c r="F122" s="485" t="str">
        <f t="shared" si="1"/>
        <v>Fabian Syafa Rizqullah</v>
      </c>
    </row>
    <row r="123">
      <c r="A123" s="506">
        <v>12.0</v>
      </c>
      <c r="B123" s="482" t="s">
        <v>3581</v>
      </c>
      <c r="C123" s="482" t="s">
        <v>3579</v>
      </c>
      <c r="D123" s="484" t="s">
        <v>3582</v>
      </c>
      <c r="E123" s="482" t="s">
        <v>3099</v>
      </c>
      <c r="F123" s="485" t="str">
        <f t="shared" si="1"/>
        <v>Fadhlurahman Kamil</v>
      </c>
    </row>
    <row r="124">
      <c r="A124" s="482">
        <v>7.0</v>
      </c>
      <c r="B124" s="482">
        <v>2.32410122E8</v>
      </c>
      <c r="C124" s="517" t="s">
        <v>3127</v>
      </c>
      <c r="D124" s="484" t="s">
        <v>3128</v>
      </c>
      <c r="E124" s="482" t="s">
        <v>3100</v>
      </c>
      <c r="F124" s="485" t="str">
        <f t="shared" si="1"/>
        <v>Fadila Kurnia Cahya</v>
      </c>
    </row>
    <row r="125">
      <c r="A125" s="506">
        <v>13.0</v>
      </c>
      <c r="B125" s="482" t="s">
        <v>3695</v>
      </c>
      <c r="C125" s="482" t="s">
        <v>3696</v>
      </c>
      <c r="D125" s="484" t="s">
        <v>3697</v>
      </c>
      <c r="E125" s="482" t="s">
        <v>3099</v>
      </c>
      <c r="F125" s="485" t="str">
        <f t="shared" si="1"/>
        <v>Fadlan Ramadhan Tuasikal</v>
      </c>
    </row>
    <row r="126">
      <c r="A126" s="482">
        <v>9.0</v>
      </c>
      <c r="B126" s="482" t="s">
        <v>3897</v>
      </c>
      <c r="C126" s="483" t="s">
        <v>3898</v>
      </c>
      <c r="D126" s="484" t="s">
        <v>3899</v>
      </c>
      <c r="E126" s="482" t="s">
        <v>3099</v>
      </c>
      <c r="F126" s="485" t="str">
        <f t="shared" si="1"/>
        <v>Fadri</v>
      </c>
    </row>
    <row r="127">
      <c r="A127" s="506">
        <v>12.0</v>
      </c>
      <c r="B127" s="524" t="s">
        <v>3799</v>
      </c>
      <c r="C127" s="483" t="s">
        <v>3800</v>
      </c>
      <c r="D127" s="484" t="s">
        <v>3801</v>
      </c>
      <c r="E127" s="482" t="s">
        <v>3100</v>
      </c>
      <c r="F127" s="485" t="str">
        <f t="shared" si="1"/>
        <v>Faizah Hafiyyan</v>
      </c>
    </row>
    <row r="128">
      <c r="A128" s="482">
        <v>14.0</v>
      </c>
      <c r="B128" s="482" t="s">
        <v>3698</v>
      </c>
      <c r="C128" s="482" t="s">
        <v>3699</v>
      </c>
      <c r="D128" s="484" t="s">
        <v>5517</v>
      </c>
      <c r="E128" s="482" t="s">
        <v>3099</v>
      </c>
      <c r="F128" s="485" t="str">
        <f t="shared" si="1"/>
        <v>Fajar Prayoga W.</v>
      </c>
    </row>
    <row r="129">
      <c r="A129" s="506">
        <v>8.0</v>
      </c>
      <c r="B129" s="482" t="s">
        <v>4109</v>
      </c>
      <c r="C129" s="483" t="s">
        <v>4110</v>
      </c>
      <c r="D129" s="508" t="s">
        <v>4111</v>
      </c>
      <c r="E129" s="482" t="s">
        <v>3100</v>
      </c>
      <c r="F129" s="485" t="str">
        <f t="shared" si="1"/>
        <v>Fakhira Firliza Al Kaf Saifuddin</v>
      </c>
    </row>
    <row r="130">
      <c r="A130" s="482">
        <v>12.0</v>
      </c>
      <c r="B130" s="482" t="s">
        <v>3364</v>
      </c>
      <c r="C130" s="482" t="s">
        <v>3365</v>
      </c>
      <c r="D130" s="484" t="s">
        <v>3366</v>
      </c>
      <c r="E130" s="482" t="s">
        <v>3099</v>
      </c>
      <c r="F130" s="485" t="str">
        <f t="shared" si="1"/>
        <v>Fakhri Arkananta</v>
      </c>
    </row>
    <row r="131">
      <c r="A131" s="506">
        <v>10.0</v>
      </c>
      <c r="B131" s="482" t="s">
        <v>3900</v>
      </c>
      <c r="C131" s="482" t="s">
        <v>3901</v>
      </c>
      <c r="D131" s="484" t="s">
        <v>3902</v>
      </c>
      <c r="E131" s="482" t="s">
        <v>3099</v>
      </c>
      <c r="F131" s="485" t="str">
        <f t="shared" si="1"/>
        <v>Fardhan Alif Rayyandi</v>
      </c>
    </row>
    <row r="132">
      <c r="A132" s="482">
        <v>8.0</v>
      </c>
      <c r="B132" s="482">
        <v>2.3241013E8</v>
      </c>
      <c r="C132" s="482" t="s">
        <v>3205</v>
      </c>
      <c r="D132" s="484" t="s">
        <v>3206</v>
      </c>
      <c r="E132" s="482" t="s">
        <v>3099</v>
      </c>
      <c r="F132" s="485" t="str">
        <f t="shared" si="1"/>
        <v>Faris Faizannajmy Basyir</v>
      </c>
    </row>
    <row r="133">
      <c r="A133" s="506">
        <v>14.0</v>
      </c>
      <c r="B133" s="482" t="s">
        <v>3480</v>
      </c>
      <c r="C133" s="482" t="s">
        <v>3481</v>
      </c>
      <c r="D133" s="484" t="s">
        <v>3482</v>
      </c>
      <c r="E133" s="482" t="s">
        <v>3099</v>
      </c>
      <c r="F133" s="485" t="str">
        <f t="shared" si="1"/>
        <v>Faris Ridha Kurniawan</v>
      </c>
    </row>
    <row r="134">
      <c r="A134" s="482">
        <v>15.0</v>
      </c>
      <c r="B134" s="482" t="s">
        <v>3701</v>
      </c>
      <c r="C134" s="483" t="s">
        <v>3702</v>
      </c>
      <c r="D134" s="484" t="s">
        <v>3703</v>
      </c>
      <c r="E134" s="482" t="s">
        <v>3100</v>
      </c>
      <c r="F134" s="485" t="str">
        <f t="shared" si="1"/>
        <v>Farisa Triandita</v>
      </c>
    </row>
    <row r="135">
      <c r="A135" s="506">
        <v>13.0</v>
      </c>
      <c r="B135" s="482" t="s">
        <v>3802</v>
      </c>
      <c r="C135" s="483" t="s">
        <v>3125</v>
      </c>
      <c r="D135" s="484" t="s">
        <v>3803</v>
      </c>
      <c r="E135" s="482" t="s">
        <v>3100</v>
      </c>
      <c r="F135" s="485" t="str">
        <f t="shared" si="1"/>
        <v>Farishta Gaishani</v>
      </c>
    </row>
    <row r="136">
      <c r="A136" s="482">
        <v>9.0</v>
      </c>
      <c r="B136" s="482" t="s">
        <v>4112</v>
      </c>
      <c r="C136" s="483" t="s">
        <v>4113</v>
      </c>
      <c r="D136" s="484" t="s">
        <v>4114</v>
      </c>
      <c r="E136" s="482" t="s">
        <v>3100</v>
      </c>
      <c r="F136" s="485" t="str">
        <f t="shared" si="1"/>
        <v>Fathia Khairaya Hasan</v>
      </c>
    </row>
    <row r="137">
      <c r="A137" s="506">
        <v>13.0</v>
      </c>
      <c r="B137" s="482" t="s">
        <v>3367</v>
      </c>
      <c r="C137" s="482" t="s">
        <v>3368</v>
      </c>
      <c r="D137" s="484" t="s">
        <v>3369</v>
      </c>
      <c r="E137" s="482" t="s">
        <v>3100</v>
      </c>
      <c r="F137" s="485" t="str">
        <f t="shared" si="1"/>
        <v>Fathiyya Azzahra</v>
      </c>
    </row>
    <row r="138">
      <c r="A138" s="482">
        <v>14.0</v>
      </c>
      <c r="B138" s="482" t="s">
        <v>3370</v>
      </c>
      <c r="C138" s="482" t="s">
        <v>3371</v>
      </c>
      <c r="D138" s="484" t="s">
        <v>3372</v>
      </c>
      <c r="E138" s="482" t="s">
        <v>3099</v>
      </c>
      <c r="F138" s="485" t="str">
        <f t="shared" si="1"/>
        <v>Fatih M. Adiwangsa</v>
      </c>
    </row>
    <row r="139">
      <c r="A139" s="506">
        <v>10.0</v>
      </c>
      <c r="B139" s="482" t="s">
        <v>4115</v>
      </c>
      <c r="C139" s="523" t="s">
        <v>4116</v>
      </c>
      <c r="D139" s="484" t="s">
        <v>4117</v>
      </c>
      <c r="E139" s="482" t="s">
        <v>3100</v>
      </c>
      <c r="F139" s="485" t="str">
        <f t="shared" si="1"/>
        <v>Fatihah Morgiana</v>
      </c>
    </row>
    <row r="140">
      <c r="A140" s="482">
        <v>7.0</v>
      </c>
      <c r="B140" s="482">
        <v>2.32410138E8</v>
      </c>
      <c r="C140" s="482" t="s">
        <v>3277</v>
      </c>
      <c r="D140" s="484" t="s">
        <v>3278</v>
      </c>
      <c r="E140" s="482" t="s">
        <v>3099</v>
      </c>
      <c r="F140" s="485" t="str">
        <f t="shared" si="1"/>
        <v>Fauzan Hibatullah Sutisna</v>
      </c>
    </row>
    <row r="141">
      <c r="A141" s="506">
        <v>14.0</v>
      </c>
      <c r="B141" s="482" t="s">
        <v>3804</v>
      </c>
      <c r="C141" s="482" t="s">
        <v>3805</v>
      </c>
      <c r="D141" s="484" t="s">
        <v>3806</v>
      </c>
      <c r="E141" s="482" t="s">
        <v>3099</v>
      </c>
      <c r="F141" s="485" t="str">
        <f t="shared" si="1"/>
        <v>Fazrurrahman Tijani</v>
      </c>
    </row>
    <row r="142">
      <c r="A142" s="482">
        <v>15.0</v>
      </c>
      <c r="B142" s="482" t="s">
        <v>3483</v>
      </c>
      <c r="C142" s="482" t="s">
        <v>3484</v>
      </c>
      <c r="D142" s="484" t="s">
        <v>3485</v>
      </c>
      <c r="E142" s="482" t="s">
        <v>3099</v>
      </c>
      <c r="F142" s="485" t="str">
        <f t="shared" si="1"/>
        <v>Febi Ihsanul Azmi</v>
      </c>
    </row>
    <row r="143">
      <c r="A143" s="506">
        <v>11.0</v>
      </c>
      <c r="B143" s="482" t="s">
        <v>3903</v>
      </c>
      <c r="C143" s="483" t="s">
        <v>3904</v>
      </c>
      <c r="D143" s="484" t="s">
        <v>3905</v>
      </c>
      <c r="E143" s="482" t="s">
        <v>3099</v>
      </c>
      <c r="F143" s="485" t="str">
        <f t="shared" si="1"/>
        <v>Ferdinan Febriano</v>
      </c>
    </row>
    <row r="144">
      <c r="A144" s="482">
        <v>11.0</v>
      </c>
      <c r="B144" s="482" t="s">
        <v>4118</v>
      </c>
      <c r="C144" s="482" t="s">
        <v>3904</v>
      </c>
      <c r="D144" s="484" t="s">
        <v>4119</v>
      </c>
      <c r="E144" s="482" t="s">
        <v>3100</v>
      </c>
      <c r="F144" s="485" t="str">
        <f t="shared" si="1"/>
        <v>Fey Nasywa Syahli</v>
      </c>
    </row>
    <row r="145">
      <c r="A145" s="506">
        <v>15.0</v>
      </c>
      <c r="B145" s="482" t="s">
        <v>3373</v>
      </c>
      <c r="C145" s="482" t="s">
        <v>3374</v>
      </c>
      <c r="D145" s="484" t="s">
        <v>3375</v>
      </c>
      <c r="E145" s="482" t="s">
        <v>3100</v>
      </c>
      <c r="F145" s="485" t="str">
        <f t="shared" si="1"/>
        <v>Fina Naylatul Izzah</v>
      </c>
    </row>
    <row r="146">
      <c r="A146" s="482">
        <v>10.0</v>
      </c>
      <c r="B146" s="482" t="s">
        <v>4224</v>
      </c>
      <c r="C146" s="482" t="s">
        <v>4225</v>
      </c>
      <c r="D146" s="511" t="s">
        <v>5518</v>
      </c>
      <c r="E146" s="482" t="s">
        <v>3100</v>
      </c>
      <c r="F146" s="485" t="str">
        <f t="shared" si="1"/>
        <v>Fina Wulandari</v>
      </c>
    </row>
    <row r="147">
      <c r="A147" s="506">
        <v>21.0</v>
      </c>
      <c r="B147" s="482" t="s">
        <v>4039</v>
      </c>
      <c r="C147" s="482" t="s">
        <v>4040</v>
      </c>
      <c r="D147" s="484" t="s">
        <v>4041</v>
      </c>
      <c r="E147" s="482" t="s">
        <v>3100</v>
      </c>
      <c r="F147" s="485" t="str">
        <f t="shared" si="1"/>
        <v>Firda Aulia Ramadhani</v>
      </c>
    </row>
    <row r="148">
      <c r="A148" s="482">
        <v>16.0</v>
      </c>
      <c r="B148" s="482" t="s">
        <v>3704</v>
      </c>
      <c r="C148" s="482" t="s">
        <v>3705</v>
      </c>
      <c r="D148" s="484" t="s">
        <v>3706</v>
      </c>
      <c r="E148" s="482" t="s">
        <v>3099</v>
      </c>
      <c r="F148" s="485" t="str">
        <f t="shared" si="1"/>
        <v>Firdaus Wirakusuma Asy'Ari</v>
      </c>
    </row>
    <row r="149">
      <c r="A149" s="506">
        <v>9.0</v>
      </c>
      <c r="B149" s="482">
        <v>2.32410147E8</v>
      </c>
      <c r="C149" s="482" t="s">
        <v>3207</v>
      </c>
      <c r="D149" s="484" t="s">
        <v>3208</v>
      </c>
      <c r="E149" s="482" t="s">
        <v>3100</v>
      </c>
      <c r="F149" s="485" t="str">
        <f t="shared" si="1"/>
        <v>Firly Mahesa Hardiansyah</v>
      </c>
    </row>
    <row r="150">
      <c r="A150" s="482">
        <v>12.0</v>
      </c>
      <c r="B150" s="482" t="s">
        <v>4120</v>
      </c>
      <c r="C150" s="482" t="s">
        <v>4121</v>
      </c>
      <c r="D150" s="484" t="s">
        <v>4122</v>
      </c>
      <c r="E150" s="482" t="s">
        <v>3100</v>
      </c>
      <c r="F150" s="485" t="str">
        <f t="shared" si="1"/>
        <v>Firyal Ramadhani</v>
      </c>
    </row>
    <row r="151">
      <c r="A151" s="506">
        <v>17.0</v>
      </c>
      <c r="B151" s="482" t="s">
        <v>3707</v>
      </c>
      <c r="C151" s="482" t="s">
        <v>3708</v>
      </c>
      <c r="D151" s="484" t="s">
        <v>3709</v>
      </c>
      <c r="E151" s="482" t="s">
        <v>3100</v>
      </c>
      <c r="F151" s="485" t="str">
        <f t="shared" si="1"/>
        <v>Fitri Wulandari</v>
      </c>
    </row>
    <row r="152">
      <c r="A152" s="482">
        <v>18.0</v>
      </c>
      <c r="B152" s="482" t="s">
        <v>3710</v>
      </c>
      <c r="C152" s="482" t="s">
        <v>3711</v>
      </c>
      <c r="D152" s="484" t="s">
        <v>3712</v>
      </c>
      <c r="E152" s="482" t="s">
        <v>3099</v>
      </c>
      <c r="F152" s="485" t="str">
        <f t="shared" si="1"/>
        <v>Gabriel Pernando</v>
      </c>
    </row>
    <row r="153">
      <c r="A153" s="486">
        <v>16.0</v>
      </c>
      <c r="B153" s="486" t="s">
        <v>3376</v>
      </c>
      <c r="C153" s="486" t="s">
        <v>3377</v>
      </c>
      <c r="D153" s="487" t="s">
        <v>3378</v>
      </c>
      <c r="E153" s="486" t="s">
        <v>3099</v>
      </c>
      <c r="F153" s="485" t="str">
        <f t="shared" si="1"/>
        <v>Gamaliel Gloryan Chico C.</v>
      </c>
    </row>
    <row r="154">
      <c r="A154" s="486">
        <v>10.0</v>
      </c>
      <c r="B154" s="486">
        <v>2.32410152E8</v>
      </c>
      <c r="C154" s="486" t="s">
        <v>3209</v>
      </c>
      <c r="D154" s="487" t="s">
        <v>3210</v>
      </c>
      <c r="E154" s="486" t="s">
        <v>3099</v>
      </c>
      <c r="F154" s="485" t="str">
        <f t="shared" si="1"/>
        <v>Gede Wira Yudistira</v>
      </c>
    </row>
    <row r="155">
      <c r="A155" s="486">
        <v>19.0</v>
      </c>
      <c r="B155" s="486" t="s">
        <v>3713</v>
      </c>
      <c r="C155" s="486" t="s">
        <v>3714</v>
      </c>
      <c r="D155" s="487" t="s">
        <v>3715</v>
      </c>
      <c r="E155" s="486" t="s">
        <v>3100</v>
      </c>
      <c r="F155" s="485" t="str">
        <f t="shared" si="1"/>
        <v>Genneva Putri Saminggar</v>
      </c>
    </row>
    <row r="156">
      <c r="A156" s="486">
        <v>8.0</v>
      </c>
      <c r="B156" s="486">
        <v>2.32410154E8</v>
      </c>
      <c r="C156" s="488" t="s">
        <v>3129</v>
      </c>
      <c r="D156" s="487" t="s">
        <v>3130</v>
      </c>
      <c r="E156" s="486" t="s">
        <v>3100</v>
      </c>
      <c r="F156" s="485" t="str">
        <f t="shared" si="1"/>
        <v>Ghaisani Syifa Indriani</v>
      </c>
    </row>
    <row r="157">
      <c r="A157" s="489">
        <v>13.0</v>
      </c>
      <c r="B157" s="489" t="s">
        <v>3583</v>
      </c>
      <c r="C157" s="489" t="s">
        <v>3584</v>
      </c>
      <c r="D157" s="491" t="s">
        <v>3585</v>
      </c>
      <c r="E157" s="489" t="s">
        <v>3100</v>
      </c>
      <c r="F157" s="485" t="str">
        <f t="shared" si="1"/>
        <v>Ghina Afiah Uyara</v>
      </c>
    </row>
    <row r="158">
      <c r="A158" s="492">
        <v>11.0</v>
      </c>
      <c r="B158" s="493" t="s">
        <v>4227</v>
      </c>
      <c r="C158" s="493" t="s">
        <v>4228</v>
      </c>
      <c r="D158" s="495" t="s">
        <v>5519</v>
      </c>
      <c r="E158" s="493" t="s">
        <v>3100</v>
      </c>
      <c r="F158" s="485" t="str">
        <f t="shared" si="1"/>
        <v>Gita Anjani Santoso</v>
      </c>
    </row>
    <row r="159">
      <c r="A159" s="496">
        <v>11.0</v>
      </c>
      <c r="B159" s="497">
        <v>2.32410157E8</v>
      </c>
      <c r="C159" s="515" t="s">
        <v>3211</v>
      </c>
      <c r="D159" s="498" t="s">
        <v>5520</v>
      </c>
      <c r="E159" s="497" t="s">
        <v>3100</v>
      </c>
      <c r="F159" s="485" t="str">
        <f t="shared" si="1"/>
        <v>Grace Glorya Miracle Z.</v>
      </c>
    </row>
    <row r="160">
      <c r="A160" s="496">
        <v>13.0</v>
      </c>
      <c r="B160" s="497" t="s">
        <v>4123</v>
      </c>
      <c r="C160" s="497" t="s">
        <v>4124</v>
      </c>
      <c r="D160" s="498" t="s">
        <v>4125</v>
      </c>
      <c r="E160" s="497" t="s">
        <v>3100</v>
      </c>
      <c r="F160" s="485" t="str">
        <f t="shared" si="1"/>
        <v>Gracia Natalia Napitupulu</v>
      </c>
    </row>
    <row r="161">
      <c r="A161" s="499">
        <v>16.0</v>
      </c>
      <c r="B161" s="499" t="s">
        <v>3486</v>
      </c>
      <c r="C161" s="525" t="s">
        <v>3487</v>
      </c>
      <c r="D161" s="500" t="s">
        <v>3488</v>
      </c>
      <c r="E161" s="499" t="s">
        <v>3099</v>
      </c>
      <c r="F161" s="485" t="str">
        <f t="shared" si="1"/>
        <v>Guntur Adiguna</v>
      </c>
    </row>
    <row r="162">
      <c r="A162" s="501">
        <v>8.0</v>
      </c>
      <c r="B162" s="501">
        <v>2.3241016E8</v>
      </c>
      <c r="C162" s="526" t="s">
        <v>3279</v>
      </c>
      <c r="D162" s="516" t="s">
        <v>3280</v>
      </c>
      <c r="E162" s="501" t="s">
        <v>3099</v>
      </c>
      <c r="F162" s="485" t="str">
        <f t="shared" si="1"/>
        <v>Habiburrahman Ryu H. A.</v>
      </c>
    </row>
    <row r="163">
      <c r="A163" s="503">
        <v>12.0</v>
      </c>
      <c r="B163" s="503" t="s">
        <v>3906</v>
      </c>
      <c r="C163" s="517" t="s">
        <v>3907</v>
      </c>
      <c r="D163" s="518" t="s">
        <v>3908</v>
      </c>
      <c r="E163" s="503" t="s">
        <v>3099</v>
      </c>
      <c r="F163" s="485" t="str">
        <f t="shared" si="1"/>
        <v>Hafiz Abdul Rasyid</v>
      </c>
    </row>
    <row r="164">
      <c r="A164" s="506">
        <v>13.0</v>
      </c>
      <c r="B164" s="506" t="s">
        <v>3909</v>
      </c>
      <c r="C164" s="506" t="s">
        <v>3910</v>
      </c>
      <c r="D164" s="507" t="s">
        <v>3911</v>
      </c>
      <c r="E164" s="506" t="s">
        <v>3100</v>
      </c>
      <c r="F164" s="485" t="str">
        <f t="shared" si="1"/>
        <v>Hana Siti Nazwa</v>
      </c>
    </row>
    <row r="165">
      <c r="A165" s="482">
        <v>12.0</v>
      </c>
      <c r="B165" s="482" t="s">
        <v>4230</v>
      </c>
      <c r="C165" s="482" t="s">
        <v>4231</v>
      </c>
      <c r="D165" s="484" t="s">
        <v>5521</v>
      </c>
      <c r="E165" s="482" t="s">
        <v>3099</v>
      </c>
      <c r="F165" s="485" t="str">
        <f t="shared" si="1"/>
        <v>Hanif Mumtaazah</v>
      </c>
    </row>
    <row r="166">
      <c r="A166" s="482">
        <v>20.0</v>
      </c>
      <c r="B166" s="482" t="s">
        <v>3716</v>
      </c>
      <c r="C166" s="483" t="s">
        <v>3717</v>
      </c>
      <c r="D166" s="484" t="s">
        <v>3718</v>
      </c>
      <c r="E166" s="482" t="s">
        <v>3100</v>
      </c>
      <c r="F166" s="485" t="str">
        <f t="shared" si="1"/>
        <v>Hanifah Nizrina Raniah</v>
      </c>
    </row>
    <row r="167">
      <c r="A167" s="482">
        <v>12.0</v>
      </c>
      <c r="B167" s="482">
        <v>2.32410165E8</v>
      </c>
      <c r="C167" s="483" t="s">
        <v>3213</v>
      </c>
      <c r="D167" s="484" t="s">
        <v>3214</v>
      </c>
      <c r="E167" s="482" t="s">
        <v>3099</v>
      </c>
      <c r="F167" s="485" t="str">
        <f t="shared" si="1"/>
        <v>Hasani Zahwan A.</v>
      </c>
    </row>
    <row r="168">
      <c r="A168" s="482">
        <v>9.0</v>
      </c>
      <c r="B168" s="482">
        <v>2.32410166E8</v>
      </c>
      <c r="C168" s="483" t="s">
        <v>3281</v>
      </c>
      <c r="D168" s="484" t="s">
        <v>3282</v>
      </c>
      <c r="E168" s="482" t="s">
        <v>3099</v>
      </c>
      <c r="F168" s="485" t="str">
        <f t="shared" si="1"/>
        <v>Hasyir Fauzan Nugraha</v>
      </c>
    </row>
    <row r="169">
      <c r="A169" s="482">
        <v>14.0</v>
      </c>
      <c r="B169" s="482" t="s">
        <v>3586</v>
      </c>
      <c r="C169" s="482" t="s">
        <v>3587</v>
      </c>
      <c r="D169" s="508" t="s">
        <v>3588</v>
      </c>
      <c r="E169" s="482" t="s">
        <v>3099</v>
      </c>
      <c r="F169" s="485" t="str">
        <f t="shared" si="1"/>
        <v>Heine Klammer  Hasonangan Sitorus</v>
      </c>
    </row>
    <row r="170">
      <c r="A170" s="482">
        <v>22.0</v>
      </c>
      <c r="B170" s="482" t="s">
        <v>4042</v>
      </c>
      <c r="C170" s="482" t="s">
        <v>4043</v>
      </c>
      <c r="D170" s="484" t="s">
        <v>4044</v>
      </c>
      <c r="E170" s="482" t="s">
        <v>3099</v>
      </c>
      <c r="F170" s="485" t="str">
        <f t="shared" si="1"/>
        <v>Herdicson F. H. Siregar</v>
      </c>
    </row>
    <row r="171">
      <c r="A171" s="482">
        <v>17.0</v>
      </c>
      <c r="B171" s="482" t="s">
        <v>3489</v>
      </c>
      <c r="C171" s="482" t="s">
        <v>3490</v>
      </c>
      <c r="D171" s="484" t="s">
        <v>3491</v>
      </c>
      <c r="E171" s="482" t="s">
        <v>3100</v>
      </c>
      <c r="F171" s="485" t="str">
        <f t="shared" si="1"/>
        <v>Humaira Putri Setiawan</v>
      </c>
    </row>
    <row r="172">
      <c r="A172" s="482">
        <v>14.0</v>
      </c>
      <c r="B172" s="482" t="s">
        <v>4126</v>
      </c>
      <c r="C172" s="482" t="s">
        <v>4127</v>
      </c>
      <c r="D172" s="484" t="s">
        <v>4128</v>
      </c>
      <c r="E172" s="482" t="s">
        <v>3099</v>
      </c>
      <c r="F172" s="485" t="str">
        <f t="shared" si="1"/>
        <v>Humam Ahmad Musyaffa</v>
      </c>
    </row>
    <row r="173">
      <c r="A173" s="482">
        <v>14.0</v>
      </c>
      <c r="B173" s="482" t="s">
        <v>3912</v>
      </c>
      <c r="C173" s="482" t="s">
        <v>3913</v>
      </c>
      <c r="D173" s="484" t="s">
        <v>3914</v>
      </c>
      <c r="E173" s="482" t="s">
        <v>3100</v>
      </c>
      <c r="F173" s="485" t="str">
        <f t="shared" si="1"/>
        <v>Hypatia Achmad</v>
      </c>
    </row>
    <row r="174">
      <c r="A174" s="482">
        <v>13.0</v>
      </c>
      <c r="B174" s="482" t="s">
        <v>4233</v>
      </c>
      <c r="C174" s="482" t="s">
        <v>4234</v>
      </c>
      <c r="D174" s="484" t="s">
        <v>5522</v>
      </c>
      <c r="E174" s="482" t="s">
        <v>3100</v>
      </c>
      <c r="F174" s="485" t="str">
        <f t="shared" si="1"/>
        <v>Iffa</v>
      </c>
    </row>
    <row r="175">
      <c r="A175" s="482">
        <v>10.0</v>
      </c>
      <c r="B175" s="482">
        <v>2.32410173E8</v>
      </c>
      <c r="C175" s="483" t="s">
        <v>3283</v>
      </c>
      <c r="D175" s="484" t="s">
        <v>3284</v>
      </c>
      <c r="E175" s="482" t="s">
        <v>3100</v>
      </c>
      <c r="F175" s="485" t="str">
        <f t="shared" si="1"/>
        <v>Iftita Arrasy Kianantan</v>
      </c>
    </row>
    <row r="176">
      <c r="A176" s="482">
        <v>15.0</v>
      </c>
      <c r="B176" s="482" t="s">
        <v>3807</v>
      </c>
      <c r="C176" s="483" t="s">
        <v>3808</v>
      </c>
      <c r="D176" s="484" t="s">
        <v>3809</v>
      </c>
      <c r="E176" s="482" t="s">
        <v>3100</v>
      </c>
      <c r="F176" s="485" t="str">
        <f t="shared" si="1"/>
        <v>Indah Mustabah</v>
      </c>
    </row>
    <row r="177">
      <c r="A177" s="482">
        <v>17.0</v>
      </c>
      <c r="B177" s="482" t="s">
        <v>3379</v>
      </c>
      <c r="C177" s="483" t="s">
        <v>3380</v>
      </c>
      <c r="D177" s="484" t="s">
        <v>3381</v>
      </c>
      <c r="E177" s="482" t="s">
        <v>3100</v>
      </c>
      <c r="F177" s="485" t="str">
        <f t="shared" si="1"/>
        <v>Insanadilla Salafina H.</v>
      </c>
    </row>
    <row r="178">
      <c r="A178" s="482">
        <v>15.0</v>
      </c>
      <c r="B178" s="482" t="s">
        <v>3589</v>
      </c>
      <c r="C178" s="482" t="s">
        <v>3590</v>
      </c>
      <c r="D178" s="484" t="s">
        <v>3591</v>
      </c>
      <c r="E178" s="482" t="s">
        <v>3099</v>
      </c>
      <c r="F178" s="485" t="str">
        <f t="shared" si="1"/>
        <v>Irfan Budi Satrio</v>
      </c>
    </row>
    <row r="179">
      <c r="A179" s="482">
        <v>11.0</v>
      </c>
      <c r="B179" s="482">
        <v>2.32410177E8</v>
      </c>
      <c r="C179" s="482" t="s">
        <v>3285</v>
      </c>
      <c r="D179" s="484" t="s">
        <v>3286</v>
      </c>
      <c r="E179" s="482" t="s">
        <v>3099</v>
      </c>
      <c r="F179" s="485" t="str">
        <f t="shared" si="1"/>
        <v>Irgie Apriliano Gottardi</v>
      </c>
    </row>
    <row r="180">
      <c r="A180" s="482">
        <v>9.0</v>
      </c>
      <c r="B180" s="482">
        <v>2.32410178E8</v>
      </c>
      <c r="C180" s="483" t="s">
        <v>3131</v>
      </c>
      <c r="D180" s="484" t="s">
        <v>3132</v>
      </c>
      <c r="E180" s="482" t="s">
        <v>3100</v>
      </c>
      <c r="F180" s="485" t="str">
        <f t="shared" si="1"/>
        <v>Izra Eliza</v>
      </c>
    </row>
    <row r="181">
      <c r="A181" s="482">
        <v>21.0</v>
      </c>
      <c r="B181" s="482" t="s">
        <v>3719</v>
      </c>
      <c r="C181" s="482" t="s">
        <v>3720</v>
      </c>
      <c r="D181" s="484" t="s">
        <v>3721</v>
      </c>
      <c r="E181" s="482" t="s">
        <v>3100</v>
      </c>
      <c r="F181" s="485" t="str">
        <f t="shared" si="1"/>
        <v>Jeanetha Rosmala Puteri</v>
      </c>
    </row>
    <row r="182">
      <c r="A182" s="482">
        <v>10.0</v>
      </c>
      <c r="B182" s="482">
        <v>2.32410182E8</v>
      </c>
      <c r="C182" s="483" t="s">
        <v>3133</v>
      </c>
      <c r="D182" s="484" t="s">
        <v>3134</v>
      </c>
      <c r="E182" s="482" t="s">
        <v>3100</v>
      </c>
      <c r="F182" s="485" t="str">
        <f t="shared" si="1"/>
        <v>Jihan Balqisha Putriana</v>
      </c>
    </row>
    <row r="183">
      <c r="A183" s="482">
        <v>14.0</v>
      </c>
      <c r="B183" s="482" t="s">
        <v>4236</v>
      </c>
      <c r="C183" s="482" t="s">
        <v>4237</v>
      </c>
      <c r="D183" s="484" t="s">
        <v>5523</v>
      </c>
      <c r="E183" s="482" t="s">
        <v>3100</v>
      </c>
      <c r="F183" s="485" t="str">
        <f t="shared" si="1"/>
        <v>Jihan Dzakiyyah Azhaar</v>
      </c>
    </row>
    <row r="184">
      <c r="A184" s="482">
        <v>15.0</v>
      </c>
      <c r="B184" s="482" t="s">
        <v>4239</v>
      </c>
      <c r="C184" s="482" t="s">
        <v>4240</v>
      </c>
      <c r="D184" s="484" t="s">
        <v>5524</v>
      </c>
      <c r="E184" s="482" t="s">
        <v>3100</v>
      </c>
      <c r="F184" s="485" t="str">
        <f t="shared" si="1"/>
        <v>Jihan Fajri</v>
      </c>
    </row>
    <row r="185">
      <c r="A185" s="482">
        <v>15.0</v>
      </c>
      <c r="B185" s="482" t="s">
        <v>3918</v>
      </c>
      <c r="C185" s="483" t="s">
        <v>3919</v>
      </c>
      <c r="D185" s="508" t="s">
        <v>3920</v>
      </c>
      <c r="E185" s="482" t="s">
        <v>3099</v>
      </c>
      <c r="F185" s="485" t="str">
        <f t="shared" si="1"/>
        <v>Jonathan Stefanus Manurung</v>
      </c>
    </row>
    <row r="186">
      <c r="A186" s="482">
        <v>22.0</v>
      </c>
      <c r="B186" s="482" t="s">
        <v>3722</v>
      </c>
      <c r="C186" s="482" t="s">
        <v>3723</v>
      </c>
      <c r="D186" s="484" t="s">
        <v>3724</v>
      </c>
      <c r="E186" s="482" t="s">
        <v>3100</v>
      </c>
      <c r="F186" s="485" t="str">
        <f t="shared" si="1"/>
        <v>Juneeta Mahya Athari</v>
      </c>
    </row>
    <row r="187">
      <c r="A187" s="482">
        <v>16.0</v>
      </c>
      <c r="B187" s="482" t="s">
        <v>3921</v>
      </c>
      <c r="C187" s="483" t="s">
        <v>3922</v>
      </c>
      <c r="D187" s="484" t="s">
        <v>3923</v>
      </c>
      <c r="E187" s="482" t="s">
        <v>3100</v>
      </c>
      <c r="F187" s="485" t="str">
        <f t="shared" si="1"/>
        <v>Junika Nur Rizqi</v>
      </c>
    </row>
    <row r="188">
      <c r="A188" s="482">
        <v>23.0</v>
      </c>
      <c r="B188" s="482" t="s">
        <v>4045</v>
      </c>
      <c r="C188" s="482" t="s">
        <v>4046</v>
      </c>
      <c r="D188" s="484" t="s">
        <v>4047</v>
      </c>
      <c r="E188" s="482" t="s">
        <v>3100</v>
      </c>
      <c r="F188" s="485" t="str">
        <f t="shared" si="1"/>
        <v>Kamilia Keysha Ramadhani</v>
      </c>
    </row>
    <row r="189">
      <c r="A189" s="482">
        <v>13.0</v>
      </c>
      <c r="B189" s="482">
        <v>2.32410189E8</v>
      </c>
      <c r="C189" s="527" t="s">
        <v>3215</v>
      </c>
      <c r="D189" s="484" t="s">
        <v>3216</v>
      </c>
      <c r="E189" s="482" t="s">
        <v>3099</v>
      </c>
      <c r="F189" s="485" t="str">
        <f t="shared" si="1"/>
        <v>Kanaka Abhinaya Zahran S.</v>
      </c>
    </row>
    <row r="190">
      <c r="A190" s="482">
        <v>12.0</v>
      </c>
      <c r="B190" s="482">
        <v>2.3241019E8</v>
      </c>
      <c r="C190" s="483" t="s">
        <v>3287</v>
      </c>
      <c r="D190" s="484" t="s">
        <v>3288</v>
      </c>
      <c r="E190" s="482" t="s">
        <v>3100</v>
      </c>
      <c r="F190" s="485" t="str">
        <f t="shared" si="1"/>
        <v>Kania Arkhanintha Putri</v>
      </c>
    </row>
    <row r="191">
      <c r="A191" s="482">
        <v>13.0</v>
      </c>
      <c r="B191" s="482">
        <v>2.32410191E8</v>
      </c>
      <c r="C191" s="483" t="s">
        <v>3289</v>
      </c>
      <c r="D191" s="484" t="s">
        <v>3290</v>
      </c>
      <c r="E191" s="482" t="s">
        <v>3100</v>
      </c>
      <c r="F191" s="485" t="str">
        <f t="shared" si="1"/>
        <v>Kartika Djaja Negara</v>
      </c>
    </row>
    <row r="192">
      <c r="A192" s="482">
        <v>16.0</v>
      </c>
      <c r="B192" s="482" t="s">
        <v>3592</v>
      </c>
      <c r="C192" s="483" t="s">
        <v>3593</v>
      </c>
      <c r="D192" s="484" t="s">
        <v>3594</v>
      </c>
      <c r="E192" s="482" t="s">
        <v>3100</v>
      </c>
      <c r="F192" s="485" t="str">
        <f t="shared" si="1"/>
        <v>Kayla Farrah Gina</v>
      </c>
    </row>
    <row r="193">
      <c r="A193" s="482">
        <v>18.0</v>
      </c>
      <c r="B193" s="482" t="s">
        <v>3492</v>
      </c>
      <c r="C193" s="483" t="s">
        <v>3493</v>
      </c>
      <c r="D193" s="508" t="s">
        <v>3494</v>
      </c>
      <c r="E193" s="482" t="s">
        <v>3100</v>
      </c>
      <c r="F193" s="485" t="str">
        <f t="shared" si="1"/>
        <v>Kayla Mahesa Putri Prabindari</v>
      </c>
    </row>
    <row r="194">
      <c r="A194" s="482">
        <v>14.0</v>
      </c>
      <c r="B194" s="482">
        <v>2.32410194E8</v>
      </c>
      <c r="C194" s="483" t="s">
        <v>3217</v>
      </c>
      <c r="D194" s="484" t="s">
        <v>3218</v>
      </c>
      <c r="E194" s="482" t="s">
        <v>3100</v>
      </c>
      <c r="F194" s="485" t="str">
        <f t="shared" si="1"/>
        <v>Kayla Salsabil Majid</v>
      </c>
    </row>
    <row r="195">
      <c r="A195" s="482">
        <v>23.0</v>
      </c>
      <c r="B195" s="482" t="s">
        <v>3725</v>
      </c>
      <c r="C195" s="483" t="s">
        <v>3726</v>
      </c>
      <c r="D195" s="484" t="s">
        <v>3727</v>
      </c>
      <c r="E195" s="482" t="s">
        <v>3100</v>
      </c>
      <c r="F195" s="485" t="str">
        <f t="shared" si="1"/>
        <v>Kaylla Chandrika</v>
      </c>
    </row>
    <row r="196">
      <c r="A196" s="482">
        <v>17.0</v>
      </c>
      <c r="B196" s="482" t="s">
        <v>3595</v>
      </c>
      <c r="C196" s="482" t="s">
        <v>3596</v>
      </c>
      <c r="D196" s="484" t="s">
        <v>3597</v>
      </c>
      <c r="E196" s="482" t="s">
        <v>3100</v>
      </c>
      <c r="F196" s="485" t="str">
        <f t="shared" si="1"/>
        <v>Keisha Nabila Anindya</v>
      </c>
    </row>
    <row r="197">
      <c r="A197" s="482">
        <v>18.0</v>
      </c>
      <c r="B197" s="482" t="s">
        <v>3382</v>
      </c>
      <c r="C197" s="483" t="s">
        <v>3383</v>
      </c>
      <c r="D197" s="484" t="s">
        <v>3384</v>
      </c>
      <c r="E197" s="482" t="s">
        <v>3100</v>
      </c>
      <c r="F197" s="485" t="str">
        <f t="shared" si="1"/>
        <v>Keisya Amanda Meica</v>
      </c>
    </row>
    <row r="198">
      <c r="A198" s="482">
        <v>16.0</v>
      </c>
      <c r="B198" s="482" t="s">
        <v>4242</v>
      </c>
      <c r="C198" s="482" t="s">
        <v>4243</v>
      </c>
      <c r="D198" s="484" t="s">
        <v>5525</v>
      </c>
      <c r="E198" s="482" t="s">
        <v>3099</v>
      </c>
      <c r="F198" s="485" t="str">
        <f t="shared" si="1"/>
        <v>Kemal Rizky Ramadhan</v>
      </c>
    </row>
    <row r="199">
      <c r="A199" s="482">
        <v>16.0</v>
      </c>
      <c r="B199" s="482" t="s">
        <v>3810</v>
      </c>
      <c r="C199" s="483" t="s">
        <v>3811</v>
      </c>
      <c r="D199" s="484" t="s">
        <v>3812</v>
      </c>
      <c r="E199" s="482" t="s">
        <v>3100</v>
      </c>
      <c r="F199" s="485" t="str">
        <f t="shared" si="1"/>
        <v>Kesya Yemima</v>
      </c>
    </row>
    <row r="200">
      <c r="A200" s="482">
        <v>19.0</v>
      </c>
      <c r="B200" s="482" t="s">
        <v>3385</v>
      </c>
      <c r="C200" s="483" t="s">
        <v>3386</v>
      </c>
      <c r="D200" s="484" t="s">
        <v>3387</v>
      </c>
      <c r="E200" s="482" t="s">
        <v>3100</v>
      </c>
      <c r="F200" s="485" t="str">
        <f t="shared" si="1"/>
        <v>Keyla Widyadhana Raissa</v>
      </c>
    </row>
    <row r="201">
      <c r="A201" s="482">
        <v>18.0</v>
      </c>
      <c r="B201" s="482" t="s">
        <v>3598</v>
      </c>
      <c r="C201" s="483" t="s">
        <v>3599</v>
      </c>
      <c r="D201" s="484" t="s">
        <v>3600</v>
      </c>
      <c r="E201" s="482" t="s">
        <v>3100</v>
      </c>
      <c r="F201" s="485" t="str">
        <f t="shared" si="1"/>
        <v>Keysha Cahaya Setiawan</v>
      </c>
    </row>
    <row r="202">
      <c r="A202" s="486">
        <v>17.0</v>
      </c>
      <c r="B202" s="486" t="s">
        <v>3813</v>
      </c>
      <c r="C202" s="486" t="s">
        <v>3814</v>
      </c>
      <c r="D202" s="487" t="s">
        <v>3815</v>
      </c>
      <c r="E202" s="486" t="s">
        <v>3100</v>
      </c>
      <c r="F202" s="485" t="str">
        <f t="shared" si="1"/>
        <v>Khairunnisa Azzahra</v>
      </c>
    </row>
    <row r="203">
      <c r="A203" s="486">
        <v>15.0</v>
      </c>
      <c r="B203" s="512" t="s">
        <v>4129</v>
      </c>
      <c r="C203" s="512" t="s">
        <v>4130</v>
      </c>
      <c r="D203" s="514" t="s">
        <v>4131</v>
      </c>
      <c r="E203" s="512" t="s">
        <v>3100</v>
      </c>
      <c r="F203" s="485" t="str">
        <f t="shared" si="1"/>
        <v>Khairunnisa Nur Ibtihal</v>
      </c>
    </row>
    <row r="204">
      <c r="A204" s="486">
        <v>19.0</v>
      </c>
      <c r="B204" s="486" t="s">
        <v>3495</v>
      </c>
      <c r="C204" s="488" t="s">
        <v>3496</v>
      </c>
      <c r="D204" s="487" t="s">
        <v>3497</v>
      </c>
      <c r="E204" s="486" t="s">
        <v>3100</v>
      </c>
      <c r="F204" s="485" t="str">
        <f t="shared" si="1"/>
        <v>Khansa</v>
      </c>
    </row>
    <row r="205">
      <c r="A205" s="486">
        <v>20.0</v>
      </c>
      <c r="B205" s="486" t="s">
        <v>3498</v>
      </c>
      <c r="C205" s="486" t="s">
        <v>3499</v>
      </c>
      <c r="D205" s="487" t="s">
        <v>3500</v>
      </c>
      <c r="E205" s="486" t="s">
        <v>3100</v>
      </c>
      <c r="F205" s="485" t="str">
        <f t="shared" si="1"/>
        <v>Kheysha Nazwa Adinda</v>
      </c>
    </row>
    <row r="206">
      <c r="A206" s="489">
        <v>24.0</v>
      </c>
      <c r="B206" s="489" t="s">
        <v>4048</v>
      </c>
      <c r="C206" s="489" t="s">
        <v>4049</v>
      </c>
      <c r="D206" s="491" t="s">
        <v>4050</v>
      </c>
      <c r="E206" s="489" t="s">
        <v>3100</v>
      </c>
      <c r="F206" s="485" t="str">
        <f t="shared" si="1"/>
        <v>Lana Shafira</v>
      </c>
    </row>
    <row r="207">
      <c r="A207" s="492">
        <v>21.0</v>
      </c>
      <c r="B207" s="493" t="s">
        <v>3501</v>
      </c>
      <c r="C207" s="494" t="s">
        <v>3502</v>
      </c>
      <c r="D207" s="528" t="s">
        <v>3503</v>
      </c>
      <c r="E207" s="493" t="s">
        <v>3099</v>
      </c>
      <c r="F207" s="485" t="str">
        <f t="shared" si="1"/>
        <v>Lavindra Anindito Budi Pramudya</v>
      </c>
    </row>
    <row r="208">
      <c r="A208" s="496">
        <v>19.0</v>
      </c>
      <c r="B208" s="497" t="s">
        <v>3601</v>
      </c>
      <c r="C208" s="497" t="s">
        <v>3602</v>
      </c>
      <c r="D208" s="498" t="s">
        <v>3603</v>
      </c>
      <c r="E208" s="497" t="s">
        <v>3099</v>
      </c>
      <c r="F208" s="485" t="str">
        <f t="shared" si="1"/>
        <v>Louise Garcia Lumban Gaol</v>
      </c>
    </row>
    <row r="209">
      <c r="A209" s="496">
        <v>11.0</v>
      </c>
      <c r="B209" s="497">
        <v>2.32410209E8</v>
      </c>
      <c r="C209" s="515" t="s">
        <v>3135</v>
      </c>
      <c r="D209" s="498" t="s">
        <v>3136</v>
      </c>
      <c r="E209" s="497" t="s">
        <v>3100</v>
      </c>
      <c r="F209" s="485" t="str">
        <f t="shared" si="1"/>
        <v>Lovita Emery Samudro</v>
      </c>
    </row>
    <row r="210">
      <c r="A210" s="499">
        <v>18.0</v>
      </c>
      <c r="B210" s="499" t="s">
        <v>3816</v>
      </c>
      <c r="C210" s="525" t="s">
        <v>3817</v>
      </c>
      <c r="D210" s="500" t="s">
        <v>3818</v>
      </c>
      <c r="E210" s="499" t="s">
        <v>3099</v>
      </c>
      <c r="F210" s="485" t="str">
        <f t="shared" si="1"/>
        <v>Luthfi Bintang Bayuaji</v>
      </c>
    </row>
    <row r="211">
      <c r="A211" s="501">
        <v>24.0</v>
      </c>
      <c r="B211" s="501" t="s">
        <v>3728</v>
      </c>
      <c r="C211" s="526" t="s">
        <v>3729</v>
      </c>
      <c r="D211" s="516" t="s">
        <v>3730</v>
      </c>
      <c r="E211" s="501" t="s">
        <v>3100</v>
      </c>
      <c r="F211" s="485" t="str">
        <f t="shared" si="1"/>
        <v>Luthfia Azzahra</v>
      </c>
    </row>
    <row r="212">
      <c r="A212" s="503">
        <v>22.0</v>
      </c>
      <c r="B212" s="503">
        <v>2.32410212E8</v>
      </c>
      <c r="C212" s="517" t="s">
        <v>3504</v>
      </c>
      <c r="D212" s="518" t="s">
        <v>3505</v>
      </c>
      <c r="E212" s="503" t="s">
        <v>3099</v>
      </c>
      <c r="F212" s="485" t="str">
        <f t="shared" si="1"/>
        <v>M. Fahmy Putra Ramadhan</v>
      </c>
    </row>
    <row r="213">
      <c r="A213" s="506">
        <v>20.0</v>
      </c>
      <c r="B213" s="506" t="s">
        <v>3388</v>
      </c>
      <c r="C213" s="506" t="s">
        <v>3389</v>
      </c>
      <c r="D213" s="507" t="s">
        <v>3390</v>
      </c>
      <c r="E213" s="506" t="s">
        <v>3099</v>
      </c>
      <c r="F213" s="485" t="str">
        <f t="shared" si="1"/>
        <v>Mahesh Andreas Siagian</v>
      </c>
    </row>
    <row r="214">
      <c r="A214" s="482">
        <v>14.0</v>
      </c>
      <c r="B214" s="482">
        <v>2.32410214E8</v>
      </c>
      <c r="C214" s="483" t="s">
        <v>3291</v>
      </c>
      <c r="D214" s="484" t="s">
        <v>3292</v>
      </c>
      <c r="E214" s="482" t="s">
        <v>3100</v>
      </c>
      <c r="F214" s="485" t="str">
        <f t="shared" si="1"/>
        <v>Malia Arifa Yumna</v>
      </c>
    </row>
    <row r="215">
      <c r="A215" s="482">
        <v>17.0</v>
      </c>
      <c r="B215" s="482">
        <v>8.4177568E7</v>
      </c>
      <c r="C215" s="482" t="s">
        <v>3924</v>
      </c>
      <c r="D215" s="484" t="s">
        <v>3925</v>
      </c>
      <c r="E215" s="482" t="s">
        <v>3099</v>
      </c>
      <c r="F215" s="485" t="str">
        <f t="shared" si="1"/>
        <v>Marcell Damian Setiawan</v>
      </c>
    </row>
    <row r="216">
      <c r="A216" s="482">
        <v>21.0</v>
      </c>
      <c r="B216" s="482" t="s">
        <v>3391</v>
      </c>
      <c r="C216" s="482" t="s">
        <v>3392</v>
      </c>
      <c r="D216" s="484" t="s">
        <v>3393</v>
      </c>
      <c r="E216" s="482" t="s">
        <v>3100</v>
      </c>
      <c r="F216" s="485" t="str">
        <f t="shared" si="1"/>
        <v>Maretta Manda Manguning P'</v>
      </c>
    </row>
    <row r="217">
      <c r="A217" s="482">
        <v>18.0</v>
      </c>
      <c r="B217" s="482" t="s">
        <v>3926</v>
      </c>
      <c r="C217" s="482" t="s">
        <v>3927</v>
      </c>
      <c r="D217" s="484" t="s">
        <v>3928</v>
      </c>
      <c r="E217" s="482" t="s">
        <v>3100</v>
      </c>
      <c r="F217" s="485" t="str">
        <f t="shared" si="1"/>
        <v>Maula Safita Napitupulu</v>
      </c>
    </row>
    <row r="218">
      <c r="A218" s="482">
        <v>19.0</v>
      </c>
      <c r="B218" s="509" t="s">
        <v>3929</v>
      </c>
      <c r="C218" s="509" t="s">
        <v>3930</v>
      </c>
      <c r="D218" s="484" t="s">
        <v>3931</v>
      </c>
      <c r="E218" s="482" t="s">
        <v>3100</v>
      </c>
      <c r="F218" s="485" t="str">
        <f t="shared" si="1"/>
        <v>Maya Qumayiroh</v>
      </c>
    </row>
    <row r="219">
      <c r="A219" s="482">
        <v>25.0</v>
      </c>
      <c r="B219" s="482" t="s">
        <v>4051</v>
      </c>
      <c r="C219" s="482" t="s">
        <v>4052</v>
      </c>
      <c r="D219" s="484" t="s">
        <v>4053</v>
      </c>
      <c r="E219" s="482" t="s">
        <v>3100</v>
      </c>
      <c r="F219" s="485" t="str">
        <f t="shared" si="1"/>
        <v>Maysari Hidayah</v>
      </c>
    </row>
    <row r="220">
      <c r="A220" s="482">
        <v>15.0</v>
      </c>
      <c r="B220" s="482">
        <v>2.3241022E8</v>
      </c>
      <c r="C220" s="482" t="s">
        <v>3293</v>
      </c>
      <c r="D220" s="484" t="s">
        <v>3294</v>
      </c>
      <c r="E220" s="482" t="s">
        <v>3099</v>
      </c>
      <c r="F220" s="485" t="str">
        <f t="shared" si="1"/>
        <v>Mayzied Ali Lazuardi</v>
      </c>
    </row>
    <row r="221">
      <c r="A221" s="482">
        <v>20.0</v>
      </c>
      <c r="B221" s="482" t="s">
        <v>3604</v>
      </c>
      <c r="C221" s="482" t="s">
        <v>3605</v>
      </c>
      <c r="D221" s="484" t="s">
        <v>3606</v>
      </c>
      <c r="E221" s="482" t="s">
        <v>3100</v>
      </c>
      <c r="F221" s="485" t="str">
        <f t="shared" si="1"/>
        <v>Medinta Putri Wibowo</v>
      </c>
    </row>
    <row r="222">
      <c r="A222" s="482">
        <v>16.0</v>
      </c>
      <c r="B222" s="482">
        <v>2.32410222E8</v>
      </c>
      <c r="C222" s="483" t="s">
        <v>3295</v>
      </c>
      <c r="D222" s="484" t="s">
        <v>3296</v>
      </c>
      <c r="E222" s="482" t="s">
        <v>3100</v>
      </c>
      <c r="F222" s="485" t="str">
        <f t="shared" si="1"/>
        <v>Meganva Dian Putri H.</v>
      </c>
    </row>
    <row r="223">
      <c r="A223" s="482">
        <v>16.0</v>
      </c>
      <c r="B223" s="482">
        <v>2.02107217E8</v>
      </c>
      <c r="C223" s="483" t="s">
        <v>3221</v>
      </c>
      <c r="D223" s="484" t="s">
        <v>3222</v>
      </c>
      <c r="E223" s="482" t="s">
        <v>3100</v>
      </c>
      <c r="F223" s="485" t="str">
        <f t="shared" si="1"/>
        <v>Melani Putri Angraini</v>
      </c>
    </row>
    <row r="224">
      <c r="A224" s="482">
        <v>21.0</v>
      </c>
      <c r="B224" s="482" t="s">
        <v>3607</v>
      </c>
      <c r="C224" s="482" t="s">
        <v>3608</v>
      </c>
      <c r="D224" s="508" t="s">
        <v>3609</v>
      </c>
      <c r="E224" s="482" t="s">
        <v>3099</v>
      </c>
      <c r="F224" s="485" t="str">
        <f t="shared" si="1"/>
        <v>Miftahul Daffa Khoerul Bahri</v>
      </c>
    </row>
    <row r="225">
      <c r="A225" s="482">
        <v>17.0</v>
      </c>
      <c r="B225" s="482" t="s">
        <v>4245</v>
      </c>
      <c r="C225" s="482" t="s">
        <v>4246</v>
      </c>
      <c r="D225" s="484" t="s">
        <v>5526</v>
      </c>
      <c r="E225" s="482" t="s">
        <v>3100</v>
      </c>
      <c r="F225" s="485" t="str">
        <f t="shared" si="1"/>
        <v>Minanda Rizki Zakiyah</v>
      </c>
    </row>
    <row r="226">
      <c r="A226" s="482">
        <v>12.0</v>
      </c>
      <c r="B226" s="482">
        <v>2.32410226E8</v>
      </c>
      <c r="C226" s="483" t="s">
        <v>3137</v>
      </c>
      <c r="D226" s="484" t="s">
        <v>3138</v>
      </c>
      <c r="E226" s="482" t="s">
        <v>3100</v>
      </c>
      <c r="F226" s="485" t="str">
        <f t="shared" si="1"/>
        <v>Miranda Putri</v>
      </c>
    </row>
    <row r="227">
      <c r="A227" s="482">
        <v>17.0</v>
      </c>
      <c r="B227" s="509">
        <v>2.4251244E8</v>
      </c>
      <c r="C227" s="510" t="s">
        <v>3297</v>
      </c>
      <c r="D227" s="511" t="s">
        <v>3298</v>
      </c>
      <c r="E227" s="509" t="s">
        <v>3099</v>
      </c>
      <c r="F227" s="485" t="str">
        <f t="shared" si="1"/>
        <v>Mohammad Asyqar Risq</v>
      </c>
    </row>
    <row r="228">
      <c r="A228" s="482">
        <v>13.0</v>
      </c>
      <c r="B228" s="482">
        <v>2.32410227E8</v>
      </c>
      <c r="C228" s="483" t="s">
        <v>3139</v>
      </c>
      <c r="D228" s="484" t="s">
        <v>3140</v>
      </c>
      <c r="E228" s="482" t="s">
        <v>3100</v>
      </c>
      <c r="F228" s="485" t="str">
        <f t="shared" si="1"/>
        <v>Mona Putri Aryati</v>
      </c>
    </row>
    <row r="229">
      <c r="A229" s="482">
        <v>22.0</v>
      </c>
      <c r="B229" s="482" t="s">
        <v>3612</v>
      </c>
      <c r="C229" s="482" t="s">
        <v>3613</v>
      </c>
      <c r="D229" s="484" t="s">
        <v>3614</v>
      </c>
      <c r="E229" s="482" t="s">
        <v>3099</v>
      </c>
      <c r="F229" s="485" t="str">
        <f t="shared" si="1"/>
        <v>Muhamad Fahri Nurihsan</v>
      </c>
    </row>
    <row r="230">
      <c r="A230" s="482">
        <v>23.0</v>
      </c>
      <c r="B230" s="482">
        <v>2.32410231E8</v>
      </c>
      <c r="C230" s="483" t="s">
        <v>3506</v>
      </c>
      <c r="D230" s="484" t="s">
        <v>3507</v>
      </c>
      <c r="E230" s="482" t="s">
        <v>3099</v>
      </c>
      <c r="F230" s="485" t="str">
        <f t="shared" si="1"/>
        <v>Muhamad Febrizio Alghifahri</v>
      </c>
    </row>
    <row r="231">
      <c r="A231" s="482">
        <v>24.0</v>
      </c>
      <c r="B231" s="482" t="s">
        <v>3508</v>
      </c>
      <c r="C231" s="482" t="s">
        <v>3509</v>
      </c>
      <c r="D231" s="484" t="s">
        <v>3510</v>
      </c>
      <c r="E231" s="482" t="s">
        <v>3099</v>
      </c>
      <c r="F231" s="485" t="str">
        <f t="shared" si="1"/>
        <v>Muhamad Firdaus</v>
      </c>
    </row>
    <row r="232">
      <c r="A232" s="482">
        <v>22.0</v>
      </c>
      <c r="B232" s="482" t="s">
        <v>3394</v>
      </c>
      <c r="C232" s="482" t="s">
        <v>3395</v>
      </c>
      <c r="D232" s="484" t="s">
        <v>3396</v>
      </c>
      <c r="E232" s="482" t="s">
        <v>3099</v>
      </c>
      <c r="F232" s="485" t="str">
        <f t="shared" si="1"/>
        <v>Muhamad Khadafi</v>
      </c>
    </row>
    <row r="233">
      <c r="A233" s="482">
        <v>25.0</v>
      </c>
      <c r="B233" s="482" t="s">
        <v>3731</v>
      </c>
      <c r="C233" s="483" t="s">
        <v>3732</v>
      </c>
      <c r="D233" s="484" t="s">
        <v>3733</v>
      </c>
      <c r="E233" s="482" t="s">
        <v>3099</v>
      </c>
      <c r="F233" s="485" t="str">
        <f t="shared" si="1"/>
        <v>Muhamad Rafli Ramadhan</v>
      </c>
    </row>
    <row r="234">
      <c r="A234" s="482">
        <v>23.0</v>
      </c>
      <c r="B234" s="482" t="s">
        <v>3615</v>
      </c>
      <c r="C234" s="483" t="s">
        <v>3616</v>
      </c>
      <c r="D234" s="508" t="s">
        <v>3617</v>
      </c>
      <c r="E234" s="482" t="s">
        <v>3099</v>
      </c>
      <c r="F234" s="485" t="str">
        <f t="shared" si="1"/>
        <v>Muhammad Aditya Fairuzzahran</v>
      </c>
    </row>
    <row r="235">
      <c r="A235" s="482">
        <v>14.0</v>
      </c>
      <c r="B235" s="482">
        <v>2.32410236E8</v>
      </c>
      <c r="C235" s="483" t="s">
        <v>3141</v>
      </c>
      <c r="D235" s="484" t="s">
        <v>3142</v>
      </c>
      <c r="E235" s="482" t="s">
        <v>3099</v>
      </c>
      <c r="F235" s="485" t="str">
        <f t="shared" si="1"/>
        <v>Muhammad Afif Zarrar P</v>
      </c>
    </row>
    <row r="236">
      <c r="A236" s="482">
        <v>26.0</v>
      </c>
      <c r="B236" s="482" t="s">
        <v>4054</v>
      </c>
      <c r="C236" s="482" t="s">
        <v>4055</v>
      </c>
      <c r="D236" s="508" t="s">
        <v>4056</v>
      </c>
      <c r="E236" s="482" t="s">
        <v>3099</v>
      </c>
      <c r="F236" s="485" t="str">
        <f t="shared" si="1"/>
        <v>Muhammad Alif Faiz Assyarof</v>
      </c>
    </row>
    <row r="237">
      <c r="A237" s="482">
        <v>25.0</v>
      </c>
      <c r="B237" s="482" t="s">
        <v>3511</v>
      </c>
      <c r="C237" s="482" t="s">
        <v>3512</v>
      </c>
      <c r="D237" s="484" t="s">
        <v>3513</v>
      </c>
      <c r="E237" s="482" t="s">
        <v>3099</v>
      </c>
      <c r="F237" s="485" t="str">
        <f t="shared" si="1"/>
        <v>Muhammad Ardiansyah</v>
      </c>
    </row>
    <row r="238">
      <c r="A238" s="482">
        <v>15.0</v>
      </c>
      <c r="B238" s="482">
        <v>2.32410229E8</v>
      </c>
      <c r="C238" s="483" t="s">
        <v>3143</v>
      </c>
      <c r="D238" s="484" t="s">
        <v>3144</v>
      </c>
      <c r="E238" s="482" t="s">
        <v>3099</v>
      </c>
      <c r="F238" s="485" t="str">
        <f t="shared" si="1"/>
        <v>Muhammad Dafa</v>
      </c>
    </row>
    <row r="239">
      <c r="A239" s="482">
        <v>18.0</v>
      </c>
      <c r="B239" s="482" t="s">
        <v>4248</v>
      </c>
      <c r="C239" s="482" t="s">
        <v>4249</v>
      </c>
      <c r="D239" s="484" t="s">
        <v>5527</v>
      </c>
      <c r="E239" s="482" t="s">
        <v>3099</v>
      </c>
      <c r="F239" s="485" t="str">
        <f t="shared" si="1"/>
        <v>Muhammad Dytra Afif</v>
      </c>
    </row>
    <row r="240">
      <c r="A240" s="482">
        <v>16.0</v>
      </c>
      <c r="B240" s="482">
        <v>2.3241024E8</v>
      </c>
      <c r="C240" s="483" t="s">
        <v>3145</v>
      </c>
      <c r="D240" s="484" t="s">
        <v>3146</v>
      </c>
      <c r="E240" s="482" t="s">
        <v>3099</v>
      </c>
      <c r="F240" s="485" t="str">
        <f t="shared" si="1"/>
        <v>Muhammad Dzikri Setiawan</v>
      </c>
    </row>
    <row r="241">
      <c r="A241" s="482">
        <v>17.0</v>
      </c>
      <c r="B241" s="482">
        <v>2.32410228E8</v>
      </c>
      <c r="C241" s="482" t="s">
        <v>3147</v>
      </c>
      <c r="D241" s="484" t="s">
        <v>3148</v>
      </c>
      <c r="E241" s="482" t="s">
        <v>3099</v>
      </c>
      <c r="F241" s="485" t="str">
        <f t="shared" si="1"/>
        <v>Muhammad Fachri Adriansyah</v>
      </c>
    </row>
    <row r="242">
      <c r="A242" s="482">
        <v>18.0</v>
      </c>
      <c r="B242" s="482">
        <v>2.32410241E8</v>
      </c>
      <c r="C242" s="483" t="s">
        <v>3299</v>
      </c>
      <c r="D242" s="484" t="s">
        <v>3300</v>
      </c>
      <c r="E242" s="482" t="s">
        <v>3099</v>
      </c>
      <c r="F242" s="485" t="str">
        <f t="shared" si="1"/>
        <v>Muhammad Fadhlan Dhafin</v>
      </c>
    </row>
    <row r="243">
      <c r="A243" s="482">
        <v>19.0</v>
      </c>
      <c r="B243" s="482" t="s">
        <v>4251</v>
      </c>
      <c r="C243" s="482" t="s">
        <v>4252</v>
      </c>
      <c r="D243" s="484" t="s">
        <v>5528</v>
      </c>
      <c r="E243" s="482" t="s">
        <v>3099</v>
      </c>
      <c r="F243" s="485" t="str">
        <f t="shared" si="1"/>
        <v>Muhammad Fadly Syahdan R.</v>
      </c>
    </row>
    <row r="244">
      <c r="A244" s="482">
        <v>19.0</v>
      </c>
      <c r="B244" s="482" t="s">
        <v>3819</v>
      </c>
      <c r="C244" s="483" t="s">
        <v>3820</v>
      </c>
      <c r="D244" s="484" t="s">
        <v>3821</v>
      </c>
      <c r="E244" s="482" t="s">
        <v>3099</v>
      </c>
      <c r="F244" s="485" t="str">
        <f t="shared" si="1"/>
        <v>Muhammad Faris</v>
      </c>
    </row>
    <row r="245">
      <c r="A245" s="482">
        <v>16.0</v>
      </c>
      <c r="B245" s="509" t="s">
        <v>4132</v>
      </c>
      <c r="C245" s="509" t="s">
        <v>4133</v>
      </c>
      <c r="D245" s="511" t="s">
        <v>4134</v>
      </c>
      <c r="E245" s="509" t="s">
        <v>3099</v>
      </c>
      <c r="F245" s="485" t="str">
        <f t="shared" si="1"/>
        <v>Muhammad Fikri Adya Aulia</v>
      </c>
    </row>
    <row r="246">
      <c r="A246" s="482">
        <v>17.0</v>
      </c>
      <c r="B246" s="482" t="s">
        <v>4135</v>
      </c>
      <c r="C246" s="482" t="s">
        <v>4136</v>
      </c>
      <c r="D246" s="484" t="s">
        <v>4137</v>
      </c>
      <c r="E246" s="482" t="s">
        <v>3099</v>
      </c>
      <c r="F246" s="485" t="str">
        <f t="shared" si="1"/>
        <v>Muhammad Hisyam Sauri Rifadi</v>
      </c>
    </row>
    <row r="247">
      <c r="A247" s="482">
        <v>26.0</v>
      </c>
      <c r="B247" s="482" t="s">
        <v>3514</v>
      </c>
      <c r="C247" s="482" t="s">
        <v>3515</v>
      </c>
      <c r="D247" s="484" t="s">
        <v>3516</v>
      </c>
      <c r="E247" s="482" t="s">
        <v>3099</v>
      </c>
      <c r="F247" s="485" t="str">
        <f t="shared" si="1"/>
        <v>Muhammad Irfan Ahzani</v>
      </c>
    </row>
    <row r="248">
      <c r="A248" s="482">
        <v>24.0</v>
      </c>
      <c r="B248" s="482" t="s">
        <v>3618</v>
      </c>
      <c r="C248" s="482" t="s">
        <v>3619</v>
      </c>
      <c r="D248" s="484" t="s">
        <v>3620</v>
      </c>
      <c r="E248" s="482" t="s">
        <v>3099</v>
      </c>
      <c r="F248" s="485" t="str">
        <f t="shared" si="1"/>
        <v>Muhammad Irghi</v>
      </c>
    </row>
    <row r="249">
      <c r="A249" s="482">
        <v>18.0</v>
      </c>
      <c r="B249" s="482" t="s">
        <v>4138</v>
      </c>
      <c r="C249" s="482" t="s">
        <v>4139</v>
      </c>
      <c r="D249" s="529" t="s">
        <v>4140</v>
      </c>
      <c r="E249" s="482" t="s">
        <v>3099</v>
      </c>
      <c r="F249" s="485" t="str">
        <f t="shared" si="1"/>
        <v>Muhammad Ksatria Al Farisi</v>
      </c>
    </row>
    <row r="250">
      <c r="A250" s="486">
        <v>19.0</v>
      </c>
      <c r="B250" s="486" t="s">
        <v>4141</v>
      </c>
      <c r="C250" s="486" t="s">
        <v>4142</v>
      </c>
      <c r="D250" s="487" t="s">
        <v>4143</v>
      </c>
      <c r="E250" s="486" t="s">
        <v>3099</v>
      </c>
      <c r="F250" s="485" t="str">
        <f t="shared" si="1"/>
        <v>Muhammad Navis Afif Alkindy</v>
      </c>
    </row>
    <row r="251">
      <c r="A251" s="486">
        <v>20.0</v>
      </c>
      <c r="B251" s="486" t="s">
        <v>3822</v>
      </c>
      <c r="C251" s="488" t="s">
        <v>3823</v>
      </c>
      <c r="D251" s="487" t="s">
        <v>3824</v>
      </c>
      <c r="E251" s="486" t="s">
        <v>3099</v>
      </c>
      <c r="F251" s="485" t="str">
        <f t="shared" si="1"/>
        <v>Muhammad Nizar Al Ghifari</v>
      </c>
    </row>
    <row r="252">
      <c r="A252" s="486">
        <v>25.0</v>
      </c>
      <c r="B252" s="486" t="s">
        <v>3621</v>
      </c>
      <c r="C252" s="488" t="s">
        <v>3622</v>
      </c>
      <c r="D252" s="487" t="s">
        <v>3623</v>
      </c>
      <c r="E252" s="486" t="s">
        <v>3099</v>
      </c>
      <c r="F252" s="485" t="str">
        <f t="shared" si="1"/>
        <v>Muhammad Rava Ali</v>
      </c>
    </row>
    <row r="253">
      <c r="A253" s="486">
        <v>26.0</v>
      </c>
      <c r="B253" s="486" t="s">
        <v>3624</v>
      </c>
      <c r="C253" s="486" t="s">
        <v>3625</v>
      </c>
      <c r="D253" s="487" t="s">
        <v>3626</v>
      </c>
      <c r="E253" s="486" t="s">
        <v>3099</v>
      </c>
      <c r="F253" s="485" t="str">
        <f t="shared" si="1"/>
        <v>Muhammad Revan Fadillah</v>
      </c>
    </row>
    <row r="254">
      <c r="A254" s="489">
        <v>27.0</v>
      </c>
      <c r="B254" s="489">
        <v>2.32410441E8</v>
      </c>
      <c r="C254" s="521" t="s">
        <v>3517</v>
      </c>
      <c r="D254" s="491" t="s">
        <v>3518</v>
      </c>
      <c r="E254" s="489" t="s">
        <v>3099</v>
      </c>
      <c r="F254" s="485" t="str">
        <f t="shared" si="1"/>
        <v>Muhammad Syaihan Pramono</v>
      </c>
    </row>
    <row r="255">
      <c r="A255" s="492">
        <v>27.0</v>
      </c>
      <c r="B255" s="493" t="s">
        <v>4057</v>
      </c>
      <c r="C255" s="493" t="s">
        <v>4058</v>
      </c>
      <c r="D255" s="528" t="s">
        <v>4059</v>
      </c>
      <c r="E255" s="493" t="s">
        <v>3099</v>
      </c>
      <c r="F255" s="485" t="str">
        <f t="shared" si="1"/>
        <v>Muhammad Ummul Luhur Wisesa</v>
      </c>
    </row>
    <row r="256">
      <c r="A256" s="496">
        <v>27.0</v>
      </c>
      <c r="B256" s="497" t="s">
        <v>3627</v>
      </c>
      <c r="C256" s="497" t="s">
        <v>3628</v>
      </c>
      <c r="D256" s="498" t="s">
        <v>3629</v>
      </c>
      <c r="E256" s="497" t="s">
        <v>3099</v>
      </c>
      <c r="F256" s="485" t="str">
        <f t="shared" si="1"/>
        <v>Muhammad Yusuf Habibie</v>
      </c>
    </row>
    <row r="257">
      <c r="A257" s="496">
        <v>20.0</v>
      </c>
      <c r="B257" s="497" t="s">
        <v>3932</v>
      </c>
      <c r="C257" s="515" t="s">
        <v>3933</v>
      </c>
      <c r="D257" s="530" t="s">
        <v>3934</v>
      </c>
      <c r="E257" s="497" t="s">
        <v>3099</v>
      </c>
      <c r="F257" s="485" t="str">
        <f t="shared" si="1"/>
        <v>Muhammad Zaki Nurhadi Ahsyar</v>
      </c>
    </row>
    <row r="258">
      <c r="A258" s="499">
        <v>15.0</v>
      </c>
      <c r="B258" s="499">
        <v>2.32410246E8</v>
      </c>
      <c r="C258" s="525" t="s">
        <v>3219</v>
      </c>
      <c r="D258" s="500" t="s">
        <v>3220</v>
      </c>
      <c r="E258" s="499" t="s">
        <v>3099</v>
      </c>
      <c r="F258" s="485" t="str">
        <f t="shared" si="1"/>
        <v>Muhammmad Ibni Hadyan N.</v>
      </c>
    </row>
    <row r="259">
      <c r="A259" s="501">
        <v>19.0</v>
      </c>
      <c r="B259" s="501">
        <v>2.32410257E8</v>
      </c>
      <c r="C259" s="501" t="s">
        <v>3301</v>
      </c>
      <c r="D259" s="516" t="s">
        <v>3302</v>
      </c>
      <c r="E259" s="501" t="s">
        <v>3100</v>
      </c>
      <c r="F259" s="485" t="str">
        <f t="shared" si="1"/>
        <v>Mutiara Purnamasari</v>
      </c>
    </row>
    <row r="260">
      <c r="A260" s="503">
        <v>26.0</v>
      </c>
      <c r="B260" s="503" t="s">
        <v>3734</v>
      </c>
      <c r="C260" s="517" t="s">
        <v>3735</v>
      </c>
      <c r="D260" s="518" t="s">
        <v>3736</v>
      </c>
      <c r="E260" s="503" t="s">
        <v>3099</v>
      </c>
      <c r="F260" s="485" t="str">
        <f t="shared" si="1"/>
        <v>Muzaky Khairulloh</v>
      </c>
    </row>
    <row r="261">
      <c r="A261" s="506">
        <v>23.0</v>
      </c>
      <c r="B261" s="531" t="s">
        <v>3397</v>
      </c>
      <c r="C261" s="531" t="s">
        <v>3398</v>
      </c>
      <c r="D261" s="507" t="s">
        <v>3399</v>
      </c>
      <c r="E261" s="506" t="s">
        <v>3100</v>
      </c>
      <c r="F261" s="485" t="str">
        <f t="shared" si="1"/>
        <v>Nabhilla Putri Isnandar</v>
      </c>
    </row>
    <row r="262">
      <c r="A262" s="482">
        <v>24.0</v>
      </c>
      <c r="B262" s="482" t="s">
        <v>3400</v>
      </c>
      <c r="C262" s="482" t="s">
        <v>3401</v>
      </c>
      <c r="D262" s="484" t="s">
        <v>3402</v>
      </c>
      <c r="E262" s="482" t="s">
        <v>3099</v>
      </c>
      <c r="F262" s="485" t="str">
        <f t="shared" si="1"/>
        <v>Nabil Fatih Firjatullah A.</v>
      </c>
    </row>
    <row r="263">
      <c r="A263" s="482">
        <v>28.0</v>
      </c>
      <c r="B263" s="482" t="s">
        <v>3630</v>
      </c>
      <c r="C263" s="483" t="s">
        <v>3631</v>
      </c>
      <c r="D263" s="484" t="s">
        <v>3632</v>
      </c>
      <c r="E263" s="482" t="s">
        <v>3100</v>
      </c>
      <c r="F263" s="485" t="str">
        <f t="shared" si="1"/>
        <v>Nabil Khaufa Zahra</v>
      </c>
    </row>
    <row r="264">
      <c r="A264" s="482">
        <v>17.0</v>
      </c>
      <c r="B264" s="482">
        <v>2.32410021E8</v>
      </c>
      <c r="C264" s="483" t="s">
        <v>3223</v>
      </c>
      <c r="D264" s="484" t="s">
        <v>3224</v>
      </c>
      <c r="E264" s="482" t="s">
        <v>3100</v>
      </c>
      <c r="F264" s="485" t="str">
        <f t="shared" si="1"/>
        <v>Nabila Anggraini</v>
      </c>
    </row>
    <row r="265">
      <c r="A265" s="482">
        <v>25.0</v>
      </c>
      <c r="B265" s="482" t="s">
        <v>3403</v>
      </c>
      <c r="C265" s="482" t="s">
        <v>3404</v>
      </c>
      <c r="D265" s="484" t="s">
        <v>3405</v>
      </c>
      <c r="E265" s="482" t="s">
        <v>3100</v>
      </c>
      <c r="F265" s="485" t="str">
        <f t="shared" si="1"/>
        <v>Nabila Dyah Puspita</v>
      </c>
    </row>
    <row r="266">
      <c r="A266" s="482">
        <v>20.0</v>
      </c>
      <c r="B266" s="482" t="s">
        <v>4254</v>
      </c>
      <c r="C266" s="482" t="s">
        <v>4255</v>
      </c>
      <c r="D266" s="484" t="s">
        <v>5529</v>
      </c>
      <c r="E266" s="482" t="s">
        <v>3100</v>
      </c>
      <c r="F266" s="485" t="str">
        <f t="shared" si="1"/>
        <v>Nabila Nurshyfa</v>
      </c>
    </row>
    <row r="267">
      <c r="A267" s="482">
        <v>21.0</v>
      </c>
      <c r="B267" s="482" t="s">
        <v>3935</v>
      </c>
      <c r="C267" s="483" t="s">
        <v>3936</v>
      </c>
      <c r="D267" s="484" t="s">
        <v>3937</v>
      </c>
      <c r="E267" s="482" t="s">
        <v>3100</v>
      </c>
      <c r="F267" s="485" t="str">
        <f t="shared" si="1"/>
        <v>Nadia Ayu Pramesti</v>
      </c>
    </row>
    <row r="268">
      <c r="A268" s="482">
        <v>26.0</v>
      </c>
      <c r="B268" s="482" t="s">
        <v>3406</v>
      </c>
      <c r="C268" s="482" t="s">
        <v>3407</v>
      </c>
      <c r="D268" s="484" t="s">
        <v>3408</v>
      </c>
      <c r="E268" s="482" t="s">
        <v>3100</v>
      </c>
      <c r="F268" s="485" t="str">
        <f t="shared" si="1"/>
        <v>Nadia Cherryl Azkiya</v>
      </c>
    </row>
    <row r="269">
      <c r="A269" s="482">
        <v>20.0</v>
      </c>
      <c r="B269" s="482">
        <v>2.32410266E8</v>
      </c>
      <c r="C269" s="483" t="s">
        <v>3303</v>
      </c>
      <c r="D269" s="484" t="s">
        <v>3304</v>
      </c>
      <c r="E269" s="482" t="s">
        <v>3100</v>
      </c>
      <c r="F269" s="485" t="str">
        <f t="shared" si="1"/>
        <v>Nadira Adzra As Shofa</v>
      </c>
    </row>
    <row r="270">
      <c r="A270" s="482">
        <v>27.0</v>
      </c>
      <c r="B270" s="482" t="s">
        <v>3409</v>
      </c>
      <c r="C270" s="482" t="s">
        <v>3410</v>
      </c>
      <c r="D270" s="484" t="s">
        <v>3411</v>
      </c>
      <c r="E270" s="482" t="s">
        <v>3100</v>
      </c>
      <c r="F270" s="485" t="str">
        <f t="shared" si="1"/>
        <v>Nadya Safira Setyawan</v>
      </c>
    </row>
    <row r="271">
      <c r="A271" s="482">
        <v>21.0</v>
      </c>
      <c r="B271" s="482">
        <v>2.32410268E8</v>
      </c>
      <c r="C271" s="482" t="s">
        <v>3305</v>
      </c>
      <c r="D271" s="484" t="s">
        <v>3306</v>
      </c>
      <c r="E271" s="482" t="s">
        <v>3100</v>
      </c>
      <c r="F271" s="485" t="str">
        <f t="shared" si="1"/>
        <v>Nafilah Fairuz Humaira</v>
      </c>
    </row>
    <row r="272">
      <c r="A272" s="482">
        <v>21.0</v>
      </c>
      <c r="B272" s="482" t="s">
        <v>4257</v>
      </c>
      <c r="C272" s="482" t="s">
        <v>4258</v>
      </c>
      <c r="D272" s="484" t="s">
        <v>5530</v>
      </c>
      <c r="E272" s="482" t="s">
        <v>3100</v>
      </c>
      <c r="F272" s="485" t="str">
        <f t="shared" si="1"/>
        <v>Naflah Diva Nabilah</v>
      </c>
    </row>
    <row r="273">
      <c r="A273" s="482">
        <v>22.0</v>
      </c>
      <c r="B273" s="482" t="s">
        <v>3938</v>
      </c>
      <c r="C273" s="482">
        <v>3.082660397E9</v>
      </c>
      <c r="D273" s="484" t="s">
        <v>3939</v>
      </c>
      <c r="E273" s="482" t="s">
        <v>3100</v>
      </c>
      <c r="F273" s="485" t="str">
        <f t="shared" si="1"/>
        <v>Nahlatu Bilqis</v>
      </c>
    </row>
    <row r="274">
      <c r="A274" s="482">
        <v>18.0</v>
      </c>
      <c r="B274" s="482">
        <v>2.32410271E8</v>
      </c>
      <c r="C274" s="482" t="s">
        <v>3149</v>
      </c>
      <c r="D274" s="532" t="s">
        <v>3150</v>
      </c>
      <c r="E274" s="482" t="s">
        <v>3100</v>
      </c>
      <c r="F274" s="485" t="str">
        <f t="shared" si="1"/>
        <v>Naila Aulia Supriadi</v>
      </c>
    </row>
    <row r="275">
      <c r="A275" s="482">
        <v>21.0</v>
      </c>
      <c r="B275" s="482" t="s">
        <v>3825</v>
      </c>
      <c r="C275" s="483" t="s">
        <v>3826</v>
      </c>
      <c r="D275" s="484" t="s">
        <v>3827</v>
      </c>
      <c r="E275" s="482" t="s">
        <v>3100</v>
      </c>
      <c r="F275" s="485" t="str">
        <f t="shared" si="1"/>
        <v>Najla Azizah</v>
      </c>
    </row>
    <row r="276">
      <c r="A276" s="482">
        <v>19.0</v>
      </c>
      <c r="B276" s="482">
        <v>2.32410273E8</v>
      </c>
      <c r="C276" s="482" t="s">
        <v>3151</v>
      </c>
      <c r="D276" s="484" t="s">
        <v>3152</v>
      </c>
      <c r="E276" s="482" t="s">
        <v>3100</v>
      </c>
      <c r="F276" s="485" t="str">
        <f t="shared" si="1"/>
        <v>Najla Hanifah Zultani</v>
      </c>
    </row>
    <row r="277">
      <c r="A277" s="482">
        <v>22.0</v>
      </c>
      <c r="B277" s="482">
        <v>2.32410274E8</v>
      </c>
      <c r="C277" s="483" t="s">
        <v>3307</v>
      </c>
      <c r="D277" s="484" t="s">
        <v>3308</v>
      </c>
      <c r="E277" s="482" t="s">
        <v>3100</v>
      </c>
      <c r="F277" s="485" t="str">
        <f t="shared" si="1"/>
        <v>Najla Humaira Putri Hidayat</v>
      </c>
    </row>
    <row r="278">
      <c r="A278" s="482">
        <v>20.0</v>
      </c>
      <c r="B278" s="482" t="s">
        <v>4144</v>
      </c>
      <c r="C278" s="482" t="s">
        <v>4145</v>
      </c>
      <c r="D278" s="484" t="s">
        <v>4146</v>
      </c>
      <c r="E278" s="482" t="s">
        <v>3100</v>
      </c>
      <c r="F278" s="485" t="str">
        <f t="shared" si="1"/>
        <v>Najuwa Khairunnisa</v>
      </c>
    </row>
    <row r="279">
      <c r="A279" s="482">
        <v>22.0</v>
      </c>
      <c r="B279" s="482" t="s">
        <v>4260</v>
      </c>
      <c r="C279" s="482" t="s">
        <v>4261</v>
      </c>
      <c r="D279" s="508" t="s">
        <v>5531</v>
      </c>
      <c r="E279" s="482" t="s">
        <v>3099</v>
      </c>
      <c r="F279" s="485" t="str">
        <f t="shared" si="1"/>
        <v>Nakamura Ramadhan Sanmoon</v>
      </c>
    </row>
    <row r="280">
      <c r="A280" s="482">
        <v>27.0</v>
      </c>
      <c r="B280" s="509" t="s">
        <v>3737</v>
      </c>
      <c r="C280" s="510" t="s">
        <v>3738</v>
      </c>
      <c r="D280" s="511" t="s">
        <v>3739</v>
      </c>
      <c r="E280" s="509" t="s">
        <v>3099</v>
      </c>
      <c r="F280" s="485" t="str">
        <f t="shared" si="1"/>
        <v>Nanda Firdaus</v>
      </c>
    </row>
    <row r="281">
      <c r="A281" s="482">
        <v>23.0</v>
      </c>
      <c r="B281" s="482" t="s">
        <v>3940</v>
      </c>
      <c r="C281" s="482" t="s">
        <v>3941</v>
      </c>
      <c r="D281" s="484" t="s">
        <v>3942</v>
      </c>
      <c r="E281" s="482" t="s">
        <v>3100</v>
      </c>
      <c r="F281" s="485" t="str">
        <f t="shared" si="1"/>
        <v>Nanda Putri Tania</v>
      </c>
    </row>
    <row r="282">
      <c r="A282" s="482">
        <v>23.0</v>
      </c>
      <c r="B282" s="482">
        <v>2.32410278E8</v>
      </c>
      <c r="C282" s="483" t="s">
        <v>3309</v>
      </c>
      <c r="D282" s="484" t="s">
        <v>3310</v>
      </c>
      <c r="E282" s="482" t="s">
        <v>3100</v>
      </c>
      <c r="F282" s="485" t="str">
        <f t="shared" si="1"/>
        <v>Naomi Ayudiah</v>
      </c>
    </row>
    <row r="283">
      <c r="A283" s="482">
        <v>28.0</v>
      </c>
      <c r="B283" s="482" t="s">
        <v>3412</v>
      </c>
      <c r="C283" s="482" t="s">
        <v>3413</v>
      </c>
      <c r="D283" s="484" t="s">
        <v>3414</v>
      </c>
      <c r="E283" s="482" t="s">
        <v>3099</v>
      </c>
      <c r="F283" s="485" t="str">
        <f t="shared" si="1"/>
        <v>Narendra Agru Prasetyo</v>
      </c>
    </row>
    <row r="284">
      <c r="A284" s="482">
        <v>23.0</v>
      </c>
      <c r="B284" s="482" t="s">
        <v>4263</v>
      </c>
      <c r="C284" s="482" t="s">
        <v>4264</v>
      </c>
      <c r="D284" s="484" t="s">
        <v>5532</v>
      </c>
      <c r="E284" s="482" t="s">
        <v>3100</v>
      </c>
      <c r="F284" s="485" t="str">
        <f t="shared" si="1"/>
        <v>Nasywa Adinda Putri Romli</v>
      </c>
    </row>
    <row r="285">
      <c r="A285" s="482">
        <v>28.0</v>
      </c>
      <c r="B285" s="482" t="s">
        <v>3519</v>
      </c>
      <c r="C285" s="482" t="s">
        <v>3520</v>
      </c>
      <c r="D285" s="484" t="s">
        <v>3521</v>
      </c>
      <c r="E285" s="482" t="s">
        <v>3100</v>
      </c>
      <c r="F285" s="485" t="str">
        <f t="shared" si="1"/>
        <v>Nasywa Lilyan Elvaretta</v>
      </c>
    </row>
    <row r="286">
      <c r="A286" s="482">
        <v>18.0</v>
      </c>
      <c r="B286" s="482">
        <v>2.32410282E8</v>
      </c>
      <c r="C286" s="483" t="s">
        <v>3225</v>
      </c>
      <c r="D286" s="484" t="s">
        <v>3226</v>
      </c>
      <c r="E286" s="482" t="s">
        <v>3100</v>
      </c>
      <c r="F286" s="485" t="str">
        <f t="shared" si="1"/>
        <v>Natasiya Sihombing</v>
      </c>
    </row>
    <row r="287">
      <c r="A287" s="486">
        <v>19.0</v>
      </c>
      <c r="B287" s="486">
        <v>2.32410283E8</v>
      </c>
      <c r="C287" s="488" t="s">
        <v>3227</v>
      </c>
      <c r="D287" s="487" t="s">
        <v>3228</v>
      </c>
      <c r="E287" s="486" t="s">
        <v>3100</v>
      </c>
      <c r="F287" s="485" t="str">
        <f t="shared" si="1"/>
        <v>Natasya Putri Erwina</v>
      </c>
    </row>
    <row r="288">
      <c r="A288" s="486">
        <v>20.0</v>
      </c>
      <c r="B288" s="486">
        <v>2.32410284E8</v>
      </c>
      <c r="C288" s="488" t="s">
        <v>3229</v>
      </c>
      <c r="D288" s="487" t="s">
        <v>3230</v>
      </c>
      <c r="E288" s="486" t="s">
        <v>3099</v>
      </c>
      <c r="F288" s="485" t="str">
        <f t="shared" si="1"/>
        <v>Naufal Akhdan Athafarhani</v>
      </c>
    </row>
    <row r="289">
      <c r="A289" s="486">
        <v>21.0</v>
      </c>
      <c r="B289" s="486" t="s">
        <v>4147</v>
      </c>
      <c r="C289" s="486" t="s">
        <v>4148</v>
      </c>
      <c r="D289" s="487" t="s">
        <v>4149</v>
      </c>
      <c r="E289" s="486" t="s">
        <v>3100</v>
      </c>
      <c r="F289" s="485" t="str">
        <f t="shared" si="1"/>
        <v>Nayla Ghina Pramesti</v>
      </c>
    </row>
    <row r="290">
      <c r="A290" s="486">
        <v>22.0</v>
      </c>
      <c r="B290" s="486" t="s">
        <v>3828</v>
      </c>
      <c r="C290" s="488" t="s">
        <v>3829</v>
      </c>
      <c r="D290" s="487" t="s">
        <v>3830</v>
      </c>
      <c r="E290" s="486" t="s">
        <v>3100</v>
      </c>
      <c r="F290" s="485" t="str">
        <f t="shared" si="1"/>
        <v>Nayla Warni Rahayu</v>
      </c>
    </row>
    <row r="291">
      <c r="A291" s="489">
        <v>21.0</v>
      </c>
      <c r="B291" s="489">
        <v>2.32410287E8</v>
      </c>
      <c r="C291" s="521" t="s">
        <v>3231</v>
      </c>
      <c r="D291" s="491" t="s">
        <v>3232</v>
      </c>
      <c r="E291" s="489" t="s">
        <v>3100</v>
      </c>
      <c r="F291" s="485" t="str">
        <f t="shared" si="1"/>
        <v>Nazwa Aulia</v>
      </c>
    </row>
    <row r="292">
      <c r="A292" s="492">
        <v>24.0</v>
      </c>
      <c r="B292" s="493" t="s">
        <v>4266</v>
      </c>
      <c r="C292" s="493" t="s">
        <v>4267</v>
      </c>
      <c r="D292" s="495" t="s">
        <v>5533</v>
      </c>
      <c r="E292" s="493" t="s">
        <v>3100</v>
      </c>
      <c r="F292" s="485" t="str">
        <f t="shared" si="1"/>
        <v>Nazwa Aulia Fitrah</v>
      </c>
    </row>
    <row r="293">
      <c r="A293" s="496">
        <v>23.0</v>
      </c>
      <c r="B293" s="497" t="s">
        <v>3831</v>
      </c>
      <c r="C293" s="515" t="s">
        <v>3832</v>
      </c>
      <c r="D293" s="498" t="s">
        <v>3833</v>
      </c>
      <c r="E293" s="497" t="s">
        <v>3100</v>
      </c>
      <c r="F293" s="485" t="str">
        <f t="shared" si="1"/>
        <v>Nazwa Balqis Arlya</v>
      </c>
    </row>
    <row r="294">
      <c r="A294" s="496">
        <v>28.0</v>
      </c>
      <c r="B294" s="497" t="s">
        <v>4060</v>
      </c>
      <c r="C294" s="497" t="s">
        <v>4061</v>
      </c>
      <c r="D294" s="498" t="s">
        <v>4062</v>
      </c>
      <c r="E294" s="497" t="s">
        <v>3100</v>
      </c>
      <c r="F294" s="485" t="str">
        <f t="shared" si="1"/>
        <v>Nazwa Nurul Abida</v>
      </c>
    </row>
    <row r="295">
      <c r="A295" s="499">
        <v>22.0</v>
      </c>
      <c r="B295" s="499" t="s">
        <v>4150</v>
      </c>
      <c r="C295" s="499" t="s">
        <v>4151</v>
      </c>
      <c r="D295" s="500" t="s">
        <v>4152</v>
      </c>
      <c r="E295" s="499" t="s">
        <v>3100</v>
      </c>
      <c r="F295" s="485" t="str">
        <f t="shared" si="1"/>
        <v>Neysa Calluela Dhiya Achmad</v>
      </c>
    </row>
    <row r="296">
      <c r="A296" s="501">
        <v>20.0</v>
      </c>
      <c r="B296" s="501">
        <v>2.32410292E8</v>
      </c>
      <c r="C296" s="501" t="s">
        <v>3153</v>
      </c>
      <c r="D296" s="516" t="s">
        <v>3154</v>
      </c>
      <c r="E296" s="501" t="s">
        <v>3100</v>
      </c>
      <c r="F296" s="485" t="str">
        <f t="shared" si="1"/>
        <v>Nikeisha Vivia Indrani</v>
      </c>
    </row>
    <row r="297">
      <c r="A297" s="503">
        <v>22.0</v>
      </c>
      <c r="B297" s="533">
        <v>2.32410293E8</v>
      </c>
      <c r="C297" s="517" t="s">
        <v>3233</v>
      </c>
      <c r="D297" s="518" t="s">
        <v>3234</v>
      </c>
      <c r="E297" s="503" t="s">
        <v>3100</v>
      </c>
      <c r="F297" s="485" t="str">
        <f t="shared" si="1"/>
        <v>Niken Dwi Intan Septi Ramadhani</v>
      </c>
    </row>
    <row r="298">
      <c r="A298" s="506">
        <v>28.0</v>
      </c>
      <c r="B298" s="506" t="s">
        <v>3740</v>
      </c>
      <c r="C298" s="506" t="s">
        <v>3741</v>
      </c>
      <c r="D298" s="534" t="s">
        <v>3742</v>
      </c>
      <c r="E298" s="506" t="s">
        <v>3100</v>
      </c>
      <c r="F298" s="485" t="str">
        <f t="shared" si="1"/>
        <v>Nur Najmi Nuha Chamsyah Sutandi</v>
      </c>
    </row>
    <row r="299">
      <c r="A299" s="482">
        <v>25.0</v>
      </c>
      <c r="B299" s="482" t="s">
        <v>4269</v>
      </c>
      <c r="C299" s="482" t="s">
        <v>4270</v>
      </c>
      <c r="D299" s="484" t="s">
        <v>5534</v>
      </c>
      <c r="E299" s="486" t="s">
        <v>3100</v>
      </c>
      <c r="F299" s="485" t="str">
        <f t="shared" si="1"/>
        <v>Nurifa Putri Imansyah</v>
      </c>
    </row>
    <row r="300">
      <c r="A300" s="482">
        <v>23.0</v>
      </c>
      <c r="B300" s="535">
        <v>2.32410296E8</v>
      </c>
      <c r="C300" s="483" t="s">
        <v>3235</v>
      </c>
      <c r="D300" s="484" t="s">
        <v>3236</v>
      </c>
      <c r="E300" s="482" t="s">
        <v>3100</v>
      </c>
      <c r="F300" s="485" t="str">
        <f t="shared" si="1"/>
        <v>Nurul Syifa Nayla</v>
      </c>
    </row>
    <row r="301">
      <c r="A301" s="482">
        <v>24.0</v>
      </c>
      <c r="B301" s="482" t="s">
        <v>3943</v>
      </c>
      <c r="C301" s="482" t="s">
        <v>3944</v>
      </c>
      <c r="D301" s="484" t="s">
        <v>3945</v>
      </c>
      <c r="E301" s="482" t="s">
        <v>3100</v>
      </c>
      <c r="F301" s="485" t="str">
        <f t="shared" si="1"/>
        <v>Ode Irva Khumaira</v>
      </c>
    </row>
    <row r="302">
      <c r="A302" s="482">
        <v>24.0</v>
      </c>
      <c r="B302" s="482" t="s">
        <v>3237</v>
      </c>
      <c r="C302" s="483" t="s">
        <v>3238</v>
      </c>
      <c r="D302" s="484" t="s">
        <v>3239</v>
      </c>
      <c r="E302" s="482" t="s">
        <v>3100</v>
      </c>
      <c r="F302" s="485" t="str">
        <f t="shared" si="1"/>
        <v>Odilia Sekar Ayu Prasista</v>
      </c>
    </row>
    <row r="303">
      <c r="A303" s="482">
        <v>21.0</v>
      </c>
      <c r="B303" s="482">
        <v>2.32410299E8</v>
      </c>
      <c r="C303" s="482" t="s">
        <v>3155</v>
      </c>
      <c r="D303" s="484" t="s">
        <v>3156</v>
      </c>
      <c r="E303" s="482" t="s">
        <v>3100</v>
      </c>
      <c r="F303" s="485" t="str">
        <f t="shared" si="1"/>
        <v>Oktaviani Putri Silalahi</v>
      </c>
    </row>
    <row r="304">
      <c r="A304" s="482">
        <v>26.0</v>
      </c>
      <c r="B304" s="482" t="s">
        <v>4272</v>
      </c>
      <c r="C304" s="482" t="s">
        <v>4273</v>
      </c>
      <c r="D304" s="508" t="s">
        <v>5535</v>
      </c>
      <c r="E304" s="482" t="s">
        <v>3100</v>
      </c>
      <c r="F304" s="485" t="str">
        <f t="shared" si="1"/>
        <v>Olympias Viola Artha Natallly</v>
      </c>
    </row>
    <row r="305">
      <c r="A305" s="482">
        <v>23.0</v>
      </c>
      <c r="B305" s="482" t="s">
        <v>4153</v>
      </c>
      <c r="C305" s="482" t="s">
        <v>4154</v>
      </c>
      <c r="D305" s="484" t="s">
        <v>4155</v>
      </c>
      <c r="E305" s="482" t="s">
        <v>3100</v>
      </c>
      <c r="F305" s="485" t="str">
        <f t="shared" si="1"/>
        <v>Orchida Adhiya Hanin</v>
      </c>
    </row>
    <row r="306">
      <c r="A306" s="482">
        <v>22.0</v>
      </c>
      <c r="B306" s="482">
        <v>2.32410302E8</v>
      </c>
      <c r="C306" s="482" t="s">
        <v>3157</v>
      </c>
      <c r="D306" s="484" t="s">
        <v>3158</v>
      </c>
      <c r="E306" s="482" t="s">
        <v>3100</v>
      </c>
      <c r="F306" s="485" t="str">
        <f t="shared" si="1"/>
        <v>Panny Chantika Pasra</v>
      </c>
    </row>
    <row r="307">
      <c r="A307" s="482">
        <v>24.0</v>
      </c>
      <c r="B307" s="482">
        <v>2.32410303E8</v>
      </c>
      <c r="C307" s="483" t="s">
        <v>3311</v>
      </c>
      <c r="D307" s="484" t="s">
        <v>3312</v>
      </c>
      <c r="E307" s="482" t="s">
        <v>3099</v>
      </c>
      <c r="F307" s="485" t="str">
        <f t="shared" si="1"/>
        <v>Pebryan Abdal Bais</v>
      </c>
    </row>
    <row r="308">
      <c r="A308" s="482">
        <v>29.0</v>
      </c>
      <c r="B308" s="482" t="s">
        <v>4063</v>
      </c>
      <c r="C308" s="482" t="s">
        <v>4064</v>
      </c>
      <c r="D308" s="484" t="s">
        <v>4065</v>
      </c>
      <c r="E308" s="482" t="s">
        <v>3099</v>
      </c>
      <c r="F308" s="485" t="str">
        <f t="shared" si="1"/>
        <v>Perdi Syafar Wahyudi</v>
      </c>
    </row>
    <row r="309">
      <c r="A309" s="482">
        <v>25.0</v>
      </c>
      <c r="B309" s="482">
        <v>2.32410305E8</v>
      </c>
      <c r="C309" s="483" t="s">
        <v>3313</v>
      </c>
      <c r="D309" s="508" t="s">
        <v>3314</v>
      </c>
      <c r="E309" s="482" t="s">
        <v>3099</v>
      </c>
      <c r="F309" s="485" t="str">
        <f t="shared" si="1"/>
        <v>Putra Gabe Martogi Lumbanbatu</v>
      </c>
    </row>
    <row r="310">
      <c r="A310" s="482">
        <v>23.0</v>
      </c>
      <c r="B310" s="482">
        <v>2.32410306E8</v>
      </c>
      <c r="C310" s="482" t="s">
        <v>3159</v>
      </c>
      <c r="D310" s="484" t="s">
        <v>3160</v>
      </c>
      <c r="E310" s="482" t="s">
        <v>3100</v>
      </c>
      <c r="F310" s="485" t="str">
        <f t="shared" si="1"/>
        <v>Putri Inaya Khaerany</v>
      </c>
    </row>
    <row r="311">
      <c r="A311" s="482">
        <v>24.0</v>
      </c>
      <c r="B311" s="482" t="s">
        <v>4156</v>
      </c>
      <c r="C311" s="482" t="s">
        <v>4157</v>
      </c>
      <c r="D311" s="508" t="s">
        <v>4158</v>
      </c>
      <c r="E311" s="482" t="s">
        <v>3100</v>
      </c>
      <c r="F311" s="485" t="str">
        <f t="shared" si="1"/>
        <v>Qirrent Octaviant Wardhani Sadiman Putri</v>
      </c>
    </row>
    <row r="312">
      <c r="A312" s="482">
        <v>25.0</v>
      </c>
      <c r="B312" s="482">
        <v>2.32410308E8</v>
      </c>
      <c r="C312" s="483" t="s">
        <v>3240</v>
      </c>
      <c r="D312" s="484" t="s">
        <v>3241</v>
      </c>
      <c r="E312" s="482" t="s">
        <v>3100</v>
      </c>
      <c r="F312" s="485" t="str">
        <f t="shared" si="1"/>
        <v>Qissya Alicka Syakila</v>
      </c>
    </row>
    <row r="313">
      <c r="A313" s="482">
        <v>25.0</v>
      </c>
      <c r="B313" s="482" t="s">
        <v>4159</v>
      </c>
      <c r="C313" s="482" t="s">
        <v>4160</v>
      </c>
      <c r="D313" s="484" t="s">
        <v>4161</v>
      </c>
      <c r="E313" s="482" t="s">
        <v>3099</v>
      </c>
      <c r="F313" s="485" t="str">
        <f t="shared" si="1"/>
        <v>Raden Amanullah Dhaifullah</v>
      </c>
    </row>
    <row r="314">
      <c r="A314" s="482">
        <v>29.0</v>
      </c>
      <c r="B314" s="482" t="s">
        <v>3522</v>
      </c>
      <c r="C314" s="483" t="s">
        <v>3523</v>
      </c>
      <c r="D314" s="508" t="s">
        <v>3524</v>
      </c>
      <c r="E314" s="482" t="s">
        <v>3099</v>
      </c>
      <c r="F314" s="485" t="str">
        <f t="shared" si="1"/>
        <v>Raden Antasena Kartasasmita</v>
      </c>
    </row>
    <row r="315">
      <c r="A315" s="482">
        <v>30.0</v>
      </c>
      <c r="B315" s="482" t="s">
        <v>4066</v>
      </c>
      <c r="C315" s="482" t="s">
        <v>4067</v>
      </c>
      <c r="D315" s="484" t="s">
        <v>4068</v>
      </c>
      <c r="E315" s="482" t="s">
        <v>3100</v>
      </c>
      <c r="F315" s="485" t="str">
        <f t="shared" si="1"/>
        <v>Raden Difa Aqillah Lukman</v>
      </c>
    </row>
    <row r="316">
      <c r="A316" s="482">
        <v>25.0</v>
      </c>
      <c r="B316" s="482" t="s">
        <v>3946</v>
      </c>
      <c r="C316" s="482" t="s">
        <v>3947</v>
      </c>
      <c r="D316" s="484" t="s">
        <v>3948</v>
      </c>
      <c r="E316" s="482" t="s">
        <v>3099</v>
      </c>
      <c r="F316" s="485" t="str">
        <f t="shared" si="1"/>
        <v>Raden Dirgham Hanifan Al-Basyam</v>
      </c>
    </row>
    <row r="317">
      <c r="A317" s="482">
        <v>27.0</v>
      </c>
      <c r="B317" s="509" t="s">
        <v>4275</v>
      </c>
      <c r="C317" s="510" t="s">
        <v>4276</v>
      </c>
      <c r="D317" s="511" t="s">
        <v>5536</v>
      </c>
      <c r="E317" s="509" t="s">
        <v>3099</v>
      </c>
      <c r="F317" s="485" t="str">
        <f t="shared" si="1"/>
        <v>Radhika Eshan Susantya</v>
      </c>
    </row>
    <row r="318">
      <c r="A318" s="482">
        <v>30.0</v>
      </c>
      <c r="B318" s="482" t="s">
        <v>3525</v>
      </c>
      <c r="C318" s="482" t="s">
        <v>3526</v>
      </c>
      <c r="D318" s="484" t="s">
        <v>3527</v>
      </c>
      <c r="E318" s="482" t="s">
        <v>3099</v>
      </c>
      <c r="F318" s="485" t="str">
        <f t="shared" si="1"/>
        <v>Radit Gilbran Villareal Lutvi</v>
      </c>
    </row>
    <row r="319">
      <c r="A319" s="482">
        <v>26.0</v>
      </c>
      <c r="B319" s="482" t="s">
        <v>3949</v>
      </c>
      <c r="C319" s="482" t="s">
        <v>3950</v>
      </c>
      <c r="D319" s="484" t="s">
        <v>3951</v>
      </c>
      <c r="E319" s="482" t="s">
        <v>3099</v>
      </c>
      <c r="F319" s="485" t="str">
        <f t="shared" si="1"/>
        <v>Raditya Dwi Fauzi</v>
      </c>
    </row>
    <row r="320">
      <c r="A320" s="482">
        <v>26.0</v>
      </c>
      <c r="B320" s="482">
        <v>2.32410315E8</v>
      </c>
      <c r="C320" s="483" t="s">
        <v>3242</v>
      </c>
      <c r="D320" s="484" t="s">
        <v>3243</v>
      </c>
      <c r="E320" s="482" t="s">
        <v>3100</v>
      </c>
      <c r="F320" s="485" t="str">
        <f t="shared" si="1"/>
        <v>Rafa Aqila Fariha</v>
      </c>
    </row>
    <row r="321">
      <c r="A321" s="482">
        <v>29.0</v>
      </c>
      <c r="B321" s="482" t="s">
        <v>3415</v>
      </c>
      <c r="C321" s="482" t="s">
        <v>3416</v>
      </c>
      <c r="D321" s="484" t="s">
        <v>3417</v>
      </c>
      <c r="E321" s="482" t="s">
        <v>3099</v>
      </c>
      <c r="F321" s="485" t="str">
        <f t="shared" si="1"/>
        <v>Rafa Hafizh Waradana</v>
      </c>
    </row>
    <row r="322">
      <c r="A322" s="482">
        <v>29.0</v>
      </c>
      <c r="B322" s="482" t="s">
        <v>3743</v>
      </c>
      <c r="C322" s="483" t="s">
        <v>3744</v>
      </c>
      <c r="D322" s="484" t="s">
        <v>3745</v>
      </c>
      <c r="E322" s="482" t="s">
        <v>3099</v>
      </c>
      <c r="F322" s="485" t="str">
        <f t="shared" si="1"/>
        <v>Rafael Mario Jusag Prasetyo</v>
      </c>
    </row>
    <row r="323">
      <c r="A323" s="482">
        <v>24.0</v>
      </c>
      <c r="B323" s="482">
        <v>2.32410318E8</v>
      </c>
      <c r="C323" s="482" t="s">
        <v>3161</v>
      </c>
      <c r="D323" s="484" t="s">
        <v>3162</v>
      </c>
      <c r="E323" s="482" t="s">
        <v>3100</v>
      </c>
      <c r="F323" s="485" t="str">
        <f t="shared" si="1"/>
        <v>Rafeyfa Asyla</v>
      </c>
    </row>
    <row r="324">
      <c r="A324" s="482">
        <v>24.0</v>
      </c>
      <c r="B324" s="482" t="s">
        <v>3834</v>
      </c>
      <c r="C324" s="483" t="s">
        <v>3835</v>
      </c>
      <c r="D324" s="484" t="s">
        <v>3836</v>
      </c>
      <c r="E324" s="482" t="s">
        <v>3100</v>
      </c>
      <c r="F324" s="485" t="str">
        <f t="shared" si="1"/>
        <v>Rafiel Cahaya Yusup</v>
      </c>
    </row>
    <row r="325">
      <c r="A325" s="482">
        <v>29.0</v>
      </c>
      <c r="B325" s="482" t="s">
        <v>3633</v>
      </c>
      <c r="C325" s="483" t="s">
        <v>3634</v>
      </c>
      <c r="D325" s="484" t="s">
        <v>3635</v>
      </c>
      <c r="E325" s="482" t="s">
        <v>3099</v>
      </c>
      <c r="F325" s="485" t="str">
        <f t="shared" si="1"/>
        <v>Rafly Restu Adam</v>
      </c>
    </row>
    <row r="326">
      <c r="A326" s="482">
        <v>27.0</v>
      </c>
      <c r="B326" s="482" t="s">
        <v>3952</v>
      </c>
      <c r="C326" s="482" t="s">
        <v>3953</v>
      </c>
      <c r="D326" s="484" t="s">
        <v>3954</v>
      </c>
      <c r="E326" s="482" t="s">
        <v>3099</v>
      </c>
      <c r="F326" s="485" t="str">
        <f t="shared" si="1"/>
        <v>Rahil Alfaqih</v>
      </c>
    </row>
    <row r="327">
      <c r="A327" s="482">
        <v>25.0</v>
      </c>
      <c r="B327" s="482">
        <v>2.32410322E8</v>
      </c>
      <c r="C327" s="482" t="s">
        <v>3163</v>
      </c>
      <c r="D327" s="484" t="s">
        <v>3164</v>
      </c>
      <c r="E327" s="482" t="s">
        <v>3099</v>
      </c>
      <c r="F327" s="485" t="str">
        <f t="shared" si="1"/>
        <v>Raihan Gusti Ramadhan</v>
      </c>
    </row>
    <row r="328">
      <c r="A328" s="482">
        <v>26.0</v>
      </c>
      <c r="B328" s="482">
        <v>2.32410323E8</v>
      </c>
      <c r="C328" s="483" t="s">
        <v>3315</v>
      </c>
      <c r="D328" s="508" t="s">
        <v>3316</v>
      </c>
      <c r="E328" s="482" t="s">
        <v>3100</v>
      </c>
      <c r="F328" s="485" t="str">
        <f t="shared" si="1"/>
        <v>Raihana Citra Nur Ramadhanti</v>
      </c>
    </row>
    <row r="329">
      <c r="A329" s="482">
        <v>31.0</v>
      </c>
      <c r="B329" s="482" t="s">
        <v>3528</v>
      </c>
      <c r="C329" s="483" t="s">
        <v>3529</v>
      </c>
      <c r="D329" s="484" t="s">
        <v>3530</v>
      </c>
      <c r="E329" s="482" t="s">
        <v>3100</v>
      </c>
      <c r="F329" s="485" t="str">
        <f t="shared" si="1"/>
        <v>Raihana Syahla Yustiaji</v>
      </c>
    </row>
    <row r="330">
      <c r="A330" s="482">
        <v>27.0</v>
      </c>
      <c r="B330" s="482">
        <v>2.32410325E8</v>
      </c>
      <c r="C330" s="483" t="s">
        <v>3244</v>
      </c>
      <c r="D330" s="484" t="s">
        <v>3245</v>
      </c>
      <c r="E330" s="482" t="s">
        <v>3100</v>
      </c>
      <c r="F330" s="485" t="str">
        <f t="shared" si="1"/>
        <v>Raisa Nur Rizky Ramadhani</v>
      </c>
    </row>
    <row r="331">
      <c r="A331" s="482">
        <v>28.0</v>
      </c>
      <c r="B331" s="482" t="s">
        <v>4278</v>
      </c>
      <c r="C331" s="482" t="s">
        <v>4279</v>
      </c>
      <c r="D331" s="484" t="s">
        <v>5537</v>
      </c>
      <c r="E331" s="482" t="s">
        <v>3100</v>
      </c>
      <c r="F331" s="485" t="str">
        <f t="shared" si="1"/>
        <v>Raisya Maurizka Kurniawan</v>
      </c>
    </row>
    <row r="332">
      <c r="A332" s="482">
        <v>25.0</v>
      </c>
      <c r="B332" s="482" t="s">
        <v>3837</v>
      </c>
      <c r="C332" s="483" t="s">
        <v>3838</v>
      </c>
      <c r="D332" s="484" t="s">
        <v>3839</v>
      </c>
      <c r="E332" s="482" t="s">
        <v>3099</v>
      </c>
      <c r="F332" s="485" t="str">
        <f t="shared" si="1"/>
        <v>Rajuwaa Ammartayuda</v>
      </c>
    </row>
    <row r="333">
      <c r="A333" s="482">
        <v>27.0</v>
      </c>
      <c r="B333" s="482">
        <v>2.32410328E8</v>
      </c>
      <c r="C333" s="483" t="s">
        <v>3317</v>
      </c>
      <c r="D333" s="484" t="s">
        <v>3318</v>
      </c>
      <c r="E333" s="482" t="s">
        <v>3099</v>
      </c>
      <c r="F333" s="485" t="str">
        <f t="shared" si="1"/>
        <v>Raka Septiyan Harja Khan</v>
      </c>
    </row>
    <row r="334">
      <c r="A334" s="482">
        <v>26.0</v>
      </c>
      <c r="B334" s="482" t="s">
        <v>3840</v>
      </c>
      <c r="C334" s="482" t="s">
        <v>3841</v>
      </c>
      <c r="D334" s="484" t="s">
        <v>3842</v>
      </c>
      <c r="E334" s="482" t="s">
        <v>3099</v>
      </c>
      <c r="F334" s="485" t="str">
        <f t="shared" si="1"/>
        <v>Rakha Ariyanto Prawira</v>
      </c>
    </row>
    <row r="335">
      <c r="A335" s="482">
        <v>27.0</v>
      </c>
      <c r="B335" s="482" t="s">
        <v>3843</v>
      </c>
      <c r="C335" s="483" t="s">
        <v>3844</v>
      </c>
      <c r="D335" s="484" t="s">
        <v>3845</v>
      </c>
      <c r="E335" s="482" t="s">
        <v>3099</v>
      </c>
      <c r="F335" s="485" t="str">
        <f t="shared" si="1"/>
        <v>Rakha Suryana</v>
      </c>
    </row>
    <row r="336">
      <c r="A336" s="486">
        <v>31.0</v>
      </c>
      <c r="B336" s="486" t="s">
        <v>4069</v>
      </c>
      <c r="C336" s="486" t="s">
        <v>4070</v>
      </c>
      <c r="D336" s="487" t="s">
        <v>4071</v>
      </c>
      <c r="E336" s="486" t="s">
        <v>3099</v>
      </c>
      <c r="F336" s="485" t="str">
        <f t="shared" si="1"/>
        <v>Randy Maidyka</v>
      </c>
    </row>
    <row r="337">
      <c r="A337" s="486">
        <v>30.0</v>
      </c>
      <c r="B337" s="486" t="s">
        <v>3636</v>
      </c>
      <c r="C337" s="486" t="s">
        <v>3637</v>
      </c>
      <c r="D337" s="487" t="s">
        <v>3638</v>
      </c>
      <c r="E337" s="486" t="s">
        <v>3100</v>
      </c>
      <c r="F337" s="485" t="str">
        <f t="shared" si="1"/>
        <v>Rania Adila Eryazti</v>
      </c>
    </row>
    <row r="338">
      <c r="A338" s="486">
        <v>28.0</v>
      </c>
      <c r="B338" s="486" t="s">
        <v>3955</v>
      </c>
      <c r="C338" s="488" t="s">
        <v>3956</v>
      </c>
      <c r="D338" s="487" t="s">
        <v>3957</v>
      </c>
      <c r="E338" s="486" t="s">
        <v>3099</v>
      </c>
      <c r="F338" s="485" t="str">
        <f t="shared" si="1"/>
        <v>Rasheed Putra Keyshadi</v>
      </c>
    </row>
    <row r="339">
      <c r="A339" s="486">
        <v>30.0</v>
      </c>
      <c r="B339" s="486" t="s">
        <v>3418</v>
      </c>
      <c r="C339" s="486" t="s">
        <v>3419</v>
      </c>
      <c r="D339" s="487" t="s">
        <v>3420</v>
      </c>
      <c r="E339" s="486" t="s">
        <v>3100</v>
      </c>
      <c r="F339" s="485" t="str">
        <f t="shared" si="1"/>
        <v>Rasheesa Fitria Nuraini</v>
      </c>
    </row>
    <row r="340">
      <c r="A340" s="489">
        <v>29.0</v>
      </c>
      <c r="B340" s="489" t="s">
        <v>4281</v>
      </c>
      <c r="C340" s="489" t="s">
        <v>4282</v>
      </c>
      <c r="D340" s="491" t="s">
        <v>5538</v>
      </c>
      <c r="E340" s="489" t="s">
        <v>3100</v>
      </c>
      <c r="F340" s="485" t="str">
        <f t="shared" si="1"/>
        <v>Rasya Jihan</v>
      </c>
    </row>
    <row r="341">
      <c r="A341" s="492">
        <v>30.0</v>
      </c>
      <c r="B341" s="493" t="s">
        <v>3746</v>
      </c>
      <c r="C341" s="494" t="s">
        <v>3747</v>
      </c>
      <c r="D341" s="495" t="s">
        <v>3748</v>
      </c>
      <c r="E341" s="493" t="s">
        <v>3100</v>
      </c>
      <c r="F341" s="485" t="str">
        <f t="shared" si="1"/>
        <v>Rasya Nazira Raditiya Putra</v>
      </c>
    </row>
    <row r="342">
      <c r="A342" s="496">
        <v>29.0</v>
      </c>
      <c r="B342" s="497" t="s">
        <v>3958</v>
      </c>
      <c r="C342" s="497" t="s">
        <v>3959</v>
      </c>
      <c r="D342" s="498" t="s">
        <v>3960</v>
      </c>
      <c r="E342" s="497" t="s">
        <v>3100</v>
      </c>
      <c r="F342" s="485" t="str">
        <f t="shared" si="1"/>
        <v>Ratu Ninda Tabina</v>
      </c>
    </row>
    <row r="343">
      <c r="A343" s="496">
        <v>26.0</v>
      </c>
      <c r="B343" s="497">
        <v>2.32410338E8</v>
      </c>
      <c r="C343" s="497" t="s">
        <v>3165</v>
      </c>
      <c r="D343" s="498" t="s">
        <v>3166</v>
      </c>
      <c r="E343" s="497" t="s">
        <v>3100</v>
      </c>
      <c r="F343" s="485" t="str">
        <f t="shared" si="1"/>
        <v>Ravina Amalyna Kyumi</v>
      </c>
    </row>
    <row r="344">
      <c r="A344" s="499">
        <v>31.0</v>
      </c>
      <c r="B344" s="499" t="s">
        <v>3749</v>
      </c>
      <c r="C344" s="499" t="s">
        <v>3750</v>
      </c>
      <c r="D344" s="500" t="s">
        <v>3751</v>
      </c>
      <c r="E344" s="499" t="s">
        <v>3100</v>
      </c>
      <c r="F344" s="485" t="str">
        <f t="shared" si="1"/>
        <v>Raya Thalita Hasna Anjani</v>
      </c>
    </row>
    <row r="345">
      <c r="A345" s="501">
        <v>32.0</v>
      </c>
      <c r="B345" s="501" t="s">
        <v>3752</v>
      </c>
      <c r="C345" s="501" t="s">
        <v>3753</v>
      </c>
      <c r="D345" s="516" t="s">
        <v>3754</v>
      </c>
      <c r="E345" s="501" t="s">
        <v>3100</v>
      </c>
      <c r="F345" s="485" t="str">
        <f t="shared" si="1"/>
        <v>Rayyan Alifa Rivena</v>
      </c>
    </row>
    <row r="346">
      <c r="A346" s="503">
        <v>31.0</v>
      </c>
      <c r="B346" s="503" t="s">
        <v>3639</v>
      </c>
      <c r="C346" s="517" t="s">
        <v>3640</v>
      </c>
      <c r="D346" s="518" t="s">
        <v>3641</v>
      </c>
      <c r="E346" s="503" t="s">
        <v>3099</v>
      </c>
      <c r="F346" s="485" t="str">
        <f t="shared" si="1"/>
        <v>Razan Zufar Ahmad</v>
      </c>
    </row>
    <row r="347">
      <c r="A347" s="506">
        <v>32.0</v>
      </c>
      <c r="B347" s="506" t="s">
        <v>3531</v>
      </c>
      <c r="C347" s="506" t="s">
        <v>3532</v>
      </c>
      <c r="D347" s="507" t="s">
        <v>3533</v>
      </c>
      <c r="E347" s="506" t="s">
        <v>3100</v>
      </c>
      <c r="F347" s="485" t="str">
        <f t="shared" si="1"/>
        <v>Refah Syahidah</v>
      </c>
    </row>
    <row r="348">
      <c r="A348" s="482">
        <v>33.0</v>
      </c>
      <c r="B348" s="482" t="s">
        <v>3755</v>
      </c>
      <c r="C348" s="483" t="s">
        <v>3756</v>
      </c>
      <c r="D348" s="484" t="s">
        <v>3757</v>
      </c>
      <c r="E348" s="482" t="s">
        <v>3099</v>
      </c>
      <c r="F348" s="485" t="str">
        <f t="shared" si="1"/>
        <v>Refi Dwi Zulianto</v>
      </c>
    </row>
    <row r="349">
      <c r="A349" s="482">
        <v>30.0</v>
      </c>
      <c r="B349" s="482" t="s">
        <v>3961</v>
      </c>
      <c r="C349" s="486" t="s">
        <v>3962</v>
      </c>
      <c r="D349" s="484" t="s">
        <v>3963</v>
      </c>
      <c r="E349" s="482" t="s">
        <v>3100</v>
      </c>
      <c r="F349" s="485" t="str">
        <f t="shared" si="1"/>
        <v>Reisya Aulia Rizky</v>
      </c>
    </row>
    <row r="350">
      <c r="A350" s="482">
        <v>28.0</v>
      </c>
      <c r="B350" s="482">
        <v>2.32410345E8</v>
      </c>
      <c r="C350" s="483" t="s">
        <v>3246</v>
      </c>
      <c r="D350" s="484" t="s">
        <v>3247</v>
      </c>
      <c r="E350" s="482" t="s">
        <v>3100</v>
      </c>
      <c r="F350" s="485" t="str">
        <f t="shared" si="1"/>
        <v>Reskya Putri Mutia</v>
      </c>
    </row>
    <row r="351">
      <c r="A351" s="482">
        <v>28.0</v>
      </c>
      <c r="B351" s="482">
        <v>2.32410346E8</v>
      </c>
      <c r="C351" s="483" t="s">
        <v>3319</v>
      </c>
      <c r="D351" s="484" t="s">
        <v>3320</v>
      </c>
      <c r="E351" s="482" t="s">
        <v>3099</v>
      </c>
      <c r="F351" s="485" t="str">
        <f t="shared" si="1"/>
        <v>Restu Hidayat</v>
      </c>
    </row>
    <row r="352">
      <c r="A352" s="482">
        <v>30.0</v>
      </c>
      <c r="B352" s="482" t="s">
        <v>5539</v>
      </c>
      <c r="C352" s="483" t="s">
        <v>5540</v>
      </c>
      <c r="D352" s="484" t="s">
        <v>5541</v>
      </c>
      <c r="E352" s="482" t="s">
        <v>3099</v>
      </c>
      <c r="F352" s="485" t="str">
        <f t="shared" si="1"/>
        <v>Reza Nurfalah</v>
      </c>
    </row>
    <row r="353">
      <c r="A353" s="482">
        <v>28.0</v>
      </c>
      <c r="B353" s="482" t="s">
        <v>3846</v>
      </c>
      <c r="C353" s="482" t="s">
        <v>3847</v>
      </c>
      <c r="D353" s="484" t="s">
        <v>3848</v>
      </c>
      <c r="E353" s="482" t="s">
        <v>3099</v>
      </c>
      <c r="F353" s="485" t="str">
        <f t="shared" si="1"/>
        <v>Rezki Banyu Millie</v>
      </c>
    </row>
    <row r="354">
      <c r="A354" s="482">
        <v>32.0</v>
      </c>
      <c r="B354" s="482" t="s">
        <v>3642</v>
      </c>
      <c r="C354" s="482" t="s">
        <v>3643</v>
      </c>
      <c r="D354" s="508" t="s">
        <v>3644</v>
      </c>
      <c r="E354" s="482" t="s">
        <v>3099</v>
      </c>
      <c r="F354" s="485" t="str">
        <f t="shared" si="1"/>
        <v>Rheynody Ezekielano Loekman</v>
      </c>
    </row>
    <row r="355">
      <c r="A355" s="482">
        <v>31.0</v>
      </c>
      <c r="B355" s="482" t="s">
        <v>3964</v>
      </c>
      <c r="C355" s="482" t="s">
        <v>3965</v>
      </c>
      <c r="D355" s="484" t="s">
        <v>3966</v>
      </c>
      <c r="E355" s="482" t="s">
        <v>3100</v>
      </c>
      <c r="F355" s="485" t="str">
        <f t="shared" si="1"/>
        <v>Ria Handayani</v>
      </c>
    </row>
    <row r="356">
      <c r="A356" s="482">
        <v>31.0</v>
      </c>
      <c r="B356" s="482" t="s">
        <v>4284</v>
      </c>
      <c r="C356" s="482" t="s">
        <v>4285</v>
      </c>
      <c r="D356" s="484" t="s">
        <v>5542</v>
      </c>
      <c r="E356" s="482" t="s">
        <v>3100</v>
      </c>
      <c r="F356" s="485" t="str">
        <f t="shared" si="1"/>
        <v>Rifelia Alib Putri Kurniawan</v>
      </c>
    </row>
    <row r="357">
      <c r="A357" s="482">
        <v>33.0</v>
      </c>
      <c r="B357" s="482" t="s">
        <v>3534</v>
      </c>
      <c r="C357" s="483" t="s">
        <v>3535</v>
      </c>
      <c r="D357" s="484" t="s">
        <v>3536</v>
      </c>
      <c r="E357" s="482" t="s">
        <v>3099</v>
      </c>
      <c r="F357" s="485" t="str">
        <f t="shared" si="1"/>
        <v>Rifqi Sayudha</v>
      </c>
    </row>
    <row r="358">
      <c r="A358" s="482">
        <v>33.0</v>
      </c>
      <c r="B358" s="482" t="s">
        <v>3645</v>
      </c>
      <c r="C358" s="482" t="s">
        <v>3646</v>
      </c>
      <c r="D358" s="508" t="s">
        <v>3647</v>
      </c>
      <c r="E358" s="482" t="s">
        <v>3100</v>
      </c>
      <c r="F358" s="485" t="str">
        <f t="shared" si="1"/>
        <v>Rimaira Sanaurairba Margono</v>
      </c>
    </row>
    <row r="359">
      <c r="A359" s="482">
        <v>29.0</v>
      </c>
      <c r="B359" s="482">
        <v>2.32410353E8</v>
      </c>
      <c r="C359" s="483" t="s">
        <v>3248</v>
      </c>
      <c r="D359" s="484" t="s">
        <v>3249</v>
      </c>
      <c r="E359" s="482" t="s">
        <v>3100</v>
      </c>
      <c r="F359" s="485" t="str">
        <f t="shared" si="1"/>
        <v>Riska Yulianti</v>
      </c>
    </row>
    <row r="360">
      <c r="A360" s="482">
        <v>26.0</v>
      </c>
      <c r="B360" s="482" t="s">
        <v>4162</v>
      </c>
      <c r="C360" s="483" t="s">
        <v>4163</v>
      </c>
      <c r="D360" s="484" t="s">
        <v>4164</v>
      </c>
      <c r="E360" s="482" t="s">
        <v>3099</v>
      </c>
      <c r="F360" s="485" t="str">
        <f t="shared" si="1"/>
        <v>Rivaldi Faathir</v>
      </c>
    </row>
    <row r="361">
      <c r="A361" s="482">
        <v>32.0</v>
      </c>
      <c r="B361" s="482" t="s">
        <v>4287</v>
      </c>
      <c r="C361" s="482" t="s">
        <v>4288</v>
      </c>
      <c r="D361" s="484" t="s">
        <v>5543</v>
      </c>
      <c r="E361" s="482" t="s">
        <v>3100</v>
      </c>
      <c r="F361" s="485" t="str">
        <f t="shared" si="1"/>
        <v>Rizky Nurina Azzahra</v>
      </c>
    </row>
    <row r="362">
      <c r="A362" s="482">
        <v>29.0</v>
      </c>
      <c r="B362" s="482">
        <v>2.32410356E8</v>
      </c>
      <c r="C362" s="483" t="s">
        <v>3321</v>
      </c>
      <c r="D362" s="484" t="s">
        <v>3322</v>
      </c>
      <c r="E362" s="482" t="s">
        <v>3099</v>
      </c>
      <c r="F362" s="485" t="str">
        <f t="shared" si="1"/>
        <v>Royyan Pradita</v>
      </c>
    </row>
    <row r="363">
      <c r="A363" s="482">
        <v>27.0</v>
      </c>
      <c r="B363" s="482">
        <v>2.32410357E8</v>
      </c>
      <c r="C363" s="482" t="s">
        <v>3167</v>
      </c>
      <c r="D363" s="484" t="s">
        <v>3168</v>
      </c>
      <c r="E363" s="482" t="s">
        <v>3100</v>
      </c>
      <c r="F363" s="485" t="str">
        <f t="shared" si="1"/>
        <v>Rula Salsabilah Lubis</v>
      </c>
    </row>
    <row r="364">
      <c r="A364" s="482">
        <v>27.0</v>
      </c>
      <c r="B364" s="482" t="s">
        <v>4165</v>
      </c>
      <c r="C364" s="482" t="s">
        <v>4166</v>
      </c>
      <c r="D364" s="484" t="s">
        <v>4167</v>
      </c>
      <c r="E364" s="482" t="s">
        <v>3100</v>
      </c>
      <c r="F364" s="485" t="str">
        <f t="shared" si="1"/>
        <v>Safira Khairunnisa</v>
      </c>
    </row>
    <row r="365">
      <c r="A365" s="482">
        <v>30.0</v>
      </c>
      <c r="B365" s="482">
        <v>2.32410359E8</v>
      </c>
      <c r="C365" s="482" t="s">
        <v>3323</v>
      </c>
      <c r="D365" s="484" t="s">
        <v>3324</v>
      </c>
      <c r="E365" s="482" t="s">
        <v>3100</v>
      </c>
      <c r="F365" s="485" t="str">
        <f t="shared" si="1"/>
        <v>Safitri Ali Sukarno</v>
      </c>
    </row>
    <row r="366">
      <c r="A366" s="482">
        <v>29.0</v>
      </c>
      <c r="B366" s="482" t="s">
        <v>3849</v>
      </c>
      <c r="C366" s="483" t="s">
        <v>3850</v>
      </c>
      <c r="D366" s="484" t="s">
        <v>3851</v>
      </c>
      <c r="E366" s="482" t="s">
        <v>3100</v>
      </c>
      <c r="F366" s="485" t="str">
        <f t="shared" si="1"/>
        <v>Salika Nadina</v>
      </c>
    </row>
    <row r="367">
      <c r="A367" s="482">
        <v>30.0</v>
      </c>
      <c r="B367" s="482">
        <v>2.32410361E8</v>
      </c>
      <c r="C367" s="482" t="s">
        <v>3250</v>
      </c>
      <c r="D367" s="484" t="s">
        <v>3251</v>
      </c>
      <c r="E367" s="482" t="s">
        <v>3100</v>
      </c>
      <c r="F367" s="485" t="str">
        <f t="shared" si="1"/>
        <v>Salma Anjani Marissa</v>
      </c>
    </row>
    <row r="368">
      <c r="A368" s="482">
        <v>28.0</v>
      </c>
      <c r="B368" s="482">
        <v>2.32410362E8</v>
      </c>
      <c r="C368" s="482" t="s">
        <v>3169</v>
      </c>
      <c r="D368" s="484" t="s">
        <v>3170</v>
      </c>
      <c r="E368" s="482" t="s">
        <v>3100</v>
      </c>
      <c r="F368" s="485" t="str">
        <f t="shared" si="1"/>
        <v>Salma Latiefah Noer</v>
      </c>
    </row>
    <row r="369">
      <c r="A369" s="482">
        <v>28.0</v>
      </c>
      <c r="B369" s="482">
        <v>2.32410363E8</v>
      </c>
      <c r="C369" s="483" t="s">
        <v>4168</v>
      </c>
      <c r="D369" s="484" t="s">
        <v>4169</v>
      </c>
      <c r="E369" s="482" t="s">
        <v>3100</v>
      </c>
      <c r="F369" s="485" t="str">
        <f t="shared" si="1"/>
        <v>Salma Nur Kamila</v>
      </c>
    </row>
    <row r="370">
      <c r="A370" s="482">
        <v>34.0</v>
      </c>
      <c r="B370" s="482" t="s">
        <v>3758</v>
      </c>
      <c r="C370" s="482" t="s">
        <v>3759</v>
      </c>
      <c r="D370" s="484" t="s">
        <v>3760</v>
      </c>
      <c r="E370" s="482" t="s">
        <v>3100</v>
      </c>
      <c r="F370" s="485" t="str">
        <f t="shared" si="1"/>
        <v>Salsabila Azima Mahmuddin</v>
      </c>
    </row>
    <row r="371">
      <c r="A371" s="482">
        <v>31.0</v>
      </c>
      <c r="B371" s="482" t="s">
        <v>3421</v>
      </c>
      <c r="C371" s="482" t="s">
        <v>3422</v>
      </c>
      <c r="D371" s="484" t="s">
        <v>3423</v>
      </c>
      <c r="E371" s="482" t="s">
        <v>3100</v>
      </c>
      <c r="F371" s="485" t="str">
        <f t="shared" si="1"/>
        <v>Salsabila Firli</v>
      </c>
    </row>
    <row r="372">
      <c r="A372" s="482">
        <v>30.0</v>
      </c>
      <c r="B372" s="482" t="s">
        <v>3852</v>
      </c>
      <c r="C372" s="483" t="s">
        <v>3853</v>
      </c>
      <c r="D372" s="484" t="s">
        <v>3854</v>
      </c>
      <c r="E372" s="482" t="s">
        <v>3100</v>
      </c>
      <c r="F372" s="485" t="str">
        <f t="shared" si="1"/>
        <v>Salsabila Nasution</v>
      </c>
    </row>
    <row r="373">
      <c r="A373" s="482">
        <v>29.0</v>
      </c>
      <c r="B373" s="482" t="s">
        <v>4170</v>
      </c>
      <c r="C373" s="482" t="s">
        <v>4171</v>
      </c>
      <c r="D373" s="484" t="s">
        <v>4172</v>
      </c>
      <c r="E373" s="482" t="s">
        <v>3100</v>
      </c>
      <c r="F373" s="485" t="str">
        <f t="shared" si="1"/>
        <v>Sania Juliana Ensan</v>
      </c>
    </row>
    <row r="374">
      <c r="A374" s="482">
        <v>33.0</v>
      </c>
      <c r="B374" s="482" t="s">
        <v>4290</v>
      </c>
      <c r="C374" s="482" t="s">
        <v>4291</v>
      </c>
      <c r="D374" s="484" t="s">
        <v>5544</v>
      </c>
      <c r="E374" s="482" t="s">
        <v>3100</v>
      </c>
      <c r="F374" s="485" t="str">
        <f t="shared" si="1"/>
        <v>Sasikirana Abhinaya Suhara</v>
      </c>
    </row>
    <row r="375">
      <c r="A375" s="482">
        <v>30.0</v>
      </c>
      <c r="B375" s="482" t="s">
        <v>4173</v>
      </c>
      <c r="C375" s="482" t="s">
        <v>4174</v>
      </c>
      <c r="D375" s="484" t="s">
        <v>4175</v>
      </c>
      <c r="E375" s="482" t="s">
        <v>3099</v>
      </c>
      <c r="F375" s="485" t="str">
        <f t="shared" si="1"/>
        <v>Satrya Ranggabarani</v>
      </c>
    </row>
    <row r="376">
      <c r="A376" s="482">
        <v>31.0</v>
      </c>
      <c r="B376" s="482" t="s">
        <v>4176</v>
      </c>
      <c r="C376" s="482" t="s">
        <v>4177</v>
      </c>
      <c r="D376" s="484" t="s">
        <v>4178</v>
      </c>
      <c r="E376" s="482" t="s">
        <v>3100</v>
      </c>
      <c r="F376" s="485" t="str">
        <f t="shared" si="1"/>
        <v>Sekar Kanaya Azzahra</v>
      </c>
    </row>
    <row r="377">
      <c r="A377" s="482">
        <v>31.0</v>
      </c>
      <c r="B377" s="482">
        <v>2.32410372E8</v>
      </c>
      <c r="C377" s="483" t="s">
        <v>3325</v>
      </c>
      <c r="D377" s="484" t="s">
        <v>3326</v>
      </c>
      <c r="E377" s="482" t="s">
        <v>3100</v>
      </c>
      <c r="F377" s="485" t="str">
        <f t="shared" si="1"/>
        <v>Seviolla Luna G.P.</v>
      </c>
    </row>
    <row r="378">
      <c r="A378" s="482">
        <v>32.0</v>
      </c>
      <c r="B378" s="482">
        <v>2.42511437E8</v>
      </c>
      <c r="C378" s="483" t="s">
        <v>3967</v>
      </c>
      <c r="D378" s="536" t="s">
        <v>3968</v>
      </c>
      <c r="E378" s="537" t="s">
        <v>3100</v>
      </c>
      <c r="F378" s="485" t="str">
        <f t="shared" si="1"/>
        <v>Shakilanovva Al Kanz Savvana</v>
      </c>
    </row>
    <row r="379">
      <c r="A379" s="482">
        <v>34.0</v>
      </c>
      <c r="B379" s="482" t="s">
        <v>4293</v>
      </c>
      <c r="C379" s="482" t="s">
        <v>4294</v>
      </c>
      <c r="D379" s="484" t="s">
        <v>5545</v>
      </c>
      <c r="E379" s="482" t="s">
        <v>3099</v>
      </c>
      <c r="F379" s="485" t="str">
        <f t="shared" si="1"/>
        <v>Shaquil Fattah Alchair</v>
      </c>
    </row>
    <row r="380">
      <c r="A380" s="482">
        <v>35.0</v>
      </c>
      <c r="B380" s="482" t="s">
        <v>3761</v>
      </c>
      <c r="C380" s="483" t="s">
        <v>3762</v>
      </c>
      <c r="D380" s="484" t="s">
        <v>3763</v>
      </c>
      <c r="E380" s="482" t="s">
        <v>3100</v>
      </c>
      <c r="F380" s="485" t="str">
        <f t="shared" si="1"/>
        <v>Shaskia Roviqoh Azizah</v>
      </c>
    </row>
    <row r="381">
      <c r="A381" s="482">
        <v>32.0</v>
      </c>
      <c r="B381" s="482">
        <v>2.32410376E8</v>
      </c>
      <c r="C381" s="482" t="s">
        <v>3327</v>
      </c>
      <c r="D381" s="484" t="s">
        <v>3328</v>
      </c>
      <c r="E381" s="482" t="s">
        <v>3100</v>
      </c>
      <c r="F381" s="485" t="str">
        <f t="shared" si="1"/>
        <v>Shazia Melika</v>
      </c>
    </row>
    <row r="382">
      <c r="A382" s="482">
        <v>31.0</v>
      </c>
      <c r="B382" s="482" t="s">
        <v>3855</v>
      </c>
      <c r="C382" s="483" t="s">
        <v>3856</v>
      </c>
      <c r="D382" s="484" t="s">
        <v>3857</v>
      </c>
      <c r="E382" s="482" t="s">
        <v>3100</v>
      </c>
      <c r="F382" s="485" t="str">
        <f t="shared" si="1"/>
        <v>Sheila Namira Zhein</v>
      </c>
    </row>
    <row r="383">
      <c r="A383" s="486">
        <v>29.0</v>
      </c>
      <c r="B383" s="486">
        <v>2.32410378E8</v>
      </c>
      <c r="C383" s="486" t="s">
        <v>3171</v>
      </c>
      <c r="D383" s="487" t="s">
        <v>3172</v>
      </c>
      <c r="E383" s="486" t="s">
        <v>3100</v>
      </c>
      <c r="F383" s="485" t="str">
        <f t="shared" si="1"/>
        <v>Shendy Azizah Isnenly</v>
      </c>
    </row>
    <row r="384">
      <c r="A384" s="486">
        <v>30.0</v>
      </c>
      <c r="B384" s="486">
        <v>2.32410379E8</v>
      </c>
      <c r="C384" s="486" t="s">
        <v>3173</v>
      </c>
      <c r="D384" s="487" t="s">
        <v>3174</v>
      </c>
      <c r="E384" s="486" t="s">
        <v>3100</v>
      </c>
      <c r="F384" s="485" t="str">
        <f t="shared" si="1"/>
        <v>Shyabilla Nishrina S.M</v>
      </c>
    </row>
    <row r="385">
      <c r="A385" s="486">
        <v>32.0</v>
      </c>
      <c r="B385" s="512" t="s">
        <v>4072</v>
      </c>
      <c r="C385" s="512" t="s">
        <v>4073</v>
      </c>
      <c r="D385" s="514" t="s">
        <v>4074</v>
      </c>
      <c r="E385" s="512" t="s">
        <v>3100</v>
      </c>
      <c r="F385" s="485" t="str">
        <f t="shared" si="1"/>
        <v>Siti Keyshia Azzahra</v>
      </c>
    </row>
    <row r="386">
      <c r="A386" s="486">
        <v>33.0</v>
      </c>
      <c r="B386" s="486" t="s">
        <v>4075</v>
      </c>
      <c r="C386" s="486" t="s">
        <v>4076</v>
      </c>
      <c r="D386" s="487" t="s">
        <v>4077</v>
      </c>
      <c r="E386" s="486" t="s">
        <v>3100</v>
      </c>
      <c r="F386" s="485" t="str">
        <f t="shared" si="1"/>
        <v>Siti Latesa</v>
      </c>
    </row>
    <row r="387">
      <c r="A387" s="489">
        <v>31.0</v>
      </c>
      <c r="B387" s="489">
        <v>2.32410382E8</v>
      </c>
      <c r="C387" s="489" t="s">
        <v>3175</v>
      </c>
      <c r="D387" s="491" t="s">
        <v>3176</v>
      </c>
      <c r="E387" s="489" t="s">
        <v>3100</v>
      </c>
      <c r="F387" s="485" t="str">
        <f t="shared" si="1"/>
        <v>Siti Zaskiyah</v>
      </c>
    </row>
    <row r="388">
      <c r="A388" s="492">
        <v>32.0</v>
      </c>
      <c r="B388" s="493" t="s">
        <v>4179</v>
      </c>
      <c r="C388" s="493" t="s">
        <v>4180</v>
      </c>
      <c r="D388" s="495" t="s">
        <v>4181</v>
      </c>
      <c r="E388" s="493" t="s">
        <v>3099</v>
      </c>
      <c r="F388" s="485" t="str">
        <f t="shared" si="1"/>
        <v>Stephen Hady Gunawan</v>
      </c>
    </row>
    <row r="389">
      <c r="A389" s="496">
        <v>32.0</v>
      </c>
      <c r="B389" s="497">
        <v>2.32410384E8</v>
      </c>
      <c r="C389" s="515" t="s">
        <v>3177</v>
      </c>
      <c r="D389" s="498" t="s">
        <v>3178</v>
      </c>
      <c r="E389" s="497" t="s">
        <v>3100</v>
      </c>
      <c r="F389" s="485" t="str">
        <f t="shared" si="1"/>
        <v>Suci Kamila</v>
      </c>
    </row>
    <row r="390">
      <c r="A390" s="496">
        <v>33.0</v>
      </c>
      <c r="B390" s="497" t="s">
        <v>3969</v>
      </c>
      <c r="C390" s="497">
        <v>3.073656051E9</v>
      </c>
      <c r="D390" s="498" t="s">
        <v>3970</v>
      </c>
      <c r="E390" s="497" t="s">
        <v>3099</v>
      </c>
      <c r="F390" s="485" t="str">
        <f t="shared" si="1"/>
        <v>Syafiq Aunur Rafi</v>
      </c>
    </row>
    <row r="391">
      <c r="A391" s="499">
        <v>32.0</v>
      </c>
      <c r="B391" s="499" t="s">
        <v>3424</v>
      </c>
      <c r="C391" s="499" t="s">
        <v>3425</v>
      </c>
      <c r="D391" s="500" t="s">
        <v>3426</v>
      </c>
      <c r="E391" s="499" t="s">
        <v>3100</v>
      </c>
      <c r="F391" s="485" t="str">
        <f t="shared" si="1"/>
        <v>Syafira Akhila Nazifa</v>
      </c>
    </row>
    <row r="392">
      <c r="A392" s="501">
        <v>33.0</v>
      </c>
      <c r="B392" s="501">
        <v>2.32410386E8</v>
      </c>
      <c r="C392" s="526" t="s">
        <v>3179</v>
      </c>
      <c r="D392" s="516" t="s">
        <v>3180</v>
      </c>
      <c r="E392" s="501" t="s">
        <v>3099</v>
      </c>
      <c r="F392" s="485" t="str">
        <f t="shared" si="1"/>
        <v>Syahrul Firdani Suganda</v>
      </c>
    </row>
    <row r="393">
      <c r="A393" s="503">
        <v>33.0</v>
      </c>
      <c r="B393" s="503" t="s">
        <v>4182</v>
      </c>
      <c r="C393" s="503" t="s">
        <v>4183</v>
      </c>
      <c r="D393" s="518" t="s">
        <v>4184</v>
      </c>
      <c r="E393" s="503" t="s">
        <v>3100</v>
      </c>
      <c r="F393" s="485" t="str">
        <f t="shared" si="1"/>
        <v>Syakira Amalia Zulfa</v>
      </c>
    </row>
    <row r="394">
      <c r="A394" s="506">
        <v>31.0</v>
      </c>
      <c r="B394" s="506">
        <v>2.32410388E8</v>
      </c>
      <c r="C394" s="538" t="s">
        <v>3252</v>
      </c>
      <c r="D394" s="507" t="s">
        <v>3253</v>
      </c>
      <c r="E394" s="506" t="s">
        <v>3100</v>
      </c>
      <c r="F394" s="485" t="str">
        <f t="shared" si="1"/>
        <v>Syarifah Noor Maulida</v>
      </c>
    </row>
    <row r="395">
      <c r="A395" s="482">
        <v>34.0</v>
      </c>
      <c r="B395" s="482" t="s">
        <v>4185</v>
      </c>
      <c r="C395" s="482" t="s">
        <v>4186</v>
      </c>
      <c r="D395" s="484" t="s">
        <v>4187</v>
      </c>
      <c r="E395" s="482" t="s">
        <v>3100</v>
      </c>
      <c r="F395" s="485" t="str">
        <f t="shared" si="1"/>
        <v>Syeiran Arestia Puteri</v>
      </c>
    </row>
    <row r="396">
      <c r="A396" s="482">
        <v>32.0</v>
      </c>
      <c r="B396" s="482" t="s">
        <v>3858</v>
      </c>
      <c r="C396" s="483" t="s">
        <v>3859</v>
      </c>
      <c r="D396" s="484" t="s">
        <v>3860</v>
      </c>
      <c r="E396" s="482" t="s">
        <v>3100</v>
      </c>
      <c r="F396" s="485" t="str">
        <f t="shared" si="1"/>
        <v>Syifa Aulia Gumelar</v>
      </c>
    </row>
    <row r="397">
      <c r="A397" s="482">
        <v>33.0</v>
      </c>
      <c r="B397" s="482" t="s">
        <v>3427</v>
      </c>
      <c r="C397" s="482" t="s">
        <v>3428</v>
      </c>
      <c r="D397" s="484" t="s">
        <v>3429</v>
      </c>
      <c r="E397" s="482" t="s">
        <v>3100</v>
      </c>
      <c r="F397" s="485" t="str">
        <f t="shared" si="1"/>
        <v>Syifa Az Zahra</v>
      </c>
    </row>
    <row r="398">
      <c r="A398" s="482">
        <v>33.0</v>
      </c>
      <c r="B398" s="482" t="s">
        <v>3861</v>
      </c>
      <c r="C398" s="483" t="s">
        <v>3862</v>
      </c>
      <c r="D398" s="484" t="s">
        <v>3863</v>
      </c>
      <c r="E398" s="482" t="s">
        <v>3100</v>
      </c>
      <c r="F398" s="485" t="str">
        <f t="shared" si="1"/>
        <v>Syifa Handayani</v>
      </c>
    </row>
    <row r="399">
      <c r="A399" s="482">
        <v>35.0</v>
      </c>
      <c r="B399" s="482" t="s">
        <v>4188</v>
      </c>
      <c r="C399" s="482" t="s">
        <v>4189</v>
      </c>
      <c r="D399" s="484" t="s">
        <v>4190</v>
      </c>
      <c r="E399" s="482" t="s">
        <v>3100</v>
      </c>
      <c r="F399" s="485" t="str">
        <f t="shared" si="1"/>
        <v>Syifa Sakhia Safira</v>
      </c>
    </row>
    <row r="400">
      <c r="A400" s="482">
        <v>32.0</v>
      </c>
      <c r="B400" s="482">
        <v>2.32410394E8</v>
      </c>
      <c r="C400" s="483" t="s">
        <v>3254</v>
      </c>
      <c r="D400" s="484" t="s">
        <v>3255</v>
      </c>
      <c r="E400" s="482" t="s">
        <v>3100</v>
      </c>
      <c r="F400" s="485" t="str">
        <f t="shared" si="1"/>
        <v>Talita Adisti Paramitha</v>
      </c>
    </row>
    <row r="401">
      <c r="A401" s="482">
        <v>34.0</v>
      </c>
      <c r="B401" s="482">
        <v>2.32410395E8</v>
      </c>
      <c r="C401" s="482" t="s">
        <v>3181</v>
      </c>
      <c r="D401" s="484" t="s">
        <v>3182</v>
      </c>
      <c r="E401" s="482" t="s">
        <v>3100</v>
      </c>
      <c r="F401" s="485" t="str">
        <f t="shared" si="1"/>
        <v>Tamarin Daritri Nayla</v>
      </c>
    </row>
    <row r="402">
      <c r="A402" s="482">
        <v>35.0</v>
      </c>
      <c r="B402" s="482" t="s">
        <v>4296</v>
      </c>
      <c r="C402" s="482" t="s">
        <v>4297</v>
      </c>
      <c r="D402" s="484" t="s">
        <v>5546</v>
      </c>
      <c r="E402" s="482" t="s">
        <v>3099</v>
      </c>
      <c r="F402" s="485" t="str">
        <f t="shared" si="1"/>
        <v>Tegar Wibowo</v>
      </c>
    </row>
    <row r="403">
      <c r="A403" s="482">
        <v>34.0</v>
      </c>
      <c r="B403" s="482" t="s">
        <v>4078</v>
      </c>
      <c r="C403" s="482" t="s">
        <v>4079</v>
      </c>
      <c r="D403" s="508" t="s">
        <v>4080</v>
      </c>
      <c r="E403" s="482" t="s">
        <v>3099</v>
      </c>
      <c r="F403" s="485" t="str">
        <f t="shared" si="1"/>
        <v>Teungku Muhammad Al-Fachri Syah Jeumpa</v>
      </c>
    </row>
    <row r="404">
      <c r="A404" s="482">
        <v>35.0</v>
      </c>
      <c r="B404" s="482">
        <v>2.32410398E8</v>
      </c>
      <c r="C404" s="482" t="s">
        <v>3183</v>
      </c>
      <c r="D404" s="484" t="s">
        <v>3184</v>
      </c>
      <c r="E404" s="482" t="s">
        <v>3099</v>
      </c>
      <c r="F404" s="485" t="str">
        <f t="shared" si="1"/>
        <v>Theo Risqi Marley</v>
      </c>
    </row>
    <row r="405">
      <c r="A405" s="482">
        <v>33.0</v>
      </c>
      <c r="B405" s="482">
        <v>2.02107907E8</v>
      </c>
      <c r="C405" s="483" t="s">
        <v>3256</v>
      </c>
      <c r="D405" s="484" t="s">
        <v>3257</v>
      </c>
      <c r="E405" s="482" t="s">
        <v>3100</v>
      </c>
      <c r="F405" s="485" t="str">
        <f t="shared" si="1"/>
        <v>Tiara Azizah Wibowo</v>
      </c>
    </row>
    <row r="406">
      <c r="A406" s="482">
        <v>35.0</v>
      </c>
      <c r="B406" s="482" t="s">
        <v>4081</v>
      </c>
      <c r="C406" s="482" t="s">
        <v>4082</v>
      </c>
      <c r="D406" s="508" t="s">
        <v>4083</v>
      </c>
      <c r="E406" s="482" t="s">
        <v>3100</v>
      </c>
      <c r="F406" s="485" t="str">
        <f t="shared" si="1"/>
        <v>Ully Artha Ramadhani Simanjuntak</v>
      </c>
    </row>
    <row r="407">
      <c r="A407" s="482">
        <v>33.0</v>
      </c>
      <c r="B407" s="482">
        <v>2.32410401E8</v>
      </c>
      <c r="C407" s="482" t="s">
        <v>3329</v>
      </c>
      <c r="D407" s="484" t="s">
        <v>3330</v>
      </c>
      <c r="E407" s="482" t="s">
        <v>3099</v>
      </c>
      <c r="F407" s="485" t="str">
        <f t="shared" si="1"/>
        <v>Valen Fananda Nay</v>
      </c>
    </row>
    <row r="408">
      <c r="A408" s="482">
        <v>34.0</v>
      </c>
      <c r="B408" s="482" t="s">
        <v>3331</v>
      </c>
      <c r="C408" s="483" t="s">
        <v>3332</v>
      </c>
      <c r="D408" s="484" t="s">
        <v>3333</v>
      </c>
      <c r="E408" s="482" t="s">
        <v>3100</v>
      </c>
      <c r="F408" s="485" t="str">
        <f t="shared" si="1"/>
        <v>Varissa Almahaira Azrakayla</v>
      </c>
    </row>
    <row r="409">
      <c r="A409" s="482">
        <v>34.0</v>
      </c>
      <c r="B409" s="482" t="s">
        <v>3537</v>
      </c>
      <c r="C409" s="483" t="s">
        <v>3538</v>
      </c>
      <c r="D409" s="484" t="s">
        <v>3539</v>
      </c>
      <c r="E409" s="482" t="s">
        <v>3100</v>
      </c>
      <c r="F409" s="485" t="str">
        <f t="shared" si="1"/>
        <v>Venezia Gilda Sihombing</v>
      </c>
    </row>
    <row r="410">
      <c r="A410" s="482">
        <v>34.0</v>
      </c>
      <c r="B410" s="482" t="s">
        <v>3971</v>
      </c>
      <c r="C410" s="482" t="s">
        <v>3972</v>
      </c>
      <c r="D410" s="484" t="s">
        <v>3973</v>
      </c>
      <c r="E410" s="482" t="s">
        <v>3100</v>
      </c>
      <c r="F410" s="485" t="str">
        <f t="shared" si="1"/>
        <v>Vera Indriani Sitorus</v>
      </c>
    </row>
    <row r="411">
      <c r="A411" s="482">
        <v>36.0</v>
      </c>
      <c r="B411" s="482" t="s">
        <v>3185</v>
      </c>
      <c r="C411" s="482" t="s">
        <v>3186</v>
      </c>
      <c r="D411" s="484" t="s">
        <v>3187</v>
      </c>
      <c r="E411" s="482" t="s">
        <v>3099</v>
      </c>
      <c r="F411" s="485" t="str">
        <f t="shared" si="1"/>
        <v>Veril Satria Mulya</v>
      </c>
    </row>
    <row r="412">
      <c r="A412" s="482">
        <v>36.0</v>
      </c>
      <c r="B412" s="482" t="s">
        <v>4084</v>
      </c>
      <c r="C412" s="482" t="s">
        <v>4085</v>
      </c>
      <c r="D412" s="484" t="s">
        <v>4086</v>
      </c>
      <c r="E412" s="482" t="s">
        <v>3100</v>
      </c>
      <c r="F412" s="485" t="str">
        <f t="shared" si="1"/>
        <v>Wafaa' Salsabilah Hardin</v>
      </c>
    </row>
    <row r="413">
      <c r="A413" s="482">
        <v>34.0</v>
      </c>
      <c r="B413" s="482" t="s">
        <v>3430</v>
      </c>
      <c r="C413" s="483" t="s">
        <v>3431</v>
      </c>
      <c r="D413" s="484" t="s">
        <v>3432</v>
      </c>
      <c r="E413" s="482" t="s">
        <v>3100</v>
      </c>
      <c r="F413" s="485" t="str">
        <f t="shared" si="1"/>
        <v>Wendyea Aktaviona</v>
      </c>
    </row>
    <row r="414">
      <c r="A414" s="482">
        <v>34.0</v>
      </c>
      <c r="B414" s="482">
        <v>2.32410408E8</v>
      </c>
      <c r="C414" s="483" t="s">
        <v>3864</v>
      </c>
      <c r="D414" s="484" t="s">
        <v>3865</v>
      </c>
      <c r="E414" s="482" t="s">
        <v>3099</v>
      </c>
      <c r="F414" s="485" t="str">
        <f t="shared" si="1"/>
        <v>Wiandra Adya Pradana</v>
      </c>
    </row>
    <row r="415">
      <c r="A415" s="482">
        <v>34.0</v>
      </c>
      <c r="B415" s="482" t="s">
        <v>3648</v>
      </c>
      <c r="C415" s="482" t="s">
        <v>3649</v>
      </c>
      <c r="D415" s="484" t="s">
        <v>3650</v>
      </c>
      <c r="E415" s="482" t="s">
        <v>3100</v>
      </c>
      <c r="F415" s="485" t="str">
        <f t="shared" si="1"/>
        <v>Widia Putri</v>
      </c>
    </row>
    <row r="416">
      <c r="A416" s="482">
        <v>36.0</v>
      </c>
      <c r="B416" s="482" t="s">
        <v>4191</v>
      </c>
      <c r="C416" s="482" t="s">
        <v>4192</v>
      </c>
      <c r="D416" s="484" t="s">
        <v>4193</v>
      </c>
      <c r="E416" s="482" t="s">
        <v>3099</v>
      </c>
      <c r="F416" s="485" t="str">
        <f t="shared" si="1"/>
        <v>Wisnu Febriansyah</v>
      </c>
    </row>
    <row r="417">
      <c r="A417" s="482">
        <v>35.0</v>
      </c>
      <c r="B417" s="482" t="s">
        <v>3974</v>
      </c>
      <c r="C417" s="483" t="s">
        <v>3975</v>
      </c>
      <c r="D417" s="484" t="s">
        <v>3976</v>
      </c>
      <c r="E417" s="482" t="s">
        <v>3099</v>
      </c>
      <c r="F417" s="485" t="str">
        <f t="shared" si="1"/>
        <v>Yoas Dheo Sandivo</v>
      </c>
    </row>
    <row r="418">
      <c r="A418" s="482">
        <v>36.0</v>
      </c>
      <c r="B418" s="482">
        <v>2.32410412E8</v>
      </c>
      <c r="C418" s="483" t="s">
        <v>3764</v>
      </c>
      <c r="D418" s="484" t="s">
        <v>3765</v>
      </c>
      <c r="E418" s="482" t="s">
        <v>3099</v>
      </c>
      <c r="F418" s="485" t="str">
        <f t="shared" si="1"/>
        <v>Yonathan Zirmi Putradi</v>
      </c>
    </row>
    <row r="419">
      <c r="A419" s="482">
        <v>35.0</v>
      </c>
      <c r="B419" s="482" t="s">
        <v>3334</v>
      </c>
      <c r="C419" s="483" t="s">
        <v>3335</v>
      </c>
      <c r="D419" s="484" t="s">
        <v>3336</v>
      </c>
      <c r="E419" s="482" t="s">
        <v>3100</v>
      </c>
      <c r="F419" s="485" t="str">
        <f t="shared" si="1"/>
        <v>Yuriska Alyandra Hutomo</v>
      </c>
    </row>
    <row r="420">
      <c r="A420" s="482">
        <v>36.0</v>
      </c>
      <c r="B420" s="482" t="s">
        <v>3337</v>
      </c>
      <c r="C420" s="483" t="s">
        <v>3338</v>
      </c>
      <c r="D420" s="484" t="s">
        <v>3339</v>
      </c>
      <c r="E420" s="482" t="s">
        <v>3100</v>
      </c>
      <c r="F420" s="485" t="str">
        <f t="shared" si="1"/>
        <v>Yussafira</v>
      </c>
    </row>
    <row r="421">
      <c r="A421" s="482">
        <v>36.0</v>
      </c>
      <c r="B421" s="482" t="s">
        <v>4301</v>
      </c>
      <c r="C421" s="482" t="s">
        <v>4302</v>
      </c>
      <c r="D421" s="536" t="s">
        <v>5547</v>
      </c>
      <c r="E421" s="482" t="s">
        <v>3100</v>
      </c>
      <c r="F421" s="485" t="str">
        <f t="shared" si="1"/>
        <v>Zaharani Eriska Damayanti</v>
      </c>
    </row>
    <row r="422">
      <c r="A422" s="482">
        <v>35.0</v>
      </c>
      <c r="B422" s="482" t="s">
        <v>3540</v>
      </c>
      <c r="C422" s="539" t="s">
        <v>3541</v>
      </c>
      <c r="D422" s="484" t="s">
        <v>3542</v>
      </c>
      <c r="E422" s="482" t="s">
        <v>3100</v>
      </c>
      <c r="F422" s="485" t="str">
        <f t="shared" si="1"/>
        <v>Zahira Aqila Rabbani</v>
      </c>
    </row>
    <row r="423">
      <c r="A423" s="482">
        <v>35.0</v>
      </c>
      <c r="B423" s="482" t="s">
        <v>3866</v>
      </c>
      <c r="C423" s="540" t="s">
        <v>3867</v>
      </c>
      <c r="D423" s="484" t="s">
        <v>3868</v>
      </c>
      <c r="E423" s="482" t="s">
        <v>3100</v>
      </c>
      <c r="F423" s="485" t="str">
        <f t="shared" si="1"/>
        <v>Zahra Aulia Putri</v>
      </c>
    </row>
    <row r="424">
      <c r="A424" s="482">
        <v>37.0</v>
      </c>
      <c r="B424" s="482" t="s">
        <v>4304</v>
      </c>
      <c r="C424" s="482" t="s">
        <v>4305</v>
      </c>
      <c r="D424" s="536" t="s">
        <v>5548</v>
      </c>
      <c r="E424" s="482" t="s">
        <v>3100</v>
      </c>
      <c r="F424" s="485" t="str">
        <f t="shared" si="1"/>
        <v>Zahrina Ghassani Isna</v>
      </c>
    </row>
    <row r="425">
      <c r="A425" s="482">
        <v>36.0</v>
      </c>
      <c r="B425" s="509" t="s">
        <v>3654</v>
      </c>
      <c r="C425" s="541" t="s">
        <v>3655</v>
      </c>
      <c r="D425" s="511" t="s">
        <v>3656</v>
      </c>
      <c r="E425" s="509" t="s">
        <v>3099</v>
      </c>
      <c r="F425" s="485" t="str">
        <f t="shared" si="1"/>
        <v>Zaid Muhammad Naashif</v>
      </c>
    </row>
    <row r="426">
      <c r="A426" s="482">
        <v>37.0</v>
      </c>
      <c r="B426" s="482" t="s">
        <v>4194</v>
      </c>
      <c r="C426" s="482" t="s">
        <v>4195</v>
      </c>
      <c r="D426" s="484" t="s">
        <v>4196</v>
      </c>
      <c r="E426" s="482" t="s">
        <v>3100</v>
      </c>
      <c r="F426" s="485" t="str">
        <f t="shared" si="1"/>
        <v>Zaskya Naura Kesumah Putri</v>
      </c>
    </row>
    <row r="427">
      <c r="A427" s="482">
        <v>36.0</v>
      </c>
      <c r="B427" s="482" t="s">
        <v>3869</v>
      </c>
      <c r="C427" s="483" t="s">
        <v>3870</v>
      </c>
      <c r="D427" s="484" t="s">
        <v>3871</v>
      </c>
      <c r="E427" s="482" t="s">
        <v>3100</v>
      </c>
      <c r="F427" s="485" t="str">
        <f t="shared" si="1"/>
        <v>Zaskya Nilam Efasa</v>
      </c>
    </row>
    <row r="428">
      <c r="A428" s="482">
        <v>34.0</v>
      </c>
      <c r="B428" s="482">
        <v>2.32410422E8</v>
      </c>
      <c r="C428" s="483" t="s">
        <v>3258</v>
      </c>
      <c r="D428" s="484" t="s">
        <v>3259</v>
      </c>
      <c r="E428" s="482" t="s">
        <v>3100</v>
      </c>
      <c r="F428" s="485" t="str">
        <f t="shared" si="1"/>
        <v>Zesica Kristi Anggrainy</v>
      </c>
    </row>
    <row r="429">
      <c r="A429" s="482">
        <v>35.0</v>
      </c>
      <c r="B429" s="482">
        <v>2.32410423E8</v>
      </c>
      <c r="C429" s="483" t="s">
        <v>3260</v>
      </c>
      <c r="D429" s="484" t="s">
        <v>3261</v>
      </c>
      <c r="E429" s="482" t="s">
        <v>3100</v>
      </c>
      <c r="F429" s="485" t="str">
        <f t="shared" si="1"/>
        <v>Zherha Maharani Djainun L.</v>
      </c>
    </row>
    <row r="430">
      <c r="A430" s="482">
        <v>35.0</v>
      </c>
      <c r="B430" s="482" t="s">
        <v>3651</v>
      </c>
      <c r="C430" s="482" t="s">
        <v>3652</v>
      </c>
      <c r="D430" s="484" t="s">
        <v>3653</v>
      </c>
      <c r="E430" s="482" t="s">
        <v>3099</v>
      </c>
      <c r="F430" s="485" t="str">
        <f t="shared" si="1"/>
        <v>Ziyandra Khaizuran Altaf</v>
      </c>
    </row>
    <row r="431">
      <c r="A431" s="486">
        <v>35.0</v>
      </c>
      <c r="B431" s="486" t="s">
        <v>3433</v>
      </c>
      <c r="C431" s="488" t="s">
        <v>3434</v>
      </c>
      <c r="D431" s="487" t="s">
        <v>3435</v>
      </c>
      <c r="E431" s="486" t="s">
        <v>3099</v>
      </c>
      <c r="F431" s="485" t="str">
        <f t="shared" si="1"/>
        <v>Zuhairy</v>
      </c>
    </row>
    <row r="432">
      <c r="A432" s="486">
        <v>36.0</v>
      </c>
      <c r="B432" s="488" t="s">
        <v>3543</v>
      </c>
      <c r="C432" s="488" t="s">
        <v>3544</v>
      </c>
      <c r="D432" s="487" t="s">
        <v>3545</v>
      </c>
      <c r="E432" s="486" t="s">
        <v>3099</v>
      </c>
      <c r="F432" s="485" t="str">
        <f t="shared" si="1"/>
        <v>Zyba Jarsia Badelwair</v>
      </c>
    </row>
    <row r="433">
      <c r="A433" s="486">
        <v>36.0</v>
      </c>
      <c r="B433" s="486" t="s">
        <v>3436</v>
      </c>
      <c r="C433" s="488" t="s">
        <v>3437</v>
      </c>
      <c r="D433" s="487" t="s">
        <v>3438</v>
      </c>
      <c r="E433" s="486" t="s">
        <v>3100</v>
      </c>
      <c r="F433" s="485" t="str">
        <f t="shared" si="1"/>
        <v>Zyeira Shaquilla Fatihatu R.</v>
      </c>
    </row>
    <row r="434">
      <c r="A434" s="486"/>
      <c r="B434" s="486"/>
      <c r="C434" s="486"/>
      <c r="D434" s="487"/>
      <c r="E434" s="542">
        <v>31.0</v>
      </c>
      <c r="F434" s="417" t="s">
        <v>2942</v>
      </c>
    </row>
    <row r="435">
      <c r="A435" s="486"/>
      <c r="B435" s="486"/>
      <c r="C435" s="486"/>
      <c r="D435" s="487"/>
      <c r="E435" s="486"/>
      <c r="F435" s="417" t="s">
        <v>2601</v>
      </c>
    </row>
    <row r="436">
      <c r="A436" s="486"/>
      <c r="B436" s="486"/>
      <c r="C436" s="486"/>
      <c r="D436" s="487"/>
      <c r="E436" s="486"/>
      <c r="F436" s="417" t="s">
        <v>2893</v>
      </c>
    </row>
    <row r="437">
      <c r="A437" s="486"/>
      <c r="B437" s="486"/>
      <c r="C437" s="486"/>
      <c r="D437" s="487"/>
      <c r="E437" s="486"/>
      <c r="F437" s="417" t="s">
        <v>2699</v>
      </c>
    </row>
    <row r="438">
      <c r="A438" s="486"/>
      <c r="B438" s="486"/>
      <c r="C438" s="486"/>
      <c r="D438" s="487"/>
      <c r="E438" s="486"/>
      <c r="F438" s="417" t="s">
        <v>2747</v>
      </c>
    </row>
    <row r="439">
      <c r="A439" s="486"/>
      <c r="B439" s="486"/>
      <c r="C439" s="486"/>
      <c r="D439" s="487"/>
      <c r="E439" s="486"/>
      <c r="F439" s="417" t="s">
        <v>2795</v>
      </c>
    </row>
    <row r="440">
      <c r="A440" s="486"/>
      <c r="B440" s="486"/>
      <c r="C440" s="486"/>
      <c r="D440" s="487"/>
      <c r="E440" s="486"/>
      <c r="F440" s="417" t="s">
        <v>2843</v>
      </c>
    </row>
    <row r="441">
      <c r="A441" s="486"/>
      <c r="B441" s="486"/>
      <c r="C441" s="486"/>
      <c r="D441" s="487"/>
      <c r="E441" s="486"/>
      <c r="F441" s="417" t="s">
        <v>2494</v>
      </c>
    </row>
    <row r="442">
      <c r="A442" s="486"/>
      <c r="B442" s="486"/>
      <c r="C442" s="486"/>
      <c r="D442" s="487"/>
      <c r="E442" s="486"/>
      <c r="F442" s="417" t="s">
        <v>2749</v>
      </c>
    </row>
    <row r="443">
      <c r="A443" s="486"/>
      <c r="B443" s="486"/>
      <c r="C443" s="486"/>
      <c r="D443" s="487"/>
      <c r="E443" s="486"/>
      <c r="F443" s="417" t="s">
        <v>2991</v>
      </c>
    </row>
    <row r="444">
      <c r="A444" s="486"/>
      <c r="B444" s="486"/>
      <c r="C444" s="486"/>
      <c r="D444" s="487"/>
      <c r="E444" s="486"/>
      <c r="F444" s="417" t="s">
        <v>2548</v>
      </c>
    </row>
    <row r="445">
      <c r="A445" s="486"/>
      <c r="B445" s="486"/>
      <c r="C445" s="486"/>
      <c r="D445" s="487"/>
      <c r="E445" s="486"/>
      <c r="F445" s="417" t="s">
        <v>2943</v>
      </c>
    </row>
    <row r="446">
      <c r="A446" s="486"/>
      <c r="B446" s="486"/>
      <c r="C446" s="486"/>
      <c r="D446" s="487"/>
      <c r="E446" s="486"/>
      <c r="F446" s="417" t="s">
        <v>2700</v>
      </c>
    </row>
    <row r="447">
      <c r="A447" s="486"/>
      <c r="B447" s="486"/>
      <c r="C447" s="486"/>
      <c r="D447" s="487"/>
      <c r="E447" s="486"/>
      <c r="F447" s="417" t="s">
        <v>2945</v>
      </c>
    </row>
    <row r="448">
      <c r="A448" s="486"/>
      <c r="B448" s="486"/>
      <c r="C448" s="486"/>
      <c r="D448" s="487"/>
      <c r="E448" s="486"/>
      <c r="F448" s="417" t="s">
        <v>3043</v>
      </c>
    </row>
    <row r="449">
      <c r="A449" s="486"/>
      <c r="B449" s="486"/>
      <c r="C449" s="486"/>
      <c r="D449" s="487"/>
      <c r="E449" s="486"/>
      <c r="F449" s="417" t="s">
        <v>2650</v>
      </c>
    </row>
    <row r="450">
      <c r="A450" s="486"/>
      <c r="B450" s="486"/>
      <c r="C450" s="486"/>
      <c r="D450" s="487"/>
      <c r="E450" s="486"/>
      <c r="F450" s="417" t="s">
        <v>2797</v>
      </c>
    </row>
    <row r="451">
      <c r="A451" s="486"/>
      <c r="B451" s="486"/>
      <c r="C451" s="486"/>
      <c r="D451" s="487"/>
      <c r="E451" s="486"/>
      <c r="F451" s="417" t="s">
        <v>2652</v>
      </c>
    </row>
    <row r="452">
      <c r="A452" s="486"/>
      <c r="B452" s="486"/>
      <c r="C452" s="486"/>
      <c r="D452" s="487"/>
      <c r="E452" s="486"/>
      <c r="F452" s="417" t="s">
        <v>2895</v>
      </c>
    </row>
    <row r="453">
      <c r="A453" s="486"/>
      <c r="B453" s="486"/>
      <c r="C453" s="486"/>
      <c r="D453" s="487"/>
      <c r="E453" s="486"/>
      <c r="F453" s="417" t="s">
        <v>2946</v>
      </c>
    </row>
    <row r="454">
      <c r="A454" s="486"/>
      <c r="B454" s="486"/>
      <c r="C454" s="486"/>
      <c r="D454" s="487"/>
      <c r="E454" s="486"/>
      <c r="F454" s="417" t="s">
        <v>3045</v>
      </c>
    </row>
    <row r="455">
      <c r="A455" s="486"/>
      <c r="B455" s="486"/>
      <c r="C455" s="486"/>
      <c r="D455" s="487"/>
      <c r="E455" s="486"/>
      <c r="F455" s="417" t="s">
        <v>2702</v>
      </c>
    </row>
    <row r="456">
      <c r="A456" s="486"/>
      <c r="B456" s="486"/>
      <c r="C456" s="486"/>
      <c r="D456" s="487"/>
      <c r="E456" s="486"/>
      <c r="F456" s="417" t="s">
        <v>2550</v>
      </c>
    </row>
    <row r="457">
      <c r="A457" s="486"/>
      <c r="B457" s="486"/>
      <c r="C457" s="486"/>
      <c r="D457" s="487"/>
      <c r="E457" s="486"/>
      <c r="F457" s="417" t="s">
        <v>2703</v>
      </c>
    </row>
    <row r="458">
      <c r="A458" s="486"/>
      <c r="B458" s="486"/>
      <c r="C458" s="486"/>
      <c r="D458" s="487"/>
      <c r="E458" s="486"/>
      <c r="F458" s="417" t="s">
        <v>2799</v>
      </c>
    </row>
    <row r="459">
      <c r="A459" s="486"/>
      <c r="B459" s="486"/>
      <c r="C459" s="486"/>
      <c r="D459" s="487"/>
      <c r="E459" s="486"/>
      <c r="F459" s="417" t="s">
        <v>2552</v>
      </c>
    </row>
    <row r="460">
      <c r="A460" s="486"/>
      <c r="B460" s="486"/>
      <c r="C460" s="486"/>
      <c r="D460" s="487"/>
      <c r="E460" s="486"/>
      <c r="F460" s="417" t="s">
        <v>2896</v>
      </c>
    </row>
    <row r="461">
      <c r="A461" s="486"/>
      <c r="B461" s="486"/>
      <c r="C461" s="486"/>
      <c r="D461" s="487"/>
      <c r="E461" s="486"/>
      <c r="F461" s="417" t="s">
        <v>2845</v>
      </c>
    </row>
    <row r="462">
      <c r="A462" s="486"/>
      <c r="B462" s="486"/>
      <c r="C462" s="486"/>
      <c r="D462" s="487"/>
      <c r="E462" s="486"/>
      <c r="F462" s="417" t="s">
        <v>3047</v>
      </c>
    </row>
    <row r="463">
      <c r="A463" s="486"/>
      <c r="B463" s="486"/>
      <c r="C463" s="486"/>
      <c r="D463" s="487"/>
      <c r="E463" s="486"/>
      <c r="F463" s="417" t="s">
        <v>3048</v>
      </c>
    </row>
    <row r="464">
      <c r="A464" s="486"/>
      <c r="B464" s="486"/>
      <c r="C464" s="486"/>
      <c r="D464" s="487"/>
      <c r="E464" s="486"/>
      <c r="F464" s="417" t="s">
        <v>2993</v>
      </c>
    </row>
    <row r="465">
      <c r="A465" s="486"/>
      <c r="B465" s="486"/>
      <c r="C465" s="486"/>
      <c r="D465" s="487"/>
      <c r="E465" s="486"/>
      <c r="F465" s="417" t="s">
        <v>2947</v>
      </c>
    </row>
    <row r="466">
      <c r="A466" s="486"/>
      <c r="B466" s="486"/>
      <c r="C466" s="486"/>
      <c r="D466" s="487"/>
      <c r="E466" s="486"/>
      <c r="F466" s="417" t="s">
        <v>2994</v>
      </c>
    </row>
    <row r="467">
      <c r="A467" s="486"/>
      <c r="B467" s="486"/>
      <c r="C467" s="486"/>
      <c r="D467" s="487"/>
      <c r="E467" s="486"/>
      <c r="F467" s="417" t="s">
        <v>2705</v>
      </c>
    </row>
    <row r="468">
      <c r="A468" s="486"/>
      <c r="B468" s="486"/>
      <c r="C468" s="486"/>
      <c r="D468" s="487"/>
      <c r="E468" s="486"/>
      <c r="F468" s="417" t="s">
        <v>2846</v>
      </c>
    </row>
    <row r="469">
      <c r="A469" s="486"/>
      <c r="B469" s="486"/>
      <c r="C469" s="486"/>
      <c r="D469" s="487"/>
      <c r="E469" s="486"/>
      <c r="F469" s="417" t="s">
        <v>2750</v>
      </c>
    </row>
    <row r="470">
      <c r="A470" s="486"/>
      <c r="B470" s="486"/>
      <c r="C470" s="486"/>
      <c r="D470" s="487"/>
      <c r="E470" s="486"/>
      <c r="F470" s="417" t="s">
        <v>2948</v>
      </c>
    </row>
    <row r="471">
      <c r="A471" s="486"/>
      <c r="B471" s="486"/>
      <c r="C471" s="486"/>
      <c r="D471" s="487"/>
      <c r="E471" s="486"/>
      <c r="F471" s="417" t="s">
        <v>2653</v>
      </c>
    </row>
    <row r="472">
      <c r="A472" s="486"/>
      <c r="B472" s="486"/>
      <c r="C472" s="486"/>
      <c r="D472" s="487"/>
      <c r="E472" s="486"/>
      <c r="F472" s="417" t="s">
        <v>2554</v>
      </c>
    </row>
    <row r="473">
      <c r="A473" s="486"/>
      <c r="B473" s="486"/>
      <c r="C473" s="486"/>
      <c r="D473" s="487"/>
      <c r="E473" s="486"/>
      <c r="F473" s="417" t="s">
        <v>2847</v>
      </c>
    </row>
    <row r="474">
      <c r="A474" s="486"/>
      <c r="B474" s="486"/>
      <c r="C474" s="486"/>
      <c r="D474" s="487"/>
      <c r="E474" s="486"/>
      <c r="F474" s="417" t="s">
        <v>2848</v>
      </c>
    </row>
    <row r="475">
      <c r="A475" s="486"/>
      <c r="B475" s="486"/>
      <c r="C475" s="486"/>
      <c r="D475" s="487"/>
      <c r="E475" s="486"/>
      <c r="F475" s="417" t="s">
        <v>2752</v>
      </c>
    </row>
    <row r="476">
      <c r="A476" s="486"/>
      <c r="B476" s="486"/>
      <c r="C476" s="486"/>
      <c r="D476" s="487"/>
      <c r="E476" s="486"/>
      <c r="F476" s="417" t="s">
        <v>2706</v>
      </c>
    </row>
    <row r="477">
      <c r="A477" s="486"/>
      <c r="B477" s="486"/>
      <c r="C477" s="486"/>
      <c r="D477" s="487"/>
      <c r="E477" s="486"/>
      <c r="F477" s="417" t="s">
        <v>2800</v>
      </c>
    </row>
    <row r="478">
      <c r="A478" s="486"/>
      <c r="B478" s="486"/>
      <c r="C478" s="486"/>
      <c r="D478" s="487"/>
      <c r="E478" s="486"/>
      <c r="F478" s="417" t="s">
        <v>2654</v>
      </c>
    </row>
    <row r="479">
      <c r="A479" s="486"/>
      <c r="B479" s="486"/>
      <c r="C479" s="486"/>
      <c r="D479" s="487"/>
      <c r="E479" s="486"/>
      <c r="F479" s="417" t="s">
        <v>3049</v>
      </c>
    </row>
    <row r="480">
      <c r="A480" s="486"/>
      <c r="B480" s="486"/>
      <c r="C480" s="486"/>
      <c r="D480" s="487"/>
      <c r="E480" s="486"/>
      <c r="F480" s="417" t="s">
        <v>2996</v>
      </c>
    </row>
    <row r="481">
      <c r="A481" s="486"/>
      <c r="B481" s="486"/>
      <c r="C481" s="486"/>
      <c r="D481" s="487"/>
      <c r="E481" s="486"/>
      <c r="F481" s="417" t="s">
        <v>2496</v>
      </c>
    </row>
    <row r="482">
      <c r="A482" s="486"/>
      <c r="B482" s="486"/>
      <c r="C482" s="486"/>
      <c r="D482" s="487"/>
      <c r="E482" s="486"/>
      <c r="F482" s="417" t="s">
        <v>2656</v>
      </c>
    </row>
    <row r="483">
      <c r="A483" s="486"/>
      <c r="B483" s="486"/>
      <c r="C483" s="486"/>
      <c r="D483" s="487"/>
      <c r="E483" s="486"/>
      <c r="F483" s="417" t="s">
        <v>2555</v>
      </c>
    </row>
    <row r="484">
      <c r="A484" s="486"/>
      <c r="B484" s="486"/>
      <c r="C484" s="486"/>
      <c r="D484" s="487"/>
      <c r="E484" s="486"/>
      <c r="F484" s="417" t="s">
        <v>2801</v>
      </c>
    </row>
    <row r="485">
      <c r="A485" s="486"/>
      <c r="B485" s="486"/>
      <c r="C485" s="486"/>
      <c r="D485" s="487"/>
      <c r="E485" s="486"/>
      <c r="F485" s="417" t="s">
        <v>2556</v>
      </c>
    </row>
    <row r="486">
      <c r="A486" s="486"/>
      <c r="B486" s="486"/>
      <c r="C486" s="486"/>
      <c r="D486" s="487"/>
      <c r="E486" s="486"/>
      <c r="F486" s="417" t="s">
        <v>2498</v>
      </c>
    </row>
    <row r="487">
      <c r="A487" s="486"/>
      <c r="B487" s="486"/>
      <c r="C487" s="486"/>
      <c r="D487" s="487"/>
      <c r="E487" s="486"/>
      <c r="F487" s="417" t="s">
        <v>2950</v>
      </c>
    </row>
    <row r="488">
      <c r="A488" s="486"/>
      <c r="B488" s="486"/>
      <c r="C488" s="486"/>
      <c r="D488" s="487"/>
      <c r="E488" s="486"/>
      <c r="F488" s="417" t="s">
        <v>2707</v>
      </c>
    </row>
    <row r="489">
      <c r="A489" s="486"/>
      <c r="B489" s="486"/>
      <c r="C489" s="486"/>
      <c r="D489" s="487"/>
      <c r="E489" s="486"/>
      <c r="F489" s="417" t="s">
        <v>2657</v>
      </c>
    </row>
    <row r="490">
      <c r="A490" s="486"/>
      <c r="B490" s="486"/>
      <c r="C490" s="486"/>
      <c r="D490" s="487"/>
      <c r="E490" s="486"/>
      <c r="F490" s="417" t="s">
        <v>2708</v>
      </c>
    </row>
    <row r="491">
      <c r="A491" s="486"/>
      <c r="B491" s="486"/>
      <c r="C491" s="486"/>
      <c r="D491" s="487"/>
      <c r="E491" s="486"/>
      <c r="F491" s="417" t="s">
        <v>2557</v>
      </c>
    </row>
    <row r="492">
      <c r="A492" s="486"/>
      <c r="B492" s="486"/>
      <c r="C492" s="486"/>
      <c r="D492" s="487"/>
      <c r="E492" s="486"/>
      <c r="F492" s="417" t="s">
        <v>2951</v>
      </c>
    </row>
    <row r="493">
      <c r="A493" s="486"/>
      <c r="B493" s="486"/>
      <c r="C493" s="486"/>
      <c r="D493" s="487"/>
      <c r="E493" s="486"/>
      <c r="F493" s="417" t="s">
        <v>2709</v>
      </c>
    </row>
    <row r="494">
      <c r="A494" s="486"/>
      <c r="B494" s="486"/>
      <c r="C494" s="486"/>
      <c r="D494" s="487"/>
      <c r="E494" s="486"/>
      <c r="F494" s="417" t="s">
        <v>2849</v>
      </c>
    </row>
    <row r="495">
      <c r="A495" s="486"/>
      <c r="B495" s="486"/>
      <c r="C495" s="486"/>
      <c r="D495" s="487"/>
      <c r="E495" s="486"/>
      <c r="F495" s="417" t="s">
        <v>2559</v>
      </c>
    </row>
    <row r="496">
      <c r="A496" s="486"/>
      <c r="B496" s="486"/>
      <c r="C496" s="486"/>
      <c r="D496" s="487"/>
      <c r="E496" s="486"/>
      <c r="F496" s="417" t="s">
        <v>2603</v>
      </c>
    </row>
    <row r="497">
      <c r="A497" s="486"/>
      <c r="B497" s="486"/>
      <c r="C497" s="486"/>
      <c r="D497" s="487"/>
      <c r="E497" s="486"/>
      <c r="F497" s="417" t="s">
        <v>2802</v>
      </c>
    </row>
    <row r="498">
      <c r="A498" s="486"/>
      <c r="B498" s="486"/>
      <c r="C498" s="486"/>
      <c r="D498" s="487"/>
      <c r="E498" s="486"/>
      <c r="F498" s="417" t="s">
        <v>2604</v>
      </c>
    </row>
    <row r="499">
      <c r="A499" s="486"/>
      <c r="B499" s="486"/>
      <c r="C499" s="486"/>
      <c r="D499" s="487"/>
      <c r="E499" s="486"/>
      <c r="F499" s="417" t="s">
        <v>2998</v>
      </c>
    </row>
    <row r="500">
      <c r="A500" s="486"/>
      <c r="B500" s="486"/>
      <c r="C500" s="486"/>
      <c r="D500" s="487"/>
      <c r="E500" s="486"/>
      <c r="F500" s="417" t="s">
        <v>2710</v>
      </c>
    </row>
    <row r="501">
      <c r="A501" s="486"/>
      <c r="B501" s="486"/>
      <c r="C501" s="486"/>
      <c r="D501" s="487"/>
      <c r="E501" s="486"/>
      <c r="F501" s="417" t="s">
        <v>3050</v>
      </c>
    </row>
    <row r="502">
      <c r="A502" s="486"/>
      <c r="B502" s="486"/>
      <c r="C502" s="486"/>
      <c r="D502" s="487"/>
      <c r="E502" s="486"/>
      <c r="F502" s="417" t="s">
        <v>2658</v>
      </c>
    </row>
    <row r="503">
      <c r="A503" s="486"/>
      <c r="B503" s="486"/>
      <c r="C503" s="486"/>
      <c r="D503" s="487"/>
      <c r="E503" s="486"/>
      <c r="F503" s="417" t="s">
        <v>2560</v>
      </c>
    </row>
    <row r="504">
      <c r="A504" s="486"/>
      <c r="B504" s="486"/>
      <c r="C504" s="486"/>
      <c r="D504" s="487"/>
      <c r="E504" s="486"/>
      <c r="F504" s="417" t="s">
        <v>2898</v>
      </c>
    </row>
    <row r="505">
      <c r="A505" s="486"/>
      <c r="B505" s="486"/>
      <c r="C505" s="486"/>
      <c r="D505" s="487"/>
      <c r="E505" s="486"/>
      <c r="F505" s="417" t="s">
        <v>2753</v>
      </c>
    </row>
    <row r="506">
      <c r="A506" s="486"/>
      <c r="B506" s="486"/>
      <c r="C506" s="486"/>
      <c r="D506" s="487"/>
      <c r="E506" s="486"/>
      <c r="F506" s="417" t="s">
        <v>2899</v>
      </c>
    </row>
    <row r="507">
      <c r="A507" s="486"/>
      <c r="B507" s="486"/>
      <c r="C507" s="486"/>
      <c r="D507" s="487"/>
      <c r="E507" s="486"/>
      <c r="F507" s="417" t="s">
        <v>2659</v>
      </c>
    </row>
    <row r="508">
      <c r="A508" s="486"/>
      <c r="B508" s="486"/>
      <c r="C508" s="486"/>
      <c r="D508" s="487"/>
      <c r="E508" s="486"/>
      <c r="F508" s="417" t="s">
        <v>2561</v>
      </c>
    </row>
    <row r="509">
      <c r="A509" s="486"/>
      <c r="B509" s="486"/>
      <c r="C509" s="486"/>
      <c r="D509" s="487"/>
      <c r="E509" s="486"/>
      <c r="F509" s="417" t="s">
        <v>2606</v>
      </c>
    </row>
    <row r="510">
      <c r="A510" s="486"/>
      <c r="B510" s="486"/>
      <c r="C510" s="486"/>
      <c r="D510" s="487"/>
      <c r="E510" s="486"/>
      <c r="F510" s="417" t="s">
        <v>2850</v>
      </c>
    </row>
    <row r="511">
      <c r="A511" s="486"/>
      <c r="B511" s="486"/>
      <c r="C511" s="486"/>
      <c r="D511" s="487"/>
      <c r="E511" s="486"/>
      <c r="F511" s="417" t="s">
        <v>2900</v>
      </c>
    </row>
    <row r="512">
      <c r="A512" s="486"/>
      <c r="B512" s="486"/>
      <c r="C512" s="486"/>
      <c r="D512" s="487"/>
      <c r="E512" s="486"/>
      <c r="F512" s="417" t="s">
        <v>2607</v>
      </c>
    </row>
    <row r="513">
      <c r="A513" s="486"/>
      <c r="B513" s="486"/>
      <c r="C513" s="486"/>
      <c r="D513" s="487"/>
      <c r="E513" s="486"/>
      <c r="F513" s="417" t="s">
        <v>3051</v>
      </c>
    </row>
    <row r="514">
      <c r="A514" s="486"/>
      <c r="B514" s="486"/>
      <c r="C514" s="486"/>
      <c r="D514" s="487"/>
      <c r="E514" s="486"/>
      <c r="F514" s="417" t="s">
        <v>3052</v>
      </c>
    </row>
    <row r="515">
      <c r="A515" s="486"/>
      <c r="B515" s="486"/>
      <c r="C515" s="486"/>
      <c r="D515" s="487"/>
      <c r="E515" s="486"/>
      <c r="F515" s="417" t="s">
        <v>2499</v>
      </c>
    </row>
    <row r="516">
      <c r="A516" s="486"/>
      <c r="B516" s="486"/>
      <c r="C516" s="486"/>
      <c r="D516" s="487"/>
      <c r="E516" s="486"/>
      <c r="F516" s="417" t="s">
        <v>2500</v>
      </c>
    </row>
    <row r="517">
      <c r="A517" s="486"/>
      <c r="B517" s="486"/>
      <c r="C517" s="486"/>
      <c r="D517" s="487"/>
      <c r="E517" s="486"/>
      <c r="F517" s="417" t="s">
        <v>2562</v>
      </c>
    </row>
    <row r="518">
      <c r="A518" s="486"/>
      <c r="B518" s="486"/>
      <c r="C518" s="486"/>
      <c r="D518" s="487"/>
      <c r="E518" s="486"/>
      <c r="F518" s="417" t="s">
        <v>2999</v>
      </c>
    </row>
    <row r="519">
      <c r="A519" s="486"/>
      <c r="B519" s="486"/>
      <c r="C519" s="486"/>
      <c r="D519" s="487"/>
      <c r="E519" s="486"/>
      <c r="F519" s="417" t="s">
        <v>2901</v>
      </c>
    </row>
    <row r="520">
      <c r="A520" s="486"/>
      <c r="B520" s="486"/>
      <c r="C520" s="486"/>
      <c r="D520" s="487"/>
      <c r="E520" s="486"/>
      <c r="F520" s="417" t="s">
        <v>2501</v>
      </c>
    </row>
    <row r="521">
      <c r="A521" s="486"/>
      <c r="B521" s="486"/>
      <c r="C521" s="486"/>
      <c r="D521" s="487"/>
      <c r="E521" s="486"/>
      <c r="F521" s="417" t="s">
        <v>2502</v>
      </c>
    </row>
    <row r="522">
      <c r="A522" s="486"/>
      <c r="B522" s="486"/>
      <c r="C522" s="486"/>
      <c r="D522" s="487"/>
      <c r="E522" s="486"/>
      <c r="F522" s="417" t="s">
        <v>2952</v>
      </c>
    </row>
    <row r="523">
      <c r="A523" s="486"/>
      <c r="B523" s="486"/>
      <c r="C523" s="486"/>
      <c r="D523" s="487"/>
      <c r="E523" s="486"/>
      <c r="F523" s="417" t="s">
        <v>2563</v>
      </c>
    </row>
    <row r="524">
      <c r="A524" s="486"/>
      <c r="B524" s="486"/>
      <c r="C524" s="486"/>
      <c r="D524" s="487"/>
      <c r="E524" s="486"/>
      <c r="F524" s="417" t="s">
        <v>2953</v>
      </c>
    </row>
    <row r="525">
      <c r="A525" s="486"/>
      <c r="B525" s="486"/>
      <c r="C525" s="486"/>
      <c r="D525" s="487"/>
      <c r="E525" s="486"/>
      <c r="F525" s="417" t="s">
        <v>2902</v>
      </c>
    </row>
    <row r="526">
      <c r="A526" s="486"/>
      <c r="B526" s="486"/>
      <c r="C526" s="486"/>
      <c r="D526" s="487"/>
      <c r="E526" s="486"/>
      <c r="F526" s="417" t="s">
        <v>2608</v>
      </c>
    </row>
    <row r="527">
      <c r="A527" s="486"/>
      <c r="B527" s="486"/>
      <c r="C527" s="486"/>
      <c r="D527" s="487"/>
      <c r="E527" s="486"/>
      <c r="F527" s="417" t="s">
        <v>2609</v>
      </c>
    </row>
    <row r="528">
      <c r="A528" s="486"/>
      <c r="B528" s="486"/>
      <c r="C528" s="486"/>
      <c r="D528" s="487"/>
      <c r="E528" s="486"/>
      <c r="F528" s="417" t="s">
        <v>2903</v>
      </c>
    </row>
    <row r="529">
      <c r="A529" s="486"/>
      <c r="B529" s="486"/>
      <c r="C529" s="486"/>
      <c r="D529" s="487"/>
      <c r="E529" s="486"/>
      <c r="F529" s="417" t="s">
        <v>2610</v>
      </c>
    </row>
    <row r="530">
      <c r="A530" s="486"/>
      <c r="B530" s="486"/>
      <c r="C530" s="486"/>
      <c r="D530" s="487"/>
      <c r="E530" s="486"/>
      <c r="F530" s="417" t="s">
        <v>2851</v>
      </c>
    </row>
    <row r="531">
      <c r="A531" s="486"/>
      <c r="B531" s="486"/>
      <c r="C531" s="486"/>
      <c r="D531" s="487"/>
      <c r="E531" s="486"/>
      <c r="F531" s="417" t="s">
        <v>3000</v>
      </c>
    </row>
    <row r="532">
      <c r="A532" s="486"/>
      <c r="B532" s="486"/>
      <c r="C532" s="486"/>
      <c r="D532" s="487"/>
      <c r="E532" s="486"/>
      <c r="F532" s="417" t="s">
        <v>2954</v>
      </c>
    </row>
    <row r="533">
      <c r="A533" s="486"/>
      <c r="B533" s="486"/>
      <c r="C533" s="486"/>
      <c r="D533" s="487"/>
      <c r="E533" s="486"/>
      <c r="F533" s="417" t="s">
        <v>2503</v>
      </c>
    </row>
    <row r="534">
      <c r="A534" s="486"/>
      <c r="B534" s="486"/>
      <c r="C534" s="486"/>
      <c r="D534" s="487"/>
      <c r="E534" s="486"/>
      <c r="F534" s="417" t="s">
        <v>2504</v>
      </c>
    </row>
    <row r="535">
      <c r="A535" s="486"/>
      <c r="B535" s="486"/>
      <c r="C535" s="486"/>
      <c r="D535" s="487"/>
      <c r="E535" s="486"/>
      <c r="F535" s="417" t="s">
        <v>2564</v>
      </c>
    </row>
    <row r="536">
      <c r="A536" s="486"/>
      <c r="B536" s="486"/>
      <c r="C536" s="486"/>
      <c r="D536" s="487"/>
      <c r="E536" s="486"/>
      <c r="F536" s="417" t="s">
        <v>2955</v>
      </c>
    </row>
    <row r="537">
      <c r="A537" s="486"/>
      <c r="B537" s="486"/>
      <c r="C537" s="486"/>
      <c r="D537" s="487"/>
      <c r="E537" s="486"/>
      <c r="F537" s="417" t="s">
        <v>3053</v>
      </c>
    </row>
    <row r="538">
      <c r="A538" s="486"/>
      <c r="B538" s="486"/>
      <c r="C538" s="486"/>
      <c r="D538" s="487"/>
      <c r="E538" s="486"/>
      <c r="F538" s="417" t="s">
        <v>3001</v>
      </c>
    </row>
    <row r="539">
      <c r="A539" s="486"/>
      <c r="B539" s="486"/>
      <c r="C539" s="486"/>
      <c r="D539" s="487"/>
      <c r="E539" s="486"/>
      <c r="F539" s="417" t="s">
        <v>3054</v>
      </c>
    </row>
    <row r="540">
      <c r="A540" s="486"/>
      <c r="B540" s="486"/>
      <c r="C540" s="486"/>
      <c r="D540" s="487"/>
      <c r="E540" s="486"/>
      <c r="F540" s="417" t="s">
        <v>3055</v>
      </c>
    </row>
    <row r="541">
      <c r="A541" s="486"/>
      <c r="B541" s="486"/>
      <c r="C541" s="486"/>
      <c r="D541" s="487"/>
      <c r="E541" s="486"/>
      <c r="F541" s="417" t="s">
        <v>2852</v>
      </c>
    </row>
    <row r="542">
      <c r="A542" s="486"/>
      <c r="B542" s="486"/>
      <c r="C542" s="486"/>
      <c r="D542" s="487"/>
      <c r="E542" s="486"/>
      <c r="F542" s="417" t="s">
        <v>2505</v>
      </c>
    </row>
    <row r="543">
      <c r="A543" s="486"/>
      <c r="B543" s="486"/>
      <c r="C543" s="486"/>
      <c r="D543" s="487"/>
      <c r="E543" s="486"/>
      <c r="F543" s="417" t="s">
        <v>3002</v>
      </c>
    </row>
    <row r="544">
      <c r="A544" s="486"/>
      <c r="B544" s="486"/>
      <c r="C544" s="486"/>
      <c r="D544" s="487"/>
      <c r="E544" s="486"/>
      <c r="F544" s="417" t="s">
        <v>3003</v>
      </c>
    </row>
    <row r="545">
      <c r="A545" s="486"/>
      <c r="B545" s="486"/>
      <c r="C545" s="486"/>
      <c r="D545" s="487"/>
      <c r="E545" s="486"/>
      <c r="F545" s="417" t="s">
        <v>3004</v>
      </c>
    </row>
    <row r="546">
      <c r="A546" s="486"/>
      <c r="B546" s="486"/>
      <c r="C546" s="486"/>
      <c r="D546" s="487"/>
      <c r="E546" s="486"/>
      <c r="F546" s="417" t="s">
        <v>2803</v>
      </c>
    </row>
    <row r="547">
      <c r="A547" s="486"/>
      <c r="B547" s="486"/>
      <c r="C547" s="486"/>
      <c r="D547" s="487"/>
      <c r="E547" s="486"/>
      <c r="F547" s="417" t="s">
        <v>3005</v>
      </c>
    </row>
    <row r="548">
      <c r="A548" s="486"/>
      <c r="B548" s="486"/>
      <c r="C548" s="486"/>
      <c r="D548" s="487"/>
      <c r="E548" s="486"/>
      <c r="F548" s="417" t="s">
        <v>2711</v>
      </c>
    </row>
    <row r="549">
      <c r="A549" s="486"/>
      <c r="B549" s="486"/>
      <c r="C549" s="486"/>
      <c r="D549" s="487"/>
      <c r="E549" s="486"/>
      <c r="F549" s="417" t="s">
        <v>3006</v>
      </c>
    </row>
    <row r="550">
      <c r="A550" s="486"/>
      <c r="B550" s="486"/>
      <c r="C550" s="486"/>
      <c r="D550" s="487"/>
      <c r="E550" s="486"/>
      <c r="F550" s="417" t="s">
        <v>2904</v>
      </c>
    </row>
    <row r="551">
      <c r="A551" s="486"/>
      <c r="B551" s="486"/>
      <c r="C551" s="486"/>
      <c r="D551" s="487"/>
      <c r="E551" s="486"/>
      <c r="F551" s="417" t="s">
        <v>2853</v>
      </c>
    </row>
    <row r="552">
      <c r="A552" s="486"/>
      <c r="B552" s="486"/>
      <c r="C552" s="486"/>
      <c r="D552" s="487"/>
      <c r="E552" s="486"/>
      <c r="F552" s="417" t="s">
        <v>2956</v>
      </c>
    </row>
    <row r="553">
      <c r="A553" s="486"/>
      <c r="B553" s="486"/>
      <c r="C553" s="486"/>
      <c r="D553" s="487"/>
      <c r="E553" s="486"/>
      <c r="F553" s="417" t="s">
        <v>2754</v>
      </c>
    </row>
    <row r="554">
      <c r="A554" s="486"/>
      <c r="B554" s="486"/>
      <c r="C554" s="486"/>
      <c r="D554" s="487"/>
      <c r="E554" s="486"/>
      <c r="F554" s="417" t="s">
        <v>2611</v>
      </c>
    </row>
    <row r="555">
      <c r="A555" s="486"/>
      <c r="B555" s="486"/>
      <c r="C555" s="486"/>
      <c r="D555" s="487"/>
      <c r="E555" s="486"/>
      <c r="F555" s="417" t="s">
        <v>2506</v>
      </c>
    </row>
    <row r="556">
      <c r="A556" s="486"/>
      <c r="B556" s="486"/>
      <c r="C556" s="486"/>
      <c r="D556" s="487"/>
      <c r="E556" s="486"/>
      <c r="F556" s="417" t="s">
        <v>2712</v>
      </c>
    </row>
    <row r="557">
      <c r="A557" s="486"/>
      <c r="B557" s="486"/>
      <c r="C557" s="486"/>
      <c r="D557" s="487"/>
      <c r="E557" s="486"/>
      <c r="F557" s="417" t="s">
        <v>2565</v>
      </c>
    </row>
    <row r="558">
      <c r="A558" s="486"/>
      <c r="B558" s="486"/>
      <c r="C558" s="486"/>
      <c r="D558" s="487"/>
      <c r="E558" s="486"/>
      <c r="F558" s="417" t="s">
        <v>2854</v>
      </c>
    </row>
    <row r="559">
      <c r="A559" s="486"/>
      <c r="B559" s="486"/>
      <c r="C559" s="486"/>
      <c r="D559" s="487"/>
      <c r="E559" s="486"/>
      <c r="F559" s="417" t="s">
        <v>2509</v>
      </c>
    </row>
    <row r="560">
      <c r="A560" s="486"/>
      <c r="B560" s="486"/>
      <c r="C560" s="486"/>
      <c r="D560" s="487"/>
      <c r="E560" s="486"/>
      <c r="F560" s="417" t="s">
        <v>3056</v>
      </c>
    </row>
    <row r="561">
      <c r="A561" s="486"/>
      <c r="B561" s="486"/>
      <c r="C561" s="486"/>
      <c r="D561" s="487"/>
      <c r="E561" s="486"/>
      <c r="F561" s="417" t="s">
        <v>2957</v>
      </c>
    </row>
    <row r="562">
      <c r="A562" s="486"/>
      <c r="B562" s="486"/>
      <c r="C562" s="486"/>
      <c r="D562" s="487"/>
      <c r="E562" s="486"/>
      <c r="F562" s="417" t="s">
        <v>2612</v>
      </c>
    </row>
    <row r="563">
      <c r="A563" s="486"/>
      <c r="B563" s="486"/>
      <c r="C563" s="486"/>
      <c r="D563" s="487"/>
      <c r="E563" s="486"/>
      <c r="F563" s="417" t="s">
        <v>2510</v>
      </c>
    </row>
    <row r="564">
      <c r="A564" s="486"/>
      <c r="B564" s="486"/>
      <c r="C564" s="486"/>
      <c r="D564" s="487"/>
      <c r="E564" s="486"/>
      <c r="F564" s="417" t="s">
        <v>3007</v>
      </c>
    </row>
    <row r="565">
      <c r="A565" s="486"/>
      <c r="B565" s="486"/>
      <c r="C565" s="486"/>
      <c r="D565" s="487"/>
      <c r="E565" s="486"/>
      <c r="F565" s="417" t="s">
        <v>2660</v>
      </c>
    </row>
    <row r="566">
      <c r="A566" s="486"/>
      <c r="B566" s="486"/>
      <c r="C566" s="486"/>
      <c r="D566" s="487"/>
      <c r="E566" s="486"/>
      <c r="F566" s="417" t="s">
        <v>2905</v>
      </c>
    </row>
    <row r="567">
      <c r="A567" s="486"/>
      <c r="B567" s="486"/>
      <c r="C567" s="486"/>
      <c r="D567" s="487"/>
      <c r="E567" s="486"/>
      <c r="F567" s="417" t="s">
        <v>2755</v>
      </c>
    </row>
    <row r="568">
      <c r="A568" s="486"/>
      <c r="B568" s="486"/>
      <c r="C568" s="486"/>
      <c r="D568" s="487"/>
      <c r="E568" s="486"/>
      <c r="F568" s="417" t="s">
        <v>2906</v>
      </c>
    </row>
    <row r="569">
      <c r="A569" s="486"/>
      <c r="B569" s="486"/>
      <c r="C569" s="486"/>
      <c r="D569" s="487"/>
      <c r="E569" s="486"/>
      <c r="F569" s="417" t="s">
        <v>2613</v>
      </c>
    </row>
    <row r="570">
      <c r="A570" s="486"/>
      <c r="B570" s="486"/>
      <c r="C570" s="486"/>
      <c r="D570" s="487"/>
      <c r="E570" s="486"/>
      <c r="F570" s="417" t="s">
        <v>3008</v>
      </c>
    </row>
    <row r="571">
      <c r="A571" s="486"/>
      <c r="B571" s="486"/>
      <c r="C571" s="486"/>
      <c r="D571" s="487"/>
      <c r="E571" s="486"/>
      <c r="F571" s="417" t="s">
        <v>2614</v>
      </c>
    </row>
    <row r="572">
      <c r="A572" s="486"/>
      <c r="B572" s="486"/>
      <c r="C572" s="486"/>
      <c r="D572" s="487"/>
      <c r="E572" s="486"/>
      <c r="F572" s="417" t="s">
        <v>2566</v>
      </c>
    </row>
    <row r="573">
      <c r="A573" s="486"/>
      <c r="B573" s="486"/>
      <c r="C573" s="486"/>
      <c r="D573" s="487"/>
      <c r="E573" s="486"/>
      <c r="F573" s="417" t="s">
        <v>2804</v>
      </c>
    </row>
    <row r="574">
      <c r="A574" s="486"/>
      <c r="B574" s="486"/>
      <c r="C574" s="486"/>
      <c r="D574" s="487"/>
      <c r="E574" s="486"/>
      <c r="F574" s="417" t="s">
        <v>2805</v>
      </c>
    </row>
    <row r="575">
      <c r="A575" s="486"/>
      <c r="B575" s="486"/>
      <c r="C575" s="486"/>
      <c r="D575" s="487"/>
      <c r="E575" s="486"/>
      <c r="F575" s="417" t="s">
        <v>2958</v>
      </c>
    </row>
    <row r="576">
      <c r="A576" s="486"/>
      <c r="B576" s="486"/>
      <c r="C576" s="486"/>
      <c r="D576" s="487"/>
      <c r="E576" s="486"/>
      <c r="F576" s="417" t="s">
        <v>3057</v>
      </c>
    </row>
    <row r="577">
      <c r="A577" s="486"/>
      <c r="B577" s="486"/>
      <c r="C577" s="486"/>
      <c r="D577" s="487"/>
      <c r="E577" s="486"/>
      <c r="F577" s="417" t="s">
        <v>2806</v>
      </c>
    </row>
    <row r="578">
      <c r="A578" s="486"/>
      <c r="B578" s="486"/>
      <c r="C578" s="486"/>
      <c r="D578" s="487"/>
      <c r="E578" s="486"/>
      <c r="F578" s="417" t="s">
        <v>2567</v>
      </c>
    </row>
    <row r="579">
      <c r="A579" s="486"/>
      <c r="B579" s="486"/>
      <c r="C579" s="486"/>
      <c r="D579" s="487"/>
      <c r="E579" s="486"/>
      <c r="F579" s="543" t="s">
        <v>1</v>
      </c>
    </row>
    <row r="580">
      <c r="A580" s="486"/>
      <c r="B580" s="486"/>
      <c r="C580" s="486"/>
      <c r="D580" s="487"/>
      <c r="E580" s="486"/>
      <c r="F580" s="417" t="s">
        <v>2907</v>
      </c>
    </row>
    <row r="581">
      <c r="A581" s="486"/>
      <c r="B581" s="486"/>
      <c r="C581" s="486"/>
      <c r="D581" s="487"/>
      <c r="E581" s="486"/>
      <c r="F581" s="417" t="s">
        <v>3058</v>
      </c>
    </row>
    <row r="582">
      <c r="A582" s="486"/>
      <c r="B582" s="486"/>
      <c r="C582" s="486"/>
      <c r="D582" s="487"/>
      <c r="E582" s="486"/>
      <c r="F582" s="417" t="s">
        <v>2615</v>
      </c>
    </row>
    <row r="583">
      <c r="A583" s="486"/>
      <c r="B583" s="486"/>
      <c r="C583" s="486"/>
      <c r="D583" s="487"/>
      <c r="E583" s="486"/>
      <c r="F583" s="417" t="s">
        <v>3059</v>
      </c>
    </row>
    <row r="584">
      <c r="A584" s="486"/>
      <c r="B584" s="486"/>
      <c r="C584" s="486"/>
      <c r="D584" s="487"/>
      <c r="E584" s="486"/>
      <c r="F584" s="417" t="s">
        <v>2756</v>
      </c>
    </row>
    <row r="585">
      <c r="A585" s="486"/>
      <c r="B585" s="486"/>
      <c r="C585" s="486"/>
      <c r="D585" s="487"/>
      <c r="E585" s="486"/>
      <c r="F585" s="417" t="s">
        <v>2856</v>
      </c>
    </row>
    <row r="586">
      <c r="A586" s="486"/>
      <c r="B586" s="486"/>
      <c r="C586" s="486"/>
      <c r="D586" s="487"/>
      <c r="E586" s="486"/>
      <c r="F586" s="417" t="s">
        <v>3060</v>
      </c>
    </row>
    <row r="587">
      <c r="A587" s="486"/>
      <c r="B587" s="486"/>
      <c r="C587" s="486"/>
      <c r="D587" s="487"/>
      <c r="E587" s="486"/>
      <c r="F587" s="417" t="s">
        <v>2568</v>
      </c>
    </row>
    <row r="588">
      <c r="A588" s="486"/>
      <c r="B588" s="486"/>
      <c r="C588" s="486"/>
      <c r="D588" s="487"/>
      <c r="E588" s="486"/>
      <c r="F588" s="417" t="s">
        <v>2569</v>
      </c>
    </row>
    <row r="589">
      <c r="A589" s="486"/>
      <c r="B589" s="486"/>
      <c r="C589" s="486"/>
      <c r="D589" s="487"/>
      <c r="E589" s="486"/>
      <c r="F589" s="417" t="s">
        <v>2661</v>
      </c>
    </row>
    <row r="590">
      <c r="A590" s="486"/>
      <c r="B590" s="486"/>
      <c r="C590" s="486"/>
      <c r="D590" s="487"/>
      <c r="E590" s="486"/>
      <c r="F590" s="417" t="s">
        <v>2807</v>
      </c>
    </row>
    <row r="591">
      <c r="A591" s="486"/>
      <c r="B591" s="486"/>
      <c r="C591" s="486"/>
      <c r="D591" s="487"/>
      <c r="E591" s="486"/>
      <c r="F591" s="417" t="s">
        <v>2757</v>
      </c>
    </row>
    <row r="592">
      <c r="A592" s="486"/>
      <c r="B592" s="486"/>
      <c r="C592" s="486"/>
      <c r="D592" s="487"/>
      <c r="E592" s="486"/>
      <c r="F592" s="417" t="s">
        <v>2616</v>
      </c>
    </row>
    <row r="593">
      <c r="A593" s="486"/>
      <c r="B593" s="486"/>
      <c r="C593" s="486"/>
      <c r="D593" s="487"/>
      <c r="E593" s="486"/>
      <c r="F593" s="417" t="s">
        <v>2808</v>
      </c>
    </row>
    <row r="594">
      <c r="A594" s="486"/>
      <c r="B594" s="486"/>
      <c r="C594" s="486"/>
      <c r="D594" s="487"/>
      <c r="E594" s="486"/>
      <c r="F594" s="417" t="s">
        <v>2857</v>
      </c>
    </row>
    <row r="595">
      <c r="A595" s="486"/>
      <c r="B595" s="486"/>
      <c r="C595" s="486"/>
      <c r="D595" s="487"/>
      <c r="E595" s="486"/>
      <c r="F595" s="417" t="s">
        <v>2858</v>
      </c>
    </row>
    <row r="596">
      <c r="A596" s="486"/>
      <c r="B596" s="486"/>
      <c r="C596" s="486"/>
      <c r="D596" s="487"/>
      <c r="E596" s="486"/>
      <c r="F596" s="417" t="s">
        <v>2662</v>
      </c>
    </row>
    <row r="597">
      <c r="A597" s="486"/>
      <c r="B597" s="486"/>
      <c r="C597" s="486"/>
      <c r="D597" s="487"/>
      <c r="E597" s="486"/>
      <c r="F597" s="417" t="s">
        <v>2713</v>
      </c>
    </row>
    <row r="598">
      <c r="A598" s="486"/>
      <c r="B598" s="486"/>
      <c r="C598" s="486"/>
      <c r="D598" s="487"/>
      <c r="E598" s="486"/>
      <c r="F598" s="417" t="s">
        <v>2570</v>
      </c>
    </row>
    <row r="599">
      <c r="A599" s="486"/>
      <c r="B599" s="486"/>
      <c r="C599" s="486"/>
      <c r="D599" s="487"/>
      <c r="E599" s="486"/>
      <c r="F599" s="417" t="s">
        <v>2959</v>
      </c>
    </row>
    <row r="600">
      <c r="A600" s="486"/>
      <c r="B600" s="486"/>
      <c r="C600" s="486"/>
      <c r="D600" s="487"/>
      <c r="E600" s="486"/>
      <c r="F600" s="417" t="s">
        <v>2714</v>
      </c>
    </row>
    <row r="601">
      <c r="A601" s="486"/>
      <c r="B601" s="486"/>
      <c r="C601" s="486"/>
      <c r="D601" s="487"/>
      <c r="E601" s="486"/>
      <c r="F601" s="417" t="s">
        <v>2758</v>
      </c>
    </row>
    <row r="602">
      <c r="A602" s="486"/>
      <c r="B602" s="486"/>
      <c r="C602" s="486"/>
      <c r="D602" s="487"/>
      <c r="E602" s="486"/>
      <c r="F602" s="417" t="s">
        <v>2960</v>
      </c>
    </row>
    <row r="603">
      <c r="A603" s="486"/>
      <c r="B603" s="486"/>
      <c r="C603" s="486"/>
      <c r="D603" s="487"/>
      <c r="E603" s="486"/>
      <c r="F603" s="417" t="s">
        <v>2961</v>
      </c>
    </row>
    <row r="604">
      <c r="A604" s="486"/>
      <c r="B604" s="486"/>
      <c r="C604" s="486"/>
      <c r="D604" s="487"/>
      <c r="E604" s="486"/>
      <c r="F604" s="417" t="s">
        <v>2859</v>
      </c>
    </row>
    <row r="605">
      <c r="A605" s="486"/>
      <c r="B605" s="486"/>
      <c r="C605" s="486"/>
      <c r="D605" s="487"/>
      <c r="E605" s="486"/>
      <c r="F605" s="417" t="s">
        <v>2511</v>
      </c>
    </row>
    <row r="606">
      <c r="A606" s="486"/>
      <c r="B606" s="486"/>
      <c r="C606" s="486"/>
      <c r="D606" s="487"/>
      <c r="E606" s="486"/>
      <c r="F606" s="417" t="s">
        <v>2759</v>
      </c>
    </row>
    <row r="607">
      <c r="A607" s="486"/>
      <c r="B607" s="486"/>
      <c r="C607" s="486"/>
      <c r="D607" s="487"/>
      <c r="E607" s="486"/>
      <c r="F607" s="417" t="s">
        <v>2663</v>
      </c>
    </row>
    <row r="608">
      <c r="A608" s="486"/>
      <c r="B608" s="486"/>
      <c r="C608" s="486"/>
      <c r="D608" s="487"/>
      <c r="E608" s="486"/>
      <c r="F608" s="417" t="s">
        <v>2860</v>
      </c>
    </row>
    <row r="609">
      <c r="A609" s="486"/>
      <c r="B609" s="486"/>
      <c r="C609" s="486"/>
      <c r="D609" s="487"/>
      <c r="E609" s="486"/>
      <c r="F609" s="417" t="s">
        <v>2512</v>
      </c>
    </row>
    <row r="610">
      <c r="A610" s="486"/>
      <c r="B610" s="486"/>
      <c r="C610" s="486"/>
      <c r="D610" s="487"/>
      <c r="E610" s="486"/>
      <c r="F610" s="417" t="s">
        <v>2760</v>
      </c>
    </row>
    <row r="611">
      <c r="A611" s="486"/>
      <c r="B611" s="486"/>
      <c r="C611" s="486"/>
      <c r="D611" s="487"/>
      <c r="E611" s="486"/>
      <c r="F611" s="417" t="s">
        <v>2908</v>
      </c>
    </row>
    <row r="612">
      <c r="A612" s="486"/>
      <c r="B612" s="486"/>
      <c r="C612" s="486"/>
      <c r="D612" s="487"/>
      <c r="E612" s="486"/>
      <c r="F612" s="417" t="s">
        <v>2809</v>
      </c>
    </row>
    <row r="613">
      <c r="A613" s="486"/>
      <c r="B613" s="486"/>
      <c r="C613" s="486"/>
      <c r="D613" s="487"/>
      <c r="E613" s="486"/>
      <c r="F613" s="417" t="s">
        <v>2571</v>
      </c>
    </row>
    <row r="614">
      <c r="A614" s="486"/>
      <c r="B614" s="486"/>
      <c r="C614" s="486"/>
      <c r="D614" s="487"/>
      <c r="E614" s="486"/>
      <c r="F614" s="417" t="s">
        <v>2572</v>
      </c>
    </row>
    <row r="615">
      <c r="A615" s="486"/>
      <c r="B615" s="486"/>
      <c r="C615" s="486"/>
      <c r="D615" s="487"/>
      <c r="E615" s="486"/>
      <c r="F615" s="417" t="s">
        <v>2810</v>
      </c>
    </row>
    <row r="616">
      <c r="A616" s="486"/>
      <c r="B616" s="486"/>
      <c r="C616" s="486"/>
      <c r="D616" s="487"/>
      <c r="E616" s="486"/>
      <c r="F616" s="417" t="s">
        <v>2664</v>
      </c>
    </row>
    <row r="617">
      <c r="A617" s="486"/>
      <c r="B617" s="486"/>
      <c r="C617" s="486"/>
      <c r="D617" s="487"/>
      <c r="E617" s="486"/>
      <c r="F617" s="417" t="s">
        <v>3009</v>
      </c>
    </row>
    <row r="618">
      <c r="A618" s="486"/>
      <c r="B618" s="486"/>
      <c r="C618" s="486"/>
      <c r="D618" s="487"/>
      <c r="E618" s="486"/>
      <c r="F618" s="417" t="s">
        <v>2573</v>
      </c>
    </row>
    <row r="619">
      <c r="A619" s="486"/>
      <c r="B619" s="486"/>
      <c r="C619" s="486"/>
      <c r="D619" s="487"/>
      <c r="E619" s="486"/>
      <c r="F619" s="417" t="s">
        <v>2574</v>
      </c>
    </row>
    <row r="620">
      <c r="A620" s="486"/>
      <c r="B620" s="486"/>
      <c r="C620" s="486"/>
      <c r="D620" s="487"/>
      <c r="E620" s="486"/>
      <c r="F620" s="417" t="s">
        <v>2617</v>
      </c>
    </row>
    <row r="621">
      <c r="A621" s="486"/>
      <c r="B621" s="486"/>
      <c r="C621" s="486"/>
      <c r="D621" s="487"/>
      <c r="E621" s="486"/>
      <c r="F621" s="417" t="s">
        <v>2665</v>
      </c>
    </row>
    <row r="622">
      <c r="A622" s="486"/>
      <c r="B622" s="486"/>
      <c r="C622" s="486"/>
      <c r="D622" s="487"/>
      <c r="E622" s="486"/>
      <c r="F622" s="417" t="s">
        <v>2761</v>
      </c>
    </row>
    <row r="623">
      <c r="A623" s="486"/>
      <c r="B623" s="486"/>
      <c r="C623" s="486"/>
      <c r="D623" s="487"/>
      <c r="E623" s="486"/>
      <c r="F623" s="417" t="s">
        <v>2618</v>
      </c>
    </row>
    <row r="624">
      <c r="A624" s="486"/>
      <c r="B624" s="486"/>
      <c r="C624" s="486"/>
      <c r="D624" s="487"/>
      <c r="E624" s="486"/>
      <c r="F624" s="417" t="s">
        <v>2666</v>
      </c>
    </row>
    <row r="625">
      <c r="A625" s="486"/>
      <c r="B625" s="486"/>
      <c r="C625" s="486"/>
      <c r="D625" s="487"/>
      <c r="E625" s="486"/>
      <c r="F625" s="417" t="s">
        <v>2513</v>
      </c>
    </row>
    <row r="626">
      <c r="A626" s="486"/>
      <c r="B626" s="486"/>
      <c r="C626" s="486"/>
      <c r="D626" s="487"/>
      <c r="E626" s="486"/>
      <c r="F626" s="417" t="s">
        <v>2762</v>
      </c>
    </row>
    <row r="627">
      <c r="A627" s="486"/>
      <c r="B627" s="486"/>
      <c r="C627" s="486"/>
      <c r="D627" s="487"/>
      <c r="E627" s="486"/>
      <c r="F627" s="417" t="s">
        <v>2763</v>
      </c>
    </row>
    <row r="628">
      <c r="A628" s="486"/>
      <c r="B628" s="486"/>
      <c r="C628" s="486"/>
      <c r="D628" s="487"/>
      <c r="E628" s="486"/>
      <c r="F628" s="417" t="s">
        <v>3010</v>
      </c>
    </row>
    <row r="629">
      <c r="A629" s="486"/>
      <c r="B629" s="486"/>
      <c r="C629" s="486"/>
      <c r="D629" s="487"/>
      <c r="E629" s="486"/>
      <c r="F629" s="417" t="s">
        <v>2811</v>
      </c>
    </row>
    <row r="630">
      <c r="A630" s="486"/>
      <c r="B630" s="486"/>
      <c r="C630" s="486"/>
      <c r="D630" s="487"/>
      <c r="E630" s="486"/>
      <c r="F630" s="417" t="s">
        <v>2764</v>
      </c>
    </row>
    <row r="631">
      <c r="A631" s="486"/>
      <c r="B631" s="486"/>
      <c r="C631" s="486"/>
      <c r="D631" s="487"/>
      <c r="E631" s="486"/>
      <c r="F631" s="417" t="s">
        <v>2861</v>
      </c>
    </row>
    <row r="632">
      <c r="A632" s="486"/>
      <c r="B632" s="486"/>
      <c r="C632" s="486"/>
      <c r="D632" s="487"/>
      <c r="E632" s="486"/>
      <c r="F632" s="417" t="s">
        <v>2812</v>
      </c>
    </row>
    <row r="633">
      <c r="A633" s="486"/>
      <c r="B633" s="486"/>
      <c r="C633" s="486"/>
      <c r="D633" s="487"/>
      <c r="E633" s="486"/>
      <c r="F633" s="417" t="s">
        <v>2619</v>
      </c>
    </row>
    <row r="634">
      <c r="A634" s="486"/>
      <c r="B634" s="486"/>
      <c r="C634" s="486"/>
      <c r="D634" s="487"/>
      <c r="E634" s="486"/>
      <c r="F634" s="417" t="s">
        <v>2514</v>
      </c>
    </row>
    <row r="635">
      <c r="A635" s="486"/>
      <c r="B635" s="486"/>
      <c r="C635" s="486"/>
      <c r="D635" s="487"/>
      <c r="E635" s="486"/>
      <c r="F635" s="417" t="s">
        <v>2862</v>
      </c>
    </row>
    <row r="636">
      <c r="A636" s="486"/>
      <c r="B636" s="486"/>
      <c r="C636" s="486"/>
      <c r="D636" s="487"/>
      <c r="E636" s="486"/>
      <c r="F636" s="417" t="s">
        <v>2620</v>
      </c>
    </row>
    <row r="637">
      <c r="A637" s="486"/>
      <c r="B637" s="486"/>
      <c r="C637" s="486"/>
      <c r="D637" s="487"/>
      <c r="E637" s="486"/>
      <c r="F637" s="417" t="s">
        <v>2715</v>
      </c>
    </row>
    <row r="638">
      <c r="A638" s="486"/>
      <c r="B638" s="486"/>
      <c r="C638" s="486"/>
      <c r="D638" s="487"/>
      <c r="E638" s="486"/>
      <c r="F638" s="417" t="s">
        <v>2515</v>
      </c>
    </row>
    <row r="639">
      <c r="A639" s="486"/>
      <c r="B639" s="486"/>
      <c r="C639" s="486"/>
      <c r="D639" s="487"/>
      <c r="E639" s="486"/>
      <c r="F639" s="417" t="s">
        <v>3061</v>
      </c>
    </row>
    <row r="640">
      <c r="A640" s="486"/>
      <c r="B640" s="486"/>
      <c r="C640" s="486"/>
      <c r="D640" s="487"/>
      <c r="E640" s="486"/>
      <c r="F640" s="417" t="s">
        <v>2765</v>
      </c>
    </row>
    <row r="641">
      <c r="A641" s="486"/>
      <c r="B641" s="486"/>
      <c r="C641" s="486"/>
      <c r="D641" s="487"/>
      <c r="E641" s="486"/>
      <c r="F641" s="417" t="s">
        <v>2766</v>
      </c>
    </row>
    <row r="642">
      <c r="A642" s="486"/>
      <c r="B642" s="486"/>
      <c r="C642" s="486"/>
      <c r="D642" s="487"/>
      <c r="E642" s="486"/>
      <c r="F642" s="417" t="s">
        <v>2909</v>
      </c>
    </row>
    <row r="643">
      <c r="A643" s="486"/>
      <c r="B643" s="486"/>
      <c r="C643" s="486"/>
      <c r="D643" s="487"/>
      <c r="E643" s="486"/>
      <c r="F643" s="417" t="s">
        <v>2910</v>
      </c>
    </row>
    <row r="644">
      <c r="A644" s="486"/>
      <c r="B644" s="486"/>
      <c r="C644" s="486"/>
      <c r="D644" s="487"/>
      <c r="E644" s="486"/>
      <c r="F644" s="417" t="s">
        <v>2621</v>
      </c>
    </row>
    <row r="645">
      <c r="A645" s="486"/>
      <c r="B645" s="486"/>
      <c r="C645" s="486"/>
      <c r="D645" s="487"/>
      <c r="E645" s="486"/>
      <c r="F645" s="417" t="s">
        <v>2767</v>
      </c>
    </row>
    <row r="646">
      <c r="A646" s="486"/>
      <c r="B646" s="486"/>
      <c r="C646" s="486"/>
      <c r="D646" s="487"/>
      <c r="E646" s="486"/>
      <c r="F646" s="417" t="s">
        <v>2622</v>
      </c>
    </row>
    <row r="647">
      <c r="A647" s="486"/>
      <c r="B647" s="486"/>
      <c r="C647" s="486"/>
      <c r="D647" s="487"/>
      <c r="E647" s="486"/>
      <c r="F647" s="417" t="s">
        <v>2667</v>
      </c>
    </row>
    <row r="648">
      <c r="A648" s="486"/>
      <c r="B648" s="486"/>
      <c r="C648" s="486"/>
      <c r="D648" s="487"/>
      <c r="E648" s="486"/>
      <c r="F648" s="417" t="s">
        <v>3011</v>
      </c>
    </row>
    <row r="649">
      <c r="A649" s="486"/>
      <c r="B649" s="486"/>
      <c r="C649" s="486"/>
      <c r="D649" s="487"/>
      <c r="E649" s="486"/>
      <c r="F649" s="417" t="s">
        <v>3062</v>
      </c>
    </row>
    <row r="650">
      <c r="A650" s="486"/>
      <c r="B650" s="486"/>
      <c r="C650" s="486"/>
      <c r="D650" s="487"/>
      <c r="E650" s="486"/>
      <c r="F650" s="417" t="s">
        <v>2623</v>
      </c>
    </row>
    <row r="651">
      <c r="A651" s="486"/>
      <c r="B651" s="486"/>
      <c r="C651" s="486"/>
      <c r="D651" s="487"/>
      <c r="E651" s="486"/>
      <c r="F651" s="417" t="s">
        <v>2911</v>
      </c>
    </row>
    <row r="652">
      <c r="A652" s="486"/>
      <c r="B652" s="486"/>
      <c r="C652" s="486"/>
      <c r="D652" s="487"/>
      <c r="E652" s="486"/>
      <c r="F652" s="417" t="s">
        <v>2813</v>
      </c>
    </row>
    <row r="653">
      <c r="A653" s="486"/>
      <c r="B653" s="486"/>
      <c r="C653" s="486"/>
      <c r="D653" s="487"/>
      <c r="E653" s="486"/>
      <c r="F653" s="417" t="s">
        <v>2962</v>
      </c>
    </row>
    <row r="654">
      <c r="A654" s="486"/>
      <c r="B654" s="486"/>
      <c r="C654" s="486"/>
      <c r="D654" s="487"/>
      <c r="E654" s="486"/>
      <c r="F654" s="417" t="s">
        <v>2863</v>
      </c>
    </row>
    <row r="655">
      <c r="A655" s="486"/>
      <c r="B655" s="486"/>
      <c r="C655" s="486"/>
      <c r="D655" s="487"/>
      <c r="E655" s="486"/>
      <c r="F655" s="417" t="s">
        <v>2516</v>
      </c>
    </row>
    <row r="656">
      <c r="A656" s="486"/>
      <c r="B656" s="486"/>
      <c r="C656" s="486"/>
      <c r="D656" s="487"/>
      <c r="E656" s="486"/>
      <c r="F656" s="417" t="s">
        <v>2814</v>
      </c>
    </row>
    <row r="657">
      <c r="A657" s="486"/>
      <c r="B657" s="486"/>
      <c r="C657" s="486"/>
      <c r="D657" s="487"/>
      <c r="E657" s="486"/>
      <c r="F657" s="417" t="s">
        <v>2963</v>
      </c>
    </row>
    <row r="658">
      <c r="A658" s="486"/>
      <c r="B658" s="486"/>
      <c r="C658" s="486"/>
      <c r="D658" s="487"/>
      <c r="E658" s="486"/>
      <c r="F658" s="417" t="s">
        <v>2768</v>
      </c>
    </row>
    <row r="659">
      <c r="A659" s="486"/>
      <c r="B659" s="486"/>
      <c r="C659" s="486"/>
      <c r="D659" s="487"/>
      <c r="E659" s="486"/>
      <c r="F659" s="417" t="s">
        <v>3012</v>
      </c>
    </row>
    <row r="660">
      <c r="A660" s="486"/>
      <c r="B660" s="486"/>
      <c r="C660" s="486"/>
      <c r="D660" s="487"/>
      <c r="E660" s="486"/>
      <c r="F660" s="417" t="s">
        <v>2716</v>
      </c>
    </row>
    <row r="661">
      <c r="A661" s="486"/>
      <c r="B661" s="486"/>
      <c r="C661" s="486"/>
      <c r="D661" s="487"/>
      <c r="E661" s="486"/>
      <c r="F661" s="417" t="s">
        <v>2717</v>
      </c>
    </row>
    <row r="662">
      <c r="A662" s="486"/>
      <c r="B662" s="486"/>
      <c r="C662" s="486"/>
      <c r="D662" s="487"/>
      <c r="E662" s="486"/>
      <c r="F662" s="417" t="s">
        <v>2912</v>
      </c>
    </row>
    <row r="663">
      <c r="A663" s="486"/>
      <c r="B663" s="486"/>
      <c r="C663" s="486"/>
      <c r="D663" s="487"/>
      <c r="E663" s="486"/>
      <c r="F663" s="417" t="s">
        <v>2913</v>
      </c>
    </row>
    <row r="664">
      <c r="A664" s="486"/>
      <c r="B664" s="486"/>
      <c r="C664" s="486"/>
      <c r="D664" s="487"/>
      <c r="E664" s="486"/>
      <c r="F664" s="417" t="s">
        <v>2668</v>
      </c>
    </row>
    <row r="665">
      <c r="A665" s="486"/>
      <c r="B665" s="486"/>
      <c r="C665" s="486"/>
      <c r="D665" s="487"/>
      <c r="E665" s="486"/>
      <c r="F665" s="417" t="s">
        <v>2964</v>
      </c>
    </row>
    <row r="666">
      <c r="A666" s="486"/>
      <c r="B666" s="486"/>
      <c r="C666" s="486"/>
      <c r="D666" s="487"/>
      <c r="E666" s="486"/>
      <c r="F666" s="417" t="s">
        <v>2965</v>
      </c>
    </row>
    <row r="667">
      <c r="A667" s="486"/>
      <c r="B667" s="486"/>
      <c r="C667" s="486"/>
      <c r="D667" s="487"/>
      <c r="E667" s="486"/>
      <c r="F667" s="417" t="s">
        <v>2914</v>
      </c>
    </row>
    <row r="668">
      <c r="A668" s="486"/>
      <c r="B668" s="486"/>
      <c r="C668" s="486"/>
      <c r="D668" s="487"/>
      <c r="E668" s="486"/>
      <c r="F668" s="417" t="s">
        <v>2624</v>
      </c>
    </row>
    <row r="669">
      <c r="A669" s="486"/>
      <c r="B669" s="486"/>
      <c r="C669" s="486"/>
      <c r="D669" s="487"/>
      <c r="E669" s="486"/>
      <c r="F669" s="417" t="s">
        <v>2576</v>
      </c>
    </row>
    <row r="670">
      <c r="A670" s="486"/>
      <c r="B670" s="486"/>
      <c r="C670" s="486"/>
      <c r="D670" s="487"/>
      <c r="E670" s="486"/>
      <c r="F670" s="417" t="s">
        <v>2517</v>
      </c>
    </row>
    <row r="671">
      <c r="A671" s="486"/>
      <c r="B671" s="486"/>
      <c r="C671" s="486"/>
      <c r="D671" s="487"/>
      <c r="E671" s="486"/>
      <c r="F671" s="417" t="s">
        <v>2915</v>
      </c>
    </row>
    <row r="672">
      <c r="A672" s="486"/>
      <c r="B672" s="486"/>
      <c r="C672" s="486"/>
      <c r="D672" s="487"/>
      <c r="E672" s="486"/>
      <c r="F672" s="417" t="s">
        <v>3013</v>
      </c>
    </row>
    <row r="673">
      <c r="A673" s="486"/>
      <c r="B673" s="486"/>
      <c r="C673" s="486"/>
      <c r="D673" s="487"/>
      <c r="E673" s="486"/>
      <c r="F673" s="417" t="s">
        <v>2966</v>
      </c>
    </row>
    <row r="674">
      <c r="A674" s="486"/>
      <c r="B674" s="486"/>
      <c r="C674" s="486"/>
      <c r="D674" s="487"/>
      <c r="E674" s="486"/>
      <c r="F674" s="417" t="s">
        <v>2967</v>
      </c>
    </row>
    <row r="675">
      <c r="A675" s="486"/>
      <c r="B675" s="486"/>
      <c r="C675" s="486"/>
      <c r="D675" s="487"/>
      <c r="E675" s="486"/>
      <c r="F675" s="417" t="s">
        <v>2519</v>
      </c>
    </row>
    <row r="676">
      <c r="A676" s="486"/>
      <c r="B676" s="486"/>
      <c r="C676" s="486"/>
      <c r="D676" s="487"/>
      <c r="E676" s="486"/>
      <c r="F676" s="417" t="s">
        <v>2718</v>
      </c>
    </row>
    <row r="677">
      <c r="A677" s="486"/>
      <c r="B677" s="486"/>
      <c r="C677" s="486"/>
      <c r="D677" s="487"/>
      <c r="E677" s="486"/>
      <c r="F677" s="417" t="s">
        <v>2520</v>
      </c>
    </row>
    <row r="678">
      <c r="A678" s="486"/>
      <c r="B678" s="486"/>
      <c r="C678" s="486"/>
      <c r="D678" s="487"/>
      <c r="E678" s="486"/>
      <c r="F678" s="417" t="s">
        <v>2625</v>
      </c>
    </row>
    <row r="679">
      <c r="A679" s="486"/>
      <c r="B679" s="486"/>
      <c r="C679" s="486"/>
      <c r="D679" s="487"/>
      <c r="E679" s="486"/>
      <c r="F679" s="417" t="s">
        <v>2916</v>
      </c>
    </row>
    <row r="680">
      <c r="A680" s="486"/>
      <c r="B680" s="486"/>
      <c r="C680" s="486"/>
      <c r="D680" s="487"/>
      <c r="E680" s="486"/>
      <c r="F680" s="417" t="s">
        <v>2769</v>
      </c>
    </row>
    <row r="681">
      <c r="A681" s="486"/>
      <c r="B681" s="486"/>
      <c r="C681" s="486"/>
      <c r="D681" s="487"/>
      <c r="E681" s="486"/>
      <c r="F681" s="417" t="s">
        <v>2521</v>
      </c>
    </row>
    <row r="682">
      <c r="A682" s="486"/>
      <c r="B682" s="486"/>
      <c r="C682" s="486"/>
      <c r="D682" s="487"/>
      <c r="E682" s="486"/>
      <c r="F682" s="417" t="s">
        <v>2968</v>
      </c>
    </row>
    <row r="683">
      <c r="A683" s="486"/>
      <c r="B683" s="486"/>
      <c r="C683" s="486"/>
      <c r="D683" s="487"/>
      <c r="E683" s="486"/>
      <c r="F683" s="417" t="s">
        <v>2815</v>
      </c>
    </row>
    <row r="684">
      <c r="A684" s="486"/>
      <c r="B684" s="486"/>
      <c r="C684" s="486"/>
      <c r="D684" s="487"/>
      <c r="E684" s="486"/>
      <c r="F684" s="417" t="s">
        <v>3014</v>
      </c>
    </row>
    <row r="685">
      <c r="A685" s="486"/>
      <c r="B685" s="486"/>
      <c r="C685" s="486"/>
      <c r="D685" s="487"/>
      <c r="E685" s="486"/>
      <c r="F685" s="417" t="s">
        <v>2816</v>
      </c>
    </row>
    <row r="686">
      <c r="A686" s="486"/>
      <c r="B686" s="486"/>
      <c r="C686" s="486"/>
      <c r="D686" s="487"/>
      <c r="E686" s="486"/>
      <c r="F686" s="417" t="s">
        <v>2864</v>
      </c>
    </row>
    <row r="687">
      <c r="A687" s="486"/>
      <c r="B687" s="486"/>
      <c r="C687" s="486"/>
      <c r="D687" s="487"/>
      <c r="E687" s="486"/>
      <c r="F687" s="417" t="s">
        <v>2917</v>
      </c>
    </row>
    <row r="688">
      <c r="A688" s="486"/>
      <c r="B688" s="486"/>
      <c r="C688" s="486"/>
      <c r="D688" s="487"/>
      <c r="E688" s="486"/>
      <c r="F688" s="417" t="s">
        <v>2523</v>
      </c>
    </row>
    <row r="689">
      <c r="A689" s="486"/>
      <c r="B689" s="486"/>
      <c r="C689" s="486"/>
      <c r="D689" s="487"/>
      <c r="E689" s="486"/>
      <c r="F689" s="417" t="s">
        <v>2669</v>
      </c>
    </row>
    <row r="690">
      <c r="A690" s="486"/>
      <c r="B690" s="486"/>
      <c r="C690" s="486"/>
      <c r="D690" s="487"/>
      <c r="E690" s="486"/>
      <c r="F690" s="417" t="s">
        <v>2627</v>
      </c>
    </row>
    <row r="691">
      <c r="A691" s="486"/>
      <c r="B691" s="486"/>
      <c r="C691" s="486"/>
      <c r="D691" s="487"/>
      <c r="E691" s="486"/>
      <c r="F691" s="417" t="s">
        <v>2670</v>
      </c>
    </row>
    <row r="692">
      <c r="A692" s="486"/>
      <c r="B692" s="486"/>
      <c r="C692" s="486"/>
      <c r="D692" s="487"/>
      <c r="E692" s="486"/>
      <c r="F692" s="417" t="s">
        <v>2969</v>
      </c>
    </row>
    <row r="693">
      <c r="A693" s="486"/>
      <c r="B693" s="486"/>
      <c r="C693" s="486"/>
      <c r="D693" s="487"/>
      <c r="E693" s="486"/>
      <c r="F693" s="417" t="s">
        <v>2919</v>
      </c>
    </row>
    <row r="694">
      <c r="A694" s="486"/>
      <c r="B694" s="486"/>
      <c r="C694" s="486"/>
      <c r="D694" s="487"/>
      <c r="E694" s="486"/>
      <c r="F694" s="417" t="s">
        <v>2817</v>
      </c>
    </row>
    <row r="695">
      <c r="A695" s="486"/>
      <c r="B695" s="486"/>
      <c r="C695" s="486"/>
      <c r="D695" s="487"/>
      <c r="E695" s="486"/>
      <c r="F695" s="417" t="s">
        <v>2866</v>
      </c>
    </row>
    <row r="696">
      <c r="A696" s="486"/>
      <c r="B696" s="486"/>
      <c r="C696" s="486"/>
      <c r="D696" s="487"/>
      <c r="E696" s="486"/>
      <c r="F696" s="417" t="s">
        <v>2671</v>
      </c>
    </row>
    <row r="697">
      <c r="A697" s="486"/>
      <c r="B697" s="486"/>
      <c r="C697" s="486"/>
      <c r="D697" s="487"/>
      <c r="E697" s="486"/>
      <c r="F697" s="417" t="s">
        <v>3063</v>
      </c>
    </row>
    <row r="698">
      <c r="A698" s="486"/>
      <c r="B698" s="486"/>
      <c r="C698" s="486"/>
      <c r="D698" s="487"/>
      <c r="E698" s="486"/>
      <c r="F698" s="417" t="s">
        <v>2818</v>
      </c>
    </row>
    <row r="699">
      <c r="A699" s="486"/>
      <c r="B699" s="486"/>
      <c r="C699" s="486"/>
      <c r="D699" s="487"/>
      <c r="E699" s="486"/>
      <c r="F699" s="417" t="s">
        <v>3064</v>
      </c>
    </row>
    <row r="700">
      <c r="A700" s="486"/>
      <c r="B700" s="486"/>
      <c r="C700" s="486"/>
      <c r="D700" s="487"/>
      <c r="E700" s="486"/>
      <c r="F700" s="417" t="s">
        <v>3065</v>
      </c>
    </row>
    <row r="701">
      <c r="A701" s="486"/>
      <c r="B701" s="486"/>
      <c r="C701" s="486"/>
      <c r="D701" s="487"/>
      <c r="E701" s="486"/>
      <c r="F701" s="417" t="s">
        <v>3066</v>
      </c>
    </row>
    <row r="702">
      <c r="A702" s="486"/>
      <c r="B702" s="486"/>
      <c r="C702" s="486"/>
      <c r="D702" s="487"/>
      <c r="E702" s="486"/>
      <c r="F702" s="417" t="s">
        <v>2970</v>
      </c>
    </row>
    <row r="703">
      <c r="A703" s="486"/>
      <c r="B703" s="486"/>
      <c r="C703" s="486"/>
      <c r="D703" s="487"/>
      <c r="E703" s="486"/>
      <c r="F703" s="417" t="s">
        <v>2770</v>
      </c>
    </row>
    <row r="704">
      <c r="A704" s="486"/>
      <c r="B704" s="486"/>
      <c r="C704" s="486"/>
      <c r="D704" s="487"/>
      <c r="E704" s="486"/>
      <c r="F704" s="417" t="s">
        <v>2628</v>
      </c>
    </row>
    <row r="705">
      <c r="A705" s="486"/>
      <c r="B705" s="486"/>
      <c r="C705" s="486"/>
      <c r="D705" s="487"/>
      <c r="E705" s="486"/>
      <c r="F705" s="417" t="s">
        <v>2672</v>
      </c>
    </row>
    <row r="706">
      <c r="A706" s="486"/>
      <c r="B706" s="486"/>
      <c r="C706" s="486"/>
      <c r="D706" s="487"/>
      <c r="E706" s="486"/>
      <c r="F706" s="417" t="s">
        <v>2629</v>
      </c>
    </row>
    <row r="707">
      <c r="A707" s="486"/>
      <c r="B707" s="486"/>
      <c r="C707" s="486"/>
      <c r="D707" s="487"/>
      <c r="E707" s="486"/>
      <c r="F707" s="417" t="s">
        <v>2577</v>
      </c>
    </row>
    <row r="708">
      <c r="A708" s="486"/>
      <c r="B708" s="486"/>
      <c r="C708" s="486"/>
      <c r="D708" s="487"/>
      <c r="E708" s="486"/>
      <c r="F708" s="417" t="s">
        <v>2630</v>
      </c>
    </row>
    <row r="709">
      <c r="A709" s="486"/>
      <c r="B709" s="486"/>
      <c r="C709" s="486"/>
      <c r="D709" s="487"/>
      <c r="E709" s="486"/>
      <c r="F709" s="417" t="s">
        <v>2771</v>
      </c>
    </row>
    <row r="710">
      <c r="A710" s="486"/>
      <c r="B710" s="486"/>
      <c r="C710" s="486"/>
      <c r="D710" s="487"/>
      <c r="E710" s="486"/>
      <c r="F710" s="417" t="s">
        <v>2578</v>
      </c>
    </row>
    <row r="711">
      <c r="A711" s="486"/>
      <c r="B711" s="486"/>
      <c r="C711" s="486"/>
      <c r="D711" s="487"/>
      <c r="E711" s="486"/>
      <c r="F711" s="417" t="s">
        <v>2719</v>
      </c>
    </row>
    <row r="712">
      <c r="A712" s="486"/>
      <c r="B712" s="486"/>
      <c r="C712" s="486"/>
      <c r="D712" s="487"/>
      <c r="E712" s="486"/>
      <c r="F712" s="417" t="s">
        <v>2673</v>
      </c>
    </row>
    <row r="713">
      <c r="A713" s="486"/>
      <c r="B713" s="486"/>
      <c r="C713" s="486"/>
      <c r="D713" s="487"/>
      <c r="E713" s="486"/>
      <c r="F713" s="417" t="s">
        <v>2972</v>
      </c>
    </row>
    <row r="714">
      <c r="A714" s="486"/>
      <c r="B714" s="486"/>
      <c r="C714" s="486"/>
      <c r="D714" s="487"/>
      <c r="E714" s="486"/>
      <c r="F714" s="417" t="s">
        <v>2773</v>
      </c>
    </row>
    <row r="715">
      <c r="A715" s="486"/>
      <c r="B715" s="486"/>
      <c r="C715" s="486"/>
      <c r="D715" s="487"/>
      <c r="E715" s="486"/>
      <c r="F715" s="417" t="s">
        <v>2720</v>
      </c>
    </row>
    <row r="716">
      <c r="A716" s="486"/>
      <c r="B716" s="486"/>
      <c r="C716" s="486"/>
      <c r="D716" s="487"/>
      <c r="E716" s="486"/>
      <c r="F716" s="417" t="s">
        <v>2631</v>
      </c>
    </row>
    <row r="717">
      <c r="A717" s="486"/>
      <c r="B717" s="486"/>
      <c r="C717" s="486"/>
      <c r="D717" s="487"/>
      <c r="E717" s="486"/>
      <c r="F717" s="417" t="s">
        <v>2632</v>
      </c>
    </row>
    <row r="718">
      <c r="A718" s="486"/>
      <c r="B718" s="486"/>
      <c r="C718" s="486"/>
      <c r="D718" s="487"/>
      <c r="E718" s="486"/>
      <c r="F718" s="417" t="s">
        <v>3016</v>
      </c>
    </row>
    <row r="719">
      <c r="A719" s="486"/>
      <c r="B719" s="486"/>
      <c r="C719" s="486"/>
      <c r="D719" s="487"/>
      <c r="E719" s="486"/>
      <c r="F719" s="417" t="s">
        <v>2579</v>
      </c>
    </row>
    <row r="720">
      <c r="A720" s="486"/>
      <c r="B720" s="486"/>
      <c r="C720" s="486"/>
      <c r="D720" s="487"/>
      <c r="E720" s="486"/>
      <c r="F720" s="417" t="s">
        <v>2819</v>
      </c>
    </row>
    <row r="721">
      <c r="A721" s="486"/>
      <c r="B721" s="486"/>
      <c r="C721" s="486"/>
      <c r="D721" s="487"/>
      <c r="E721" s="486"/>
      <c r="F721" s="417" t="s">
        <v>3017</v>
      </c>
    </row>
    <row r="722">
      <c r="A722" s="486"/>
      <c r="B722" s="486"/>
      <c r="C722" s="486"/>
      <c r="D722" s="487"/>
      <c r="E722" s="486"/>
      <c r="F722" s="417" t="s">
        <v>2867</v>
      </c>
    </row>
    <row r="723">
      <c r="A723" s="486"/>
      <c r="B723" s="486"/>
      <c r="C723" s="486"/>
      <c r="D723" s="487"/>
      <c r="E723" s="486"/>
      <c r="F723" s="417" t="s">
        <v>2675</v>
      </c>
    </row>
    <row r="724">
      <c r="A724" s="486"/>
      <c r="B724" s="486"/>
      <c r="C724" s="486"/>
      <c r="D724" s="487"/>
      <c r="E724" s="486"/>
      <c r="F724" s="417" t="s">
        <v>3018</v>
      </c>
    </row>
    <row r="725">
      <c r="A725" s="486"/>
      <c r="B725" s="486"/>
      <c r="C725" s="486"/>
      <c r="D725" s="487"/>
      <c r="E725" s="486"/>
      <c r="F725" s="417" t="s">
        <v>2547</v>
      </c>
    </row>
    <row r="726">
      <c r="A726" s="486"/>
      <c r="B726" s="486"/>
      <c r="C726" s="486"/>
      <c r="D726" s="487"/>
      <c r="E726" s="486"/>
      <c r="F726" s="417" t="s">
        <v>3067</v>
      </c>
    </row>
    <row r="727">
      <c r="A727" s="486"/>
      <c r="B727" s="486"/>
      <c r="C727" s="486"/>
      <c r="D727" s="487"/>
      <c r="E727" s="486"/>
      <c r="F727" s="417" t="s">
        <v>2920</v>
      </c>
    </row>
    <row r="728">
      <c r="A728" s="486"/>
      <c r="B728" s="486"/>
      <c r="C728" s="486"/>
      <c r="D728" s="487"/>
      <c r="E728" s="486"/>
      <c r="F728" s="417" t="s">
        <v>3069</v>
      </c>
    </row>
    <row r="729">
      <c r="A729" s="486"/>
      <c r="B729" s="486"/>
      <c r="C729" s="486"/>
      <c r="D729" s="487"/>
      <c r="E729" s="486"/>
      <c r="F729" s="417" t="s">
        <v>2721</v>
      </c>
    </row>
    <row r="730">
      <c r="A730" s="486"/>
      <c r="B730" s="486"/>
      <c r="C730" s="486"/>
      <c r="D730" s="487"/>
      <c r="E730" s="486"/>
      <c r="F730" s="417" t="s">
        <v>2820</v>
      </c>
    </row>
    <row r="731">
      <c r="A731" s="486"/>
      <c r="B731" s="486"/>
      <c r="C731" s="486"/>
      <c r="D731" s="487"/>
      <c r="E731" s="486"/>
      <c r="F731" s="417" t="s">
        <v>2633</v>
      </c>
    </row>
    <row r="732">
      <c r="A732" s="486"/>
      <c r="B732" s="486"/>
      <c r="C732" s="486"/>
      <c r="D732" s="487"/>
      <c r="E732" s="486"/>
      <c r="F732" s="417" t="s">
        <v>2580</v>
      </c>
    </row>
    <row r="733">
      <c r="A733" s="486"/>
      <c r="B733" s="486"/>
      <c r="C733" s="486"/>
      <c r="D733" s="487"/>
      <c r="E733" s="486"/>
      <c r="F733" s="417" t="s">
        <v>3070</v>
      </c>
    </row>
    <row r="734">
      <c r="A734" s="486"/>
      <c r="B734" s="486"/>
      <c r="C734" s="486"/>
      <c r="D734" s="487"/>
      <c r="E734" s="486"/>
      <c r="F734" s="417" t="s">
        <v>2524</v>
      </c>
    </row>
    <row r="735">
      <c r="A735" s="486"/>
      <c r="B735" s="486"/>
      <c r="C735" s="486"/>
      <c r="D735" s="487"/>
      <c r="E735" s="486"/>
      <c r="F735" s="417" t="s">
        <v>2973</v>
      </c>
    </row>
    <row r="736">
      <c r="A736" s="486"/>
      <c r="B736" s="486"/>
      <c r="C736" s="486"/>
      <c r="D736" s="487"/>
      <c r="E736" s="486"/>
      <c r="F736" s="417" t="s">
        <v>2676</v>
      </c>
    </row>
    <row r="737">
      <c r="A737" s="486"/>
      <c r="B737" s="486"/>
      <c r="C737" s="486"/>
      <c r="D737" s="487"/>
      <c r="E737" s="486"/>
      <c r="F737" s="417" t="s">
        <v>3071</v>
      </c>
    </row>
    <row r="738">
      <c r="A738" s="486"/>
      <c r="B738" s="486"/>
      <c r="C738" s="486"/>
      <c r="D738" s="487"/>
      <c r="E738" s="486"/>
      <c r="F738" s="417" t="s">
        <v>2774</v>
      </c>
    </row>
    <row r="739">
      <c r="A739" s="486"/>
      <c r="B739" s="486"/>
      <c r="C739" s="486"/>
      <c r="D739" s="487"/>
      <c r="E739" s="486"/>
      <c r="F739" s="417" t="s">
        <v>2677</v>
      </c>
    </row>
    <row r="740">
      <c r="A740" s="486"/>
      <c r="B740" s="486"/>
      <c r="C740" s="486"/>
      <c r="D740" s="487"/>
      <c r="E740" s="486"/>
      <c r="F740" s="417" t="s">
        <v>3019</v>
      </c>
    </row>
    <row r="741">
      <c r="A741" s="486"/>
      <c r="B741" s="486"/>
      <c r="C741" s="486"/>
      <c r="D741" s="487"/>
      <c r="E741" s="486"/>
      <c r="F741" s="417" t="s">
        <v>2525</v>
      </c>
    </row>
    <row r="742">
      <c r="A742" s="486"/>
      <c r="B742" s="486"/>
      <c r="C742" s="486"/>
      <c r="D742" s="487"/>
      <c r="E742" s="486"/>
      <c r="F742" s="417" t="s">
        <v>2775</v>
      </c>
    </row>
    <row r="743">
      <c r="A743" s="486"/>
      <c r="B743" s="486"/>
      <c r="C743" s="486"/>
      <c r="D743" s="487"/>
      <c r="E743" s="486"/>
      <c r="F743" s="417" t="s">
        <v>2526</v>
      </c>
    </row>
    <row r="744">
      <c r="A744" s="486"/>
      <c r="B744" s="486"/>
      <c r="C744" s="486"/>
      <c r="D744" s="487"/>
      <c r="E744" s="486"/>
      <c r="F744" s="417" t="s">
        <v>2868</v>
      </c>
    </row>
    <row r="745">
      <c r="A745" s="486"/>
      <c r="B745" s="486"/>
      <c r="C745" s="486"/>
      <c r="D745" s="487"/>
      <c r="E745" s="486"/>
      <c r="F745" s="417" t="s">
        <v>3020</v>
      </c>
    </row>
    <row r="746">
      <c r="A746" s="486"/>
      <c r="B746" s="486"/>
      <c r="C746" s="486"/>
      <c r="D746" s="487"/>
      <c r="E746" s="486"/>
      <c r="F746" s="417" t="s">
        <v>2527</v>
      </c>
    </row>
    <row r="747">
      <c r="A747" s="486"/>
      <c r="B747" s="486"/>
      <c r="C747" s="486"/>
      <c r="D747" s="487"/>
      <c r="E747" s="486"/>
      <c r="F747" s="417" t="s">
        <v>2821</v>
      </c>
    </row>
    <row r="748">
      <c r="A748" s="486"/>
      <c r="B748" s="486"/>
      <c r="C748" s="486"/>
      <c r="D748" s="487"/>
      <c r="E748" s="486"/>
      <c r="F748" s="417" t="s">
        <v>2581</v>
      </c>
    </row>
    <row r="749">
      <c r="A749" s="486"/>
      <c r="B749" s="486"/>
      <c r="C749" s="486"/>
      <c r="D749" s="487"/>
      <c r="E749" s="486"/>
      <c r="F749" s="417" t="s">
        <v>2582</v>
      </c>
    </row>
    <row r="750">
      <c r="A750" s="486"/>
      <c r="B750" s="486"/>
      <c r="C750" s="486"/>
      <c r="D750" s="487"/>
      <c r="E750" s="486"/>
      <c r="F750" s="417" t="s">
        <v>2869</v>
      </c>
    </row>
    <row r="751">
      <c r="A751" s="486"/>
      <c r="B751" s="486"/>
      <c r="C751" s="486"/>
      <c r="D751" s="487"/>
      <c r="E751" s="486"/>
      <c r="F751" s="417" t="s">
        <v>2722</v>
      </c>
    </row>
    <row r="752">
      <c r="A752" s="486"/>
      <c r="B752" s="486"/>
      <c r="C752" s="486"/>
      <c r="D752" s="487"/>
      <c r="E752" s="486"/>
      <c r="F752" s="417" t="s">
        <v>2723</v>
      </c>
    </row>
    <row r="753">
      <c r="A753" s="486"/>
      <c r="B753" s="486"/>
      <c r="C753" s="486"/>
      <c r="D753" s="487"/>
      <c r="E753" s="486"/>
      <c r="F753" s="417" t="s">
        <v>2870</v>
      </c>
    </row>
    <row r="754">
      <c r="A754" s="486"/>
      <c r="B754" s="486"/>
      <c r="C754" s="486"/>
      <c r="D754" s="487"/>
      <c r="E754" s="486"/>
      <c r="F754" s="417" t="s">
        <v>2921</v>
      </c>
    </row>
    <row r="755">
      <c r="A755" s="486"/>
      <c r="B755" s="486"/>
      <c r="C755" s="486"/>
      <c r="D755" s="487"/>
      <c r="E755" s="486"/>
      <c r="F755" s="417" t="s">
        <v>2871</v>
      </c>
    </row>
    <row r="756">
      <c r="A756" s="486"/>
      <c r="B756" s="486"/>
      <c r="C756" s="486"/>
      <c r="D756" s="487"/>
      <c r="E756" s="486"/>
      <c r="F756" s="417" t="s">
        <v>2974</v>
      </c>
    </row>
    <row r="757">
      <c r="A757" s="486"/>
      <c r="B757" s="486"/>
      <c r="C757" s="486"/>
      <c r="D757" s="487"/>
      <c r="E757" s="486"/>
      <c r="F757" s="417" t="s">
        <v>3021</v>
      </c>
    </row>
    <row r="758">
      <c r="A758" s="486"/>
      <c r="B758" s="486"/>
      <c r="C758" s="486"/>
      <c r="D758" s="487"/>
      <c r="E758" s="486"/>
      <c r="F758" s="417" t="s">
        <v>2678</v>
      </c>
    </row>
    <row r="759">
      <c r="A759" s="486"/>
      <c r="B759" s="486"/>
      <c r="C759" s="486"/>
      <c r="D759" s="487"/>
      <c r="E759" s="486"/>
      <c r="F759" s="417" t="s">
        <v>2528</v>
      </c>
    </row>
    <row r="760">
      <c r="A760" s="486"/>
      <c r="B760" s="486"/>
      <c r="C760" s="486"/>
      <c r="D760" s="487"/>
      <c r="E760" s="486"/>
      <c r="F760" s="417" t="s">
        <v>3072</v>
      </c>
    </row>
    <row r="761">
      <c r="A761" s="486"/>
      <c r="B761" s="486"/>
      <c r="C761" s="486"/>
      <c r="D761" s="487"/>
      <c r="E761" s="486"/>
      <c r="F761" s="417" t="s">
        <v>2584</v>
      </c>
    </row>
    <row r="762">
      <c r="A762" s="486"/>
      <c r="B762" s="486"/>
      <c r="C762" s="486"/>
      <c r="D762" s="487"/>
      <c r="E762" s="486"/>
      <c r="F762" s="417" t="s">
        <v>2822</v>
      </c>
    </row>
    <row r="763">
      <c r="A763" s="486"/>
      <c r="B763" s="486"/>
      <c r="C763" s="486"/>
      <c r="D763" s="487"/>
      <c r="E763" s="486"/>
      <c r="F763" s="417" t="s">
        <v>2529</v>
      </c>
    </row>
    <row r="764">
      <c r="A764" s="486"/>
      <c r="B764" s="486"/>
      <c r="C764" s="486"/>
      <c r="D764" s="487"/>
      <c r="E764" s="486"/>
      <c r="F764" s="417" t="s">
        <v>2975</v>
      </c>
    </row>
    <row r="765">
      <c r="A765" s="486"/>
      <c r="B765" s="486"/>
      <c r="C765" s="486"/>
      <c r="D765" s="487"/>
      <c r="E765" s="486"/>
      <c r="F765" s="417" t="s">
        <v>2585</v>
      </c>
    </row>
    <row r="766">
      <c r="A766" s="486"/>
      <c r="B766" s="486"/>
      <c r="C766" s="486"/>
      <c r="D766" s="487"/>
      <c r="E766" s="486"/>
      <c r="F766" s="417" t="s">
        <v>2922</v>
      </c>
    </row>
    <row r="767">
      <c r="A767" s="486"/>
      <c r="B767" s="486"/>
      <c r="C767" s="486"/>
      <c r="D767" s="487"/>
      <c r="E767" s="486"/>
      <c r="F767" s="417" t="s">
        <v>2586</v>
      </c>
    </row>
    <row r="768">
      <c r="A768" s="486"/>
      <c r="B768" s="486"/>
      <c r="C768" s="486"/>
      <c r="D768" s="487"/>
      <c r="E768" s="486"/>
      <c r="F768" s="417" t="s">
        <v>3073</v>
      </c>
    </row>
    <row r="769">
      <c r="A769" s="486"/>
      <c r="B769" s="486"/>
      <c r="C769" s="486"/>
      <c r="D769" s="487"/>
      <c r="E769" s="486"/>
      <c r="F769" s="417" t="s">
        <v>2823</v>
      </c>
    </row>
    <row r="770">
      <c r="A770" s="486"/>
      <c r="B770" s="486"/>
      <c r="C770" s="486"/>
      <c r="D770" s="487"/>
      <c r="E770" s="486"/>
      <c r="F770" s="417" t="s">
        <v>2923</v>
      </c>
    </row>
    <row r="771">
      <c r="A771" s="486"/>
      <c r="B771" s="486"/>
      <c r="C771" s="486"/>
      <c r="D771" s="487"/>
      <c r="E771" s="486"/>
      <c r="F771" s="417" t="s">
        <v>2776</v>
      </c>
    </row>
    <row r="772">
      <c r="A772" s="486"/>
      <c r="B772" s="486"/>
      <c r="C772" s="486"/>
      <c r="D772" s="487"/>
      <c r="E772" s="486"/>
      <c r="F772" s="417" t="s">
        <v>2530</v>
      </c>
    </row>
    <row r="773">
      <c r="A773" s="486"/>
      <c r="B773" s="486"/>
      <c r="C773" s="486"/>
      <c r="D773" s="487"/>
      <c r="E773" s="486"/>
      <c r="F773" s="417" t="s">
        <v>2924</v>
      </c>
    </row>
    <row r="774">
      <c r="A774" s="486"/>
      <c r="B774" s="486"/>
      <c r="C774" s="486"/>
      <c r="D774" s="487"/>
      <c r="E774" s="486"/>
      <c r="F774" s="417" t="s">
        <v>2824</v>
      </c>
    </row>
    <row r="775">
      <c r="A775" s="486"/>
      <c r="B775" s="486"/>
      <c r="C775" s="486"/>
      <c r="D775" s="487"/>
      <c r="E775" s="486"/>
      <c r="F775" s="417" t="s">
        <v>3022</v>
      </c>
    </row>
    <row r="776">
      <c r="A776" s="486"/>
      <c r="B776" s="486"/>
      <c r="C776" s="486"/>
      <c r="D776" s="487"/>
      <c r="E776" s="486"/>
      <c r="F776" s="417" t="s">
        <v>2925</v>
      </c>
    </row>
    <row r="777">
      <c r="A777" s="486"/>
      <c r="B777" s="486"/>
      <c r="C777" s="486"/>
      <c r="D777" s="487"/>
      <c r="E777" s="486"/>
      <c r="F777" s="417" t="s">
        <v>3023</v>
      </c>
    </row>
    <row r="778">
      <c r="A778" s="486"/>
      <c r="B778" s="486"/>
      <c r="C778" s="486"/>
      <c r="D778" s="487"/>
      <c r="E778" s="486"/>
      <c r="F778" s="417" t="s">
        <v>2872</v>
      </c>
    </row>
    <row r="779">
      <c r="A779" s="486"/>
      <c r="B779" s="486"/>
      <c r="C779" s="486"/>
      <c r="D779" s="487"/>
      <c r="E779" s="486"/>
      <c r="F779" s="417" t="s">
        <v>2873</v>
      </c>
    </row>
    <row r="780">
      <c r="A780" s="486"/>
      <c r="B780" s="486"/>
      <c r="C780" s="486"/>
      <c r="D780" s="487"/>
      <c r="E780" s="486"/>
      <c r="F780" s="417" t="s">
        <v>2531</v>
      </c>
    </row>
    <row r="781">
      <c r="A781" s="486"/>
      <c r="B781" s="486"/>
      <c r="C781" s="486"/>
      <c r="D781" s="487"/>
      <c r="E781" s="486"/>
      <c r="F781" s="417" t="s">
        <v>2825</v>
      </c>
    </row>
    <row r="782">
      <c r="A782" s="486"/>
      <c r="B782" s="486"/>
      <c r="C782" s="486"/>
      <c r="D782" s="487"/>
      <c r="E782" s="486"/>
      <c r="F782" s="417" t="s">
        <v>2874</v>
      </c>
    </row>
    <row r="783">
      <c r="A783" s="486"/>
      <c r="B783" s="486"/>
      <c r="C783" s="486"/>
      <c r="D783" s="487"/>
      <c r="E783" s="486"/>
      <c r="F783" s="417" t="s">
        <v>2826</v>
      </c>
    </row>
    <row r="784">
      <c r="A784" s="486"/>
      <c r="B784" s="486"/>
      <c r="C784" s="486"/>
      <c r="D784" s="487"/>
      <c r="E784" s="486"/>
      <c r="F784" s="417" t="s">
        <v>2777</v>
      </c>
    </row>
    <row r="785">
      <c r="A785" s="486"/>
      <c r="B785" s="486"/>
      <c r="C785" s="486"/>
      <c r="D785" s="487"/>
      <c r="E785" s="486"/>
      <c r="F785" s="417" t="s">
        <v>3024</v>
      </c>
    </row>
    <row r="786">
      <c r="A786" s="486"/>
      <c r="B786" s="486"/>
      <c r="C786" s="486"/>
      <c r="D786" s="487"/>
      <c r="E786" s="486"/>
      <c r="F786" s="417" t="s">
        <v>2679</v>
      </c>
    </row>
    <row r="787">
      <c r="A787" s="486"/>
      <c r="B787" s="486"/>
      <c r="C787" s="486"/>
      <c r="D787" s="487"/>
      <c r="E787" s="486"/>
      <c r="F787" s="417" t="s">
        <v>2926</v>
      </c>
    </row>
    <row r="788">
      <c r="A788" s="486"/>
      <c r="B788" s="486"/>
      <c r="C788" s="486"/>
      <c r="D788" s="487"/>
      <c r="E788" s="486"/>
      <c r="F788" s="417" t="s">
        <v>3074</v>
      </c>
    </row>
    <row r="789">
      <c r="A789" s="486"/>
      <c r="B789" s="486"/>
      <c r="C789" s="486"/>
      <c r="D789" s="487"/>
      <c r="E789" s="486"/>
      <c r="F789" s="417" t="s">
        <v>2778</v>
      </c>
    </row>
    <row r="790">
      <c r="A790" s="486"/>
      <c r="B790" s="486"/>
      <c r="C790" s="486"/>
      <c r="D790" s="487"/>
      <c r="E790" s="486"/>
      <c r="F790" s="417" t="s">
        <v>2724</v>
      </c>
    </row>
    <row r="791">
      <c r="A791" s="486"/>
      <c r="B791" s="486"/>
      <c r="C791" s="486"/>
      <c r="D791" s="487"/>
      <c r="E791" s="486"/>
      <c r="F791" s="417" t="s">
        <v>2587</v>
      </c>
    </row>
    <row r="792">
      <c r="A792" s="486"/>
      <c r="B792" s="486"/>
      <c r="C792" s="486"/>
      <c r="D792" s="487"/>
      <c r="E792" s="486"/>
      <c r="F792" s="417" t="s">
        <v>2680</v>
      </c>
    </row>
    <row r="793">
      <c r="A793" s="486"/>
      <c r="B793" s="486"/>
      <c r="C793" s="486"/>
      <c r="D793" s="487"/>
      <c r="E793" s="486"/>
      <c r="F793" s="417" t="s">
        <v>2875</v>
      </c>
    </row>
    <row r="794">
      <c r="A794" s="486"/>
      <c r="B794" s="486"/>
      <c r="C794" s="486"/>
      <c r="D794" s="487"/>
      <c r="E794" s="486"/>
      <c r="F794" s="417" t="s">
        <v>2588</v>
      </c>
    </row>
    <row r="795">
      <c r="A795" s="486"/>
      <c r="B795" s="486"/>
      <c r="C795" s="486"/>
      <c r="D795" s="487"/>
      <c r="E795" s="486"/>
      <c r="F795" s="417" t="s">
        <v>2725</v>
      </c>
    </row>
    <row r="796">
      <c r="A796" s="486"/>
      <c r="B796" s="486"/>
      <c r="C796" s="486"/>
      <c r="D796" s="487"/>
      <c r="E796" s="486"/>
      <c r="F796" s="417" t="s">
        <v>3025</v>
      </c>
    </row>
    <row r="797">
      <c r="A797" s="486"/>
      <c r="B797" s="486"/>
      <c r="C797" s="486"/>
      <c r="D797" s="487"/>
      <c r="E797" s="486"/>
      <c r="F797" s="417" t="s">
        <v>2927</v>
      </c>
    </row>
    <row r="798">
      <c r="A798" s="486"/>
      <c r="B798" s="486"/>
      <c r="C798" s="486"/>
      <c r="D798" s="487"/>
      <c r="E798" s="486"/>
      <c r="F798" s="417" t="s">
        <v>2634</v>
      </c>
    </row>
    <row r="799">
      <c r="A799" s="486"/>
      <c r="B799" s="486"/>
      <c r="C799" s="486"/>
      <c r="D799" s="487"/>
      <c r="E799" s="486"/>
      <c r="F799" s="417" t="s">
        <v>2532</v>
      </c>
    </row>
    <row r="800">
      <c r="A800" s="486"/>
      <c r="B800" s="486"/>
      <c r="C800" s="486"/>
      <c r="D800" s="487"/>
      <c r="E800" s="486"/>
      <c r="F800" s="417" t="s">
        <v>2928</v>
      </c>
    </row>
    <row r="801">
      <c r="A801" s="486"/>
      <c r="B801" s="486"/>
      <c r="C801" s="486"/>
      <c r="D801" s="487"/>
      <c r="E801" s="486"/>
      <c r="F801" s="417" t="s">
        <v>2681</v>
      </c>
    </row>
    <row r="802">
      <c r="A802" s="486"/>
      <c r="B802" s="486"/>
      <c r="C802" s="486"/>
      <c r="D802" s="487"/>
      <c r="E802" s="486"/>
      <c r="F802" s="417" t="s">
        <v>2726</v>
      </c>
    </row>
    <row r="803">
      <c r="A803" s="486"/>
      <c r="B803" s="486"/>
      <c r="C803" s="486"/>
      <c r="D803" s="487"/>
      <c r="E803" s="486"/>
      <c r="F803" s="417" t="s">
        <v>2976</v>
      </c>
    </row>
    <row r="804">
      <c r="A804" s="486"/>
      <c r="B804" s="486"/>
      <c r="C804" s="486"/>
      <c r="D804" s="487"/>
      <c r="E804" s="486"/>
      <c r="F804" s="417" t="s">
        <v>2876</v>
      </c>
    </row>
    <row r="805">
      <c r="A805" s="486"/>
      <c r="B805" s="486"/>
      <c r="C805" s="486"/>
      <c r="D805" s="487"/>
      <c r="E805" s="486"/>
      <c r="F805" s="417" t="s">
        <v>3075</v>
      </c>
    </row>
    <row r="806">
      <c r="A806" s="486"/>
      <c r="B806" s="486"/>
      <c r="C806" s="486"/>
      <c r="D806" s="487"/>
      <c r="E806" s="486"/>
      <c r="F806" s="417" t="s">
        <v>2682</v>
      </c>
    </row>
    <row r="807">
      <c r="A807" s="486"/>
      <c r="B807" s="486"/>
      <c r="C807" s="486"/>
      <c r="D807" s="487"/>
      <c r="E807" s="486"/>
      <c r="F807" s="417" t="s">
        <v>2727</v>
      </c>
    </row>
    <row r="808">
      <c r="A808" s="486"/>
      <c r="B808" s="486"/>
      <c r="C808" s="486"/>
      <c r="D808" s="487"/>
      <c r="E808" s="486"/>
      <c r="F808" s="417" t="s">
        <v>3026</v>
      </c>
    </row>
    <row r="809">
      <c r="A809" s="486"/>
      <c r="B809" s="486"/>
      <c r="C809" s="486"/>
      <c r="D809" s="487"/>
      <c r="E809" s="486"/>
      <c r="F809" s="417" t="s">
        <v>2635</v>
      </c>
    </row>
    <row r="810">
      <c r="A810" s="486"/>
      <c r="B810" s="486"/>
      <c r="C810" s="486"/>
      <c r="D810" s="487"/>
      <c r="E810" s="486"/>
      <c r="F810" s="417" t="s">
        <v>2683</v>
      </c>
    </row>
    <row r="811">
      <c r="A811" s="486"/>
      <c r="B811" s="486"/>
      <c r="C811" s="486"/>
      <c r="D811" s="487"/>
      <c r="E811" s="486"/>
      <c r="F811" s="417" t="s">
        <v>2827</v>
      </c>
    </row>
    <row r="812">
      <c r="A812" s="486"/>
      <c r="B812" s="486"/>
      <c r="C812" s="486"/>
      <c r="D812" s="487"/>
      <c r="E812" s="486"/>
      <c r="F812" s="417" t="s">
        <v>2729</v>
      </c>
    </row>
    <row r="813">
      <c r="A813" s="486"/>
      <c r="B813" s="486"/>
      <c r="C813" s="486"/>
      <c r="D813" s="487"/>
      <c r="E813" s="486"/>
      <c r="F813" s="417" t="s">
        <v>3027</v>
      </c>
    </row>
    <row r="814">
      <c r="A814" s="486"/>
      <c r="B814" s="486"/>
      <c r="C814" s="486"/>
      <c r="D814" s="487"/>
      <c r="E814" s="486"/>
      <c r="F814" s="417" t="s">
        <v>2636</v>
      </c>
    </row>
    <row r="815">
      <c r="A815" s="486"/>
      <c r="B815" s="486"/>
      <c r="C815" s="486"/>
      <c r="D815" s="487"/>
      <c r="E815" s="486"/>
      <c r="F815" s="417" t="s">
        <v>3076</v>
      </c>
    </row>
    <row r="816">
      <c r="A816" s="486"/>
      <c r="B816" s="486"/>
      <c r="C816" s="486"/>
      <c r="D816" s="487"/>
      <c r="E816" s="486"/>
      <c r="F816" s="417" t="s">
        <v>3028</v>
      </c>
    </row>
    <row r="817">
      <c r="A817" s="486"/>
      <c r="B817" s="486"/>
      <c r="C817" s="486"/>
      <c r="D817" s="487"/>
      <c r="E817" s="486"/>
      <c r="F817" s="417" t="s">
        <v>2828</v>
      </c>
    </row>
    <row r="818">
      <c r="A818" s="486"/>
      <c r="B818" s="486"/>
      <c r="C818" s="486"/>
      <c r="D818" s="487"/>
      <c r="E818" s="486"/>
      <c r="F818" s="417" t="s">
        <v>2533</v>
      </c>
    </row>
    <row r="819">
      <c r="A819" s="486"/>
      <c r="B819" s="486"/>
      <c r="C819" s="486"/>
      <c r="D819" s="487"/>
      <c r="E819" s="486"/>
      <c r="F819" s="417" t="s">
        <v>3077</v>
      </c>
    </row>
    <row r="820">
      <c r="A820" s="486"/>
      <c r="B820" s="486"/>
      <c r="C820" s="486"/>
      <c r="D820" s="487"/>
      <c r="E820" s="486"/>
      <c r="F820" s="417" t="s">
        <v>2877</v>
      </c>
    </row>
    <row r="821">
      <c r="A821" s="486"/>
      <c r="B821" s="486"/>
      <c r="C821" s="486"/>
      <c r="D821" s="487"/>
      <c r="E821" s="486"/>
      <c r="F821" s="417" t="s">
        <v>2534</v>
      </c>
    </row>
    <row r="822">
      <c r="A822" s="486"/>
      <c r="B822" s="486"/>
      <c r="C822" s="486"/>
      <c r="D822" s="487"/>
      <c r="E822" s="486"/>
      <c r="F822" s="417" t="s">
        <v>2779</v>
      </c>
    </row>
    <row r="823">
      <c r="A823" s="486"/>
      <c r="B823" s="486"/>
      <c r="C823" s="486"/>
      <c r="D823" s="487"/>
      <c r="E823" s="486"/>
      <c r="F823" s="417" t="s">
        <v>2878</v>
      </c>
    </row>
    <row r="824">
      <c r="A824" s="486"/>
      <c r="B824" s="486"/>
      <c r="C824" s="486"/>
      <c r="D824" s="487"/>
      <c r="E824" s="486"/>
      <c r="F824" s="417" t="s">
        <v>2977</v>
      </c>
    </row>
    <row r="825">
      <c r="A825" s="486"/>
      <c r="B825" s="486"/>
      <c r="C825" s="486"/>
      <c r="D825" s="487"/>
      <c r="E825" s="486"/>
      <c r="F825" s="417" t="s">
        <v>2929</v>
      </c>
    </row>
    <row r="826">
      <c r="A826" s="486"/>
      <c r="B826" s="486"/>
      <c r="C826" s="486"/>
      <c r="D826" s="487"/>
      <c r="E826" s="486"/>
      <c r="F826" s="417" t="s">
        <v>2879</v>
      </c>
    </row>
    <row r="827">
      <c r="A827" s="486"/>
      <c r="B827" s="486"/>
      <c r="C827" s="486"/>
      <c r="D827" s="487"/>
      <c r="E827" s="486"/>
      <c r="F827" s="417" t="s">
        <v>3078</v>
      </c>
    </row>
    <row r="828">
      <c r="A828" s="486"/>
      <c r="B828" s="486"/>
      <c r="C828" s="486"/>
      <c r="D828" s="487"/>
      <c r="E828" s="486"/>
      <c r="F828" s="417" t="s">
        <v>2730</v>
      </c>
    </row>
    <row r="829">
      <c r="A829" s="486"/>
      <c r="B829" s="486"/>
      <c r="C829" s="486"/>
      <c r="D829" s="487"/>
      <c r="E829" s="486"/>
      <c r="F829" s="417" t="s">
        <v>2978</v>
      </c>
    </row>
    <row r="830">
      <c r="A830" s="486"/>
      <c r="B830" s="486"/>
      <c r="C830" s="486"/>
      <c r="D830" s="487"/>
      <c r="E830" s="486"/>
      <c r="F830" s="417" t="s">
        <v>2979</v>
      </c>
    </row>
    <row r="831">
      <c r="A831" s="486"/>
      <c r="B831" s="486"/>
      <c r="C831" s="486"/>
      <c r="D831" s="487"/>
      <c r="E831" s="486"/>
      <c r="F831" s="417" t="s">
        <v>2829</v>
      </c>
    </row>
    <row r="832">
      <c r="A832" s="486"/>
      <c r="B832" s="486"/>
      <c r="C832" s="486"/>
      <c r="D832" s="487"/>
      <c r="E832" s="486"/>
      <c r="F832" s="417" t="s">
        <v>3079</v>
      </c>
    </row>
    <row r="833">
      <c r="A833" s="486"/>
      <c r="B833" s="486"/>
      <c r="C833" s="486"/>
      <c r="D833" s="487"/>
      <c r="E833" s="486"/>
      <c r="F833" s="417" t="s">
        <v>2980</v>
      </c>
    </row>
    <row r="834">
      <c r="A834" s="486"/>
      <c r="B834" s="486"/>
      <c r="C834" s="486"/>
      <c r="D834" s="487"/>
      <c r="E834" s="486"/>
      <c r="F834" s="417" t="s">
        <v>3080</v>
      </c>
    </row>
    <row r="835">
      <c r="A835" s="486"/>
      <c r="B835" s="486"/>
      <c r="C835" s="486"/>
      <c r="D835" s="487"/>
      <c r="E835" s="486"/>
      <c r="F835" s="417" t="s">
        <v>2880</v>
      </c>
    </row>
    <row r="836">
      <c r="A836" s="486"/>
      <c r="B836" s="486"/>
      <c r="C836" s="486"/>
      <c r="D836" s="487"/>
      <c r="E836" s="486"/>
      <c r="F836" s="417" t="s">
        <v>2830</v>
      </c>
    </row>
    <row r="837">
      <c r="A837" s="486"/>
      <c r="B837" s="486"/>
      <c r="C837" s="486"/>
      <c r="D837" s="487"/>
      <c r="E837" s="486"/>
      <c r="F837" s="417" t="s">
        <v>2780</v>
      </c>
    </row>
    <row r="838">
      <c r="A838" s="486"/>
      <c r="B838" s="486"/>
      <c r="C838" s="486"/>
      <c r="D838" s="487"/>
      <c r="E838" s="486"/>
      <c r="F838" s="417" t="s">
        <v>3081</v>
      </c>
    </row>
    <row r="839">
      <c r="A839" s="486"/>
      <c r="B839" s="486"/>
      <c r="C839" s="486"/>
      <c r="D839" s="487"/>
      <c r="E839" s="486"/>
      <c r="F839" s="417" t="s">
        <v>2731</v>
      </c>
    </row>
    <row r="840">
      <c r="A840" s="486"/>
      <c r="B840" s="486"/>
      <c r="C840" s="486"/>
      <c r="D840" s="487"/>
      <c r="E840" s="486"/>
      <c r="F840" s="417" t="s">
        <v>2881</v>
      </c>
    </row>
    <row r="841">
      <c r="A841" s="486"/>
      <c r="B841" s="486"/>
      <c r="C841" s="486"/>
      <c r="D841" s="487"/>
      <c r="E841" s="486"/>
      <c r="F841" s="417" t="s">
        <v>2732</v>
      </c>
    </row>
    <row r="842">
      <c r="A842" s="486"/>
      <c r="B842" s="486"/>
      <c r="C842" s="486"/>
      <c r="D842" s="487"/>
      <c r="E842" s="486"/>
      <c r="F842" s="417" t="s">
        <v>2637</v>
      </c>
    </row>
    <row r="843">
      <c r="A843" s="486"/>
      <c r="B843" s="486"/>
      <c r="C843" s="486"/>
      <c r="D843" s="487"/>
      <c r="E843" s="486"/>
      <c r="F843" s="417" t="s">
        <v>2589</v>
      </c>
    </row>
    <row r="844">
      <c r="A844" s="486"/>
      <c r="B844" s="486"/>
      <c r="C844" s="486"/>
      <c r="D844" s="487"/>
      <c r="E844" s="486"/>
      <c r="F844" s="417" t="s">
        <v>3029</v>
      </c>
    </row>
    <row r="845">
      <c r="A845" s="486"/>
      <c r="B845" s="486"/>
      <c r="C845" s="486"/>
      <c r="D845" s="487"/>
      <c r="E845" s="486"/>
      <c r="F845" s="417" t="s">
        <v>3082</v>
      </c>
    </row>
    <row r="846">
      <c r="A846" s="486"/>
      <c r="B846" s="486"/>
      <c r="C846" s="486"/>
      <c r="D846" s="487"/>
      <c r="E846" s="486"/>
      <c r="F846" s="417" t="s">
        <v>2882</v>
      </c>
    </row>
    <row r="847">
      <c r="A847" s="486"/>
      <c r="B847" s="486"/>
      <c r="C847" s="486"/>
      <c r="D847" s="487"/>
      <c r="E847" s="486"/>
      <c r="F847" s="417" t="s">
        <v>2590</v>
      </c>
    </row>
    <row r="848">
      <c r="A848" s="486"/>
      <c r="B848" s="486"/>
      <c r="C848" s="486"/>
      <c r="D848" s="487"/>
      <c r="E848" s="486"/>
      <c r="F848" s="417" t="s">
        <v>2883</v>
      </c>
    </row>
    <row r="849">
      <c r="A849" s="486"/>
      <c r="B849" s="486"/>
      <c r="C849" s="486"/>
      <c r="D849" s="487"/>
      <c r="E849" s="486"/>
      <c r="F849" s="417" t="s">
        <v>2638</v>
      </c>
    </row>
    <row r="850">
      <c r="A850" s="486"/>
      <c r="B850" s="486"/>
      <c r="C850" s="486"/>
      <c r="D850" s="487"/>
      <c r="E850" s="486"/>
      <c r="F850" s="417" t="s">
        <v>2535</v>
      </c>
    </row>
    <row r="851">
      <c r="A851" s="486"/>
      <c r="B851" s="486"/>
      <c r="C851" s="486"/>
      <c r="D851" s="487"/>
      <c r="E851" s="486"/>
      <c r="F851" s="417" t="s">
        <v>2536</v>
      </c>
    </row>
    <row r="852">
      <c r="A852" s="486"/>
      <c r="B852" s="486"/>
      <c r="C852" s="486"/>
      <c r="D852" s="487"/>
      <c r="E852" s="486"/>
      <c r="F852" s="417" t="s">
        <v>2930</v>
      </c>
    </row>
    <row r="853">
      <c r="A853" s="486"/>
      <c r="B853" s="486"/>
      <c r="C853" s="486"/>
      <c r="D853" s="487"/>
      <c r="E853" s="486"/>
      <c r="F853" s="417" t="s">
        <v>2639</v>
      </c>
    </row>
    <row r="854">
      <c r="A854" s="486"/>
      <c r="B854" s="486"/>
      <c r="C854" s="486"/>
      <c r="D854" s="487"/>
      <c r="E854" s="486"/>
      <c r="F854" s="417" t="s">
        <v>2733</v>
      </c>
    </row>
    <row r="855">
      <c r="A855" s="486"/>
      <c r="B855" s="486"/>
      <c r="C855" s="486"/>
      <c r="D855" s="487"/>
      <c r="E855" s="486"/>
      <c r="F855" s="417" t="s">
        <v>2831</v>
      </c>
    </row>
    <row r="856">
      <c r="A856" s="486"/>
      <c r="B856" s="486"/>
      <c r="C856" s="486"/>
      <c r="D856" s="487"/>
      <c r="E856" s="486"/>
      <c r="F856" s="417" t="s">
        <v>2734</v>
      </c>
    </row>
    <row r="857">
      <c r="A857" s="486"/>
      <c r="B857" s="486"/>
      <c r="C857" s="486"/>
      <c r="D857" s="487"/>
      <c r="E857" s="486"/>
      <c r="F857" s="417" t="s">
        <v>3083</v>
      </c>
    </row>
    <row r="858">
      <c r="A858" s="486"/>
      <c r="B858" s="486"/>
      <c r="C858" s="486"/>
      <c r="D858" s="487"/>
      <c r="E858" s="486"/>
      <c r="F858" s="417" t="s">
        <v>2591</v>
      </c>
    </row>
    <row r="859">
      <c r="A859" s="486"/>
      <c r="B859" s="486"/>
      <c r="C859" s="486"/>
      <c r="D859" s="487"/>
      <c r="E859" s="486"/>
      <c r="F859" s="417" t="s">
        <v>2641</v>
      </c>
    </row>
    <row r="860">
      <c r="A860" s="486"/>
      <c r="B860" s="486"/>
      <c r="C860" s="486"/>
      <c r="D860" s="487"/>
      <c r="E860" s="486"/>
      <c r="F860" s="417" t="s">
        <v>2684</v>
      </c>
    </row>
    <row r="861">
      <c r="A861" s="486"/>
      <c r="B861" s="486"/>
      <c r="C861" s="486"/>
      <c r="D861" s="487"/>
      <c r="E861" s="486"/>
      <c r="F861" s="417" t="s">
        <v>2592</v>
      </c>
    </row>
    <row r="862">
      <c r="A862" s="486"/>
      <c r="B862" s="486"/>
      <c r="C862" s="486"/>
      <c r="D862" s="487"/>
      <c r="E862" s="486"/>
      <c r="F862" s="417" t="s">
        <v>2685</v>
      </c>
    </row>
    <row r="863">
      <c r="A863" s="486"/>
      <c r="B863" s="486"/>
      <c r="C863" s="486"/>
      <c r="D863" s="487"/>
      <c r="E863" s="486"/>
      <c r="F863" s="417" t="s">
        <v>2537</v>
      </c>
    </row>
    <row r="864">
      <c r="A864" s="486"/>
      <c r="B864" s="486"/>
      <c r="C864" s="486"/>
      <c r="D864" s="487"/>
      <c r="E864" s="486"/>
      <c r="F864" s="417" t="s">
        <v>2735</v>
      </c>
    </row>
    <row r="865">
      <c r="A865" s="486"/>
      <c r="B865" s="486"/>
      <c r="C865" s="486"/>
      <c r="D865" s="487"/>
      <c r="E865" s="486"/>
      <c r="F865" s="417" t="s">
        <v>2642</v>
      </c>
    </row>
    <row r="866">
      <c r="A866" s="486"/>
      <c r="B866" s="486"/>
      <c r="C866" s="486"/>
      <c r="D866" s="487"/>
      <c r="E866" s="486"/>
      <c r="F866" s="417" t="s">
        <v>2643</v>
      </c>
    </row>
    <row r="867">
      <c r="A867" s="486"/>
      <c r="B867" s="486"/>
      <c r="C867" s="486"/>
      <c r="D867" s="487"/>
      <c r="E867" s="486"/>
      <c r="F867" s="417" t="s">
        <v>2593</v>
      </c>
    </row>
    <row r="868">
      <c r="A868" s="486"/>
      <c r="B868" s="486"/>
      <c r="C868" s="486"/>
      <c r="D868" s="487"/>
      <c r="E868" s="486"/>
      <c r="F868" s="417" t="s">
        <v>2931</v>
      </c>
    </row>
    <row r="869">
      <c r="A869" s="486"/>
      <c r="B869" s="486"/>
      <c r="C869" s="486"/>
      <c r="D869" s="487"/>
      <c r="E869" s="486"/>
      <c r="F869" s="417" t="s">
        <v>2781</v>
      </c>
    </row>
    <row r="870">
      <c r="A870" s="486"/>
      <c r="B870" s="486"/>
      <c r="C870" s="486"/>
      <c r="D870" s="487"/>
      <c r="E870" s="486"/>
      <c r="F870" s="417" t="s">
        <v>2981</v>
      </c>
    </row>
    <row r="871">
      <c r="A871" s="486"/>
      <c r="B871" s="486"/>
      <c r="C871" s="486"/>
      <c r="D871" s="487"/>
      <c r="E871" s="486"/>
      <c r="F871" s="417" t="s">
        <v>2884</v>
      </c>
    </row>
    <row r="872">
      <c r="A872" s="486"/>
      <c r="B872" s="486"/>
      <c r="C872" s="486"/>
      <c r="D872" s="487"/>
      <c r="E872" s="486"/>
      <c r="F872" s="417" t="s">
        <v>2885</v>
      </c>
    </row>
    <row r="873">
      <c r="A873" s="486"/>
      <c r="B873" s="486"/>
      <c r="C873" s="486"/>
      <c r="D873" s="487"/>
      <c r="E873" s="486"/>
      <c r="F873" s="417" t="s">
        <v>2782</v>
      </c>
    </row>
    <row r="874">
      <c r="A874" s="486"/>
      <c r="B874" s="486"/>
      <c r="C874" s="486"/>
      <c r="D874" s="487"/>
      <c r="E874" s="486"/>
      <c r="F874" s="417" t="s">
        <v>2686</v>
      </c>
    </row>
    <row r="875">
      <c r="A875" s="486"/>
      <c r="B875" s="486"/>
      <c r="C875" s="486"/>
      <c r="D875" s="487"/>
      <c r="E875" s="486"/>
      <c r="F875" s="417" t="s">
        <v>3084</v>
      </c>
    </row>
    <row r="876">
      <c r="A876" s="486"/>
      <c r="B876" s="486"/>
      <c r="C876" s="486"/>
      <c r="D876" s="487"/>
      <c r="E876" s="486"/>
      <c r="F876" s="417" t="s">
        <v>2783</v>
      </c>
    </row>
    <row r="877">
      <c r="A877" s="486"/>
      <c r="B877" s="486"/>
      <c r="C877" s="486"/>
      <c r="D877" s="487"/>
      <c r="E877" s="486"/>
      <c r="F877" s="417" t="s">
        <v>2736</v>
      </c>
    </row>
    <row r="878">
      <c r="A878" s="486"/>
      <c r="B878" s="486"/>
      <c r="C878" s="486"/>
      <c r="D878" s="487"/>
      <c r="E878" s="486"/>
      <c r="F878" s="417" t="s">
        <v>2737</v>
      </c>
    </row>
    <row r="879">
      <c r="A879" s="486"/>
      <c r="B879" s="486"/>
      <c r="C879" s="486"/>
      <c r="D879" s="487"/>
      <c r="E879" s="486"/>
      <c r="F879" s="417" t="s">
        <v>2538</v>
      </c>
    </row>
    <row r="880">
      <c r="A880" s="486"/>
      <c r="B880" s="486"/>
      <c r="C880" s="486"/>
      <c r="D880" s="487"/>
      <c r="E880" s="486"/>
      <c r="F880" s="417" t="s">
        <v>2539</v>
      </c>
    </row>
    <row r="881">
      <c r="A881" s="486"/>
      <c r="B881" s="486"/>
      <c r="C881" s="486"/>
      <c r="D881" s="487"/>
      <c r="E881" s="486"/>
      <c r="F881" s="417" t="s">
        <v>3085</v>
      </c>
    </row>
    <row r="882">
      <c r="A882" s="486"/>
      <c r="B882" s="486"/>
      <c r="C882" s="486"/>
      <c r="D882" s="487"/>
      <c r="E882" s="486"/>
      <c r="F882" s="417" t="s">
        <v>2784</v>
      </c>
    </row>
    <row r="883">
      <c r="A883" s="486"/>
      <c r="B883" s="486"/>
      <c r="C883" s="486"/>
      <c r="D883" s="487"/>
      <c r="E883" s="486"/>
      <c r="F883" s="417" t="s">
        <v>2932</v>
      </c>
    </row>
    <row r="884">
      <c r="A884" s="486"/>
      <c r="B884" s="486"/>
      <c r="C884" s="486"/>
      <c r="D884" s="487"/>
      <c r="E884" s="486"/>
      <c r="F884" s="417" t="s">
        <v>3030</v>
      </c>
    </row>
    <row r="885">
      <c r="A885" s="486"/>
      <c r="B885" s="486"/>
      <c r="C885" s="486"/>
      <c r="D885" s="487"/>
      <c r="E885" s="486"/>
      <c r="F885" s="417" t="s">
        <v>2982</v>
      </c>
    </row>
    <row r="886">
      <c r="A886" s="486"/>
      <c r="B886" s="486"/>
      <c r="C886" s="486"/>
      <c r="D886" s="487"/>
      <c r="E886" s="486"/>
      <c r="F886" s="417" t="s">
        <v>2933</v>
      </c>
    </row>
    <row r="887">
      <c r="A887" s="486"/>
      <c r="B887" s="486"/>
      <c r="C887" s="486"/>
      <c r="D887" s="487"/>
      <c r="E887" s="486"/>
      <c r="F887" s="417" t="s">
        <v>2644</v>
      </c>
    </row>
    <row r="888">
      <c r="A888" s="486"/>
      <c r="B888" s="486"/>
      <c r="C888" s="486"/>
      <c r="D888" s="487"/>
      <c r="E888" s="486"/>
      <c r="F888" s="417" t="s">
        <v>2983</v>
      </c>
    </row>
    <row r="889">
      <c r="A889" s="486"/>
      <c r="B889" s="486"/>
      <c r="C889" s="486"/>
      <c r="D889" s="487"/>
      <c r="E889" s="486"/>
      <c r="F889" s="417" t="s">
        <v>2886</v>
      </c>
    </row>
    <row r="890">
      <c r="A890" s="486"/>
      <c r="B890" s="486"/>
      <c r="C890" s="486"/>
      <c r="D890" s="487"/>
      <c r="E890" s="486"/>
      <c r="F890" s="417" t="s">
        <v>2832</v>
      </c>
    </row>
    <row r="891">
      <c r="A891" s="486"/>
      <c r="B891" s="486"/>
      <c r="C891" s="486"/>
      <c r="D891" s="487"/>
      <c r="E891" s="486"/>
      <c r="F891" s="417" t="s">
        <v>2934</v>
      </c>
    </row>
    <row r="892">
      <c r="A892" s="486"/>
      <c r="B892" s="486"/>
      <c r="C892" s="486"/>
      <c r="D892" s="487"/>
      <c r="E892" s="486"/>
      <c r="F892" s="417" t="s">
        <v>2833</v>
      </c>
    </row>
    <row r="893">
      <c r="A893" s="486"/>
      <c r="B893" s="486"/>
      <c r="C893" s="486"/>
      <c r="D893" s="487"/>
      <c r="E893" s="486"/>
      <c r="F893" s="417" t="s">
        <v>2594</v>
      </c>
    </row>
    <row r="894">
      <c r="A894" s="486"/>
      <c r="B894" s="486"/>
      <c r="C894" s="486"/>
      <c r="D894" s="487"/>
      <c r="E894" s="486"/>
      <c r="F894" s="417" t="s">
        <v>2984</v>
      </c>
    </row>
    <row r="895">
      <c r="A895" s="486"/>
      <c r="B895" s="486"/>
      <c r="C895" s="486"/>
      <c r="D895" s="487"/>
      <c r="E895" s="486"/>
      <c r="F895" s="417" t="s">
        <v>2887</v>
      </c>
    </row>
    <row r="896">
      <c r="A896" s="486"/>
      <c r="B896" s="486"/>
      <c r="C896" s="486"/>
      <c r="D896" s="487"/>
      <c r="E896" s="486"/>
      <c r="F896" s="417" t="s">
        <v>2738</v>
      </c>
    </row>
    <row r="897">
      <c r="A897" s="486"/>
      <c r="B897" s="486"/>
      <c r="C897" s="486"/>
      <c r="D897" s="487"/>
      <c r="E897" s="486"/>
      <c r="F897" s="417" t="s">
        <v>2687</v>
      </c>
    </row>
    <row r="898">
      <c r="A898" s="486"/>
      <c r="B898" s="486"/>
      <c r="C898" s="486"/>
      <c r="D898" s="487"/>
      <c r="E898" s="486"/>
      <c r="F898" s="417" t="s">
        <v>2935</v>
      </c>
    </row>
    <row r="899">
      <c r="A899" s="486"/>
      <c r="B899" s="486"/>
      <c r="C899" s="486"/>
      <c r="D899" s="487"/>
      <c r="E899" s="486"/>
      <c r="F899" s="417" t="s">
        <v>2595</v>
      </c>
    </row>
    <row r="900">
      <c r="A900" s="486"/>
      <c r="B900" s="486"/>
      <c r="C900" s="486"/>
      <c r="D900" s="487"/>
      <c r="E900" s="486"/>
      <c r="F900" s="417" t="s">
        <v>2688</v>
      </c>
    </row>
    <row r="901">
      <c r="A901" s="486"/>
      <c r="B901" s="486"/>
      <c r="C901" s="486"/>
      <c r="D901" s="487"/>
      <c r="E901" s="486"/>
      <c r="F901" s="417" t="s">
        <v>2540</v>
      </c>
    </row>
    <row r="902">
      <c r="A902" s="486"/>
      <c r="B902" s="486"/>
      <c r="C902" s="486"/>
      <c r="D902" s="487"/>
      <c r="E902" s="486"/>
      <c r="F902" s="417" t="s">
        <v>2541</v>
      </c>
    </row>
    <row r="903">
      <c r="A903" s="486"/>
      <c r="B903" s="486"/>
      <c r="C903" s="486"/>
      <c r="D903" s="487"/>
      <c r="E903" s="486"/>
      <c r="F903" s="417" t="s">
        <v>2785</v>
      </c>
    </row>
    <row r="904">
      <c r="A904" s="486"/>
      <c r="B904" s="486"/>
      <c r="C904" s="486"/>
      <c r="D904" s="487"/>
      <c r="E904" s="486"/>
      <c r="F904" s="417" t="s">
        <v>2786</v>
      </c>
    </row>
    <row r="905">
      <c r="A905" s="486"/>
      <c r="B905" s="486"/>
      <c r="C905" s="486"/>
      <c r="D905" s="487"/>
      <c r="E905" s="486"/>
      <c r="F905" s="417" t="s">
        <v>2689</v>
      </c>
    </row>
    <row r="906">
      <c r="A906" s="486"/>
      <c r="B906" s="486"/>
      <c r="C906" s="486"/>
      <c r="D906" s="487"/>
      <c r="E906" s="486"/>
      <c r="F906" s="417" t="s">
        <v>2739</v>
      </c>
    </row>
    <row r="907">
      <c r="A907" s="486"/>
      <c r="B907" s="486"/>
      <c r="C907" s="486"/>
      <c r="D907" s="487"/>
      <c r="E907" s="486"/>
      <c r="F907" s="417" t="s">
        <v>3031</v>
      </c>
    </row>
    <row r="908">
      <c r="A908" s="486"/>
      <c r="B908" s="486"/>
      <c r="C908" s="486"/>
      <c r="D908" s="487"/>
      <c r="E908" s="486"/>
      <c r="F908" s="417" t="s">
        <v>2690</v>
      </c>
    </row>
    <row r="909">
      <c r="A909" s="486"/>
      <c r="B909" s="486"/>
      <c r="C909" s="486"/>
      <c r="D909" s="487"/>
      <c r="E909" s="486"/>
      <c r="F909" s="417" t="s">
        <v>2787</v>
      </c>
    </row>
    <row r="910">
      <c r="A910" s="486"/>
      <c r="B910" s="486"/>
      <c r="C910" s="486"/>
      <c r="D910" s="487"/>
      <c r="E910" s="486"/>
      <c r="F910" s="417" t="s">
        <v>2645</v>
      </c>
    </row>
    <row r="911">
      <c r="A911" s="486"/>
      <c r="B911" s="486"/>
      <c r="C911" s="486"/>
      <c r="D911" s="487"/>
      <c r="E911" s="486"/>
      <c r="F911" s="417" t="s">
        <v>2788</v>
      </c>
    </row>
    <row r="912">
      <c r="A912" s="486"/>
      <c r="B912" s="486"/>
      <c r="C912" s="486"/>
      <c r="D912" s="487"/>
      <c r="E912" s="486"/>
      <c r="F912" s="417" t="s">
        <v>2936</v>
      </c>
    </row>
    <row r="913">
      <c r="A913" s="486"/>
      <c r="B913" s="486"/>
      <c r="C913" s="486"/>
      <c r="D913" s="487"/>
      <c r="E913" s="486"/>
      <c r="F913" s="417" t="s">
        <v>2740</v>
      </c>
    </row>
    <row r="914">
      <c r="A914" s="486"/>
      <c r="B914" s="486"/>
      <c r="C914" s="486"/>
      <c r="D914" s="487"/>
      <c r="E914" s="486"/>
      <c r="F914" s="417" t="s">
        <v>2542</v>
      </c>
    </row>
    <row r="915">
      <c r="A915" s="486"/>
      <c r="B915" s="486"/>
      <c r="C915" s="486"/>
      <c r="D915" s="487"/>
      <c r="E915" s="486"/>
      <c r="F915" s="417" t="s">
        <v>3086</v>
      </c>
    </row>
    <row r="916">
      <c r="A916" s="486"/>
      <c r="B916" s="486"/>
      <c r="C916" s="486"/>
      <c r="D916" s="487"/>
      <c r="E916" s="486"/>
      <c r="F916" s="417" t="s">
        <v>2834</v>
      </c>
    </row>
    <row r="917">
      <c r="A917" s="486"/>
      <c r="B917" s="486"/>
      <c r="C917" s="486"/>
      <c r="D917" s="487"/>
      <c r="E917" s="486"/>
      <c r="F917" s="417" t="s">
        <v>2691</v>
      </c>
    </row>
    <row r="918">
      <c r="A918" s="486"/>
      <c r="B918" s="486"/>
      <c r="C918" s="486"/>
      <c r="D918" s="487"/>
      <c r="E918" s="486"/>
      <c r="F918" s="417" t="s">
        <v>2985</v>
      </c>
    </row>
    <row r="919">
      <c r="A919" s="486"/>
      <c r="B919" s="486"/>
      <c r="C919" s="486"/>
      <c r="D919" s="487"/>
      <c r="E919" s="486"/>
      <c r="F919" s="417" t="s">
        <v>3087</v>
      </c>
    </row>
    <row r="920">
      <c r="A920" s="486"/>
      <c r="B920" s="486"/>
      <c r="C920" s="486"/>
      <c r="D920" s="487"/>
      <c r="E920" s="486"/>
      <c r="F920" s="417" t="s">
        <v>2789</v>
      </c>
    </row>
    <row r="921">
      <c r="A921" s="486"/>
      <c r="B921" s="486"/>
      <c r="C921" s="486"/>
      <c r="D921" s="487"/>
      <c r="E921" s="486"/>
      <c r="F921" s="417" t="s">
        <v>3088</v>
      </c>
    </row>
    <row r="922">
      <c r="A922" s="486"/>
      <c r="B922" s="486"/>
      <c r="C922" s="486"/>
      <c r="D922" s="487"/>
      <c r="E922" s="486"/>
      <c r="F922" s="417" t="s">
        <v>2596</v>
      </c>
    </row>
    <row r="923">
      <c r="A923" s="486"/>
      <c r="B923" s="486"/>
      <c r="C923" s="486"/>
      <c r="D923" s="487"/>
      <c r="E923" s="486"/>
      <c r="F923" s="417" t="s">
        <v>2597</v>
      </c>
    </row>
    <row r="924">
      <c r="A924" s="486"/>
      <c r="B924" s="486"/>
      <c r="C924" s="486"/>
      <c r="D924" s="487"/>
      <c r="E924" s="486"/>
      <c r="F924" s="417" t="s">
        <v>3032</v>
      </c>
    </row>
    <row r="925">
      <c r="A925" s="486"/>
      <c r="B925" s="486"/>
      <c r="C925" s="486"/>
      <c r="D925" s="487"/>
      <c r="E925" s="486"/>
      <c r="F925" s="417" t="s">
        <v>2888</v>
      </c>
    </row>
    <row r="926">
      <c r="A926" s="486"/>
      <c r="B926" s="486"/>
      <c r="C926" s="486"/>
      <c r="D926" s="487"/>
      <c r="E926" s="486"/>
      <c r="F926" s="417" t="s">
        <v>2646</v>
      </c>
    </row>
    <row r="927">
      <c r="A927" s="486"/>
      <c r="B927" s="486"/>
      <c r="C927" s="486"/>
      <c r="D927" s="487"/>
      <c r="E927" s="486"/>
      <c r="F927" s="417" t="s">
        <v>3089</v>
      </c>
    </row>
    <row r="928">
      <c r="A928" s="486"/>
      <c r="B928" s="486"/>
      <c r="C928" s="486"/>
      <c r="D928" s="487"/>
      <c r="E928" s="486"/>
      <c r="F928" s="417" t="s">
        <v>3033</v>
      </c>
    </row>
    <row r="929">
      <c r="A929" s="486"/>
      <c r="B929" s="486"/>
      <c r="C929" s="486"/>
      <c r="D929" s="487"/>
      <c r="E929" s="486"/>
      <c r="F929" s="417" t="s">
        <v>2835</v>
      </c>
    </row>
    <row r="930">
      <c r="A930" s="486"/>
      <c r="B930" s="486"/>
      <c r="C930" s="486"/>
      <c r="D930" s="487"/>
      <c r="E930" s="486"/>
      <c r="F930" s="417" t="s">
        <v>2790</v>
      </c>
    </row>
    <row r="931">
      <c r="A931" s="486"/>
      <c r="B931" s="486"/>
      <c r="C931" s="486"/>
      <c r="D931" s="487"/>
      <c r="E931" s="486"/>
      <c r="F931" s="417" t="s">
        <v>3034</v>
      </c>
    </row>
    <row r="932">
      <c r="A932" s="486"/>
      <c r="B932" s="486"/>
      <c r="C932" s="486"/>
      <c r="D932" s="487"/>
      <c r="E932" s="486"/>
      <c r="F932" s="417" t="s">
        <v>2741</v>
      </c>
    </row>
    <row r="933">
      <c r="A933" s="486"/>
      <c r="B933" s="486"/>
      <c r="C933" s="486"/>
      <c r="D933" s="487"/>
      <c r="E933" s="486"/>
      <c r="F933" s="417" t="s">
        <v>2543</v>
      </c>
    </row>
    <row r="934">
      <c r="A934" s="486"/>
      <c r="B934" s="486"/>
      <c r="C934" s="486"/>
      <c r="D934" s="487"/>
      <c r="E934" s="486"/>
      <c r="F934" s="417" t="s">
        <v>2986</v>
      </c>
    </row>
    <row r="935">
      <c r="A935" s="486"/>
      <c r="B935" s="486"/>
      <c r="C935" s="486"/>
      <c r="D935" s="487"/>
      <c r="E935" s="486"/>
      <c r="F935" s="417" t="s">
        <v>2987</v>
      </c>
    </row>
    <row r="936">
      <c r="A936" s="486"/>
      <c r="B936" s="486"/>
      <c r="C936" s="486"/>
      <c r="D936" s="487"/>
      <c r="E936" s="486"/>
      <c r="F936" s="417" t="s">
        <v>2937</v>
      </c>
    </row>
    <row r="937">
      <c r="A937" s="486"/>
      <c r="B937" s="486"/>
      <c r="C937" s="486"/>
      <c r="D937" s="487"/>
      <c r="E937" s="486"/>
      <c r="F937" s="417" t="s">
        <v>2692</v>
      </c>
    </row>
    <row r="938">
      <c r="A938" s="486"/>
      <c r="B938" s="486"/>
      <c r="C938" s="486"/>
      <c r="D938" s="487"/>
      <c r="E938" s="486"/>
      <c r="F938" s="417" t="s">
        <v>2544</v>
      </c>
    </row>
    <row r="939">
      <c r="A939" s="486"/>
      <c r="B939" s="486"/>
      <c r="C939" s="486"/>
      <c r="D939" s="487"/>
      <c r="E939" s="486"/>
      <c r="F939" s="417" t="s">
        <v>2693</v>
      </c>
    </row>
    <row r="940">
      <c r="A940" s="486"/>
      <c r="B940" s="486"/>
      <c r="C940" s="486"/>
      <c r="D940" s="487"/>
      <c r="E940" s="486"/>
      <c r="F940" s="417" t="s">
        <v>2694</v>
      </c>
    </row>
    <row r="941">
      <c r="A941" s="486"/>
      <c r="B941" s="486"/>
      <c r="C941" s="486"/>
      <c r="D941" s="487"/>
      <c r="E941" s="486"/>
      <c r="F941" s="417" t="s">
        <v>3090</v>
      </c>
    </row>
    <row r="942">
      <c r="A942" s="486"/>
      <c r="B942" s="486"/>
      <c r="C942" s="486"/>
      <c r="D942" s="487"/>
      <c r="E942" s="486"/>
      <c r="F942" s="417" t="s">
        <v>2791</v>
      </c>
    </row>
    <row r="943">
      <c r="A943" s="486"/>
      <c r="B943" s="486"/>
      <c r="C943" s="486"/>
      <c r="D943" s="487"/>
      <c r="E943" s="486"/>
      <c r="F943" s="417" t="s">
        <v>3035</v>
      </c>
    </row>
    <row r="944">
      <c r="A944" s="486"/>
      <c r="B944" s="486"/>
      <c r="C944" s="486"/>
      <c r="D944" s="487"/>
      <c r="E944" s="486"/>
      <c r="F944" s="417" t="s">
        <v>2695</v>
      </c>
    </row>
    <row r="945">
      <c r="A945" s="486"/>
      <c r="B945" s="486"/>
      <c r="C945" s="486"/>
      <c r="D945" s="487"/>
      <c r="E945" s="486"/>
      <c r="F945" s="417" t="s">
        <v>2647</v>
      </c>
    </row>
    <row r="946">
      <c r="A946" s="486"/>
      <c r="B946" s="486"/>
      <c r="C946" s="486"/>
      <c r="D946" s="487"/>
      <c r="E946" s="486"/>
      <c r="F946" s="417" t="s">
        <v>2988</v>
      </c>
    </row>
    <row r="947">
      <c r="A947" s="486"/>
      <c r="B947" s="486"/>
      <c r="C947" s="486"/>
      <c r="D947" s="487"/>
      <c r="E947" s="486"/>
      <c r="F947" s="417" t="s">
        <v>2889</v>
      </c>
    </row>
    <row r="948">
      <c r="A948" s="486"/>
      <c r="B948" s="486"/>
      <c r="C948" s="486"/>
      <c r="D948" s="487"/>
      <c r="E948" s="486"/>
      <c r="F948" s="417" t="s">
        <v>2836</v>
      </c>
    </row>
    <row r="949">
      <c r="A949" s="486"/>
      <c r="B949" s="486"/>
      <c r="C949" s="486"/>
      <c r="D949" s="487"/>
      <c r="E949" s="486"/>
      <c r="F949" s="417" t="s">
        <v>3036</v>
      </c>
    </row>
    <row r="950">
      <c r="A950" s="486"/>
      <c r="B950" s="486"/>
      <c r="C950" s="486"/>
      <c r="D950" s="487"/>
      <c r="E950" s="486"/>
      <c r="F950" s="417" t="s">
        <v>2837</v>
      </c>
    </row>
    <row r="951">
      <c r="A951" s="486"/>
      <c r="B951" s="486"/>
      <c r="C951" s="486"/>
      <c r="D951" s="487"/>
      <c r="E951" s="486"/>
      <c r="F951" s="417" t="s">
        <v>2989</v>
      </c>
    </row>
    <row r="952">
      <c r="A952" s="486"/>
      <c r="B952" s="486"/>
      <c r="C952" s="486"/>
      <c r="D952" s="487"/>
      <c r="E952" s="486"/>
      <c r="F952" s="417" t="s">
        <v>2838</v>
      </c>
    </row>
    <row r="953">
      <c r="A953" s="486"/>
      <c r="B953" s="486"/>
      <c r="C953" s="486"/>
      <c r="D953" s="487"/>
      <c r="E953" s="486"/>
      <c r="F953" s="417" t="s">
        <v>2792</v>
      </c>
    </row>
    <row r="954">
      <c r="A954" s="486"/>
      <c r="B954" s="486"/>
      <c r="C954" s="486"/>
      <c r="D954" s="487"/>
      <c r="E954" s="486"/>
      <c r="F954" s="417" t="s">
        <v>2793</v>
      </c>
    </row>
    <row r="955">
      <c r="A955" s="486"/>
      <c r="B955" s="486"/>
      <c r="C955" s="486"/>
      <c r="D955" s="487"/>
      <c r="E955" s="486"/>
      <c r="F955" s="417" t="s">
        <v>2938</v>
      </c>
    </row>
    <row r="956">
      <c r="A956" s="486"/>
      <c r="B956" s="486"/>
      <c r="C956" s="486"/>
      <c r="D956" s="487"/>
      <c r="E956" s="486"/>
      <c r="F956" s="417" t="s">
        <v>3091</v>
      </c>
    </row>
    <row r="957">
      <c r="A957" s="486"/>
      <c r="B957" s="486"/>
      <c r="C957" s="486"/>
      <c r="D957" s="487"/>
      <c r="E957" s="486"/>
      <c r="F957" s="417" t="s">
        <v>2839</v>
      </c>
    </row>
    <row r="958">
      <c r="A958" s="486"/>
      <c r="B958" s="486"/>
      <c r="C958" s="486"/>
      <c r="D958" s="487"/>
      <c r="E958" s="486"/>
      <c r="F958" s="417" t="s">
        <v>2696</v>
      </c>
    </row>
    <row r="959">
      <c r="A959" s="486"/>
      <c r="B959" s="486"/>
      <c r="C959" s="486"/>
      <c r="D959" s="487"/>
      <c r="E959" s="486"/>
      <c r="F959" s="417" t="s">
        <v>2697</v>
      </c>
    </row>
    <row r="960">
      <c r="A960" s="486"/>
      <c r="B960" s="486"/>
      <c r="C960" s="486"/>
      <c r="D960" s="487"/>
      <c r="E960" s="486"/>
      <c r="F960" s="417" t="s">
        <v>2742</v>
      </c>
    </row>
    <row r="961">
      <c r="A961" s="486"/>
      <c r="B961" s="486"/>
      <c r="C961" s="486"/>
      <c r="D961" s="487"/>
      <c r="E961" s="486"/>
      <c r="F961" s="417" t="s">
        <v>2890</v>
      </c>
    </row>
    <row r="962">
      <c r="A962" s="486"/>
      <c r="B962" s="486"/>
      <c r="C962" s="486"/>
      <c r="D962" s="487"/>
      <c r="E962" s="486"/>
      <c r="F962" s="417" t="s">
        <v>2939</v>
      </c>
    </row>
    <row r="963">
      <c r="A963" s="486"/>
      <c r="B963" s="486"/>
      <c r="C963" s="486"/>
      <c r="D963" s="487"/>
      <c r="E963" s="486"/>
      <c r="F963" s="417" t="s">
        <v>2840</v>
      </c>
    </row>
    <row r="964">
      <c r="A964" s="486"/>
      <c r="B964" s="486"/>
      <c r="C964" s="486"/>
      <c r="D964" s="487"/>
      <c r="E964" s="486"/>
      <c r="F964" s="543" t="s">
        <v>2</v>
      </c>
    </row>
    <row r="965">
      <c r="A965" s="486"/>
      <c r="B965" s="486"/>
      <c r="C965" s="486"/>
      <c r="D965" s="487"/>
      <c r="E965" s="486"/>
      <c r="F965" s="417" t="s">
        <v>2743</v>
      </c>
    </row>
    <row r="966">
      <c r="A966" s="486"/>
      <c r="B966" s="486"/>
      <c r="C966" s="486"/>
      <c r="D966" s="487"/>
      <c r="E966" s="486"/>
      <c r="F966" s="417" t="s">
        <v>2794</v>
      </c>
    </row>
    <row r="967">
      <c r="A967" s="486"/>
      <c r="B967" s="486"/>
      <c r="C967" s="486"/>
      <c r="D967" s="487"/>
      <c r="E967" s="486"/>
      <c r="F967" s="417" t="s">
        <v>2940</v>
      </c>
    </row>
    <row r="968">
      <c r="A968" s="486"/>
      <c r="B968" s="486"/>
      <c r="C968" s="486"/>
      <c r="D968" s="487"/>
      <c r="E968" s="486"/>
      <c r="F968" s="417" t="s">
        <v>2744</v>
      </c>
    </row>
    <row r="969">
      <c r="A969" s="486"/>
      <c r="B969" s="486"/>
      <c r="C969" s="486"/>
      <c r="D969" s="487"/>
      <c r="E969" s="486"/>
      <c r="F969" s="417" t="s">
        <v>2698</v>
      </c>
    </row>
    <row r="970">
      <c r="A970" s="486"/>
      <c r="B970" s="486"/>
      <c r="C970" s="486"/>
      <c r="D970" s="487"/>
      <c r="E970" s="486"/>
      <c r="F970" s="417" t="s">
        <v>3037</v>
      </c>
    </row>
    <row r="971">
      <c r="A971" s="486"/>
      <c r="B971" s="486"/>
      <c r="C971" s="486"/>
      <c r="D971" s="487"/>
      <c r="E971" s="486"/>
      <c r="F971" s="417" t="s">
        <v>2598</v>
      </c>
    </row>
    <row r="972">
      <c r="A972" s="486"/>
      <c r="B972" s="486"/>
      <c r="C972" s="486"/>
      <c r="D972" s="487"/>
      <c r="E972" s="486"/>
      <c r="F972" s="417" t="s">
        <v>2841</v>
      </c>
    </row>
    <row r="973">
      <c r="A973" s="486"/>
      <c r="B973" s="486"/>
      <c r="C973" s="486"/>
      <c r="D973" s="487"/>
      <c r="E973" s="486"/>
      <c r="F973" s="417" t="s">
        <v>2891</v>
      </c>
    </row>
    <row r="974">
      <c r="A974" s="486"/>
      <c r="B974" s="486"/>
      <c r="C974" s="486"/>
      <c r="D974" s="487"/>
      <c r="E974" s="486"/>
      <c r="F974" s="417" t="s">
        <v>2745</v>
      </c>
    </row>
    <row r="975">
      <c r="A975" s="486"/>
      <c r="B975" s="486"/>
      <c r="C975" s="486"/>
      <c r="D975" s="487"/>
      <c r="E975" s="486"/>
      <c r="F975" s="417" t="s">
        <v>3092</v>
      </c>
    </row>
    <row r="976">
      <c r="A976" s="486"/>
      <c r="B976" s="486"/>
      <c r="C976" s="486"/>
      <c r="D976" s="487"/>
      <c r="E976" s="486"/>
      <c r="F976" s="417" t="s">
        <v>3038</v>
      </c>
    </row>
    <row r="977">
      <c r="A977" s="486"/>
      <c r="B977" s="486"/>
      <c r="C977" s="486"/>
      <c r="D977" s="487"/>
      <c r="E977" s="486"/>
      <c r="F977" s="417" t="s">
        <v>2990</v>
      </c>
    </row>
    <row r="978">
      <c r="A978" s="486"/>
      <c r="B978" s="486"/>
      <c r="C978" s="486"/>
      <c r="D978" s="487"/>
      <c r="E978" s="486"/>
      <c r="F978" s="417" t="s">
        <v>3039</v>
      </c>
    </row>
    <row r="979">
      <c r="A979" s="486"/>
      <c r="B979" s="486"/>
      <c r="C979" s="486"/>
      <c r="D979" s="487"/>
      <c r="E979" s="486"/>
      <c r="F979" s="417" t="s">
        <v>2746</v>
      </c>
    </row>
    <row r="980">
      <c r="A980" s="486"/>
      <c r="B980" s="486"/>
      <c r="C980" s="486"/>
      <c r="D980" s="487"/>
      <c r="E980" s="486"/>
      <c r="F980" s="417" t="s">
        <v>2648</v>
      </c>
    </row>
    <row r="981">
      <c r="A981" s="486"/>
      <c r="B981" s="486"/>
      <c r="C981" s="486"/>
      <c r="D981" s="487"/>
      <c r="E981" s="486"/>
      <c r="F981" s="417" t="s">
        <v>2649</v>
      </c>
    </row>
    <row r="982">
      <c r="A982" s="486"/>
      <c r="B982" s="486"/>
      <c r="C982" s="486"/>
      <c r="D982" s="487"/>
      <c r="E982" s="486"/>
      <c r="F982" s="417" t="s">
        <v>3040</v>
      </c>
    </row>
    <row r="983">
      <c r="A983" s="486"/>
      <c r="B983" s="486"/>
      <c r="C983" s="486"/>
      <c r="D983" s="487"/>
      <c r="E983" s="486"/>
      <c r="F983" s="417" t="s">
        <v>2892</v>
      </c>
    </row>
    <row r="984">
      <c r="A984" s="486"/>
      <c r="B984" s="486"/>
      <c r="C984" s="486"/>
      <c r="D984" s="487"/>
      <c r="E984" s="486"/>
      <c r="F984" s="417" t="s">
        <v>2842</v>
      </c>
    </row>
    <row r="985">
      <c r="A985" s="486"/>
      <c r="B985" s="486"/>
      <c r="C985" s="486"/>
      <c r="D985" s="487"/>
      <c r="E985" s="486"/>
      <c r="F985" s="417" t="s">
        <v>2599</v>
      </c>
    </row>
    <row r="986">
      <c r="A986" s="486"/>
      <c r="B986" s="486"/>
      <c r="C986" s="486"/>
      <c r="D986" s="487"/>
      <c r="E986" s="486"/>
      <c r="F986" s="417" t="s">
        <v>3041</v>
      </c>
    </row>
    <row r="987">
      <c r="A987" s="486"/>
      <c r="B987" s="486"/>
      <c r="C987" s="486"/>
      <c r="D987" s="487"/>
      <c r="E987" s="486"/>
      <c r="F987" s="417" t="s">
        <v>3093</v>
      </c>
    </row>
    <row r="988">
      <c r="A988" s="486"/>
      <c r="B988" s="486"/>
      <c r="C988" s="486"/>
      <c r="D988" s="487"/>
      <c r="E988" s="486"/>
      <c r="F988" s="417" t="s">
        <v>2600</v>
      </c>
    </row>
    <row r="989">
      <c r="A989" s="486"/>
      <c r="B989" s="486"/>
      <c r="C989" s="486"/>
      <c r="D989" s="487"/>
      <c r="E989" s="486"/>
      <c r="F989" s="417" t="s">
        <v>2545</v>
      </c>
    </row>
    <row r="990">
      <c r="A990" s="486"/>
      <c r="B990" s="486"/>
      <c r="C990" s="486"/>
      <c r="D990" s="487"/>
      <c r="E990" s="486"/>
      <c r="F990" s="417" t="s">
        <v>3042</v>
      </c>
    </row>
    <row r="991">
      <c r="A991" s="486"/>
      <c r="B991" s="486"/>
      <c r="C991" s="486"/>
      <c r="D991" s="487"/>
      <c r="E991" s="486"/>
      <c r="F991" s="417" t="s">
        <v>2546</v>
      </c>
    </row>
    <row r="992">
      <c r="A992" s="486"/>
      <c r="B992" s="486"/>
      <c r="C992" s="486"/>
      <c r="D992" s="487"/>
      <c r="E992" s="542">
        <v>32.0</v>
      </c>
      <c r="F992" s="417" t="s">
        <v>1929</v>
      </c>
    </row>
    <row r="993">
      <c r="A993" s="486"/>
      <c r="B993" s="486"/>
      <c r="C993" s="486"/>
      <c r="D993" s="487"/>
      <c r="E993" s="486"/>
      <c r="F993" s="417" t="s">
        <v>2077</v>
      </c>
    </row>
    <row r="994">
      <c r="A994" s="486"/>
      <c r="B994" s="486"/>
      <c r="C994" s="486"/>
      <c r="D994" s="487"/>
      <c r="E994" s="486"/>
      <c r="F994" s="417" t="s">
        <v>2151</v>
      </c>
    </row>
    <row r="995">
      <c r="A995" s="486"/>
      <c r="B995" s="486"/>
      <c r="C995" s="486"/>
      <c r="D995" s="487"/>
      <c r="E995" s="486"/>
      <c r="F995" s="417" t="s">
        <v>2079</v>
      </c>
    </row>
    <row r="996">
      <c r="A996" s="486"/>
      <c r="B996" s="486"/>
      <c r="C996" s="486"/>
      <c r="D996" s="487"/>
      <c r="E996" s="486"/>
      <c r="F996" s="417" t="s">
        <v>1777</v>
      </c>
    </row>
    <row r="997">
      <c r="A997" s="486"/>
      <c r="B997" s="486"/>
      <c r="C997" s="486"/>
      <c r="D997" s="487"/>
      <c r="E997" s="486"/>
      <c r="F997" s="417" t="s">
        <v>2224</v>
      </c>
    </row>
    <row r="998">
      <c r="A998" s="486"/>
      <c r="B998" s="486"/>
      <c r="C998" s="486"/>
      <c r="D998" s="487"/>
      <c r="E998" s="486"/>
      <c r="F998" s="417" t="s">
        <v>1778</v>
      </c>
    </row>
    <row r="999">
      <c r="A999" s="486"/>
      <c r="B999" s="486"/>
      <c r="C999" s="486"/>
      <c r="D999" s="487"/>
      <c r="E999" s="486"/>
      <c r="F999" s="417" t="s">
        <v>1739</v>
      </c>
    </row>
    <row r="1000">
      <c r="A1000" s="486"/>
      <c r="B1000" s="486"/>
      <c r="C1000" s="486"/>
      <c r="D1000" s="487"/>
      <c r="E1000" s="486"/>
      <c r="F1000" s="417" t="s">
        <v>2411</v>
      </c>
    </row>
    <row r="1001">
      <c r="A1001" s="486"/>
      <c r="B1001" s="486"/>
      <c r="C1001" s="486"/>
      <c r="D1001" s="487"/>
      <c r="E1001" s="486"/>
      <c r="F1001" s="417" t="s">
        <v>1816</v>
      </c>
    </row>
    <row r="1002">
      <c r="A1002" s="486"/>
      <c r="B1002" s="486"/>
      <c r="C1002" s="486"/>
      <c r="D1002" s="487"/>
      <c r="E1002" s="486"/>
      <c r="F1002" s="417" t="s">
        <v>1740</v>
      </c>
    </row>
    <row r="1003">
      <c r="A1003" s="486"/>
      <c r="B1003" s="486"/>
      <c r="C1003" s="486"/>
      <c r="D1003" s="487"/>
      <c r="E1003" s="486"/>
      <c r="F1003" s="417" t="s">
        <v>2153</v>
      </c>
    </row>
    <row r="1004">
      <c r="A1004" s="486"/>
      <c r="B1004" s="486"/>
      <c r="C1004" s="486"/>
      <c r="D1004" s="487"/>
      <c r="E1004" s="486"/>
      <c r="F1004" s="417" t="s">
        <v>2081</v>
      </c>
    </row>
    <row r="1005">
      <c r="A1005" s="486"/>
      <c r="B1005" s="486"/>
      <c r="C1005" s="486"/>
      <c r="D1005" s="487"/>
      <c r="E1005" s="486"/>
      <c r="F1005" s="417" t="s">
        <v>1931</v>
      </c>
    </row>
    <row r="1006">
      <c r="A1006" s="486"/>
      <c r="B1006" s="486"/>
      <c r="C1006" s="486"/>
      <c r="D1006" s="487"/>
      <c r="E1006" s="486"/>
      <c r="F1006" s="417" t="s">
        <v>2413</v>
      </c>
    </row>
    <row r="1007">
      <c r="A1007" s="486"/>
      <c r="B1007" s="486"/>
      <c r="C1007" s="486"/>
      <c r="D1007" s="487"/>
      <c r="E1007" s="486"/>
      <c r="F1007" s="417" t="s">
        <v>2415</v>
      </c>
    </row>
    <row r="1008">
      <c r="A1008" s="486"/>
      <c r="B1008" s="486"/>
      <c r="C1008" s="486"/>
      <c r="D1008" s="487"/>
      <c r="E1008" s="486"/>
      <c r="F1008" s="417" t="s">
        <v>1855</v>
      </c>
    </row>
    <row r="1009">
      <c r="A1009" s="486"/>
      <c r="B1009" s="486"/>
      <c r="C1009" s="486"/>
      <c r="D1009" s="487"/>
      <c r="E1009" s="486"/>
      <c r="F1009" s="417" t="s">
        <v>1779</v>
      </c>
    </row>
    <row r="1010">
      <c r="A1010" s="486"/>
      <c r="B1010" s="486"/>
      <c r="C1010" s="486"/>
      <c r="D1010" s="487"/>
      <c r="E1010" s="486"/>
      <c r="F1010" s="417" t="s">
        <v>2445</v>
      </c>
    </row>
    <row r="1011">
      <c r="A1011" s="486"/>
      <c r="B1011" s="486"/>
      <c r="C1011" s="486"/>
      <c r="D1011" s="487"/>
      <c r="E1011" s="486"/>
      <c r="F1011" s="417" t="s">
        <v>1933</v>
      </c>
    </row>
    <row r="1012">
      <c r="A1012" s="486"/>
      <c r="B1012" s="486"/>
      <c r="C1012" s="486"/>
      <c r="D1012" s="487"/>
      <c r="E1012" s="486"/>
      <c r="F1012" s="417" t="s">
        <v>2417</v>
      </c>
    </row>
    <row r="1013">
      <c r="A1013" s="486"/>
      <c r="B1013" s="486"/>
      <c r="C1013" s="486"/>
      <c r="D1013" s="487"/>
      <c r="E1013" s="486"/>
      <c r="F1013" s="417" t="s">
        <v>1935</v>
      </c>
    </row>
    <row r="1014">
      <c r="A1014" s="486"/>
      <c r="B1014" s="486"/>
      <c r="C1014" s="486"/>
      <c r="D1014" s="487"/>
      <c r="E1014" s="486"/>
      <c r="F1014" s="417" t="s">
        <v>2337</v>
      </c>
    </row>
    <row r="1015">
      <c r="A1015" s="486"/>
      <c r="B1015" s="486"/>
      <c r="C1015" s="486"/>
      <c r="D1015" s="487"/>
      <c r="E1015" s="486"/>
      <c r="F1015" s="417" t="s">
        <v>2225</v>
      </c>
    </row>
    <row r="1016">
      <c r="A1016" s="486"/>
      <c r="B1016" s="486"/>
      <c r="C1016" s="486"/>
      <c r="D1016" s="487"/>
      <c r="E1016" s="486"/>
      <c r="F1016" s="417" t="s">
        <v>1857</v>
      </c>
    </row>
    <row r="1017">
      <c r="A1017" s="486"/>
      <c r="B1017" s="486"/>
      <c r="C1017" s="486"/>
      <c r="D1017" s="487"/>
      <c r="E1017" s="486"/>
      <c r="F1017" s="417" t="s">
        <v>1859</v>
      </c>
    </row>
    <row r="1018">
      <c r="A1018" s="486"/>
      <c r="B1018" s="486"/>
      <c r="C1018" s="486"/>
      <c r="D1018" s="487"/>
      <c r="E1018" s="486"/>
      <c r="F1018" s="417" t="s">
        <v>1741</v>
      </c>
    </row>
    <row r="1019">
      <c r="A1019" s="486"/>
      <c r="B1019" s="486"/>
      <c r="C1019" s="486"/>
      <c r="D1019" s="487"/>
      <c r="E1019" s="486"/>
      <c r="F1019" s="417" t="s">
        <v>2339</v>
      </c>
    </row>
    <row r="1020">
      <c r="A1020" s="486"/>
      <c r="B1020" s="486"/>
      <c r="C1020" s="486"/>
      <c r="D1020" s="487"/>
      <c r="E1020" s="486"/>
      <c r="F1020" s="417" t="s">
        <v>1817</v>
      </c>
    </row>
    <row r="1021">
      <c r="A1021" s="486"/>
      <c r="B1021" s="486"/>
      <c r="C1021" s="486"/>
      <c r="D1021" s="487"/>
      <c r="E1021" s="486"/>
      <c r="F1021" s="417" t="s">
        <v>1780</v>
      </c>
    </row>
    <row r="1022">
      <c r="A1022" s="486"/>
      <c r="B1022" s="486"/>
      <c r="C1022" s="486"/>
      <c r="D1022" s="487"/>
      <c r="E1022" s="486"/>
      <c r="F1022" s="417" t="s">
        <v>2263</v>
      </c>
    </row>
    <row r="1023">
      <c r="A1023" s="486"/>
      <c r="B1023" s="486"/>
      <c r="C1023" s="486"/>
      <c r="D1023" s="487"/>
      <c r="E1023" s="486"/>
      <c r="F1023" s="417" t="s">
        <v>2083</v>
      </c>
    </row>
    <row r="1024">
      <c r="A1024" s="486"/>
      <c r="B1024" s="486"/>
      <c r="C1024" s="486"/>
      <c r="D1024" s="487"/>
      <c r="E1024" s="486"/>
      <c r="F1024" s="417" t="s">
        <v>1742</v>
      </c>
    </row>
    <row r="1025">
      <c r="A1025" s="486"/>
      <c r="B1025" s="486"/>
      <c r="C1025" s="486"/>
      <c r="D1025" s="487"/>
      <c r="E1025" s="486"/>
      <c r="F1025" s="417" t="s">
        <v>2155</v>
      </c>
    </row>
    <row r="1026">
      <c r="A1026" s="486"/>
      <c r="B1026" s="486"/>
      <c r="C1026" s="486"/>
      <c r="D1026" s="487"/>
      <c r="E1026" s="486"/>
      <c r="F1026" s="417" t="s">
        <v>2265</v>
      </c>
    </row>
    <row r="1027">
      <c r="A1027" s="486"/>
      <c r="B1027" s="486"/>
      <c r="C1027" s="486"/>
      <c r="D1027" s="487"/>
      <c r="E1027" s="486"/>
      <c r="F1027" s="417" t="s">
        <v>2157</v>
      </c>
    </row>
    <row r="1028">
      <c r="A1028" s="486"/>
      <c r="B1028" s="486"/>
      <c r="C1028" s="486"/>
      <c r="D1028" s="487"/>
      <c r="E1028" s="486"/>
      <c r="F1028" s="417" t="s">
        <v>2226</v>
      </c>
    </row>
    <row r="1029">
      <c r="A1029" s="486"/>
      <c r="B1029" s="486"/>
      <c r="C1029" s="486"/>
      <c r="D1029" s="487"/>
      <c r="E1029" s="486"/>
      <c r="F1029" s="417" t="s">
        <v>1937</v>
      </c>
    </row>
    <row r="1030">
      <c r="A1030" s="486"/>
      <c r="B1030" s="486"/>
      <c r="C1030" s="486"/>
      <c r="D1030" s="487"/>
      <c r="E1030" s="486"/>
      <c r="F1030" s="417" t="s">
        <v>1781</v>
      </c>
    </row>
    <row r="1031">
      <c r="A1031" s="486"/>
      <c r="B1031" s="486"/>
      <c r="C1031" s="486"/>
      <c r="D1031" s="487"/>
      <c r="E1031" s="486"/>
      <c r="F1031" s="417" t="s">
        <v>2267</v>
      </c>
    </row>
    <row r="1032">
      <c r="A1032" s="486"/>
      <c r="B1032" s="486"/>
      <c r="C1032" s="486"/>
      <c r="D1032" s="487"/>
      <c r="E1032" s="486"/>
      <c r="F1032" s="417" t="s">
        <v>1818</v>
      </c>
    </row>
    <row r="1033">
      <c r="A1033" s="486"/>
      <c r="B1033" s="486"/>
      <c r="C1033" s="486"/>
      <c r="D1033" s="487"/>
      <c r="E1033" s="486"/>
      <c r="F1033" s="417" t="s">
        <v>1861</v>
      </c>
    </row>
    <row r="1034">
      <c r="A1034" s="486"/>
      <c r="B1034" s="486"/>
      <c r="C1034" s="486"/>
      <c r="D1034" s="487"/>
      <c r="E1034" s="486"/>
      <c r="F1034" s="417" t="s">
        <v>2269</v>
      </c>
    </row>
    <row r="1035">
      <c r="A1035" s="486"/>
      <c r="B1035" s="486"/>
      <c r="C1035" s="486"/>
      <c r="D1035" s="487"/>
      <c r="E1035" s="486"/>
      <c r="F1035" s="417" t="s">
        <v>1939</v>
      </c>
    </row>
    <row r="1036">
      <c r="A1036" s="486"/>
      <c r="B1036" s="486"/>
      <c r="C1036" s="486"/>
      <c r="D1036" s="487"/>
      <c r="E1036" s="486"/>
      <c r="F1036" s="417" t="s">
        <v>2159</v>
      </c>
    </row>
    <row r="1037">
      <c r="A1037" s="486"/>
      <c r="B1037" s="486"/>
      <c r="C1037" s="486"/>
      <c r="D1037" s="487"/>
      <c r="E1037" s="486"/>
      <c r="F1037" s="417" t="s">
        <v>1782</v>
      </c>
    </row>
    <row r="1038">
      <c r="A1038" s="486"/>
      <c r="B1038" s="486"/>
      <c r="C1038" s="486"/>
      <c r="D1038" s="487"/>
      <c r="E1038" s="486"/>
      <c r="F1038" s="417" t="s">
        <v>2227</v>
      </c>
    </row>
    <row r="1039">
      <c r="A1039" s="486"/>
      <c r="B1039" s="486"/>
      <c r="C1039" s="486"/>
      <c r="D1039" s="487"/>
      <c r="E1039" s="486"/>
      <c r="F1039" s="417" t="s">
        <v>2003</v>
      </c>
    </row>
    <row r="1040">
      <c r="A1040" s="486"/>
      <c r="B1040" s="486"/>
      <c r="C1040" s="486"/>
      <c r="D1040" s="487"/>
      <c r="E1040" s="486"/>
      <c r="F1040" s="417" t="s">
        <v>2085</v>
      </c>
    </row>
    <row r="1041">
      <c r="A1041" s="486"/>
      <c r="B1041" s="486"/>
      <c r="C1041" s="486"/>
      <c r="D1041" s="487"/>
      <c r="E1041" s="486"/>
      <c r="F1041" s="417" t="s">
        <v>2341</v>
      </c>
    </row>
    <row r="1042">
      <c r="A1042" s="486"/>
      <c r="B1042" s="486"/>
      <c r="C1042" s="486"/>
      <c r="D1042" s="487"/>
      <c r="E1042" s="486"/>
      <c r="F1042" s="417" t="s">
        <v>2228</v>
      </c>
    </row>
    <row r="1043">
      <c r="A1043" s="486"/>
      <c r="B1043" s="486"/>
      <c r="C1043" s="486"/>
      <c r="D1043" s="487"/>
      <c r="E1043" s="486"/>
      <c r="F1043" s="417" t="s">
        <v>1783</v>
      </c>
    </row>
    <row r="1044">
      <c r="A1044" s="486"/>
      <c r="B1044" s="486"/>
      <c r="C1044" s="486"/>
      <c r="D1044" s="487"/>
      <c r="E1044" s="486"/>
      <c r="F1044" s="417" t="s">
        <v>2161</v>
      </c>
    </row>
    <row r="1045">
      <c r="A1045" s="486"/>
      <c r="B1045" s="486"/>
      <c r="C1045" s="486"/>
      <c r="D1045" s="487"/>
      <c r="E1045" s="486"/>
      <c r="F1045" s="417" t="s">
        <v>1941</v>
      </c>
    </row>
    <row r="1046">
      <c r="A1046" s="486"/>
      <c r="B1046" s="486"/>
      <c r="C1046" s="486"/>
      <c r="D1046" s="487"/>
      <c r="E1046" s="486"/>
      <c r="F1046" s="417" t="s">
        <v>2005</v>
      </c>
    </row>
    <row r="1047">
      <c r="A1047" s="486"/>
      <c r="B1047" s="486"/>
      <c r="C1047" s="486"/>
      <c r="D1047" s="487"/>
      <c r="E1047" s="486"/>
      <c r="F1047" s="417" t="s">
        <v>2007</v>
      </c>
    </row>
    <row r="1048">
      <c r="A1048" s="486"/>
      <c r="B1048" s="486"/>
      <c r="C1048" s="486"/>
      <c r="D1048" s="487"/>
      <c r="E1048" s="486"/>
      <c r="F1048" s="417" t="s">
        <v>2087</v>
      </c>
    </row>
    <row r="1049">
      <c r="A1049" s="486"/>
      <c r="B1049" s="486"/>
      <c r="C1049" s="486"/>
      <c r="D1049" s="487"/>
      <c r="E1049" s="486"/>
      <c r="F1049" s="417" t="s">
        <v>2009</v>
      </c>
    </row>
    <row r="1050">
      <c r="A1050" s="486"/>
      <c r="B1050" s="486"/>
      <c r="C1050" s="486"/>
      <c r="D1050" s="487"/>
      <c r="E1050" s="486"/>
      <c r="F1050" s="417" t="s">
        <v>2229</v>
      </c>
    </row>
    <row r="1051">
      <c r="A1051" s="486"/>
      <c r="B1051" s="486"/>
      <c r="C1051" s="486"/>
      <c r="D1051" s="487"/>
      <c r="E1051" s="486"/>
      <c r="F1051" s="417" t="s">
        <v>2419</v>
      </c>
    </row>
    <row r="1052">
      <c r="A1052" s="486"/>
      <c r="B1052" s="486"/>
      <c r="C1052" s="486"/>
      <c r="D1052" s="487"/>
      <c r="E1052" s="486"/>
      <c r="F1052" s="417" t="s">
        <v>2343</v>
      </c>
    </row>
    <row r="1053">
      <c r="A1053" s="486"/>
      <c r="B1053" s="486"/>
      <c r="C1053" s="486"/>
      <c r="D1053" s="487"/>
      <c r="E1053" s="486"/>
      <c r="F1053" s="417" t="s">
        <v>2271</v>
      </c>
    </row>
    <row r="1054">
      <c r="A1054" s="486"/>
      <c r="B1054" s="486"/>
      <c r="C1054" s="486"/>
      <c r="D1054" s="487"/>
      <c r="E1054" s="486"/>
      <c r="F1054" s="417" t="s">
        <v>2163</v>
      </c>
    </row>
    <row r="1055">
      <c r="A1055" s="486"/>
      <c r="B1055" s="486"/>
      <c r="C1055" s="486"/>
      <c r="D1055" s="487"/>
      <c r="E1055" s="486"/>
      <c r="F1055" s="417" t="s">
        <v>1784</v>
      </c>
    </row>
    <row r="1056">
      <c r="A1056" s="486"/>
      <c r="B1056" s="486"/>
      <c r="C1056" s="486"/>
      <c r="D1056" s="487"/>
      <c r="E1056" s="486"/>
      <c r="F1056" s="417" t="s">
        <v>2345</v>
      </c>
    </row>
    <row r="1057">
      <c r="A1057" s="486"/>
      <c r="B1057" s="486"/>
      <c r="C1057" s="486"/>
      <c r="D1057" s="487"/>
      <c r="E1057" s="486"/>
      <c r="F1057" s="417" t="s">
        <v>2089</v>
      </c>
    </row>
    <row r="1058">
      <c r="A1058" s="486"/>
      <c r="B1058" s="486"/>
      <c r="C1058" s="486"/>
      <c r="D1058" s="487"/>
      <c r="E1058" s="486"/>
      <c r="F1058" s="417" t="s">
        <v>2011</v>
      </c>
    </row>
    <row r="1059">
      <c r="A1059" s="486"/>
      <c r="B1059" s="486"/>
      <c r="C1059" s="486"/>
      <c r="D1059" s="487"/>
      <c r="E1059" s="486"/>
      <c r="F1059" s="417" t="s">
        <v>2165</v>
      </c>
    </row>
    <row r="1060">
      <c r="A1060" s="486"/>
      <c r="B1060" s="486"/>
      <c r="C1060" s="486"/>
      <c r="D1060" s="487"/>
      <c r="E1060" s="486"/>
      <c r="F1060" s="417" t="s">
        <v>2167</v>
      </c>
    </row>
    <row r="1061">
      <c r="A1061" s="486"/>
      <c r="B1061" s="486"/>
      <c r="C1061" s="486"/>
      <c r="D1061" s="487"/>
      <c r="E1061" s="486"/>
      <c r="F1061" s="417" t="s">
        <v>1743</v>
      </c>
    </row>
    <row r="1062">
      <c r="A1062" s="486"/>
      <c r="B1062" s="486"/>
      <c r="C1062" s="486"/>
      <c r="D1062" s="487"/>
      <c r="E1062" s="486"/>
      <c r="F1062" s="417" t="s">
        <v>1819</v>
      </c>
    </row>
    <row r="1063">
      <c r="A1063" s="486"/>
      <c r="B1063" s="486"/>
      <c r="C1063" s="486"/>
      <c r="D1063" s="487"/>
      <c r="E1063" s="486"/>
      <c r="F1063" s="417" t="s">
        <v>1943</v>
      </c>
    </row>
    <row r="1064">
      <c r="A1064" s="486"/>
      <c r="B1064" s="486"/>
      <c r="C1064" s="486"/>
      <c r="D1064" s="487"/>
      <c r="E1064" s="486"/>
      <c r="F1064" s="417" t="s">
        <v>2013</v>
      </c>
    </row>
    <row r="1065">
      <c r="A1065" s="486"/>
      <c r="B1065" s="486"/>
      <c r="C1065" s="486"/>
      <c r="D1065" s="487"/>
      <c r="E1065" s="486"/>
      <c r="F1065" s="417" t="s">
        <v>2169</v>
      </c>
    </row>
    <row r="1066">
      <c r="A1066" s="486"/>
      <c r="B1066" s="486"/>
      <c r="C1066" s="486"/>
      <c r="D1066" s="487"/>
      <c r="E1066" s="486"/>
      <c r="F1066" s="417" t="s">
        <v>2091</v>
      </c>
    </row>
    <row r="1067">
      <c r="A1067" s="486"/>
      <c r="B1067" s="486"/>
      <c r="C1067" s="486"/>
      <c r="D1067" s="487"/>
      <c r="E1067" s="486"/>
      <c r="F1067" s="417" t="s">
        <v>2273</v>
      </c>
    </row>
    <row r="1068">
      <c r="A1068" s="486"/>
      <c r="B1068" s="486"/>
      <c r="C1068" s="486"/>
      <c r="D1068" s="487"/>
      <c r="E1068" s="486"/>
      <c r="F1068" s="417" t="s">
        <v>2275</v>
      </c>
    </row>
    <row r="1069">
      <c r="A1069" s="486"/>
      <c r="B1069" s="486"/>
      <c r="C1069" s="486"/>
      <c r="D1069" s="487"/>
      <c r="E1069" s="486"/>
      <c r="F1069" s="417" t="s">
        <v>2093</v>
      </c>
    </row>
    <row r="1070">
      <c r="A1070" s="486"/>
      <c r="B1070" s="486"/>
      <c r="C1070" s="486"/>
      <c r="D1070" s="487"/>
      <c r="E1070" s="486"/>
      <c r="F1070" s="417" t="s">
        <v>2421</v>
      </c>
    </row>
    <row r="1071">
      <c r="A1071" s="486"/>
      <c r="B1071" s="486"/>
      <c r="C1071" s="486"/>
      <c r="D1071" s="487"/>
      <c r="E1071" s="486"/>
      <c r="F1071" s="417" t="s">
        <v>1744</v>
      </c>
    </row>
    <row r="1072">
      <c r="A1072" s="486"/>
      <c r="B1072" s="486"/>
      <c r="C1072" s="486"/>
      <c r="D1072" s="487"/>
      <c r="E1072" s="486"/>
      <c r="F1072" s="417" t="s">
        <v>2347</v>
      </c>
    </row>
    <row r="1073">
      <c r="A1073" s="486"/>
      <c r="B1073" s="486"/>
      <c r="C1073" s="486"/>
      <c r="D1073" s="487"/>
      <c r="E1073" s="486"/>
      <c r="F1073" s="417" t="s">
        <v>2171</v>
      </c>
    </row>
    <row r="1074">
      <c r="A1074" s="486"/>
      <c r="B1074" s="486"/>
      <c r="C1074" s="486"/>
      <c r="D1074" s="487"/>
      <c r="E1074" s="486"/>
      <c r="F1074" s="417" t="s">
        <v>2277</v>
      </c>
    </row>
    <row r="1075">
      <c r="A1075" s="486"/>
      <c r="B1075" s="486"/>
      <c r="C1075" s="486"/>
      <c r="D1075" s="487"/>
      <c r="E1075" s="486"/>
      <c r="F1075" s="417" t="s">
        <v>2230</v>
      </c>
    </row>
    <row r="1076">
      <c r="A1076" s="486"/>
      <c r="B1076" s="486"/>
      <c r="C1076" s="486"/>
      <c r="D1076" s="487"/>
      <c r="E1076" s="486"/>
      <c r="F1076" s="417" t="s">
        <v>2173</v>
      </c>
    </row>
    <row r="1077">
      <c r="A1077" s="486"/>
      <c r="B1077" s="486"/>
      <c r="C1077" s="486"/>
      <c r="D1077" s="487"/>
      <c r="E1077" s="486"/>
      <c r="F1077" s="417" t="s">
        <v>2015</v>
      </c>
    </row>
    <row r="1078">
      <c r="A1078" s="486"/>
      <c r="B1078" s="486"/>
      <c r="C1078" s="486"/>
      <c r="D1078" s="487"/>
      <c r="E1078" s="486"/>
      <c r="F1078" s="417" t="s">
        <v>1863</v>
      </c>
    </row>
    <row r="1079">
      <c r="A1079" s="486"/>
      <c r="B1079" s="486"/>
      <c r="C1079" s="486"/>
      <c r="D1079" s="487"/>
      <c r="E1079" s="486"/>
      <c r="F1079" s="417" t="s">
        <v>2175</v>
      </c>
    </row>
    <row r="1080">
      <c r="A1080" s="486"/>
      <c r="B1080" s="486"/>
      <c r="C1080" s="486"/>
      <c r="D1080" s="487"/>
      <c r="E1080" s="486"/>
      <c r="F1080" s="417" t="s">
        <v>1945</v>
      </c>
    </row>
    <row r="1081">
      <c r="A1081" s="486"/>
      <c r="B1081" s="486"/>
      <c r="C1081" s="486"/>
      <c r="D1081" s="487"/>
      <c r="E1081" s="486"/>
      <c r="F1081" s="417" t="s">
        <v>2423</v>
      </c>
    </row>
    <row r="1082">
      <c r="A1082" s="486"/>
      <c r="B1082" s="486"/>
      <c r="C1082" s="486"/>
      <c r="D1082" s="487"/>
      <c r="E1082" s="486"/>
      <c r="F1082" s="417" t="s">
        <v>2177</v>
      </c>
    </row>
    <row r="1083">
      <c r="A1083" s="486"/>
      <c r="B1083" s="486"/>
      <c r="C1083" s="486"/>
      <c r="D1083" s="487"/>
      <c r="E1083" s="486"/>
      <c r="F1083" s="417" t="s">
        <v>1865</v>
      </c>
    </row>
    <row r="1084">
      <c r="A1084" s="486"/>
      <c r="B1084" s="486"/>
      <c r="C1084" s="486"/>
      <c r="D1084" s="487"/>
      <c r="E1084" s="486"/>
      <c r="F1084" s="417" t="s">
        <v>2095</v>
      </c>
    </row>
    <row r="1085">
      <c r="A1085" s="486"/>
      <c r="B1085" s="486"/>
      <c r="C1085" s="486"/>
      <c r="D1085" s="487"/>
      <c r="E1085" s="486"/>
      <c r="F1085" s="417" t="s">
        <v>2425</v>
      </c>
    </row>
    <row r="1086">
      <c r="A1086" s="486"/>
      <c r="B1086" s="486"/>
      <c r="C1086" s="486"/>
      <c r="D1086" s="487"/>
      <c r="E1086" s="486"/>
      <c r="F1086" s="417" t="s">
        <v>2179</v>
      </c>
    </row>
    <row r="1087">
      <c r="A1087" s="486"/>
      <c r="B1087" s="486"/>
      <c r="C1087" s="486"/>
      <c r="D1087" s="487"/>
      <c r="E1087" s="486"/>
      <c r="F1087" s="417" t="s">
        <v>1745</v>
      </c>
    </row>
    <row r="1088">
      <c r="A1088" s="486"/>
      <c r="B1088" s="486"/>
      <c r="C1088" s="486"/>
      <c r="D1088" s="487"/>
      <c r="E1088" s="486"/>
      <c r="F1088" s="417" t="s">
        <v>2017</v>
      </c>
    </row>
    <row r="1089">
      <c r="A1089" s="486"/>
      <c r="B1089" s="486"/>
      <c r="C1089" s="486"/>
      <c r="D1089" s="487"/>
      <c r="E1089" s="486"/>
      <c r="F1089" s="417" t="s">
        <v>2279</v>
      </c>
    </row>
    <row r="1090">
      <c r="A1090" s="486"/>
      <c r="B1090" s="486"/>
      <c r="C1090" s="486"/>
      <c r="D1090" s="487"/>
      <c r="E1090" s="486"/>
      <c r="F1090" s="417" t="s">
        <v>2231</v>
      </c>
    </row>
    <row r="1091">
      <c r="A1091" s="486"/>
      <c r="B1091" s="486"/>
      <c r="C1091" s="486"/>
      <c r="D1091" s="487"/>
      <c r="E1091" s="486"/>
      <c r="F1091" s="417" t="s">
        <v>2019</v>
      </c>
    </row>
    <row r="1092">
      <c r="A1092" s="486"/>
      <c r="B1092" s="486"/>
      <c r="C1092" s="486"/>
      <c r="D1092" s="487"/>
      <c r="E1092" s="486"/>
      <c r="F1092" s="417" t="s">
        <v>2281</v>
      </c>
    </row>
    <row r="1093">
      <c r="A1093" s="486"/>
      <c r="B1093" s="486"/>
      <c r="C1093" s="486"/>
      <c r="D1093" s="487"/>
      <c r="E1093" s="486"/>
      <c r="F1093" s="417" t="s">
        <v>2021</v>
      </c>
    </row>
    <row r="1094">
      <c r="A1094" s="486"/>
      <c r="B1094" s="486"/>
      <c r="C1094" s="486"/>
      <c r="D1094" s="487"/>
      <c r="E1094" s="486"/>
      <c r="F1094" s="417" t="s">
        <v>1867</v>
      </c>
    </row>
    <row r="1095">
      <c r="A1095" s="486"/>
      <c r="B1095" s="486"/>
      <c r="C1095" s="486"/>
      <c r="D1095" s="487"/>
      <c r="E1095" s="486"/>
      <c r="F1095" s="417" t="s">
        <v>2232</v>
      </c>
    </row>
    <row r="1096">
      <c r="A1096" s="486"/>
      <c r="B1096" s="486"/>
      <c r="C1096" s="486"/>
      <c r="D1096" s="487"/>
      <c r="E1096" s="486"/>
      <c r="F1096" s="417" t="s">
        <v>1785</v>
      </c>
    </row>
    <row r="1097">
      <c r="A1097" s="486"/>
      <c r="B1097" s="486"/>
      <c r="C1097" s="486"/>
      <c r="D1097" s="487"/>
      <c r="E1097" s="486"/>
      <c r="F1097" s="417" t="s">
        <v>2349</v>
      </c>
    </row>
    <row r="1098">
      <c r="A1098" s="486"/>
      <c r="B1098" s="486"/>
      <c r="C1098" s="486"/>
      <c r="D1098" s="487"/>
      <c r="E1098" s="486"/>
      <c r="F1098" s="417" t="s">
        <v>2427</v>
      </c>
    </row>
    <row r="1099">
      <c r="A1099" s="486"/>
      <c r="B1099" s="486"/>
      <c r="C1099" s="486"/>
      <c r="D1099" s="487"/>
      <c r="E1099" s="486"/>
      <c r="F1099" s="417" t="s">
        <v>2429</v>
      </c>
    </row>
    <row r="1100">
      <c r="A1100" s="486"/>
      <c r="B1100" s="486"/>
      <c r="C1100" s="486"/>
      <c r="D1100" s="487"/>
      <c r="E1100" s="486"/>
      <c r="F1100" s="417" t="s">
        <v>1746</v>
      </c>
    </row>
    <row r="1101">
      <c r="A1101" s="486"/>
      <c r="B1101" s="486"/>
      <c r="C1101" s="486"/>
      <c r="D1101" s="487"/>
      <c r="E1101" s="486"/>
      <c r="F1101" s="417" t="s">
        <v>2431</v>
      </c>
    </row>
    <row r="1102">
      <c r="A1102" s="486"/>
      <c r="B1102" s="486"/>
      <c r="C1102" s="486"/>
      <c r="D1102" s="487"/>
      <c r="E1102" s="486"/>
      <c r="F1102" s="417" t="s">
        <v>1747</v>
      </c>
    </row>
    <row r="1103">
      <c r="A1103" s="486"/>
      <c r="B1103" s="486"/>
      <c r="C1103" s="486"/>
      <c r="D1103" s="487"/>
      <c r="E1103" s="486"/>
      <c r="F1103" s="417" t="s">
        <v>2023</v>
      </c>
    </row>
    <row r="1104">
      <c r="A1104" s="486"/>
      <c r="B1104" s="486"/>
      <c r="C1104" s="486"/>
      <c r="D1104" s="487"/>
      <c r="E1104" s="486"/>
      <c r="F1104" s="417" t="s">
        <v>1820</v>
      </c>
    </row>
    <row r="1105">
      <c r="A1105" s="486"/>
      <c r="B1105" s="486"/>
      <c r="C1105" s="486"/>
      <c r="D1105" s="487"/>
      <c r="E1105" s="486"/>
      <c r="F1105" s="417" t="s">
        <v>1748</v>
      </c>
    </row>
    <row r="1106">
      <c r="A1106" s="486"/>
      <c r="B1106" s="486"/>
      <c r="C1106" s="486"/>
      <c r="D1106" s="487"/>
      <c r="E1106" s="486"/>
      <c r="F1106" s="417" t="s">
        <v>2181</v>
      </c>
    </row>
    <row r="1107">
      <c r="A1107" s="486"/>
      <c r="B1107" s="486"/>
      <c r="C1107" s="486"/>
      <c r="D1107" s="487"/>
      <c r="E1107" s="486"/>
      <c r="F1107" s="417" t="s">
        <v>1749</v>
      </c>
    </row>
    <row r="1108">
      <c r="A1108" s="486"/>
      <c r="B1108" s="486"/>
      <c r="C1108" s="486"/>
      <c r="D1108" s="487"/>
      <c r="E1108" s="486"/>
      <c r="F1108" s="417" t="s">
        <v>1786</v>
      </c>
    </row>
    <row r="1109">
      <c r="A1109" s="486"/>
      <c r="B1109" s="486"/>
      <c r="C1109" s="486"/>
      <c r="D1109" s="487"/>
      <c r="E1109" s="486"/>
      <c r="F1109" s="417" t="s">
        <v>2351</v>
      </c>
    </row>
    <row r="1110">
      <c r="A1110" s="486"/>
      <c r="B1110" s="486"/>
      <c r="C1110" s="486"/>
      <c r="D1110" s="487"/>
      <c r="E1110" s="486"/>
      <c r="F1110" s="417" t="s">
        <v>2097</v>
      </c>
    </row>
    <row r="1111">
      <c r="A1111" s="486"/>
      <c r="B1111" s="486"/>
      <c r="C1111" s="486"/>
      <c r="D1111" s="487"/>
      <c r="E1111" s="486"/>
      <c r="F1111" s="417" t="s">
        <v>1821</v>
      </c>
    </row>
    <row r="1112">
      <c r="A1112" s="486"/>
      <c r="B1112" s="486"/>
      <c r="C1112" s="486"/>
      <c r="D1112" s="487"/>
      <c r="E1112" s="486"/>
      <c r="F1112" s="417" t="s">
        <v>2099</v>
      </c>
    </row>
    <row r="1113">
      <c r="A1113" s="486"/>
      <c r="B1113" s="486"/>
      <c r="C1113" s="486"/>
      <c r="D1113" s="487"/>
      <c r="E1113" s="486"/>
      <c r="F1113" s="417" t="s">
        <v>2353</v>
      </c>
    </row>
    <row r="1114">
      <c r="A1114" s="486"/>
      <c r="B1114" s="486"/>
      <c r="C1114" s="486"/>
      <c r="D1114" s="487"/>
      <c r="E1114" s="486"/>
      <c r="F1114" s="417" t="s">
        <v>2233</v>
      </c>
    </row>
    <row r="1115">
      <c r="A1115" s="486"/>
      <c r="B1115" s="486"/>
      <c r="C1115" s="486"/>
      <c r="D1115" s="487"/>
      <c r="E1115" s="486"/>
      <c r="F1115" s="417" t="s">
        <v>2101</v>
      </c>
    </row>
    <row r="1116">
      <c r="A1116" s="486"/>
      <c r="B1116" s="486"/>
      <c r="C1116" s="486"/>
      <c r="D1116" s="487"/>
      <c r="E1116" s="486"/>
      <c r="F1116" s="417" t="s">
        <v>2433</v>
      </c>
    </row>
    <row r="1117">
      <c r="A1117" s="486"/>
      <c r="B1117" s="486"/>
      <c r="C1117" s="486"/>
      <c r="D1117" s="487"/>
      <c r="E1117" s="486"/>
      <c r="F1117" s="417" t="s">
        <v>1750</v>
      </c>
    </row>
    <row r="1118">
      <c r="A1118" s="486"/>
      <c r="B1118" s="486"/>
      <c r="C1118" s="486"/>
      <c r="D1118" s="487"/>
      <c r="E1118" s="486"/>
      <c r="F1118" s="417" t="s">
        <v>2435</v>
      </c>
    </row>
    <row r="1119">
      <c r="A1119" s="486"/>
      <c r="B1119" s="486"/>
      <c r="C1119" s="486"/>
      <c r="D1119" s="487"/>
      <c r="E1119" s="486"/>
      <c r="F1119" s="417" t="s">
        <v>2234</v>
      </c>
    </row>
    <row r="1120">
      <c r="A1120" s="486"/>
      <c r="B1120" s="486"/>
      <c r="C1120" s="486"/>
      <c r="D1120" s="487"/>
      <c r="E1120" s="486"/>
      <c r="F1120" s="417" t="s">
        <v>1787</v>
      </c>
    </row>
    <row r="1121">
      <c r="A1121" s="486"/>
      <c r="B1121" s="486"/>
      <c r="C1121" s="486"/>
      <c r="D1121" s="487"/>
      <c r="E1121" s="486"/>
      <c r="F1121" s="417" t="s">
        <v>2025</v>
      </c>
    </row>
    <row r="1122">
      <c r="A1122" s="486"/>
      <c r="B1122" s="486"/>
      <c r="C1122" s="486"/>
      <c r="D1122" s="487"/>
      <c r="E1122" s="486"/>
      <c r="F1122" s="417" t="s">
        <v>2283</v>
      </c>
    </row>
    <row r="1123">
      <c r="A1123" s="486"/>
      <c r="B1123" s="486"/>
      <c r="C1123" s="486"/>
      <c r="D1123" s="487"/>
      <c r="E1123" s="486"/>
      <c r="F1123" s="417" t="s">
        <v>2355</v>
      </c>
    </row>
    <row r="1124">
      <c r="A1124" s="486"/>
      <c r="B1124" s="486"/>
      <c r="C1124" s="486"/>
      <c r="D1124" s="487"/>
      <c r="E1124" s="486"/>
      <c r="F1124" s="417" t="s">
        <v>1869</v>
      </c>
    </row>
    <row r="1125">
      <c r="A1125" s="486"/>
      <c r="B1125" s="486"/>
      <c r="C1125" s="486"/>
      <c r="D1125" s="487"/>
      <c r="E1125" s="486"/>
      <c r="F1125" s="417" t="s">
        <v>1871</v>
      </c>
    </row>
    <row r="1126">
      <c r="A1126" s="486"/>
      <c r="B1126" s="486"/>
      <c r="C1126" s="486"/>
      <c r="D1126" s="487"/>
      <c r="E1126" s="486"/>
      <c r="F1126" s="417" t="s">
        <v>1873</v>
      </c>
    </row>
    <row r="1127">
      <c r="A1127" s="486"/>
      <c r="B1127" s="486"/>
      <c r="C1127" s="486"/>
      <c r="D1127" s="487"/>
      <c r="E1127" s="486"/>
      <c r="F1127" s="417" t="s">
        <v>1822</v>
      </c>
    </row>
    <row r="1128">
      <c r="A1128" s="486"/>
      <c r="B1128" s="486"/>
      <c r="C1128" s="486"/>
      <c r="D1128" s="487"/>
      <c r="E1128" s="486"/>
      <c r="F1128" s="417" t="s">
        <v>2183</v>
      </c>
    </row>
    <row r="1129">
      <c r="A1129" s="486"/>
      <c r="B1129" s="486"/>
      <c r="C1129" s="486"/>
      <c r="D1129" s="487"/>
      <c r="E1129" s="486"/>
      <c r="F1129" s="417" t="s">
        <v>2103</v>
      </c>
    </row>
    <row r="1130">
      <c r="A1130" s="486"/>
      <c r="B1130" s="486"/>
      <c r="C1130" s="486"/>
      <c r="D1130" s="487"/>
      <c r="E1130" s="486"/>
      <c r="F1130" s="417" t="s">
        <v>2357</v>
      </c>
    </row>
    <row r="1131">
      <c r="A1131" s="486"/>
      <c r="B1131" s="486"/>
      <c r="C1131" s="486"/>
      <c r="D1131" s="487"/>
      <c r="E1131" s="486"/>
      <c r="F1131" s="417" t="s">
        <v>2359</v>
      </c>
    </row>
    <row r="1132">
      <c r="A1132" s="486"/>
      <c r="B1132" s="486"/>
      <c r="C1132" s="486"/>
      <c r="D1132" s="487"/>
      <c r="E1132" s="486"/>
      <c r="F1132" s="417" t="s">
        <v>1788</v>
      </c>
    </row>
    <row r="1133">
      <c r="A1133" s="486"/>
      <c r="B1133" s="486"/>
      <c r="C1133" s="486"/>
      <c r="D1133" s="487"/>
      <c r="E1133" s="486"/>
      <c r="F1133" s="417" t="s">
        <v>1875</v>
      </c>
    </row>
    <row r="1134">
      <c r="A1134" s="486"/>
      <c r="B1134" s="486"/>
      <c r="C1134" s="486"/>
      <c r="D1134" s="487"/>
      <c r="E1134" s="486"/>
      <c r="F1134" s="417" t="s">
        <v>2105</v>
      </c>
    </row>
    <row r="1135">
      <c r="A1135" s="486"/>
      <c r="B1135" s="486"/>
      <c r="C1135" s="486"/>
      <c r="D1135" s="487"/>
      <c r="E1135" s="486"/>
      <c r="F1135" s="417" t="s">
        <v>1789</v>
      </c>
    </row>
    <row r="1136">
      <c r="A1136" s="486"/>
      <c r="B1136" s="486"/>
      <c r="C1136" s="486"/>
      <c r="D1136" s="487"/>
      <c r="E1136" s="486"/>
      <c r="F1136" s="417" t="s">
        <v>2361</v>
      </c>
    </row>
    <row r="1137">
      <c r="A1137" s="486"/>
      <c r="B1137" s="486"/>
      <c r="C1137" s="486"/>
      <c r="D1137" s="487"/>
      <c r="E1137" s="486"/>
      <c r="F1137" s="417" t="s">
        <v>2437</v>
      </c>
    </row>
    <row r="1138">
      <c r="A1138" s="486"/>
      <c r="B1138" s="486"/>
      <c r="C1138" s="486"/>
      <c r="D1138" s="487"/>
      <c r="E1138" s="486"/>
      <c r="F1138" s="417" t="s">
        <v>2027</v>
      </c>
    </row>
    <row r="1139">
      <c r="A1139" s="486"/>
      <c r="B1139" s="486"/>
      <c r="C1139" s="486"/>
      <c r="D1139" s="487"/>
      <c r="E1139" s="486"/>
      <c r="F1139" s="417" t="s">
        <v>2363</v>
      </c>
    </row>
    <row r="1140">
      <c r="A1140" s="486"/>
      <c r="B1140" s="486"/>
      <c r="C1140" s="486"/>
      <c r="D1140" s="487"/>
      <c r="E1140" s="486"/>
      <c r="F1140" s="417" t="s">
        <v>2185</v>
      </c>
    </row>
    <row r="1141">
      <c r="A1141" s="486"/>
      <c r="B1141" s="486"/>
      <c r="C1141" s="486"/>
      <c r="D1141" s="487"/>
      <c r="E1141" s="486"/>
      <c r="F1141" s="417" t="s">
        <v>2107</v>
      </c>
    </row>
    <row r="1142">
      <c r="A1142" s="486"/>
      <c r="B1142" s="486"/>
      <c r="C1142" s="486"/>
      <c r="D1142" s="487"/>
      <c r="E1142" s="486"/>
      <c r="F1142" s="417" t="s">
        <v>2365</v>
      </c>
    </row>
    <row r="1143">
      <c r="A1143" s="486"/>
      <c r="B1143" s="486"/>
      <c r="C1143" s="486"/>
      <c r="D1143" s="487"/>
      <c r="E1143" s="486"/>
      <c r="F1143" s="417" t="s">
        <v>1790</v>
      </c>
    </row>
    <row r="1144">
      <c r="A1144" s="486"/>
      <c r="B1144" s="486"/>
      <c r="C1144" s="486"/>
      <c r="D1144" s="487"/>
      <c r="E1144" s="486"/>
      <c r="F1144" s="417" t="s">
        <v>2439</v>
      </c>
    </row>
    <row r="1145">
      <c r="A1145" s="486"/>
      <c r="B1145" s="486"/>
      <c r="C1145" s="486"/>
      <c r="D1145" s="487"/>
      <c r="E1145" s="486"/>
      <c r="F1145" s="417" t="s">
        <v>2187</v>
      </c>
    </row>
    <row r="1146">
      <c r="A1146" s="486"/>
      <c r="B1146" s="486"/>
      <c r="C1146" s="486"/>
      <c r="D1146" s="487"/>
      <c r="E1146" s="486"/>
      <c r="F1146" s="417" t="s">
        <v>2441</v>
      </c>
    </row>
    <row r="1147">
      <c r="A1147" s="486"/>
      <c r="B1147" s="486"/>
      <c r="C1147" s="486"/>
      <c r="D1147" s="487"/>
      <c r="E1147" s="486"/>
      <c r="F1147" s="417" t="s">
        <v>2367</v>
      </c>
    </row>
    <row r="1148">
      <c r="A1148" s="486"/>
      <c r="B1148" s="486"/>
      <c r="C1148" s="486"/>
      <c r="D1148" s="487"/>
      <c r="E1148" s="486"/>
      <c r="F1148" s="417" t="s">
        <v>2029</v>
      </c>
    </row>
    <row r="1149">
      <c r="A1149" s="486"/>
      <c r="B1149" s="486"/>
      <c r="C1149" s="486"/>
      <c r="D1149" s="487"/>
      <c r="E1149" s="486"/>
      <c r="F1149" s="417" t="s">
        <v>1751</v>
      </c>
    </row>
    <row r="1150">
      <c r="A1150" s="486"/>
      <c r="B1150" s="486"/>
      <c r="C1150" s="486"/>
      <c r="D1150" s="487"/>
      <c r="E1150" s="486"/>
      <c r="F1150" s="417" t="s">
        <v>1791</v>
      </c>
    </row>
    <row r="1151">
      <c r="A1151" s="486"/>
      <c r="B1151" s="486"/>
      <c r="C1151" s="486"/>
      <c r="D1151" s="487"/>
      <c r="E1151" s="486"/>
      <c r="F1151" s="417" t="s">
        <v>1947</v>
      </c>
    </row>
    <row r="1152">
      <c r="A1152" s="486"/>
      <c r="B1152" s="486"/>
      <c r="C1152" s="486"/>
      <c r="D1152" s="487"/>
      <c r="E1152" s="486"/>
      <c r="F1152" s="417" t="s">
        <v>1792</v>
      </c>
    </row>
    <row r="1153">
      <c r="A1153" s="486"/>
      <c r="B1153" s="486"/>
      <c r="C1153" s="486"/>
      <c r="D1153" s="487"/>
      <c r="E1153" s="486"/>
      <c r="F1153" s="417" t="s">
        <v>2285</v>
      </c>
    </row>
    <row r="1154">
      <c r="A1154" s="486"/>
      <c r="B1154" s="486"/>
      <c r="C1154" s="486"/>
      <c r="D1154" s="487"/>
      <c r="E1154" s="486"/>
      <c r="F1154" s="417" t="s">
        <v>2287</v>
      </c>
    </row>
    <row r="1155">
      <c r="A1155" s="486"/>
      <c r="B1155" s="486"/>
      <c r="C1155" s="486"/>
      <c r="D1155" s="487"/>
      <c r="E1155" s="486"/>
      <c r="F1155" s="417" t="s">
        <v>1877</v>
      </c>
    </row>
    <row r="1156">
      <c r="A1156" s="486"/>
      <c r="B1156" s="486"/>
      <c r="C1156" s="486"/>
      <c r="D1156" s="487"/>
      <c r="E1156" s="486"/>
      <c r="F1156" s="417" t="s">
        <v>2443</v>
      </c>
    </row>
    <row r="1157">
      <c r="A1157" s="486"/>
      <c r="B1157" s="486"/>
      <c r="C1157" s="486"/>
      <c r="D1157" s="487"/>
      <c r="E1157" s="486"/>
      <c r="F1157" s="417" t="s">
        <v>1879</v>
      </c>
    </row>
    <row r="1158">
      <c r="A1158" s="486"/>
      <c r="B1158" s="486"/>
      <c r="C1158" s="486"/>
      <c r="D1158" s="487"/>
      <c r="E1158" s="486"/>
      <c r="F1158" s="417" t="s">
        <v>2369</v>
      </c>
    </row>
    <row r="1159">
      <c r="A1159" s="486"/>
      <c r="B1159" s="486"/>
      <c r="C1159" s="486"/>
      <c r="D1159" s="487"/>
      <c r="E1159" s="486"/>
      <c r="F1159" s="417" t="s">
        <v>1881</v>
      </c>
    </row>
    <row r="1160">
      <c r="A1160" s="486"/>
      <c r="B1160" s="486"/>
      <c r="C1160" s="486"/>
      <c r="D1160" s="487"/>
      <c r="E1160" s="486"/>
      <c r="F1160" s="417" t="s">
        <v>2289</v>
      </c>
    </row>
    <row r="1161">
      <c r="A1161" s="486"/>
      <c r="B1161" s="486"/>
      <c r="C1161" s="486"/>
      <c r="D1161" s="487"/>
      <c r="E1161" s="486"/>
      <c r="F1161" s="417" t="s">
        <v>1883</v>
      </c>
    </row>
    <row r="1162">
      <c r="A1162" s="486"/>
      <c r="B1162" s="486"/>
      <c r="C1162" s="486"/>
      <c r="D1162" s="487"/>
      <c r="E1162" s="486"/>
      <c r="F1162" s="417" t="s">
        <v>2031</v>
      </c>
    </row>
    <row r="1163">
      <c r="A1163" s="486"/>
      <c r="B1163" s="486"/>
      <c r="C1163" s="486"/>
      <c r="D1163" s="487"/>
      <c r="E1163" s="486"/>
      <c r="F1163" s="417" t="s">
        <v>1752</v>
      </c>
    </row>
    <row r="1164">
      <c r="A1164" s="486"/>
      <c r="B1164" s="486"/>
      <c r="C1164" s="486"/>
      <c r="D1164" s="487"/>
      <c r="E1164" s="486"/>
      <c r="F1164" s="417" t="s">
        <v>2291</v>
      </c>
    </row>
    <row r="1165">
      <c r="A1165" s="486"/>
      <c r="B1165" s="486"/>
      <c r="C1165" s="486"/>
      <c r="D1165" s="487"/>
      <c r="E1165" s="486"/>
      <c r="F1165" s="417" t="s">
        <v>2235</v>
      </c>
    </row>
    <row r="1166">
      <c r="A1166" s="486"/>
      <c r="B1166" s="486"/>
      <c r="C1166" s="486"/>
      <c r="D1166" s="487"/>
      <c r="E1166" s="486"/>
      <c r="F1166" s="417" t="s">
        <v>1885</v>
      </c>
    </row>
    <row r="1167">
      <c r="A1167" s="486"/>
      <c r="B1167" s="486"/>
      <c r="C1167" s="486"/>
      <c r="D1167" s="487"/>
      <c r="E1167" s="486"/>
      <c r="F1167" s="417" t="s">
        <v>2293</v>
      </c>
    </row>
    <row r="1168">
      <c r="A1168" s="486"/>
      <c r="B1168" s="486"/>
      <c r="C1168" s="486"/>
      <c r="D1168" s="487"/>
      <c r="E1168" s="486"/>
      <c r="F1168" s="417" t="s">
        <v>2371</v>
      </c>
    </row>
    <row r="1169">
      <c r="A1169" s="486"/>
      <c r="B1169" s="486"/>
      <c r="C1169" s="486"/>
      <c r="D1169" s="487"/>
      <c r="E1169" s="486"/>
      <c r="F1169" s="417" t="s">
        <v>1823</v>
      </c>
    </row>
    <row r="1170">
      <c r="A1170" s="486"/>
      <c r="B1170" s="486"/>
      <c r="C1170" s="486"/>
      <c r="D1170" s="487"/>
      <c r="E1170" s="486"/>
      <c r="F1170" s="417" t="s">
        <v>2236</v>
      </c>
    </row>
    <row r="1171">
      <c r="A1171" s="486"/>
      <c r="B1171" s="486"/>
      <c r="C1171" s="486"/>
      <c r="D1171" s="487"/>
      <c r="E1171" s="486"/>
      <c r="F1171" s="417" t="s">
        <v>2033</v>
      </c>
    </row>
    <row r="1172">
      <c r="A1172" s="486"/>
      <c r="B1172" s="486"/>
      <c r="C1172" s="486"/>
      <c r="D1172" s="487"/>
      <c r="E1172" s="486"/>
      <c r="F1172" s="417" t="s">
        <v>1753</v>
      </c>
    </row>
    <row r="1173">
      <c r="A1173" s="486"/>
      <c r="B1173" s="486"/>
      <c r="C1173" s="486"/>
      <c r="D1173" s="487"/>
      <c r="E1173" s="486"/>
      <c r="F1173" s="417" t="s">
        <v>1824</v>
      </c>
    </row>
    <row r="1174">
      <c r="A1174" s="486"/>
      <c r="B1174" s="486"/>
      <c r="C1174" s="486"/>
      <c r="D1174" s="487"/>
      <c r="E1174" s="486"/>
      <c r="F1174" s="417" t="s">
        <v>1887</v>
      </c>
    </row>
    <row r="1175">
      <c r="A1175" s="486"/>
      <c r="B1175" s="486"/>
      <c r="C1175" s="486"/>
      <c r="D1175" s="487"/>
      <c r="E1175" s="486"/>
      <c r="F1175" s="417" t="s">
        <v>2035</v>
      </c>
    </row>
    <row r="1176">
      <c r="A1176" s="486"/>
      <c r="B1176" s="486"/>
      <c r="C1176" s="486"/>
      <c r="D1176" s="487"/>
      <c r="E1176" s="486"/>
      <c r="F1176" s="417" t="s">
        <v>1825</v>
      </c>
    </row>
    <row r="1177">
      <c r="A1177" s="486"/>
      <c r="B1177" s="486"/>
      <c r="C1177" s="486"/>
      <c r="D1177" s="487"/>
      <c r="E1177" s="486"/>
      <c r="F1177" s="417" t="s">
        <v>1754</v>
      </c>
    </row>
    <row r="1178">
      <c r="A1178" s="486"/>
      <c r="B1178" s="486"/>
      <c r="C1178" s="486"/>
      <c r="D1178" s="487"/>
      <c r="E1178" s="486"/>
      <c r="F1178" s="417" t="s">
        <v>1755</v>
      </c>
    </row>
    <row r="1179">
      <c r="A1179" s="486"/>
      <c r="B1179" s="486"/>
      <c r="C1179" s="486"/>
      <c r="D1179" s="487"/>
      <c r="E1179" s="486"/>
      <c r="F1179" s="417" t="s">
        <v>2189</v>
      </c>
    </row>
    <row r="1180">
      <c r="A1180" s="486"/>
      <c r="B1180" s="486"/>
      <c r="C1180" s="486"/>
      <c r="D1180" s="487"/>
      <c r="E1180" s="486"/>
      <c r="F1180" s="417" t="s">
        <v>2373</v>
      </c>
    </row>
    <row r="1181">
      <c r="A1181" s="486"/>
      <c r="B1181" s="486"/>
      <c r="C1181" s="486"/>
      <c r="D1181" s="487"/>
      <c r="E1181" s="486"/>
      <c r="F1181" s="417" t="s">
        <v>1889</v>
      </c>
    </row>
    <row r="1182">
      <c r="A1182" s="486"/>
      <c r="B1182" s="486"/>
      <c r="C1182" s="486"/>
      <c r="D1182" s="487"/>
      <c r="E1182" s="486"/>
      <c r="F1182" s="417" t="s">
        <v>2375</v>
      </c>
    </row>
    <row r="1183">
      <c r="A1183" s="486"/>
      <c r="B1183" s="486"/>
      <c r="C1183" s="486"/>
      <c r="D1183" s="487"/>
      <c r="E1183" s="486"/>
      <c r="F1183" s="417" t="s">
        <v>1826</v>
      </c>
    </row>
    <row r="1184">
      <c r="A1184" s="486"/>
      <c r="B1184" s="486"/>
      <c r="C1184" s="486"/>
      <c r="D1184" s="487"/>
      <c r="E1184" s="486"/>
      <c r="F1184" s="417" t="s">
        <v>2377</v>
      </c>
    </row>
    <row r="1185">
      <c r="A1185" s="486"/>
      <c r="B1185" s="486"/>
      <c r="C1185" s="486"/>
      <c r="D1185" s="487"/>
      <c r="E1185" s="486"/>
      <c r="F1185" s="417" t="s">
        <v>2447</v>
      </c>
    </row>
    <row r="1186">
      <c r="A1186" s="486"/>
      <c r="B1186" s="486"/>
      <c r="C1186" s="486"/>
      <c r="D1186" s="487"/>
      <c r="E1186" s="486"/>
      <c r="F1186" s="417" t="s">
        <v>2191</v>
      </c>
    </row>
    <row r="1187">
      <c r="A1187" s="486"/>
      <c r="B1187" s="486"/>
      <c r="C1187" s="486"/>
      <c r="D1187" s="487"/>
      <c r="E1187" s="486"/>
      <c r="F1187" s="417" t="s">
        <v>1827</v>
      </c>
    </row>
    <row r="1188">
      <c r="A1188" s="486"/>
      <c r="B1188" s="486"/>
      <c r="C1188" s="486"/>
      <c r="D1188" s="487"/>
      <c r="E1188" s="486"/>
      <c r="F1188" s="417" t="s">
        <v>2379</v>
      </c>
    </row>
    <row r="1189">
      <c r="A1189" s="486"/>
      <c r="B1189" s="486"/>
      <c r="C1189" s="486"/>
      <c r="D1189" s="487"/>
      <c r="E1189" s="486"/>
      <c r="F1189" s="417" t="s">
        <v>1891</v>
      </c>
    </row>
    <row r="1190">
      <c r="A1190" s="486"/>
      <c r="B1190" s="486"/>
      <c r="C1190" s="486"/>
      <c r="D1190" s="487"/>
      <c r="E1190" s="486"/>
      <c r="F1190" s="417" t="s">
        <v>1949</v>
      </c>
    </row>
    <row r="1191">
      <c r="A1191" s="486"/>
      <c r="B1191" s="486"/>
      <c r="C1191" s="486"/>
      <c r="D1191" s="487"/>
      <c r="E1191" s="486"/>
      <c r="F1191" s="417" t="s">
        <v>1756</v>
      </c>
    </row>
    <row r="1192">
      <c r="A1192" s="486"/>
      <c r="B1192" s="486"/>
      <c r="C1192" s="486"/>
      <c r="D1192" s="487"/>
      <c r="E1192" s="486"/>
      <c r="F1192" s="417" t="s">
        <v>2109</v>
      </c>
    </row>
    <row r="1193">
      <c r="A1193" s="486"/>
      <c r="B1193" s="486"/>
      <c r="C1193" s="486"/>
      <c r="D1193" s="487"/>
      <c r="E1193" s="486"/>
      <c r="F1193" s="417" t="s">
        <v>1951</v>
      </c>
    </row>
    <row r="1194">
      <c r="A1194" s="486"/>
      <c r="B1194" s="486"/>
      <c r="C1194" s="486"/>
      <c r="D1194" s="487"/>
      <c r="E1194" s="486"/>
      <c r="F1194" s="417" t="s">
        <v>2449</v>
      </c>
    </row>
    <row r="1195">
      <c r="A1195" s="486"/>
      <c r="B1195" s="486"/>
      <c r="C1195" s="486"/>
      <c r="D1195" s="487"/>
      <c r="E1195" s="486"/>
      <c r="F1195" s="417" t="s">
        <v>2111</v>
      </c>
    </row>
    <row r="1196">
      <c r="A1196" s="486"/>
      <c r="B1196" s="486"/>
      <c r="C1196" s="486"/>
      <c r="D1196" s="487"/>
      <c r="E1196" s="486"/>
      <c r="F1196" s="417" t="s">
        <v>2037</v>
      </c>
    </row>
    <row r="1197">
      <c r="A1197" s="486"/>
      <c r="B1197" s="486"/>
      <c r="C1197" s="486"/>
      <c r="D1197" s="487"/>
      <c r="E1197" s="486"/>
      <c r="F1197" s="417" t="s">
        <v>1757</v>
      </c>
    </row>
    <row r="1198">
      <c r="A1198" s="486"/>
      <c r="B1198" s="486"/>
      <c r="C1198" s="486"/>
      <c r="D1198" s="487"/>
      <c r="E1198" s="486"/>
      <c r="F1198" s="417" t="s">
        <v>1893</v>
      </c>
    </row>
    <row r="1199">
      <c r="A1199" s="486"/>
      <c r="B1199" s="486"/>
      <c r="C1199" s="486"/>
      <c r="D1199" s="487"/>
      <c r="E1199" s="486"/>
      <c r="F1199" s="417" t="s">
        <v>1758</v>
      </c>
    </row>
    <row r="1200">
      <c r="A1200" s="486"/>
      <c r="B1200" s="486"/>
      <c r="C1200" s="486"/>
      <c r="D1200" s="487"/>
      <c r="E1200" s="486"/>
      <c r="F1200" s="417" t="s">
        <v>1759</v>
      </c>
    </row>
    <row r="1201">
      <c r="A1201" s="486"/>
      <c r="B1201" s="486"/>
      <c r="C1201" s="486"/>
      <c r="D1201" s="487"/>
      <c r="E1201" s="486"/>
      <c r="F1201" s="417" t="s">
        <v>2295</v>
      </c>
    </row>
    <row r="1202">
      <c r="A1202" s="486"/>
      <c r="B1202" s="486"/>
      <c r="C1202" s="486"/>
      <c r="D1202" s="487"/>
      <c r="E1202" s="486"/>
      <c r="F1202" s="417" t="s">
        <v>2237</v>
      </c>
    </row>
    <row r="1203">
      <c r="A1203" s="486"/>
      <c r="B1203" s="486"/>
      <c r="C1203" s="486"/>
      <c r="D1203" s="487"/>
      <c r="E1203" s="486"/>
      <c r="F1203" s="417" t="s">
        <v>1953</v>
      </c>
    </row>
    <row r="1204">
      <c r="A1204" s="486"/>
      <c r="B1204" s="486"/>
      <c r="C1204" s="486"/>
      <c r="D1204" s="487"/>
      <c r="E1204" s="486"/>
      <c r="F1204" s="417" t="s">
        <v>1828</v>
      </c>
    </row>
    <row r="1205">
      <c r="A1205" s="486"/>
      <c r="B1205" s="486"/>
      <c r="C1205" s="486"/>
      <c r="D1205" s="487"/>
      <c r="E1205" s="486"/>
      <c r="F1205" s="417" t="s">
        <v>2039</v>
      </c>
    </row>
    <row r="1206">
      <c r="A1206" s="486"/>
      <c r="B1206" s="486"/>
      <c r="C1206" s="486"/>
      <c r="D1206" s="487"/>
      <c r="E1206" s="486"/>
      <c r="F1206" s="417" t="s">
        <v>2113</v>
      </c>
    </row>
    <row r="1207">
      <c r="A1207" s="486"/>
      <c r="B1207" s="486"/>
      <c r="C1207" s="486"/>
      <c r="D1207" s="487"/>
      <c r="E1207" s="486"/>
      <c r="F1207" s="417" t="s">
        <v>1829</v>
      </c>
    </row>
    <row r="1208">
      <c r="A1208" s="486"/>
      <c r="B1208" s="486"/>
      <c r="C1208" s="486"/>
      <c r="D1208" s="487"/>
      <c r="E1208" s="486"/>
      <c r="F1208" s="417" t="s">
        <v>2115</v>
      </c>
    </row>
    <row r="1209">
      <c r="A1209" s="486"/>
      <c r="B1209" s="486"/>
      <c r="C1209" s="486"/>
      <c r="D1209" s="487"/>
      <c r="E1209" s="486"/>
      <c r="F1209" s="417" t="s">
        <v>2451</v>
      </c>
    </row>
    <row r="1210">
      <c r="A1210" s="486"/>
      <c r="B1210" s="486"/>
      <c r="C1210" s="486"/>
      <c r="D1210" s="487"/>
      <c r="E1210" s="486"/>
      <c r="F1210" s="417" t="s">
        <v>1955</v>
      </c>
    </row>
    <row r="1211">
      <c r="A1211" s="486"/>
      <c r="B1211" s="486"/>
      <c r="C1211" s="486"/>
      <c r="D1211" s="487"/>
      <c r="E1211" s="486"/>
      <c r="F1211" s="417" t="s">
        <v>1957</v>
      </c>
    </row>
    <row r="1212">
      <c r="A1212" s="486"/>
      <c r="B1212" s="486"/>
      <c r="C1212" s="486"/>
      <c r="D1212" s="487"/>
      <c r="E1212" s="486"/>
      <c r="F1212" s="417" t="s">
        <v>1830</v>
      </c>
    </row>
    <row r="1213">
      <c r="A1213" s="486"/>
      <c r="B1213" s="486"/>
      <c r="C1213" s="486"/>
      <c r="D1213" s="487"/>
      <c r="E1213" s="486"/>
      <c r="F1213" s="417" t="s">
        <v>2453</v>
      </c>
    </row>
    <row r="1214">
      <c r="A1214" s="486"/>
      <c r="B1214" s="486"/>
      <c r="C1214" s="486"/>
      <c r="D1214" s="487"/>
      <c r="E1214" s="486"/>
      <c r="F1214" s="417" t="s">
        <v>2297</v>
      </c>
    </row>
    <row r="1215">
      <c r="A1215" s="486"/>
      <c r="B1215" s="486"/>
      <c r="C1215" s="486"/>
      <c r="D1215" s="487"/>
      <c r="E1215" s="486"/>
      <c r="F1215" s="417" t="s">
        <v>2238</v>
      </c>
    </row>
    <row r="1216">
      <c r="A1216" s="486"/>
      <c r="B1216" s="486"/>
      <c r="C1216" s="486"/>
      <c r="D1216" s="487"/>
      <c r="E1216" s="486"/>
      <c r="F1216" s="417" t="s">
        <v>2041</v>
      </c>
    </row>
    <row r="1217">
      <c r="A1217" s="486"/>
      <c r="B1217" s="486"/>
      <c r="C1217" s="486"/>
      <c r="D1217" s="487"/>
      <c r="E1217" s="486"/>
      <c r="F1217" s="417" t="s">
        <v>1793</v>
      </c>
    </row>
    <row r="1218">
      <c r="A1218" s="486"/>
      <c r="B1218" s="486"/>
      <c r="C1218" s="486"/>
      <c r="D1218" s="487"/>
      <c r="E1218" s="486"/>
      <c r="F1218" s="417" t="s">
        <v>2455</v>
      </c>
    </row>
    <row r="1219">
      <c r="A1219" s="486"/>
      <c r="B1219" s="486"/>
      <c r="C1219" s="486"/>
      <c r="D1219" s="487"/>
      <c r="E1219" s="486"/>
      <c r="F1219" s="417" t="s">
        <v>2457</v>
      </c>
    </row>
    <row r="1220">
      <c r="A1220" s="486"/>
      <c r="B1220" s="486"/>
      <c r="C1220" s="486"/>
      <c r="D1220" s="487"/>
      <c r="E1220" s="486"/>
      <c r="F1220" s="417" t="s">
        <v>1831</v>
      </c>
    </row>
    <row r="1221">
      <c r="A1221" s="486"/>
      <c r="B1221" s="486"/>
      <c r="C1221" s="486"/>
      <c r="D1221" s="487"/>
      <c r="E1221" s="486"/>
      <c r="F1221" s="417" t="s">
        <v>1832</v>
      </c>
    </row>
    <row r="1222">
      <c r="A1222" s="486"/>
      <c r="B1222" s="486"/>
      <c r="C1222" s="486"/>
      <c r="D1222" s="487"/>
      <c r="E1222" s="486"/>
      <c r="F1222" s="417" t="s">
        <v>1833</v>
      </c>
    </row>
    <row r="1223">
      <c r="A1223" s="486"/>
      <c r="B1223" s="486"/>
      <c r="C1223" s="486"/>
      <c r="D1223" s="487"/>
      <c r="E1223" s="486"/>
      <c r="F1223" s="417" t="s">
        <v>1834</v>
      </c>
    </row>
    <row r="1224">
      <c r="A1224" s="486"/>
      <c r="B1224" s="486"/>
      <c r="C1224" s="486"/>
      <c r="D1224" s="487"/>
      <c r="E1224" s="486"/>
      <c r="F1224" s="417" t="s">
        <v>2239</v>
      </c>
    </row>
    <row r="1225">
      <c r="A1225" s="486"/>
      <c r="B1225" s="486"/>
      <c r="C1225" s="486"/>
      <c r="D1225" s="487"/>
      <c r="E1225" s="486"/>
      <c r="F1225" s="417" t="s">
        <v>2240</v>
      </c>
    </row>
    <row r="1226">
      <c r="A1226" s="486"/>
      <c r="B1226" s="486"/>
      <c r="C1226" s="486"/>
      <c r="D1226" s="487"/>
      <c r="E1226" s="486"/>
      <c r="F1226" s="417" t="s">
        <v>2459</v>
      </c>
    </row>
    <row r="1227">
      <c r="A1227" s="486"/>
      <c r="B1227" s="486"/>
      <c r="C1227" s="486"/>
      <c r="D1227" s="487"/>
      <c r="E1227" s="486"/>
      <c r="F1227" s="417" t="s">
        <v>2381</v>
      </c>
    </row>
    <row r="1228">
      <c r="A1228" s="486"/>
      <c r="B1228" s="486"/>
      <c r="C1228" s="486"/>
      <c r="D1228" s="487"/>
      <c r="E1228" s="486"/>
      <c r="F1228" s="417" t="s">
        <v>1794</v>
      </c>
    </row>
    <row r="1229">
      <c r="A1229" s="486"/>
      <c r="B1229" s="486"/>
      <c r="C1229" s="486"/>
      <c r="D1229" s="487"/>
      <c r="E1229" s="486"/>
      <c r="F1229" s="417" t="s">
        <v>1895</v>
      </c>
    </row>
    <row r="1230">
      <c r="A1230" s="486"/>
      <c r="B1230" s="486"/>
      <c r="C1230" s="486"/>
      <c r="D1230" s="487"/>
      <c r="E1230" s="486"/>
      <c r="F1230" s="417" t="s">
        <v>2241</v>
      </c>
    </row>
    <row r="1231">
      <c r="A1231" s="486"/>
      <c r="B1231" s="486"/>
      <c r="C1231" s="486"/>
      <c r="D1231" s="487"/>
      <c r="E1231" s="486"/>
      <c r="F1231" s="417" t="s">
        <v>1897</v>
      </c>
    </row>
    <row r="1232">
      <c r="A1232" s="486"/>
      <c r="B1232" s="486"/>
      <c r="C1232" s="486"/>
      <c r="D1232" s="487"/>
      <c r="E1232" s="486"/>
      <c r="F1232" s="417" t="s">
        <v>2383</v>
      </c>
    </row>
    <row r="1233">
      <c r="A1233" s="486"/>
      <c r="B1233" s="486"/>
      <c r="C1233" s="486"/>
      <c r="D1233" s="487"/>
      <c r="E1233" s="486"/>
      <c r="F1233" s="417" t="s">
        <v>2242</v>
      </c>
    </row>
    <row r="1234">
      <c r="A1234" s="486"/>
      <c r="B1234" s="486"/>
      <c r="C1234" s="486"/>
      <c r="D1234" s="487"/>
      <c r="E1234" s="486"/>
      <c r="F1234" s="417" t="s">
        <v>2193</v>
      </c>
    </row>
    <row r="1235">
      <c r="A1235" s="486"/>
      <c r="B1235" s="486"/>
      <c r="C1235" s="486"/>
      <c r="D1235" s="487"/>
      <c r="E1235" s="486"/>
      <c r="F1235" s="417" t="s">
        <v>1835</v>
      </c>
    </row>
    <row r="1236">
      <c r="A1236" s="486"/>
      <c r="B1236" s="486"/>
      <c r="C1236" s="486"/>
      <c r="D1236" s="487"/>
      <c r="E1236" s="486"/>
      <c r="F1236" s="417" t="s">
        <v>2461</v>
      </c>
    </row>
    <row r="1237">
      <c r="A1237" s="486"/>
      <c r="B1237" s="486"/>
      <c r="C1237" s="486"/>
      <c r="D1237" s="487"/>
      <c r="E1237" s="486"/>
      <c r="F1237" s="417" t="s">
        <v>2195</v>
      </c>
    </row>
    <row r="1238">
      <c r="A1238" s="486"/>
      <c r="B1238" s="486"/>
      <c r="C1238" s="486"/>
      <c r="D1238" s="487"/>
      <c r="E1238" s="486"/>
      <c r="F1238" s="417" t="s">
        <v>2463</v>
      </c>
    </row>
    <row r="1239">
      <c r="A1239" s="486"/>
      <c r="B1239" s="486"/>
      <c r="C1239" s="486"/>
      <c r="D1239" s="487"/>
      <c r="E1239" s="486"/>
      <c r="F1239" s="417" t="s">
        <v>2043</v>
      </c>
    </row>
    <row r="1240">
      <c r="A1240" s="486"/>
      <c r="B1240" s="486"/>
      <c r="C1240" s="486"/>
      <c r="D1240" s="487"/>
      <c r="E1240" s="486"/>
      <c r="F1240" s="417" t="s">
        <v>2465</v>
      </c>
    </row>
    <row r="1241">
      <c r="A1241" s="486"/>
      <c r="B1241" s="486"/>
      <c r="C1241" s="486"/>
      <c r="D1241" s="487"/>
      <c r="E1241" s="486"/>
      <c r="F1241" s="417" t="s">
        <v>2299</v>
      </c>
    </row>
    <row r="1242">
      <c r="A1242" s="486"/>
      <c r="B1242" s="486"/>
      <c r="C1242" s="486"/>
      <c r="D1242" s="487"/>
      <c r="E1242" s="486"/>
      <c r="F1242" s="417" t="s">
        <v>1959</v>
      </c>
    </row>
    <row r="1243">
      <c r="A1243" s="486"/>
      <c r="B1243" s="486"/>
      <c r="C1243" s="486"/>
      <c r="D1243" s="487"/>
      <c r="E1243" s="486"/>
      <c r="F1243" s="417" t="s">
        <v>2243</v>
      </c>
    </row>
    <row r="1244">
      <c r="A1244" s="486"/>
      <c r="B1244" s="486"/>
      <c r="C1244" s="486"/>
      <c r="D1244" s="487"/>
      <c r="E1244" s="486"/>
      <c r="F1244" s="417" t="s">
        <v>2197</v>
      </c>
    </row>
    <row r="1245">
      <c r="A1245" s="486"/>
      <c r="B1245" s="486"/>
      <c r="C1245" s="486"/>
      <c r="D1245" s="487"/>
      <c r="E1245" s="486"/>
      <c r="F1245" s="417" t="s">
        <v>1899</v>
      </c>
    </row>
    <row r="1246">
      <c r="A1246" s="486"/>
      <c r="B1246" s="486"/>
      <c r="C1246" s="486"/>
      <c r="D1246" s="487"/>
      <c r="E1246" s="486"/>
      <c r="F1246" s="417" t="s">
        <v>2199</v>
      </c>
    </row>
    <row r="1247">
      <c r="A1247" s="486"/>
      <c r="B1247" s="486"/>
      <c r="C1247" s="486"/>
      <c r="D1247" s="487"/>
      <c r="E1247" s="486"/>
      <c r="F1247" s="417" t="s">
        <v>2117</v>
      </c>
    </row>
    <row r="1248">
      <c r="A1248" s="486"/>
      <c r="B1248" s="486"/>
      <c r="C1248" s="486"/>
      <c r="D1248" s="487"/>
      <c r="E1248" s="486"/>
      <c r="F1248" s="417" t="s">
        <v>1760</v>
      </c>
    </row>
    <row r="1249">
      <c r="A1249" s="486"/>
      <c r="B1249" s="486"/>
      <c r="C1249" s="486"/>
      <c r="D1249" s="487"/>
      <c r="E1249" s="486"/>
      <c r="F1249" s="417" t="s">
        <v>2385</v>
      </c>
    </row>
    <row r="1250">
      <c r="A1250" s="486"/>
      <c r="B1250" s="486"/>
      <c r="C1250" s="486"/>
      <c r="D1250" s="487"/>
      <c r="E1250" s="486"/>
      <c r="F1250" s="417" t="s">
        <v>2244</v>
      </c>
    </row>
    <row r="1251">
      <c r="A1251" s="486"/>
      <c r="B1251" s="486"/>
      <c r="C1251" s="486"/>
      <c r="D1251" s="487"/>
      <c r="E1251" s="486"/>
      <c r="F1251" s="417" t="s">
        <v>2245</v>
      </c>
    </row>
    <row r="1252">
      <c r="A1252" s="486"/>
      <c r="B1252" s="486"/>
      <c r="C1252" s="486"/>
      <c r="D1252" s="487"/>
      <c r="E1252" s="486"/>
      <c r="F1252" s="417" t="s">
        <v>1795</v>
      </c>
    </row>
    <row r="1253">
      <c r="A1253" s="486"/>
      <c r="B1253" s="486"/>
      <c r="C1253" s="486"/>
      <c r="D1253" s="487"/>
      <c r="E1253" s="486"/>
      <c r="F1253" s="417" t="s">
        <v>2246</v>
      </c>
    </row>
    <row r="1254">
      <c r="A1254" s="486"/>
      <c r="B1254" s="486"/>
      <c r="C1254" s="486"/>
      <c r="D1254" s="487"/>
      <c r="E1254" s="486"/>
      <c r="F1254" s="417" t="s">
        <v>2301</v>
      </c>
    </row>
    <row r="1255">
      <c r="A1255" s="486"/>
      <c r="B1255" s="486"/>
      <c r="C1255" s="486"/>
      <c r="D1255" s="487"/>
      <c r="E1255" s="486"/>
      <c r="F1255" s="417" t="s">
        <v>2303</v>
      </c>
    </row>
    <row r="1256">
      <c r="A1256" s="486"/>
      <c r="B1256" s="486"/>
      <c r="C1256" s="486"/>
      <c r="D1256" s="487"/>
      <c r="E1256" s="486"/>
      <c r="F1256" s="417" t="s">
        <v>2247</v>
      </c>
    </row>
    <row r="1257">
      <c r="A1257" s="486"/>
      <c r="B1257" s="486"/>
      <c r="C1257" s="486"/>
      <c r="D1257" s="487"/>
      <c r="E1257" s="486"/>
      <c r="F1257" s="417" t="s">
        <v>2248</v>
      </c>
    </row>
    <row r="1258">
      <c r="A1258" s="486"/>
      <c r="B1258" s="486"/>
      <c r="C1258" s="486"/>
      <c r="D1258" s="487"/>
      <c r="E1258" s="486"/>
      <c r="F1258" s="417" t="s">
        <v>2467</v>
      </c>
    </row>
    <row r="1259">
      <c r="A1259" s="486"/>
      <c r="B1259" s="486"/>
      <c r="C1259" s="486"/>
      <c r="D1259" s="487"/>
      <c r="E1259" s="486"/>
      <c r="F1259" s="417" t="s">
        <v>2045</v>
      </c>
    </row>
    <row r="1260">
      <c r="A1260" s="486"/>
      <c r="B1260" s="486"/>
      <c r="C1260" s="486"/>
      <c r="D1260" s="487"/>
      <c r="E1260" s="486"/>
      <c r="F1260" s="417" t="s">
        <v>2119</v>
      </c>
    </row>
    <row r="1261">
      <c r="A1261" s="486"/>
      <c r="B1261" s="486"/>
      <c r="C1261" s="486"/>
      <c r="D1261" s="487"/>
      <c r="E1261" s="486"/>
      <c r="F1261" s="417" t="s">
        <v>1961</v>
      </c>
    </row>
    <row r="1262">
      <c r="A1262" s="486"/>
      <c r="B1262" s="486"/>
      <c r="C1262" s="486"/>
      <c r="D1262" s="487"/>
      <c r="E1262" s="486"/>
      <c r="F1262" s="417" t="s">
        <v>1963</v>
      </c>
    </row>
    <row r="1263">
      <c r="A1263" s="486"/>
      <c r="B1263" s="486"/>
      <c r="C1263" s="486"/>
      <c r="D1263" s="487"/>
      <c r="E1263" s="486"/>
      <c r="F1263" s="417" t="s">
        <v>2201</v>
      </c>
    </row>
    <row r="1264">
      <c r="A1264" s="486"/>
      <c r="B1264" s="486"/>
      <c r="C1264" s="486"/>
      <c r="D1264" s="487"/>
      <c r="E1264" s="486"/>
      <c r="F1264" s="417" t="s">
        <v>1796</v>
      </c>
    </row>
    <row r="1265">
      <c r="A1265" s="486"/>
      <c r="B1265" s="486"/>
      <c r="C1265" s="486"/>
      <c r="D1265" s="487"/>
      <c r="E1265" s="486"/>
      <c r="F1265" s="417" t="s">
        <v>2249</v>
      </c>
    </row>
    <row r="1266">
      <c r="A1266" s="486"/>
      <c r="B1266" s="486"/>
      <c r="C1266" s="486"/>
      <c r="D1266" s="487"/>
      <c r="E1266" s="486"/>
      <c r="F1266" s="417" t="s">
        <v>2469</v>
      </c>
    </row>
    <row r="1267">
      <c r="A1267" s="486"/>
      <c r="B1267" s="486"/>
      <c r="C1267" s="486"/>
      <c r="D1267" s="487"/>
      <c r="E1267" s="486"/>
      <c r="F1267" s="417" t="s">
        <v>2121</v>
      </c>
    </row>
    <row r="1268">
      <c r="A1268" s="486"/>
      <c r="B1268" s="486"/>
      <c r="C1268" s="486"/>
      <c r="D1268" s="487"/>
      <c r="E1268" s="486"/>
      <c r="F1268" s="417" t="s">
        <v>1836</v>
      </c>
    </row>
    <row r="1269">
      <c r="A1269" s="486"/>
      <c r="B1269" s="486"/>
      <c r="C1269" s="486"/>
      <c r="D1269" s="487"/>
      <c r="E1269" s="486"/>
      <c r="F1269" s="417" t="s">
        <v>2305</v>
      </c>
    </row>
    <row r="1270">
      <c r="A1270" s="486"/>
      <c r="B1270" s="486"/>
      <c r="C1270" s="486"/>
      <c r="D1270" s="487"/>
      <c r="E1270" s="486"/>
      <c r="F1270" s="417" t="s">
        <v>2203</v>
      </c>
    </row>
    <row r="1271">
      <c r="A1271" s="486"/>
      <c r="B1271" s="486"/>
      <c r="C1271" s="486"/>
      <c r="D1271" s="487"/>
      <c r="E1271" s="486"/>
      <c r="F1271" s="417" t="s">
        <v>1761</v>
      </c>
    </row>
    <row r="1272">
      <c r="A1272" s="486"/>
      <c r="B1272" s="486"/>
      <c r="C1272" s="486"/>
      <c r="D1272" s="487"/>
      <c r="E1272" s="486"/>
      <c r="F1272" s="417" t="s">
        <v>1901</v>
      </c>
    </row>
    <row r="1273">
      <c r="A1273" s="486"/>
      <c r="B1273" s="486"/>
      <c r="C1273" s="486"/>
      <c r="D1273" s="487"/>
      <c r="E1273" s="486"/>
      <c r="F1273" s="417" t="s">
        <v>1797</v>
      </c>
    </row>
    <row r="1274">
      <c r="A1274" s="486"/>
      <c r="B1274" s="486"/>
      <c r="C1274" s="486"/>
      <c r="D1274" s="487"/>
      <c r="E1274" s="486"/>
      <c r="F1274" s="417" t="s">
        <v>1965</v>
      </c>
    </row>
    <row r="1275">
      <c r="A1275" s="486"/>
      <c r="B1275" s="486"/>
      <c r="C1275" s="486"/>
      <c r="D1275" s="487"/>
      <c r="E1275" s="486"/>
      <c r="F1275" s="417" t="s">
        <v>2123</v>
      </c>
    </row>
    <row r="1276">
      <c r="A1276" s="486"/>
      <c r="B1276" s="486"/>
      <c r="C1276" s="486"/>
      <c r="D1276" s="487"/>
      <c r="E1276" s="486"/>
      <c r="F1276" s="417" t="s">
        <v>1837</v>
      </c>
    </row>
    <row r="1277">
      <c r="A1277" s="486"/>
      <c r="B1277" s="486"/>
      <c r="C1277" s="486"/>
      <c r="D1277" s="487"/>
      <c r="E1277" s="486"/>
      <c r="F1277" s="417" t="s">
        <v>2047</v>
      </c>
    </row>
    <row r="1278">
      <c r="A1278" s="486"/>
      <c r="B1278" s="486"/>
      <c r="C1278" s="486"/>
      <c r="D1278" s="487"/>
      <c r="E1278" s="486"/>
      <c r="F1278" s="417" t="s">
        <v>2205</v>
      </c>
    </row>
    <row r="1279">
      <c r="A1279" s="486"/>
      <c r="B1279" s="486"/>
      <c r="C1279" s="486"/>
      <c r="D1279" s="487"/>
      <c r="E1279" s="486"/>
      <c r="F1279" s="417" t="s">
        <v>1967</v>
      </c>
    </row>
    <row r="1280">
      <c r="A1280" s="486"/>
      <c r="B1280" s="486"/>
      <c r="C1280" s="486"/>
      <c r="D1280" s="487"/>
      <c r="E1280" s="486"/>
      <c r="F1280" s="417" t="s">
        <v>2387</v>
      </c>
    </row>
    <row r="1281">
      <c r="A1281" s="486"/>
      <c r="B1281" s="486"/>
      <c r="C1281" s="486"/>
      <c r="D1281" s="487"/>
      <c r="E1281" s="486"/>
      <c r="F1281" s="417" t="s">
        <v>1762</v>
      </c>
    </row>
    <row r="1282">
      <c r="A1282" s="486"/>
      <c r="B1282" s="486"/>
      <c r="C1282" s="486"/>
      <c r="D1282" s="487"/>
      <c r="E1282" s="486"/>
      <c r="F1282" s="417" t="s">
        <v>1969</v>
      </c>
    </row>
    <row r="1283">
      <c r="A1283" s="486"/>
      <c r="B1283" s="486"/>
      <c r="C1283" s="486"/>
      <c r="D1283" s="487"/>
      <c r="E1283" s="486"/>
      <c r="F1283" s="417" t="s">
        <v>2307</v>
      </c>
    </row>
    <row r="1284">
      <c r="A1284" s="486"/>
      <c r="B1284" s="486"/>
      <c r="C1284" s="486"/>
      <c r="D1284" s="487"/>
      <c r="E1284" s="486"/>
      <c r="F1284" s="417" t="s">
        <v>2309</v>
      </c>
    </row>
    <row r="1285">
      <c r="A1285" s="486"/>
      <c r="B1285" s="486"/>
      <c r="C1285" s="486"/>
      <c r="D1285" s="487"/>
      <c r="E1285" s="486"/>
      <c r="F1285" s="417" t="s">
        <v>2049</v>
      </c>
    </row>
    <row r="1286">
      <c r="A1286" s="486"/>
      <c r="B1286" s="486"/>
      <c r="C1286" s="486"/>
      <c r="D1286" s="487"/>
      <c r="E1286" s="486"/>
      <c r="F1286" s="417" t="s">
        <v>2207</v>
      </c>
    </row>
    <row r="1287">
      <c r="A1287" s="486"/>
      <c r="B1287" s="486"/>
      <c r="C1287" s="486"/>
      <c r="D1287" s="487"/>
      <c r="E1287" s="486"/>
      <c r="F1287" s="417" t="s">
        <v>1838</v>
      </c>
    </row>
    <row r="1288">
      <c r="A1288" s="486"/>
      <c r="B1288" s="486"/>
      <c r="C1288" s="486"/>
      <c r="D1288" s="487"/>
      <c r="E1288" s="486"/>
      <c r="F1288" s="417" t="s">
        <v>1839</v>
      </c>
    </row>
    <row r="1289">
      <c r="A1289" s="486"/>
      <c r="B1289" s="486"/>
      <c r="C1289" s="486"/>
      <c r="D1289" s="487"/>
      <c r="E1289" s="486"/>
      <c r="F1289" s="417" t="s">
        <v>1971</v>
      </c>
    </row>
    <row r="1290">
      <c r="A1290" s="486"/>
      <c r="B1290" s="486"/>
      <c r="C1290" s="486"/>
      <c r="D1290" s="487"/>
      <c r="E1290" s="486"/>
      <c r="F1290" s="417" t="s">
        <v>2250</v>
      </c>
    </row>
    <row r="1291">
      <c r="A1291" s="486"/>
      <c r="B1291" s="486"/>
      <c r="C1291" s="486"/>
      <c r="D1291" s="487"/>
      <c r="E1291" s="486"/>
      <c r="F1291" s="417" t="s">
        <v>1903</v>
      </c>
    </row>
    <row r="1292">
      <c r="A1292" s="486"/>
      <c r="B1292" s="486"/>
      <c r="C1292" s="486"/>
      <c r="D1292" s="487"/>
      <c r="E1292" s="486"/>
      <c r="F1292" s="417" t="s">
        <v>2251</v>
      </c>
    </row>
    <row r="1293">
      <c r="A1293" s="486"/>
      <c r="B1293" s="486"/>
      <c r="C1293" s="486"/>
      <c r="D1293" s="487"/>
      <c r="E1293" s="486"/>
      <c r="F1293" s="417" t="s">
        <v>1973</v>
      </c>
    </row>
    <row r="1294">
      <c r="A1294" s="486"/>
      <c r="B1294" s="486"/>
      <c r="C1294" s="486"/>
      <c r="D1294" s="487"/>
      <c r="E1294" s="486"/>
      <c r="F1294" s="417" t="s">
        <v>1798</v>
      </c>
    </row>
    <row r="1295">
      <c r="A1295" s="486"/>
      <c r="B1295" s="486"/>
      <c r="C1295" s="486"/>
      <c r="D1295" s="487"/>
      <c r="E1295" s="486"/>
      <c r="F1295" s="417" t="s">
        <v>2125</v>
      </c>
    </row>
    <row r="1296">
      <c r="A1296" s="486"/>
      <c r="B1296" s="486"/>
      <c r="C1296" s="486"/>
      <c r="D1296" s="487"/>
      <c r="E1296" s="486"/>
      <c r="F1296" s="417" t="s">
        <v>1799</v>
      </c>
    </row>
    <row r="1297">
      <c r="A1297" s="486"/>
      <c r="B1297" s="486"/>
      <c r="C1297" s="486"/>
      <c r="D1297" s="487"/>
      <c r="E1297" s="486"/>
      <c r="F1297" s="417" t="s">
        <v>2471</v>
      </c>
    </row>
    <row r="1298">
      <c r="A1298" s="486"/>
      <c r="B1298" s="486"/>
      <c r="C1298" s="486"/>
      <c r="D1298" s="487"/>
      <c r="E1298" s="486"/>
      <c r="F1298" s="417" t="s">
        <v>1800</v>
      </c>
    </row>
    <row r="1299">
      <c r="A1299" s="486"/>
      <c r="B1299" s="486"/>
      <c r="C1299" s="486"/>
      <c r="D1299" s="487"/>
      <c r="E1299" s="486"/>
      <c r="F1299" s="417" t="s">
        <v>2209</v>
      </c>
    </row>
    <row r="1300">
      <c r="A1300" s="486"/>
      <c r="B1300" s="486"/>
      <c r="C1300" s="486"/>
      <c r="D1300" s="487"/>
      <c r="E1300" s="486"/>
      <c r="F1300" s="417" t="s">
        <v>1801</v>
      </c>
    </row>
    <row r="1301">
      <c r="A1301" s="486"/>
      <c r="B1301" s="486"/>
      <c r="C1301" s="486"/>
      <c r="D1301" s="487"/>
      <c r="E1301" s="486"/>
      <c r="F1301" s="417" t="s">
        <v>2389</v>
      </c>
    </row>
    <row r="1302">
      <c r="A1302" s="486"/>
      <c r="B1302" s="486"/>
      <c r="C1302" s="486"/>
      <c r="D1302" s="487"/>
      <c r="E1302" s="486"/>
      <c r="F1302" s="417" t="s">
        <v>1905</v>
      </c>
    </row>
    <row r="1303">
      <c r="A1303" s="486"/>
      <c r="B1303" s="486"/>
      <c r="C1303" s="486"/>
      <c r="D1303" s="487"/>
      <c r="E1303" s="486"/>
      <c r="F1303" s="417" t="s">
        <v>1840</v>
      </c>
    </row>
    <row r="1304">
      <c r="A1304" s="486"/>
      <c r="B1304" s="486"/>
      <c r="C1304" s="486"/>
      <c r="D1304" s="487"/>
      <c r="E1304" s="486"/>
      <c r="F1304" s="417" t="s">
        <v>2391</v>
      </c>
    </row>
    <row r="1305">
      <c r="A1305" s="486"/>
      <c r="B1305" s="486"/>
      <c r="C1305" s="486"/>
      <c r="D1305" s="487"/>
      <c r="E1305" s="486"/>
      <c r="F1305" s="417" t="s">
        <v>1975</v>
      </c>
    </row>
    <row r="1306">
      <c r="A1306" s="486"/>
      <c r="B1306" s="486"/>
      <c r="C1306" s="486"/>
      <c r="D1306" s="487"/>
      <c r="E1306" s="486"/>
      <c r="F1306" s="417" t="s">
        <v>2473</v>
      </c>
    </row>
    <row r="1307">
      <c r="A1307" s="486"/>
      <c r="B1307" s="486"/>
      <c r="C1307" s="486"/>
      <c r="D1307" s="487"/>
      <c r="E1307" s="486"/>
      <c r="F1307" s="417" t="s">
        <v>2051</v>
      </c>
    </row>
    <row r="1308">
      <c r="A1308" s="486"/>
      <c r="B1308" s="486"/>
      <c r="C1308" s="486"/>
      <c r="D1308" s="487"/>
      <c r="E1308" s="486"/>
      <c r="F1308" s="417" t="s">
        <v>1977</v>
      </c>
    </row>
    <row r="1309">
      <c r="A1309" s="486"/>
      <c r="B1309" s="486"/>
      <c r="C1309" s="486"/>
      <c r="D1309" s="487"/>
      <c r="E1309" s="486"/>
      <c r="F1309" s="417" t="s">
        <v>1979</v>
      </c>
    </row>
    <row r="1310">
      <c r="A1310" s="486"/>
      <c r="B1310" s="486"/>
      <c r="C1310" s="486"/>
      <c r="D1310" s="487"/>
      <c r="E1310" s="486"/>
      <c r="F1310" s="417" t="s">
        <v>1981</v>
      </c>
    </row>
    <row r="1311">
      <c r="A1311" s="486"/>
      <c r="B1311" s="486"/>
      <c r="C1311" s="486"/>
      <c r="D1311" s="487"/>
      <c r="E1311" s="486"/>
      <c r="F1311" s="417" t="s">
        <v>1907</v>
      </c>
    </row>
    <row r="1312">
      <c r="A1312" s="486"/>
      <c r="B1312" s="486"/>
      <c r="C1312" s="486"/>
      <c r="D1312" s="487"/>
      <c r="E1312" s="486"/>
      <c r="F1312" s="417" t="s">
        <v>2311</v>
      </c>
    </row>
    <row r="1313">
      <c r="A1313" s="486"/>
      <c r="B1313" s="486"/>
      <c r="C1313" s="486"/>
      <c r="D1313" s="487"/>
      <c r="E1313" s="486"/>
      <c r="F1313" s="417" t="s">
        <v>1763</v>
      </c>
    </row>
    <row r="1314">
      <c r="A1314" s="486"/>
      <c r="B1314" s="486"/>
      <c r="C1314" s="486"/>
      <c r="D1314" s="487"/>
      <c r="E1314" s="486"/>
      <c r="F1314" s="417" t="s">
        <v>1909</v>
      </c>
    </row>
    <row r="1315">
      <c r="A1315" s="486"/>
      <c r="B1315" s="486"/>
      <c r="C1315" s="486"/>
      <c r="D1315" s="487"/>
      <c r="E1315" s="486"/>
      <c r="F1315" s="417" t="s">
        <v>1764</v>
      </c>
    </row>
    <row r="1316">
      <c r="A1316" s="486"/>
      <c r="B1316" s="486"/>
      <c r="C1316" s="486"/>
      <c r="D1316" s="487"/>
      <c r="E1316" s="486"/>
      <c r="F1316" s="417" t="s">
        <v>2053</v>
      </c>
    </row>
    <row r="1317">
      <c r="A1317" s="486"/>
      <c r="B1317" s="486"/>
      <c r="C1317" s="486"/>
      <c r="D1317" s="487"/>
      <c r="E1317" s="486"/>
      <c r="F1317" s="417" t="s">
        <v>2127</v>
      </c>
    </row>
    <row r="1318">
      <c r="A1318" s="486"/>
      <c r="B1318" s="486"/>
      <c r="C1318" s="486"/>
      <c r="D1318" s="487"/>
      <c r="E1318" s="486"/>
      <c r="F1318" s="417" t="s">
        <v>1841</v>
      </c>
    </row>
    <row r="1319">
      <c r="A1319" s="486"/>
      <c r="B1319" s="486"/>
      <c r="C1319" s="486"/>
      <c r="D1319" s="487"/>
      <c r="E1319" s="486"/>
      <c r="F1319" s="417" t="s">
        <v>1802</v>
      </c>
    </row>
    <row r="1320">
      <c r="A1320" s="486"/>
      <c r="B1320" s="486"/>
      <c r="C1320" s="486"/>
      <c r="D1320" s="487"/>
      <c r="E1320" s="486"/>
      <c r="F1320" s="417" t="s">
        <v>2313</v>
      </c>
    </row>
    <row r="1321">
      <c r="A1321" s="486"/>
      <c r="B1321" s="486"/>
      <c r="C1321" s="486"/>
      <c r="D1321" s="487"/>
      <c r="E1321" s="486"/>
      <c r="F1321" s="417" t="s">
        <v>2393</v>
      </c>
    </row>
    <row r="1322">
      <c r="A1322" s="486"/>
      <c r="B1322" s="486"/>
      <c r="C1322" s="486"/>
      <c r="D1322" s="487"/>
      <c r="E1322" s="486"/>
      <c r="F1322" s="417" t="s">
        <v>2395</v>
      </c>
    </row>
    <row r="1323">
      <c r="A1323" s="486"/>
      <c r="B1323" s="486"/>
      <c r="C1323" s="486"/>
      <c r="D1323" s="487"/>
      <c r="E1323" s="486"/>
      <c r="F1323" s="417" t="s">
        <v>2252</v>
      </c>
    </row>
    <row r="1324">
      <c r="A1324" s="486"/>
      <c r="B1324" s="486"/>
      <c r="C1324" s="486"/>
      <c r="D1324" s="487"/>
      <c r="E1324" s="486"/>
      <c r="F1324" s="417" t="s">
        <v>2211</v>
      </c>
    </row>
    <row r="1325">
      <c r="A1325" s="486"/>
      <c r="B1325" s="486"/>
      <c r="C1325" s="486"/>
      <c r="D1325" s="487"/>
      <c r="E1325" s="486"/>
      <c r="F1325" s="417" t="s">
        <v>2129</v>
      </c>
    </row>
    <row r="1326">
      <c r="A1326" s="486"/>
      <c r="B1326" s="486"/>
      <c r="C1326" s="486"/>
      <c r="D1326" s="487"/>
      <c r="E1326" s="486"/>
      <c r="F1326" s="417" t="s">
        <v>1765</v>
      </c>
    </row>
    <row r="1327">
      <c r="A1327" s="486"/>
      <c r="B1327" s="486"/>
      <c r="C1327" s="486"/>
      <c r="D1327" s="487"/>
      <c r="E1327" s="486"/>
      <c r="F1327" s="417" t="s">
        <v>2253</v>
      </c>
    </row>
    <row r="1328">
      <c r="A1328" s="486"/>
      <c r="B1328" s="486"/>
      <c r="C1328" s="486"/>
      <c r="D1328" s="487"/>
      <c r="E1328" s="486"/>
      <c r="F1328" s="417" t="s">
        <v>1803</v>
      </c>
    </row>
    <row r="1329">
      <c r="A1329" s="486"/>
      <c r="B1329" s="486"/>
      <c r="C1329" s="486"/>
      <c r="D1329" s="487"/>
      <c r="E1329" s="486"/>
      <c r="F1329" s="417" t="s">
        <v>2397</v>
      </c>
    </row>
    <row r="1330">
      <c r="A1330" s="486"/>
      <c r="B1330" s="486"/>
      <c r="C1330" s="486"/>
      <c r="D1330" s="487"/>
      <c r="E1330" s="486"/>
      <c r="F1330" s="417" t="s">
        <v>2475</v>
      </c>
    </row>
    <row r="1331">
      <c r="A1331" s="486"/>
      <c r="B1331" s="486"/>
      <c r="C1331" s="486"/>
      <c r="D1331" s="487"/>
      <c r="E1331" s="486"/>
      <c r="F1331" s="417" t="s">
        <v>2055</v>
      </c>
    </row>
    <row r="1332">
      <c r="A1332" s="486"/>
      <c r="B1332" s="486"/>
      <c r="C1332" s="486"/>
      <c r="D1332" s="487"/>
      <c r="E1332" s="486"/>
      <c r="F1332" s="417" t="s">
        <v>1911</v>
      </c>
    </row>
    <row r="1333">
      <c r="A1333" s="486"/>
      <c r="B1333" s="486"/>
      <c r="C1333" s="486"/>
      <c r="D1333" s="487"/>
      <c r="E1333" s="486"/>
      <c r="F1333" s="417" t="s">
        <v>2477</v>
      </c>
    </row>
    <row r="1334">
      <c r="A1334" s="486"/>
      <c r="B1334" s="486"/>
      <c r="C1334" s="486"/>
      <c r="D1334" s="487"/>
      <c r="E1334" s="486"/>
      <c r="F1334" s="417" t="s">
        <v>1766</v>
      </c>
    </row>
    <row r="1335">
      <c r="A1335" s="486"/>
      <c r="B1335" s="486"/>
      <c r="C1335" s="486"/>
      <c r="D1335" s="487"/>
      <c r="E1335" s="486"/>
      <c r="F1335" s="417" t="s">
        <v>1842</v>
      </c>
    </row>
    <row r="1336">
      <c r="A1336" s="486"/>
      <c r="B1336" s="486"/>
      <c r="C1336" s="486"/>
      <c r="D1336" s="487"/>
      <c r="E1336" s="486"/>
      <c r="F1336" s="417" t="s">
        <v>2315</v>
      </c>
    </row>
    <row r="1337">
      <c r="A1337" s="486"/>
      <c r="B1337" s="486"/>
      <c r="C1337" s="486"/>
      <c r="D1337" s="487"/>
      <c r="E1337" s="486"/>
      <c r="F1337" s="417" t="s">
        <v>1983</v>
      </c>
    </row>
    <row r="1338">
      <c r="A1338" s="486"/>
      <c r="B1338" s="486"/>
      <c r="C1338" s="486"/>
      <c r="D1338" s="487"/>
      <c r="E1338" s="486"/>
      <c r="F1338" s="417" t="s">
        <v>1913</v>
      </c>
    </row>
    <row r="1339">
      <c r="A1339" s="486"/>
      <c r="B1339" s="486"/>
      <c r="C1339" s="486"/>
      <c r="D1339" s="487"/>
      <c r="E1339" s="486"/>
      <c r="F1339" s="417" t="s">
        <v>2254</v>
      </c>
    </row>
    <row r="1340">
      <c r="A1340" s="486"/>
      <c r="B1340" s="486"/>
      <c r="C1340" s="486"/>
      <c r="D1340" s="487"/>
      <c r="E1340" s="486"/>
      <c r="F1340" s="417" t="s">
        <v>1915</v>
      </c>
    </row>
    <row r="1341">
      <c r="A1341" s="486"/>
      <c r="B1341" s="486"/>
      <c r="C1341" s="486"/>
      <c r="D1341" s="487"/>
      <c r="E1341" s="486"/>
      <c r="F1341" s="417" t="s">
        <v>1917</v>
      </c>
    </row>
    <row r="1342">
      <c r="A1342" s="486"/>
      <c r="B1342" s="486"/>
      <c r="C1342" s="486"/>
      <c r="D1342" s="487"/>
      <c r="E1342" s="486"/>
      <c r="F1342" s="417" t="s">
        <v>1843</v>
      </c>
    </row>
    <row r="1343">
      <c r="A1343" s="486"/>
      <c r="B1343" s="486"/>
      <c r="C1343" s="486"/>
      <c r="D1343" s="487"/>
      <c r="E1343" s="486"/>
      <c r="F1343" s="417" t="s">
        <v>2057</v>
      </c>
    </row>
    <row r="1344">
      <c r="A1344" s="486"/>
      <c r="B1344" s="486"/>
      <c r="C1344" s="486"/>
      <c r="D1344" s="487"/>
      <c r="E1344" s="486"/>
      <c r="F1344" s="417" t="s">
        <v>2255</v>
      </c>
    </row>
    <row r="1345">
      <c r="A1345" s="486"/>
      <c r="B1345" s="486"/>
      <c r="C1345" s="486"/>
      <c r="D1345" s="487"/>
      <c r="E1345" s="486"/>
      <c r="F1345" s="417" t="s">
        <v>2213</v>
      </c>
    </row>
    <row r="1346">
      <c r="A1346" s="486"/>
      <c r="B1346" s="486"/>
      <c r="C1346" s="486"/>
      <c r="D1346" s="487"/>
      <c r="E1346" s="486"/>
      <c r="F1346" s="417" t="s">
        <v>1804</v>
      </c>
    </row>
    <row r="1347">
      <c r="A1347" s="486"/>
      <c r="B1347" s="486"/>
      <c r="C1347" s="486"/>
      <c r="D1347" s="487"/>
      <c r="E1347" s="486"/>
      <c r="F1347" s="417" t="s">
        <v>1805</v>
      </c>
    </row>
    <row r="1348">
      <c r="A1348" s="486"/>
      <c r="B1348" s="486"/>
      <c r="C1348" s="486"/>
      <c r="D1348" s="487"/>
      <c r="E1348" s="486"/>
      <c r="F1348" s="417" t="s">
        <v>1985</v>
      </c>
    </row>
    <row r="1349">
      <c r="A1349" s="486"/>
      <c r="B1349" s="486"/>
      <c r="C1349" s="486"/>
      <c r="D1349" s="487"/>
      <c r="E1349" s="486"/>
      <c r="F1349" s="417" t="s">
        <v>2317</v>
      </c>
    </row>
    <row r="1350">
      <c r="A1350" s="486"/>
      <c r="B1350" s="486"/>
      <c r="C1350" s="486"/>
      <c r="D1350" s="487"/>
      <c r="E1350" s="486"/>
      <c r="F1350" s="417" t="s">
        <v>2059</v>
      </c>
    </row>
    <row r="1351">
      <c r="A1351" s="486"/>
      <c r="B1351" s="486"/>
      <c r="C1351" s="486"/>
      <c r="D1351" s="487"/>
      <c r="E1351" s="486"/>
      <c r="F1351" s="417" t="s">
        <v>2061</v>
      </c>
    </row>
    <row r="1352">
      <c r="A1352" s="486"/>
      <c r="B1352" s="486"/>
      <c r="C1352" s="486"/>
      <c r="D1352" s="487"/>
      <c r="E1352" s="486"/>
      <c r="F1352" s="417" t="s">
        <v>2256</v>
      </c>
    </row>
    <row r="1353">
      <c r="A1353" s="486"/>
      <c r="B1353" s="486"/>
      <c r="C1353" s="486"/>
      <c r="D1353" s="487"/>
      <c r="E1353" s="486"/>
      <c r="F1353" s="417" t="s">
        <v>2319</v>
      </c>
    </row>
    <row r="1354">
      <c r="A1354" s="486"/>
      <c r="B1354" s="486"/>
      <c r="C1354" s="486"/>
      <c r="D1354" s="487"/>
      <c r="E1354" s="486"/>
      <c r="F1354" s="417" t="s">
        <v>1919</v>
      </c>
    </row>
    <row r="1355">
      <c r="A1355" s="486"/>
      <c r="B1355" s="486"/>
      <c r="C1355" s="486"/>
      <c r="D1355" s="487"/>
      <c r="E1355" s="486"/>
      <c r="F1355" s="417" t="s">
        <v>1987</v>
      </c>
    </row>
    <row r="1356">
      <c r="A1356" s="486"/>
      <c r="B1356" s="486"/>
      <c r="C1356" s="486"/>
      <c r="D1356" s="487"/>
      <c r="E1356" s="486"/>
      <c r="F1356" s="417" t="s">
        <v>2479</v>
      </c>
    </row>
    <row r="1357">
      <c r="A1357" s="486"/>
      <c r="B1357" s="486"/>
      <c r="C1357" s="486"/>
      <c r="D1357" s="487"/>
      <c r="E1357" s="486"/>
      <c r="F1357" s="417" t="s">
        <v>2131</v>
      </c>
    </row>
    <row r="1358">
      <c r="A1358" s="486"/>
      <c r="B1358" s="486"/>
      <c r="C1358" s="486"/>
      <c r="D1358" s="487"/>
      <c r="E1358" s="486"/>
      <c r="F1358" s="417" t="s">
        <v>1806</v>
      </c>
    </row>
    <row r="1359">
      <c r="A1359" s="486"/>
      <c r="B1359" s="486"/>
      <c r="C1359" s="486"/>
      <c r="D1359" s="487"/>
      <c r="E1359" s="486"/>
      <c r="F1359" s="417" t="s">
        <v>1989</v>
      </c>
    </row>
    <row r="1360">
      <c r="A1360" s="486"/>
      <c r="B1360" s="486"/>
      <c r="C1360" s="486"/>
      <c r="D1360" s="487"/>
      <c r="E1360" s="486"/>
      <c r="F1360" s="417" t="s">
        <v>2063</v>
      </c>
    </row>
    <row r="1361">
      <c r="A1361" s="486"/>
      <c r="B1361" s="486"/>
      <c r="C1361" s="486"/>
      <c r="D1361" s="487"/>
      <c r="E1361" s="486"/>
      <c r="F1361" s="417" t="s">
        <v>2065</v>
      </c>
    </row>
    <row r="1362">
      <c r="A1362" s="486"/>
      <c r="B1362" s="486"/>
      <c r="C1362" s="486"/>
      <c r="D1362" s="487"/>
      <c r="E1362" s="486"/>
      <c r="F1362" s="417" t="s">
        <v>2133</v>
      </c>
    </row>
    <row r="1363">
      <c r="A1363" s="486"/>
      <c r="B1363" s="486"/>
      <c r="C1363" s="486"/>
      <c r="D1363" s="487"/>
      <c r="E1363" s="486"/>
      <c r="F1363" s="417" t="s">
        <v>1844</v>
      </c>
    </row>
    <row r="1364">
      <c r="A1364" s="486"/>
      <c r="B1364" s="486"/>
      <c r="C1364" s="486"/>
      <c r="D1364" s="487"/>
      <c r="E1364" s="486"/>
      <c r="F1364" s="417" t="s">
        <v>1991</v>
      </c>
    </row>
    <row r="1365">
      <c r="A1365" s="486"/>
      <c r="B1365" s="486"/>
      <c r="C1365" s="486"/>
      <c r="D1365" s="487"/>
      <c r="E1365" s="486"/>
      <c r="F1365" s="417" t="s">
        <v>1845</v>
      </c>
    </row>
    <row r="1366">
      <c r="A1366" s="486"/>
      <c r="B1366" s="486"/>
      <c r="C1366" s="486"/>
      <c r="D1366" s="487"/>
      <c r="E1366" s="486"/>
      <c r="F1366" s="417" t="s">
        <v>1807</v>
      </c>
    </row>
    <row r="1367">
      <c r="A1367" s="486"/>
      <c r="B1367" s="486"/>
      <c r="C1367" s="486"/>
      <c r="D1367" s="487"/>
      <c r="E1367" s="486"/>
      <c r="F1367" s="417" t="s">
        <v>2135</v>
      </c>
    </row>
    <row r="1368">
      <c r="A1368" s="486"/>
      <c r="B1368" s="486"/>
      <c r="C1368" s="486"/>
      <c r="D1368" s="487"/>
      <c r="E1368" s="486"/>
      <c r="F1368" s="417" t="s">
        <v>1808</v>
      </c>
    </row>
    <row r="1369">
      <c r="A1369" s="486"/>
      <c r="B1369" s="486"/>
      <c r="C1369" s="486"/>
      <c r="D1369" s="487"/>
      <c r="E1369" s="486"/>
      <c r="F1369" s="417" t="s">
        <v>2257</v>
      </c>
    </row>
    <row r="1370">
      <c r="A1370" s="486"/>
      <c r="B1370" s="486"/>
      <c r="C1370" s="486"/>
      <c r="D1370" s="487"/>
      <c r="E1370" s="486"/>
      <c r="F1370" s="417" t="s">
        <v>2215</v>
      </c>
    </row>
    <row r="1371">
      <c r="A1371" s="486"/>
      <c r="B1371" s="486"/>
      <c r="C1371" s="486"/>
      <c r="D1371" s="487"/>
      <c r="E1371" s="486"/>
      <c r="F1371" s="417" t="s">
        <v>1993</v>
      </c>
    </row>
    <row r="1372">
      <c r="A1372" s="486"/>
      <c r="B1372" s="486"/>
      <c r="C1372" s="486"/>
      <c r="D1372" s="487"/>
      <c r="E1372" s="486"/>
      <c r="F1372" s="417" t="s">
        <v>2321</v>
      </c>
    </row>
    <row r="1373">
      <c r="A1373" s="486"/>
      <c r="B1373" s="486"/>
      <c r="C1373" s="486"/>
      <c r="D1373" s="487"/>
      <c r="E1373" s="486"/>
      <c r="F1373" s="417" t="s">
        <v>1921</v>
      </c>
    </row>
    <row r="1374">
      <c r="A1374" s="486"/>
      <c r="B1374" s="486"/>
      <c r="C1374" s="486"/>
      <c r="D1374" s="487"/>
      <c r="E1374" s="486"/>
      <c r="F1374" s="417" t="s">
        <v>2067</v>
      </c>
    </row>
    <row r="1375">
      <c r="A1375" s="486"/>
      <c r="B1375" s="486"/>
      <c r="C1375" s="486"/>
      <c r="D1375" s="487"/>
      <c r="E1375" s="486"/>
      <c r="F1375" s="417" t="s">
        <v>2323</v>
      </c>
    </row>
    <row r="1376">
      <c r="A1376" s="486"/>
      <c r="B1376" s="486"/>
      <c r="C1376" s="486"/>
      <c r="D1376" s="487"/>
      <c r="E1376" s="486"/>
      <c r="F1376" s="417" t="s">
        <v>2217</v>
      </c>
    </row>
    <row r="1377">
      <c r="A1377" s="486"/>
      <c r="B1377" s="486"/>
      <c r="C1377" s="486"/>
      <c r="D1377" s="487"/>
      <c r="E1377" s="486"/>
      <c r="F1377" s="417" t="s">
        <v>2325</v>
      </c>
    </row>
    <row r="1378">
      <c r="A1378" s="486"/>
      <c r="B1378" s="486"/>
      <c r="C1378" s="486"/>
      <c r="D1378" s="487"/>
      <c r="E1378" s="486"/>
      <c r="F1378" s="417" t="s">
        <v>1809</v>
      </c>
    </row>
    <row r="1379">
      <c r="A1379" s="486"/>
      <c r="B1379" s="486"/>
      <c r="C1379" s="486"/>
      <c r="D1379" s="487"/>
      <c r="E1379" s="486"/>
      <c r="F1379" s="417" t="s">
        <v>1767</v>
      </c>
    </row>
    <row r="1380">
      <c r="A1380" s="486"/>
      <c r="B1380" s="486"/>
      <c r="C1380" s="486"/>
      <c r="D1380" s="487"/>
      <c r="E1380" s="486"/>
      <c r="F1380" s="417" t="s">
        <v>2399</v>
      </c>
    </row>
    <row r="1381">
      <c r="A1381" s="486"/>
      <c r="B1381" s="486"/>
      <c r="C1381" s="486"/>
      <c r="D1381" s="487"/>
      <c r="E1381" s="486"/>
      <c r="F1381" s="417" t="s">
        <v>1810</v>
      </c>
    </row>
    <row r="1382">
      <c r="A1382" s="486"/>
      <c r="B1382" s="486"/>
      <c r="C1382" s="486"/>
      <c r="D1382" s="487"/>
      <c r="E1382" s="486"/>
      <c r="F1382" s="417" t="s">
        <v>1995</v>
      </c>
    </row>
    <row r="1383">
      <c r="A1383" s="486"/>
      <c r="B1383" s="486"/>
      <c r="C1383" s="486"/>
      <c r="D1383" s="487"/>
      <c r="E1383" s="486"/>
      <c r="F1383" s="417" t="s">
        <v>1923</v>
      </c>
    </row>
    <row r="1384">
      <c r="A1384" s="486"/>
      <c r="B1384" s="486"/>
      <c r="C1384" s="486"/>
      <c r="D1384" s="487"/>
      <c r="E1384" s="486"/>
      <c r="F1384" s="417" t="s">
        <v>2401</v>
      </c>
    </row>
    <row r="1385">
      <c r="A1385" s="486"/>
      <c r="B1385" s="486"/>
      <c r="C1385" s="486"/>
      <c r="D1385" s="487"/>
      <c r="E1385" s="486"/>
      <c r="F1385" s="417" t="s">
        <v>1846</v>
      </c>
    </row>
    <row r="1386">
      <c r="A1386" s="486"/>
      <c r="B1386" s="486"/>
      <c r="C1386" s="486"/>
      <c r="D1386" s="487"/>
      <c r="E1386" s="486"/>
      <c r="F1386" s="417" t="s">
        <v>2403</v>
      </c>
    </row>
    <row r="1387">
      <c r="A1387" s="486"/>
      <c r="B1387" s="486"/>
      <c r="C1387" s="486"/>
      <c r="D1387" s="487"/>
      <c r="E1387" s="486"/>
      <c r="F1387" s="417" t="s">
        <v>2137</v>
      </c>
    </row>
    <row r="1388">
      <c r="A1388" s="486"/>
      <c r="B1388" s="486"/>
      <c r="C1388" s="486"/>
      <c r="D1388" s="487"/>
      <c r="E1388" s="486"/>
      <c r="F1388" s="417" t="s">
        <v>2219</v>
      </c>
    </row>
    <row r="1389">
      <c r="A1389" s="486"/>
      <c r="B1389" s="486"/>
      <c r="C1389" s="486"/>
      <c r="D1389" s="487"/>
      <c r="E1389" s="486"/>
      <c r="F1389" s="417" t="s">
        <v>1997</v>
      </c>
    </row>
    <row r="1390">
      <c r="A1390" s="486"/>
      <c r="B1390" s="486"/>
      <c r="C1390" s="486"/>
      <c r="D1390" s="487"/>
      <c r="E1390" s="486"/>
      <c r="F1390" s="417" t="s">
        <v>2481</v>
      </c>
    </row>
    <row r="1391">
      <c r="A1391" s="486"/>
      <c r="B1391" s="486"/>
      <c r="C1391" s="486"/>
      <c r="D1391" s="487"/>
      <c r="E1391" s="486"/>
      <c r="F1391" s="417" t="s">
        <v>2327</v>
      </c>
    </row>
    <row r="1392">
      <c r="A1392" s="486"/>
      <c r="B1392" s="486"/>
      <c r="C1392" s="486"/>
      <c r="D1392" s="487"/>
      <c r="E1392" s="486"/>
      <c r="F1392" s="417" t="s">
        <v>1768</v>
      </c>
    </row>
    <row r="1393">
      <c r="A1393" s="486"/>
      <c r="B1393" s="486"/>
      <c r="C1393" s="486"/>
      <c r="D1393" s="487"/>
      <c r="E1393" s="486"/>
      <c r="F1393" s="417" t="s">
        <v>2069</v>
      </c>
    </row>
    <row r="1394">
      <c r="A1394" s="486"/>
      <c r="B1394" s="486"/>
      <c r="C1394" s="486"/>
      <c r="D1394" s="487"/>
      <c r="E1394" s="486"/>
      <c r="F1394" s="417" t="s">
        <v>1811</v>
      </c>
    </row>
    <row r="1395">
      <c r="A1395" s="486"/>
      <c r="B1395" s="486"/>
      <c r="C1395" s="486"/>
      <c r="D1395" s="487"/>
      <c r="E1395" s="486"/>
      <c r="F1395" s="417" t="s">
        <v>1847</v>
      </c>
    </row>
    <row r="1396">
      <c r="A1396" s="486"/>
      <c r="B1396" s="486"/>
      <c r="C1396" s="486"/>
      <c r="D1396" s="487"/>
      <c r="E1396" s="486"/>
      <c r="F1396" s="417" t="s">
        <v>1769</v>
      </c>
    </row>
    <row r="1397">
      <c r="A1397" s="486"/>
      <c r="B1397" s="486"/>
      <c r="C1397" s="486"/>
      <c r="D1397" s="487"/>
      <c r="E1397" s="486"/>
      <c r="F1397" s="417" t="s">
        <v>2221</v>
      </c>
    </row>
    <row r="1398">
      <c r="A1398" s="486"/>
      <c r="B1398" s="486"/>
      <c r="C1398" s="486"/>
      <c r="D1398" s="487"/>
      <c r="E1398" s="486"/>
      <c r="F1398" s="417" t="s">
        <v>1848</v>
      </c>
    </row>
    <row r="1399">
      <c r="A1399" s="486"/>
      <c r="B1399" s="486"/>
      <c r="C1399" s="486"/>
      <c r="D1399" s="487"/>
      <c r="E1399" s="486"/>
      <c r="F1399" s="417" t="s">
        <v>1849</v>
      </c>
    </row>
    <row r="1400">
      <c r="A1400" s="486"/>
      <c r="B1400" s="486"/>
      <c r="C1400" s="486"/>
      <c r="D1400" s="487"/>
      <c r="E1400" s="486"/>
      <c r="F1400" s="417" t="s">
        <v>1999</v>
      </c>
    </row>
    <row r="1401">
      <c r="A1401" s="486"/>
      <c r="B1401" s="486"/>
      <c r="C1401" s="486"/>
      <c r="D1401" s="487"/>
      <c r="E1401" s="486"/>
      <c r="F1401" s="417" t="s">
        <v>2405</v>
      </c>
    </row>
    <row r="1402">
      <c r="A1402" s="486"/>
      <c r="B1402" s="486"/>
      <c r="C1402" s="486"/>
      <c r="D1402" s="487"/>
      <c r="E1402" s="486"/>
      <c r="F1402" s="417" t="s">
        <v>1812</v>
      </c>
    </row>
    <row r="1403">
      <c r="A1403" s="486"/>
      <c r="B1403" s="486"/>
      <c r="C1403" s="486"/>
      <c r="D1403" s="487"/>
      <c r="E1403" s="486"/>
      <c r="F1403" s="417" t="s">
        <v>2329</v>
      </c>
    </row>
    <row r="1404">
      <c r="A1404" s="486"/>
      <c r="B1404" s="486"/>
      <c r="C1404" s="486"/>
      <c r="D1404" s="487"/>
      <c r="E1404" s="486"/>
      <c r="F1404" s="417" t="s">
        <v>1770</v>
      </c>
    </row>
    <row r="1405">
      <c r="A1405" s="486"/>
      <c r="B1405" s="486"/>
      <c r="C1405" s="486"/>
      <c r="D1405" s="487"/>
      <c r="E1405" s="486"/>
      <c r="F1405" s="417" t="s">
        <v>2407</v>
      </c>
    </row>
    <row r="1406">
      <c r="A1406" s="486"/>
      <c r="B1406" s="486"/>
      <c r="C1406" s="486"/>
      <c r="D1406" s="487"/>
      <c r="E1406" s="486"/>
      <c r="F1406" s="417" t="s">
        <v>1771</v>
      </c>
    </row>
    <row r="1407">
      <c r="A1407" s="486"/>
      <c r="B1407" s="486"/>
      <c r="C1407" s="486"/>
      <c r="D1407" s="487"/>
      <c r="E1407" s="486"/>
      <c r="F1407" s="417" t="s">
        <v>1850</v>
      </c>
    </row>
    <row r="1408">
      <c r="A1408" s="486"/>
      <c r="B1408" s="486"/>
      <c r="C1408" s="486"/>
      <c r="D1408" s="487"/>
      <c r="E1408" s="486"/>
      <c r="F1408" s="417" t="s">
        <v>2139</v>
      </c>
    </row>
    <row r="1409">
      <c r="A1409" s="486"/>
      <c r="B1409" s="486"/>
      <c r="C1409" s="486"/>
      <c r="D1409" s="487"/>
      <c r="E1409" s="486"/>
      <c r="F1409" s="417" t="s">
        <v>2141</v>
      </c>
    </row>
    <row r="1410">
      <c r="A1410" s="486"/>
      <c r="B1410" s="486"/>
      <c r="C1410" s="486"/>
      <c r="D1410" s="487"/>
      <c r="E1410" s="486"/>
      <c r="F1410" s="417" t="s">
        <v>1925</v>
      </c>
    </row>
    <row r="1411">
      <c r="A1411" s="486"/>
      <c r="B1411" s="486"/>
      <c r="C1411" s="486"/>
      <c r="D1411" s="487"/>
      <c r="E1411" s="486"/>
      <c r="F1411" s="417" t="s">
        <v>1851</v>
      </c>
    </row>
    <row r="1412">
      <c r="A1412" s="486"/>
      <c r="B1412" s="486"/>
      <c r="C1412" s="486"/>
      <c r="D1412" s="487"/>
      <c r="E1412" s="486"/>
      <c r="F1412" s="417" t="s">
        <v>2143</v>
      </c>
    </row>
    <row r="1413">
      <c r="A1413" s="486"/>
      <c r="B1413" s="486"/>
      <c r="C1413" s="486"/>
      <c r="D1413" s="487"/>
      <c r="E1413" s="486"/>
      <c r="F1413" s="417" t="s">
        <v>2331</v>
      </c>
    </row>
    <row r="1414">
      <c r="A1414" s="486"/>
      <c r="B1414" s="486"/>
      <c r="C1414" s="486"/>
      <c r="D1414" s="487"/>
      <c r="E1414" s="486"/>
      <c r="F1414" s="417" t="s">
        <v>2258</v>
      </c>
    </row>
    <row r="1415">
      <c r="A1415" s="486"/>
      <c r="B1415" s="486"/>
      <c r="C1415" s="486"/>
      <c r="D1415" s="487"/>
      <c r="E1415" s="486"/>
      <c r="F1415" s="417" t="s">
        <v>2071</v>
      </c>
    </row>
    <row r="1416">
      <c r="A1416" s="486"/>
      <c r="B1416" s="486"/>
      <c r="C1416" s="486"/>
      <c r="D1416" s="487"/>
      <c r="E1416" s="486"/>
      <c r="F1416" s="417" t="s">
        <v>1772</v>
      </c>
    </row>
    <row r="1417">
      <c r="A1417" s="486"/>
      <c r="B1417" s="486"/>
      <c r="C1417" s="486"/>
      <c r="D1417" s="487"/>
      <c r="E1417" s="486"/>
      <c r="F1417" s="417" t="s">
        <v>2145</v>
      </c>
    </row>
    <row r="1418">
      <c r="A1418" s="486"/>
      <c r="B1418" s="486"/>
      <c r="C1418" s="486"/>
      <c r="D1418" s="487"/>
      <c r="E1418" s="486"/>
      <c r="F1418" s="417" t="s">
        <v>2073</v>
      </c>
    </row>
    <row r="1419">
      <c r="A1419" s="486"/>
      <c r="B1419" s="486"/>
      <c r="C1419" s="486"/>
      <c r="D1419" s="487"/>
      <c r="E1419" s="486"/>
      <c r="F1419" s="417" t="s">
        <v>2259</v>
      </c>
    </row>
    <row r="1420">
      <c r="A1420" s="486"/>
      <c r="B1420" s="486"/>
      <c r="C1420" s="486"/>
      <c r="D1420" s="487"/>
      <c r="E1420" s="486"/>
      <c r="F1420" s="417" t="s">
        <v>1773</v>
      </c>
    </row>
    <row r="1421">
      <c r="A1421" s="486"/>
      <c r="B1421" s="486"/>
      <c r="C1421" s="486"/>
      <c r="D1421" s="487"/>
      <c r="E1421" s="486"/>
      <c r="F1421" s="417" t="s">
        <v>2333</v>
      </c>
    </row>
    <row r="1422">
      <c r="A1422" s="486"/>
      <c r="B1422" s="486"/>
      <c r="C1422" s="486"/>
      <c r="D1422" s="487"/>
      <c r="E1422" s="486"/>
      <c r="F1422" s="417" t="s">
        <v>2147</v>
      </c>
    </row>
    <row r="1423">
      <c r="A1423" s="486"/>
      <c r="B1423" s="486"/>
      <c r="C1423" s="486"/>
      <c r="D1423" s="487"/>
      <c r="E1423" s="486"/>
      <c r="F1423" s="417" t="s">
        <v>1774</v>
      </c>
    </row>
    <row r="1424">
      <c r="A1424" s="486"/>
      <c r="B1424" s="486"/>
      <c r="C1424" s="486"/>
      <c r="D1424" s="487"/>
      <c r="E1424" s="486"/>
    </row>
    <row r="1425">
      <c r="A1425" s="486"/>
      <c r="B1425" s="486"/>
      <c r="C1425" s="486"/>
      <c r="D1425" s="487"/>
      <c r="E1425" s="486"/>
    </row>
    <row r="1426">
      <c r="A1426" s="486"/>
      <c r="B1426" s="486"/>
      <c r="C1426" s="486"/>
      <c r="D1426" s="487"/>
      <c r="E1426" s="486"/>
    </row>
    <row r="1427">
      <c r="A1427" s="486"/>
      <c r="B1427" s="486"/>
      <c r="C1427" s="486"/>
      <c r="D1427" s="487"/>
      <c r="E1427" s="486"/>
    </row>
    <row r="1428">
      <c r="A1428" s="486"/>
      <c r="B1428" s="486"/>
      <c r="C1428" s="486"/>
      <c r="D1428" s="487"/>
      <c r="E1428" s="486"/>
    </row>
    <row r="1429">
      <c r="A1429" s="486"/>
      <c r="B1429" s="486"/>
      <c r="C1429" s="486"/>
      <c r="D1429" s="487"/>
      <c r="E1429" s="486"/>
    </row>
    <row r="1430">
      <c r="A1430" s="486"/>
      <c r="B1430" s="486"/>
      <c r="C1430" s="486"/>
      <c r="D1430" s="487"/>
      <c r="E1430" s="486"/>
    </row>
    <row r="1431">
      <c r="A1431" s="486"/>
      <c r="B1431" s="486"/>
      <c r="C1431" s="486"/>
      <c r="D1431" s="487"/>
      <c r="E1431" s="486"/>
    </row>
    <row r="1432">
      <c r="A1432" s="486"/>
      <c r="B1432" s="486"/>
      <c r="C1432" s="486"/>
      <c r="D1432" s="487"/>
      <c r="E1432" s="486"/>
    </row>
    <row r="1433">
      <c r="A1433" s="486"/>
      <c r="B1433" s="486"/>
      <c r="C1433" s="486"/>
      <c r="D1433" s="487"/>
      <c r="E1433" s="486"/>
    </row>
  </sheetData>
  <autoFilter ref="$A$1:$F$1423"/>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86"/>
    <col customWidth="1" min="2" max="2" width="21.71"/>
    <col customWidth="1" min="3" max="3" width="56.71"/>
    <col customWidth="1" min="4" max="5" width="20.86"/>
    <col customWidth="1" min="6" max="6" width="19.57"/>
  </cols>
  <sheetData>
    <row r="1">
      <c r="A1" s="544"/>
      <c r="B1" s="544"/>
      <c r="C1" s="544" t="s">
        <v>5549</v>
      </c>
      <c r="D1" s="544"/>
      <c r="E1" s="544"/>
      <c r="F1" s="544"/>
      <c r="G1" s="544"/>
      <c r="H1" s="544"/>
      <c r="I1" s="63"/>
      <c r="J1" s="63"/>
      <c r="K1" s="63"/>
      <c r="L1" s="63"/>
      <c r="M1" s="63"/>
      <c r="N1" s="63"/>
      <c r="O1" s="63"/>
      <c r="P1" s="63"/>
      <c r="Q1" s="63"/>
      <c r="R1" s="63"/>
      <c r="S1" s="63"/>
      <c r="T1" s="63"/>
      <c r="U1" s="63"/>
      <c r="V1" s="63"/>
      <c r="W1" s="63"/>
      <c r="X1" s="63"/>
      <c r="Y1" s="63"/>
      <c r="Z1" s="63"/>
      <c r="AA1" s="63"/>
    </row>
    <row r="2">
      <c r="A2" s="63"/>
      <c r="B2" s="63"/>
      <c r="C2" s="63"/>
      <c r="D2" s="63"/>
      <c r="E2" s="63"/>
      <c r="F2" s="63"/>
      <c r="G2" s="63"/>
      <c r="H2" s="63"/>
      <c r="I2" s="63"/>
      <c r="J2" s="63"/>
      <c r="K2" s="63"/>
      <c r="L2" s="63"/>
      <c r="M2" s="63"/>
      <c r="N2" s="63"/>
      <c r="O2" s="63"/>
      <c r="P2" s="63"/>
      <c r="Q2" s="63"/>
      <c r="R2" s="63"/>
      <c r="S2" s="63"/>
      <c r="T2" s="63"/>
      <c r="U2" s="63"/>
      <c r="V2" s="63"/>
      <c r="W2" s="63"/>
      <c r="X2" s="63"/>
      <c r="Y2" s="63"/>
      <c r="Z2" s="63"/>
      <c r="AA2" s="63"/>
    </row>
    <row r="3">
      <c r="A3" s="126"/>
      <c r="B3" s="126"/>
      <c r="C3" s="126" t="s">
        <v>1</v>
      </c>
      <c r="D3" s="126"/>
      <c r="E3" s="126"/>
      <c r="F3" s="126"/>
      <c r="G3" s="126"/>
      <c r="H3" s="126"/>
      <c r="I3" s="63"/>
      <c r="J3" s="63"/>
      <c r="K3" s="63"/>
      <c r="L3" s="63"/>
      <c r="M3" s="63"/>
      <c r="N3" s="63"/>
      <c r="O3" s="63"/>
      <c r="P3" s="63"/>
      <c r="Q3" s="63"/>
      <c r="R3" s="63"/>
      <c r="S3" s="63"/>
      <c r="T3" s="63"/>
      <c r="U3" s="63"/>
      <c r="V3" s="63"/>
      <c r="W3" s="63"/>
      <c r="X3" s="63"/>
      <c r="Y3" s="63"/>
      <c r="Z3" s="63"/>
      <c r="AA3" s="63"/>
    </row>
    <row r="4">
      <c r="A4" s="126"/>
      <c r="B4" s="126"/>
      <c r="C4" s="126" t="s">
        <v>2</v>
      </c>
      <c r="D4" s="126"/>
      <c r="E4" s="126"/>
      <c r="F4" s="126"/>
      <c r="G4" s="126"/>
      <c r="H4" s="126"/>
      <c r="I4" s="63"/>
      <c r="J4" s="63"/>
      <c r="K4" s="63"/>
      <c r="L4" s="63"/>
      <c r="M4" s="63"/>
      <c r="N4" s="63"/>
      <c r="O4" s="63"/>
      <c r="P4" s="63"/>
      <c r="Q4" s="63"/>
      <c r="R4" s="63"/>
      <c r="S4" s="63"/>
      <c r="T4" s="63"/>
      <c r="U4" s="63"/>
      <c r="V4" s="63"/>
      <c r="W4" s="63"/>
      <c r="X4" s="63"/>
      <c r="Y4" s="63"/>
      <c r="Z4" s="63"/>
      <c r="AA4" s="63"/>
    </row>
    <row r="5">
      <c r="A5" s="545"/>
      <c r="B5" s="546"/>
      <c r="C5" s="545"/>
      <c r="D5" s="63"/>
      <c r="E5" s="63"/>
      <c r="F5" s="63"/>
      <c r="G5" s="63"/>
      <c r="H5" s="63"/>
      <c r="I5" s="63"/>
      <c r="J5" s="63"/>
      <c r="K5" s="63"/>
      <c r="L5" s="63"/>
      <c r="M5" s="63"/>
      <c r="N5" s="63"/>
      <c r="O5" s="63"/>
      <c r="P5" s="63"/>
      <c r="Q5" s="63"/>
      <c r="R5" s="63"/>
      <c r="S5" s="63"/>
      <c r="T5" s="63"/>
      <c r="U5" s="63"/>
      <c r="V5" s="63"/>
      <c r="W5" s="63"/>
      <c r="X5" s="63"/>
      <c r="Y5" s="63"/>
      <c r="Z5" s="63"/>
      <c r="AA5" s="63"/>
    </row>
    <row r="6">
      <c r="A6" s="545" t="s">
        <v>3</v>
      </c>
      <c r="B6" s="546"/>
      <c r="C6" s="545" t="s">
        <v>4</v>
      </c>
      <c r="D6" s="63"/>
      <c r="E6" s="63"/>
      <c r="F6" s="63"/>
      <c r="G6" s="63"/>
      <c r="H6" s="63"/>
      <c r="I6" s="63"/>
      <c r="J6" s="63"/>
      <c r="K6" s="63"/>
      <c r="L6" s="63"/>
      <c r="M6" s="63"/>
      <c r="N6" s="63"/>
      <c r="O6" s="63"/>
      <c r="P6" s="63"/>
      <c r="Q6" s="63"/>
      <c r="R6" s="63"/>
      <c r="S6" s="63"/>
      <c r="T6" s="63"/>
      <c r="U6" s="63"/>
      <c r="V6" s="63"/>
      <c r="W6" s="63"/>
      <c r="X6" s="63"/>
      <c r="Y6" s="63"/>
      <c r="Z6" s="63"/>
      <c r="AA6" s="63"/>
    </row>
    <row r="7">
      <c r="A7" s="545" t="s">
        <v>5</v>
      </c>
      <c r="B7" s="546"/>
      <c r="C7" s="545" t="s">
        <v>5550</v>
      </c>
      <c r="D7" s="63"/>
      <c r="E7" s="63"/>
      <c r="F7" s="63"/>
      <c r="G7" s="63"/>
      <c r="H7" s="63"/>
      <c r="I7" s="63"/>
      <c r="J7" s="63"/>
      <c r="K7" s="63"/>
      <c r="L7" s="63"/>
      <c r="M7" s="63"/>
      <c r="N7" s="63"/>
      <c r="O7" s="63"/>
      <c r="P7" s="63"/>
      <c r="Q7" s="63"/>
      <c r="R7" s="63"/>
      <c r="S7" s="63"/>
      <c r="T7" s="63"/>
      <c r="U7" s="63"/>
      <c r="V7" s="63"/>
      <c r="W7" s="63"/>
      <c r="X7" s="63"/>
      <c r="Y7" s="63"/>
      <c r="Z7" s="63"/>
      <c r="AA7" s="63"/>
    </row>
    <row r="8">
      <c r="A8" s="545" t="s">
        <v>7</v>
      </c>
      <c r="B8" s="546"/>
      <c r="C8" s="545" t="s">
        <v>8</v>
      </c>
      <c r="D8" s="63"/>
      <c r="E8" s="63"/>
      <c r="F8" s="63"/>
      <c r="G8" s="63"/>
      <c r="H8" s="63"/>
      <c r="I8" s="63"/>
      <c r="J8" s="63"/>
      <c r="K8" s="63"/>
      <c r="L8" s="63"/>
      <c r="M8" s="63"/>
      <c r="N8" s="63"/>
      <c r="O8" s="63"/>
      <c r="P8" s="63"/>
      <c r="Q8" s="63"/>
      <c r="R8" s="63"/>
      <c r="S8" s="63"/>
      <c r="T8" s="63"/>
      <c r="U8" s="63"/>
      <c r="V8" s="63"/>
      <c r="W8" s="63"/>
      <c r="X8" s="63"/>
      <c r="Y8" s="63"/>
      <c r="Z8" s="63"/>
      <c r="AA8" s="63"/>
    </row>
    <row r="9">
      <c r="A9" s="546"/>
      <c r="B9" s="546"/>
      <c r="C9" s="546"/>
      <c r="D9" s="63"/>
      <c r="E9" s="63"/>
      <c r="F9" s="63"/>
      <c r="G9" s="63"/>
      <c r="H9" s="63"/>
      <c r="I9" s="63"/>
      <c r="J9" s="63"/>
      <c r="K9" s="63"/>
      <c r="L9" s="63"/>
      <c r="M9" s="63"/>
      <c r="N9" s="63"/>
      <c r="O9" s="63"/>
      <c r="P9" s="63"/>
      <c r="Q9" s="63"/>
      <c r="R9" s="63"/>
      <c r="S9" s="63"/>
      <c r="T9" s="63"/>
      <c r="U9" s="63"/>
      <c r="V9" s="63"/>
      <c r="W9" s="63"/>
      <c r="X9" s="63"/>
      <c r="Y9" s="63"/>
      <c r="Z9" s="63"/>
      <c r="AA9" s="63"/>
    </row>
    <row r="10">
      <c r="A10" s="547" t="s">
        <v>9</v>
      </c>
      <c r="B10" s="547" t="s">
        <v>10</v>
      </c>
      <c r="C10" s="547" t="s">
        <v>11</v>
      </c>
      <c r="D10" s="548"/>
      <c r="E10" s="548"/>
      <c r="F10" s="8"/>
      <c r="G10" s="549"/>
      <c r="H10" s="550"/>
      <c r="I10" s="63"/>
      <c r="J10" s="63"/>
      <c r="K10" s="63"/>
      <c r="L10" s="63"/>
      <c r="M10" s="63"/>
      <c r="N10" s="63"/>
      <c r="O10" s="63"/>
      <c r="P10" s="63"/>
      <c r="Q10" s="63"/>
      <c r="R10" s="63"/>
      <c r="S10" s="63"/>
      <c r="T10" s="63"/>
      <c r="U10" s="63"/>
      <c r="V10" s="63"/>
      <c r="W10" s="63"/>
      <c r="X10" s="63"/>
      <c r="Y10" s="63"/>
      <c r="Z10" s="63"/>
      <c r="AA10" s="63"/>
    </row>
    <row r="11">
      <c r="A11" s="11"/>
      <c r="B11" s="11"/>
      <c r="C11" s="11"/>
      <c r="D11" s="551"/>
      <c r="E11" s="397" t="s">
        <v>5551</v>
      </c>
      <c r="F11" s="398" t="s">
        <v>5552</v>
      </c>
      <c r="G11" s="552" t="s">
        <v>18</v>
      </c>
      <c r="H11" s="553" t="s">
        <v>19</v>
      </c>
      <c r="I11" s="63"/>
      <c r="J11" s="63"/>
      <c r="K11" s="63"/>
      <c r="L11" s="63"/>
      <c r="M11" s="63"/>
      <c r="N11" s="63"/>
      <c r="O11" s="63"/>
      <c r="P11" s="63"/>
      <c r="Q11" s="63"/>
      <c r="R11" s="63"/>
      <c r="S11" s="63"/>
      <c r="T11" s="63"/>
      <c r="U11" s="63"/>
      <c r="V11" s="63"/>
      <c r="W11" s="63"/>
      <c r="X11" s="63"/>
      <c r="Y11" s="63"/>
      <c r="Z11" s="63"/>
      <c r="AA11" s="63"/>
    </row>
    <row r="12">
      <c r="A12" s="20"/>
      <c r="B12" s="20"/>
      <c r="C12" s="20"/>
      <c r="D12" s="551" t="s">
        <v>5553</v>
      </c>
      <c r="E12" s="28"/>
      <c r="F12" s="28"/>
      <c r="G12" s="28"/>
      <c r="H12" s="29"/>
      <c r="I12" s="63"/>
      <c r="J12" s="63"/>
      <c r="K12" s="63"/>
      <c r="L12" s="63"/>
      <c r="M12" s="63"/>
      <c r="N12" s="63"/>
      <c r="O12" s="63"/>
      <c r="P12" s="63"/>
      <c r="Q12" s="63"/>
      <c r="R12" s="63"/>
      <c r="S12" s="63"/>
      <c r="T12" s="63"/>
      <c r="U12" s="63"/>
      <c r="V12" s="63"/>
      <c r="W12" s="63"/>
      <c r="X12" s="63"/>
      <c r="Y12" s="63"/>
      <c r="Z12" s="63"/>
      <c r="AA12" s="63"/>
    </row>
    <row r="13">
      <c r="A13" s="554">
        <v>1.0</v>
      </c>
      <c r="B13" s="555" t="s">
        <v>5554</v>
      </c>
      <c r="C13" s="556" t="s">
        <v>1739</v>
      </c>
      <c r="D13" s="145"/>
      <c r="E13" s="145"/>
      <c r="F13" s="145"/>
      <c r="G13" s="146">
        <f t="shared" ref="G13:G31" si="1">F13/5</f>
        <v>0</v>
      </c>
      <c r="H13" s="557"/>
      <c r="I13" s="63"/>
      <c r="J13" s="63"/>
      <c r="K13" s="63"/>
      <c r="L13" s="63"/>
      <c r="M13" s="63"/>
      <c r="N13" s="63"/>
      <c r="O13" s="63"/>
      <c r="P13" s="63"/>
      <c r="Q13" s="63"/>
      <c r="R13" s="63"/>
      <c r="S13" s="63"/>
      <c r="T13" s="63"/>
      <c r="U13" s="63"/>
      <c r="V13" s="63"/>
      <c r="W13" s="63"/>
      <c r="X13" s="63"/>
      <c r="Y13" s="63"/>
      <c r="Z13" s="63"/>
      <c r="AA13" s="63"/>
    </row>
    <row r="14">
      <c r="A14" s="554">
        <v>2.0</v>
      </c>
      <c r="B14" s="555" t="s">
        <v>5555</v>
      </c>
      <c r="C14" s="556" t="s">
        <v>1740</v>
      </c>
      <c r="D14" s="145"/>
      <c r="E14" s="145"/>
      <c r="F14" s="145"/>
      <c r="G14" s="146">
        <f t="shared" si="1"/>
        <v>0</v>
      </c>
      <c r="H14" s="557"/>
      <c r="I14" s="63"/>
      <c r="J14" s="63"/>
      <c r="K14" s="63"/>
      <c r="L14" s="63"/>
      <c r="M14" s="63"/>
      <c r="N14" s="63"/>
      <c r="O14" s="63"/>
      <c r="P14" s="63"/>
      <c r="Q14" s="63"/>
      <c r="R14" s="63"/>
      <c r="S14" s="63"/>
      <c r="T14" s="63"/>
      <c r="U14" s="63"/>
      <c r="V14" s="63"/>
      <c r="W14" s="63"/>
      <c r="X14" s="63"/>
      <c r="Y14" s="63"/>
      <c r="Z14" s="63"/>
      <c r="AA14" s="63"/>
    </row>
    <row r="15">
      <c r="A15" s="554">
        <v>3.0</v>
      </c>
      <c r="B15" s="555" t="s">
        <v>5556</v>
      </c>
      <c r="C15" s="556" t="s">
        <v>1741</v>
      </c>
      <c r="D15" s="145"/>
      <c r="E15" s="145"/>
      <c r="F15" s="145"/>
      <c r="G15" s="146">
        <f t="shared" si="1"/>
        <v>0</v>
      </c>
      <c r="H15" s="557"/>
      <c r="I15" s="63"/>
      <c r="J15" s="63"/>
      <c r="K15" s="63"/>
      <c r="L15" s="63"/>
      <c r="M15" s="63"/>
      <c r="N15" s="63"/>
      <c r="O15" s="63"/>
      <c r="P15" s="63"/>
      <c r="Q15" s="63"/>
      <c r="R15" s="63"/>
      <c r="S15" s="63"/>
      <c r="T15" s="63"/>
      <c r="U15" s="63"/>
      <c r="V15" s="63"/>
      <c r="W15" s="63"/>
      <c r="X15" s="63"/>
      <c r="Y15" s="63"/>
      <c r="Z15" s="63"/>
      <c r="AA15" s="63"/>
    </row>
    <row r="16">
      <c r="A16" s="554">
        <v>4.0</v>
      </c>
      <c r="B16" s="555" t="s">
        <v>5557</v>
      </c>
      <c r="C16" s="556" t="s">
        <v>1742</v>
      </c>
      <c r="D16" s="145"/>
      <c r="E16" s="145"/>
      <c r="F16" s="145"/>
      <c r="G16" s="146">
        <f t="shared" si="1"/>
        <v>0</v>
      </c>
      <c r="H16" s="557"/>
      <c r="I16" s="63"/>
      <c r="J16" s="63"/>
      <c r="K16" s="63"/>
      <c r="L16" s="63"/>
      <c r="M16" s="63"/>
      <c r="N16" s="63"/>
      <c r="O16" s="63"/>
      <c r="P16" s="63"/>
      <c r="Q16" s="63"/>
      <c r="R16" s="63"/>
      <c r="S16" s="63"/>
      <c r="T16" s="63"/>
      <c r="U16" s="63"/>
      <c r="V16" s="63"/>
      <c r="W16" s="63"/>
      <c r="X16" s="63"/>
      <c r="Y16" s="63"/>
      <c r="Z16" s="63"/>
      <c r="AA16" s="63"/>
    </row>
    <row r="17">
      <c r="A17" s="554">
        <v>5.0</v>
      </c>
      <c r="B17" s="555" t="s">
        <v>5558</v>
      </c>
      <c r="C17" s="556" t="s">
        <v>1743</v>
      </c>
      <c r="D17" s="145"/>
      <c r="E17" s="145"/>
      <c r="F17" s="145"/>
      <c r="G17" s="146">
        <f t="shared" si="1"/>
        <v>0</v>
      </c>
      <c r="H17" s="557"/>
      <c r="I17" s="63"/>
      <c r="J17" s="63"/>
      <c r="K17" s="63"/>
      <c r="L17" s="63"/>
      <c r="M17" s="63"/>
      <c r="N17" s="63"/>
      <c r="O17" s="63"/>
      <c r="P17" s="63"/>
      <c r="Q17" s="63"/>
      <c r="R17" s="63"/>
      <c r="S17" s="63"/>
      <c r="T17" s="63"/>
      <c r="U17" s="63"/>
      <c r="V17" s="63"/>
      <c r="W17" s="63"/>
      <c r="X17" s="63"/>
      <c r="Y17" s="63"/>
      <c r="Z17" s="63"/>
      <c r="AA17" s="63"/>
    </row>
    <row r="18">
      <c r="A18" s="554">
        <v>6.0</v>
      </c>
      <c r="B18" s="555" t="s">
        <v>5559</v>
      </c>
      <c r="C18" s="556" t="s">
        <v>1744</v>
      </c>
      <c r="D18" s="145"/>
      <c r="E18" s="145"/>
      <c r="F18" s="145"/>
      <c r="G18" s="146">
        <f t="shared" si="1"/>
        <v>0</v>
      </c>
      <c r="H18" s="557"/>
      <c r="I18" s="63"/>
      <c r="J18" s="63"/>
      <c r="K18" s="63"/>
      <c r="L18" s="63"/>
      <c r="M18" s="63"/>
      <c r="N18" s="63"/>
      <c r="O18" s="63"/>
      <c r="P18" s="63"/>
      <c r="Q18" s="63"/>
      <c r="R18" s="63"/>
      <c r="S18" s="63"/>
      <c r="T18" s="63"/>
      <c r="U18" s="63"/>
      <c r="V18" s="63"/>
      <c r="W18" s="63"/>
      <c r="X18" s="63"/>
      <c r="Y18" s="63"/>
      <c r="Z18" s="63"/>
      <c r="AA18" s="63"/>
    </row>
    <row r="19">
      <c r="A19" s="554">
        <v>7.0</v>
      </c>
      <c r="B19" s="555" t="s">
        <v>5560</v>
      </c>
      <c r="C19" s="556" t="s">
        <v>1745</v>
      </c>
      <c r="D19" s="145"/>
      <c r="E19" s="145"/>
      <c r="F19" s="145"/>
      <c r="G19" s="146">
        <f t="shared" si="1"/>
        <v>0</v>
      </c>
      <c r="H19" s="557"/>
      <c r="I19" s="63"/>
      <c r="J19" s="63"/>
      <c r="K19" s="63"/>
      <c r="L19" s="63"/>
      <c r="M19" s="63"/>
      <c r="N19" s="63"/>
      <c r="O19" s="63"/>
      <c r="P19" s="63"/>
      <c r="Q19" s="63"/>
      <c r="R19" s="63"/>
      <c r="S19" s="63"/>
      <c r="T19" s="63"/>
      <c r="U19" s="63"/>
      <c r="V19" s="63"/>
      <c r="W19" s="63"/>
      <c r="X19" s="63"/>
      <c r="Y19" s="63"/>
      <c r="Z19" s="63"/>
      <c r="AA19" s="63"/>
    </row>
    <row r="20">
      <c r="A20" s="554">
        <v>8.0</v>
      </c>
      <c r="B20" s="555" t="s">
        <v>5561</v>
      </c>
      <c r="C20" s="556" t="s">
        <v>1746</v>
      </c>
      <c r="D20" s="145"/>
      <c r="E20" s="145"/>
      <c r="F20" s="145"/>
      <c r="G20" s="146">
        <f t="shared" si="1"/>
        <v>0</v>
      </c>
      <c r="H20" s="557"/>
      <c r="I20" s="63"/>
      <c r="J20" s="63"/>
      <c r="K20" s="63"/>
      <c r="L20" s="63"/>
      <c r="M20" s="63"/>
      <c r="N20" s="63"/>
      <c r="O20" s="63"/>
      <c r="P20" s="63"/>
      <c r="Q20" s="63"/>
      <c r="R20" s="63"/>
      <c r="S20" s="63"/>
      <c r="T20" s="63"/>
      <c r="U20" s="63"/>
      <c r="V20" s="63"/>
      <c r="W20" s="63"/>
      <c r="X20" s="63"/>
      <c r="Y20" s="63"/>
      <c r="Z20" s="63"/>
      <c r="AA20" s="63"/>
    </row>
    <row r="21">
      <c r="A21" s="554">
        <v>9.0</v>
      </c>
      <c r="B21" s="555" t="s">
        <v>5562</v>
      </c>
      <c r="C21" s="556" t="s">
        <v>1747</v>
      </c>
      <c r="D21" s="145"/>
      <c r="E21" s="145"/>
      <c r="F21" s="145"/>
      <c r="G21" s="146">
        <f t="shared" si="1"/>
        <v>0</v>
      </c>
      <c r="H21" s="557"/>
      <c r="I21" s="63"/>
      <c r="J21" s="63"/>
      <c r="K21" s="63"/>
      <c r="L21" s="63"/>
      <c r="M21" s="63"/>
      <c r="N21" s="63"/>
      <c r="O21" s="63"/>
      <c r="P21" s="63"/>
      <c r="Q21" s="63"/>
      <c r="R21" s="63"/>
      <c r="S21" s="63"/>
      <c r="T21" s="63"/>
      <c r="U21" s="63"/>
      <c r="V21" s="63"/>
      <c r="W21" s="63"/>
      <c r="X21" s="63"/>
      <c r="Y21" s="63"/>
      <c r="Z21" s="63"/>
      <c r="AA21" s="63"/>
    </row>
    <row r="22">
      <c r="A22" s="554">
        <v>10.0</v>
      </c>
      <c r="B22" s="555" t="s">
        <v>5563</v>
      </c>
      <c r="C22" s="556" t="s">
        <v>1748</v>
      </c>
      <c r="D22" s="145"/>
      <c r="E22" s="145"/>
      <c r="F22" s="145"/>
      <c r="G22" s="146">
        <f t="shared" si="1"/>
        <v>0</v>
      </c>
      <c r="H22" s="557"/>
      <c r="I22" s="63"/>
      <c r="J22" s="63"/>
      <c r="K22" s="63"/>
      <c r="L22" s="63"/>
      <c r="M22" s="63"/>
      <c r="N22" s="63"/>
      <c r="O22" s="63"/>
      <c r="P22" s="63"/>
      <c r="Q22" s="63"/>
      <c r="R22" s="63"/>
      <c r="S22" s="63"/>
      <c r="T22" s="63"/>
      <c r="U22" s="63"/>
      <c r="V22" s="63"/>
      <c r="W22" s="63"/>
      <c r="X22" s="63"/>
      <c r="Y22" s="63"/>
      <c r="Z22" s="63"/>
      <c r="AA22" s="63"/>
    </row>
    <row r="23">
      <c r="A23" s="554">
        <v>11.0</v>
      </c>
      <c r="B23" s="555" t="s">
        <v>5564</v>
      </c>
      <c r="C23" s="556" t="s">
        <v>1749</v>
      </c>
      <c r="D23" s="145"/>
      <c r="E23" s="145"/>
      <c r="F23" s="145"/>
      <c r="G23" s="146">
        <f t="shared" si="1"/>
        <v>0</v>
      </c>
      <c r="H23" s="557"/>
      <c r="I23" s="63"/>
      <c r="J23" s="63"/>
      <c r="K23" s="63"/>
      <c r="L23" s="63"/>
      <c r="M23" s="63"/>
      <c r="N23" s="63"/>
      <c r="O23" s="63"/>
      <c r="P23" s="63"/>
      <c r="Q23" s="63"/>
      <c r="R23" s="63"/>
      <c r="S23" s="63"/>
      <c r="T23" s="63"/>
      <c r="U23" s="63"/>
      <c r="V23" s="63"/>
      <c r="W23" s="63"/>
      <c r="X23" s="63"/>
      <c r="Y23" s="63"/>
      <c r="Z23" s="63"/>
      <c r="AA23" s="63"/>
    </row>
    <row r="24">
      <c r="A24" s="554">
        <v>12.0</v>
      </c>
      <c r="B24" s="555" t="s">
        <v>5565</v>
      </c>
      <c r="C24" s="556" t="s">
        <v>1750</v>
      </c>
      <c r="D24" s="145"/>
      <c r="E24" s="145"/>
      <c r="F24" s="145"/>
      <c r="G24" s="146">
        <f t="shared" si="1"/>
        <v>0</v>
      </c>
      <c r="H24" s="557"/>
      <c r="I24" s="63"/>
      <c r="J24" s="63"/>
      <c r="K24" s="63"/>
      <c r="L24" s="63"/>
      <c r="M24" s="63"/>
      <c r="N24" s="63"/>
      <c r="O24" s="63"/>
      <c r="P24" s="63"/>
      <c r="Q24" s="63"/>
      <c r="R24" s="63"/>
      <c r="S24" s="63"/>
      <c r="T24" s="63"/>
      <c r="U24" s="63"/>
      <c r="V24" s="63"/>
      <c r="W24" s="63"/>
      <c r="X24" s="63"/>
      <c r="Y24" s="63"/>
      <c r="Z24" s="63"/>
      <c r="AA24" s="63"/>
    </row>
    <row r="25">
      <c r="A25" s="554">
        <v>13.0</v>
      </c>
      <c r="B25" s="555" t="s">
        <v>5566</v>
      </c>
      <c r="C25" s="556" t="s">
        <v>1751</v>
      </c>
      <c r="D25" s="145"/>
      <c r="E25" s="145"/>
      <c r="F25" s="145"/>
      <c r="G25" s="146">
        <f t="shared" si="1"/>
        <v>0</v>
      </c>
      <c r="H25" s="557"/>
      <c r="I25" s="63"/>
      <c r="J25" s="63"/>
      <c r="K25" s="63"/>
      <c r="L25" s="63"/>
      <c r="M25" s="63"/>
      <c r="N25" s="63"/>
      <c r="O25" s="63"/>
      <c r="P25" s="63"/>
      <c r="Q25" s="63"/>
      <c r="R25" s="63"/>
      <c r="S25" s="63"/>
      <c r="T25" s="63"/>
      <c r="U25" s="63"/>
      <c r="V25" s="63"/>
      <c r="W25" s="63"/>
      <c r="X25" s="63"/>
      <c r="Y25" s="63"/>
      <c r="Z25" s="63"/>
      <c r="AA25" s="63"/>
    </row>
    <row r="26">
      <c r="A26" s="554">
        <v>14.0</v>
      </c>
      <c r="B26" s="555" t="s">
        <v>5567</v>
      </c>
      <c r="C26" s="556" t="s">
        <v>1752</v>
      </c>
      <c r="D26" s="145"/>
      <c r="E26" s="145"/>
      <c r="F26" s="145"/>
      <c r="G26" s="146">
        <f t="shared" si="1"/>
        <v>0</v>
      </c>
      <c r="H26" s="557"/>
      <c r="I26" s="63"/>
      <c r="J26" s="63"/>
      <c r="K26" s="63"/>
      <c r="L26" s="63"/>
      <c r="M26" s="63"/>
      <c r="N26" s="63"/>
      <c r="O26" s="63"/>
      <c r="P26" s="63"/>
      <c r="Q26" s="63"/>
      <c r="R26" s="63"/>
      <c r="S26" s="63"/>
      <c r="T26" s="63"/>
      <c r="U26" s="63"/>
      <c r="V26" s="63"/>
      <c r="W26" s="63"/>
      <c r="X26" s="63"/>
      <c r="Y26" s="63"/>
      <c r="Z26" s="63"/>
      <c r="AA26" s="63"/>
    </row>
    <row r="27">
      <c r="A27" s="554">
        <v>15.0</v>
      </c>
      <c r="B27" s="555" t="s">
        <v>5568</v>
      </c>
      <c r="C27" s="556" t="s">
        <v>1753</v>
      </c>
      <c r="D27" s="145"/>
      <c r="E27" s="145"/>
      <c r="F27" s="145"/>
      <c r="G27" s="146">
        <f t="shared" si="1"/>
        <v>0</v>
      </c>
      <c r="H27" s="557"/>
      <c r="I27" s="63"/>
      <c r="J27" s="63"/>
      <c r="K27" s="63"/>
      <c r="L27" s="63"/>
      <c r="M27" s="63"/>
      <c r="N27" s="63"/>
      <c r="O27" s="63"/>
      <c r="P27" s="63"/>
      <c r="Q27" s="63"/>
      <c r="R27" s="63"/>
      <c r="S27" s="63"/>
      <c r="T27" s="63"/>
      <c r="U27" s="63"/>
      <c r="V27" s="63"/>
      <c r="W27" s="63"/>
      <c r="X27" s="63"/>
      <c r="Y27" s="63"/>
      <c r="Z27" s="63"/>
      <c r="AA27" s="63"/>
    </row>
    <row r="28">
      <c r="A28" s="554">
        <v>16.0</v>
      </c>
      <c r="B28" s="555" t="s">
        <v>5569</v>
      </c>
      <c r="C28" s="556" t="s">
        <v>1754</v>
      </c>
      <c r="D28" s="145"/>
      <c r="E28" s="145"/>
      <c r="F28" s="145"/>
      <c r="G28" s="146">
        <f t="shared" si="1"/>
        <v>0</v>
      </c>
      <c r="H28" s="557"/>
      <c r="I28" s="63"/>
      <c r="J28" s="63"/>
      <c r="K28" s="63"/>
      <c r="L28" s="63"/>
      <c r="M28" s="63"/>
      <c r="N28" s="63"/>
      <c r="O28" s="63"/>
      <c r="P28" s="63"/>
      <c r="Q28" s="63"/>
      <c r="R28" s="63"/>
      <c r="S28" s="63"/>
      <c r="T28" s="63"/>
      <c r="U28" s="63"/>
      <c r="V28" s="63"/>
      <c r="W28" s="63"/>
      <c r="X28" s="63"/>
      <c r="Y28" s="63"/>
      <c r="Z28" s="63"/>
      <c r="AA28" s="63"/>
    </row>
    <row r="29">
      <c r="A29" s="554">
        <v>17.0</v>
      </c>
      <c r="B29" s="555" t="s">
        <v>5570</v>
      </c>
      <c r="C29" s="556" t="s">
        <v>1755</v>
      </c>
      <c r="D29" s="145"/>
      <c r="E29" s="145"/>
      <c r="F29" s="145"/>
      <c r="G29" s="146">
        <f t="shared" si="1"/>
        <v>0</v>
      </c>
      <c r="H29" s="557"/>
      <c r="I29" s="63"/>
      <c r="J29" s="63"/>
      <c r="K29" s="63"/>
      <c r="L29" s="63"/>
      <c r="M29" s="63"/>
      <c r="N29" s="63"/>
      <c r="O29" s="63"/>
      <c r="P29" s="63"/>
      <c r="Q29" s="63"/>
      <c r="R29" s="63"/>
      <c r="S29" s="63"/>
      <c r="T29" s="63"/>
      <c r="U29" s="63"/>
      <c r="V29" s="63"/>
      <c r="W29" s="63"/>
      <c r="X29" s="63"/>
      <c r="Y29" s="63"/>
      <c r="Z29" s="63"/>
      <c r="AA29" s="63"/>
    </row>
    <row r="30">
      <c r="A30" s="554">
        <v>18.0</v>
      </c>
      <c r="B30" s="555" t="s">
        <v>5571</v>
      </c>
      <c r="C30" s="556" t="s">
        <v>1756</v>
      </c>
      <c r="D30" s="145"/>
      <c r="E30" s="145"/>
      <c r="F30" s="145"/>
      <c r="G30" s="146">
        <f t="shared" si="1"/>
        <v>0</v>
      </c>
      <c r="H30" s="557"/>
      <c r="I30" s="63"/>
      <c r="J30" s="63"/>
      <c r="K30" s="63"/>
      <c r="L30" s="63"/>
      <c r="M30" s="63"/>
      <c r="N30" s="63"/>
      <c r="O30" s="63"/>
      <c r="P30" s="63"/>
      <c r="Q30" s="63"/>
      <c r="R30" s="63"/>
      <c r="S30" s="63"/>
      <c r="T30" s="63"/>
      <c r="U30" s="63"/>
      <c r="V30" s="63"/>
      <c r="W30" s="63"/>
      <c r="X30" s="63"/>
      <c r="Y30" s="63"/>
      <c r="Z30" s="63"/>
      <c r="AA30" s="63"/>
    </row>
    <row r="31">
      <c r="A31" s="554">
        <v>19.0</v>
      </c>
      <c r="B31" s="555" t="s">
        <v>5572</v>
      </c>
      <c r="C31" s="556" t="s">
        <v>1757</v>
      </c>
      <c r="D31" s="145"/>
      <c r="E31" s="145"/>
      <c r="F31" s="145"/>
      <c r="G31" s="146">
        <f t="shared" si="1"/>
        <v>0</v>
      </c>
      <c r="H31" s="557"/>
      <c r="I31" s="63"/>
      <c r="J31" s="63"/>
      <c r="K31" s="63"/>
      <c r="L31" s="63"/>
      <c r="M31" s="63"/>
      <c r="N31" s="63"/>
      <c r="O31" s="63"/>
      <c r="P31" s="63"/>
      <c r="Q31" s="63"/>
      <c r="R31" s="63"/>
      <c r="S31" s="63"/>
      <c r="T31" s="63"/>
      <c r="U31" s="63"/>
      <c r="V31" s="63"/>
      <c r="W31" s="63"/>
      <c r="X31" s="63"/>
      <c r="Y31" s="63"/>
      <c r="Z31" s="63"/>
      <c r="AA31" s="63"/>
    </row>
    <row r="32">
      <c r="A32" s="554">
        <v>20.0</v>
      </c>
      <c r="B32" s="555" t="s">
        <v>5573</v>
      </c>
      <c r="C32" s="556" t="s">
        <v>1758</v>
      </c>
      <c r="D32" s="145"/>
      <c r="E32" s="145"/>
      <c r="F32" s="145"/>
      <c r="G32" s="146">
        <f>F32/4</f>
        <v>0</v>
      </c>
      <c r="H32" s="557"/>
      <c r="I32" s="63"/>
      <c r="J32" s="63"/>
      <c r="K32" s="63"/>
      <c r="L32" s="63"/>
      <c r="M32" s="63"/>
      <c r="N32" s="63"/>
      <c r="O32" s="63"/>
      <c r="P32" s="63"/>
      <c r="Q32" s="63"/>
      <c r="R32" s="63"/>
      <c r="S32" s="63"/>
      <c r="T32" s="63"/>
      <c r="U32" s="63"/>
      <c r="V32" s="63"/>
      <c r="W32" s="63"/>
      <c r="X32" s="63"/>
      <c r="Y32" s="63"/>
      <c r="Z32" s="63"/>
      <c r="AA32" s="63"/>
    </row>
    <row r="33">
      <c r="A33" s="554">
        <v>21.0</v>
      </c>
      <c r="B33" s="555" t="s">
        <v>5574</v>
      </c>
      <c r="C33" s="556" t="s">
        <v>1759</v>
      </c>
      <c r="D33" s="145"/>
      <c r="E33" s="145"/>
      <c r="F33" s="145"/>
      <c r="G33" s="146">
        <f>F33/5</f>
        <v>0</v>
      </c>
      <c r="H33" s="557"/>
      <c r="I33" s="63"/>
      <c r="J33" s="63"/>
      <c r="K33" s="63"/>
      <c r="L33" s="63"/>
      <c r="M33" s="63"/>
      <c r="N33" s="63"/>
      <c r="O33" s="63"/>
      <c r="P33" s="63"/>
      <c r="Q33" s="63"/>
      <c r="R33" s="63"/>
      <c r="S33" s="63"/>
      <c r="T33" s="63"/>
      <c r="U33" s="63"/>
      <c r="V33" s="63"/>
      <c r="W33" s="63"/>
      <c r="X33" s="63"/>
      <c r="Y33" s="63"/>
      <c r="Z33" s="63"/>
      <c r="AA33" s="63"/>
    </row>
    <row r="34">
      <c r="A34" s="554">
        <v>22.0</v>
      </c>
      <c r="B34" s="555" t="s">
        <v>5575</v>
      </c>
      <c r="C34" s="556" t="s">
        <v>1760</v>
      </c>
      <c r="D34" s="145"/>
      <c r="E34" s="145"/>
      <c r="F34" s="145"/>
      <c r="G34" s="146">
        <f>F34/4</f>
        <v>0</v>
      </c>
      <c r="H34" s="557"/>
      <c r="I34" s="63"/>
      <c r="J34" s="63"/>
      <c r="K34" s="63"/>
      <c r="L34" s="63"/>
      <c r="M34" s="63"/>
      <c r="N34" s="63"/>
      <c r="O34" s="63"/>
      <c r="P34" s="63"/>
      <c r="Q34" s="63"/>
      <c r="R34" s="63"/>
      <c r="S34" s="63"/>
      <c r="T34" s="63"/>
      <c r="U34" s="63"/>
      <c r="V34" s="63"/>
      <c r="W34" s="63"/>
      <c r="X34" s="63"/>
      <c r="Y34" s="63"/>
      <c r="Z34" s="63"/>
      <c r="AA34" s="63"/>
    </row>
    <row r="35">
      <c r="A35" s="554">
        <v>23.0</v>
      </c>
      <c r="B35" s="555" t="s">
        <v>5576</v>
      </c>
      <c r="C35" s="556" t="s">
        <v>1761</v>
      </c>
      <c r="D35" s="145"/>
      <c r="E35" s="145"/>
      <c r="F35" s="145"/>
      <c r="G35" s="146">
        <f t="shared" ref="G35:G37" si="2">F35/5</f>
        <v>0</v>
      </c>
      <c r="H35" s="557"/>
      <c r="I35" s="63"/>
      <c r="J35" s="63"/>
      <c r="K35" s="63"/>
      <c r="L35" s="63"/>
      <c r="M35" s="63"/>
      <c r="N35" s="63"/>
      <c r="O35" s="63"/>
      <c r="P35" s="63"/>
      <c r="Q35" s="63"/>
      <c r="R35" s="63"/>
      <c r="S35" s="63"/>
      <c r="T35" s="63"/>
      <c r="U35" s="63"/>
      <c r="V35" s="63"/>
      <c r="W35" s="63"/>
      <c r="X35" s="63"/>
      <c r="Y35" s="63"/>
      <c r="Z35" s="63"/>
      <c r="AA35" s="63"/>
    </row>
    <row r="36">
      <c r="A36" s="554">
        <v>24.0</v>
      </c>
      <c r="B36" s="555" t="s">
        <v>5577</v>
      </c>
      <c r="C36" s="556" t="s">
        <v>1762</v>
      </c>
      <c r="D36" s="145"/>
      <c r="E36" s="145"/>
      <c r="F36" s="145"/>
      <c r="G36" s="146">
        <f t="shared" si="2"/>
        <v>0</v>
      </c>
      <c r="H36" s="557"/>
      <c r="I36" s="63"/>
      <c r="J36" s="63"/>
      <c r="K36" s="63"/>
      <c r="L36" s="63"/>
      <c r="M36" s="63"/>
      <c r="N36" s="63"/>
      <c r="O36" s="63"/>
      <c r="P36" s="63"/>
      <c r="Q36" s="63"/>
      <c r="R36" s="63"/>
      <c r="S36" s="63"/>
      <c r="T36" s="63"/>
      <c r="U36" s="63"/>
      <c r="V36" s="63"/>
      <c r="W36" s="63"/>
      <c r="X36" s="63"/>
      <c r="Y36" s="63"/>
      <c r="Z36" s="63"/>
      <c r="AA36" s="63"/>
    </row>
    <row r="37">
      <c r="A37" s="554">
        <v>25.0</v>
      </c>
      <c r="B37" s="555" t="s">
        <v>5578</v>
      </c>
      <c r="C37" s="556" t="s">
        <v>1763</v>
      </c>
      <c r="D37" s="145"/>
      <c r="E37" s="145"/>
      <c r="F37" s="145"/>
      <c r="G37" s="146">
        <f t="shared" si="2"/>
        <v>0</v>
      </c>
      <c r="H37" s="557"/>
      <c r="I37" s="63"/>
      <c r="J37" s="63"/>
      <c r="K37" s="63"/>
      <c r="L37" s="63"/>
      <c r="M37" s="63"/>
      <c r="N37" s="63"/>
      <c r="O37" s="63"/>
      <c r="P37" s="63"/>
      <c r="Q37" s="63"/>
      <c r="R37" s="63"/>
      <c r="S37" s="63"/>
      <c r="T37" s="63"/>
      <c r="U37" s="63"/>
      <c r="V37" s="63"/>
      <c r="W37" s="63"/>
      <c r="X37" s="63"/>
      <c r="Y37" s="63"/>
      <c r="Z37" s="63"/>
      <c r="AA37" s="63"/>
    </row>
    <row r="38">
      <c r="A38" s="554">
        <v>26.0</v>
      </c>
      <c r="B38" s="555" t="s">
        <v>5579</v>
      </c>
      <c r="C38" s="556" t="s">
        <v>1764</v>
      </c>
      <c r="D38" s="145"/>
      <c r="E38" s="145"/>
      <c r="F38" s="145"/>
      <c r="G38" s="146">
        <f>F38/4</f>
        <v>0</v>
      </c>
      <c r="H38" s="557"/>
      <c r="I38" s="63"/>
      <c r="J38" s="63"/>
      <c r="K38" s="63"/>
      <c r="L38" s="63"/>
      <c r="M38" s="63"/>
      <c r="N38" s="63"/>
      <c r="O38" s="63"/>
      <c r="P38" s="63"/>
      <c r="Q38" s="63"/>
      <c r="R38" s="63"/>
      <c r="S38" s="63"/>
      <c r="T38" s="63"/>
      <c r="U38" s="63"/>
      <c r="V38" s="63"/>
      <c r="W38" s="63"/>
      <c r="X38" s="63"/>
      <c r="Y38" s="63"/>
      <c r="Z38" s="63"/>
      <c r="AA38" s="63"/>
    </row>
    <row r="39">
      <c r="A39" s="554">
        <v>27.0</v>
      </c>
      <c r="B39" s="555" t="s">
        <v>5580</v>
      </c>
      <c r="C39" s="556" t="s">
        <v>1765</v>
      </c>
      <c r="D39" s="145"/>
      <c r="E39" s="145"/>
      <c r="F39" s="145"/>
      <c r="G39" s="146">
        <f t="shared" ref="G39:G45" si="3">F39/5</f>
        <v>0</v>
      </c>
      <c r="H39" s="557"/>
      <c r="I39" s="63"/>
      <c r="J39" s="63"/>
      <c r="K39" s="63"/>
      <c r="L39" s="63"/>
      <c r="M39" s="63"/>
      <c r="N39" s="63"/>
      <c r="O39" s="63"/>
      <c r="P39" s="63"/>
      <c r="Q39" s="63"/>
      <c r="R39" s="63"/>
      <c r="S39" s="63"/>
      <c r="T39" s="63"/>
      <c r="U39" s="63"/>
      <c r="V39" s="63"/>
      <c r="W39" s="63"/>
      <c r="X39" s="63"/>
      <c r="Y39" s="63"/>
      <c r="Z39" s="63"/>
      <c r="AA39" s="63"/>
    </row>
    <row r="40">
      <c r="A40" s="554">
        <v>28.0</v>
      </c>
      <c r="B40" s="555" t="s">
        <v>5581</v>
      </c>
      <c r="C40" s="556" t="s">
        <v>1766</v>
      </c>
      <c r="D40" s="145"/>
      <c r="E40" s="145"/>
      <c r="F40" s="145"/>
      <c r="G40" s="146">
        <f t="shared" si="3"/>
        <v>0</v>
      </c>
      <c r="H40" s="557"/>
      <c r="I40" s="63"/>
      <c r="J40" s="63"/>
      <c r="K40" s="63"/>
      <c r="L40" s="63"/>
      <c r="M40" s="63"/>
      <c r="N40" s="63"/>
      <c r="O40" s="63"/>
      <c r="P40" s="63"/>
      <c r="Q40" s="63"/>
      <c r="R40" s="63"/>
      <c r="S40" s="63"/>
      <c r="T40" s="63"/>
      <c r="U40" s="63"/>
      <c r="V40" s="63"/>
      <c r="W40" s="63"/>
      <c r="X40" s="63"/>
      <c r="Y40" s="63"/>
      <c r="Z40" s="63"/>
      <c r="AA40" s="63"/>
    </row>
    <row r="41">
      <c r="A41" s="554">
        <v>29.0</v>
      </c>
      <c r="B41" s="555" t="s">
        <v>5582</v>
      </c>
      <c r="C41" s="556" t="s">
        <v>1767</v>
      </c>
      <c r="D41" s="145"/>
      <c r="E41" s="145"/>
      <c r="F41" s="145"/>
      <c r="G41" s="146">
        <f t="shared" si="3"/>
        <v>0</v>
      </c>
      <c r="H41" s="557"/>
      <c r="I41" s="63"/>
      <c r="J41" s="63"/>
      <c r="K41" s="63"/>
      <c r="L41" s="63"/>
      <c r="M41" s="63"/>
      <c r="N41" s="63"/>
      <c r="O41" s="63"/>
      <c r="P41" s="63"/>
      <c r="Q41" s="63"/>
      <c r="R41" s="63"/>
      <c r="S41" s="63"/>
      <c r="T41" s="63"/>
      <c r="U41" s="63"/>
      <c r="V41" s="63"/>
      <c r="W41" s="63"/>
      <c r="X41" s="63"/>
      <c r="Y41" s="63"/>
      <c r="Z41" s="63"/>
      <c r="AA41" s="63"/>
    </row>
    <row r="42">
      <c r="A42" s="554">
        <v>30.0</v>
      </c>
      <c r="B42" s="555" t="s">
        <v>5583</v>
      </c>
      <c r="C42" s="556" t="s">
        <v>1768</v>
      </c>
      <c r="D42" s="145"/>
      <c r="E42" s="145"/>
      <c r="F42" s="145"/>
      <c r="G42" s="146">
        <f t="shared" si="3"/>
        <v>0</v>
      </c>
      <c r="H42" s="557"/>
      <c r="I42" s="63"/>
      <c r="J42" s="63"/>
      <c r="K42" s="63"/>
      <c r="L42" s="63"/>
      <c r="M42" s="63"/>
      <c r="N42" s="63"/>
      <c r="O42" s="63"/>
      <c r="P42" s="63"/>
      <c r="Q42" s="63"/>
      <c r="R42" s="63"/>
      <c r="S42" s="63"/>
      <c r="T42" s="63"/>
      <c r="U42" s="63"/>
      <c r="V42" s="63"/>
      <c r="W42" s="63"/>
      <c r="X42" s="63"/>
      <c r="Y42" s="63"/>
      <c r="Z42" s="63"/>
      <c r="AA42" s="63"/>
    </row>
    <row r="43">
      <c r="A43" s="554">
        <v>31.0</v>
      </c>
      <c r="B43" s="555" t="s">
        <v>5584</v>
      </c>
      <c r="C43" s="556" t="s">
        <v>1769</v>
      </c>
      <c r="D43" s="145"/>
      <c r="E43" s="145"/>
      <c r="F43" s="145"/>
      <c r="G43" s="146">
        <f t="shared" si="3"/>
        <v>0</v>
      </c>
      <c r="H43" s="557"/>
      <c r="I43" s="63"/>
      <c r="J43" s="63"/>
      <c r="K43" s="63"/>
      <c r="L43" s="63"/>
      <c r="M43" s="63"/>
      <c r="N43" s="63"/>
      <c r="O43" s="63"/>
      <c r="P43" s="63"/>
      <c r="Q43" s="63"/>
      <c r="R43" s="63"/>
      <c r="S43" s="63"/>
      <c r="T43" s="63"/>
      <c r="U43" s="63"/>
      <c r="V43" s="63"/>
      <c r="W43" s="63"/>
      <c r="X43" s="63"/>
      <c r="Y43" s="63"/>
      <c r="Z43" s="63"/>
      <c r="AA43" s="63"/>
    </row>
    <row r="44">
      <c r="A44" s="554">
        <v>32.0</v>
      </c>
      <c r="B44" s="555" t="s">
        <v>5585</v>
      </c>
      <c r="C44" s="556" t="s">
        <v>1770</v>
      </c>
      <c r="D44" s="145"/>
      <c r="E44" s="145"/>
      <c r="F44" s="145"/>
      <c r="G44" s="146">
        <f t="shared" si="3"/>
        <v>0</v>
      </c>
      <c r="H44" s="557"/>
      <c r="I44" s="63"/>
      <c r="J44" s="63"/>
      <c r="K44" s="63"/>
      <c r="L44" s="63"/>
      <c r="M44" s="63"/>
      <c r="N44" s="63"/>
      <c r="O44" s="63"/>
      <c r="P44" s="63"/>
      <c r="Q44" s="63"/>
      <c r="R44" s="63"/>
      <c r="S44" s="63"/>
      <c r="T44" s="63"/>
      <c r="U44" s="63"/>
      <c r="V44" s="63"/>
      <c r="W44" s="63"/>
      <c r="X44" s="63"/>
      <c r="Y44" s="63"/>
      <c r="Z44" s="63"/>
      <c r="AA44" s="63"/>
    </row>
    <row r="45">
      <c r="A45" s="554">
        <v>33.0</v>
      </c>
      <c r="B45" s="555" t="s">
        <v>5586</v>
      </c>
      <c r="C45" s="556" t="s">
        <v>1771</v>
      </c>
      <c r="D45" s="145"/>
      <c r="E45" s="145"/>
      <c r="F45" s="145"/>
      <c r="G45" s="146">
        <f t="shared" si="3"/>
        <v>0</v>
      </c>
      <c r="H45" s="557"/>
      <c r="I45" s="63"/>
      <c r="J45" s="63"/>
      <c r="K45" s="63"/>
      <c r="L45" s="63"/>
      <c r="M45" s="63"/>
      <c r="N45" s="63"/>
      <c r="O45" s="63"/>
      <c r="P45" s="63"/>
      <c r="Q45" s="63"/>
      <c r="R45" s="63"/>
      <c r="S45" s="63"/>
      <c r="T45" s="63"/>
      <c r="U45" s="63"/>
      <c r="V45" s="63"/>
      <c r="W45" s="63"/>
      <c r="X45" s="63"/>
      <c r="Y45" s="63"/>
      <c r="Z45" s="63"/>
      <c r="AA45" s="63"/>
    </row>
    <row r="46">
      <c r="A46" s="558">
        <v>34.0</v>
      </c>
      <c r="B46" s="555" t="s">
        <v>5587</v>
      </c>
      <c r="C46" s="556" t="s">
        <v>5588</v>
      </c>
      <c r="D46" s="559"/>
      <c r="E46" s="559"/>
      <c r="F46" s="559"/>
      <c r="G46" s="146">
        <f t="shared" ref="G46:G48" si="4">F46/4</f>
        <v>0</v>
      </c>
      <c r="H46" s="557"/>
      <c r="I46" s="63"/>
      <c r="J46" s="63"/>
      <c r="K46" s="63"/>
      <c r="L46" s="63"/>
      <c r="M46" s="63"/>
      <c r="N46" s="63"/>
      <c r="O46" s="63"/>
      <c r="P46" s="63"/>
      <c r="Q46" s="63"/>
      <c r="R46" s="63"/>
      <c r="S46" s="63"/>
      <c r="T46" s="63"/>
      <c r="U46" s="63"/>
      <c r="V46" s="63"/>
      <c r="W46" s="63"/>
      <c r="X46" s="63"/>
      <c r="Y46" s="63"/>
      <c r="Z46" s="63"/>
      <c r="AA46" s="63"/>
    </row>
    <row r="47">
      <c r="A47" s="554">
        <v>35.0</v>
      </c>
      <c r="B47" s="555" t="s">
        <v>5589</v>
      </c>
      <c r="C47" s="556" t="s">
        <v>1773</v>
      </c>
      <c r="D47" s="145"/>
      <c r="E47" s="145"/>
      <c r="F47" s="145"/>
      <c r="G47" s="146">
        <f t="shared" si="4"/>
        <v>0</v>
      </c>
      <c r="H47" s="557"/>
      <c r="I47" s="63"/>
      <c r="J47" s="63"/>
      <c r="K47" s="63"/>
      <c r="L47" s="63"/>
      <c r="M47" s="63"/>
      <c r="N47" s="63"/>
      <c r="O47" s="63"/>
      <c r="P47" s="63"/>
      <c r="Q47" s="63"/>
      <c r="R47" s="63"/>
      <c r="S47" s="63"/>
      <c r="T47" s="63"/>
      <c r="U47" s="63"/>
      <c r="V47" s="63"/>
      <c r="W47" s="63"/>
      <c r="X47" s="63"/>
      <c r="Y47" s="63"/>
      <c r="Z47" s="63"/>
      <c r="AA47" s="63"/>
    </row>
    <row r="48">
      <c r="A48" s="554">
        <v>36.0</v>
      </c>
      <c r="B48" s="555" t="s">
        <v>5590</v>
      </c>
      <c r="C48" s="556" t="s">
        <v>1774</v>
      </c>
      <c r="D48" s="145"/>
      <c r="E48" s="145"/>
      <c r="F48" s="145"/>
      <c r="G48" s="146">
        <f t="shared" si="4"/>
        <v>0</v>
      </c>
      <c r="H48" s="557"/>
      <c r="I48" s="63"/>
      <c r="J48" s="63"/>
      <c r="K48" s="63"/>
      <c r="L48" s="63"/>
      <c r="M48" s="63"/>
      <c r="N48" s="63"/>
      <c r="O48" s="63"/>
      <c r="P48" s="63"/>
      <c r="Q48" s="63"/>
      <c r="R48" s="63"/>
      <c r="S48" s="63"/>
      <c r="T48" s="63"/>
      <c r="U48" s="63"/>
      <c r="V48" s="63"/>
      <c r="W48" s="63"/>
      <c r="X48" s="63"/>
      <c r="Y48" s="63"/>
      <c r="Z48" s="63"/>
      <c r="AA48" s="63"/>
    </row>
    <row r="49">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row>
    <row r="50">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row>
    <row r="5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row>
    <row r="52">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row>
    <row r="53">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row>
    <row r="54">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row>
    <row r="5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row>
    <row r="56">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row>
    <row r="57">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row>
    <row r="58">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row>
    <row r="59">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row>
    <row r="60">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row>
    <row r="6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row>
    <row r="6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row>
    <row r="6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row>
    <row r="64">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row>
    <row r="6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row>
    <row r="66">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row>
    <row r="67">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row>
    <row r="68">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row>
    <row r="69">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row>
    <row r="70">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row>
    <row r="7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row>
    <row r="7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row>
    <row r="74">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row>
    <row r="7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row>
    <row r="76">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row>
    <row r="77">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row>
    <row r="79">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row>
    <row r="80">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row>
    <row r="8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row>
    <row r="8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row>
    <row r="8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row>
    <row r="84">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row>
    <row r="8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row>
    <row r="86">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row>
    <row r="87">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row>
    <row r="88">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row>
    <row r="89">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row>
    <row r="90">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row>
    <row r="9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row>
    <row r="9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row>
    <row r="9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row>
    <row r="94">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row>
    <row r="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row>
    <row r="96">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row>
    <row r="97">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row>
    <row r="98">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row>
    <row r="99">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row>
    <row r="1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row>
    <row r="1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row>
    <row r="110">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row>
    <row r="11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row>
    <row r="11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row>
    <row r="11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row>
    <row r="11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row>
  </sheetData>
  <mergeCells count="7">
    <mergeCell ref="A10:A12"/>
    <mergeCell ref="B10:B12"/>
    <mergeCell ref="C10:C12"/>
    <mergeCell ref="E11:E12"/>
    <mergeCell ref="F11:F12"/>
    <mergeCell ref="G11:G12"/>
    <mergeCell ref="H11:H12"/>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17" t="s">
        <v>1738</v>
      </c>
      <c r="B1" s="417" t="s">
        <v>5591</v>
      </c>
    </row>
    <row r="2">
      <c r="B2" s="417" t="s">
        <v>3101</v>
      </c>
      <c r="D2" s="417" t="s">
        <v>1929</v>
      </c>
    </row>
    <row r="3">
      <c r="B3" s="417" t="s">
        <v>3101</v>
      </c>
      <c r="D3" s="417" t="s">
        <v>2077</v>
      </c>
    </row>
    <row r="4">
      <c r="B4" s="417" t="s">
        <v>3101</v>
      </c>
      <c r="D4" s="417" t="s">
        <v>2151</v>
      </c>
    </row>
    <row r="5">
      <c r="B5" s="417" t="s">
        <v>3102</v>
      </c>
      <c r="D5" s="417" t="s">
        <v>2079</v>
      </c>
      <c r="K5" s="417" t="s">
        <v>3103</v>
      </c>
    </row>
    <row r="6">
      <c r="B6" s="417" t="s">
        <v>3102</v>
      </c>
      <c r="D6" s="417" t="s">
        <v>1777</v>
      </c>
      <c r="K6" s="417" t="s">
        <v>3103</v>
      </c>
    </row>
    <row r="7">
      <c r="B7" s="417" t="s">
        <v>3101</v>
      </c>
      <c r="D7" s="417" t="s">
        <v>2224</v>
      </c>
    </row>
    <row r="8">
      <c r="B8" s="417" t="s">
        <v>3101</v>
      </c>
      <c r="D8" s="417" t="s">
        <v>1778</v>
      </c>
    </row>
    <row r="9">
      <c r="B9" s="417" t="s">
        <v>3101</v>
      </c>
      <c r="D9" s="417" t="s">
        <v>1739</v>
      </c>
    </row>
    <row r="10">
      <c r="B10" s="417" t="s">
        <v>3101</v>
      </c>
      <c r="D10" s="417" t="s">
        <v>2411</v>
      </c>
    </row>
    <row r="11">
      <c r="B11" s="417" t="s">
        <v>3101</v>
      </c>
      <c r="D11" s="417" t="s">
        <v>1816</v>
      </c>
    </row>
    <row r="12">
      <c r="B12" s="417" t="s">
        <v>3101</v>
      </c>
      <c r="D12" s="417" t="s">
        <v>1740</v>
      </c>
    </row>
    <row r="13">
      <c r="B13" s="417" t="s">
        <v>3101</v>
      </c>
      <c r="D13" s="417" t="s">
        <v>2153</v>
      </c>
    </row>
    <row r="14">
      <c r="B14" s="417" t="s">
        <v>3102</v>
      </c>
      <c r="D14" s="417" t="s">
        <v>2081</v>
      </c>
      <c r="K14" s="417" t="s">
        <v>3103</v>
      </c>
    </row>
    <row r="15">
      <c r="B15" s="417" t="s">
        <v>3102</v>
      </c>
      <c r="D15" s="417" t="s">
        <v>1931</v>
      </c>
      <c r="K15" s="417" t="s">
        <v>3103</v>
      </c>
    </row>
    <row r="16">
      <c r="B16" s="417" t="s">
        <v>3102</v>
      </c>
      <c r="D16" s="417" t="s">
        <v>2413</v>
      </c>
      <c r="K16" s="417" t="s">
        <v>3103</v>
      </c>
    </row>
    <row r="17">
      <c r="B17" s="417" t="s">
        <v>3102</v>
      </c>
      <c r="D17" s="417" t="s">
        <v>2415</v>
      </c>
      <c r="J17" s="417" t="s">
        <v>3103</v>
      </c>
    </row>
    <row r="18">
      <c r="B18" s="417" t="s">
        <v>3102</v>
      </c>
      <c r="D18" s="417" t="s">
        <v>1855</v>
      </c>
      <c r="K18" s="417" t="s">
        <v>3103</v>
      </c>
    </row>
    <row r="19">
      <c r="B19" s="417" t="s">
        <v>3102</v>
      </c>
      <c r="D19" s="417" t="s">
        <v>1779</v>
      </c>
      <c r="K19" s="417" t="s">
        <v>3103</v>
      </c>
    </row>
    <row r="20">
      <c r="B20" s="417" t="s">
        <v>3102</v>
      </c>
      <c r="D20" s="417" t="s">
        <v>2445</v>
      </c>
      <c r="K20" s="417" t="s">
        <v>3103</v>
      </c>
    </row>
    <row r="21">
      <c r="B21" s="417" t="s">
        <v>3101</v>
      </c>
      <c r="D21" s="417" t="s">
        <v>1933</v>
      </c>
    </row>
    <row r="22">
      <c r="B22" s="417" t="s">
        <v>3102</v>
      </c>
      <c r="D22" s="417" t="s">
        <v>2417</v>
      </c>
      <c r="K22" s="417" t="s">
        <v>3103</v>
      </c>
    </row>
    <row r="23">
      <c r="B23" s="417" t="s">
        <v>3101</v>
      </c>
      <c r="D23" s="417" t="s">
        <v>1935</v>
      </c>
    </row>
    <row r="24">
      <c r="B24" s="417" t="s">
        <v>3102</v>
      </c>
      <c r="D24" s="417" t="s">
        <v>2337</v>
      </c>
      <c r="K24" s="417" t="s">
        <v>3103</v>
      </c>
    </row>
    <row r="25">
      <c r="B25" s="417" t="s">
        <v>3102</v>
      </c>
      <c r="D25" s="417" t="s">
        <v>2225</v>
      </c>
      <c r="K25" s="417" t="s">
        <v>3103</v>
      </c>
    </row>
    <row r="26">
      <c r="B26" s="417" t="s">
        <v>3104</v>
      </c>
      <c r="D26" s="417" t="s">
        <v>1857</v>
      </c>
      <c r="K26" s="417" t="s">
        <v>3105</v>
      </c>
    </row>
    <row r="27">
      <c r="B27" s="417" t="s">
        <v>3104</v>
      </c>
      <c r="D27" s="417" t="s">
        <v>1859</v>
      </c>
      <c r="K27" s="417" t="s">
        <v>3105</v>
      </c>
    </row>
    <row r="28">
      <c r="B28" s="417" t="s">
        <v>3104</v>
      </c>
      <c r="D28" s="417" t="s">
        <v>1741</v>
      </c>
      <c r="K28" s="417" t="s">
        <v>3105</v>
      </c>
    </row>
    <row r="29">
      <c r="B29" s="417" t="s">
        <v>3104</v>
      </c>
      <c r="D29" s="417" t="s">
        <v>2339</v>
      </c>
      <c r="K29" s="417" t="s">
        <v>3105</v>
      </c>
    </row>
    <row r="30">
      <c r="B30" s="417" t="s">
        <v>3104</v>
      </c>
      <c r="D30" s="417" t="s">
        <v>1817</v>
      </c>
      <c r="K30" s="417" t="s">
        <v>3105</v>
      </c>
    </row>
    <row r="31">
      <c r="B31" s="417" t="s">
        <v>3104</v>
      </c>
      <c r="D31" s="417" t="s">
        <v>1780</v>
      </c>
      <c r="K31" s="417" t="s">
        <v>3105</v>
      </c>
    </row>
    <row r="32">
      <c r="B32" s="417" t="s">
        <v>3104</v>
      </c>
      <c r="D32" s="417" t="s">
        <v>2263</v>
      </c>
      <c r="K32" s="417" t="s">
        <v>3105</v>
      </c>
    </row>
    <row r="33">
      <c r="B33" s="417" t="s">
        <v>3104</v>
      </c>
      <c r="D33" s="417" t="s">
        <v>2083</v>
      </c>
      <c r="K33" s="417" t="s">
        <v>3105</v>
      </c>
    </row>
    <row r="34">
      <c r="B34" s="417" t="s">
        <v>3104</v>
      </c>
      <c r="D34" s="417" t="s">
        <v>1742</v>
      </c>
      <c r="K34" s="417" t="s">
        <v>3105</v>
      </c>
    </row>
    <row r="35">
      <c r="B35" s="417" t="s">
        <v>3104</v>
      </c>
      <c r="D35" s="417" t="s">
        <v>2155</v>
      </c>
      <c r="K35" s="417" t="s">
        <v>3105</v>
      </c>
    </row>
    <row r="36">
      <c r="B36" s="417" t="s">
        <v>3104</v>
      </c>
      <c r="D36" s="417" t="s">
        <v>2265</v>
      </c>
      <c r="K36" s="417" t="s">
        <v>3105</v>
      </c>
    </row>
    <row r="37">
      <c r="B37" s="417" t="s">
        <v>3104</v>
      </c>
      <c r="D37" s="417" t="s">
        <v>2157</v>
      </c>
      <c r="J37" s="417" t="s">
        <v>3105</v>
      </c>
    </row>
    <row r="38">
      <c r="B38" s="417" t="s">
        <v>5592</v>
      </c>
      <c r="C38" s="485" t="str">
        <f/>
        <v>#ERROR!</v>
      </c>
      <c r="D38" s="417" t="s">
        <v>2226</v>
      </c>
    </row>
    <row r="39">
      <c r="B39" s="417" t="s">
        <v>3102</v>
      </c>
      <c r="C39" s="485" t="str">
        <f/>
        <v>#ERROR!</v>
      </c>
      <c r="D39" s="417" t="s">
        <v>1937</v>
      </c>
    </row>
    <row r="40">
      <c r="B40" s="417" t="s">
        <v>3104</v>
      </c>
      <c r="C40" s="485" t="str">
        <f/>
        <v>#ERROR!</v>
      </c>
      <c r="D40" s="417" t="s">
        <v>1781</v>
      </c>
    </row>
    <row r="41">
      <c r="A41" s="417">
        <v>1.0</v>
      </c>
      <c r="B41" s="417" t="s">
        <v>1928</v>
      </c>
      <c r="D41" s="417" t="s">
        <v>2267</v>
      </c>
      <c r="E41" s="417" t="s">
        <v>3099</v>
      </c>
    </row>
    <row r="42">
      <c r="A42" s="417">
        <v>1.0</v>
      </c>
      <c r="B42" s="417" t="s">
        <v>2076</v>
      </c>
      <c r="D42" s="417" t="s">
        <v>1818</v>
      </c>
      <c r="E42" s="417" t="s">
        <v>3099</v>
      </c>
    </row>
    <row r="43">
      <c r="A43" s="417">
        <v>1.0</v>
      </c>
      <c r="B43" s="417" t="s">
        <v>2150</v>
      </c>
      <c r="D43" s="417" t="s">
        <v>1861</v>
      </c>
      <c r="E43" s="417" t="s">
        <v>3099</v>
      </c>
    </row>
    <row r="44">
      <c r="A44" s="417">
        <v>2.0</v>
      </c>
      <c r="B44" s="417" t="s">
        <v>2078</v>
      </c>
      <c r="D44" s="417" t="s">
        <v>2269</v>
      </c>
      <c r="E44" s="417" t="s">
        <v>3099</v>
      </c>
    </row>
    <row r="45">
      <c r="A45" s="417">
        <v>1.0</v>
      </c>
      <c r="B45" s="417">
        <v>9.2385645E7</v>
      </c>
      <c r="C45" s="417">
        <v>2.42510005E8</v>
      </c>
      <c r="D45" s="417" t="s">
        <v>1939</v>
      </c>
      <c r="E45" s="417" t="s">
        <v>3100</v>
      </c>
    </row>
    <row r="46">
      <c r="A46" s="417">
        <v>1.0</v>
      </c>
      <c r="B46" s="417">
        <v>9.3390743E7</v>
      </c>
      <c r="C46" s="417">
        <v>2.42510006E8</v>
      </c>
      <c r="D46" s="417" t="s">
        <v>2159</v>
      </c>
      <c r="E46" s="417" t="s">
        <v>3100</v>
      </c>
    </row>
    <row r="47">
      <c r="A47" s="417">
        <v>2.0</v>
      </c>
      <c r="B47" s="417">
        <v>8.3638898E7</v>
      </c>
      <c r="C47" s="417">
        <v>2.42510007E8</v>
      </c>
      <c r="D47" s="417" t="s">
        <v>1782</v>
      </c>
      <c r="E47" s="417" t="s">
        <v>3099</v>
      </c>
    </row>
    <row r="48">
      <c r="A48" s="417">
        <v>1.0</v>
      </c>
      <c r="B48" s="417">
        <v>8.2590495E7</v>
      </c>
      <c r="C48" s="417">
        <v>2.42510008E8</v>
      </c>
      <c r="D48" s="417" t="s">
        <v>2227</v>
      </c>
      <c r="E48" s="417" t="s">
        <v>3099</v>
      </c>
    </row>
    <row r="49">
      <c r="A49" s="417">
        <v>1.0</v>
      </c>
      <c r="B49" s="417" t="s">
        <v>2410</v>
      </c>
      <c r="D49" s="417" t="s">
        <v>2003</v>
      </c>
      <c r="E49" s="417" t="s">
        <v>3100</v>
      </c>
    </row>
    <row r="50">
      <c r="A50" s="417">
        <v>1.0</v>
      </c>
      <c r="B50" s="417">
        <v>8.5027044E7</v>
      </c>
      <c r="C50" s="417">
        <v>2.4251001E8</v>
      </c>
      <c r="D50" s="417" t="s">
        <v>2085</v>
      </c>
      <c r="E50" s="417" t="s">
        <v>3099</v>
      </c>
    </row>
    <row r="51">
      <c r="A51" s="417">
        <v>2.0</v>
      </c>
      <c r="B51" s="417">
        <v>9.7313548E7</v>
      </c>
      <c r="C51" s="417">
        <v>2.42510011E8</v>
      </c>
      <c r="D51" s="417" t="s">
        <v>2341</v>
      </c>
      <c r="E51" s="417" t="s">
        <v>3099</v>
      </c>
    </row>
    <row r="52">
      <c r="A52" s="417">
        <v>2.0</v>
      </c>
      <c r="B52" s="417" t="s">
        <v>2152</v>
      </c>
      <c r="D52" s="417" t="s">
        <v>2228</v>
      </c>
      <c r="E52" s="417" t="s">
        <v>3100</v>
      </c>
    </row>
    <row r="53">
      <c r="A53" s="417">
        <v>3.0</v>
      </c>
      <c r="B53" s="417" t="s">
        <v>2080</v>
      </c>
      <c r="D53" s="417" t="s">
        <v>1783</v>
      </c>
      <c r="E53" s="417" t="s">
        <v>3100</v>
      </c>
    </row>
    <row r="54">
      <c r="A54" s="417">
        <v>2.0</v>
      </c>
      <c r="B54" s="417" t="s">
        <v>1930</v>
      </c>
      <c r="D54" s="417" t="s">
        <v>2161</v>
      </c>
      <c r="E54" s="417" t="s">
        <v>3100</v>
      </c>
    </row>
    <row r="55">
      <c r="A55" s="417">
        <v>2.0</v>
      </c>
      <c r="B55" s="417" t="s">
        <v>2412</v>
      </c>
      <c r="D55" s="417" t="s">
        <v>1941</v>
      </c>
      <c r="E55" s="417" t="s">
        <v>3100</v>
      </c>
    </row>
    <row r="56">
      <c r="A56" s="417">
        <v>3.0</v>
      </c>
      <c r="B56" s="417" t="s">
        <v>2414</v>
      </c>
      <c r="D56" s="417" t="s">
        <v>2005</v>
      </c>
      <c r="E56" s="417" t="s">
        <v>3100</v>
      </c>
    </row>
    <row r="57">
      <c r="A57" s="417">
        <v>1.0</v>
      </c>
      <c r="B57" s="417" t="s">
        <v>1854</v>
      </c>
      <c r="D57" s="417" t="s">
        <v>2007</v>
      </c>
      <c r="E57" s="417" t="s">
        <v>3100</v>
      </c>
    </row>
    <row r="58">
      <c r="A58" s="417">
        <v>3.0</v>
      </c>
      <c r="B58" s="417">
        <v>8.3581318E7</v>
      </c>
      <c r="C58" s="417">
        <v>2.42510018E8</v>
      </c>
      <c r="D58" s="417" t="s">
        <v>2087</v>
      </c>
      <c r="E58" s="417" t="s">
        <v>3100</v>
      </c>
    </row>
    <row r="59">
      <c r="A59" s="417">
        <v>18.0</v>
      </c>
      <c r="B59" s="417" t="s">
        <v>2444</v>
      </c>
      <c r="D59" s="417" t="s">
        <v>2009</v>
      </c>
      <c r="E59" s="417" t="s">
        <v>3099</v>
      </c>
    </row>
    <row r="60">
      <c r="A60" s="417">
        <v>3.0</v>
      </c>
      <c r="B60" s="417" t="s">
        <v>1932</v>
      </c>
      <c r="D60" s="417" t="s">
        <v>2229</v>
      </c>
      <c r="E60" s="417" t="s">
        <v>3099</v>
      </c>
    </row>
    <row r="61">
      <c r="A61" s="417">
        <v>4.0</v>
      </c>
      <c r="B61" s="417" t="s">
        <v>2416</v>
      </c>
      <c r="D61" s="417" t="s">
        <v>2419</v>
      </c>
      <c r="E61" s="417" t="s">
        <v>3099</v>
      </c>
    </row>
    <row r="62">
      <c r="A62" s="417">
        <v>4.0</v>
      </c>
      <c r="B62" s="417" t="s">
        <v>1934</v>
      </c>
      <c r="D62" s="417" t="s">
        <v>2343</v>
      </c>
      <c r="E62" s="417" t="s">
        <v>3099</v>
      </c>
    </row>
    <row r="63">
      <c r="A63" s="417">
        <v>1.0</v>
      </c>
      <c r="B63" s="417" t="s">
        <v>2336</v>
      </c>
      <c r="D63" s="417" t="s">
        <v>2271</v>
      </c>
      <c r="E63" s="417" t="s">
        <v>3099</v>
      </c>
    </row>
    <row r="64">
      <c r="A64" s="417">
        <v>2.0</v>
      </c>
      <c r="B64" s="417">
        <v>9.9505768E7</v>
      </c>
      <c r="C64" s="417">
        <v>2.42510022E8</v>
      </c>
      <c r="D64" s="417" t="s">
        <v>2163</v>
      </c>
      <c r="E64" s="417" t="s">
        <v>3099</v>
      </c>
    </row>
    <row r="65">
      <c r="A65" s="417">
        <v>2.0</v>
      </c>
      <c r="B65" s="417" t="s">
        <v>1856</v>
      </c>
      <c r="D65" s="417" t="s">
        <v>1784</v>
      </c>
      <c r="E65" s="417" t="s">
        <v>3100</v>
      </c>
    </row>
    <row r="66">
      <c r="A66" s="417">
        <v>3.0</v>
      </c>
      <c r="B66" s="417" t="s">
        <v>1858</v>
      </c>
      <c r="D66" s="417" t="s">
        <v>2345</v>
      </c>
      <c r="E66" s="417" t="s">
        <v>3100</v>
      </c>
    </row>
    <row r="67">
      <c r="A67" s="417">
        <v>3.0</v>
      </c>
      <c r="B67" s="417">
        <v>9.4510551E7</v>
      </c>
      <c r="C67" s="417">
        <v>2.42510025E8</v>
      </c>
      <c r="D67" s="417" t="s">
        <v>2089</v>
      </c>
      <c r="E67" s="417" t="s">
        <v>3100</v>
      </c>
    </row>
    <row r="68">
      <c r="A68" s="417">
        <v>2.0</v>
      </c>
      <c r="B68" s="417" t="s">
        <v>2338</v>
      </c>
      <c r="D68" s="417" t="s">
        <v>2011</v>
      </c>
      <c r="E68" s="417" t="s">
        <v>3100</v>
      </c>
    </row>
    <row r="69">
      <c r="A69" s="417">
        <v>2.0</v>
      </c>
      <c r="B69" s="417">
        <v>8.1265372E7</v>
      </c>
      <c r="C69" s="417">
        <v>2.42510027E8</v>
      </c>
      <c r="D69" s="417" t="s">
        <v>2165</v>
      </c>
      <c r="E69" s="417" t="s">
        <v>3100</v>
      </c>
    </row>
    <row r="70">
      <c r="A70" s="417">
        <v>4.0</v>
      </c>
      <c r="B70" s="417">
        <v>8.6733881E7</v>
      </c>
      <c r="C70" s="417">
        <v>2.42510028E8</v>
      </c>
      <c r="D70" s="417" t="s">
        <v>2167</v>
      </c>
      <c r="E70" s="417" t="s">
        <v>3100</v>
      </c>
    </row>
    <row r="71">
      <c r="A71" s="417">
        <v>1.0</v>
      </c>
      <c r="B71" s="417" t="s">
        <v>2262</v>
      </c>
      <c r="D71" s="417" t="s">
        <v>1743</v>
      </c>
      <c r="E71" s="417" t="s">
        <v>3100</v>
      </c>
    </row>
    <row r="72">
      <c r="A72" s="417">
        <v>4.0</v>
      </c>
      <c r="B72" s="417" t="s">
        <v>2082</v>
      </c>
      <c r="D72" s="417" t="s">
        <v>1819</v>
      </c>
      <c r="E72" s="417" t="s">
        <v>3100</v>
      </c>
    </row>
    <row r="73">
      <c r="A73" s="417">
        <v>4.0</v>
      </c>
      <c r="B73" s="417">
        <v>8.7298416E7</v>
      </c>
      <c r="C73" s="417">
        <v>2.42510031E8</v>
      </c>
      <c r="D73" s="417" t="s">
        <v>1943</v>
      </c>
      <c r="E73" s="417" t="s">
        <v>3100</v>
      </c>
    </row>
    <row r="74">
      <c r="A74" s="417">
        <v>3.0</v>
      </c>
      <c r="B74" s="417" t="s">
        <v>2154</v>
      </c>
      <c r="D74" s="417" t="s">
        <v>2013</v>
      </c>
      <c r="E74" s="417" t="s">
        <v>3099</v>
      </c>
    </row>
    <row r="75">
      <c r="A75" s="417">
        <v>2.0</v>
      </c>
      <c r="B75" s="417" t="s">
        <v>2264</v>
      </c>
      <c r="D75" s="417" t="s">
        <v>2169</v>
      </c>
      <c r="E75" s="417" t="s">
        <v>3100</v>
      </c>
    </row>
    <row r="76">
      <c r="A76" s="417">
        <v>4.0</v>
      </c>
      <c r="B76" s="417" t="s">
        <v>2156</v>
      </c>
      <c r="D76" s="417" t="s">
        <v>2091</v>
      </c>
      <c r="E76" s="417" t="s">
        <v>3100</v>
      </c>
    </row>
    <row r="77">
      <c r="A77" s="417">
        <v>3.0</v>
      </c>
      <c r="B77" s="417">
        <v>9.380109E7</v>
      </c>
      <c r="C77" s="417">
        <v>2.42510035E8</v>
      </c>
      <c r="D77" s="417" t="s">
        <v>2273</v>
      </c>
      <c r="E77" s="417" t="s">
        <v>3100</v>
      </c>
    </row>
    <row r="78">
      <c r="A78" s="417">
        <v>5.0</v>
      </c>
      <c r="B78" s="417" t="s">
        <v>1936</v>
      </c>
      <c r="D78" s="417" t="s">
        <v>2275</v>
      </c>
      <c r="E78" s="417" t="s">
        <v>3100</v>
      </c>
    </row>
    <row r="79">
      <c r="A79" s="417">
        <v>5.0</v>
      </c>
      <c r="B79" s="417">
        <v>9.8621054E7</v>
      </c>
      <c r="C79" s="417">
        <v>2.42510037E8</v>
      </c>
      <c r="D79" s="417" t="s">
        <v>2093</v>
      </c>
      <c r="E79" s="417" t="s">
        <v>3100</v>
      </c>
    </row>
    <row r="80">
      <c r="A80" s="417">
        <v>3.0</v>
      </c>
      <c r="B80" s="417" t="s">
        <v>2266</v>
      </c>
      <c r="D80" s="417" t="s">
        <v>2421</v>
      </c>
      <c r="E80" s="417" t="s">
        <v>3100</v>
      </c>
    </row>
    <row r="81">
      <c r="A81" s="417">
        <v>3.0</v>
      </c>
      <c r="B81" s="417">
        <v>9.2697249E7</v>
      </c>
      <c r="C81" s="417">
        <v>2.42510041E8</v>
      </c>
      <c r="D81" s="417" t="s">
        <v>1744</v>
      </c>
      <c r="E81" s="417" t="s">
        <v>3099</v>
      </c>
    </row>
    <row r="82">
      <c r="A82" s="417">
        <v>4.0</v>
      </c>
      <c r="B82" s="417" t="s">
        <v>1860</v>
      </c>
      <c r="D82" s="417" t="s">
        <v>2347</v>
      </c>
      <c r="E82" s="417" t="s">
        <v>3099</v>
      </c>
    </row>
    <row r="83">
      <c r="A83" s="417">
        <v>4.0</v>
      </c>
      <c r="B83" s="417" t="s">
        <v>2268</v>
      </c>
      <c r="D83" s="417" t="s">
        <v>2171</v>
      </c>
      <c r="E83" s="417" t="s">
        <v>3099</v>
      </c>
    </row>
    <row r="84">
      <c r="A84" s="417">
        <v>6.0</v>
      </c>
      <c r="B84" s="417" t="s">
        <v>1938</v>
      </c>
      <c r="D84" s="417" t="s">
        <v>2277</v>
      </c>
      <c r="E84" s="417" t="s">
        <v>3100</v>
      </c>
    </row>
    <row r="85">
      <c r="A85" s="417">
        <v>5.0</v>
      </c>
      <c r="B85" s="417" t="s">
        <v>2158</v>
      </c>
      <c r="D85" s="417" t="s">
        <v>2230</v>
      </c>
      <c r="E85" s="417" t="s">
        <v>3100</v>
      </c>
    </row>
    <row r="86">
      <c r="A86" s="417">
        <v>6.0</v>
      </c>
      <c r="B86" s="417">
        <v>9.2707821E7</v>
      </c>
      <c r="C86" s="417">
        <v>2.42510046E8</v>
      </c>
      <c r="D86" s="417" t="s">
        <v>2173</v>
      </c>
      <c r="E86" s="417" t="s">
        <v>3100</v>
      </c>
    </row>
    <row r="87">
      <c r="A87" s="417">
        <v>4.0</v>
      </c>
      <c r="B87" s="417">
        <v>9.7959305E7</v>
      </c>
      <c r="C87" s="417">
        <v>2.42510047E8</v>
      </c>
      <c r="D87" s="417" t="s">
        <v>2015</v>
      </c>
      <c r="E87" s="417" t="s">
        <v>3099</v>
      </c>
    </row>
    <row r="88">
      <c r="A88" s="417">
        <v>1.0</v>
      </c>
      <c r="B88" s="417" t="s">
        <v>2002</v>
      </c>
      <c r="D88" s="417" t="s">
        <v>1863</v>
      </c>
      <c r="E88" s="417" t="s">
        <v>3100</v>
      </c>
    </row>
    <row r="89">
      <c r="A89" s="417">
        <v>5.0</v>
      </c>
      <c r="B89" s="417" t="s">
        <v>2084</v>
      </c>
      <c r="D89" s="417" t="s">
        <v>2175</v>
      </c>
      <c r="E89" s="417" t="s">
        <v>3099</v>
      </c>
    </row>
    <row r="90">
      <c r="A90" s="417">
        <v>3.0</v>
      </c>
      <c r="B90" s="417" t="s">
        <v>2340</v>
      </c>
      <c r="D90" s="417" t="s">
        <v>1945</v>
      </c>
      <c r="E90" s="417" t="s">
        <v>3100</v>
      </c>
    </row>
    <row r="91">
      <c r="A91" s="417">
        <v>5.0</v>
      </c>
      <c r="B91" s="417">
        <v>8.4789093E7</v>
      </c>
      <c r="C91" s="417">
        <v>2.42510051E8</v>
      </c>
      <c r="D91" s="417" t="s">
        <v>2423</v>
      </c>
      <c r="E91" s="417" t="s">
        <v>3100</v>
      </c>
    </row>
    <row r="92">
      <c r="A92" s="417">
        <v>7.0</v>
      </c>
      <c r="B92" s="417">
        <v>8.3016159E7</v>
      </c>
      <c r="C92" s="417">
        <v>2.42510052E8</v>
      </c>
      <c r="D92" s="417" t="s">
        <v>2177</v>
      </c>
      <c r="E92" s="417" t="s">
        <v>3100</v>
      </c>
    </row>
    <row r="93">
      <c r="A93" s="417">
        <v>6.0</v>
      </c>
      <c r="B93" s="417" t="s">
        <v>2160</v>
      </c>
      <c r="D93" s="417" t="s">
        <v>1865</v>
      </c>
      <c r="E93" s="417" t="s">
        <v>3100</v>
      </c>
    </row>
    <row r="94">
      <c r="A94" s="417">
        <v>7.0</v>
      </c>
      <c r="B94" s="417" t="s">
        <v>1940</v>
      </c>
      <c r="D94" s="417" t="s">
        <v>2095</v>
      </c>
      <c r="E94" s="417" t="s">
        <v>3099</v>
      </c>
    </row>
    <row r="95">
      <c r="A95" s="417">
        <v>2.0</v>
      </c>
      <c r="B95" s="417" t="s">
        <v>2004</v>
      </c>
      <c r="D95" s="417" t="s">
        <v>2425</v>
      </c>
      <c r="E95" s="417" t="s">
        <v>3100</v>
      </c>
    </row>
    <row r="96">
      <c r="A96" s="417">
        <v>3.0</v>
      </c>
      <c r="B96" s="417" t="s">
        <v>2006</v>
      </c>
      <c r="D96" s="417" t="s">
        <v>2179</v>
      </c>
      <c r="E96" s="417" t="s">
        <v>3100</v>
      </c>
    </row>
    <row r="97">
      <c r="A97" s="417">
        <v>6.0</v>
      </c>
      <c r="B97" s="417" t="s">
        <v>2086</v>
      </c>
      <c r="D97" s="417" t="s">
        <v>1745</v>
      </c>
      <c r="E97" s="417" t="s">
        <v>3100</v>
      </c>
    </row>
    <row r="98">
      <c r="A98" s="417">
        <v>4.0</v>
      </c>
      <c r="B98" s="417" t="s">
        <v>2008</v>
      </c>
      <c r="D98" s="417" t="s">
        <v>2017</v>
      </c>
      <c r="E98" s="417" t="s">
        <v>3099</v>
      </c>
    </row>
    <row r="99">
      <c r="A99" s="417">
        <v>6.0</v>
      </c>
      <c r="B99" s="417">
        <v>2.081404817E9</v>
      </c>
      <c r="C99" s="417">
        <v>2.42510059E8</v>
      </c>
      <c r="D99" s="417" t="s">
        <v>2279</v>
      </c>
      <c r="E99" s="417" t="s">
        <v>3099</v>
      </c>
    </row>
    <row r="100">
      <c r="A100" s="417">
        <v>5.0</v>
      </c>
      <c r="B100" s="417" t="s">
        <v>2418</v>
      </c>
      <c r="D100" s="417" t="s">
        <v>2231</v>
      </c>
      <c r="E100" s="417" t="s">
        <v>3100</v>
      </c>
    </row>
    <row r="101">
      <c r="A101" s="417">
        <v>4.0</v>
      </c>
      <c r="B101" s="417" t="s">
        <v>2342</v>
      </c>
      <c r="D101" s="417" t="s">
        <v>2019</v>
      </c>
      <c r="E101" s="417" t="s">
        <v>3100</v>
      </c>
    </row>
    <row r="102">
      <c r="A102" s="417">
        <v>5.0</v>
      </c>
      <c r="B102" s="417" t="s">
        <v>2270</v>
      </c>
      <c r="D102" s="417" t="s">
        <v>2281</v>
      </c>
      <c r="E102" s="417" t="s">
        <v>3099</v>
      </c>
    </row>
    <row r="103">
      <c r="A103" s="417">
        <v>7.0</v>
      </c>
      <c r="B103" s="417" t="s">
        <v>2162</v>
      </c>
      <c r="D103" s="417" t="s">
        <v>2021</v>
      </c>
      <c r="E103" s="417" t="s">
        <v>3100</v>
      </c>
    </row>
    <row r="104">
      <c r="A104" s="417">
        <v>8.0</v>
      </c>
      <c r="B104" s="417">
        <v>8.3641645E7</v>
      </c>
      <c r="C104" s="417">
        <v>2.42510064E8</v>
      </c>
      <c r="D104" s="417" t="s">
        <v>1867</v>
      </c>
      <c r="E104" s="417" t="s">
        <v>3100</v>
      </c>
    </row>
    <row r="105">
      <c r="A105" s="417">
        <v>5.0</v>
      </c>
      <c r="B105" s="417" t="s">
        <v>2344</v>
      </c>
      <c r="D105" s="417" t="s">
        <v>2232</v>
      </c>
      <c r="E105" s="417" t="s">
        <v>3100</v>
      </c>
    </row>
    <row r="106">
      <c r="A106" s="417">
        <v>7.0</v>
      </c>
      <c r="B106" s="417" t="s">
        <v>2088</v>
      </c>
      <c r="D106" s="417" t="s">
        <v>1785</v>
      </c>
      <c r="E106" s="417" t="s">
        <v>3100</v>
      </c>
    </row>
    <row r="107">
      <c r="A107" s="417">
        <v>5.0</v>
      </c>
      <c r="B107" s="417" t="s">
        <v>2010</v>
      </c>
      <c r="D107" s="417" t="s">
        <v>2349</v>
      </c>
      <c r="E107" s="417" t="s">
        <v>3100</v>
      </c>
    </row>
    <row r="108">
      <c r="A108" s="417">
        <v>8.0</v>
      </c>
      <c r="B108" s="417" t="s">
        <v>2164</v>
      </c>
      <c r="D108" s="417" t="s">
        <v>2427</v>
      </c>
      <c r="E108" s="417" t="s">
        <v>3100</v>
      </c>
    </row>
    <row r="109">
      <c r="A109" s="417">
        <v>9.0</v>
      </c>
      <c r="B109" s="417" t="s">
        <v>2166</v>
      </c>
      <c r="D109" s="417" t="s">
        <v>2429</v>
      </c>
      <c r="E109" s="417" t="s">
        <v>3100</v>
      </c>
    </row>
    <row r="110">
      <c r="A110" s="417">
        <v>5.0</v>
      </c>
      <c r="B110" s="417">
        <v>9.5546511E7</v>
      </c>
      <c r="C110" s="417">
        <v>2.42510069E8</v>
      </c>
      <c r="D110" s="417" t="s">
        <v>1746</v>
      </c>
      <c r="E110" s="417" t="s">
        <v>3100</v>
      </c>
    </row>
    <row r="111">
      <c r="A111" s="417">
        <v>4.0</v>
      </c>
      <c r="B111" s="417">
        <v>8.5437129E7</v>
      </c>
      <c r="C111" s="417">
        <v>2.4251007E8</v>
      </c>
      <c r="D111" s="417" t="s">
        <v>2431</v>
      </c>
      <c r="E111" s="417" t="s">
        <v>3100</v>
      </c>
    </row>
    <row r="112">
      <c r="A112" s="417">
        <v>8.0</v>
      </c>
      <c r="B112" s="417" t="s">
        <v>1942</v>
      </c>
      <c r="D112" s="417" t="s">
        <v>1747</v>
      </c>
      <c r="E112" s="417" t="s">
        <v>3100</v>
      </c>
    </row>
    <row r="113">
      <c r="A113" s="417">
        <v>6.0</v>
      </c>
      <c r="B113" s="417" t="s">
        <v>2012</v>
      </c>
      <c r="D113" s="417" t="s">
        <v>2023</v>
      </c>
      <c r="E113" s="417" t="s">
        <v>3100</v>
      </c>
    </row>
    <row r="114">
      <c r="A114" s="417">
        <v>10.0</v>
      </c>
      <c r="B114" s="417" t="s">
        <v>2168</v>
      </c>
      <c r="D114" s="417" t="s">
        <v>1820</v>
      </c>
      <c r="E114" s="417" t="s">
        <v>3100</v>
      </c>
    </row>
    <row r="115">
      <c r="A115" s="417">
        <v>8.0</v>
      </c>
      <c r="B115" s="417" t="s">
        <v>2090</v>
      </c>
      <c r="D115" s="417" t="s">
        <v>1748</v>
      </c>
      <c r="E115" s="417" t="s">
        <v>3100</v>
      </c>
    </row>
    <row r="116">
      <c r="A116" s="417">
        <v>6.0</v>
      </c>
      <c r="B116" s="417" t="s">
        <v>2272</v>
      </c>
      <c r="D116" s="417" t="s">
        <v>2181</v>
      </c>
      <c r="E116" s="417" t="s">
        <v>3100</v>
      </c>
    </row>
    <row r="117">
      <c r="A117" s="417">
        <v>7.0</v>
      </c>
      <c r="B117" s="417" t="s">
        <v>2274</v>
      </c>
      <c r="D117" s="417" t="s">
        <v>1749</v>
      </c>
      <c r="E117" s="417" t="s">
        <v>3100</v>
      </c>
    </row>
    <row r="118">
      <c r="A118" s="417">
        <v>9.0</v>
      </c>
      <c r="B118" s="417" t="s">
        <v>2092</v>
      </c>
      <c r="D118" s="417" t="s">
        <v>1786</v>
      </c>
      <c r="E118" s="417" t="s">
        <v>3100</v>
      </c>
    </row>
    <row r="119">
      <c r="A119" s="417">
        <v>6.0</v>
      </c>
      <c r="B119" s="417" t="s">
        <v>2420</v>
      </c>
      <c r="D119" s="417" t="s">
        <v>2351</v>
      </c>
      <c r="E119" s="417" t="s">
        <v>3100</v>
      </c>
    </row>
    <row r="120">
      <c r="A120" s="417">
        <v>6.0</v>
      </c>
      <c r="B120" s="417">
        <v>3.086190678E9</v>
      </c>
      <c r="C120" s="417">
        <v>2.42510079E8</v>
      </c>
      <c r="D120" s="417" t="s">
        <v>2097</v>
      </c>
      <c r="E120" s="417" t="s">
        <v>3099</v>
      </c>
    </row>
    <row r="121">
      <c r="A121" s="417">
        <v>6.0</v>
      </c>
      <c r="B121" s="417" t="s">
        <v>2346</v>
      </c>
      <c r="D121" s="417" t="s">
        <v>1821</v>
      </c>
      <c r="E121" s="417" t="s">
        <v>3099</v>
      </c>
    </row>
    <row r="122">
      <c r="A122" s="417">
        <v>11.0</v>
      </c>
      <c r="B122" s="417" t="s">
        <v>2170</v>
      </c>
      <c r="D122" s="417" t="s">
        <v>2099</v>
      </c>
      <c r="E122" s="417" t="s">
        <v>3099</v>
      </c>
    </row>
    <row r="123">
      <c r="A123" s="417">
        <v>8.0</v>
      </c>
      <c r="B123" s="417" t="s">
        <v>2276</v>
      </c>
      <c r="D123" s="417" t="s">
        <v>2353</v>
      </c>
      <c r="E123" s="417" t="s">
        <v>3099</v>
      </c>
    </row>
    <row r="124">
      <c r="A124" s="417">
        <v>7.0</v>
      </c>
      <c r="B124" s="417">
        <v>9.8812831E7</v>
      </c>
      <c r="C124" s="417">
        <v>2.42510083E8</v>
      </c>
      <c r="D124" s="417" t="s">
        <v>2233</v>
      </c>
      <c r="E124" s="417" t="s">
        <v>3099</v>
      </c>
    </row>
    <row r="125">
      <c r="A125" s="417">
        <v>12.0</v>
      </c>
      <c r="B125" s="417" t="s">
        <v>2172</v>
      </c>
      <c r="D125" s="417" t="s">
        <v>2101</v>
      </c>
      <c r="E125" s="417" t="s">
        <v>3100</v>
      </c>
    </row>
    <row r="126">
      <c r="A126" s="417">
        <v>7.0</v>
      </c>
      <c r="B126" s="417" t="s">
        <v>2014</v>
      </c>
      <c r="D126" s="417" t="s">
        <v>2433</v>
      </c>
      <c r="E126" s="417" t="s">
        <v>3100</v>
      </c>
    </row>
    <row r="127">
      <c r="A127" s="417">
        <v>5.0</v>
      </c>
      <c r="B127" s="417" t="s">
        <v>1862</v>
      </c>
      <c r="D127" s="417" t="s">
        <v>1750</v>
      </c>
      <c r="E127" s="417" t="s">
        <v>3100</v>
      </c>
    </row>
    <row r="128">
      <c r="A128" s="417">
        <v>13.0</v>
      </c>
      <c r="B128" s="417" t="s">
        <v>2174</v>
      </c>
      <c r="D128" s="417" t="s">
        <v>2435</v>
      </c>
      <c r="E128" s="417" t="s">
        <v>3100</v>
      </c>
    </row>
    <row r="129">
      <c r="A129" s="417">
        <v>9.0</v>
      </c>
      <c r="B129" s="417" t="s">
        <v>1944</v>
      </c>
      <c r="D129" s="417" t="s">
        <v>2234</v>
      </c>
      <c r="E129" s="417" t="s">
        <v>3100</v>
      </c>
    </row>
    <row r="130">
      <c r="A130" s="417">
        <v>7.0</v>
      </c>
      <c r="B130" s="417" t="s">
        <v>2422</v>
      </c>
      <c r="D130" s="417" t="s">
        <v>1787</v>
      </c>
      <c r="E130" s="417" t="s">
        <v>3100</v>
      </c>
    </row>
    <row r="131">
      <c r="A131" s="417">
        <v>14.0</v>
      </c>
      <c r="B131" s="417" t="s">
        <v>2176</v>
      </c>
      <c r="D131" s="417" t="s">
        <v>2025</v>
      </c>
      <c r="E131" s="417" t="s">
        <v>3100</v>
      </c>
    </row>
    <row r="132">
      <c r="A132" s="417">
        <v>6.0</v>
      </c>
      <c r="B132" s="417" t="s">
        <v>1864</v>
      </c>
      <c r="D132" s="417" t="s">
        <v>2283</v>
      </c>
      <c r="E132" s="417" t="s">
        <v>3100</v>
      </c>
    </row>
    <row r="133">
      <c r="A133" s="417">
        <v>10.0</v>
      </c>
      <c r="B133" s="417" t="s">
        <v>2094</v>
      </c>
      <c r="D133" s="417" t="s">
        <v>2355</v>
      </c>
      <c r="E133" s="417" t="s">
        <v>3100</v>
      </c>
    </row>
    <row r="134">
      <c r="A134" s="417">
        <v>8.0</v>
      </c>
      <c r="B134" s="417" t="s">
        <v>2424</v>
      </c>
      <c r="D134" s="417" t="s">
        <v>1869</v>
      </c>
      <c r="E134" s="417" t="s">
        <v>3100</v>
      </c>
    </row>
    <row r="135">
      <c r="A135" s="417">
        <v>15.0</v>
      </c>
      <c r="B135" s="417" t="s">
        <v>2178</v>
      </c>
      <c r="D135" s="417" t="s">
        <v>1871</v>
      </c>
      <c r="E135" s="417" t="s">
        <v>3100</v>
      </c>
    </row>
    <row r="136">
      <c r="A136" s="417">
        <v>7.0</v>
      </c>
      <c r="B136" s="417">
        <v>1.0716337E8</v>
      </c>
      <c r="C136" s="417">
        <v>2.42510095E8</v>
      </c>
      <c r="D136" s="417" t="s">
        <v>1873</v>
      </c>
      <c r="E136" s="417" t="s">
        <v>3100</v>
      </c>
    </row>
    <row r="137">
      <c r="A137" s="417">
        <v>8.0</v>
      </c>
      <c r="B137" s="417" t="s">
        <v>2016</v>
      </c>
      <c r="D137" s="417" t="s">
        <v>1822</v>
      </c>
      <c r="E137" s="417" t="s">
        <v>3100</v>
      </c>
    </row>
    <row r="138">
      <c r="A138" s="417">
        <v>9.0</v>
      </c>
      <c r="B138" s="417" t="s">
        <v>2278</v>
      </c>
      <c r="D138" s="417" t="s">
        <v>2183</v>
      </c>
      <c r="E138" s="417" t="s">
        <v>3099</v>
      </c>
    </row>
    <row r="139">
      <c r="A139" s="417">
        <v>8.0</v>
      </c>
      <c r="B139" s="417">
        <v>8.3352872E7</v>
      </c>
      <c r="C139" s="417">
        <v>2.42510098E8</v>
      </c>
      <c r="D139" s="417" t="s">
        <v>2103</v>
      </c>
      <c r="E139" s="417" t="s">
        <v>3099</v>
      </c>
    </row>
    <row r="140">
      <c r="A140" s="417">
        <v>9.0</v>
      </c>
      <c r="B140" s="417" t="s">
        <v>2018</v>
      </c>
      <c r="D140" s="417" t="s">
        <v>2357</v>
      </c>
      <c r="E140" s="417" t="s">
        <v>3100</v>
      </c>
    </row>
    <row r="141">
      <c r="A141" s="417">
        <v>10.0</v>
      </c>
      <c r="B141" s="417" t="s">
        <v>2280</v>
      </c>
      <c r="D141" s="417" t="s">
        <v>2359</v>
      </c>
      <c r="E141" s="417" t="s">
        <v>3099</v>
      </c>
    </row>
    <row r="142">
      <c r="A142" s="417">
        <v>10.0</v>
      </c>
      <c r="B142" s="417" t="s">
        <v>2020</v>
      </c>
      <c r="D142" s="417" t="s">
        <v>1788</v>
      </c>
      <c r="E142" s="417" t="s">
        <v>3099</v>
      </c>
    </row>
    <row r="143">
      <c r="A143" s="417">
        <v>7.0</v>
      </c>
      <c r="B143" s="417" t="s">
        <v>1866</v>
      </c>
      <c r="D143" s="417" t="s">
        <v>1875</v>
      </c>
      <c r="E143" s="417" t="s">
        <v>3100</v>
      </c>
    </row>
    <row r="144">
      <c r="A144" s="417">
        <v>9.0</v>
      </c>
      <c r="B144" s="417">
        <v>8.6078004E7</v>
      </c>
      <c r="C144" s="417">
        <v>2.42510103E8</v>
      </c>
      <c r="D144" s="417" t="s">
        <v>2105</v>
      </c>
      <c r="E144" s="417" t="s">
        <v>3099</v>
      </c>
    </row>
    <row r="145">
      <c r="A145" s="417">
        <v>9.0</v>
      </c>
      <c r="B145" s="417">
        <v>9.3262366E7</v>
      </c>
      <c r="C145" s="417">
        <v>2.42510104E8</v>
      </c>
      <c r="D145" s="417" t="s">
        <v>1789</v>
      </c>
      <c r="E145" s="417" t="s">
        <v>3099</v>
      </c>
    </row>
    <row r="146">
      <c r="A146" s="417">
        <v>7.0</v>
      </c>
      <c r="B146" s="417" t="s">
        <v>2348</v>
      </c>
      <c r="D146" s="417" t="s">
        <v>2361</v>
      </c>
      <c r="E146" s="417" t="s">
        <v>3100</v>
      </c>
    </row>
    <row r="147">
      <c r="A147" s="417">
        <v>9.0</v>
      </c>
      <c r="B147" s="417" t="s">
        <v>2426</v>
      </c>
      <c r="D147" s="417" t="s">
        <v>2437</v>
      </c>
      <c r="E147" s="417" t="s">
        <v>3100</v>
      </c>
    </row>
    <row r="148">
      <c r="A148" s="417">
        <v>10.0</v>
      </c>
      <c r="B148" s="417" t="s">
        <v>2428</v>
      </c>
      <c r="D148" s="417" t="s">
        <v>2027</v>
      </c>
      <c r="E148" s="417" t="s">
        <v>3100</v>
      </c>
    </row>
    <row r="149">
      <c r="A149" s="417">
        <v>8.0</v>
      </c>
      <c r="B149" s="417">
        <v>3.092678408E9</v>
      </c>
      <c r="C149" s="417">
        <v>2.42510108E8</v>
      </c>
      <c r="D149" s="417" t="s">
        <v>2363</v>
      </c>
      <c r="E149" s="417" t="s">
        <v>3099</v>
      </c>
    </row>
    <row r="150">
      <c r="A150" s="417">
        <v>11.0</v>
      </c>
      <c r="B150" s="417" t="s">
        <v>2430</v>
      </c>
      <c r="D150" s="417" t="s">
        <v>2185</v>
      </c>
      <c r="E150" s="417" t="s">
        <v>3099</v>
      </c>
    </row>
    <row r="151">
      <c r="A151" s="417">
        <v>9.0</v>
      </c>
      <c r="B151" s="417">
        <v>9.550411E7</v>
      </c>
      <c r="C151" s="417">
        <v>2.42510111E8</v>
      </c>
      <c r="D151" s="417" t="s">
        <v>2107</v>
      </c>
      <c r="E151" s="417" t="s">
        <v>3099</v>
      </c>
    </row>
    <row r="152">
      <c r="A152" s="417">
        <v>11.0</v>
      </c>
      <c r="B152" s="417" t="s">
        <v>2022</v>
      </c>
      <c r="D152" s="417" t="s">
        <v>2365</v>
      </c>
      <c r="E152" s="417" t="s">
        <v>3099</v>
      </c>
    </row>
    <row r="153">
      <c r="A153" s="417">
        <v>5.0</v>
      </c>
      <c r="B153" s="417">
        <v>9.8656322E7</v>
      </c>
      <c r="C153" s="417">
        <v>2.42510113E8</v>
      </c>
      <c r="D153" s="417" t="s">
        <v>1790</v>
      </c>
      <c r="E153" s="417" t="s">
        <v>3100</v>
      </c>
    </row>
    <row r="154">
      <c r="A154" s="417">
        <v>10.0</v>
      </c>
      <c r="B154" s="417">
        <v>3.081717964E9</v>
      </c>
      <c r="C154" s="417">
        <v>2.42510114E8</v>
      </c>
      <c r="D154" s="417" t="s">
        <v>2439</v>
      </c>
      <c r="E154" s="417" t="s">
        <v>3099</v>
      </c>
    </row>
    <row r="155">
      <c r="A155" s="417">
        <v>16.0</v>
      </c>
      <c r="B155" s="417" t="s">
        <v>2180</v>
      </c>
      <c r="D155" s="417" t="s">
        <v>2187</v>
      </c>
      <c r="E155" s="417" t="s">
        <v>3100</v>
      </c>
    </row>
    <row r="156">
      <c r="A156" s="417">
        <v>11.0</v>
      </c>
      <c r="B156" s="417">
        <v>8.3076557E7</v>
      </c>
      <c r="C156" s="417">
        <v>2.42510116E8</v>
      </c>
      <c r="D156" s="417" t="s">
        <v>2441</v>
      </c>
      <c r="E156" s="417" t="s">
        <v>3100</v>
      </c>
    </row>
    <row r="157">
      <c r="A157" s="417">
        <v>10.0</v>
      </c>
      <c r="B157" s="417">
        <v>9.6851574E7</v>
      </c>
      <c r="C157" s="417">
        <v>2.42510117E8</v>
      </c>
      <c r="D157" s="417" t="s">
        <v>2367</v>
      </c>
      <c r="E157" s="417" t="s">
        <v>3100</v>
      </c>
    </row>
    <row r="158">
      <c r="A158" s="417">
        <v>8.0</v>
      </c>
      <c r="B158" s="417" t="s">
        <v>2350</v>
      </c>
      <c r="D158" s="417" t="s">
        <v>2029</v>
      </c>
      <c r="E158" s="417" t="s">
        <v>3100</v>
      </c>
    </row>
    <row r="159">
      <c r="A159" s="417">
        <v>11.0</v>
      </c>
      <c r="B159" s="417" t="s">
        <v>2096</v>
      </c>
      <c r="D159" s="417" t="s">
        <v>1751</v>
      </c>
      <c r="E159" s="417" t="s">
        <v>3100</v>
      </c>
    </row>
    <row r="160">
      <c r="A160" s="417">
        <v>6.0</v>
      </c>
      <c r="B160" s="417">
        <v>9.6763243E7</v>
      </c>
      <c r="C160" s="417">
        <v>2.4251012E8</v>
      </c>
      <c r="D160" s="417" t="s">
        <v>1791</v>
      </c>
      <c r="E160" s="417" t="s">
        <v>3100</v>
      </c>
    </row>
    <row r="161">
      <c r="A161" s="417">
        <v>12.0</v>
      </c>
      <c r="B161" s="417" t="s">
        <v>2098</v>
      </c>
      <c r="D161" s="417" t="s">
        <v>1947</v>
      </c>
      <c r="E161" s="417" t="s">
        <v>3100</v>
      </c>
    </row>
    <row r="162">
      <c r="A162" s="417">
        <v>9.0</v>
      </c>
      <c r="B162" s="417" t="s">
        <v>2352</v>
      </c>
      <c r="D162" s="417" t="s">
        <v>1792</v>
      </c>
      <c r="E162" s="417" t="s">
        <v>3100</v>
      </c>
    </row>
    <row r="163">
      <c r="A163" s="417">
        <v>10.0</v>
      </c>
      <c r="B163" s="417">
        <v>9.8775856E7</v>
      </c>
      <c r="C163" s="417">
        <v>2.42510123E8</v>
      </c>
      <c r="D163" s="417" t="s">
        <v>2285</v>
      </c>
      <c r="E163" s="417" t="s">
        <v>3099</v>
      </c>
    </row>
    <row r="164">
      <c r="A164" s="417">
        <v>13.0</v>
      </c>
      <c r="B164" s="417" t="s">
        <v>2100</v>
      </c>
      <c r="D164" s="417" t="s">
        <v>2287</v>
      </c>
      <c r="E164" s="417" t="s">
        <v>3099</v>
      </c>
    </row>
    <row r="165">
      <c r="A165" s="417">
        <v>12.0</v>
      </c>
      <c r="B165" s="417" t="s">
        <v>2432</v>
      </c>
      <c r="D165" s="417" t="s">
        <v>1877</v>
      </c>
      <c r="E165" s="417" t="s">
        <v>3099</v>
      </c>
    </row>
    <row r="166">
      <c r="A166" s="417">
        <v>12.0</v>
      </c>
      <c r="B166" s="417">
        <v>9.3137843E7</v>
      </c>
      <c r="C166" s="417">
        <v>2.42510126E8</v>
      </c>
      <c r="D166" s="417" t="s">
        <v>2443</v>
      </c>
      <c r="E166" s="417" t="s">
        <v>3100</v>
      </c>
    </row>
    <row r="167">
      <c r="A167" s="417">
        <v>13.0</v>
      </c>
      <c r="B167" s="417" t="s">
        <v>2434</v>
      </c>
      <c r="D167" s="417" t="s">
        <v>1879</v>
      </c>
      <c r="E167" s="417" t="s">
        <v>3100</v>
      </c>
    </row>
    <row r="168">
      <c r="A168" s="417">
        <v>11.0</v>
      </c>
      <c r="B168" s="417">
        <v>9.3969715E7</v>
      </c>
      <c r="C168" s="417">
        <v>2.42510128E8</v>
      </c>
      <c r="D168" s="417" t="s">
        <v>2369</v>
      </c>
      <c r="E168" s="417" t="s">
        <v>3099</v>
      </c>
    </row>
    <row r="169">
      <c r="A169" s="417">
        <v>11.0</v>
      </c>
      <c r="B169" s="417">
        <v>9.2622229E7</v>
      </c>
      <c r="C169" s="417">
        <v>2.42510129E8</v>
      </c>
      <c r="D169" s="417" t="s">
        <v>1881</v>
      </c>
      <c r="E169" s="417" t="s">
        <v>3100</v>
      </c>
    </row>
    <row r="170">
      <c r="A170" s="417">
        <v>12.0</v>
      </c>
      <c r="B170" s="417" t="s">
        <v>2024</v>
      </c>
      <c r="D170" s="417" t="s">
        <v>2289</v>
      </c>
      <c r="E170" s="417" t="s">
        <v>3100</v>
      </c>
    </row>
    <row r="171">
      <c r="A171" s="417">
        <v>11.0</v>
      </c>
      <c r="B171" s="417" t="s">
        <v>2282</v>
      </c>
      <c r="D171" s="417" t="s">
        <v>1883</v>
      </c>
      <c r="E171" s="417" t="s">
        <v>3099</v>
      </c>
    </row>
    <row r="172">
      <c r="A172" s="417">
        <v>10.0</v>
      </c>
      <c r="B172" s="417" t="s">
        <v>2354</v>
      </c>
      <c r="D172" s="417" t="s">
        <v>2031</v>
      </c>
      <c r="E172" s="417" t="s">
        <v>3100</v>
      </c>
    </row>
    <row r="173">
      <c r="A173" s="417">
        <v>8.0</v>
      </c>
      <c r="B173" s="417" t="s">
        <v>1868</v>
      </c>
      <c r="D173" s="417" t="s">
        <v>1752</v>
      </c>
      <c r="E173" s="417" t="s">
        <v>3100</v>
      </c>
    </row>
    <row r="174">
      <c r="A174" s="417">
        <v>9.0</v>
      </c>
      <c r="B174" s="417" t="s">
        <v>1870</v>
      </c>
      <c r="D174" s="417" t="s">
        <v>2291</v>
      </c>
      <c r="E174" s="417" t="s">
        <v>3100</v>
      </c>
    </row>
    <row r="175">
      <c r="A175" s="417">
        <v>10.0</v>
      </c>
      <c r="B175" s="417" t="s">
        <v>1872</v>
      </c>
      <c r="D175" s="417" t="s">
        <v>2235</v>
      </c>
      <c r="E175" s="417" t="s">
        <v>3100</v>
      </c>
    </row>
    <row r="176">
      <c r="A176" s="417">
        <v>7.0</v>
      </c>
      <c r="B176" s="417">
        <v>9.8951883E7</v>
      </c>
      <c r="C176" s="417">
        <v>2.42510136E8</v>
      </c>
      <c r="D176" s="417" t="s">
        <v>1885</v>
      </c>
      <c r="E176" s="417" t="s">
        <v>3100</v>
      </c>
    </row>
    <row r="177">
      <c r="A177" s="417">
        <v>17.0</v>
      </c>
      <c r="B177" s="417" t="s">
        <v>2182</v>
      </c>
      <c r="D177" s="417" t="s">
        <v>2293</v>
      </c>
      <c r="E177" s="417" t="s">
        <v>3099</v>
      </c>
    </row>
    <row r="178">
      <c r="A178" s="417">
        <v>14.0</v>
      </c>
      <c r="B178" s="417" t="s">
        <v>2102</v>
      </c>
      <c r="D178" s="417" t="s">
        <v>2371</v>
      </c>
      <c r="E178" s="417" t="s">
        <v>3099</v>
      </c>
    </row>
    <row r="179">
      <c r="A179" s="417">
        <v>11.0</v>
      </c>
      <c r="B179" s="417" t="s">
        <v>2356</v>
      </c>
      <c r="D179" s="417" t="s">
        <v>1823</v>
      </c>
      <c r="E179" s="417" t="s">
        <v>3099</v>
      </c>
    </row>
    <row r="180">
      <c r="A180" s="417">
        <v>12.0</v>
      </c>
      <c r="B180" s="417" t="s">
        <v>2358</v>
      </c>
      <c r="D180" s="417" t="s">
        <v>2236</v>
      </c>
      <c r="E180" s="417" t="s">
        <v>3100</v>
      </c>
    </row>
    <row r="181">
      <c r="A181" s="417">
        <v>12.0</v>
      </c>
      <c r="B181" s="417">
        <v>8.1916428E7</v>
      </c>
      <c r="C181" s="417">
        <v>2.42510141E8</v>
      </c>
      <c r="D181" s="417" t="s">
        <v>2033</v>
      </c>
      <c r="E181" s="417" t="s">
        <v>3100</v>
      </c>
    </row>
    <row r="182">
      <c r="A182" s="417">
        <v>11.0</v>
      </c>
      <c r="B182" s="417" t="s">
        <v>1874</v>
      </c>
      <c r="D182" s="417" t="s">
        <v>1753</v>
      </c>
      <c r="E182" s="417" t="s">
        <v>3100</v>
      </c>
    </row>
    <row r="183">
      <c r="A183" s="417">
        <v>15.0</v>
      </c>
      <c r="B183" s="417" t="s">
        <v>2104</v>
      </c>
      <c r="D183" s="417" t="s">
        <v>1824</v>
      </c>
      <c r="E183" s="417" t="s">
        <v>3100</v>
      </c>
    </row>
    <row r="184">
      <c r="A184" s="417">
        <v>13.0</v>
      </c>
      <c r="B184" s="417">
        <v>9.5691756E7</v>
      </c>
      <c r="C184" s="417">
        <v>2.42510144E8</v>
      </c>
      <c r="D184" s="417" t="s">
        <v>1887</v>
      </c>
      <c r="E184" s="417" t="s">
        <v>3100</v>
      </c>
    </row>
    <row r="185">
      <c r="A185" s="417">
        <v>13.0</v>
      </c>
      <c r="B185" s="417" t="s">
        <v>2360</v>
      </c>
      <c r="D185" s="417" t="s">
        <v>2035</v>
      </c>
      <c r="E185" s="417" t="s">
        <v>3099</v>
      </c>
    </row>
    <row r="186">
      <c r="A186" s="417">
        <v>14.0</v>
      </c>
      <c r="B186" s="417" t="s">
        <v>2436</v>
      </c>
      <c r="D186" s="417" t="s">
        <v>1825</v>
      </c>
      <c r="E186" s="417" t="s">
        <v>3099</v>
      </c>
    </row>
    <row r="187">
      <c r="A187" s="417">
        <v>13.0</v>
      </c>
      <c r="B187" s="417" t="s">
        <v>2026</v>
      </c>
      <c r="D187" s="417" t="s">
        <v>1754</v>
      </c>
      <c r="E187" s="417" t="s">
        <v>3099</v>
      </c>
    </row>
    <row r="188">
      <c r="A188" s="417">
        <v>14.0</v>
      </c>
      <c r="B188" s="417" t="s">
        <v>2362</v>
      </c>
      <c r="D188" s="417" t="s">
        <v>1755</v>
      </c>
      <c r="E188" s="417" t="s">
        <v>3100</v>
      </c>
    </row>
    <row r="189">
      <c r="A189" s="417">
        <v>18.0</v>
      </c>
      <c r="B189" s="417" t="s">
        <v>2184</v>
      </c>
      <c r="D189" s="417" t="s">
        <v>2189</v>
      </c>
      <c r="E189" s="417" t="s">
        <v>3100</v>
      </c>
    </row>
    <row r="190">
      <c r="A190" s="417">
        <v>16.0</v>
      </c>
      <c r="B190" s="417" t="s">
        <v>2106</v>
      </c>
      <c r="D190" s="417" t="s">
        <v>2373</v>
      </c>
      <c r="E190" s="417" t="s">
        <v>3099</v>
      </c>
    </row>
    <row r="191">
      <c r="A191" s="417">
        <v>15.0</v>
      </c>
      <c r="B191" s="417" t="s">
        <v>2364</v>
      </c>
      <c r="D191" s="417" t="s">
        <v>1889</v>
      </c>
      <c r="E191" s="417" t="s">
        <v>3100</v>
      </c>
    </row>
    <row r="192">
      <c r="A192" s="417">
        <v>14.0</v>
      </c>
      <c r="B192" s="417">
        <v>8.2539116E7</v>
      </c>
      <c r="C192" s="417">
        <v>2.42510153E8</v>
      </c>
      <c r="D192" s="417" t="s">
        <v>2375</v>
      </c>
      <c r="E192" s="417" t="s">
        <v>3099</v>
      </c>
    </row>
    <row r="193">
      <c r="A193" s="417">
        <v>15.0</v>
      </c>
      <c r="B193" s="417" t="s">
        <v>2438</v>
      </c>
      <c r="D193" s="417" t="s">
        <v>1826</v>
      </c>
      <c r="E193" s="417" t="s">
        <v>3100</v>
      </c>
    </row>
    <row r="194">
      <c r="A194" s="417">
        <v>19.0</v>
      </c>
      <c r="B194" s="417" t="s">
        <v>2186</v>
      </c>
      <c r="D194" s="417" t="s">
        <v>2377</v>
      </c>
      <c r="E194" s="417" t="s">
        <v>3100</v>
      </c>
    </row>
    <row r="195">
      <c r="A195" s="417">
        <v>16.0</v>
      </c>
      <c r="B195" s="417" t="s">
        <v>2440</v>
      </c>
      <c r="D195" s="417" t="s">
        <v>2447</v>
      </c>
      <c r="E195" s="417" t="s">
        <v>3100</v>
      </c>
    </row>
    <row r="196">
      <c r="A196" s="417">
        <v>16.0</v>
      </c>
      <c r="B196" s="417" t="s">
        <v>2366</v>
      </c>
      <c r="D196" s="417" t="s">
        <v>2191</v>
      </c>
      <c r="E196" s="417" t="s">
        <v>3100</v>
      </c>
    </row>
    <row r="197">
      <c r="A197" s="417">
        <v>14.0</v>
      </c>
      <c r="B197" s="417" t="s">
        <v>2028</v>
      </c>
      <c r="D197" s="417" t="s">
        <v>1827</v>
      </c>
      <c r="E197" s="417" t="s">
        <v>3099</v>
      </c>
    </row>
    <row r="198">
      <c r="A198" s="417">
        <v>13.0</v>
      </c>
      <c r="B198" s="417">
        <v>3.09082869E9</v>
      </c>
      <c r="C198" s="417">
        <v>2.42510159E8</v>
      </c>
      <c r="D198" s="417" t="s">
        <v>2379</v>
      </c>
      <c r="E198" s="417" t="s">
        <v>3099</v>
      </c>
    </row>
    <row r="199">
      <c r="A199" s="417">
        <v>15.0</v>
      </c>
      <c r="B199" s="417">
        <v>9.9310873E7</v>
      </c>
      <c r="C199" s="417">
        <v>2.4251016E8</v>
      </c>
      <c r="D199" s="417" t="s">
        <v>1891</v>
      </c>
      <c r="E199" s="417" t="s">
        <v>3099</v>
      </c>
    </row>
    <row r="200">
      <c r="A200" s="417">
        <v>10.0</v>
      </c>
      <c r="B200" s="417" t="s">
        <v>1946</v>
      </c>
      <c r="D200" s="417" t="s">
        <v>1949</v>
      </c>
      <c r="E200" s="417" t="s">
        <v>3100</v>
      </c>
    </row>
    <row r="201">
      <c r="A201" s="417">
        <v>16.0</v>
      </c>
      <c r="B201" s="417">
        <v>9.9954531E7</v>
      </c>
      <c r="C201" s="417">
        <v>2.42510162E8</v>
      </c>
      <c r="D201" s="417" t="s">
        <v>1756</v>
      </c>
      <c r="E201" s="417" t="s">
        <v>3099</v>
      </c>
    </row>
    <row r="202">
      <c r="A202" s="417">
        <v>12.0</v>
      </c>
      <c r="B202" s="417" t="s">
        <v>2284</v>
      </c>
      <c r="D202" s="417" t="s">
        <v>2109</v>
      </c>
      <c r="E202" s="417" t="s">
        <v>3099</v>
      </c>
    </row>
    <row r="203">
      <c r="A203" s="417">
        <v>13.0</v>
      </c>
      <c r="B203" s="417" t="s">
        <v>2286</v>
      </c>
      <c r="D203" s="417" t="s">
        <v>1951</v>
      </c>
      <c r="E203" s="417" t="s">
        <v>3099</v>
      </c>
    </row>
    <row r="204">
      <c r="A204" s="417">
        <v>12.0</v>
      </c>
      <c r="B204" s="417" t="s">
        <v>1876</v>
      </c>
      <c r="D204" s="417" t="s">
        <v>2449</v>
      </c>
      <c r="E204" s="417" t="s">
        <v>3100</v>
      </c>
    </row>
    <row r="205">
      <c r="A205" s="417">
        <v>17.0</v>
      </c>
      <c r="B205" s="417" t="s">
        <v>2442</v>
      </c>
      <c r="D205" s="417" t="s">
        <v>2111</v>
      </c>
      <c r="E205" s="417" t="s">
        <v>3100</v>
      </c>
    </row>
    <row r="206">
      <c r="A206" s="417">
        <v>13.0</v>
      </c>
      <c r="B206" s="417" t="s">
        <v>1878</v>
      </c>
      <c r="D206" s="417" t="s">
        <v>2037</v>
      </c>
      <c r="E206" s="417" t="s">
        <v>3100</v>
      </c>
    </row>
    <row r="207">
      <c r="A207" s="417">
        <v>17.0</v>
      </c>
      <c r="B207" s="417" t="s">
        <v>2368</v>
      </c>
      <c r="D207" s="417" t="s">
        <v>1757</v>
      </c>
      <c r="E207" s="417" t="s">
        <v>3100</v>
      </c>
    </row>
    <row r="208">
      <c r="A208" s="417">
        <v>14.0</v>
      </c>
      <c r="B208" s="417" t="s">
        <v>1880</v>
      </c>
      <c r="D208" s="417" t="s">
        <v>1893</v>
      </c>
      <c r="E208" s="417" t="s">
        <v>3100</v>
      </c>
    </row>
    <row r="209">
      <c r="A209" s="417">
        <v>14.0</v>
      </c>
      <c r="B209" s="417" t="s">
        <v>2288</v>
      </c>
      <c r="D209" s="417" t="s">
        <v>1758</v>
      </c>
      <c r="E209" s="417" t="s">
        <v>3099</v>
      </c>
    </row>
    <row r="210">
      <c r="A210" s="417">
        <v>15.0</v>
      </c>
      <c r="B210" s="417" t="s">
        <v>1882</v>
      </c>
      <c r="D210" s="417" t="s">
        <v>1759</v>
      </c>
      <c r="E210" s="417" t="s">
        <v>3099</v>
      </c>
    </row>
    <row r="211">
      <c r="A211" s="417">
        <v>15.0</v>
      </c>
      <c r="B211" s="417" t="s">
        <v>2030</v>
      </c>
      <c r="D211" s="417" t="s">
        <v>2295</v>
      </c>
      <c r="E211" s="417" t="s">
        <v>3100</v>
      </c>
    </row>
    <row r="212">
      <c r="A212" s="417">
        <v>14.0</v>
      </c>
      <c r="B212" s="417">
        <v>8.8101729E7</v>
      </c>
      <c r="C212" s="417">
        <v>2.42510173E8</v>
      </c>
      <c r="D212" s="417" t="s">
        <v>2237</v>
      </c>
      <c r="E212" s="417" t="s">
        <v>3099</v>
      </c>
    </row>
    <row r="213">
      <c r="A213" s="417">
        <v>15.0</v>
      </c>
      <c r="B213" s="417" t="s">
        <v>2290</v>
      </c>
      <c r="D213" s="417" t="s">
        <v>1953</v>
      </c>
      <c r="E213" s="417" t="s">
        <v>3099</v>
      </c>
    </row>
    <row r="214">
      <c r="A214" s="417">
        <v>12.0</v>
      </c>
      <c r="B214" s="417">
        <v>9.7062478E7</v>
      </c>
      <c r="C214" s="417">
        <v>2.42510175E8</v>
      </c>
      <c r="D214" s="417" t="s">
        <v>1828</v>
      </c>
      <c r="E214" s="417" t="s">
        <v>3099</v>
      </c>
    </row>
    <row r="215">
      <c r="A215" s="417">
        <v>16.0</v>
      </c>
      <c r="B215" s="417" t="s">
        <v>1884</v>
      </c>
      <c r="D215" s="417" t="s">
        <v>2039</v>
      </c>
      <c r="E215" s="417" t="s">
        <v>3100</v>
      </c>
    </row>
    <row r="216">
      <c r="A216" s="417">
        <v>16.0</v>
      </c>
      <c r="B216" s="417" t="s">
        <v>2292</v>
      </c>
      <c r="D216" s="417" t="s">
        <v>2113</v>
      </c>
      <c r="E216" s="417" t="s">
        <v>3099</v>
      </c>
    </row>
    <row r="217">
      <c r="A217" s="417">
        <v>18.0</v>
      </c>
      <c r="B217" s="417" t="s">
        <v>2370</v>
      </c>
      <c r="D217" s="417" t="s">
        <v>1829</v>
      </c>
      <c r="E217" s="417" t="s">
        <v>3100</v>
      </c>
    </row>
    <row r="218">
      <c r="A218" s="417">
        <v>8.0</v>
      </c>
      <c r="B218" s="417">
        <v>9.4722345E7</v>
      </c>
      <c r="C218" s="417">
        <v>2.4251018E8</v>
      </c>
      <c r="D218" s="417" t="s">
        <v>2115</v>
      </c>
      <c r="E218" s="417" t="s">
        <v>3099</v>
      </c>
    </row>
    <row r="219">
      <c r="A219" s="417">
        <v>13.0</v>
      </c>
      <c r="B219" s="417">
        <v>8.2185766E7</v>
      </c>
      <c r="C219" s="417">
        <v>2.42510181E8</v>
      </c>
      <c r="D219" s="417" t="s">
        <v>2451</v>
      </c>
      <c r="E219" s="417" t="s">
        <v>3100</v>
      </c>
    </row>
    <row r="220">
      <c r="A220" s="417">
        <v>16.0</v>
      </c>
      <c r="B220" s="417" t="s">
        <v>2032</v>
      </c>
      <c r="D220" s="417" t="s">
        <v>1955</v>
      </c>
      <c r="E220" s="417" t="s">
        <v>3100</v>
      </c>
    </row>
    <row r="221">
      <c r="A221" s="417">
        <v>15.0</v>
      </c>
      <c r="B221" s="417">
        <v>9.9940887E7</v>
      </c>
      <c r="C221" s="417">
        <v>2.42510183E8</v>
      </c>
      <c r="D221" s="417" t="s">
        <v>1957</v>
      </c>
      <c r="E221" s="417" t="s">
        <v>3100</v>
      </c>
    </row>
    <row r="222">
      <c r="A222" s="417">
        <v>9.0</v>
      </c>
      <c r="B222" s="417">
        <v>9.7193046E7</v>
      </c>
      <c r="C222" s="417">
        <v>2.42510184E8</v>
      </c>
      <c r="D222" s="417" t="s">
        <v>1830</v>
      </c>
      <c r="E222" s="417" t="s">
        <v>3100</v>
      </c>
    </row>
    <row r="223">
      <c r="A223" s="417">
        <v>17.0</v>
      </c>
      <c r="B223" s="417" t="s">
        <v>1886</v>
      </c>
      <c r="D223" s="417" t="s">
        <v>2453</v>
      </c>
      <c r="E223" s="417" t="s">
        <v>3100</v>
      </c>
    </row>
    <row r="224">
      <c r="A224" s="417">
        <v>17.0</v>
      </c>
      <c r="B224" s="417" t="s">
        <v>2034</v>
      </c>
      <c r="D224" s="417" t="s">
        <v>2297</v>
      </c>
      <c r="E224" s="417" t="s">
        <v>3100</v>
      </c>
    </row>
    <row r="225">
      <c r="A225" s="417">
        <v>10.0</v>
      </c>
      <c r="B225" s="417">
        <v>9.350538E7</v>
      </c>
      <c r="C225" s="417">
        <v>2.42510187E8</v>
      </c>
      <c r="D225" s="417" t="s">
        <v>2238</v>
      </c>
      <c r="E225" s="417" t="s">
        <v>3100</v>
      </c>
    </row>
    <row r="226">
      <c r="A226" s="417">
        <v>16.0</v>
      </c>
      <c r="B226" s="417">
        <v>9.6213576E7</v>
      </c>
      <c r="C226" s="417">
        <v>2.42510188E8</v>
      </c>
      <c r="D226" s="417" t="s">
        <v>2041</v>
      </c>
      <c r="E226" s="417" t="s">
        <v>3100</v>
      </c>
    </row>
    <row r="227">
      <c r="A227" s="417">
        <v>17.0</v>
      </c>
      <c r="B227" s="417">
        <v>9.1012038E7</v>
      </c>
      <c r="C227" s="417">
        <v>2.42510189E8</v>
      </c>
      <c r="D227" s="417" t="s">
        <v>1793</v>
      </c>
      <c r="E227" s="417" t="s">
        <v>3100</v>
      </c>
    </row>
    <row r="228">
      <c r="A228" s="417">
        <v>20.0</v>
      </c>
      <c r="B228" s="417" t="s">
        <v>2188</v>
      </c>
      <c r="D228" s="417" t="s">
        <v>2455</v>
      </c>
      <c r="E228" s="417" t="s">
        <v>3100</v>
      </c>
    </row>
    <row r="229">
      <c r="A229" s="417">
        <v>19.0</v>
      </c>
      <c r="B229" s="417" t="s">
        <v>2372</v>
      </c>
      <c r="D229" s="417" t="s">
        <v>2457</v>
      </c>
      <c r="E229" s="417" t="s">
        <v>3100</v>
      </c>
    </row>
    <row r="230">
      <c r="A230" s="417">
        <v>18.0</v>
      </c>
      <c r="B230" s="417" t="s">
        <v>1888</v>
      </c>
      <c r="D230" s="417" t="s">
        <v>1831</v>
      </c>
      <c r="E230" s="417" t="s">
        <v>3100</v>
      </c>
    </row>
    <row r="231">
      <c r="A231" s="417">
        <v>20.0</v>
      </c>
      <c r="B231" s="417" t="s">
        <v>2374</v>
      </c>
      <c r="D231" s="417" t="s">
        <v>1832</v>
      </c>
      <c r="E231" s="417" t="s">
        <v>3100</v>
      </c>
    </row>
    <row r="232">
      <c r="A232" s="417">
        <v>11.0</v>
      </c>
      <c r="B232" s="417">
        <v>8.4361496E7</v>
      </c>
      <c r="C232" s="417">
        <v>2.42510193E8</v>
      </c>
      <c r="D232" s="417" t="s">
        <v>1833</v>
      </c>
      <c r="E232" s="417" t="s">
        <v>3100</v>
      </c>
    </row>
    <row r="233">
      <c r="A233" s="417">
        <v>21.0</v>
      </c>
      <c r="B233" s="417" t="s">
        <v>2376</v>
      </c>
      <c r="D233" s="417" t="s">
        <v>1834</v>
      </c>
      <c r="E233" s="417" t="s">
        <v>3099</v>
      </c>
    </row>
    <row r="234">
      <c r="A234" s="417">
        <v>19.0</v>
      </c>
      <c r="B234" s="417" t="s">
        <v>2446</v>
      </c>
      <c r="D234" s="417" t="s">
        <v>2239</v>
      </c>
      <c r="E234" s="417" t="s">
        <v>3100</v>
      </c>
    </row>
    <row r="235">
      <c r="A235" s="417">
        <v>21.0</v>
      </c>
      <c r="B235" s="417" t="s">
        <v>2190</v>
      </c>
      <c r="D235" s="417" t="s">
        <v>2240</v>
      </c>
      <c r="E235" s="417" t="s">
        <v>3100</v>
      </c>
    </row>
    <row r="236">
      <c r="A236" s="417">
        <v>12.0</v>
      </c>
      <c r="B236" s="417">
        <v>9.3778675E7</v>
      </c>
      <c r="C236" s="417">
        <v>2.42510197E8</v>
      </c>
      <c r="D236" s="417" t="s">
        <v>2459</v>
      </c>
      <c r="E236" s="417" t="s">
        <v>3100</v>
      </c>
    </row>
    <row r="237">
      <c r="A237" s="417">
        <v>22.0</v>
      </c>
      <c r="B237" s="417" t="s">
        <v>2378</v>
      </c>
      <c r="D237" s="417" t="s">
        <v>2381</v>
      </c>
      <c r="E237" s="417" t="s">
        <v>3100</v>
      </c>
    </row>
    <row r="238">
      <c r="A238" s="417">
        <v>19.0</v>
      </c>
      <c r="B238" s="417" t="s">
        <v>1890</v>
      </c>
      <c r="D238" s="417" t="s">
        <v>1794</v>
      </c>
      <c r="E238" s="417" t="s">
        <v>3100</v>
      </c>
    </row>
    <row r="239">
      <c r="A239" s="417">
        <v>11.0</v>
      </c>
      <c r="B239" s="417" t="s">
        <v>1948</v>
      </c>
      <c r="D239" s="417" t="s">
        <v>1895</v>
      </c>
      <c r="E239" s="417" t="s">
        <v>3100</v>
      </c>
    </row>
    <row r="240">
      <c r="A240" s="417">
        <v>18.0</v>
      </c>
      <c r="B240" s="417">
        <v>9.7202517E7</v>
      </c>
      <c r="C240" s="417">
        <v>2.42510201E8</v>
      </c>
      <c r="D240" s="417" t="s">
        <v>2241</v>
      </c>
      <c r="E240" s="417" t="s">
        <v>3100</v>
      </c>
    </row>
    <row r="241">
      <c r="A241" s="417">
        <v>17.0</v>
      </c>
      <c r="B241" s="417" t="s">
        <v>2108</v>
      </c>
      <c r="D241" s="417" t="s">
        <v>1897</v>
      </c>
      <c r="E241" s="417" t="s">
        <v>3100</v>
      </c>
    </row>
    <row r="242">
      <c r="A242" s="417">
        <v>12.0</v>
      </c>
      <c r="B242" s="417" t="s">
        <v>1950</v>
      </c>
      <c r="D242" s="417" t="s">
        <v>2383</v>
      </c>
      <c r="E242" s="417" t="s">
        <v>3100</v>
      </c>
    </row>
    <row r="243">
      <c r="A243" s="417">
        <v>20.0</v>
      </c>
      <c r="B243" s="417" t="s">
        <v>2448</v>
      </c>
      <c r="D243" s="417" t="s">
        <v>2242</v>
      </c>
      <c r="E243" s="417" t="s">
        <v>3100</v>
      </c>
    </row>
    <row r="244">
      <c r="A244" s="417">
        <v>18.0</v>
      </c>
      <c r="B244" s="417" t="s">
        <v>2110</v>
      </c>
      <c r="D244" s="417" t="s">
        <v>2193</v>
      </c>
      <c r="E244" s="417" t="s">
        <v>3100</v>
      </c>
    </row>
    <row r="245">
      <c r="A245" s="417">
        <v>18.0</v>
      </c>
      <c r="B245" s="417" t="s">
        <v>2036</v>
      </c>
      <c r="D245" s="417" t="s">
        <v>1835</v>
      </c>
      <c r="E245" s="417" t="s">
        <v>3100</v>
      </c>
    </row>
    <row r="246">
      <c r="A246" s="417">
        <v>19.0</v>
      </c>
      <c r="B246" s="417">
        <v>9.8256549E7</v>
      </c>
      <c r="C246" s="417">
        <v>2.42510206E8</v>
      </c>
      <c r="D246" s="417" t="s">
        <v>2461</v>
      </c>
      <c r="E246" s="417" t="s">
        <v>3100</v>
      </c>
    </row>
    <row r="247">
      <c r="A247" s="417">
        <v>20.0</v>
      </c>
      <c r="B247" s="417" t="s">
        <v>1892</v>
      </c>
      <c r="D247" s="417" t="s">
        <v>2195</v>
      </c>
      <c r="E247" s="417" t="s">
        <v>3099</v>
      </c>
    </row>
    <row r="248">
      <c r="A248" s="417">
        <v>20.0</v>
      </c>
      <c r="B248" s="417">
        <v>9.3623036E7</v>
      </c>
      <c r="C248" s="417">
        <v>2.42510208E8</v>
      </c>
      <c r="D248" s="417" t="s">
        <v>2463</v>
      </c>
      <c r="E248" s="417" t="s">
        <v>3100</v>
      </c>
    </row>
    <row r="249">
      <c r="A249" s="417">
        <v>21.0</v>
      </c>
      <c r="B249" s="417">
        <v>8.3667654E7</v>
      </c>
      <c r="C249" s="417">
        <v>2.42510209E8</v>
      </c>
      <c r="D249" s="417" t="s">
        <v>2043</v>
      </c>
      <c r="E249" s="417" t="s">
        <v>3100</v>
      </c>
    </row>
    <row r="250">
      <c r="A250" s="417">
        <v>17.0</v>
      </c>
      <c r="B250" s="417" t="s">
        <v>2294</v>
      </c>
      <c r="D250" s="417" t="s">
        <v>2465</v>
      </c>
      <c r="E250" s="417" t="s">
        <v>3099</v>
      </c>
    </row>
    <row r="251">
      <c r="A251" s="417">
        <v>14.0</v>
      </c>
      <c r="B251" s="417">
        <v>8.7551275E7</v>
      </c>
      <c r="C251" s="417">
        <v>2.42510211E8</v>
      </c>
      <c r="D251" s="417" t="s">
        <v>2299</v>
      </c>
      <c r="E251" s="417" t="s">
        <v>3099</v>
      </c>
    </row>
    <row r="252">
      <c r="A252" s="417">
        <v>13.0</v>
      </c>
      <c r="B252" s="417" t="s">
        <v>1952</v>
      </c>
      <c r="D252" s="417" t="s">
        <v>1959</v>
      </c>
      <c r="E252" s="417" t="s">
        <v>3100</v>
      </c>
    </row>
    <row r="253">
      <c r="A253" s="417">
        <v>13.0</v>
      </c>
      <c r="B253" s="417">
        <v>9.4698679E7</v>
      </c>
      <c r="C253" s="417">
        <v>2.42510213E8</v>
      </c>
      <c r="D253" s="417" t="s">
        <v>2243</v>
      </c>
      <c r="E253" s="417" t="s">
        <v>3100</v>
      </c>
    </row>
    <row r="254">
      <c r="A254" s="417">
        <v>19.0</v>
      </c>
      <c r="B254" s="417" t="s">
        <v>2038</v>
      </c>
      <c r="D254" s="417" t="s">
        <v>2197</v>
      </c>
      <c r="E254" s="417" t="s">
        <v>3099</v>
      </c>
    </row>
    <row r="255">
      <c r="A255" s="417">
        <v>19.0</v>
      </c>
      <c r="B255" s="417" t="s">
        <v>2112</v>
      </c>
      <c r="D255" s="417" t="s">
        <v>1899</v>
      </c>
      <c r="E255" s="417" t="s">
        <v>3099</v>
      </c>
    </row>
    <row r="256">
      <c r="A256" s="417">
        <v>14.0</v>
      </c>
      <c r="B256" s="417">
        <v>3.095285309E9</v>
      </c>
      <c r="C256" s="417">
        <v>2.42510216E8</v>
      </c>
      <c r="D256" s="417" t="s">
        <v>2199</v>
      </c>
      <c r="E256" s="417" t="s">
        <v>3100</v>
      </c>
    </row>
    <row r="257">
      <c r="A257" s="417">
        <v>20.0</v>
      </c>
      <c r="B257" s="417" t="s">
        <v>2114</v>
      </c>
      <c r="D257" s="417" t="s">
        <v>2117</v>
      </c>
      <c r="E257" s="417" t="s">
        <v>3099</v>
      </c>
    </row>
    <row r="258">
      <c r="A258" s="417">
        <v>21.0</v>
      </c>
      <c r="B258" s="417" t="s">
        <v>2450</v>
      </c>
      <c r="D258" s="417" t="s">
        <v>1760</v>
      </c>
      <c r="E258" s="417" t="s">
        <v>3099</v>
      </c>
    </row>
    <row r="259">
      <c r="A259" s="417">
        <v>14.0</v>
      </c>
      <c r="B259" s="417" t="s">
        <v>1954</v>
      </c>
      <c r="D259" s="417" t="s">
        <v>2385</v>
      </c>
      <c r="E259" s="417" t="s">
        <v>3100</v>
      </c>
    </row>
    <row r="260">
      <c r="A260" s="417">
        <v>15.0</v>
      </c>
      <c r="B260" s="417" t="s">
        <v>1956</v>
      </c>
      <c r="D260" s="417" t="s">
        <v>2244</v>
      </c>
      <c r="E260" s="417" t="s">
        <v>3100</v>
      </c>
    </row>
    <row r="261">
      <c r="A261" s="417">
        <v>15.0</v>
      </c>
      <c r="B261" s="417">
        <v>8.1476668E7</v>
      </c>
      <c r="C261" s="417">
        <v>2.42510222E8</v>
      </c>
      <c r="D261" s="417" t="s">
        <v>2245</v>
      </c>
      <c r="E261" s="417" t="s">
        <v>3100</v>
      </c>
    </row>
    <row r="262">
      <c r="A262" s="417">
        <v>22.0</v>
      </c>
      <c r="B262" s="417" t="s">
        <v>2452</v>
      </c>
      <c r="D262" s="417" t="s">
        <v>1795</v>
      </c>
      <c r="E262" s="417" t="s">
        <v>3100</v>
      </c>
    </row>
    <row r="263">
      <c r="A263" s="417">
        <v>18.0</v>
      </c>
      <c r="B263" s="417" t="s">
        <v>2296</v>
      </c>
      <c r="D263" s="417" t="s">
        <v>2246</v>
      </c>
      <c r="E263" s="417" t="s">
        <v>3099</v>
      </c>
    </row>
    <row r="264">
      <c r="A264" s="417">
        <v>15.0</v>
      </c>
      <c r="B264" s="417">
        <v>9.3479168E7</v>
      </c>
      <c r="C264" s="417">
        <v>2.42510225E8</v>
      </c>
      <c r="D264" s="417" t="s">
        <v>2301</v>
      </c>
      <c r="E264" s="417" t="s">
        <v>3100</v>
      </c>
    </row>
    <row r="265">
      <c r="A265" s="417">
        <v>20.0</v>
      </c>
      <c r="B265" s="417" t="s">
        <v>2040</v>
      </c>
      <c r="D265" s="417" t="s">
        <v>2303</v>
      </c>
      <c r="E265" s="417" t="s">
        <v>3099</v>
      </c>
    </row>
    <row r="266">
      <c r="A266" s="417">
        <v>17.0</v>
      </c>
      <c r="B266" s="417">
        <v>9.4260903E7</v>
      </c>
      <c r="C266" s="417">
        <v>2.42510227E8</v>
      </c>
      <c r="D266" s="417" t="s">
        <v>2247</v>
      </c>
      <c r="E266" s="417" t="s">
        <v>3100</v>
      </c>
    </row>
    <row r="267">
      <c r="A267" s="417">
        <v>23.0</v>
      </c>
      <c r="B267" s="417" t="s">
        <v>2454</v>
      </c>
      <c r="D267" s="417" t="s">
        <v>2248</v>
      </c>
      <c r="E267" s="417" t="s">
        <v>3100</v>
      </c>
    </row>
    <row r="268">
      <c r="A268" s="417">
        <v>24.0</v>
      </c>
      <c r="B268" s="417" t="s">
        <v>2456</v>
      </c>
      <c r="D268" s="417" t="s">
        <v>2467</v>
      </c>
      <c r="E268" s="417" t="s">
        <v>3100</v>
      </c>
    </row>
    <row r="269">
      <c r="A269" s="417">
        <v>16.0</v>
      </c>
      <c r="B269" s="417">
        <v>9.8908539E7</v>
      </c>
      <c r="C269" s="417">
        <v>2.4251023E8</v>
      </c>
      <c r="D269" s="417" t="s">
        <v>2045</v>
      </c>
      <c r="E269" s="417" t="s">
        <v>3100</v>
      </c>
    </row>
    <row r="270">
      <c r="A270" s="417">
        <v>17.0</v>
      </c>
      <c r="B270" s="417">
        <v>3.095174589E9</v>
      </c>
      <c r="C270" s="417">
        <v>2.42510231E8</v>
      </c>
      <c r="D270" s="417" t="s">
        <v>2119</v>
      </c>
      <c r="E270" s="417" t="s">
        <v>3100</v>
      </c>
    </row>
    <row r="271">
      <c r="A271" s="417">
        <v>18.0</v>
      </c>
      <c r="B271" s="417">
        <v>9.9030651E7</v>
      </c>
      <c r="C271" s="417">
        <v>2.42510232E8</v>
      </c>
      <c r="D271" s="417" t="s">
        <v>1961</v>
      </c>
      <c r="E271" s="417" t="s">
        <v>3100</v>
      </c>
    </row>
    <row r="272">
      <c r="A272" s="417">
        <v>19.0</v>
      </c>
      <c r="B272" s="417">
        <v>9.8437864E7</v>
      </c>
      <c r="C272" s="417">
        <v>2.42510233E8</v>
      </c>
      <c r="D272" s="417" t="s">
        <v>1963</v>
      </c>
      <c r="E272" s="417" t="s">
        <v>3100</v>
      </c>
    </row>
    <row r="273">
      <c r="A273" s="417">
        <v>16.0</v>
      </c>
      <c r="B273" s="417">
        <v>9.2786372E7</v>
      </c>
      <c r="C273" s="417">
        <v>2.42510234E8</v>
      </c>
      <c r="D273" s="417" t="s">
        <v>2201</v>
      </c>
      <c r="E273" s="417" t="s">
        <v>3099</v>
      </c>
    </row>
    <row r="274">
      <c r="A274" s="417">
        <v>17.0</v>
      </c>
      <c r="B274" s="417">
        <v>9.1530728E7</v>
      </c>
      <c r="C274" s="417">
        <v>2.42510235E8</v>
      </c>
      <c r="D274" s="417" t="s">
        <v>1796</v>
      </c>
      <c r="E274" s="417" t="s">
        <v>3099</v>
      </c>
    </row>
    <row r="275">
      <c r="A275" s="417">
        <v>25.0</v>
      </c>
      <c r="B275" s="417" t="s">
        <v>2458</v>
      </c>
      <c r="D275" s="417" t="s">
        <v>2249</v>
      </c>
      <c r="E275" s="417" t="s">
        <v>3099</v>
      </c>
    </row>
    <row r="276">
      <c r="A276" s="417">
        <v>23.0</v>
      </c>
      <c r="B276" s="417" t="s">
        <v>2380</v>
      </c>
      <c r="D276" s="417" t="s">
        <v>2469</v>
      </c>
      <c r="E276" s="417" t="s">
        <v>3099</v>
      </c>
    </row>
    <row r="277">
      <c r="A277" s="417">
        <v>18.0</v>
      </c>
      <c r="B277" s="417">
        <v>8.9204896E7</v>
      </c>
      <c r="C277" s="417">
        <v>2.42510238E8</v>
      </c>
      <c r="D277" s="417" t="s">
        <v>2121</v>
      </c>
      <c r="E277" s="417" t="s">
        <v>3099</v>
      </c>
    </row>
    <row r="278">
      <c r="A278" s="417">
        <v>21.0</v>
      </c>
      <c r="B278" s="417" t="s">
        <v>1894</v>
      </c>
      <c r="D278" s="417" t="s">
        <v>1836</v>
      </c>
      <c r="E278" s="417" t="s">
        <v>3099</v>
      </c>
    </row>
    <row r="279">
      <c r="A279" s="417">
        <v>18.0</v>
      </c>
      <c r="B279" s="417">
        <v>8.5378932E7</v>
      </c>
      <c r="C279" s="417">
        <v>2.4251024E8</v>
      </c>
      <c r="D279" s="417" t="s">
        <v>2305</v>
      </c>
      <c r="E279" s="417" t="s">
        <v>3099</v>
      </c>
    </row>
    <row r="280">
      <c r="A280" s="417">
        <v>22.0</v>
      </c>
      <c r="B280" s="417" t="s">
        <v>1896</v>
      </c>
      <c r="D280" s="417" t="s">
        <v>2203</v>
      </c>
      <c r="E280" s="417" t="s">
        <v>3099</v>
      </c>
    </row>
    <row r="281">
      <c r="A281" s="417">
        <v>24.0</v>
      </c>
      <c r="B281" s="417" t="s">
        <v>2382</v>
      </c>
      <c r="D281" s="417" t="s">
        <v>1761</v>
      </c>
      <c r="E281" s="417" t="s">
        <v>3099</v>
      </c>
    </row>
    <row r="282">
      <c r="A282" s="417">
        <v>19.0</v>
      </c>
      <c r="B282" s="417">
        <v>8.6404055E7</v>
      </c>
      <c r="C282" s="417">
        <v>2.42510242E8</v>
      </c>
      <c r="D282" s="417" t="s">
        <v>1901</v>
      </c>
      <c r="E282" s="417" t="s">
        <v>3099</v>
      </c>
    </row>
    <row r="283">
      <c r="A283" s="417">
        <v>22.0</v>
      </c>
      <c r="B283" s="417" t="s">
        <v>2192</v>
      </c>
      <c r="D283" s="417" t="s">
        <v>1797</v>
      </c>
      <c r="E283" s="417" t="s">
        <v>3099</v>
      </c>
    </row>
    <row r="284">
      <c r="A284" s="417">
        <v>20.0</v>
      </c>
      <c r="B284" s="417">
        <v>8.8976294E7</v>
      </c>
      <c r="C284" s="417">
        <v>2.42510244E8</v>
      </c>
      <c r="D284" s="417" t="s">
        <v>1965</v>
      </c>
      <c r="E284" s="417" t="s">
        <v>3099</v>
      </c>
    </row>
    <row r="285">
      <c r="A285" s="417">
        <v>26.0</v>
      </c>
      <c r="B285" s="417" t="s">
        <v>2460</v>
      </c>
      <c r="D285" s="417" t="s">
        <v>2123</v>
      </c>
      <c r="E285" s="417" t="s">
        <v>3099</v>
      </c>
    </row>
    <row r="286">
      <c r="A286" s="417">
        <v>23.0</v>
      </c>
      <c r="B286" s="417" t="s">
        <v>2194</v>
      </c>
      <c r="D286" s="417" t="s">
        <v>1837</v>
      </c>
      <c r="E286" s="417" t="s">
        <v>3099</v>
      </c>
    </row>
    <row r="287">
      <c r="A287" s="417">
        <v>27.0</v>
      </c>
      <c r="B287" s="417" t="s">
        <v>2462</v>
      </c>
      <c r="D287" s="417" t="s">
        <v>2047</v>
      </c>
      <c r="E287" s="417" t="s">
        <v>3099</v>
      </c>
    </row>
    <row r="288">
      <c r="A288" s="417">
        <v>21.0</v>
      </c>
      <c r="B288" s="417" t="s">
        <v>2042</v>
      </c>
      <c r="D288" s="417" t="s">
        <v>2205</v>
      </c>
      <c r="E288" s="417" t="s">
        <v>3099</v>
      </c>
    </row>
    <row r="289">
      <c r="A289" s="417">
        <v>28.0</v>
      </c>
      <c r="B289" s="417" t="s">
        <v>2464</v>
      </c>
      <c r="D289" s="417" t="s">
        <v>1967</v>
      </c>
      <c r="E289" s="417" t="s">
        <v>3099</v>
      </c>
    </row>
    <row r="290">
      <c r="A290" s="417">
        <v>19.0</v>
      </c>
      <c r="B290" s="417" t="s">
        <v>2298</v>
      </c>
      <c r="D290" s="417" t="s">
        <v>2387</v>
      </c>
      <c r="E290" s="417" t="s">
        <v>3099</v>
      </c>
    </row>
    <row r="291">
      <c r="A291" s="417">
        <v>16.0</v>
      </c>
      <c r="B291" s="417" t="s">
        <v>1958</v>
      </c>
      <c r="D291" s="417" t="s">
        <v>1762</v>
      </c>
      <c r="E291" s="417" t="s">
        <v>3099</v>
      </c>
    </row>
    <row r="292">
      <c r="A292" s="417">
        <v>20.0</v>
      </c>
      <c r="B292" s="417">
        <v>8.6360763E7</v>
      </c>
      <c r="C292" s="417">
        <v>2.42510252E8</v>
      </c>
      <c r="D292" s="417" t="s">
        <v>1969</v>
      </c>
      <c r="E292" s="417" t="s">
        <v>3099</v>
      </c>
    </row>
    <row r="293">
      <c r="A293" s="417">
        <v>24.0</v>
      </c>
      <c r="B293" s="417" t="s">
        <v>2196</v>
      </c>
      <c r="D293" s="417" t="s">
        <v>2307</v>
      </c>
      <c r="E293" s="417" t="s">
        <v>3099</v>
      </c>
    </row>
    <row r="294">
      <c r="A294" s="417">
        <v>23.0</v>
      </c>
      <c r="B294" s="417" t="s">
        <v>1898</v>
      </c>
      <c r="D294" s="417" t="s">
        <v>2309</v>
      </c>
      <c r="E294" s="417" t="s">
        <v>3099</v>
      </c>
    </row>
    <row r="295">
      <c r="A295" s="417">
        <v>25.0</v>
      </c>
      <c r="B295" s="417" t="s">
        <v>2198</v>
      </c>
      <c r="D295" s="417" t="s">
        <v>2049</v>
      </c>
      <c r="E295" s="417" t="s">
        <v>3099</v>
      </c>
    </row>
    <row r="296">
      <c r="A296" s="417">
        <v>21.0</v>
      </c>
      <c r="B296" s="417" t="s">
        <v>2116</v>
      </c>
      <c r="D296" s="417" t="s">
        <v>2207</v>
      </c>
      <c r="E296" s="417" t="s">
        <v>3099</v>
      </c>
    </row>
    <row r="297">
      <c r="A297" s="417">
        <v>22.0</v>
      </c>
      <c r="B297" s="417">
        <v>3.083447726E9</v>
      </c>
      <c r="C297" s="417">
        <v>2.42510257E8</v>
      </c>
      <c r="D297" s="417" t="s">
        <v>1838</v>
      </c>
      <c r="E297" s="417" t="s">
        <v>3099</v>
      </c>
    </row>
    <row r="298">
      <c r="A298" s="417">
        <v>25.0</v>
      </c>
      <c r="B298" s="417" t="s">
        <v>2384</v>
      </c>
      <c r="D298" s="417" t="s">
        <v>1839</v>
      </c>
      <c r="E298" s="417" t="s">
        <v>3099</v>
      </c>
    </row>
    <row r="299">
      <c r="A299" s="417">
        <v>21.0</v>
      </c>
      <c r="B299" s="417">
        <v>8.8924007E7</v>
      </c>
      <c r="C299" s="417">
        <v>2.42510259E8</v>
      </c>
      <c r="D299" s="417" t="s">
        <v>1971</v>
      </c>
      <c r="E299" s="417" t="s">
        <v>3099</v>
      </c>
    </row>
    <row r="300">
      <c r="A300" s="417">
        <v>22.0</v>
      </c>
      <c r="B300" s="417">
        <v>9.1944011E7</v>
      </c>
      <c r="C300" s="417">
        <v>2.4251026E8</v>
      </c>
      <c r="D300" s="417" t="s">
        <v>2250</v>
      </c>
      <c r="E300" s="417" t="s">
        <v>3099</v>
      </c>
    </row>
    <row r="301">
      <c r="A301" s="417">
        <v>19.0</v>
      </c>
      <c r="B301" s="417">
        <v>9.144739E7</v>
      </c>
      <c r="C301" s="417">
        <v>2.42510261E8</v>
      </c>
      <c r="D301" s="417" t="s">
        <v>1903</v>
      </c>
      <c r="E301" s="417" t="s">
        <v>3099</v>
      </c>
    </row>
    <row r="302">
      <c r="A302" s="417">
        <v>23.0</v>
      </c>
      <c r="B302" s="417">
        <v>9.459647E7</v>
      </c>
      <c r="C302" s="417">
        <v>2.42510262E8</v>
      </c>
      <c r="D302" s="417" t="s">
        <v>2251</v>
      </c>
      <c r="E302" s="417" t="s">
        <v>3099</v>
      </c>
    </row>
    <row r="303">
      <c r="A303" s="417">
        <v>20.0</v>
      </c>
      <c r="B303" s="417" t="s">
        <v>2300</v>
      </c>
      <c r="D303" s="417" t="s">
        <v>1973</v>
      </c>
      <c r="E303" s="417" t="s">
        <v>3099</v>
      </c>
    </row>
    <row r="304">
      <c r="A304" s="417">
        <v>21.0</v>
      </c>
      <c r="B304" s="417" t="s">
        <v>2302</v>
      </c>
      <c r="D304" s="417" t="s">
        <v>1798</v>
      </c>
      <c r="E304" s="417" t="s">
        <v>3099</v>
      </c>
    </row>
    <row r="305">
      <c r="A305" s="417">
        <v>24.0</v>
      </c>
      <c r="B305" s="417">
        <v>9.2404318E7</v>
      </c>
      <c r="C305" s="417">
        <v>2.42510265E8</v>
      </c>
      <c r="D305" s="417" t="s">
        <v>2125</v>
      </c>
      <c r="E305" s="417" t="s">
        <v>3099</v>
      </c>
    </row>
    <row r="306">
      <c r="A306" s="417">
        <v>25.0</v>
      </c>
      <c r="B306" s="417">
        <v>9.5059901E7</v>
      </c>
      <c r="C306" s="417">
        <v>2.42510266E8</v>
      </c>
      <c r="D306" s="417" t="s">
        <v>1799</v>
      </c>
      <c r="E306" s="417" t="s">
        <v>3099</v>
      </c>
    </row>
    <row r="307">
      <c r="A307" s="417">
        <v>29.0</v>
      </c>
      <c r="B307" s="417" t="s">
        <v>2466</v>
      </c>
      <c r="D307" s="417" t="s">
        <v>2471</v>
      </c>
      <c r="E307" s="417" t="s">
        <v>3099</v>
      </c>
    </row>
    <row r="308">
      <c r="A308" s="417">
        <v>22.0</v>
      </c>
      <c r="B308" s="417" t="s">
        <v>2044</v>
      </c>
      <c r="D308" s="417" t="s">
        <v>1800</v>
      </c>
      <c r="E308" s="417" t="s">
        <v>3099</v>
      </c>
    </row>
    <row r="309">
      <c r="A309" s="417">
        <v>22.0</v>
      </c>
      <c r="B309" s="417" t="s">
        <v>2118</v>
      </c>
      <c r="D309" s="417" t="s">
        <v>2209</v>
      </c>
      <c r="E309" s="417" t="s">
        <v>3099</v>
      </c>
    </row>
    <row r="310">
      <c r="A310" s="417">
        <v>17.0</v>
      </c>
      <c r="B310" s="417" t="s">
        <v>1960</v>
      </c>
      <c r="D310" s="417" t="s">
        <v>1801</v>
      </c>
      <c r="E310" s="417" t="s">
        <v>3099</v>
      </c>
    </row>
    <row r="311">
      <c r="A311" s="417">
        <v>18.0</v>
      </c>
      <c r="B311" s="417" t="s">
        <v>1962</v>
      </c>
      <c r="D311" s="417" t="s">
        <v>2389</v>
      </c>
      <c r="E311" s="417" t="s">
        <v>3099</v>
      </c>
    </row>
    <row r="312">
      <c r="A312" s="417">
        <v>26.0</v>
      </c>
      <c r="B312" s="417" t="s">
        <v>2200</v>
      </c>
      <c r="D312" s="417" t="s">
        <v>1905</v>
      </c>
      <c r="E312" s="417" t="s">
        <v>3099</v>
      </c>
    </row>
    <row r="313">
      <c r="A313" s="417">
        <v>20.0</v>
      </c>
      <c r="B313" s="417">
        <v>3.092211203E9</v>
      </c>
      <c r="C313" s="417">
        <v>2.42510274E8</v>
      </c>
      <c r="D313" s="417" t="s">
        <v>1840</v>
      </c>
      <c r="E313" s="417" t="s">
        <v>3099</v>
      </c>
    </row>
    <row r="314">
      <c r="A314" s="417">
        <v>26.0</v>
      </c>
      <c r="B314" s="417">
        <v>9.8122055E7</v>
      </c>
      <c r="C314" s="417">
        <v>2.42510275E8</v>
      </c>
      <c r="D314" s="417" t="s">
        <v>2391</v>
      </c>
      <c r="E314" s="417" t="s">
        <v>3099</v>
      </c>
    </row>
    <row r="315">
      <c r="A315" s="417">
        <v>31.0</v>
      </c>
      <c r="B315" s="417" t="s">
        <v>2468</v>
      </c>
      <c r="D315" s="417" t="s">
        <v>1975</v>
      </c>
      <c r="E315" s="417" t="s">
        <v>3099</v>
      </c>
    </row>
    <row r="316">
      <c r="A316" s="417">
        <v>23.0</v>
      </c>
      <c r="B316" s="417" t="s">
        <v>2120</v>
      </c>
      <c r="D316" s="417" t="s">
        <v>2473</v>
      </c>
      <c r="E316" s="417" t="s">
        <v>3099</v>
      </c>
    </row>
    <row r="317">
      <c r="A317" s="417">
        <v>21.0</v>
      </c>
      <c r="B317" s="417">
        <v>9.4412664E7</v>
      </c>
      <c r="C317" s="417">
        <v>2.42510278E8</v>
      </c>
      <c r="D317" s="417" t="s">
        <v>2051</v>
      </c>
      <c r="E317" s="417" t="s">
        <v>3099</v>
      </c>
    </row>
    <row r="318">
      <c r="A318" s="417">
        <v>22.0</v>
      </c>
      <c r="B318" s="417" t="s">
        <v>2304</v>
      </c>
      <c r="D318" s="417" t="s">
        <v>1977</v>
      </c>
      <c r="E318" s="417" t="s">
        <v>3099</v>
      </c>
    </row>
    <row r="319">
      <c r="A319" s="417">
        <v>27.0</v>
      </c>
      <c r="B319" s="417" t="s">
        <v>2202</v>
      </c>
      <c r="D319" s="417" t="s">
        <v>1979</v>
      </c>
      <c r="E319" s="417" t="s">
        <v>3099</v>
      </c>
    </row>
    <row r="320">
      <c r="A320" s="417">
        <v>23.0</v>
      </c>
      <c r="B320" s="417">
        <v>9.8849381E7</v>
      </c>
      <c r="C320" s="417">
        <v>2.42510281E8</v>
      </c>
      <c r="D320" s="417" t="s">
        <v>1981</v>
      </c>
      <c r="E320" s="417" t="s">
        <v>3099</v>
      </c>
    </row>
    <row r="321">
      <c r="A321" s="417">
        <v>24.0</v>
      </c>
      <c r="B321" s="417" t="s">
        <v>1900</v>
      </c>
      <c r="D321" s="417" t="s">
        <v>1907</v>
      </c>
      <c r="E321" s="417" t="s">
        <v>3100</v>
      </c>
    </row>
    <row r="322">
      <c r="A322" s="417">
        <v>21.0</v>
      </c>
      <c r="B322" s="417">
        <v>9.56578E7</v>
      </c>
      <c r="C322" s="417">
        <v>2.42510283E8</v>
      </c>
      <c r="D322" s="417" t="s">
        <v>2311</v>
      </c>
      <c r="E322" s="417" t="s">
        <v>3100</v>
      </c>
    </row>
    <row r="323">
      <c r="A323" s="417">
        <v>19.0</v>
      </c>
      <c r="B323" s="417" t="s">
        <v>1964</v>
      </c>
      <c r="D323" s="417" t="s">
        <v>1763</v>
      </c>
      <c r="E323" s="417" t="s">
        <v>3100</v>
      </c>
    </row>
    <row r="324">
      <c r="A324" s="417">
        <v>24.0</v>
      </c>
      <c r="B324" s="417" t="s">
        <v>2122</v>
      </c>
      <c r="D324" s="417" t="s">
        <v>1909</v>
      </c>
      <c r="E324" s="417" t="s">
        <v>3100</v>
      </c>
    </row>
    <row r="325">
      <c r="A325" s="417">
        <v>22.0</v>
      </c>
      <c r="B325" s="417">
        <v>9.1524851E7</v>
      </c>
      <c r="C325" s="417">
        <v>2.42510286E8</v>
      </c>
      <c r="D325" s="417" t="s">
        <v>1764</v>
      </c>
      <c r="E325" s="417" t="s">
        <v>3100</v>
      </c>
    </row>
    <row r="326">
      <c r="A326" s="417">
        <v>23.0</v>
      </c>
      <c r="B326" s="417" t="s">
        <v>2046</v>
      </c>
      <c r="D326" s="417" t="s">
        <v>2053</v>
      </c>
      <c r="E326" s="417" t="s">
        <v>3100</v>
      </c>
    </row>
    <row r="327">
      <c r="A327" s="417">
        <v>28.0</v>
      </c>
      <c r="B327" s="417" t="s">
        <v>2204</v>
      </c>
      <c r="D327" s="417" t="s">
        <v>2127</v>
      </c>
      <c r="E327" s="417" t="s">
        <v>3100</v>
      </c>
    </row>
    <row r="328">
      <c r="A328" s="417">
        <v>20.0</v>
      </c>
      <c r="B328" s="417" t="s">
        <v>1966</v>
      </c>
      <c r="D328" s="417" t="s">
        <v>1841</v>
      </c>
      <c r="E328" s="417" t="s">
        <v>3100</v>
      </c>
    </row>
    <row r="329">
      <c r="A329" s="417">
        <v>26.0</v>
      </c>
      <c r="B329" s="417" t="s">
        <v>2386</v>
      </c>
      <c r="D329" s="417" t="s">
        <v>1802</v>
      </c>
      <c r="E329" s="417" t="s">
        <v>3099</v>
      </c>
    </row>
    <row r="330">
      <c r="A330" s="417">
        <v>24.0</v>
      </c>
      <c r="B330" s="417">
        <v>9.7736512E7</v>
      </c>
      <c r="C330" s="417">
        <v>2.42510291E8</v>
      </c>
      <c r="D330" s="417" t="s">
        <v>2313</v>
      </c>
      <c r="E330" s="417" t="s">
        <v>3100</v>
      </c>
    </row>
    <row r="331">
      <c r="A331" s="417" t="s">
        <v>1735</v>
      </c>
      <c r="B331" s="417" t="s">
        <v>1736</v>
      </c>
      <c r="C331" s="417" t="s">
        <v>1737</v>
      </c>
      <c r="D331" s="417" t="s">
        <v>2393</v>
      </c>
      <c r="E331" s="417" t="s">
        <v>1815</v>
      </c>
      <c r="F331" s="417" t="s">
        <v>3097</v>
      </c>
    </row>
    <row r="332">
      <c r="A332" s="417" t="s">
        <v>1735</v>
      </c>
      <c r="B332" s="417" t="s">
        <v>1736</v>
      </c>
      <c r="C332" s="417" t="s">
        <v>1737</v>
      </c>
      <c r="D332" s="417" t="s">
        <v>2395</v>
      </c>
      <c r="E332" s="417" t="s">
        <v>1815</v>
      </c>
      <c r="F332" s="417" t="s">
        <v>3097</v>
      </c>
    </row>
    <row r="333">
      <c r="A333" s="417" t="s">
        <v>1735</v>
      </c>
      <c r="B333" s="417" t="s">
        <v>1736</v>
      </c>
      <c r="C333" s="417" t="s">
        <v>1737</v>
      </c>
      <c r="D333" s="417" t="s">
        <v>2252</v>
      </c>
      <c r="E333" s="417" t="s">
        <v>1815</v>
      </c>
      <c r="F333" s="417" t="s">
        <v>3097</v>
      </c>
    </row>
    <row r="334">
      <c r="A334" s="417" t="s">
        <v>1735</v>
      </c>
      <c r="B334" s="417" t="s">
        <v>1736</v>
      </c>
      <c r="C334" s="417" t="s">
        <v>1737</v>
      </c>
      <c r="D334" s="417" t="s">
        <v>2211</v>
      </c>
      <c r="E334" s="417" t="s">
        <v>1815</v>
      </c>
      <c r="F334" s="417" t="s">
        <v>3097</v>
      </c>
    </row>
    <row r="335">
      <c r="A335" s="417" t="s">
        <v>1735</v>
      </c>
      <c r="B335" s="417" t="s">
        <v>1736</v>
      </c>
      <c r="C335" s="417" t="s">
        <v>1737</v>
      </c>
      <c r="D335" s="417" t="s">
        <v>2129</v>
      </c>
      <c r="E335" s="417" t="s">
        <v>1815</v>
      </c>
      <c r="F335" s="417" t="s">
        <v>3097</v>
      </c>
    </row>
    <row r="336">
      <c r="A336" s="417" t="s">
        <v>1735</v>
      </c>
      <c r="B336" s="417" t="s">
        <v>1736</v>
      </c>
      <c r="C336" s="417" t="s">
        <v>1737</v>
      </c>
      <c r="D336" s="417" t="s">
        <v>1765</v>
      </c>
      <c r="E336" s="417" t="s">
        <v>1815</v>
      </c>
      <c r="F336" s="417" t="s">
        <v>3097</v>
      </c>
    </row>
    <row r="337">
      <c r="A337" s="417" t="s">
        <v>1735</v>
      </c>
      <c r="B337" s="417" t="s">
        <v>1736</v>
      </c>
      <c r="C337" s="417" t="s">
        <v>1737</v>
      </c>
      <c r="D337" s="417" t="s">
        <v>2253</v>
      </c>
      <c r="E337" s="417" t="s">
        <v>1815</v>
      </c>
      <c r="F337" s="417" t="s">
        <v>3097</v>
      </c>
    </row>
    <row r="338">
      <c r="A338" s="417" t="s">
        <v>1735</v>
      </c>
      <c r="B338" s="417" t="s">
        <v>1736</v>
      </c>
      <c r="C338" s="417" t="s">
        <v>1737</v>
      </c>
      <c r="D338" s="417" t="s">
        <v>1803</v>
      </c>
      <c r="E338" s="417" t="s">
        <v>1815</v>
      </c>
      <c r="F338" s="417" t="s">
        <v>3097</v>
      </c>
    </row>
    <row r="339">
      <c r="A339" s="417" t="s">
        <v>1735</v>
      </c>
      <c r="B339" s="417" t="s">
        <v>1736</v>
      </c>
      <c r="C339" s="417" t="s">
        <v>1737</v>
      </c>
      <c r="D339" s="417" t="s">
        <v>2397</v>
      </c>
      <c r="E339" s="417" t="s">
        <v>1815</v>
      </c>
      <c r="F339" s="417" t="s">
        <v>3097</v>
      </c>
    </row>
    <row r="340">
      <c r="A340" s="417" t="s">
        <v>1735</v>
      </c>
      <c r="B340" s="417" t="s">
        <v>1736</v>
      </c>
      <c r="C340" s="417" t="s">
        <v>1737</v>
      </c>
      <c r="D340" s="417" t="s">
        <v>2475</v>
      </c>
      <c r="E340" s="417" t="s">
        <v>1815</v>
      </c>
      <c r="F340" s="417" t="s">
        <v>3097</v>
      </c>
    </row>
    <row r="341">
      <c r="A341" s="417" t="s">
        <v>1735</v>
      </c>
      <c r="B341" s="417" t="s">
        <v>1736</v>
      </c>
      <c r="C341" s="417" t="s">
        <v>1737</v>
      </c>
      <c r="D341" s="417" t="s">
        <v>2055</v>
      </c>
      <c r="E341" s="417" t="s">
        <v>1815</v>
      </c>
      <c r="F341" s="417" t="s">
        <v>3097</v>
      </c>
    </row>
    <row r="342">
      <c r="A342" s="417" t="s">
        <v>1735</v>
      </c>
      <c r="B342" s="417" t="s">
        <v>1736</v>
      </c>
      <c r="C342" s="417" t="s">
        <v>1737</v>
      </c>
      <c r="D342" s="417" t="s">
        <v>1911</v>
      </c>
      <c r="E342" s="417" t="s">
        <v>1815</v>
      </c>
      <c r="F342" s="417" t="s">
        <v>3097</v>
      </c>
    </row>
    <row r="343">
      <c r="A343" s="417">
        <v>21.0</v>
      </c>
      <c r="B343" s="417" t="s">
        <v>1968</v>
      </c>
      <c r="D343" s="417" t="s">
        <v>2477</v>
      </c>
      <c r="E343" s="417" t="s">
        <v>3100</v>
      </c>
    </row>
    <row r="344">
      <c r="A344" s="417">
        <v>23.0</v>
      </c>
      <c r="B344" s="417" t="s">
        <v>2306</v>
      </c>
      <c r="D344" s="417" t="s">
        <v>1766</v>
      </c>
      <c r="E344" s="417" t="s">
        <v>3099</v>
      </c>
    </row>
    <row r="345">
      <c r="A345" s="417">
        <v>24.0</v>
      </c>
      <c r="B345" s="417" t="s">
        <v>2308</v>
      </c>
      <c r="D345" s="417" t="s">
        <v>1842</v>
      </c>
      <c r="E345" s="417" t="s">
        <v>3099</v>
      </c>
    </row>
    <row r="346">
      <c r="A346" s="417">
        <v>24.0</v>
      </c>
      <c r="B346" s="417" t="s">
        <v>2048</v>
      </c>
      <c r="D346" s="417" t="s">
        <v>2315</v>
      </c>
      <c r="E346" s="417" t="s">
        <v>3100</v>
      </c>
    </row>
    <row r="347">
      <c r="A347" s="417">
        <v>29.0</v>
      </c>
      <c r="B347" s="417" t="s">
        <v>2206</v>
      </c>
      <c r="D347" s="417" t="s">
        <v>1983</v>
      </c>
      <c r="E347" s="417" t="s">
        <v>3100</v>
      </c>
    </row>
    <row r="348">
      <c r="A348" s="417">
        <v>23.0</v>
      </c>
      <c r="B348" s="417">
        <v>3.099271994E9</v>
      </c>
      <c r="C348" s="417">
        <v>2.42510297E8</v>
      </c>
      <c r="D348" s="417" t="s">
        <v>1913</v>
      </c>
      <c r="E348" s="417" t="s">
        <v>3100</v>
      </c>
    </row>
    <row r="349">
      <c r="A349" s="417">
        <v>24.0</v>
      </c>
      <c r="B349" s="417">
        <v>8.3974334E7</v>
      </c>
      <c r="C349" s="417">
        <v>2.42510298E8</v>
      </c>
      <c r="D349" s="417" t="s">
        <v>2254</v>
      </c>
      <c r="E349" s="417" t="s">
        <v>3100</v>
      </c>
    </row>
    <row r="350">
      <c r="A350" s="417">
        <v>22.0</v>
      </c>
      <c r="B350" s="417" t="s">
        <v>1970</v>
      </c>
      <c r="D350" s="417" t="s">
        <v>1915</v>
      </c>
      <c r="E350" s="417" t="s">
        <v>3100</v>
      </c>
    </row>
    <row r="351">
      <c r="A351" s="417">
        <v>27.0</v>
      </c>
      <c r="B351" s="417">
        <v>8.6863385E7</v>
      </c>
      <c r="C351" s="417">
        <v>2.425103E8</v>
      </c>
      <c r="D351" s="417" t="s">
        <v>1917</v>
      </c>
      <c r="E351" s="417" t="s">
        <v>3100</v>
      </c>
    </row>
    <row r="352">
      <c r="A352" s="417">
        <v>25.0</v>
      </c>
      <c r="B352" s="417" t="s">
        <v>1902</v>
      </c>
      <c r="D352" s="417" t="s">
        <v>1843</v>
      </c>
      <c r="E352" s="417" t="s">
        <v>3100</v>
      </c>
    </row>
    <row r="353">
      <c r="A353" s="417">
        <v>28.0</v>
      </c>
      <c r="B353" s="417">
        <v>8.5675402E7</v>
      </c>
      <c r="C353" s="417">
        <v>2.42510302E8</v>
      </c>
      <c r="D353" s="417" t="s">
        <v>2057</v>
      </c>
      <c r="E353" s="417" t="s">
        <v>3100</v>
      </c>
    </row>
    <row r="354">
      <c r="A354" s="417">
        <v>23.0</v>
      </c>
      <c r="B354" s="417" t="s">
        <v>1972</v>
      </c>
      <c r="D354" s="417" t="s">
        <v>2255</v>
      </c>
      <c r="E354" s="417" t="s">
        <v>3100</v>
      </c>
    </row>
    <row r="355">
      <c r="A355" s="417">
        <v>22.0</v>
      </c>
      <c r="B355" s="417">
        <v>8.2650076E7</v>
      </c>
      <c r="C355" s="417">
        <v>2.42510304E8</v>
      </c>
      <c r="D355" s="417" t="s">
        <v>2213</v>
      </c>
      <c r="E355" s="417" t="s">
        <v>3100</v>
      </c>
    </row>
    <row r="356">
      <c r="A356" s="417">
        <v>25.0</v>
      </c>
      <c r="B356" s="417" t="s">
        <v>2124</v>
      </c>
      <c r="D356" s="417" t="s">
        <v>1804</v>
      </c>
      <c r="E356" s="417" t="s">
        <v>3100</v>
      </c>
    </row>
    <row r="357">
      <c r="A357" s="417">
        <v>23.0</v>
      </c>
      <c r="B357" s="417">
        <v>9.5420383E7</v>
      </c>
      <c r="C357" s="417">
        <v>2.42510306E8</v>
      </c>
      <c r="D357" s="417" t="s">
        <v>1805</v>
      </c>
      <c r="E357" s="417" t="s">
        <v>3100</v>
      </c>
    </row>
    <row r="358">
      <c r="A358" s="417">
        <v>32.0</v>
      </c>
      <c r="B358" s="417" t="s">
        <v>2470</v>
      </c>
      <c r="D358" s="417" t="s">
        <v>1985</v>
      </c>
      <c r="E358" s="417" t="s">
        <v>3100</v>
      </c>
    </row>
    <row r="359">
      <c r="A359" s="417">
        <v>24.0</v>
      </c>
      <c r="B359" s="417">
        <v>3.097669813E9</v>
      </c>
      <c r="C359" s="417">
        <v>2.42510308E8</v>
      </c>
      <c r="D359" s="417" t="s">
        <v>2317</v>
      </c>
      <c r="E359" s="417" t="s">
        <v>3100</v>
      </c>
    </row>
    <row r="360">
      <c r="A360" s="417">
        <v>30.0</v>
      </c>
      <c r="B360" s="417" t="s">
        <v>2208</v>
      </c>
      <c r="D360" s="417" t="s">
        <v>2059</v>
      </c>
      <c r="E360" s="417" t="s">
        <v>3100</v>
      </c>
    </row>
    <row r="361">
      <c r="A361" s="417">
        <v>25.0</v>
      </c>
      <c r="B361" s="417">
        <v>8.6704012E7</v>
      </c>
      <c r="C361" s="417">
        <v>2.4251031E8</v>
      </c>
      <c r="D361" s="417" t="s">
        <v>2061</v>
      </c>
      <c r="E361" s="417" t="s">
        <v>3100</v>
      </c>
    </row>
    <row r="362">
      <c r="A362" s="417">
        <v>27.0</v>
      </c>
      <c r="B362" s="417" t="s">
        <v>2388</v>
      </c>
      <c r="D362" s="417" t="s">
        <v>2256</v>
      </c>
      <c r="E362" s="417" t="s">
        <v>3100</v>
      </c>
    </row>
    <row r="363">
      <c r="A363" s="417">
        <v>26.0</v>
      </c>
      <c r="B363" s="417" t="s">
        <v>1904</v>
      </c>
      <c r="D363" s="417" t="s">
        <v>2319</v>
      </c>
      <c r="E363" s="417" t="s">
        <v>3100</v>
      </c>
    </row>
    <row r="364">
      <c r="A364" s="417">
        <v>25.0</v>
      </c>
      <c r="B364" s="417">
        <v>8.4584228E7</v>
      </c>
      <c r="C364" s="417">
        <v>2.42510313E8</v>
      </c>
      <c r="D364" s="417" t="s">
        <v>1919</v>
      </c>
      <c r="E364" s="417" t="s">
        <v>3100</v>
      </c>
    </row>
    <row r="365">
      <c r="A365" s="417">
        <v>28.0</v>
      </c>
      <c r="B365" s="417" t="s">
        <v>2390</v>
      </c>
      <c r="D365" s="417" t="s">
        <v>1987</v>
      </c>
      <c r="E365" s="417" t="s">
        <v>3099</v>
      </c>
    </row>
    <row r="366">
      <c r="A366" s="417">
        <v>24.0</v>
      </c>
      <c r="B366" s="417" t="s">
        <v>1974</v>
      </c>
      <c r="D366" s="417" t="s">
        <v>2479</v>
      </c>
      <c r="E366" s="417" t="s">
        <v>3100</v>
      </c>
    </row>
    <row r="367">
      <c r="A367" s="417">
        <v>33.0</v>
      </c>
      <c r="B367" s="417" t="s">
        <v>2472</v>
      </c>
      <c r="D367" s="417" t="s">
        <v>2131</v>
      </c>
      <c r="E367" s="417" t="s">
        <v>3100</v>
      </c>
    </row>
    <row r="368">
      <c r="A368" s="417">
        <v>25.0</v>
      </c>
      <c r="B368" s="417" t="s">
        <v>2050</v>
      </c>
      <c r="D368" s="417" t="s">
        <v>1806</v>
      </c>
      <c r="E368" s="417" t="s">
        <v>3100</v>
      </c>
    </row>
    <row r="369">
      <c r="A369" s="417">
        <v>25.0</v>
      </c>
      <c r="B369" s="417" t="s">
        <v>1976</v>
      </c>
      <c r="D369" s="417" t="s">
        <v>1989</v>
      </c>
      <c r="E369" s="417" t="s">
        <v>3100</v>
      </c>
    </row>
    <row r="370">
      <c r="A370" s="417">
        <v>26.0</v>
      </c>
      <c r="B370" s="417" t="s">
        <v>1978</v>
      </c>
      <c r="D370" s="417" t="s">
        <v>2063</v>
      </c>
      <c r="E370" s="417" t="s">
        <v>3100</v>
      </c>
    </row>
    <row r="371">
      <c r="A371" s="417">
        <v>27.0</v>
      </c>
      <c r="B371" s="417" t="s">
        <v>1980</v>
      </c>
      <c r="D371" s="417" t="s">
        <v>2065</v>
      </c>
      <c r="E371" s="417" t="s">
        <v>3100</v>
      </c>
    </row>
    <row r="372">
      <c r="A372" s="417">
        <v>27.0</v>
      </c>
      <c r="B372" s="417" t="s">
        <v>1906</v>
      </c>
      <c r="D372" s="417" t="s">
        <v>2133</v>
      </c>
      <c r="E372" s="417" t="s">
        <v>3100</v>
      </c>
    </row>
    <row r="373">
      <c r="A373" s="417">
        <v>25.0</v>
      </c>
      <c r="B373" s="417" t="s">
        <v>2310</v>
      </c>
      <c r="D373" s="417" t="s">
        <v>1844</v>
      </c>
      <c r="E373" s="417" t="s">
        <v>3100</v>
      </c>
    </row>
    <row r="374">
      <c r="A374" s="417">
        <v>25.0</v>
      </c>
      <c r="B374" s="417">
        <v>8.3833819E7</v>
      </c>
      <c r="C374" s="417">
        <v>2.42510323E8</v>
      </c>
      <c r="D374" s="417" t="s">
        <v>1991</v>
      </c>
      <c r="E374" s="417" t="s">
        <v>3100</v>
      </c>
    </row>
    <row r="375">
      <c r="A375" s="417">
        <v>28.0</v>
      </c>
      <c r="B375" s="417" t="s">
        <v>1908</v>
      </c>
      <c r="D375" s="417" t="s">
        <v>1845</v>
      </c>
      <c r="E375" s="417" t="s">
        <v>3099</v>
      </c>
    </row>
    <row r="376">
      <c r="A376" s="417">
        <v>26.0</v>
      </c>
      <c r="B376" s="417">
        <v>9.4989387E7</v>
      </c>
      <c r="C376" s="417">
        <v>2.42510325E8</v>
      </c>
      <c r="D376" s="417" t="s">
        <v>1807</v>
      </c>
      <c r="E376" s="417" t="s">
        <v>3100</v>
      </c>
    </row>
    <row r="377">
      <c r="A377" s="417">
        <v>26.0</v>
      </c>
      <c r="B377" s="417" t="s">
        <v>2052</v>
      </c>
      <c r="D377" s="417" t="s">
        <v>2135</v>
      </c>
      <c r="E377" s="417" t="s">
        <v>3100</v>
      </c>
    </row>
    <row r="378">
      <c r="A378" s="417">
        <v>26.0</v>
      </c>
      <c r="B378" s="417" t="s">
        <v>2126</v>
      </c>
      <c r="D378" s="417" t="s">
        <v>1808</v>
      </c>
      <c r="E378" s="417" t="s">
        <v>3100</v>
      </c>
    </row>
    <row r="379">
      <c r="A379" s="417">
        <v>26.0</v>
      </c>
      <c r="B379" s="417">
        <v>9.3556204E7</v>
      </c>
      <c r="C379" s="417">
        <v>2.42510328E8</v>
      </c>
      <c r="D379" s="417" t="s">
        <v>2257</v>
      </c>
      <c r="E379" s="417" t="s">
        <v>3100</v>
      </c>
    </row>
    <row r="380">
      <c r="A380" s="417">
        <v>26.0</v>
      </c>
      <c r="B380" s="417">
        <v>9.5788052E7</v>
      </c>
      <c r="C380" s="417">
        <v>2.42510329E8</v>
      </c>
      <c r="D380" s="417" t="s">
        <v>2215</v>
      </c>
      <c r="E380" s="417" t="s">
        <v>3099</v>
      </c>
    </row>
    <row r="381">
      <c r="A381" s="417">
        <v>26.0</v>
      </c>
      <c r="B381" s="417" t="s">
        <v>2312</v>
      </c>
      <c r="D381" s="417" t="s">
        <v>1993</v>
      </c>
      <c r="E381" s="417" t="s">
        <v>3099</v>
      </c>
    </row>
    <row r="382">
      <c r="A382" s="417">
        <v>29.0</v>
      </c>
      <c r="B382" s="417" t="s">
        <v>2392</v>
      </c>
      <c r="D382" s="417" t="s">
        <v>2321</v>
      </c>
      <c r="E382" s="417" t="s">
        <v>3100</v>
      </c>
    </row>
    <row r="383">
      <c r="A383" s="417">
        <v>30.0</v>
      </c>
      <c r="B383" s="417" t="s">
        <v>2394</v>
      </c>
      <c r="D383" s="417" t="s">
        <v>1921</v>
      </c>
      <c r="E383" s="417" t="s">
        <v>3099</v>
      </c>
    </row>
    <row r="384">
      <c r="A384" s="417">
        <v>29.0</v>
      </c>
      <c r="B384" s="417">
        <v>9.6488875E7</v>
      </c>
      <c r="C384" s="417">
        <v>2.42510333E8</v>
      </c>
      <c r="D384" s="417" t="s">
        <v>2067</v>
      </c>
      <c r="E384" s="417" t="s">
        <v>3099</v>
      </c>
    </row>
    <row r="385">
      <c r="A385" s="417">
        <v>31.0</v>
      </c>
      <c r="B385" s="417" t="s">
        <v>2210</v>
      </c>
      <c r="D385" s="417" t="s">
        <v>2323</v>
      </c>
      <c r="E385" s="417" t="s">
        <v>3099</v>
      </c>
    </row>
    <row r="386">
      <c r="A386" s="417">
        <v>27.0</v>
      </c>
      <c r="B386" s="417" t="s">
        <v>2128</v>
      </c>
      <c r="D386" s="417" t="s">
        <v>2217</v>
      </c>
      <c r="E386" s="417" t="s">
        <v>3100</v>
      </c>
    </row>
    <row r="387">
      <c r="A387" s="417">
        <v>27.0</v>
      </c>
      <c r="B387" s="417">
        <v>9.1033788E7</v>
      </c>
      <c r="C387" s="417">
        <v>2.42510336E8</v>
      </c>
      <c r="D387" s="417" t="s">
        <v>2325</v>
      </c>
      <c r="E387" s="417" t="s">
        <v>3100</v>
      </c>
    </row>
    <row r="388">
      <c r="A388" s="417">
        <v>30.0</v>
      </c>
      <c r="B388" s="417">
        <v>9.1126559E7</v>
      </c>
      <c r="C388" s="417">
        <v>2.42510337E8</v>
      </c>
      <c r="D388" s="417" t="s">
        <v>1809</v>
      </c>
      <c r="E388" s="417" t="s">
        <v>3099</v>
      </c>
    </row>
    <row r="389">
      <c r="A389" s="417">
        <v>27.0</v>
      </c>
      <c r="B389" s="417">
        <v>9.4946777E7</v>
      </c>
      <c r="C389" s="417">
        <v>2.42510338E8</v>
      </c>
      <c r="D389" s="417" t="s">
        <v>1767</v>
      </c>
      <c r="E389" s="417" t="s">
        <v>3100</v>
      </c>
    </row>
    <row r="390">
      <c r="A390" s="417">
        <v>31.0</v>
      </c>
      <c r="B390" s="417" t="s">
        <v>2396</v>
      </c>
      <c r="D390" s="417" t="s">
        <v>2399</v>
      </c>
      <c r="E390" s="417" t="s">
        <v>3100</v>
      </c>
    </row>
    <row r="391">
      <c r="A391" s="417">
        <v>34.0</v>
      </c>
      <c r="B391" s="417" t="s">
        <v>2474</v>
      </c>
      <c r="D391" s="417" t="s">
        <v>1810</v>
      </c>
      <c r="E391" s="417" t="s">
        <v>3099</v>
      </c>
    </row>
    <row r="392">
      <c r="A392" s="417">
        <v>27.0</v>
      </c>
      <c r="B392" s="417" t="s">
        <v>2054</v>
      </c>
      <c r="D392" s="417" t="s">
        <v>1995</v>
      </c>
      <c r="E392" s="417" t="s">
        <v>3099</v>
      </c>
    </row>
    <row r="393">
      <c r="A393" s="417">
        <v>29.0</v>
      </c>
      <c r="B393" s="417" t="s">
        <v>1910</v>
      </c>
      <c r="D393" s="417" t="s">
        <v>1923</v>
      </c>
      <c r="E393" s="417" t="s">
        <v>3100</v>
      </c>
    </row>
    <row r="394">
      <c r="A394" s="417">
        <v>35.0</v>
      </c>
      <c r="B394" s="417" t="s">
        <v>2476</v>
      </c>
      <c r="D394" s="417" t="s">
        <v>2401</v>
      </c>
      <c r="E394" s="417" t="s">
        <v>3100</v>
      </c>
    </row>
    <row r="395">
      <c r="A395" s="417">
        <v>28.0</v>
      </c>
      <c r="B395" s="417">
        <v>3.098805753E9</v>
      </c>
      <c r="C395" s="417">
        <v>2.42510342E8</v>
      </c>
      <c r="D395" s="417" t="s">
        <v>1846</v>
      </c>
      <c r="E395" s="417" t="s">
        <v>3100</v>
      </c>
    </row>
    <row r="396">
      <c r="A396" s="417">
        <v>27.0</v>
      </c>
      <c r="B396" s="417">
        <v>9.9332666E7</v>
      </c>
      <c r="C396" s="417">
        <v>2.42510343E8</v>
      </c>
      <c r="D396" s="417" t="s">
        <v>2403</v>
      </c>
      <c r="E396" s="417" t="s">
        <v>3100</v>
      </c>
    </row>
    <row r="397">
      <c r="A397" s="417">
        <v>27.0</v>
      </c>
      <c r="B397" s="417" t="s">
        <v>2314</v>
      </c>
      <c r="D397" s="417" t="s">
        <v>2137</v>
      </c>
      <c r="E397" s="417" t="s">
        <v>3099</v>
      </c>
    </row>
    <row r="398">
      <c r="A398" s="417">
        <v>28.0</v>
      </c>
      <c r="B398" s="417" t="s">
        <v>1982</v>
      </c>
      <c r="D398" s="417" t="s">
        <v>2219</v>
      </c>
      <c r="E398" s="417" t="s">
        <v>3100</v>
      </c>
    </row>
    <row r="399">
      <c r="A399" s="417">
        <v>30.0</v>
      </c>
      <c r="B399" s="417" t="s">
        <v>1912</v>
      </c>
      <c r="D399" s="417" t="s">
        <v>1997</v>
      </c>
      <c r="E399" s="417" t="s">
        <v>3100</v>
      </c>
    </row>
    <row r="400">
      <c r="A400" s="417">
        <v>31.0</v>
      </c>
      <c r="B400" s="417">
        <v>9.4232336E7</v>
      </c>
      <c r="C400" s="417">
        <v>2.42510347E8</v>
      </c>
      <c r="D400" s="417" t="s">
        <v>2481</v>
      </c>
      <c r="E400" s="417" t="s">
        <v>3099</v>
      </c>
    </row>
    <row r="401">
      <c r="A401" s="417">
        <v>31.0</v>
      </c>
      <c r="B401" s="417" t="s">
        <v>1914</v>
      </c>
      <c r="D401" s="417" t="s">
        <v>2327</v>
      </c>
      <c r="E401" s="417" t="s">
        <v>3099</v>
      </c>
    </row>
    <row r="402">
      <c r="A402" s="417">
        <v>32.0</v>
      </c>
      <c r="B402" s="417" t="s">
        <v>1916</v>
      </c>
      <c r="D402" s="417" t="s">
        <v>1768</v>
      </c>
      <c r="E402" s="417" t="s">
        <v>3100</v>
      </c>
    </row>
    <row r="403">
      <c r="A403" s="417">
        <v>28.0</v>
      </c>
      <c r="B403" s="417">
        <v>8.7745551E7</v>
      </c>
      <c r="C403" s="417">
        <v>2.4251035E8</v>
      </c>
      <c r="D403" s="417" t="s">
        <v>2069</v>
      </c>
      <c r="E403" s="417" t="s">
        <v>3099</v>
      </c>
    </row>
    <row r="404">
      <c r="A404" s="417">
        <v>28.0</v>
      </c>
      <c r="B404" s="417" t="s">
        <v>2056</v>
      </c>
      <c r="D404" s="417" t="s">
        <v>1811</v>
      </c>
      <c r="E404" s="417" t="s">
        <v>3099</v>
      </c>
    </row>
    <row r="405">
      <c r="A405" s="417">
        <v>32.0</v>
      </c>
      <c r="B405" s="417">
        <v>9.992049E7</v>
      </c>
      <c r="C405" s="417">
        <v>2.42510352E8</v>
      </c>
      <c r="D405" s="417" t="s">
        <v>1847</v>
      </c>
      <c r="E405" s="417" t="s">
        <v>3099</v>
      </c>
    </row>
    <row r="406">
      <c r="A406" s="417">
        <v>32.0</v>
      </c>
      <c r="B406" s="417" t="s">
        <v>2212</v>
      </c>
      <c r="D406" s="417" t="s">
        <v>1769</v>
      </c>
      <c r="E406" s="417" t="s">
        <v>3099</v>
      </c>
    </row>
    <row r="407">
      <c r="A407" s="417">
        <v>28.0</v>
      </c>
      <c r="B407" s="417">
        <v>9.783087E7</v>
      </c>
      <c r="C407" s="417">
        <v>2.42510354E8</v>
      </c>
      <c r="D407" s="417" t="s">
        <v>2221</v>
      </c>
      <c r="E407" s="417" t="s">
        <v>3099</v>
      </c>
    </row>
    <row r="408">
      <c r="A408" s="417">
        <v>29.0</v>
      </c>
      <c r="B408" s="417">
        <v>9.2343794E7</v>
      </c>
      <c r="C408" s="417">
        <v>2.42510355E8</v>
      </c>
      <c r="D408" s="417" t="s">
        <v>1848</v>
      </c>
      <c r="E408" s="417" t="s">
        <v>3100</v>
      </c>
    </row>
    <row r="409">
      <c r="A409" s="417">
        <v>29.0</v>
      </c>
      <c r="B409" s="417" t="s">
        <v>1984</v>
      </c>
      <c r="D409" s="417" t="s">
        <v>1849</v>
      </c>
      <c r="E409" s="417" t="s">
        <v>3099</v>
      </c>
    </row>
    <row r="410">
      <c r="A410" s="417">
        <v>28.0</v>
      </c>
      <c r="B410" s="417" t="s">
        <v>2316</v>
      </c>
      <c r="D410" s="417" t="s">
        <v>1999</v>
      </c>
      <c r="E410" s="417" t="s">
        <v>3099</v>
      </c>
    </row>
    <row r="411">
      <c r="A411" s="417">
        <v>29.0</v>
      </c>
      <c r="B411" s="417" t="s">
        <v>2058</v>
      </c>
      <c r="D411" s="417" t="s">
        <v>2405</v>
      </c>
      <c r="E411" s="417" t="s">
        <v>3099</v>
      </c>
    </row>
    <row r="412">
      <c r="A412" s="417">
        <v>30.0</v>
      </c>
      <c r="B412" s="417" t="s">
        <v>2060</v>
      </c>
      <c r="D412" s="417" t="s">
        <v>1812</v>
      </c>
      <c r="E412" s="417" t="s">
        <v>3100</v>
      </c>
    </row>
    <row r="413">
      <c r="A413" s="417">
        <v>33.0</v>
      </c>
      <c r="B413" s="417">
        <v>9.4865307E7</v>
      </c>
      <c r="C413" s="417">
        <v>2.4251036E8</v>
      </c>
      <c r="D413" s="417" t="s">
        <v>2329</v>
      </c>
      <c r="E413" s="417" t="s">
        <v>3100</v>
      </c>
    </row>
    <row r="414">
      <c r="A414" s="417">
        <v>29.0</v>
      </c>
      <c r="B414" s="417" t="s">
        <v>2318</v>
      </c>
      <c r="D414" s="417" t="s">
        <v>1770</v>
      </c>
      <c r="E414" s="417" t="s">
        <v>3100</v>
      </c>
    </row>
    <row r="415">
      <c r="A415" s="417">
        <v>33.0</v>
      </c>
      <c r="B415" s="417" t="s">
        <v>1918</v>
      </c>
      <c r="D415" s="417" t="s">
        <v>2407</v>
      </c>
      <c r="E415" s="417" t="s">
        <v>3100</v>
      </c>
    </row>
    <row r="416">
      <c r="A416" s="417">
        <v>30.0</v>
      </c>
      <c r="B416" s="417" t="s">
        <v>1986</v>
      </c>
      <c r="D416" s="417" t="s">
        <v>1771</v>
      </c>
      <c r="E416" s="417" t="s">
        <v>3100</v>
      </c>
    </row>
    <row r="417">
      <c r="A417" s="417">
        <v>36.0</v>
      </c>
      <c r="B417" s="417" t="s">
        <v>2478</v>
      </c>
      <c r="D417" s="417" t="s">
        <v>1850</v>
      </c>
      <c r="E417" s="417" t="s">
        <v>3100</v>
      </c>
    </row>
    <row r="418">
      <c r="A418" s="417">
        <v>28.0</v>
      </c>
      <c r="B418" s="417" t="s">
        <v>2130</v>
      </c>
      <c r="D418" s="417" t="s">
        <v>2139</v>
      </c>
      <c r="E418" s="417" t="s">
        <v>3100</v>
      </c>
    </row>
    <row r="419">
      <c r="A419" s="417">
        <v>30.0</v>
      </c>
      <c r="B419" s="417">
        <v>9.5556013E7</v>
      </c>
      <c r="C419" s="417">
        <v>2.42510366E8</v>
      </c>
      <c r="D419" s="417" t="s">
        <v>2141</v>
      </c>
      <c r="E419" s="417" t="s">
        <v>3100</v>
      </c>
    </row>
    <row r="420">
      <c r="A420" s="417">
        <v>31.0</v>
      </c>
      <c r="B420" s="417" t="s">
        <v>1988</v>
      </c>
      <c r="D420" s="417" t="s">
        <v>1925</v>
      </c>
      <c r="E420" s="417" t="s">
        <v>3100</v>
      </c>
    </row>
    <row r="421">
      <c r="A421" s="417">
        <v>31.0</v>
      </c>
      <c r="B421" s="417" t="s">
        <v>2062</v>
      </c>
      <c r="D421" s="417" t="s">
        <v>1851</v>
      </c>
      <c r="E421" s="417" t="s">
        <v>3100</v>
      </c>
    </row>
    <row r="422">
      <c r="A422" s="417">
        <v>32.0</v>
      </c>
      <c r="B422" s="417" t="s">
        <v>2064</v>
      </c>
      <c r="D422" s="417" t="s">
        <v>2143</v>
      </c>
      <c r="E422" s="417" t="s">
        <v>3100</v>
      </c>
    </row>
    <row r="423">
      <c r="A423" s="417">
        <v>29.0</v>
      </c>
      <c r="B423" s="417" t="s">
        <v>2132</v>
      </c>
      <c r="D423" s="417" t="s">
        <v>2331</v>
      </c>
      <c r="E423" s="417" t="s">
        <v>3099</v>
      </c>
    </row>
    <row r="424">
      <c r="A424" s="417">
        <v>29.0</v>
      </c>
      <c r="B424" s="417">
        <v>8.5930059E7</v>
      </c>
      <c r="C424" s="417">
        <v>2.42510371E8</v>
      </c>
      <c r="D424" s="417" t="s">
        <v>2258</v>
      </c>
      <c r="E424" s="417" t="s">
        <v>3099</v>
      </c>
    </row>
    <row r="425">
      <c r="A425" s="417">
        <v>32.0</v>
      </c>
      <c r="B425" s="417" t="s">
        <v>1990</v>
      </c>
      <c r="D425" s="417" t="s">
        <v>2071</v>
      </c>
      <c r="E425" s="417" t="s">
        <v>3100</v>
      </c>
    </row>
    <row r="426">
      <c r="A426" s="417">
        <v>30.0</v>
      </c>
      <c r="B426" s="417">
        <v>9.6344538E7</v>
      </c>
      <c r="C426" s="417">
        <v>2.42510373E8</v>
      </c>
      <c r="D426" s="417" t="s">
        <v>1772</v>
      </c>
      <c r="E426" s="417" t="s">
        <v>3100</v>
      </c>
    </row>
    <row r="427">
      <c r="A427" s="417">
        <v>31.0</v>
      </c>
      <c r="B427" s="417">
        <v>9.4079262E7</v>
      </c>
      <c r="C427" s="417">
        <v>2.42510374E8</v>
      </c>
      <c r="D427" s="417" t="s">
        <v>2145</v>
      </c>
      <c r="E427" s="417" t="s">
        <v>3100</v>
      </c>
    </row>
    <row r="428">
      <c r="A428" s="417">
        <v>30.0</v>
      </c>
      <c r="B428" s="417" t="s">
        <v>2134</v>
      </c>
      <c r="D428" s="417" t="s">
        <v>2073</v>
      </c>
      <c r="E428" s="417" t="s">
        <v>3099</v>
      </c>
    </row>
    <row r="429">
      <c r="A429" s="417">
        <v>32.0</v>
      </c>
      <c r="B429" s="417">
        <v>7.2787144E7</v>
      </c>
      <c r="C429" s="417">
        <v>2.42510377E8</v>
      </c>
      <c r="D429" s="417" t="s">
        <v>2259</v>
      </c>
      <c r="E429" s="417" t="s">
        <v>3100</v>
      </c>
    </row>
    <row r="430">
      <c r="A430" s="417">
        <v>34.0</v>
      </c>
      <c r="B430" s="417">
        <v>9.3523017E7</v>
      </c>
      <c r="C430" s="417">
        <v>2.42510378E8</v>
      </c>
      <c r="D430" s="417" t="s">
        <v>1773</v>
      </c>
      <c r="E430" s="417" t="s">
        <v>3099</v>
      </c>
    </row>
    <row r="431">
      <c r="A431" s="417">
        <v>33.0</v>
      </c>
      <c r="B431" s="417" t="s">
        <v>2214</v>
      </c>
      <c r="D431" s="417" t="s">
        <v>2333</v>
      </c>
      <c r="E431" s="417" t="s">
        <v>3100</v>
      </c>
    </row>
    <row r="432">
      <c r="A432" s="417">
        <v>33.0</v>
      </c>
      <c r="B432" s="417" t="s">
        <v>1992</v>
      </c>
      <c r="D432" s="417" t="s">
        <v>2147</v>
      </c>
      <c r="E432" s="417" t="s">
        <v>3100</v>
      </c>
    </row>
    <row r="433">
      <c r="A433" s="417">
        <v>30.0</v>
      </c>
      <c r="B433" s="417" t="s">
        <v>2320</v>
      </c>
      <c r="D433" s="417" t="s">
        <v>1774</v>
      </c>
      <c r="E433" s="417" t="s">
        <v>3100</v>
      </c>
    </row>
    <row r="434">
      <c r="A434" s="417">
        <v>34.0</v>
      </c>
      <c r="B434" s="417" t="s">
        <v>1920</v>
      </c>
      <c r="E434" s="417" t="s">
        <v>3100</v>
      </c>
    </row>
    <row r="435">
      <c r="A435" s="417">
        <v>33.0</v>
      </c>
      <c r="B435" s="417" t="s">
        <v>2066</v>
      </c>
      <c r="E435" s="417" t="s">
        <v>3100</v>
      </c>
    </row>
    <row r="436">
      <c r="A436" s="417">
        <v>31.0</v>
      </c>
      <c r="B436" s="417" t="s">
        <v>2322</v>
      </c>
      <c r="E436" s="417" t="s">
        <v>3100</v>
      </c>
    </row>
    <row r="437">
      <c r="A437" s="417">
        <v>34.0</v>
      </c>
      <c r="B437" s="417" t="s">
        <v>2216</v>
      </c>
      <c r="E437" s="417" t="s">
        <v>3099</v>
      </c>
    </row>
    <row r="438">
      <c r="A438" s="417">
        <v>32.0</v>
      </c>
      <c r="B438" s="417" t="s">
        <v>2324</v>
      </c>
      <c r="E438" s="417" t="s">
        <v>3099</v>
      </c>
    </row>
    <row r="439">
      <c r="A439" s="417">
        <v>33.0</v>
      </c>
      <c r="B439" s="417">
        <v>9.6304229E7</v>
      </c>
      <c r="C439" s="417">
        <v>2.42510387E8</v>
      </c>
      <c r="E439" s="417" t="s">
        <v>3100</v>
      </c>
    </row>
    <row r="440">
      <c r="A440" s="417">
        <v>29.0</v>
      </c>
      <c r="B440" s="417">
        <v>9.282758E7</v>
      </c>
      <c r="C440" s="417">
        <v>2.42510388E8</v>
      </c>
      <c r="E440" s="417" t="s">
        <v>3100</v>
      </c>
    </row>
    <row r="441">
      <c r="A441" s="417">
        <v>32.0</v>
      </c>
      <c r="B441" s="417" t="s">
        <v>2398</v>
      </c>
      <c r="E441" s="417" t="s">
        <v>3099</v>
      </c>
    </row>
    <row r="442">
      <c r="A442" s="417">
        <v>34.0</v>
      </c>
      <c r="B442" s="417">
        <v>9.3907013E7</v>
      </c>
      <c r="C442" s="417">
        <v>2.4251039E8</v>
      </c>
      <c r="E442" s="417" t="s">
        <v>3100</v>
      </c>
    </row>
    <row r="443">
      <c r="A443" s="417">
        <v>34.0</v>
      </c>
      <c r="B443" s="417" t="s">
        <v>1994</v>
      </c>
      <c r="E443" s="417" t="s">
        <v>3100</v>
      </c>
    </row>
    <row r="444">
      <c r="A444" s="417">
        <v>35.0</v>
      </c>
      <c r="B444" s="417" t="s">
        <v>1922</v>
      </c>
      <c r="E444" s="417" t="s">
        <v>3100</v>
      </c>
    </row>
    <row r="445">
      <c r="A445" s="417">
        <v>33.0</v>
      </c>
      <c r="B445" s="417" t="s">
        <v>2400</v>
      </c>
      <c r="E445" s="417" t="s">
        <v>3100</v>
      </c>
    </row>
    <row r="446">
      <c r="A446" s="417">
        <v>31.0</v>
      </c>
      <c r="B446" s="417">
        <v>9.6480588E7</v>
      </c>
      <c r="C446" s="417">
        <v>2.42510395E8</v>
      </c>
      <c r="E446" s="417" t="s">
        <v>3100</v>
      </c>
    </row>
    <row r="447">
      <c r="A447" s="417">
        <v>34.0</v>
      </c>
      <c r="B447" s="417" t="s">
        <v>2402</v>
      </c>
      <c r="E447" s="417" t="s">
        <v>3100</v>
      </c>
    </row>
    <row r="448">
      <c r="A448" s="417">
        <v>31.0</v>
      </c>
      <c r="B448" s="417" t="s">
        <v>2136</v>
      </c>
      <c r="E448" s="417" t="s">
        <v>3100</v>
      </c>
    </row>
    <row r="449">
      <c r="A449" s="417">
        <v>35.0</v>
      </c>
      <c r="B449" s="417" t="s">
        <v>2218</v>
      </c>
      <c r="E449" s="417" t="s">
        <v>3100</v>
      </c>
    </row>
    <row r="450">
      <c r="A450" s="417">
        <v>35.0</v>
      </c>
      <c r="B450" s="417" t="s">
        <v>1996</v>
      </c>
      <c r="E450" s="417" t="s">
        <v>3099</v>
      </c>
    </row>
    <row r="451">
      <c r="A451" s="417">
        <v>37.0</v>
      </c>
      <c r="B451" s="417" t="s">
        <v>2480</v>
      </c>
      <c r="E451" s="417" t="s">
        <v>3100</v>
      </c>
    </row>
    <row r="452">
      <c r="A452" s="417">
        <v>33.0</v>
      </c>
      <c r="B452" s="417" t="s">
        <v>2326</v>
      </c>
      <c r="E452" s="417" t="s">
        <v>3099</v>
      </c>
    </row>
    <row r="453">
      <c r="A453" s="417">
        <v>30.0</v>
      </c>
      <c r="B453" s="417">
        <v>8.4290235E7</v>
      </c>
      <c r="C453" s="417">
        <v>2.42510406E8</v>
      </c>
      <c r="E453" s="417" t="s">
        <v>3099</v>
      </c>
    </row>
    <row r="454">
      <c r="A454" s="417">
        <v>34.0</v>
      </c>
      <c r="B454" s="417" t="s">
        <v>2068</v>
      </c>
      <c r="E454" s="417" t="s">
        <v>3099</v>
      </c>
    </row>
    <row r="455">
      <c r="A455" s="417">
        <v>35.0</v>
      </c>
      <c r="B455" s="417">
        <v>8.4548048E7</v>
      </c>
      <c r="C455" s="417">
        <v>2.42510404E8</v>
      </c>
      <c r="E455" s="417" t="s">
        <v>3099</v>
      </c>
    </row>
    <row r="456">
      <c r="A456" s="417">
        <v>32.0</v>
      </c>
      <c r="B456" s="417">
        <v>9.4958254E7</v>
      </c>
      <c r="C456" s="417">
        <v>2.42510405E8</v>
      </c>
      <c r="E456" s="417" t="s">
        <v>3099</v>
      </c>
    </row>
    <row r="457">
      <c r="A457" s="417">
        <v>31.0</v>
      </c>
      <c r="B457" s="417">
        <v>8.4290235E7</v>
      </c>
      <c r="C457" s="417">
        <v>2.42510406E8</v>
      </c>
      <c r="E457" s="417" t="s">
        <v>3100</v>
      </c>
    </row>
    <row r="458">
      <c r="A458" s="417">
        <v>36.0</v>
      </c>
      <c r="B458" s="417" t="s">
        <v>2220</v>
      </c>
      <c r="E458" s="417" t="s">
        <v>3100</v>
      </c>
    </row>
    <row r="459">
      <c r="A459" s="417">
        <v>33.0</v>
      </c>
      <c r="B459" s="417">
        <v>8.5108715E7</v>
      </c>
      <c r="C459" s="417">
        <v>2.42510408E8</v>
      </c>
      <c r="E459" s="417" t="s">
        <v>3100</v>
      </c>
    </row>
    <row r="460">
      <c r="A460" s="417">
        <v>34.0</v>
      </c>
      <c r="B460" s="417">
        <v>8.9237233E7</v>
      </c>
      <c r="C460" s="417">
        <v>2.42510409E8</v>
      </c>
      <c r="E460" s="417" t="s">
        <v>3100</v>
      </c>
    </row>
    <row r="461">
      <c r="A461" s="417">
        <v>36.0</v>
      </c>
      <c r="B461" s="417" t="s">
        <v>1998</v>
      </c>
      <c r="E461" s="417" t="s">
        <v>3100</v>
      </c>
    </row>
    <row r="462">
      <c r="A462" s="417">
        <v>35.0</v>
      </c>
      <c r="B462" s="417" t="s">
        <v>2404</v>
      </c>
      <c r="E462" s="417" t="s">
        <v>3100</v>
      </c>
    </row>
    <row r="463">
      <c r="A463" s="417">
        <v>36.0</v>
      </c>
      <c r="B463" s="417">
        <v>9.4935892E7</v>
      </c>
      <c r="C463" s="417">
        <v>2.42510412E8</v>
      </c>
      <c r="E463" s="417" t="s">
        <v>3100</v>
      </c>
    </row>
    <row r="464">
      <c r="A464" s="417">
        <v>34.0</v>
      </c>
      <c r="B464" s="417" t="s">
        <v>2328</v>
      </c>
      <c r="E464" s="417" t="s">
        <v>3099</v>
      </c>
    </row>
    <row r="465">
      <c r="A465" s="417">
        <v>32.0</v>
      </c>
      <c r="B465" s="417">
        <v>9.3286737E7</v>
      </c>
      <c r="C465" s="417">
        <v>2.42510414E8</v>
      </c>
      <c r="E465" s="417" t="s">
        <v>3100</v>
      </c>
    </row>
    <row r="466">
      <c r="A466" s="417">
        <v>36.0</v>
      </c>
      <c r="B466" s="417" t="s">
        <v>2406</v>
      </c>
      <c r="E466" s="417" t="s">
        <v>3100</v>
      </c>
    </row>
    <row r="467">
      <c r="A467" s="417">
        <v>33.0</v>
      </c>
      <c r="B467" s="417">
        <v>9.1061057E7</v>
      </c>
      <c r="C467" s="417">
        <v>2.42510416E8</v>
      </c>
      <c r="E467" s="417" t="s">
        <v>3100</v>
      </c>
    </row>
    <row r="468">
      <c r="A468" s="417">
        <v>35.0</v>
      </c>
      <c r="B468" s="417">
        <v>9.8438052E7</v>
      </c>
      <c r="C468" s="417">
        <v>2.42510417E8</v>
      </c>
      <c r="E468" s="417" t="s">
        <v>3100</v>
      </c>
    </row>
    <row r="469">
      <c r="A469" s="417">
        <v>32.0</v>
      </c>
      <c r="B469" s="417" t="s">
        <v>2138</v>
      </c>
      <c r="E469" s="417" t="s">
        <v>3100</v>
      </c>
    </row>
    <row r="470">
      <c r="A470" s="417">
        <v>33.0</v>
      </c>
      <c r="B470" s="417" t="s">
        <v>2140</v>
      </c>
      <c r="E470" s="417" t="s">
        <v>3100</v>
      </c>
    </row>
    <row r="471">
      <c r="A471" s="417">
        <v>36.0</v>
      </c>
      <c r="B471" s="417" t="s">
        <v>1924</v>
      </c>
      <c r="E471" s="417" t="s">
        <v>3100</v>
      </c>
    </row>
    <row r="472">
      <c r="A472" s="417">
        <v>36.0</v>
      </c>
      <c r="B472" s="417">
        <v>8.2801587E7</v>
      </c>
      <c r="C472" s="417">
        <v>2.42510421E8</v>
      </c>
      <c r="E472" s="417" t="s">
        <v>3100</v>
      </c>
    </row>
    <row r="473">
      <c r="A473" s="417">
        <v>34.0</v>
      </c>
      <c r="B473" s="417" t="s">
        <v>2142</v>
      </c>
      <c r="E473" s="417" t="s">
        <v>3100</v>
      </c>
    </row>
    <row r="474">
      <c r="A474" s="417">
        <v>35.0</v>
      </c>
      <c r="B474" s="417" t="s">
        <v>2330</v>
      </c>
      <c r="E474" s="417" t="s">
        <v>3099</v>
      </c>
    </row>
    <row r="475">
      <c r="A475" s="417">
        <v>35.0</v>
      </c>
      <c r="B475" s="417">
        <v>9.4426892E7</v>
      </c>
      <c r="C475" s="417">
        <v>2.42510424E8</v>
      </c>
      <c r="E475" s="417" t="s">
        <v>3100</v>
      </c>
    </row>
    <row r="476">
      <c r="A476" s="417">
        <v>35.0</v>
      </c>
      <c r="B476" s="417" t="s">
        <v>2070</v>
      </c>
      <c r="E476" s="417" t="s">
        <v>3100</v>
      </c>
    </row>
    <row r="477">
      <c r="A477" s="417">
        <v>34.0</v>
      </c>
      <c r="B477" s="417">
        <v>9.5163025E7</v>
      </c>
      <c r="C477" s="417">
        <v>2.42510426E8</v>
      </c>
      <c r="E477" s="417" t="s">
        <v>3100</v>
      </c>
    </row>
    <row r="478">
      <c r="A478" s="417">
        <v>35.0</v>
      </c>
      <c r="B478" s="417" t="s">
        <v>2144</v>
      </c>
      <c r="E478" s="417" t="s">
        <v>3100</v>
      </c>
    </row>
    <row r="479">
      <c r="A479" s="417">
        <v>36.0</v>
      </c>
      <c r="B479" s="417" t="s">
        <v>2072</v>
      </c>
      <c r="E479" s="417" t="s">
        <v>3100</v>
      </c>
    </row>
    <row r="480">
      <c r="A480" s="417">
        <v>36.0</v>
      </c>
      <c r="B480" s="417">
        <v>8.2670071E7</v>
      </c>
      <c r="C480" s="417">
        <v>2.42510429E8</v>
      </c>
      <c r="E480" s="417" t="s">
        <v>3099</v>
      </c>
    </row>
    <row r="481">
      <c r="A481" s="417">
        <v>35.0</v>
      </c>
      <c r="B481" s="417">
        <v>8.274747E7</v>
      </c>
      <c r="C481" s="417">
        <v>2.4251043E8</v>
      </c>
      <c r="E481" s="417" t="s">
        <v>3100</v>
      </c>
    </row>
    <row r="482">
      <c r="A482" s="417">
        <v>36.0</v>
      </c>
      <c r="B482" s="417" t="s">
        <v>2332</v>
      </c>
      <c r="E482" s="417" t="s">
        <v>3100</v>
      </c>
    </row>
    <row r="483">
      <c r="A483" s="417">
        <v>36.0</v>
      </c>
      <c r="B483" s="417" t="s">
        <v>2146</v>
      </c>
      <c r="E483" s="417" t="s">
        <v>3099</v>
      </c>
    </row>
    <row r="484">
      <c r="A484" s="417">
        <v>36.0</v>
      </c>
      <c r="B484" s="417">
        <v>8.5011294E7</v>
      </c>
      <c r="C484" s="417">
        <v>2.42510432E8</v>
      </c>
      <c r="E484" s="417" t="s">
        <v>3100</v>
      </c>
    </row>
    <row r="485">
      <c r="A485" s="417" t="s">
        <v>4387</v>
      </c>
    </row>
    <row r="486">
      <c r="A486" s="417" t="s">
        <v>5593</v>
      </c>
      <c r="V486" s="417" t="s">
        <v>5594</v>
      </c>
      <c r="W486" s="417">
        <v>165.0</v>
      </c>
    </row>
    <row r="487">
      <c r="A487" s="417" t="s">
        <v>3262</v>
      </c>
      <c r="V487" s="417" t="s">
        <v>5595</v>
      </c>
      <c r="W487" s="417">
        <v>267.0</v>
      </c>
    </row>
    <row r="488">
      <c r="A488" s="417" t="s">
        <v>1733</v>
      </c>
      <c r="V488" s="417" t="s">
        <v>5596</v>
      </c>
      <c r="W488" s="417">
        <v>432.0</v>
      </c>
    </row>
    <row r="489">
      <c r="A489" s="417" t="s">
        <v>1734</v>
      </c>
    </row>
    <row r="490">
      <c r="F490" s="417" t="s">
        <v>5597</v>
      </c>
      <c r="R490" s="417" t="s">
        <v>5598</v>
      </c>
    </row>
    <row r="491">
      <c r="F491" s="417">
        <v>1.0</v>
      </c>
      <c r="G491" s="417">
        <v>2.0</v>
      </c>
      <c r="H491" s="417">
        <v>3.0</v>
      </c>
      <c r="I491" s="417">
        <v>4.0</v>
      </c>
      <c r="J491" s="417">
        <v>5.0</v>
      </c>
      <c r="K491" s="417">
        <v>6.0</v>
      </c>
      <c r="L491" s="417">
        <v>7.0</v>
      </c>
      <c r="M491" s="417">
        <v>8.0</v>
      </c>
      <c r="N491" s="417">
        <v>9.0</v>
      </c>
      <c r="O491" s="417">
        <v>10.0</v>
      </c>
      <c r="P491" s="417">
        <v>11.0</v>
      </c>
      <c r="Q491" s="417">
        <v>12.0</v>
      </c>
      <c r="R491" s="417" t="s">
        <v>5599</v>
      </c>
      <c r="S491" s="417" t="s">
        <v>5600</v>
      </c>
      <c r="T491" s="417" t="s">
        <v>1163</v>
      </c>
      <c r="Y491" s="417">
        <v>254.0</v>
      </c>
    </row>
    <row r="492">
      <c r="A492" s="417" t="s">
        <v>4387</v>
      </c>
    </row>
    <row r="493">
      <c r="A493" s="417" t="s">
        <v>5593</v>
      </c>
    </row>
    <row r="494">
      <c r="A494" s="417" t="s">
        <v>3262</v>
      </c>
    </row>
    <row r="495">
      <c r="A495" s="417" t="s">
        <v>1775</v>
      </c>
    </row>
    <row r="496">
      <c r="A496" s="417" t="s">
        <v>1776</v>
      </c>
    </row>
    <row r="497">
      <c r="F497" s="417" t="s">
        <v>5597</v>
      </c>
      <c r="R497" s="417" t="s">
        <v>5598</v>
      </c>
    </row>
    <row r="498">
      <c r="F498" s="417">
        <v>1.0</v>
      </c>
      <c r="G498" s="417">
        <v>2.0</v>
      </c>
      <c r="H498" s="417">
        <v>3.0</v>
      </c>
      <c r="I498" s="417">
        <v>4.0</v>
      </c>
      <c r="J498" s="417">
        <v>5.0</v>
      </c>
      <c r="K498" s="417">
        <v>6.0</v>
      </c>
      <c r="L498" s="417">
        <v>7.0</v>
      </c>
      <c r="M498" s="417">
        <v>8.0</v>
      </c>
      <c r="N498" s="417">
        <v>9.0</v>
      </c>
      <c r="O498" s="417">
        <v>10.0</v>
      </c>
      <c r="P498" s="417">
        <v>11.0</v>
      </c>
      <c r="Q498" s="417">
        <v>12.0</v>
      </c>
      <c r="R498" s="417" t="s">
        <v>5599</v>
      </c>
      <c r="S498" s="417" t="s">
        <v>5600</v>
      </c>
      <c r="T498" s="417" t="s">
        <v>1163</v>
      </c>
    </row>
    <row r="499">
      <c r="A499" s="417" t="s">
        <v>4387</v>
      </c>
    </row>
    <row r="500">
      <c r="A500" s="417" t="s">
        <v>5593</v>
      </c>
    </row>
    <row r="501">
      <c r="A501" s="417" t="s">
        <v>3262</v>
      </c>
    </row>
    <row r="502">
      <c r="A502" s="417" t="s">
        <v>1813</v>
      </c>
    </row>
    <row r="503">
      <c r="A503" s="417" t="s">
        <v>1814</v>
      </c>
    </row>
    <row r="504">
      <c r="F504" s="417" t="s">
        <v>5597</v>
      </c>
      <c r="R504" s="417" t="s">
        <v>5598</v>
      </c>
    </row>
    <row r="505">
      <c r="F505" s="417">
        <v>1.0</v>
      </c>
      <c r="G505" s="417">
        <v>2.0</v>
      </c>
      <c r="H505" s="417">
        <v>3.0</v>
      </c>
      <c r="I505" s="417">
        <v>4.0</v>
      </c>
      <c r="J505" s="417">
        <v>5.0</v>
      </c>
      <c r="K505" s="417">
        <v>6.0</v>
      </c>
      <c r="L505" s="417">
        <v>7.0</v>
      </c>
      <c r="M505" s="417">
        <v>8.0</v>
      </c>
      <c r="N505" s="417">
        <v>9.0</v>
      </c>
      <c r="O505" s="417">
        <v>10.0</v>
      </c>
      <c r="P505" s="417">
        <v>11.0</v>
      </c>
      <c r="Q505" s="417">
        <v>12.0</v>
      </c>
      <c r="R505" s="417" t="s">
        <v>5599</v>
      </c>
      <c r="S505" s="417" t="s">
        <v>5600</v>
      </c>
      <c r="T505" s="417" t="s">
        <v>1163</v>
      </c>
    </row>
    <row r="506">
      <c r="A506" s="417" t="s">
        <v>4387</v>
      </c>
    </row>
    <row r="507">
      <c r="A507" s="417" t="s">
        <v>5593</v>
      </c>
    </row>
    <row r="508">
      <c r="A508" s="417" t="s">
        <v>3262</v>
      </c>
    </row>
    <row r="509">
      <c r="A509" s="417" t="s">
        <v>1852</v>
      </c>
    </row>
    <row r="510">
      <c r="A510" s="417" t="s">
        <v>1853</v>
      </c>
    </row>
    <row r="511">
      <c r="F511" s="417" t="s">
        <v>5597</v>
      </c>
      <c r="R511" s="417" t="s">
        <v>5598</v>
      </c>
    </row>
    <row r="512">
      <c r="F512" s="417">
        <v>1.0</v>
      </c>
      <c r="G512" s="417">
        <v>2.0</v>
      </c>
      <c r="H512" s="417">
        <v>3.0</v>
      </c>
      <c r="I512" s="417">
        <v>4.0</v>
      </c>
      <c r="J512" s="417">
        <v>5.0</v>
      </c>
      <c r="K512" s="417">
        <v>6.0</v>
      </c>
      <c r="L512" s="417">
        <v>7.0</v>
      </c>
      <c r="M512" s="417">
        <v>8.0</v>
      </c>
      <c r="N512" s="417">
        <v>9.0</v>
      </c>
      <c r="O512" s="417">
        <v>10.0</v>
      </c>
      <c r="P512" s="417">
        <v>11.0</v>
      </c>
      <c r="Q512" s="417">
        <v>12.0</v>
      </c>
      <c r="R512" s="417" t="s">
        <v>5599</v>
      </c>
      <c r="S512" s="417" t="s">
        <v>5600</v>
      </c>
      <c r="T512" s="417" t="s">
        <v>1163</v>
      </c>
    </row>
    <row r="513">
      <c r="A513" s="417" t="s">
        <v>4387</v>
      </c>
    </row>
    <row r="514">
      <c r="A514" s="417" t="s">
        <v>5593</v>
      </c>
    </row>
    <row r="515">
      <c r="A515" s="417" t="s">
        <v>3262</v>
      </c>
    </row>
    <row r="516">
      <c r="A516" s="417" t="s">
        <v>1926</v>
      </c>
    </row>
    <row r="517">
      <c r="A517" s="417" t="s">
        <v>1927</v>
      </c>
    </row>
    <row r="518">
      <c r="F518" s="417" t="s">
        <v>5597</v>
      </c>
      <c r="R518" s="417" t="s">
        <v>5598</v>
      </c>
    </row>
    <row r="519">
      <c r="F519" s="417">
        <v>1.0</v>
      </c>
      <c r="G519" s="417">
        <v>2.0</v>
      </c>
      <c r="H519" s="417">
        <v>3.0</v>
      </c>
      <c r="I519" s="417">
        <v>4.0</v>
      </c>
      <c r="J519" s="417">
        <v>5.0</v>
      </c>
      <c r="K519" s="417">
        <v>6.0</v>
      </c>
      <c r="L519" s="417">
        <v>7.0</v>
      </c>
      <c r="M519" s="417">
        <v>8.0</v>
      </c>
      <c r="N519" s="417">
        <v>9.0</v>
      </c>
      <c r="O519" s="417">
        <v>10.0</v>
      </c>
      <c r="P519" s="417">
        <v>11.0</v>
      </c>
      <c r="Q519" s="417">
        <v>12.0</v>
      </c>
      <c r="R519" s="417" t="s">
        <v>5599</v>
      </c>
      <c r="S519" s="417" t="s">
        <v>5600</v>
      </c>
      <c r="T519" s="417" t="s">
        <v>1163</v>
      </c>
    </row>
    <row r="520">
      <c r="A520" s="417" t="s">
        <v>4387</v>
      </c>
    </row>
    <row r="521">
      <c r="A521" s="417" t="s">
        <v>5593</v>
      </c>
    </row>
    <row r="522">
      <c r="A522" s="417" t="s">
        <v>3262</v>
      </c>
    </row>
    <row r="523">
      <c r="A523" s="417" t="s">
        <v>2000</v>
      </c>
    </row>
    <row r="524">
      <c r="A524" s="417" t="s">
        <v>2001</v>
      </c>
    </row>
    <row r="525">
      <c r="F525" s="417" t="s">
        <v>5597</v>
      </c>
      <c r="R525" s="417" t="s">
        <v>5598</v>
      </c>
    </row>
    <row r="526">
      <c r="F526" s="417">
        <v>1.0</v>
      </c>
      <c r="G526" s="417">
        <v>2.0</v>
      </c>
      <c r="H526" s="417">
        <v>3.0</v>
      </c>
      <c r="I526" s="417">
        <v>4.0</v>
      </c>
      <c r="J526" s="417">
        <v>5.0</v>
      </c>
      <c r="K526" s="417">
        <v>6.0</v>
      </c>
      <c r="L526" s="417">
        <v>7.0</v>
      </c>
      <c r="M526" s="417">
        <v>8.0</v>
      </c>
      <c r="N526" s="417">
        <v>9.0</v>
      </c>
      <c r="O526" s="417">
        <v>10.0</v>
      </c>
      <c r="P526" s="417">
        <v>11.0</v>
      </c>
      <c r="Q526" s="417">
        <v>12.0</v>
      </c>
      <c r="R526" s="417" t="s">
        <v>5599</v>
      </c>
      <c r="S526" s="417" t="s">
        <v>5600</v>
      </c>
      <c r="T526" s="417" t="s">
        <v>1163</v>
      </c>
    </row>
    <row r="527">
      <c r="A527" s="417" t="s">
        <v>4387</v>
      </c>
    </row>
    <row r="528">
      <c r="A528" s="417" t="s">
        <v>5593</v>
      </c>
    </row>
    <row r="529">
      <c r="A529" s="417" t="s">
        <v>3262</v>
      </c>
    </row>
    <row r="530">
      <c r="A530" s="417" t="s">
        <v>2074</v>
      </c>
    </row>
    <row r="531">
      <c r="A531" s="417" t="s">
        <v>2075</v>
      </c>
    </row>
    <row r="532">
      <c r="F532" s="417" t="s">
        <v>5597</v>
      </c>
      <c r="R532" s="417" t="s">
        <v>5598</v>
      </c>
    </row>
    <row r="533">
      <c r="F533" s="417">
        <v>1.0</v>
      </c>
      <c r="G533" s="417">
        <v>2.0</v>
      </c>
      <c r="H533" s="417">
        <v>3.0</v>
      </c>
      <c r="I533" s="417">
        <v>4.0</v>
      </c>
      <c r="J533" s="417">
        <v>5.0</v>
      </c>
      <c r="K533" s="417">
        <v>6.0</v>
      </c>
      <c r="L533" s="417">
        <v>7.0</v>
      </c>
      <c r="M533" s="417">
        <v>8.0</v>
      </c>
      <c r="N533" s="417">
        <v>9.0</v>
      </c>
      <c r="O533" s="417">
        <v>10.0</v>
      </c>
      <c r="P533" s="417">
        <v>11.0</v>
      </c>
      <c r="Q533" s="417">
        <v>12.0</v>
      </c>
      <c r="R533" s="417" t="s">
        <v>5599</v>
      </c>
      <c r="S533" s="417" t="s">
        <v>5600</v>
      </c>
      <c r="T533" s="417" t="s">
        <v>1163</v>
      </c>
    </row>
    <row r="534">
      <c r="A534" s="417" t="s">
        <v>4387</v>
      </c>
    </row>
    <row r="535">
      <c r="A535" s="417" t="s">
        <v>5593</v>
      </c>
    </row>
    <row r="536">
      <c r="A536" s="417" t="s">
        <v>3262</v>
      </c>
    </row>
    <row r="537">
      <c r="A537" s="417" t="s">
        <v>2148</v>
      </c>
    </row>
    <row r="538">
      <c r="A538" s="417" t="s">
        <v>2149</v>
      </c>
    </row>
    <row r="539">
      <c r="F539" s="417" t="s">
        <v>5597</v>
      </c>
      <c r="R539" s="417" t="s">
        <v>5598</v>
      </c>
    </row>
    <row r="540">
      <c r="F540" s="417">
        <v>1.0</v>
      </c>
      <c r="G540" s="417">
        <v>2.0</v>
      </c>
      <c r="H540" s="417">
        <v>3.0</v>
      </c>
      <c r="I540" s="417">
        <v>4.0</v>
      </c>
      <c r="J540" s="417">
        <v>5.0</v>
      </c>
      <c r="K540" s="417">
        <v>6.0</v>
      </c>
      <c r="L540" s="417">
        <v>7.0</v>
      </c>
      <c r="M540" s="417">
        <v>8.0</v>
      </c>
      <c r="N540" s="417">
        <v>9.0</v>
      </c>
      <c r="O540" s="417">
        <v>10.0</v>
      </c>
      <c r="P540" s="417">
        <v>11.0</v>
      </c>
      <c r="Q540" s="417">
        <v>12.0</v>
      </c>
      <c r="R540" s="417" t="s">
        <v>5599</v>
      </c>
      <c r="S540" s="417" t="s">
        <v>5600</v>
      </c>
      <c r="T540" s="417" t="s">
        <v>1163</v>
      </c>
    </row>
    <row r="541">
      <c r="A541" s="417" t="s">
        <v>4387</v>
      </c>
    </row>
    <row r="542">
      <c r="A542" s="417" t="s">
        <v>5593</v>
      </c>
    </row>
    <row r="543">
      <c r="A543" s="417" t="s">
        <v>3262</v>
      </c>
    </row>
    <row r="544">
      <c r="A544" s="417" t="s">
        <v>2222</v>
      </c>
    </row>
    <row r="545">
      <c r="A545" s="417" t="s">
        <v>2223</v>
      </c>
    </row>
    <row r="546">
      <c r="F546" s="417" t="s">
        <v>5597</v>
      </c>
      <c r="R546" s="417" t="s">
        <v>5598</v>
      </c>
    </row>
    <row r="547">
      <c r="F547" s="417">
        <v>1.0</v>
      </c>
      <c r="G547" s="417">
        <v>2.0</v>
      </c>
      <c r="H547" s="417">
        <v>3.0</v>
      </c>
      <c r="I547" s="417">
        <v>4.0</v>
      </c>
      <c r="J547" s="417">
        <v>5.0</v>
      </c>
      <c r="K547" s="417">
        <v>6.0</v>
      </c>
      <c r="L547" s="417">
        <v>7.0</v>
      </c>
      <c r="M547" s="417">
        <v>8.0</v>
      </c>
      <c r="N547" s="417">
        <v>9.0</v>
      </c>
      <c r="O547" s="417">
        <v>10.0</v>
      </c>
      <c r="P547" s="417">
        <v>11.0</v>
      </c>
      <c r="Q547" s="417">
        <v>12.0</v>
      </c>
      <c r="R547" s="417" t="s">
        <v>5599</v>
      </c>
      <c r="S547" s="417" t="s">
        <v>5600</v>
      </c>
      <c r="T547" s="417" t="s">
        <v>1163</v>
      </c>
    </row>
    <row r="548">
      <c r="A548" s="417" t="s">
        <v>4387</v>
      </c>
    </row>
    <row r="549">
      <c r="A549" s="417" t="s">
        <v>5593</v>
      </c>
    </row>
    <row r="550">
      <c r="A550" s="417" t="s">
        <v>3262</v>
      </c>
    </row>
    <row r="551">
      <c r="A551" s="417" t="s">
        <v>2260</v>
      </c>
    </row>
    <row r="552">
      <c r="A552" s="417" t="s">
        <v>2261</v>
      </c>
    </row>
    <row r="553">
      <c r="F553" s="417" t="s">
        <v>5597</v>
      </c>
      <c r="R553" s="417" t="s">
        <v>5598</v>
      </c>
    </row>
    <row r="554">
      <c r="F554" s="417">
        <v>1.0</v>
      </c>
      <c r="G554" s="417">
        <v>2.0</v>
      </c>
      <c r="H554" s="417">
        <v>3.0</v>
      </c>
      <c r="I554" s="417">
        <v>4.0</v>
      </c>
      <c r="J554" s="417">
        <v>5.0</v>
      </c>
      <c r="K554" s="417">
        <v>6.0</v>
      </c>
      <c r="L554" s="417">
        <v>7.0</v>
      </c>
      <c r="M554" s="417">
        <v>8.0</v>
      </c>
      <c r="N554" s="417">
        <v>9.0</v>
      </c>
      <c r="O554" s="417">
        <v>10.0</v>
      </c>
      <c r="P554" s="417">
        <v>11.0</v>
      </c>
      <c r="Q554" s="417">
        <v>12.0</v>
      </c>
      <c r="R554" s="417" t="s">
        <v>5599</v>
      </c>
      <c r="S554" s="417" t="s">
        <v>5600</v>
      </c>
      <c r="T554" s="417" t="s">
        <v>1163</v>
      </c>
    </row>
    <row r="555">
      <c r="A555" s="417" t="s">
        <v>4387</v>
      </c>
    </row>
    <row r="556">
      <c r="A556" s="417" t="s">
        <v>5593</v>
      </c>
    </row>
    <row r="557">
      <c r="A557" s="417" t="s">
        <v>3262</v>
      </c>
    </row>
    <row r="558">
      <c r="A558" s="417" t="s">
        <v>2334</v>
      </c>
    </row>
    <row r="559">
      <c r="A559" s="417" t="s">
        <v>2335</v>
      </c>
    </row>
    <row r="560">
      <c r="F560" s="417" t="s">
        <v>5597</v>
      </c>
      <c r="R560" s="417" t="s">
        <v>5598</v>
      </c>
    </row>
    <row r="561">
      <c r="F561" s="417">
        <v>1.0</v>
      </c>
      <c r="G561" s="417">
        <v>2.0</v>
      </c>
      <c r="H561" s="417">
        <v>3.0</v>
      </c>
      <c r="I561" s="417">
        <v>4.0</v>
      </c>
      <c r="J561" s="417">
        <v>5.0</v>
      </c>
      <c r="K561" s="417">
        <v>6.0</v>
      </c>
      <c r="L561" s="417">
        <v>7.0</v>
      </c>
      <c r="M561" s="417">
        <v>8.0</v>
      </c>
      <c r="N561" s="417">
        <v>9.0</v>
      </c>
      <c r="O561" s="417">
        <v>10.0</v>
      </c>
      <c r="P561" s="417">
        <v>11.0</v>
      </c>
      <c r="Q561" s="417">
        <v>12.0</v>
      </c>
      <c r="R561" s="417" t="s">
        <v>5599</v>
      </c>
      <c r="S561" s="417" t="s">
        <v>5600</v>
      </c>
      <c r="T561" s="417" t="s">
        <v>1163</v>
      </c>
    </row>
    <row r="562">
      <c r="A562" s="417" t="s">
        <v>4387</v>
      </c>
    </row>
    <row r="563">
      <c r="A563" s="417" t="s">
        <v>5593</v>
      </c>
    </row>
    <row r="564">
      <c r="A564" s="417" t="s">
        <v>3262</v>
      </c>
    </row>
    <row r="565">
      <c r="A565" s="417" t="s">
        <v>2408</v>
      </c>
    </row>
    <row r="566">
      <c r="A566" s="417" t="s">
        <v>2409</v>
      </c>
    </row>
    <row r="567">
      <c r="F567" s="417" t="s">
        <v>5597</v>
      </c>
      <c r="R567" s="417" t="s">
        <v>5598</v>
      </c>
    </row>
    <row r="568">
      <c r="F568" s="417">
        <v>1.0</v>
      </c>
      <c r="G568" s="417">
        <v>2.0</v>
      </c>
      <c r="H568" s="417">
        <v>3.0</v>
      </c>
      <c r="I568" s="417">
        <v>4.0</v>
      </c>
      <c r="J568" s="417">
        <v>5.0</v>
      </c>
      <c r="K568" s="417">
        <v>6.0</v>
      </c>
      <c r="L568" s="417">
        <v>7.0</v>
      </c>
      <c r="M568" s="417">
        <v>8.0</v>
      </c>
      <c r="N568" s="417">
        <v>9.0</v>
      </c>
      <c r="O568" s="417">
        <v>10.0</v>
      </c>
      <c r="P568" s="417">
        <v>11.0</v>
      </c>
      <c r="Q568" s="417">
        <v>12.0</v>
      </c>
      <c r="R568" s="417" t="s">
        <v>5599</v>
      </c>
      <c r="S568" s="417" t="s">
        <v>5600</v>
      </c>
      <c r="T568" s="417" t="s">
        <v>1163</v>
      </c>
    </row>
  </sheetData>
  <autoFilter ref="$A$1:$AC$1000">
    <sortState ref="A1:AC1000">
      <sortCondition ref="D1:D1000"/>
    </sortState>
  </autoFil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86"/>
  </cols>
  <sheetData>
    <row r="2">
      <c r="A2" s="417" t="s">
        <v>2942</v>
      </c>
      <c r="B2" s="485" t="str">
        <f t="shared" ref="B2:B3" si="1">PROPER(A2)</f>
        <v>Abdul Ghofar </v>
      </c>
    </row>
    <row r="3">
      <c r="A3" s="417" t="s">
        <v>2601</v>
      </c>
      <c r="B3" s="485" t="str">
        <f t="shared" si="1"/>
        <v>Abhinaya Zaidan Akbar </v>
      </c>
    </row>
    <row r="4">
      <c r="A4" s="417" t="s">
        <v>2893</v>
      </c>
    </row>
    <row r="5">
      <c r="A5" s="417" t="s">
        <v>2699</v>
      </c>
      <c r="B5" s="485" t="str">
        <f t="shared" ref="B5:B10" si="2">PROPER(A5)</f>
        <v>Achmad Ardiansyah </v>
      </c>
    </row>
    <row r="6">
      <c r="A6" s="417" t="s">
        <v>2747</v>
      </c>
      <c r="B6" s="485" t="str">
        <f t="shared" si="2"/>
        <v>Achmad Firza Ghibran </v>
      </c>
    </row>
    <row r="7">
      <c r="A7" s="417" t="s">
        <v>2795</v>
      </c>
      <c r="B7" s="485" t="str">
        <f t="shared" si="2"/>
        <v>Adara Luthfia Putri </v>
      </c>
    </row>
    <row r="8">
      <c r="A8" s="417" t="s">
        <v>2843</v>
      </c>
      <c r="B8" s="485" t="str">
        <f t="shared" si="2"/>
        <v>Adelia Niken </v>
      </c>
    </row>
    <row r="9">
      <c r="A9" s="417" t="s">
        <v>2494</v>
      </c>
      <c r="B9" s="485" t="str">
        <f t="shared" si="2"/>
        <v>Adhie Bramantyo Faqih </v>
      </c>
    </row>
    <row r="10">
      <c r="A10" s="417" t="s">
        <v>2749</v>
      </c>
      <c r="B10" s="485" t="str">
        <f t="shared" si="2"/>
        <v>Adi Pati Jaya Prana </v>
      </c>
    </row>
    <row r="11">
      <c r="A11" s="417" t="s">
        <v>2991</v>
      </c>
    </row>
    <row r="12">
      <c r="A12" s="417" t="s">
        <v>2548</v>
      </c>
      <c r="B12" s="485" t="str">
        <f>PROPER(A12)</f>
        <v>Adinda Syahira Hariyadi </v>
      </c>
    </row>
    <row r="13">
      <c r="A13" s="417" t="s">
        <v>2943</v>
      </c>
    </row>
    <row r="14">
      <c r="A14" s="417" t="s">
        <v>2700</v>
      </c>
      <c r="B14" s="485" t="str">
        <f>PROPER(A14)</f>
        <v>Adrian Muhammad Fadillah </v>
      </c>
    </row>
    <row r="15">
      <c r="A15" s="417" t="s">
        <v>2945</v>
      </c>
    </row>
    <row r="16">
      <c r="A16" s="417" t="s">
        <v>3043</v>
      </c>
    </row>
    <row r="17">
      <c r="A17" s="417" t="s">
        <v>2650</v>
      </c>
      <c r="B17" s="485" t="str">
        <f t="shared" ref="B17:B19" si="3">PROPER(A17)</f>
        <v>Ahmad Azmi Mutaarrofi </v>
      </c>
    </row>
    <row r="18">
      <c r="A18" s="417" t="s">
        <v>2797</v>
      </c>
      <c r="B18" s="485" t="str">
        <f t="shared" si="3"/>
        <v>Ahmad Fahri Hidayat </v>
      </c>
    </row>
    <row r="19">
      <c r="A19" s="417" t="s">
        <v>2652</v>
      </c>
      <c r="B19" s="485" t="str">
        <f t="shared" si="3"/>
        <v>Ahmad Farely Azriel </v>
      </c>
    </row>
    <row r="20">
      <c r="A20" s="417" t="s">
        <v>2895</v>
      </c>
    </row>
    <row r="21">
      <c r="A21" s="417" t="s">
        <v>2946</v>
      </c>
    </row>
    <row r="22">
      <c r="A22" s="417" t="s">
        <v>3045</v>
      </c>
    </row>
    <row r="23">
      <c r="A23" s="417" t="s">
        <v>2702</v>
      </c>
      <c r="B23" s="485" t="str">
        <f t="shared" ref="B23:B27" si="4">PROPER(A23)</f>
        <v>Aira Alessia Adha </v>
      </c>
    </row>
    <row r="24">
      <c r="A24" s="417" t="s">
        <v>2550</v>
      </c>
      <c r="B24" s="485" t="str">
        <f t="shared" si="4"/>
        <v>Aira Aulia Putri </v>
      </c>
    </row>
    <row r="25">
      <c r="A25" s="417" t="s">
        <v>2703</v>
      </c>
      <c r="B25" s="485" t="str">
        <f t="shared" si="4"/>
        <v>Aira Febria Sari </v>
      </c>
    </row>
    <row r="26">
      <c r="A26" s="417" t="s">
        <v>2799</v>
      </c>
      <c r="B26" s="485" t="str">
        <f t="shared" si="4"/>
        <v>Aira Kirana </v>
      </c>
    </row>
    <row r="27">
      <c r="A27" s="417" t="s">
        <v>2552</v>
      </c>
      <c r="B27" s="485" t="str">
        <f t="shared" si="4"/>
        <v>Aisha Faiha Dzakiyah </v>
      </c>
    </row>
    <row r="28">
      <c r="A28" s="417" t="s">
        <v>2896</v>
      </c>
    </row>
    <row r="29">
      <c r="A29" s="417" t="s">
        <v>2845</v>
      </c>
      <c r="B29" s="485" t="str">
        <f>PROPER(A29)</f>
        <v>Aisyah Agustiani </v>
      </c>
    </row>
    <row r="30">
      <c r="A30" s="417" t="s">
        <v>3047</v>
      </c>
    </row>
    <row r="31">
      <c r="A31" s="417" t="s">
        <v>3048</v>
      </c>
    </row>
    <row r="32">
      <c r="A32" s="417" t="s">
        <v>2993</v>
      </c>
    </row>
    <row r="33">
      <c r="A33" s="417" t="s">
        <v>2947</v>
      </c>
    </row>
    <row r="34">
      <c r="A34" s="417" t="s">
        <v>2994</v>
      </c>
    </row>
    <row r="35">
      <c r="A35" s="417" t="s">
        <v>2705</v>
      </c>
      <c r="B35" s="485" t="str">
        <f t="shared" ref="B35:B37" si="5">PROPER(A35)</f>
        <v>Al Jadid Syafruddin Lubis </v>
      </c>
    </row>
    <row r="36">
      <c r="A36" s="417" t="s">
        <v>2846</v>
      </c>
      <c r="B36" s="485" t="str">
        <f t="shared" si="5"/>
        <v>Alenka Meisyarofa </v>
      </c>
    </row>
    <row r="37">
      <c r="A37" s="417" t="s">
        <v>2750</v>
      </c>
      <c r="B37" s="485" t="str">
        <f t="shared" si="5"/>
        <v>Alfany Himma Roudina </v>
      </c>
    </row>
    <row r="38">
      <c r="A38" s="417" t="s">
        <v>2948</v>
      </c>
    </row>
    <row r="39">
      <c r="A39" s="417" t="s">
        <v>2653</v>
      </c>
      <c r="B39" s="485" t="str">
        <f t="shared" ref="B39:B46" si="6">PROPER(A39)</f>
        <v>Alfian Chaniago </v>
      </c>
    </row>
    <row r="40">
      <c r="A40" s="417" t="s">
        <v>2554</v>
      </c>
      <c r="B40" s="485" t="str">
        <f t="shared" si="6"/>
        <v>Alifa Safa Salsabila </v>
      </c>
    </row>
    <row r="41">
      <c r="A41" s="417" t="s">
        <v>2847</v>
      </c>
      <c r="B41" s="485" t="str">
        <f t="shared" si="6"/>
        <v>Alifa Taqqiya Zahwa </v>
      </c>
    </row>
    <row r="42">
      <c r="A42" s="417" t="s">
        <v>2848</v>
      </c>
      <c r="B42" s="485" t="str">
        <f t="shared" si="6"/>
        <v>Alifah Hasannah </v>
      </c>
    </row>
    <row r="43">
      <c r="A43" s="417" t="s">
        <v>2752</v>
      </c>
      <c r="B43" s="485" t="str">
        <f t="shared" si="6"/>
        <v>Alisa Putri </v>
      </c>
    </row>
    <row r="44">
      <c r="A44" s="417" t="s">
        <v>2706</v>
      </c>
      <c r="B44" s="485" t="str">
        <f t="shared" si="6"/>
        <v>Alisya Belva Dhio </v>
      </c>
    </row>
    <row r="45">
      <c r="A45" s="417" t="s">
        <v>2800</v>
      </c>
      <c r="B45" s="485" t="str">
        <f t="shared" si="6"/>
        <v>Aliya Trianzani Putri </v>
      </c>
    </row>
    <row r="46">
      <c r="A46" s="417" t="s">
        <v>2654</v>
      </c>
      <c r="B46" s="485" t="str">
        <f t="shared" si="6"/>
        <v>Alleandra Kaif Finandita </v>
      </c>
    </row>
    <row r="47">
      <c r="A47" s="417" t="s">
        <v>3049</v>
      </c>
    </row>
    <row r="48">
      <c r="A48" s="417" t="s">
        <v>2996</v>
      </c>
    </row>
    <row r="49">
      <c r="A49" s="417" t="s">
        <v>2496</v>
      </c>
      <c r="B49" s="485" t="str">
        <f t="shared" ref="B49:B54" si="7">PROPER(A49)</f>
        <v>Almira Dwi Safira </v>
      </c>
    </row>
    <row r="50">
      <c r="A50" s="417" t="s">
        <v>2656</v>
      </c>
      <c r="B50" s="485" t="str">
        <f t="shared" si="7"/>
        <v>Altaira Aqila Myesha Ario </v>
      </c>
    </row>
    <row r="51">
      <c r="A51" s="417" t="s">
        <v>2555</v>
      </c>
      <c r="B51" s="485" t="str">
        <f t="shared" si="7"/>
        <v>Alviana Dwie Putery </v>
      </c>
    </row>
    <row r="52">
      <c r="A52" s="417" t="s">
        <v>2801</v>
      </c>
      <c r="B52" s="485" t="str">
        <f t="shared" si="7"/>
        <v>Alya Silvana Sarifah </v>
      </c>
    </row>
    <row r="53">
      <c r="A53" s="417" t="s">
        <v>2556</v>
      </c>
      <c r="B53" s="485" t="str">
        <f t="shared" si="7"/>
        <v>Alyya Zahra Kusumadewi </v>
      </c>
    </row>
    <row r="54">
      <c r="A54" s="417" t="s">
        <v>2498</v>
      </c>
      <c r="B54" s="485" t="str">
        <f t="shared" si="7"/>
        <v>Alzena Juneeta Talisha Theo </v>
      </c>
    </row>
    <row r="55">
      <c r="A55" s="417" t="s">
        <v>2950</v>
      </c>
    </row>
    <row r="56">
      <c r="A56" s="417" t="s">
        <v>2707</v>
      </c>
      <c r="B56" s="485" t="str">
        <f t="shared" ref="B56:B59" si="8">PROPER(A56)</f>
        <v>Amira Agni Kayla Raisya </v>
      </c>
    </row>
    <row r="57">
      <c r="A57" s="417" t="s">
        <v>2657</v>
      </c>
      <c r="B57" s="485" t="str">
        <f t="shared" si="8"/>
        <v>Amira Najwa Fauziyah </v>
      </c>
    </row>
    <row r="58">
      <c r="A58" s="417" t="s">
        <v>2708</v>
      </c>
      <c r="B58" s="485" t="str">
        <f t="shared" si="8"/>
        <v>Amirah Khalishah Somoal </v>
      </c>
    </row>
    <row r="59">
      <c r="A59" s="417" t="s">
        <v>2557</v>
      </c>
      <c r="B59" s="485" t="str">
        <f t="shared" si="8"/>
        <v>Ammar Raziq Mahdiya </v>
      </c>
    </row>
    <row r="60">
      <c r="A60" s="417" t="s">
        <v>2951</v>
      </c>
    </row>
    <row r="61">
      <c r="A61" s="417" t="s">
        <v>2709</v>
      </c>
      <c r="B61" s="485" t="str">
        <f t="shared" ref="B61:B66" si="9">PROPER(A61)</f>
        <v>Anas Legawa Riyadi </v>
      </c>
    </row>
    <row r="62">
      <c r="A62" s="417" t="s">
        <v>2849</v>
      </c>
      <c r="B62" s="485" t="str">
        <f t="shared" si="9"/>
        <v>Andagita Vilnaria Atha </v>
      </c>
    </row>
    <row r="63">
      <c r="A63" s="417" t="s">
        <v>2559</v>
      </c>
      <c r="B63" s="485" t="str">
        <f t="shared" si="9"/>
        <v>Andini Qoriyati Khaerani </v>
      </c>
    </row>
    <row r="64">
      <c r="A64" s="417" t="s">
        <v>2603</v>
      </c>
      <c r="B64" s="485" t="str">
        <f t="shared" si="9"/>
        <v>Andra Rakadityono </v>
      </c>
    </row>
    <row r="65">
      <c r="A65" s="417" t="s">
        <v>2802</v>
      </c>
      <c r="B65" s="485" t="str">
        <f t="shared" si="9"/>
        <v>Anindya Estyana Damayanti </v>
      </c>
    </row>
    <row r="66">
      <c r="A66" s="417" t="s">
        <v>2604</v>
      </c>
      <c r="B66" s="485" t="str">
        <f t="shared" si="9"/>
        <v>Anjani Safira Salma </v>
      </c>
    </row>
    <row r="67">
      <c r="A67" s="417" t="s">
        <v>2998</v>
      </c>
    </row>
    <row r="68">
      <c r="A68" s="417" t="s">
        <v>2710</v>
      </c>
      <c r="B68" s="485" t="str">
        <f>PROPER(A68)</f>
        <v>Annisa Fitriyani </v>
      </c>
    </row>
    <row r="69">
      <c r="A69" s="417" t="s">
        <v>3050</v>
      </c>
    </row>
    <row r="70">
      <c r="A70" s="417" t="s">
        <v>2658</v>
      </c>
      <c r="B70" s="485" t="str">
        <f t="shared" ref="B70:B71" si="10">PROPER(A70)</f>
        <v>Aphrodyta Aurelia Avrilla </v>
      </c>
    </row>
    <row r="71">
      <c r="A71" s="417" t="s">
        <v>2560</v>
      </c>
      <c r="B71" s="485" t="str">
        <f t="shared" si="10"/>
        <v>Aqeela Az Zahra </v>
      </c>
    </row>
    <row r="72">
      <c r="A72" s="417" t="s">
        <v>2898</v>
      </c>
    </row>
    <row r="73">
      <c r="A73" s="417" t="s">
        <v>2753</v>
      </c>
      <c r="B73" s="485" t="str">
        <f>PROPER(A73)</f>
        <v>Aqila Noya Faiza </v>
      </c>
    </row>
    <row r="74">
      <c r="A74" s="417" t="s">
        <v>2899</v>
      </c>
    </row>
    <row r="75">
      <c r="A75" s="417" t="s">
        <v>2659</v>
      </c>
      <c r="B75" s="485" t="str">
        <f t="shared" ref="B75:B78" si="11">PROPER(A75)</f>
        <v>Aqueena Putri Salimah </v>
      </c>
    </row>
    <row r="76">
      <c r="A76" s="417" t="s">
        <v>2561</v>
      </c>
      <c r="B76" s="485" t="str">
        <f t="shared" si="11"/>
        <v>Arfan Kristian Perlindungan Harefa </v>
      </c>
    </row>
    <row r="77">
      <c r="A77" s="417" t="s">
        <v>2606</v>
      </c>
      <c r="B77" s="485" t="str">
        <f t="shared" si="11"/>
        <v>Ario Bimo Wicaksono </v>
      </c>
    </row>
    <row r="78">
      <c r="A78" s="417" t="s">
        <v>2850</v>
      </c>
      <c r="B78" s="485" t="str">
        <f t="shared" si="11"/>
        <v>Ariqah Putri Nasution </v>
      </c>
    </row>
    <row r="79">
      <c r="A79" s="417" t="s">
        <v>2900</v>
      </c>
    </row>
    <row r="80">
      <c r="A80" s="417" t="s">
        <v>2607</v>
      </c>
      <c r="B80" s="485" t="str">
        <f>PROPER(A80)</f>
        <v>Arman Firmansyah </v>
      </c>
    </row>
    <row r="81">
      <c r="A81" s="417" t="s">
        <v>3051</v>
      </c>
    </row>
    <row r="82">
      <c r="A82" s="417" t="s">
        <v>3052</v>
      </c>
    </row>
    <row r="83">
      <c r="A83" s="417" t="s">
        <v>2499</v>
      </c>
      <c r="B83" s="485" t="str">
        <f t="shared" ref="B83:B85" si="12">PROPER(A83)</f>
        <v>Arya Aditya Gunawan </v>
      </c>
    </row>
    <row r="84">
      <c r="A84" s="417" t="s">
        <v>2500</v>
      </c>
      <c r="B84" s="485" t="str">
        <f t="shared" si="12"/>
        <v>Aryasatia Pradipta </v>
      </c>
    </row>
    <row r="85">
      <c r="A85" s="417" t="s">
        <v>2562</v>
      </c>
      <c r="B85" s="485" t="str">
        <f t="shared" si="12"/>
        <v>Ashiila Rindu Dwi Laufli </v>
      </c>
    </row>
    <row r="86">
      <c r="A86" s="417" t="s">
        <v>2999</v>
      </c>
    </row>
    <row r="87">
      <c r="A87" s="417" t="s">
        <v>2901</v>
      </c>
    </row>
    <row r="88">
      <c r="A88" s="417" t="s">
        <v>2501</v>
      </c>
      <c r="B88" s="485" t="str">
        <f t="shared" ref="B88:B89" si="13">PROPER(A88)</f>
        <v>Asyifa Diandra Bayu </v>
      </c>
    </row>
    <row r="89">
      <c r="A89" s="417" t="s">
        <v>2502</v>
      </c>
      <c r="B89" s="485" t="str">
        <f t="shared" si="13"/>
        <v>Asyifa Maulidia Salsabila </v>
      </c>
    </row>
    <row r="90">
      <c r="A90" s="417" t="s">
        <v>2952</v>
      </c>
    </row>
    <row r="91">
      <c r="A91" s="417" t="s">
        <v>2563</v>
      </c>
      <c r="B91" s="485" t="str">
        <f>PROPER(A91)</f>
        <v>Atharrayhan Abimanyu Pratama </v>
      </c>
    </row>
    <row r="92">
      <c r="A92" s="417" t="s">
        <v>2953</v>
      </c>
    </row>
    <row r="93">
      <c r="A93" s="417" t="s">
        <v>2902</v>
      </c>
    </row>
    <row r="94">
      <c r="A94" s="417" t="s">
        <v>2608</v>
      </c>
      <c r="B94" s="485" t="str">
        <f t="shared" ref="B94:B95" si="14">PROPER(A94)</f>
        <v>Attaya Putri Faslahi </v>
      </c>
    </row>
    <row r="95">
      <c r="A95" s="417" t="s">
        <v>2609</v>
      </c>
      <c r="B95" s="485" t="str">
        <f t="shared" si="14"/>
        <v>Attiyah Naila Adza Alifah </v>
      </c>
    </row>
    <row r="96">
      <c r="A96" s="417" t="s">
        <v>2903</v>
      </c>
    </row>
    <row r="97">
      <c r="A97" s="417" t="s">
        <v>2610</v>
      </c>
      <c r="B97" s="485" t="str">
        <f t="shared" ref="B97:B98" si="15">PROPER(A97)</f>
        <v>Aulia Azahra </v>
      </c>
    </row>
    <row r="98">
      <c r="A98" s="417" t="s">
        <v>2851</v>
      </c>
      <c r="B98" s="485" t="str">
        <f t="shared" si="15"/>
        <v>Aulia Cinta Divia </v>
      </c>
    </row>
    <row r="99">
      <c r="A99" s="417" t="s">
        <v>3000</v>
      </c>
    </row>
    <row r="100">
      <c r="A100" s="417" t="s">
        <v>2954</v>
      </c>
    </row>
    <row r="101">
      <c r="A101" s="417" t="s">
        <v>2503</v>
      </c>
      <c r="B101" s="485" t="str">
        <f t="shared" ref="B101:B103" si="16">PROPER(A101)</f>
        <v>Aurelia Langit Callysta </v>
      </c>
    </row>
    <row r="102">
      <c r="A102" s="417" t="s">
        <v>2504</v>
      </c>
      <c r="B102" s="485" t="str">
        <f t="shared" si="16"/>
        <v>Aurelia Septiani Putri </v>
      </c>
    </row>
    <row r="103">
      <c r="A103" s="417" t="s">
        <v>2564</v>
      </c>
      <c r="B103" s="485" t="str">
        <f t="shared" si="16"/>
        <v>Aurelly Diana Zulkarnaen </v>
      </c>
    </row>
    <row r="104">
      <c r="A104" s="417" t="s">
        <v>2955</v>
      </c>
    </row>
    <row r="105">
      <c r="A105" s="417" t="s">
        <v>3053</v>
      </c>
    </row>
    <row r="106">
      <c r="A106" s="417" t="s">
        <v>3001</v>
      </c>
    </row>
    <row r="107">
      <c r="A107" s="417" t="s">
        <v>3054</v>
      </c>
    </row>
    <row r="108">
      <c r="A108" s="417" t="s">
        <v>3055</v>
      </c>
    </row>
    <row r="109">
      <c r="A109" s="417" t="s">
        <v>2852</v>
      </c>
      <c r="B109" s="485" t="str">
        <f t="shared" ref="B109:B110" si="17">PROPER(A109)</f>
        <v>Aysha Mahira Dewi Tryana </v>
      </c>
    </row>
    <row r="110">
      <c r="A110" s="417" t="s">
        <v>2505</v>
      </c>
      <c r="B110" s="485" t="str">
        <f t="shared" si="17"/>
        <v>Azalia Maheswari Christabel </v>
      </c>
    </row>
    <row r="111">
      <c r="A111" s="417" t="s">
        <v>3002</v>
      </c>
    </row>
    <row r="112">
      <c r="A112" s="417" t="s">
        <v>3003</v>
      </c>
    </row>
    <row r="113">
      <c r="A113" s="417" t="s">
        <v>3004</v>
      </c>
    </row>
    <row r="114">
      <c r="A114" s="417" t="s">
        <v>2803</v>
      </c>
      <c r="B114" s="485" t="str">
        <f>PROPER(A114)</f>
        <v>Azri Aditya Amada </v>
      </c>
    </row>
    <row r="115">
      <c r="A115" s="417" t="s">
        <v>3005</v>
      </c>
    </row>
    <row r="116">
      <c r="A116" s="417" t="s">
        <v>2711</v>
      </c>
      <c r="B116" s="485" t="str">
        <f>PROPER(A116)</f>
        <v>Bagaskara Bisma Anoka </v>
      </c>
    </row>
    <row r="117">
      <c r="A117" s="417" t="s">
        <v>3006</v>
      </c>
    </row>
    <row r="118">
      <c r="A118" s="417" t="s">
        <v>2904</v>
      </c>
    </row>
    <row r="119">
      <c r="A119" s="417" t="s">
        <v>2853</v>
      </c>
      <c r="B119" s="485" t="str">
        <f>PROPER(A119)</f>
        <v>Belinda Angelica  </v>
      </c>
    </row>
    <row r="120">
      <c r="A120" s="417" t="s">
        <v>2956</v>
      </c>
    </row>
    <row r="121">
      <c r="A121" s="417" t="s">
        <v>2754</v>
      </c>
      <c r="B121" s="485" t="str">
        <f t="shared" ref="B121:B127" si="18">PROPER(A121)</f>
        <v>Bernala Baratama Sirait </v>
      </c>
    </row>
    <row r="122">
      <c r="A122" s="417" t="s">
        <v>2611</v>
      </c>
      <c r="B122" s="485" t="str">
        <f t="shared" si="18"/>
        <v>Bianca Aurelia Putri Asari </v>
      </c>
    </row>
    <row r="123">
      <c r="A123" s="417" t="s">
        <v>2506</v>
      </c>
      <c r="B123" s="485" t="str">
        <f t="shared" si="18"/>
        <v>Bilqis Anwar Thebe </v>
      </c>
    </row>
    <row r="124">
      <c r="A124" s="417" t="s">
        <v>2712</v>
      </c>
      <c r="B124" s="485" t="str">
        <f t="shared" si="18"/>
        <v>Bilqis Nikita Aylani </v>
      </c>
    </row>
    <row r="125">
      <c r="A125" s="417" t="s">
        <v>2565</v>
      </c>
      <c r="B125" s="485" t="str">
        <f t="shared" si="18"/>
        <v>Bima Adyatma Ilmiawan </v>
      </c>
    </row>
    <row r="126">
      <c r="A126" s="417" t="s">
        <v>2854</v>
      </c>
      <c r="B126" s="485" t="str">
        <f t="shared" si="18"/>
        <v>Bima Anggareksa Yusiansyah </v>
      </c>
    </row>
    <row r="127">
      <c r="A127" s="417" t="s">
        <v>2509</v>
      </c>
      <c r="B127" s="485" t="str">
        <f t="shared" si="18"/>
        <v>Bimo Armani Aulia Putra </v>
      </c>
    </row>
    <row r="128">
      <c r="A128" s="417" t="s">
        <v>3056</v>
      </c>
    </row>
    <row r="129">
      <c r="A129" s="417" t="s">
        <v>2957</v>
      </c>
    </row>
    <row r="130">
      <c r="A130" s="417" t="s">
        <v>2612</v>
      </c>
      <c r="B130" s="485" t="str">
        <f t="shared" ref="B130:B131" si="19">PROPER(A130)</f>
        <v>Bumi Byakta Alfian </v>
      </c>
    </row>
    <row r="131">
      <c r="A131" s="417" t="s">
        <v>2510</v>
      </c>
      <c r="B131" s="485" t="str">
        <f t="shared" si="19"/>
        <v>Callysta Tuchi Solin </v>
      </c>
    </row>
    <row r="132">
      <c r="A132" s="417" t="s">
        <v>3007</v>
      </c>
    </row>
    <row r="133">
      <c r="A133" s="417" t="s">
        <v>2660</v>
      </c>
      <c r="B133" s="485" t="str">
        <f>PROPER(A133)</f>
        <v>Chairani Kanza Wulandaputri </v>
      </c>
    </row>
    <row r="134">
      <c r="A134" s="417" t="s">
        <v>2905</v>
      </c>
    </row>
    <row r="135">
      <c r="A135" s="417" t="s">
        <v>2755</v>
      </c>
      <c r="B135" s="485" t="str">
        <f>PROPER(A135)</f>
        <v>Chempaka Balqist Zavira Mentary Misman </v>
      </c>
    </row>
    <row r="136">
      <c r="A136" s="417" t="s">
        <v>2906</v>
      </c>
    </row>
    <row r="137">
      <c r="A137" s="417" t="s">
        <v>2613</v>
      </c>
      <c r="B137" s="485" t="str">
        <f>PROPER(A137)</f>
        <v>Cheryl Faiha Al-Tair </v>
      </c>
    </row>
    <row r="138">
      <c r="A138" s="417" t="s">
        <v>3008</v>
      </c>
    </row>
    <row r="139">
      <c r="A139" s="417" t="s">
        <v>2614</v>
      </c>
      <c r="B139" s="485" t="str">
        <f t="shared" ref="B139:B142" si="20">PROPER(A139)</f>
        <v>Cindy Ramadhani Sinulingga </v>
      </c>
    </row>
    <row r="140">
      <c r="A140" s="417" t="s">
        <v>2566</v>
      </c>
      <c r="B140" s="485" t="str">
        <f t="shared" si="20"/>
        <v>Cinta Cludia Putri </v>
      </c>
    </row>
    <row r="141">
      <c r="A141" s="417" t="s">
        <v>2804</v>
      </c>
      <c r="B141" s="485" t="str">
        <f t="shared" si="20"/>
        <v>Clara Dwi Cahya </v>
      </c>
    </row>
    <row r="142">
      <c r="A142" s="417" t="s">
        <v>2805</v>
      </c>
      <c r="B142" s="485" t="str">
        <f t="shared" si="20"/>
        <v>Clarisa Meidiana </v>
      </c>
    </row>
    <row r="143">
      <c r="A143" s="417" t="s">
        <v>2958</v>
      </c>
    </row>
    <row r="144">
      <c r="A144" s="417" t="s">
        <v>3057</v>
      </c>
    </row>
    <row r="145">
      <c r="A145" s="417" t="s">
        <v>2806</v>
      </c>
      <c r="B145" s="485" t="str">
        <f t="shared" ref="B145:B147" si="21">PROPER(A145)</f>
        <v>Daffa Khoirul Fajri </v>
      </c>
    </row>
    <row r="146">
      <c r="A146" s="417" t="s">
        <v>2567</v>
      </c>
      <c r="B146" s="485" t="str">
        <f t="shared" si="21"/>
        <v>Dafsyah Arifa Putra </v>
      </c>
    </row>
    <row r="147">
      <c r="A147" s="543" t="s">
        <v>1</v>
      </c>
      <c r="B147" s="485" t="str">
        <f t="shared" si="21"/>
        <v>Daftar Capaian Pembelajaran Semester 1</v>
      </c>
    </row>
    <row r="148">
      <c r="A148" s="417" t="s">
        <v>2907</v>
      </c>
    </row>
    <row r="149">
      <c r="A149" s="417" t="s">
        <v>3058</v>
      </c>
    </row>
    <row r="150">
      <c r="A150" s="417" t="s">
        <v>2615</v>
      </c>
      <c r="B150" s="485" t="str">
        <f>PROPER(A150)</f>
        <v>Danesh Arrayan Syahreen </v>
      </c>
    </row>
    <row r="151">
      <c r="A151" s="417" t="s">
        <v>3059</v>
      </c>
    </row>
    <row r="152">
      <c r="A152" s="417" t="s">
        <v>2756</v>
      </c>
      <c r="B152" s="485" t="str">
        <f t="shared" ref="B152:B153" si="22">PROPER(A152)</f>
        <v>Defrino Viernadi Laitnis Yusfa </v>
      </c>
    </row>
    <row r="153">
      <c r="A153" s="417" t="s">
        <v>2856</v>
      </c>
      <c r="B153" s="485" t="str">
        <f t="shared" si="22"/>
        <v>Dela Ananda Putri  </v>
      </c>
    </row>
    <row r="154">
      <c r="A154" s="417" t="s">
        <v>3060</v>
      </c>
    </row>
    <row r="155">
      <c r="A155" s="417" t="s">
        <v>2568</v>
      </c>
      <c r="B155" s="485" t="str">
        <f t="shared" ref="B155:B166" si="23">PROPER(A155)</f>
        <v>Denisa Azka Putri </v>
      </c>
    </row>
    <row r="156">
      <c r="A156" s="417" t="s">
        <v>2569</v>
      </c>
      <c r="B156" s="485" t="str">
        <f t="shared" si="23"/>
        <v>Devani Keyla Noris </v>
      </c>
    </row>
    <row r="157">
      <c r="A157" s="417" t="s">
        <v>2661</v>
      </c>
      <c r="B157" s="485" t="str">
        <f t="shared" si="23"/>
        <v>Dhefa Raditya Putra </v>
      </c>
    </row>
    <row r="158">
      <c r="A158" s="417" t="s">
        <v>2807</v>
      </c>
      <c r="B158" s="485" t="str">
        <f t="shared" si="23"/>
        <v>Dhia Devita Ramadhani </v>
      </c>
    </row>
    <row r="159">
      <c r="A159" s="417" t="s">
        <v>2757</v>
      </c>
      <c r="B159" s="485" t="str">
        <f t="shared" si="23"/>
        <v>Dhia Salsabila </v>
      </c>
    </row>
    <row r="160">
      <c r="A160" s="417" t="s">
        <v>2616</v>
      </c>
      <c r="B160" s="485" t="str">
        <f t="shared" si="23"/>
        <v>Dhyra Putra Pratama </v>
      </c>
    </row>
    <row r="161">
      <c r="A161" s="417" t="s">
        <v>2808</v>
      </c>
      <c r="B161" s="485" t="str">
        <f t="shared" si="23"/>
        <v>Diajeng Inggil Lintang Aulia </v>
      </c>
    </row>
    <row r="162">
      <c r="A162" s="417" t="s">
        <v>2857</v>
      </c>
      <c r="B162" s="485" t="str">
        <f t="shared" si="23"/>
        <v>Dian Noer Savitri  </v>
      </c>
    </row>
    <row r="163">
      <c r="A163" s="417" t="s">
        <v>2858</v>
      </c>
      <c r="B163" s="485" t="str">
        <f t="shared" si="23"/>
        <v>Diandra Mentari Fazri  </v>
      </c>
    </row>
    <row r="164">
      <c r="A164" s="417" t="s">
        <v>2662</v>
      </c>
      <c r="B164" s="485" t="str">
        <f t="shared" si="23"/>
        <v>Diaz Syeza Zivanna </v>
      </c>
    </row>
    <row r="165">
      <c r="A165" s="417" t="s">
        <v>2713</v>
      </c>
      <c r="B165" s="485" t="str">
        <f t="shared" si="23"/>
        <v>Dilla Novianti Putri </v>
      </c>
    </row>
    <row r="166">
      <c r="A166" s="417" t="s">
        <v>2570</v>
      </c>
      <c r="B166" s="485" t="str">
        <f t="shared" si="23"/>
        <v>Dimas Putra Pribadi </v>
      </c>
    </row>
    <row r="167">
      <c r="A167" s="417" t="s">
        <v>2959</v>
      </c>
    </row>
    <row r="168">
      <c r="A168" s="417" t="s">
        <v>2714</v>
      </c>
      <c r="B168" s="485" t="str">
        <f t="shared" ref="B168:B169" si="24">PROPER(A168)</f>
        <v>Dinda Aulia </v>
      </c>
    </row>
    <row r="169">
      <c r="A169" s="417" t="s">
        <v>2758</v>
      </c>
      <c r="B169" s="485" t="str">
        <f t="shared" si="24"/>
        <v>Dinda Dyah Pitaloka </v>
      </c>
    </row>
    <row r="170">
      <c r="A170" s="417" t="s">
        <v>2960</v>
      </c>
    </row>
    <row r="171">
      <c r="A171" s="417" t="s">
        <v>2961</v>
      </c>
    </row>
    <row r="172">
      <c r="A172" s="417" t="s">
        <v>2859</v>
      </c>
      <c r="B172" s="485" t="str">
        <f t="shared" ref="B172:B178" si="25">PROPER(A172)</f>
        <v>Divania Kayla Windu Sabrina </v>
      </c>
    </row>
    <row r="173">
      <c r="A173" s="417" t="s">
        <v>2511</v>
      </c>
      <c r="B173" s="485" t="str">
        <f t="shared" si="25"/>
        <v>Diwangkara Rizki Rabbani </v>
      </c>
    </row>
    <row r="174">
      <c r="A174" s="417" t="s">
        <v>2759</v>
      </c>
      <c r="B174" s="485" t="str">
        <f t="shared" si="25"/>
        <v>Dwi Irmawati </v>
      </c>
    </row>
    <row r="175">
      <c r="A175" s="417" t="s">
        <v>2663</v>
      </c>
      <c r="B175" s="485" t="str">
        <f t="shared" si="25"/>
        <v>Dwi Nailah Azhara </v>
      </c>
    </row>
    <row r="176">
      <c r="A176" s="417" t="s">
        <v>2860</v>
      </c>
      <c r="B176" s="485" t="str">
        <f t="shared" si="25"/>
        <v>Dyshan Attaya Haq Triatno </v>
      </c>
    </row>
    <row r="177">
      <c r="A177" s="417" t="s">
        <v>2512</v>
      </c>
      <c r="B177" s="485" t="str">
        <f t="shared" si="25"/>
        <v>Dzahra Miftahuljanah </v>
      </c>
    </row>
    <row r="178">
      <c r="A178" s="417" t="s">
        <v>2760</v>
      </c>
      <c r="B178" s="485" t="str">
        <f t="shared" si="25"/>
        <v>Egi Surjana </v>
      </c>
    </row>
    <row r="179">
      <c r="A179" s="417" t="s">
        <v>2908</v>
      </c>
    </row>
    <row r="180">
      <c r="A180" s="417" t="s">
        <v>2809</v>
      </c>
      <c r="B180" s="485" t="str">
        <f t="shared" ref="B180:B184" si="26">PROPER(A180)</f>
        <v>Elgiva Damara Sanchia </v>
      </c>
    </row>
    <row r="181">
      <c r="A181" s="417" t="s">
        <v>2571</v>
      </c>
      <c r="B181" s="485" t="str">
        <f t="shared" si="26"/>
        <v>Elvio Dyahyu Yusanto </v>
      </c>
    </row>
    <row r="182">
      <c r="A182" s="417" t="s">
        <v>2572</v>
      </c>
      <c r="B182" s="485" t="str">
        <f t="shared" si="26"/>
        <v>Enisye Putri Zeliawati Limpong </v>
      </c>
    </row>
    <row r="183">
      <c r="A183" s="417" t="s">
        <v>2810</v>
      </c>
      <c r="B183" s="485" t="str">
        <f t="shared" si="26"/>
        <v>Enzo Asido Rama Raditya </v>
      </c>
    </row>
    <row r="184">
      <c r="A184" s="417" t="s">
        <v>2664</v>
      </c>
      <c r="B184" s="485" t="str">
        <f t="shared" si="26"/>
        <v>Erlangga Ardiyanto </v>
      </c>
    </row>
    <row r="185">
      <c r="A185" s="417" t="s">
        <v>3009</v>
      </c>
    </row>
    <row r="186">
      <c r="A186" s="417" t="s">
        <v>2573</v>
      </c>
      <c r="B186" s="485" t="str">
        <f t="shared" ref="B186:B195" si="27">PROPER(A186)</f>
        <v>Fabian Ahza Hidayat </v>
      </c>
    </row>
    <row r="187">
      <c r="A187" s="417" t="s">
        <v>2574</v>
      </c>
      <c r="B187" s="485" t="str">
        <f t="shared" si="27"/>
        <v>Fadhilah Raisa Kamilati </v>
      </c>
    </row>
    <row r="188">
      <c r="A188" s="417" t="s">
        <v>2617</v>
      </c>
      <c r="B188" s="485" t="str">
        <f t="shared" si="27"/>
        <v>Fadya Malikha </v>
      </c>
    </row>
    <row r="189">
      <c r="A189" s="417" t="s">
        <v>2665</v>
      </c>
      <c r="B189" s="485" t="str">
        <f t="shared" si="27"/>
        <v>Fahmi Adilla Pasha </v>
      </c>
    </row>
    <row r="190">
      <c r="A190" s="417" t="s">
        <v>2761</v>
      </c>
      <c r="B190" s="485" t="str">
        <f t="shared" si="27"/>
        <v>Faiha Raqilla Darmawan </v>
      </c>
    </row>
    <row r="191">
      <c r="A191" s="417" t="s">
        <v>2618</v>
      </c>
      <c r="B191" s="485" t="str">
        <f t="shared" si="27"/>
        <v>Fajri Pardomuan Pohan </v>
      </c>
    </row>
    <row r="192">
      <c r="A192" s="417" t="s">
        <v>2666</v>
      </c>
      <c r="B192" s="485" t="str">
        <f t="shared" si="27"/>
        <v>Fakhi Zulfia Bilqis Nasyifa </v>
      </c>
    </row>
    <row r="193">
      <c r="A193" s="417" t="s">
        <v>2513</v>
      </c>
      <c r="B193" s="485" t="str">
        <f t="shared" si="27"/>
        <v>Fakhri Haikal Alvito Rachmat </v>
      </c>
    </row>
    <row r="194">
      <c r="A194" s="417" t="s">
        <v>2762</v>
      </c>
      <c r="B194" s="485" t="str">
        <f t="shared" si="27"/>
        <v>Fanesya Agfrisfidia </v>
      </c>
    </row>
    <row r="195">
      <c r="A195" s="417" t="s">
        <v>2763</v>
      </c>
      <c r="B195" s="485" t="str">
        <f t="shared" si="27"/>
        <v>Fanisa Nurkamila Hamdani </v>
      </c>
    </row>
    <row r="196">
      <c r="A196" s="417" t="s">
        <v>3010</v>
      </c>
    </row>
    <row r="197">
      <c r="A197" s="417" t="s">
        <v>2811</v>
      </c>
      <c r="B197" s="485" t="str">
        <f t="shared" ref="B197:B206" si="28">PROPER(A197)</f>
        <v>Farhan Abdurrahman Yusuf </v>
      </c>
    </row>
    <row r="198">
      <c r="A198" s="417" t="s">
        <v>2764</v>
      </c>
      <c r="B198" s="485" t="str">
        <f t="shared" si="28"/>
        <v>Farhan Benzema </v>
      </c>
    </row>
    <row r="199">
      <c r="A199" s="417" t="s">
        <v>2861</v>
      </c>
      <c r="B199" s="485" t="str">
        <f t="shared" si="28"/>
        <v>Farid Pradana </v>
      </c>
    </row>
    <row r="200">
      <c r="A200" s="417" t="s">
        <v>2812</v>
      </c>
      <c r="B200" s="485" t="str">
        <f t="shared" si="28"/>
        <v>Faris Razwa Sambega </v>
      </c>
    </row>
    <row r="201">
      <c r="A201" s="417" t="s">
        <v>2619</v>
      </c>
      <c r="B201" s="485" t="str">
        <f t="shared" si="28"/>
        <v>Farras Putra Zema </v>
      </c>
    </row>
    <row r="202">
      <c r="A202" s="417" t="s">
        <v>2514</v>
      </c>
      <c r="B202" s="485" t="str">
        <f t="shared" si="28"/>
        <v>Fathi Azzam Hawwari </v>
      </c>
    </row>
    <row r="203">
      <c r="A203" s="417" t="s">
        <v>2862</v>
      </c>
      <c r="B203" s="485" t="str">
        <f t="shared" si="28"/>
        <v>Fathia Adilla Ramsha </v>
      </c>
    </row>
    <row r="204">
      <c r="A204" s="417" t="s">
        <v>2620</v>
      </c>
      <c r="B204" s="485" t="str">
        <f t="shared" si="28"/>
        <v>Fathia Amia Rizqi </v>
      </c>
    </row>
    <row r="205">
      <c r="A205" s="417" t="s">
        <v>2715</v>
      </c>
      <c r="B205" s="485" t="str">
        <f t="shared" si="28"/>
        <v>Fathimah Septiani Azahra </v>
      </c>
    </row>
    <row r="206">
      <c r="A206" s="417" t="s">
        <v>2515</v>
      </c>
      <c r="B206" s="485" t="str">
        <f t="shared" si="28"/>
        <v>Fatimah Aszahra </v>
      </c>
    </row>
    <row r="207">
      <c r="A207" s="417" t="s">
        <v>3061</v>
      </c>
    </row>
    <row r="208">
      <c r="A208" s="417" t="s">
        <v>2765</v>
      </c>
      <c r="B208" s="485" t="str">
        <f t="shared" ref="B208:B209" si="29">PROPER(A208)</f>
        <v>Fauzi Castle Satara </v>
      </c>
    </row>
    <row r="209">
      <c r="A209" s="417" t="s">
        <v>2766</v>
      </c>
      <c r="B209" s="485" t="str">
        <f t="shared" si="29"/>
        <v>Febri Afriani </v>
      </c>
    </row>
    <row r="210">
      <c r="A210" s="417" t="s">
        <v>2909</v>
      </c>
    </row>
    <row r="211">
      <c r="A211" s="417" t="s">
        <v>2910</v>
      </c>
    </row>
    <row r="212">
      <c r="A212" s="417" t="s">
        <v>2621</v>
      </c>
      <c r="B212" s="485" t="str">
        <f t="shared" ref="B212:B215" si="30">PROPER(A212)</f>
        <v>Florencia Ivana </v>
      </c>
    </row>
    <row r="213">
      <c r="A213" s="417" t="s">
        <v>2767</v>
      </c>
      <c r="B213" s="485" t="str">
        <f t="shared" si="30"/>
        <v>Freja Aira Anindhita </v>
      </c>
    </row>
    <row r="214">
      <c r="A214" s="417" t="s">
        <v>2622</v>
      </c>
      <c r="B214" s="485" t="str">
        <f t="shared" si="30"/>
        <v>Fricilia Aprilyani Cardoso </v>
      </c>
    </row>
    <row r="215">
      <c r="A215" s="417" t="s">
        <v>2667</v>
      </c>
      <c r="B215" s="485" t="str">
        <f t="shared" si="30"/>
        <v>Friska Feby Aulia </v>
      </c>
    </row>
    <row r="216">
      <c r="A216" s="417" t="s">
        <v>3011</v>
      </c>
    </row>
    <row r="217">
      <c r="A217" s="417" t="s">
        <v>3062</v>
      </c>
    </row>
    <row r="218">
      <c r="A218" s="417" t="s">
        <v>2623</v>
      </c>
      <c r="B218" s="485" t="str">
        <f>PROPER(A218)</f>
        <v>Gerald Samuel Sitanggang </v>
      </c>
    </row>
    <row r="219">
      <c r="A219" s="417" t="s">
        <v>2911</v>
      </c>
    </row>
    <row r="220">
      <c r="A220" s="417" t="s">
        <v>2813</v>
      </c>
      <c r="B220" s="485" t="str">
        <f>PROPER(A220)</f>
        <v>Ghaniyah Adelia </v>
      </c>
    </row>
    <row r="221">
      <c r="A221" s="417" t="s">
        <v>2962</v>
      </c>
    </row>
    <row r="222">
      <c r="A222" s="417" t="s">
        <v>2863</v>
      </c>
      <c r="B222" s="485" t="str">
        <f t="shared" ref="B222:B224" si="31">PROPER(A222)</f>
        <v>Gracia Valen Manik </v>
      </c>
    </row>
    <row r="223">
      <c r="A223" s="417" t="s">
        <v>2516</v>
      </c>
      <c r="B223" s="485" t="str">
        <f t="shared" si="31"/>
        <v>Gwenna Irene Winata </v>
      </c>
    </row>
    <row r="224">
      <c r="A224" s="417" t="s">
        <v>2814</v>
      </c>
      <c r="B224" s="485" t="str">
        <f t="shared" si="31"/>
        <v>Hafizh Mumtaz </v>
      </c>
    </row>
    <row r="225">
      <c r="A225" s="417" t="s">
        <v>2963</v>
      </c>
    </row>
    <row r="226">
      <c r="A226" s="417" t="s">
        <v>2768</v>
      </c>
      <c r="B226" s="485" t="str">
        <f>PROPER(A226)</f>
        <v>Hasfa Zulfana Nahdah </v>
      </c>
    </row>
    <row r="227">
      <c r="A227" s="417" t="s">
        <v>3012</v>
      </c>
    </row>
    <row r="228">
      <c r="A228" s="417" t="s">
        <v>2716</v>
      </c>
      <c r="B228" s="485" t="str">
        <f t="shared" ref="B228:B229" si="32">PROPER(A228)</f>
        <v>Hikmah Septiya </v>
      </c>
    </row>
    <row r="229">
      <c r="A229" s="417" t="s">
        <v>2717</v>
      </c>
      <c r="B229" s="485" t="str">
        <f t="shared" si="32"/>
        <v>Hilmi Ardhana Fuady </v>
      </c>
    </row>
    <row r="230">
      <c r="A230" s="417" t="s">
        <v>2912</v>
      </c>
    </row>
    <row r="231">
      <c r="A231" s="417" t="s">
        <v>2913</v>
      </c>
    </row>
    <row r="232">
      <c r="A232" s="417" t="s">
        <v>2668</v>
      </c>
      <c r="B232" s="485" t="str">
        <f>PROPER(A232)</f>
        <v>Inaya Janeeta </v>
      </c>
    </row>
    <row r="233">
      <c r="A233" s="417" t="s">
        <v>2964</v>
      </c>
    </row>
    <row r="234">
      <c r="A234" s="417" t="s">
        <v>2965</v>
      </c>
    </row>
    <row r="235">
      <c r="A235" s="417" t="s">
        <v>2914</v>
      </c>
    </row>
    <row r="236">
      <c r="A236" s="417" t="s">
        <v>2624</v>
      </c>
      <c r="B236" s="485" t="str">
        <f t="shared" ref="B236:B238" si="33">PROPER(A236)</f>
        <v>Jaenal Ikhwan </v>
      </c>
    </row>
    <row r="237">
      <c r="A237" s="417" t="s">
        <v>2576</v>
      </c>
      <c r="B237" s="485" t="str">
        <f t="shared" si="33"/>
        <v>Jasmine Makayla Putri Arvani </v>
      </c>
    </row>
    <row r="238">
      <c r="A238" s="417" t="s">
        <v>2517</v>
      </c>
      <c r="B238" s="485" t="str">
        <f t="shared" si="33"/>
        <v>Jasmine Zahira Ramadhani </v>
      </c>
    </row>
    <row r="239">
      <c r="A239" s="417" t="s">
        <v>2915</v>
      </c>
    </row>
    <row r="240">
      <c r="A240" s="417" t="s">
        <v>3013</v>
      </c>
    </row>
    <row r="241">
      <c r="A241" s="417" t="s">
        <v>2966</v>
      </c>
    </row>
    <row r="242">
      <c r="A242" s="417" t="s">
        <v>2967</v>
      </c>
    </row>
    <row r="243">
      <c r="A243" s="417" t="s">
        <v>2519</v>
      </c>
      <c r="B243" s="485" t="str">
        <f t="shared" ref="B243:B246" si="34">PROPER(A243)</f>
        <v>Jesslyn Quinn Gabrielle Sitorus </v>
      </c>
    </row>
    <row r="244">
      <c r="A244" s="417" t="s">
        <v>2718</v>
      </c>
      <c r="B244" s="485" t="str">
        <f t="shared" si="34"/>
        <v>Jevelin Ambarep Putri </v>
      </c>
    </row>
    <row r="245">
      <c r="A245" s="417" t="s">
        <v>2520</v>
      </c>
      <c r="B245" s="485" t="str">
        <f t="shared" si="34"/>
        <v>Jihan Al Hasya </v>
      </c>
    </row>
    <row r="246">
      <c r="A246" s="417" t="s">
        <v>2625</v>
      </c>
      <c r="B246" s="485" t="str">
        <f t="shared" si="34"/>
        <v>Jihan Fauziyyah Latifah </v>
      </c>
    </row>
    <row r="247">
      <c r="A247" s="417" t="s">
        <v>2916</v>
      </c>
    </row>
    <row r="248">
      <c r="A248" s="417" t="s">
        <v>2769</v>
      </c>
      <c r="B248" s="485" t="str">
        <f t="shared" ref="B248:B249" si="35">PROPER(A248)</f>
        <v>Joceline Sisca Lumongga Manurung </v>
      </c>
    </row>
    <row r="249">
      <c r="A249" s="417" t="s">
        <v>2521</v>
      </c>
      <c r="B249" s="485" t="str">
        <f t="shared" si="35"/>
        <v>Johanes Satria Yudha </v>
      </c>
    </row>
    <row r="250">
      <c r="A250" s="417" t="s">
        <v>2968</v>
      </c>
    </row>
    <row r="251">
      <c r="A251" s="417" t="s">
        <v>2815</v>
      </c>
      <c r="B251" s="485" t="str">
        <f>PROPER(A251)</f>
        <v>Juan Pirlo Benzema </v>
      </c>
    </row>
    <row r="252">
      <c r="A252" s="417" t="s">
        <v>3014</v>
      </c>
    </row>
    <row r="253">
      <c r="A253" s="417" t="s">
        <v>2816</v>
      </c>
      <c r="B253" s="485" t="str">
        <f t="shared" ref="B253:B254" si="36">PROPER(A253)</f>
        <v>Kania Putriana Yaswin </v>
      </c>
    </row>
    <row r="254">
      <c r="A254" s="417" t="s">
        <v>2864</v>
      </c>
      <c r="B254" s="485" t="str">
        <f t="shared" si="36"/>
        <v>Kania Wismar Adnyana  </v>
      </c>
    </row>
    <row r="255">
      <c r="A255" s="417" t="s">
        <v>2917</v>
      </c>
    </row>
    <row r="256">
      <c r="A256" s="417" t="s">
        <v>2523</v>
      </c>
      <c r="B256" s="485" t="str">
        <f t="shared" ref="B256:B259" si="37">PROPER(A256)</f>
        <v>Kariswan Wahyudi </v>
      </c>
    </row>
    <row r="257">
      <c r="A257" s="417" t="s">
        <v>2669</v>
      </c>
      <c r="B257" s="485" t="str">
        <f t="shared" si="37"/>
        <v>Karnizara Ringga Rabbani </v>
      </c>
    </row>
    <row r="258">
      <c r="A258" s="417" t="s">
        <v>2627</v>
      </c>
      <c r="B258" s="485" t="str">
        <f t="shared" si="37"/>
        <v>Kartika Larasati </v>
      </c>
    </row>
    <row r="259">
      <c r="A259" s="417" t="s">
        <v>2670</v>
      </c>
      <c r="B259" s="485" t="str">
        <f t="shared" si="37"/>
        <v>Karunia Dwi Rahmawati </v>
      </c>
    </row>
    <row r="260">
      <c r="A260" s="417" t="s">
        <v>2969</v>
      </c>
    </row>
    <row r="261">
      <c r="A261" s="417" t="s">
        <v>2919</v>
      </c>
    </row>
    <row r="262">
      <c r="A262" s="417" t="s">
        <v>2817</v>
      </c>
      <c r="B262" s="485" t="str">
        <f t="shared" ref="B262:B264" si="38">PROPER(A262)</f>
        <v>Kaysa Maharani Sofyan </v>
      </c>
    </row>
    <row r="263">
      <c r="A263" s="417" t="s">
        <v>2866</v>
      </c>
      <c r="B263" s="485" t="str">
        <f t="shared" si="38"/>
        <v>Kaysan Umar Azka Setiawan </v>
      </c>
    </row>
    <row r="264">
      <c r="A264" s="417" t="s">
        <v>2671</v>
      </c>
      <c r="B264" s="485" t="str">
        <f t="shared" si="38"/>
        <v>Keisa Wanda Setiawan </v>
      </c>
    </row>
    <row r="265">
      <c r="A265" s="417" t="s">
        <v>3063</v>
      </c>
    </row>
    <row r="266">
      <c r="A266" s="417" t="s">
        <v>2818</v>
      </c>
      <c r="B266" s="485" t="str">
        <f>PROPER(A266)</f>
        <v>Keisya Andhita Kirana Putri </v>
      </c>
    </row>
    <row r="267">
      <c r="A267" s="417" t="s">
        <v>3064</v>
      </c>
    </row>
    <row r="268">
      <c r="A268" s="417" t="s">
        <v>3065</v>
      </c>
    </row>
    <row r="269">
      <c r="A269" s="417" t="s">
        <v>3066</v>
      </c>
    </row>
    <row r="270">
      <c r="A270" s="417" t="s">
        <v>2970</v>
      </c>
    </row>
    <row r="271">
      <c r="A271" s="417" t="s">
        <v>2770</v>
      </c>
      <c r="B271" s="485" t="str">
        <f t="shared" ref="B271:B280" si="39">PROPER(A271)</f>
        <v>Keyla Putri Saksono </v>
      </c>
    </row>
    <row r="272">
      <c r="A272" s="417" t="s">
        <v>2628</v>
      </c>
      <c r="B272" s="485" t="str">
        <f t="shared" si="39"/>
        <v>Keynia Louis Cristin Harianja </v>
      </c>
    </row>
    <row r="273">
      <c r="A273" s="417" t="s">
        <v>2672</v>
      </c>
      <c r="B273" s="485" t="str">
        <f t="shared" si="39"/>
        <v>Keyno Nazmi Afham </v>
      </c>
    </row>
    <row r="274">
      <c r="A274" s="417" t="s">
        <v>2629</v>
      </c>
      <c r="B274" s="485" t="str">
        <f t="shared" si="39"/>
        <v>Khairani Asri Utami </v>
      </c>
    </row>
    <row r="275">
      <c r="A275" s="417" t="s">
        <v>2577</v>
      </c>
      <c r="B275" s="485" t="str">
        <f t="shared" si="39"/>
        <v>Khalid Ahmad Ghazali </v>
      </c>
    </row>
    <row r="276">
      <c r="A276" s="417" t="s">
        <v>2630</v>
      </c>
      <c r="B276" s="485" t="str">
        <f t="shared" si="39"/>
        <v>Khalifi Ramadhan Darmawan Anda </v>
      </c>
    </row>
    <row r="277">
      <c r="A277" s="417" t="s">
        <v>2771</v>
      </c>
      <c r="B277" s="485" t="str">
        <f t="shared" si="39"/>
        <v>Khalisa Silmi Jovita Warsito </v>
      </c>
    </row>
    <row r="278">
      <c r="A278" s="417" t="s">
        <v>2578</v>
      </c>
      <c r="B278" s="485" t="str">
        <f t="shared" si="39"/>
        <v>Khansa Aulia Damtsa Hylmi </v>
      </c>
    </row>
    <row r="279">
      <c r="A279" s="417" t="s">
        <v>2719</v>
      </c>
      <c r="B279" s="485" t="str">
        <f t="shared" si="39"/>
        <v>Khansa Tabita Aura Sakhi </v>
      </c>
    </row>
    <row r="280">
      <c r="A280" s="417" t="s">
        <v>2673</v>
      </c>
      <c r="B280" s="485" t="str">
        <f t="shared" si="39"/>
        <v>Khansa Vanya Laudya Putri </v>
      </c>
    </row>
    <row r="281">
      <c r="A281" s="417" t="s">
        <v>2972</v>
      </c>
    </row>
    <row r="282">
      <c r="A282" s="417" t="s">
        <v>2773</v>
      </c>
      <c r="B282" s="485" t="str">
        <f t="shared" ref="B282:B285" si="40">PROPER(A282)</f>
        <v>Kharisma Zahra Tiara Putri </v>
      </c>
    </row>
    <row r="283">
      <c r="A283" s="417" t="s">
        <v>2720</v>
      </c>
      <c r="B283" s="485" t="str">
        <f t="shared" si="40"/>
        <v>Lalitya Namu Wangundahina </v>
      </c>
    </row>
    <row r="284">
      <c r="A284" s="417" t="s">
        <v>2631</v>
      </c>
      <c r="B284" s="485" t="str">
        <f t="shared" si="40"/>
        <v>Lathika Aulia Althafunnisa </v>
      </c>
    </row>
    <row r="285">
      <c r="A285" s="417" t="s">
        <v>2632</v>
      </c>
      <c r="B285" s="485" t="str">
        <f t="shared" si="40"/>
        <v>Laura Aubrey Gracia Lubis </v>
      </c>
    </row>
    <row r="286">
      <c r="A286" s="417" t="s">
        <v>3016</v>
      </c>
    </row>
    <row r="287">
      <c r="A287" s="417" t="s">
        <v>2579</v>
      </c>
      <c r="B287" s="485" t="str">
        <f t="shared" ref="B287:B288" si="41">PROPER(A287)</f>
        <v>Lionel Boanerges Raffles Simangunsong </v>
      </c>
    </row>
    <row r="288">
      <c r="A288" s="417" t="s">
        <v>2819</v>
      </c>
      <c r="B288" s="485" t="str">
        <f t="shared" si="41"/>
        <v>Livia Vidyadhara </v>
      </c>
    </row>
    <row r="289">
      <c r="A289" s="417" t="s">
        <v>3017</v>
      </c>
    </row>
    <row r="290">
      <c r="A290" s="417" t="s">
        <v>2867</v>
      </c>
      <c r="B290" s="485" t="str">
        <f t="shared" ref="B290:B291" si="42">PROPER(A290)</f>
        <v>Luqman Aziz Saputro </v>
      </c>
    </row>
    <row r="291">
      <c r="A291" s="417" t="s">
        <v>2675</v>
      </c>
      <c r="B291" s="485" t="str">
        <f t="shared" si="42"/>
        <v>Lutfi Dwi Melati </v>
      </c>
    </row>
    <row r="292">
      <c r="A292" s="417" t="s">
        <v>3018</v>
      </c>
    </row>
    <row r="293">
      <c r="A293" s="417" t="s">
        <v>2547</v>
      </c>
      <c r="B293" s="485" t="str">
        <f>PROPER(A293)</f>
        <v>M. Rizky</v>
      </c>
    </row>
    <row r="294">
      <c r="A294" s="417" t="s">
        <v>3067</v>
      </c>
    </row>
    <row r="295">
      <c r="A295" s="417" t="s">
        <v>2920</v>
      </c>
    </row>
    <row r="296">
      <c r="A296" s="417" t="s">
        <v>3069</v>
      </c>
    </row>
    <row r="297">
      <c r="A297" s="417" t="s">
        <v>2721</v>
      </c>
      <c r="B297" s="485" t="str">
        <f t="shared" ref="B297:B300" si="43">PROPER(A297)</f>
        <v>Mahira Aqila Azra </v>
      </c>
    </row>
    <row r="298">
      <c r="A298" s="417" t="s">
        <v>2820</v>
      </c>
      <c r="B298" s="485" t="str">
        <f t="shared" si="43"/>
        <v>Manar Abbas Bawazir </v>
      </c>
    </row>
    <row r="299">
      <c r="A299" s="417" t="s">
        <v>2633</v>
      </c>
      <c r="B299" s="485" t="str">
        <f t="shared" si="43"/>
        <v>Mandariza Arya Pranata Wijaya </v>
      </c>
    </row>
    <row r="300">
      <c r="A300" s="417" t="s">
        <v>2580</v>
      </c>
      <c r="B300" s="485" t="str">
        <f t="shared" si="43"/>
        <v>Mardiansyah Isman </v>
      </c>
    </row>
    <row r="301">
      <c r="A301" s="417" t="s">
        <v>3070</v>
      </c>
    </row>
    <row r="302">
      <c r="A302" s="417" t="s">
        <v>2524</v>
      </c>
      <c r="B302" s="485" t="str">
        <f>PROPER(A302)</f>
        <v>Maria Rica Stefany Demu </v>
      </c>
    </row>
    <row r="303">
      <c r="A303" s="417" t="s">
        <v>2973</v>
      </c>
    </row>
    <row r="304">
      <c r="A304" s="417" t="s">
        <v>2676</v>
      </c>
      <c r="B304" s="485" t="str">
        <f>PROPER(A304)</f>
        <v>Masayu Ganisha Pembayun Putri </v>
      </c>
    </row>
    <row r="305">
      <c r="A305" s="417" t="s">
        <v>3071</v>
      </c>
    </row>
    <row r="306">
      <c r="A306" s="417" t="s">
        <v>2774</v>
      </c>
      <c r="B306" s="485" t="str">
        <f t="shared" ref="B306:B307" si="44">PROPER(A306)</f>
        <v>Mawar Aprilliana </v>
      </c>
    </row>
    <row r="307">
      <c r="A307" s="417" t="s">
        <v>2677</v>
      </c>
      <c r="B307" s="485" t="str">
        <f t="shared" si="44"/>
        <v>Mazaya Aqila Betha Diladena </v>
      </c>
    </row>
    <row r="308">
      <c r="A308" s="417" t="s">
        <v>3019</v>
      </c>
    </row>
    <row r="309">
      <c r="A309" s="417" t="s">
        <v>2525</v>
      </c>
      <c r="B309" s="485" t="str">
        <f t="shared" ref="B309:B312" si="45">PROPER(A309)</f>
        <v>Melani Putri Triana </v>
      </c>
    </row>
    <row r="310">
      <c r="A310" s="417" t="s">
        <v>2775</v>
      </c>
      <c r="B310" s="485" t="str">
        <f t="shared" si="45"/>
        <v>Mentari Dwi Anggraeni </v>
      </c>
    </row>
    <row r="311">
      <c r="A311" s="417" t="s">
        <v>2526</v>
      </c>
      <c r="B311" s="485" t="str">
        <f t="shared" si="45"/>
        <v>Michael Mazmur Hatorangan Hutabarat </v>
      </c>
    </row>
    <row r="312">
      <c r="A312" s="417" t="s">
        <v>2868</v>
      </c>
      <c r="B312" s="485" t="str">
        <f t="shared" si="45"/>
        <v>Mirza Maulana Altamis </v>
      </c>
    </row>
    <row r="313">
      <c r="A313" s="417" t="s">
        <v>3020</v>
      </c>
    </row>
    <row r="314">
      <c r="A314" s="417" t="s">
        <v>2527</v>
      </c>
      <c r="B314" s="485" t="str">
        <f t="shared" ref="B314:B321" si="46">PROPER(A314)</f>
        <v>Mochamad Nayaka Tuharea </v>
      </c>
    </row>
    <row r="315">
      <c r="A315" s="417" t="s">
        <v>2821</v>
      </c>
      <c r="B315" s="485" t="str">
        <f t="shared" si="46"/>
        <v>Mohammad Arsa Dafansyah </v>
      </c>
    </row>
    <row r="316">
      <c r="A316" s="417" t="s">
        <v>2581</v>
      </c>
      <c r="B316" s="485" t="str">
        <f t="shared" si="46"/>
        <v>Mohammad Haikal </v>
      </c>
    </row>
    <row r="317">
      <c r="A317" s="417" t="s">
        <v>2582</v>
      </c>
      <c r="B317" s="485" t="str">
        <f t="shared" si="46"/>
        <v>Mohammad Irshad Faizanshah </v>
      </c>
    </row>
    <row r="318">
      <c r="A318" s="417" t="s">
        <v>2869</v>
      </c>
      <c r="B318" s="485" t="str">
        <f t="shared" si="46"/>
        <v>Mouris Marcha Adisty </v>
      </c>
    </row>
    <row r="319">
      <c r="A319" s="417" t="s">
        <v>2722</v>
      </c>
      <c r="B319" s="485" t="str">
        <f t="shared" si="46"/>
        <v>Muhamad Adri Fachry </v>
      </c>
    </row>
    <row r="320">
      <c r="A320" s="417" t="s">
        <v>2723</v>
      </c>
      <c r="B320" s="485" t="str">
        <f t="shared" si="46"/>
        <v>Muhamad Gaza Al-Mahdi </v>
      </c>
    </row>
    <row r="321">
      <c r="A321" s="417" t="s">
        <v>2870</v>
      </c>
      <c r="B321" s="485" t="str">
        <f t="shared" si="46"/>
        <v>Muhamad Ilham Akbar </v>
      </c>
    </row>
    <row r="322">
      <c r="A322" s="417" t="s">
        <v>2921</v>
      </c>
    </row>
    <row r="323">
      <c r="A323" s="417" t="s">
        <v>2871</v>
      </c>
      <c r="B323" s="485" t="str">
        <f>PROPER(A323)</f>
        <v>Muhamad Mustakim </v>
      </c>
    </row>
    <row r="324">
      <c r="A324" s="417" t="s">
        <v>2974</v>
      </c>
    </row>
    <row r="325">
      <c r="A325" s="417" t="s">
        <v>3021</v>
      </c>
    </row>
    <row r="326">
      <c r="A326" s="417" t="s">
        <v>2678</v>
      </c>
      <c r="B326" s="485" t="str">
        <f t="shared" ref="B326:B327" si="47">PROPER(A326)</f>
        <v>Muhamad Rizqi Darmawan </v>
      </c>
    </row>
    <row r="327">
      <c r="A327" s="417" t="s">
        <v>2528</v>
      </c>
      <c r="B327" s="485" t="str">
        <f t="shared" si="47"/>
        <v>Muhamad Septian Romadhon </v>
      </c>
    </row>
    <row r="328">
      <c r="A328" s="417" t="s">
        <v>3072</v>
      </c>
    </row>
    <row r="329">
      <c r="A329" s="417" t="s">
        <v>2584</v>
      </c>
      <c r="B329" s="485" t="str">
        <f t="shared" ref="B329:B331" si="48">PROPER(A329)</f>
        <v>Muhamad Thoriq Al Rasyad </v>
      </c>
    </row>
    <row r="330">
      <c r="A330" s="417" t="s">
        <v>2822</v>
      </c>
      <c r="B330" s="485" t="str">
        <f t="shared" si="48"/>
        <v>Muhamad Yusuf Zarkasi </v>
      </c>
    </row>
    <row r="331">
      <c r="A331" s="417" t="s">
        <v>2529</v>
      </c>
      <c r="B331" s="485" t="str">
        <f t="shared" si="48"/>
        <v>Muhammad Adrian Gianni Adam </v>
      </c>
    </row>
    <row r="332">
      <c r="A332" s="417" t="s">
        <v>2975</v>
      </c>
    </row>
    <row r="333">
      <c r="A333" s="417" t="s">
        <v>2585</v>
      </c>
      <c r="B333" s="485" t="str">
        <f>PROPER(A333)</f>
        <v>Muhammad Akmaluddin </v>
      </c>
    </row>
    <row r="334">
      <c r="A334" s="417" t="s">
        <v>2922</v>
      </c>
    </row>
    <row r="335">
      <c r="A335" s="417" t="s">
        <v>2586</v>
      </c>
      <c r="B335" s="485" t="str">
        <f>PROPER(A335)</f>
        <v>Muhammad Ariza Rizkya Irvan </v>
      </c>
    </row>
    <row r="336">
      <c r="A336" s="417" t="s">
        <v>3073</v>
      </c>
    </row>
    <row r="337">
      <c r="A337" s="417" t="s">
        <v>2823</v>
      </c>
      <c r="B337" s="485" t="str">
        <f>PROPER(A337)</f>
        <v>Muhammad Arsyal Divo Firmansyah </v>
      </c>
    </row>
    <row r="338">
      <c r="A338" s="417" t="s">
        <v>2923</v>
      </c>
    </row>
    <row r="339">
      <c r="A339" s="417" t="s">
        <v>2776</v>
      </c>
      <c r="B339" s="485" t="str">
        <f t="shared" ref="B339:B340" si="49">PROPER(A339)</f>
        <v>Muhammad Azzam Ananda Fatahilah </v>
      </c>
    </row>
    <row r="340">
      <c r="A340" s="417" t="s">
        <v>2530</v>
      </c>
      <c r="B340" s="485" t="str">
        <f t="shared" si="49"/>
        <v>Muhammad Chaerudin Ramdhani </v>
      </c>
    </row>
    <row r="341">
      <c r="A341" s="417" t="s">
        <v>2924</v>
      </c>
    </row>
    <row r="342">
      <c r="A342" s="417" t="s">
        <v>2824</v>
      </c>
      <c r="B342" s="485" t="str">
        <f>PROPER(A342)</f>
        <v>Muhammad Danish Fathul Ulum </v>
      </c>
    </row>
    <row r="343">
      <c r="A343" s="417" t="s">
        <v>3022</v>
      </c>
    </row>
    <row r="344">
      <c r="A344" s="417" t="s">
        <v>2925</v>
      </c>
    </row>
    <row r="345">
      <c r="A345" s="417" t="s">
        <v>3023</v>
      </c>
    </row>
    <row r="346">
      <c r="A346" s="417" t="s">
        <v>2872</v>
      </c>
      <c r="B346" s="485" t="str">
        <f t="shared" ref="B346:B352" si="50">PROPER(A346)</f>
        <v>Muhammad Faiz Fathian </v>
      </c>
    </row>
    <row r="347">
      <c r="A347" s="417" t="s">
        <v>2873</v>
      </c>
      <c r="B347" s="485" t="str">
        <f t="shared" si="50"/>
        <v>Muhammad Fariz Nuh </v>
      </c>
    </row>
    <row r="348">
      <c r="A348" s="417" t="s">
        <v>2531</v>
      </c>
      <c r="B348" s="485" t="str">
        <f t="shared" si="50"/>
        <v>Muhammad Fathan Assidiq </v>
      </c>
    </row>
    <row r="349">
      <c r="A349" s="417" t="s">
        <v>2825</v>
      </c>
      <c r="B349" s="485" t="str">
        <f t="shared" si="50"/>
        <v>Muhammad Fathandra Rizki </v>
      </c>
    </row>
    <row r="350">
      <c r="A350" s="417" t="s">
        <v>2874</v>
      </c>
      <c r="B350" s="485" t="str">
        <f t="shared" si="50"/>
        <v>Muhammad Fawaz Ali </v>
      </c>
    </row>
    <row r="351">
      <c r="A351" s="417" t="s">
        <v>2826</v>
      </c>
      <c r="B351" s="485" t="str">
        <f t="shared" si="50"/>
        <v>Muhammad Gabriel </v>
      </c>
    </row>
    <row r="352">
      <c r="A352" s="417" t="s">
        <v>2777</v>
      </c>
      <c r="B352" s="485" t="str">
        <f t="shared" si="50"/>
        <v>Muhammad Hafizh Arrantisi </v>
      </c>
    </row>
    <row r="353">
      <c r="A353" s="417" t="s">
        <v>3024</v>
      </c>
    </row>
    <row r="354">
      <c r="A354" s="417" t="s">
        <v>2679</v>
      </c>
      <c r="B354" s="485" t="str">
        <f>PROPER(A354)</f>
        <v>Muhammad Ihsan Putra Pamungkas </v>
      </c>
    </row>
    <row r="355">
      <c r="A355" s="417" t="s">
        <v>2926</v>
      </c>
    </row>
    <row r="356">
      <c r="A356" s="417" t="s">
        <v>3074</v>
      </c>
    </row>
    <row r="357">
      <c r="A357" s="417" t="s">
        <v>2778</v>
      </c>
      <c r="B357" s="485" t="str">
        <f t="shared" ref="B357:B363" si="51">PROPER(A357)</f>
        <v>Muhammad Musyaffa Latief </v>
      </c>
    </row>
    <row r="358">
      <c r="A358" s="417" t="s">
        <v>2724</v>
      </c>
      <c r="B358" s="485" t="str">
        <f t="shared" si="51"/>
        <v>Muhammad Naufal Rhesa Fernando  </v>
      </c>
    </row>
    <row r="359">
      <c r="A359" s="417" t="s">
        <v>2587</v>
      </c>
      <c r="B359" s="485" t="str">
        <f t="shared" si="51"/>
        <v>Muhammad Nazam Rizal </v>
      </c>
    </row>
    <row r="360">
      <c r="A360" s="417" t="s">
        <v>2680</v>
      </c>
      <c r="B360" s="485" t="str">
        <f t="shared" si="51"/>
        <v>Muhammad Rafi Kurniawan </v>
      </c>
    </row>
    <row r="361">
      <c r="A361" s="417" t="s">
        <v>2875</v>
      </c>
      <c r="B361" s="485" t="str">
        <f t="shared" si="51"/>
        <v>Muhammad Rafli Ramsha </v>
      </c>
    </row>
    <row r="362">
      <c r="A362" s="417" t="s">
        <v>2588</v>
      </c>
      <c r="B362" s="485" t="str">
        <f t="shared" si="51"/>
        <v>Muhammad Rasyad Mahdawi </v>
      </c>
    </row>
    <row r="363">
      <c r="A363" s="417" t="s">
        <v>2725</v>
      </c>
      <c r="B363" s="485" t="str">
        <f t="shared" si="51"/>
        <v>Muhammad Raya Al Maghfirah </v>
      </c>
    </row>
    <row r="364">
      <c r="A364" s="417" t="s">
        <v>3025</v>
      </c>
    </row>
    <row r="365">
      <c r="A365" s="417" t="s">
        <v>2927</v>
      </c>
    </row>
    <row r="366">
      <c r="A366" s="417" t="s">
        <v>2634</v>
      </c>
      <c r="B366" s="485" t="str">
        <f t="shared" ref="B366:B367" si="52">PROPER(A366)</f>
        <v>Muhammad Rizzieq Yusuf Natakusumah </v>
      </c>
    </row>
    <row r="367">
      <c r="A367" s="417" t="s">
        <v>2532</v>
      </c>
      <c r="B367" s="485" t="str">
        <f t="shared" si="52"/>
        <v>Muhammad Rodzul Amrullah </v>
      </c>
    </row>
    <row r="368">
      <c r="A368" s="417" t="s">
        <v>2928</v>
      </c>
    </row>
    <row r="369">
      <c r="A369" s="417" t="s">
        <v>2681</v>
      </c>
      <c r="B369" s="485" t="str">
        <f t="shared" ref="B369:B370" si="53">PROPER(A369)</f>
        <v>Muhammad Sulthon Najib </v>
      </c>
    </row>
    <row r="370">
      <c r="A370" s="417" t="s">
        <v>2726</v>
      </c>
      <c r="B370" s="485" t="str">
        <f t="shared" si="53"/>
        <v>Muhammad Tristan Sanjaya </v>
      </c>
    </row>
    <row r="371">
      <c r="A371" s="417" t="s">
        <v>2976</v>
      </c>
    </row>
    <row r="372">
      <c r="A372" s="417" t="s">
        <v>2876</v>
      </c>
      <c r="B372" s="485" t="str">
        <f>PROPER(A372)</f>
        <v>Muhammad Yafiargi Simbangando </v>
      </c>
    </row>
    <row r="373">
      <c r="A373" s="417" t="s">
        <v>3075</v>
      </c>
    </row>
    <row r="374">
      <c r="A374" s="417" t="s">
        <v>2682</v>
      </c>
      <c r="B374" s="485" t="str">
        <f t="shared" ref="B374:B375" si="54">PROPER(A374)</f>
        <v>Muhammad Zaidan Aqil </v>
      </c>
    </row>
    <row r="375">
      <c r="A375" s="417" t="s">
        <v>2727</v>
      </c>
      <c r="B375" s="485" t="str">
        <f t="shared" si="54"/>
        <v>Muhammad Zaidan Wibowo </v>
      </c>
    </row>
    <row r="376">
      <c r="A376" s="417" t="s">
        <v>3026</v>
      </c>
    </row>
    <row r="377">
      <c r="A377" s="417" t="s">
        <v>2635</v>
      </c>
      <c r="B377" s="485" t="str">
        <f t="shared" ref="B377:B380" si="55">PROPER(A377)</f>
        <v>Muhammad Zuhear Alfan </v>
      </c>
    </row>
    <row r="378">
      <c r="A378" s="417" t="s">
        <v>2683</v>
      </c>
      <c r="B378" s="485" t="str">
        <f t="shared" si="55"/>
        <v>Mutiara Geisya Nuraini </v>
      </c>
    </row>
    <row r="379">
      <c r="A379" s="417" t="s">
        <v>2827</v>
      </c>
      <c r="B379" s="485" t="str">
        <f t="shared" si="55"/>
        <v>Myiesha Lunar Wisesa Putri </v>
      </c>
    </row>
    <row r="380">
      <c r="A380" s="417" t="s">
        <v>2729</v>
      </c>
      <c r="B380" s="485" t="str">
        <f t="shared" si="55"/>
        <v>Nabilah Shakeela Kusuma </v>
      </c>
    </row>
    <row r="381">
      <c r="A381" s="417" t="s">
        <v>3027</v>
      </c>
    </row>
    <row r="382">
      <c r="A382" s="417" t="s">
        <v>2636</v>
      </c>
      <c r="B382" s="485" t="str">
        <f>PROPER(A382)</f>
        <v>Nadhifa Farah Falihah </v>
      </c>
    </row>
    <row r="383">
      <c r="A383" s="417" t="s">
        <v>3076</v>
      </c>
    </row>
    <row r="384">
      <c r="A384" s="417" t="s">
        <v>3028</v>
      </c>
    </row>
    <row r="385">
      <c r="A385" s="417" t="s">
        <v>2828</v>
      </c>
      <c r="B385" s="485" t="str">
        <f t="shared" ref="B385:B386" si="56">PROPER(A385)</f>
        <v>Nadila Safira </v>
      </c>
    </row>
    <row r="386">
      <c r="A386" s="417" t="s">
        <v>2533</v>
      </c>
      <c r="B386" s="485" t="str">
        <f t="shared" si="56"/>
        <v>Nadya Salwa Altiara </v>
      </c>
    </row>
    <row r="387">
      <c r="A387" s="417" t="s">
        <v>3077</v>
      </c>
    </row>
    <row r="388">
      <c r="A388" s="417" t="s">
        <v>2877</v>
      </c>
      <c r="B388" s="485" t="str">
        <f t="shared" ref="B388:B391" si="57">PROPER(A388)</f>
        <v>Naila Khansa Rahmawati </v>
      </c>
    </row>
    <row r="389">
      <c r="A389" s="417" t="s">
        <v>2534</v>
      </c>
      <c r="B389" s="485" t="str">
        <f t="shared" si="57"/>
        <v>Nailah Khoirunisa Arsanti </v>
      </c>
    </row>
    <row r="390">
      <c r="A390" s="417" t="s">
        <v>2779</v>
      </c>
      <c r="B390" s="485" t="str">
        <f t="shared" si="57"/>
        <v>Najwa Citra Lestari </v>
      </c>
    </row>
    <row r="391">
      <c r="A391" s="417" t="s">
        <v>2878</v>
      </c>
      <c r="B391" s="485" t="str">
        <f t="shared" si="57"/>
        <v>Namira Nur Azkia </v>
      </c>
    </row>
    <row r="392">
      <c r="A392" s="417" t="s">
        <v>2977</v>
      </c>
    </row>
    <row r="393">
      <c r="A393" s="417" t="s">
        <v>2929</v>
      </c>
    </row>
    <row r="394">
      <c r="A394" s="417" t="s">
        <v>2879</v>
      </c>
      <c r="B394" s="485" t="str">
        <f>PROPER(A394)</f>
        <v>Naswa Ramadhani </v>
      </c>
    </row>
    <row r="395">
      <c r="A395" s="417" t="s">
        <v>3078</v>
      </c>
    </row>
    <row r="396">
      <c r="A396" s="417" t="s">
        <v>2730</v>
      </c>
      <c r="B396" s="485" t="str">
        <f>PROPER(A396)</f>
        <v>Naufal Aditama </v>
      </c>
    </row>
    <row r="397">
      <c r="A397" s="417" t="s">
        <v>2978</v>
      </c>
    </row>
    <row r="398">
      <c r="A398" s="417" t="s">
        <v>2979</v>
      </c>
    </row>
    <row r="399">
      <c r="A399" s="417" t="s">
        <v>2829</v>
      </c>
      <c r="B399" s="485" t="str">
        <f>PROPER(A399)</f>
        <v>Naurah Afifah Amaliyah </v>
      </c>
    </row>
    <row r="400">
      <c r="A400" s="417" t="s">
        <v>3079</v>
      </c>
    </row>
    <row r="401">
      <c r="A401" s="417" t="s">
        <v>2980</v>
      </c>
    </row>
    <row r="402">
      <c r="A402" s="417" t="s">
        <v>3080</v>
      </c>
    </row>
    <row r="403">
      <c r="A403" s="417" t="s">
        <v>2880</v>
      </c>
      <c r="B403" s="485" t="str">
        <f t="shared" ref="B403:B405" si="58">PROPER(A403)</f>
        <v>Nayla Ulya Taqiyya </v>
      </c>
    </row>
    <row r="404">
      <c r="A404" s="417" t="s">
        <v>2830</v>
      </c>
      <c r="B404" s="485" t="str">
        <f t="shared" si="58"/>
        <v>Nayla Widya Cakraprawartana </v>
      </c>
    </row>
    <row r="405">
      <c r="A405" s="417" t="s">
        <v>2780</v>
      </c>
      <c r="B405" s="485" t="str">
        <f t="shared" si="58"/>
        <v>Nayra Putri Sagita </v>
      </c>
    </row>
    <row r="406">
      <c r="A406" s="417" t="s">
        <v>3081</v>
      </c>
    </row>
    <row r="407">
      <c r="A407" s="417" t="s">
        <v>2731</v>
      </c>
      <c r="B407" s="485" t="str">
        <f t="shared" ref="B407:B411" si="59">PROPER(A407)</f>
        <v>Nayyira Ghania Mehnaz </v>
      </c>
    </row>
    <row r="408">
      <c r="A408" s="417" t="s">
        <v>2881</v>
      </c>
      <c r="B408" s="485" t="str">
        <f t="shared" si="59"/>
        <v>Nazwa Malika Asral </v>
      </c>
    </row>
    <row r="409">
      <c r="A409" s="417" t="s">
        <v>2732</v>
      </c>
      <c r="B409" s="485" t="str">
        <f t="shared" si="59"/>
        <v>Nazwa Nur Rahmah </v>
      </c>
    </row>
    <row r="410">
      <c r="A410" s="417" t="s">
        <v>2637</v>
      </c>
      <c r="B410" s="485" t="str">
        <f t="shared" si="59"/>
        <v>Nazwa Savira </v>
      </c>
    </row>
    <row r="411">
      <c r="A411" s="417" t="s">
        <v>2589</v>
      </c>
      <c r="B411" s="485" t="str">
        <f t="shared" si="59"/>
        <v>Neng Rahmi Novianti </v>
      </c>
    </row>
    <row r="412">
      <c r="A412" s="417" t="s">
        <v>3029</v>
      </c>
    </row>
    <row r="413">
      <c r="A413" s="417" t="s">
        <v>3082</v>
      </c>
    </row>
    <row r="414">
      <c r="A414" s="417" t="s">
        <v>2882</v>
      </c>
      <c r="B414" s="485" t="str">
        <f t="shared" ref="B414:B419" si="60">PROPER(A414)</f>
        <v>Ni'Matul Aulia Ningtias </v>
      </c>
    </row>
    <row r="415">
      <c r="A415" s="417" t="s">
        <v>2590</v>
      </c>
      <c r="B415" s="485" t="str">
        <f t="shared" si="60"/>
        <v>Niesha Anindya Firstsaly </v>
      </c>
    </row>
    <row r="416">
      <c r="A416" s="417" t="s">
        <v>2883</v>
      </c>
      <c r="B416" s="485" t="str">
        <f t="shared" si="60"/>
        <v>Nikesha Nashwa Damara </v>
      </c>
    </row>
    <row r="417">
      <c r="A417" s="417" t="s">
        <v>2638</v>
      </c>
      <c r="B417" s="485" t="str">
        <f t="shared" si="60"/>
        <v>Nourman Raditia Putra </v>
      </c>
    </row>
    <row r="418">
      <c r="A418" s="417" t="s">
        <v>2535</v>
      </c>
      <c r="B418" s="485" t="str">
        <f t="shared" si="60"/>
        <v>Novyola Safitri </v>
      </c>
    </row>
    <row r="419">
      <c r="A419" s="417" t="s">
        <v>2536</v>
      </c>
      <c r="B419" s="485" t="str">
        <f t="shared" si="60"/>
        <v>Nur Alifah Silvia </v>
      </c>
    </row>
    <row r="420">
      <c r="A420" s="417" t="s">
        <v>2930</v>
      </c>
    </row>
    <row r="421">
      <c r="A421" s="417" t="s">
        <v>2639</v>
      </c>
      <c r="B421" s="485" t="str">
        <f t="shared" ref="B421:B424" si="61">PROPER(A421)</f>
        <v>Nursifa Maulidah </v>
      </c>
    </row>
    <row r="422">
      <c r="A422" s="417" t="s">
        <v>2733</v>
      </c>
      <c r="B422" s="485" t="str">
        <f t="shared" si="61"/>
        <v>Nurul Aulia Ramadhani </v>
      </c>
    </row>
    <row r="423">
      <c r="A423" s="417" t="s">
        <v>2831</v>
      </c>
      <c r="B423" s="485" t="str">
        <f t="shared" si="61"/>
        <v>Nydia Aisyah Allifia </v>
      </c>
    </row>
    <row r="424">
      <c r="A424" s="417" t="s">
        <v>2734</v>
      </c>
      <c r="B424" s="485" t="str">
        <f t="shared" si="61"/>
        <v>Ohan Marhadi Haryono </v>
      </c>
    </row>
    <row r="425">
      <c r="A425" s="417" t="s">
        <v>3083</v>
      </c>
    </row>
    <row r="426">
      <c r="A426" s="417" t="s">
        <v>2591</v>
      </c>
      <c r="B426" s="485" t="str">
        <f t="shared" ref="B426:B435" si="62">PROPER(A426)</f>
        <v>Oryza Angelina Sitohang </v>
      </c>
    </row>
    <row r="427">
      <c r="A427" s="417" t="s">
        <v>2641</v>
      </c>
      <c r="B427" s="485" t="str">
        <f t="shared" si="62"/>
        <v>Pramudhio Sawerigading Ihsan </v>
      </c>
    </row>
    <row r="428">
      <c r="A428" s="417" t="s">
        <v>2684</v>
      </c>
      <c r="B428" s="485" t="str">
        <f t="shared" si="62"/>
        <v>Priscilia Michelle Pasau </v>
      </c>
    </row>
    <row r="429">
      <c r="A429" s="417" t="s">
        <v>2592</v>
      </c>
      <c r="B429" s="485" t="str">
        <f t="shared" si="62"/>
        <v>Priscillia Putri Viona </v>
      </c>
    </row>
    <row r="430">
      <c r="A430" s="417" t="s">
        <v>2685</v>
      </c>
      <c r="B430" s="485" t="str">
        <f t="shared" si="62"/>
        <v>Puffin Rohis Jusup Manurung </v>
      </c>
    </row>
    <row r="431">
      <c r="A431" s="417" t="s">
        <v>2537</v>
      </c>
      <c r="B431" s="485" t="str">
        <f t="shared" si="62"/>
        <v>Pungki Yustisia Pertiwi </v>
      </c>
    </row>
    <row r="432">
      <c r="A432" s="417" t="s">
        <v>2735</v>
      </c>
      <c r="B432" s="485" t="str">
        <f t="shared" si="62"/>
        <v>Puthik Ramadani </v>
      </c>
    </row>
    <row r="433">
      <c r="A433" s="417" t="s">
        <v>2642</v>
      </c>
      <c r="B433" s="485" t="str">
        <f t="shared" si="62"/>
        <v>Putri Eisya </v>
      </c>
    </row>
    <row r="434">
      <c r="A434" s="417" t="s">
        <v>2643</v>
      </c>
      <c r="B434" s="485" t="str">
        <f t="shared" si="62"/>
        <v>Putri Zaqiyah </v>
      </c>
    </row>
    <row r="435">
      <c r="A435" s="417" t="s">
        <v>2593</v>
      </c>
      <c r="B435" s="485" t="str">
        <f t="shared" si="62"/>
        <v>Qaniah Mardiyah Salsabila </v>
      </c>
    </row>
    <row r="436">
      <c r="A436" s="417" t="s">
        <v>2931</v>
      </c>
    </row>
    <row r="437">
      <c r="A437" s="417" t="s">
        <v>2781</v>
      </c>
      <c r="B437" s="485" t="str">
        <f>PROPER(A437)</f>
        <v>Queensha Amiradana Putri Hamka </v>
      </c>
    </row>
    <row r="438">
      <c r="A438" s="417" t="s">
        <v>2981</v>
      </c>
    </row>
    <row r="439">
      <c r="A439" s="417" t="s">
        <v>2884</v>
      </c>
      <c r="B439" s="485" t="str">
        <f>PROPER(A439)</f>
        <v>Quensha Rahayu Kusuma Agora </v>
      </c>
    </row>
    <row r="440">
      <c r="A440" s="417" t="s">
        <v>2885</v>
      </c>
    </row>
    <row r="441">
      <c r="A441" s="417" t="s">
        <v>2782</v>
      </c>
      <c r="B441" s="485" t="str">
        <f t="shared" ref="B441:B442" si="63">PROPER(A441)</f>
        <v>Quinsha Rizkya Irawan </v>
      </c>
    </row>
    <row r="442">
      <c r="A442" s="417" t="s">
        <v>2686</v>
      </c>
      <c r="B442" s="485" t="str">
        <f t="shared" si="63"/>
        <v>Quizal Razky Ahmad </v>
      </c>
    </row>
    <row r="443">
      <c r="A443" s="417" t="s">
        <v>3084</v>
      </c>
    </row>
    <row r="444">
      <c r="A444" s="417" t="s">
        <v>2783</v>
      </c>
      <c r="B444" s="485" t="str">
        <f t="shared" ref="B444:B448" si="64">PROPER(A444)</f>
        <v>Raasyid Zhariif Santoso </v>
      </c>
    </row>
    <row r="445">
      <c r="A445" s="417" t="s">
        <v>2736</v>
      </c>
      <c r="B445" s="485" t="str">
        <f t="shared" si="64"/>
        <v>Raden Chintya Dewi Maharani </v>
      </c>
    </row>
    <row r="446">
      <c r="A446" s="417" t="s">
        <v>2737</v>
      </c>
      <c r="B446" s="485" t="str">
        <f t="shared" si="64"/>
        <v>Raden Ciara Za Syahluna </v>
      </c>
    </row>
    <row r="447">
      <c r="A447" s="417" t="s">
        <v>2538</v>
      </c>
      <c r="B447" s="485" t="str">
        <f t="shared" si="64"/>
        <v>Raden Gathan Azaki Soesilo </v>
      </c>
    </row>
    <row r="448">
      <c r="A448" s="417" t="s">
        <v>2539</v>
      </c>
      <c r="B448" s="485" t="str">
        <f t="shared" si="64"/>
        <v>Raden Muhammad Rafi Wiranata </v>
      </c>
    </row>
    <row r="449">
      <c r="A449" s="417" t="s">
        <v>3085</v>
      </c>
    </row>
    <row r="450">
      <c r="A450" s="417" t="s">
        <v>2784</v>
      </c>
      <c r="B450" s="485" t="str">
        <f>PROPER(A450)</f>
        <v>Raditya Rafa Abdillah </v>
      </c>
    </row>
    <row r="451">
      <c r="A451" s="417" t="s">
        <v>2932</v>
      </c>
    </row>
    <row r="452">
      <c r="A452" s="417" t="s">
        <v>3030</v>
      </c>
    </row>
    <row r="453">
      <c r="A453" s="417" t="s">
        <v>2982</v>
      </c>
    </row>
    <row r="454">
      <c r="A454" s="417" t="s">
        <v>2933</v>
      </c>
    </row>
    <row r="455">
      <c r="A455" s="417" t="s">
        <v>2644</v>
      </c>
      <c r="B455" s="485" t="str">
        <f>PROPER(A455)</f>
        <v>Rahma Marissa </v>
      </c>
    </row>
    <row r="456">
      <c r="A456" s="417" t="s">
        <v>2983</v>
      </c>
    </row>
    <row r="457">
      <c r="A457" s="417" t="s">
        <v>2886</v>
      </c>
    </row>
    <row r="458">
      <c r="A458" s="417" t="s">
        <v>2832</v>
      </c>
      <c r="B458" s="485" t="str">
        <f>PROPER(A458)</f>
        <v>Raihana Humairah Budianto </v>
      </c>
    </row>
    <row r="459">
      <c r="A459" s="417" t="s">
        <v>2934</v>
      </c>
    </row>
    <row r="460">
      <c r="A460" s="417" t="s">
        <v>2833</v>
      </c>
      <c r="B460" s="485" t="str">
        <f t="shared" ref="B460:B461" si="65">PROPER(A460)</f>
        <v>Raisa Putri Rahima </v>
      </c>
    </row>
    <row r="461">
      <c r="A461" s="417" t="s">
        <v>2594</v>
      </c>
      <c r="B461" s="485" t="str">
        <f t="shared" si="65"/>
        <v>Raisha Puri Lianti </v>
      </c>
    </row>
    <row r="462">
      <c r="A462" s="417" t="s">
        <v>2984</v>
      </c>
    </row>
    <row r="463">
      <c r="A463" s="417" t="s">
        <v>2887</v>
      </c>
    </row>
    <row r="464">
      <c r="A464" s="417" t="s">
        <v>2738</v>
      </c>
      <c r="B464" s="485" t="str">
        <f t="shared" ref="B464:B465" si="66">PROPER(A464)</f>
        <v>Rama Andhika </v>
      </c>
    </row>
    <row r="465">
      <c r="A465" s="417" t="s">
        <v>2687</v>
      </c>
      <c r="B465" s="485" t="str">
        <f t="shared" si="66"/>
        <v>Randy Adiya Pratama Kouw </v>
      </c>
    </row>
    <row r="466">
      <c r="A466" s="417" t="s">
        <v>2935</v>
      </c>
    </row>
    <row r="467">
      <c r="A467" s="417" t="s">
        <v>2595</v>
      </c>
      <c r="B467" s="485" t="str">
        <f t="shared" ref="B467:B474" si="67">PROPER(A467)</f>
        <v>Rasya Arkananta Mulya </v>
      </c>
    </row>
    <row r="468">
      <c r="A468" s="417" t="s">
        <v>2688</v>
      </c>
      <c r="B468" s="485" t="str">
        <f t="shared" si="67"/>
        <v>Ravino Abbas Subaga </v>
      </c>
    </row>
    <row r="469">
      <c r="A469" s="417" t="s">
        <v>2540</v>
      </c>
      <c r="B469" s="485" t="str">
        <f t="shared" si="67"/>
        <v>Rayhan Ashabi </v>
      </c>
    </row>
    <row r="470">
      <c r="A470" s="417" t="s">
        <v>2541</v>
      </c>
      <c r="B470" s="485" t="str">
        <f t="shared" si="67"/>
        <v>Rayhana Rizkya Al-Multazam </v>
      </c>
    </row>
    <row r="471">
      <c r="A471" s="417" t="s">
        <v>2785</v>
      </c>
      <c r="B471" s="485" t="str">
        <f t="shared" si="67"/>
        <v>Raynar Abiyu Diera </v>
      </c>
    </row>
    <row r="472">
      <c r="A472" s="417" t="s">
        <v>2786</v>
      </c>
      <c r="B472" s="485" t="str">
        <f t="shared" si="67"/>
        <v>Rayyan Wahyu Ramadhan </v>
      </c>
    </row>
    <row r="473">
      <c r="A473" s="417" t="s">
        <v>2689</v>
      </c>
      <c r="B473" s="485" t="str">
        <f t="shared" si="67"/>
        <v>Rei Dillan Hartedi </v>
      </c>
    </row>
    <row r="474">
      <c r="A474" s="417" t="s">
        <v>2739</v>
      </c>
      <c r="B474" s="485" t="str">
        <f t="shared" si="67"/>
        <v>Reisha Azzahra Pramesti </v>
      </c>
    </row>
    <row r="475">
      <c r="A475" s="417" t="s">
        <v>3031</v>
      </c>
    </row>
    <row r="476">
      <c r="A476" s="417" t="s">
        <v>2690</v>
      </c>
      <c r="B476" s="485" t="str">
        <f t="shared" ref="B476:B479" si="68">PROPER(A476)</f>
        <v>Reni Apriliani </v>
      </c>
    </row>
    <row r="477">
      <c r="A477" s="417" t="s">
        <v>2787</v>
      </c>
      <c r="B477" s="485" t="str">
        <f t="shared" si="68"/>
        <v>Reva Aulia Putri </v>
      </c>
    </row>
    <row r="478">
      <c r="A478" s="417" t="s">
        <v>2645</v>
      </c>
      <c r="B478" s="485" t="str">
        <f t="shared" si="68"/>
        <v>Revan </v>
      </c>
    </row>
    <row r="479">
      <c r="A479" s="417" t="s">
        <v>2788</v>
      </c>
      <c r="B479" s="485" t="str">
        <f t="shared" si="68"/>
        <v>Revina Apriza </v>
      </c>
    </row>
    <row r="480">
      <c r="A480" s="417" t="s">
        <v>2936</v>
      </c>
    </row>
    <row r="481">
      <c r="A481" s="417" t="s">
        <v>2740</v>
      </c>
      <c r="B481" s="485" t="str">
        <f t="shared" ref="B481:B482" si="69">PROPER(A481)</f>
        <v>Rheiska Amelia </v>
      </c>
    </row>
    <row r="482">
      <c r="A482" s="417" t="s">
        <v>2542</v>
      </c>
      <c r="B482" s="485" t="str">
        <f t="shared" si="69"/>
        <v>Riffa Nugraha </v>
      </c>
    </row>
    <row r="483">
      <c r="A483" s="417" t="s">
        <v>3086</v>
      </c>
    </row>
    <row r="484">
      <c r="A484" s="417" t="s">
        <v>2834</v>
      </c>
      <c r="B484" s="485" t="str">
        <f t="shared" ref="B484:B485" si="70">PROPER(A484)</f>
        <v>Rindu Gatari Asmiladi </v>
      </c>
    </row>
    <row r="485">
      <c r="A485" s="417" t="s">
        <v>2691</v>
      </c>
      <c r="B485" s="485" t="str">
        <f t="shared" si="70"/>
        <v>Rizky Putra Kunta Ajie </v>
      </c>
    </row>
    <row r="486">
      <c r="A486" s="417" t="s">
        <v>2985</v>
      </c>
    </row>
    <row r="487">
      <c r="A487" s="417" t="s">
        <v>3087</v>
      </c>
    </row>
    <row r="488">
      <c r="A488" s="417" t="s">
        <v>2789</v>
      </c>
      <c r="B488" s="485" t="str">
        <f>PROPER(A488)</f>
        <v>Rossy Indriyati </v>
      </c>
    </row>
    <row r="489">
      <c r="A489" s="417" t="s">
        <v>3088</v>
      </c>
    </row>
    <row r="490">
      <c r="A490" s="417" t="s">
        <v>2596</v>
      </c>
      <c r="B490" s="485" t="str">
        <f t="shared" ref="B490:B491" si="71">PROPER(A490)</f>
        <v>Rusvi Putri Ingguan </v>
      </c>
    </row>
    <row r="491">
      <c r="A491" s="417" t="s">
        <v>2597</v>
      </c>
      <c r="B491" s="485" t="str">
        <f t="shared" si="71"/>
        <v>Ruth Rafanela Syeby Siregar </v>
      </c>
    </row>
    <row r="492">
      <c r="A492" s="417" t="s">
        <v>3032</v>
      </c>
    </row>
    <row r="493">
      <c r="A493" s="417" t="s">
        <v>2888</v>
      </c>
    </row>
    <row r="494">
      <c r="A494" s="417" t="s">
        <v>2646</v>
      </c>
      <c r="B494" s="485" t="str">
        <f>PROPER(A494)</f>
        <v>Safa Naya Adristi </v>
      </c>
    </row>
    <row r="495">
      <c r="A495" s="417" t="s">
        <v>3089</v>
      </c>
    </row>
    <row r="496">
      <c r="A496" s="417" t="s">
        <v>3033</v>
      </c>
    </row>
    <row r="497">
      <c r="A497" s="417" t="s">
        <v>2835</v>
      </c>
      <c r="B497" s="485" t="str">
        <f t="shared" ref="B497:B498" si="72">PROPER(A497)</f>
        <v>Salman Latif Anshari </v>
      </c>
    </row>
    <row r="498">
      <c r="A498" s="417" t="s">
        <v>2790</v>
      </c>
      <c r="B498" s="485" t="str">
        <f t="shared" si="72"/>
        <v>Salsa Kirana Putri </v>
      </c>
    </row>
    <row r="499">
      <c r="A499" s="417" t="s">
        <v>3034</v>
      </c>
    </row>
    <row r="500">
      <c r="A500" s="417" t="s">
        <v>2741</v>
      </c>
      <c r="B500" s="485" t="str">
        <f t="shared" ref="B500:B501" si="73">PROPER(A500)</f>
        <v>Salsabila Kinaya </v>
      </c>
    </row>
    <row r="501">
      <c r="A501" s="417" t="s">
        <v>2543</v>
      </c>
      <c r="B501" s="485" t="str">
        <f t="shared" si="73"/>
        <v>Salsabila Zahwa Mulana </v>
      </c>
    </row>
    <row r="502">
      <c r="A502" s="417" t="s">
        <v>2986</v>
      </c>
    </row>
    <row r="503">
      <c r="A503" s="417" t="s">
        <v>2987</v>
      </c>
    </row>
    <row r="504">
      <c r="A504" s="417" t="s">
        <v>2937</v>
      </c>
    </row>
    <row r="505">
      <c r="A505" s="417" t="s">
        <v>2692</v>
      </c>
      <c r="B505" s="485" t="str">
        <f t="shared" ref="B505:B508" si="74">PROPER(A505)</f>
        <v>Shabira Andiani </v>
      </c>
    </row>
    <row r="506">
      <c r="A506" s="417" t="s">
        <v>2544</v>
      </c>
      <c r="B506" s="485" t="str">
        <f t="shared" si="74"/>
        <v>Shabira Ayatul Husna </v>
      </c>
    </row>
    <row r="507">
      <c r="A507" s="417" t="s">
        <v>2693</v>
      </c>
      <c r="B507" s="485" t="str">
        <f t="shared" si="74"/>
        <v>Shafa Talitha Budiarto </v>
      </c>
    </row>
    <row r="508">
      <c r="A508" s="417" t="s">
        <v>2694</v>
      </c>
      <c r="B508" s="485" t="str">
        <f t="shared" si="74"/>
        <v>Shahira Hafiza Putri </v>
      </c>
    </row>
    <row r="509">
      <c r="A509" s="417" t="s">
        <v>3090</v>
      </c>
    </row>
    <row r="510">
      <c r="A510" s="417" t="s">
        <v>2791</v>
      </c>
      <c r="B510" s="485" t="str">
        <f>PROPER(A510)</f>
        <v>Shalomieta Aira Kinaya </v>
      </c>
    </row>
    <row r="511">
      <c r="A511" s="417" t="s">
        <v>3035</v>
      </c>
    </row>
    <row r="512">
      <c r="A512" s="417" t="s">
        <v>2695</v>
      </c>
      <c r="B512" s="485" t="str">
        <f t="shared" ref="B512:B513" si="75">PROPER(A512)</f>
        <v>Sheika Rizki Ramadanti Aurelia </v>
      </c>
    </row>
    <row r="513">
      <c r="A513" s="417" t="s">
        <v>2647</v>
      </c>
      <c r="B513" s="485" t="str">
        <f t="shared" si="75"/>
        <v>Shirane Ghaniyya Ramadhani </v>
      </c>
    </row>
    <row r="514">
      <c r="A514" s="417" t="s">
        <v>2988</v>
      </c>
    </row>
    <row r="515">
      <c r="A515" s="417" t="s">
        <v>2889</v>
      </c>
    </row>
    <row r="516">
      <c r="A516" s="417" t="s">
        <v>2836</v>
      </c>
      <c r="B516" s="485" t="str">
        <f>PROPER(A516)</f>
        <v>Siti Iklima Sakurani </v>
      </c>
    </row>
    <row r="517">
      <c r="A517" s="417" t="s">
        <v>3036</v>
      </c>
    </row>
    <row r="518">
      <c r="A518" s="417" t="s">
        <v>2837</v>
      </c>
      <c r="B518" s="485" t="str">
        <f>PROPER(A518)</f>
        <v>Sultan Reynard Sabdadika </v>
      </c>
    </row>
    <row r="519">
      <c r="A519" s="417" t="s">
        <v>2989</v>
      </c>
    </row>
    <row r="520">
      <c r="A520" s="417" t="s">
        <v>2838</v>
      </c>
      <c r="B520" s="485" t="str">
        <f t="shared" ref="B520:B522" si="76">PROPER(A520)</f>
        <v>Syafiqa Bariq Mahya </v>
      </c>
    </row>
    <row r="521">
      <c r="A521" s="417" t="s">
        <v>2792</v>
      </c>
      <c r="B521" s="485" t="str">
        <f t="shared" si="76"/>
        <v>Syahdan Akbar Mara Putra </v>
      </c>
    </row>
    <row r="522">
      <c r="A522" s="417" t="s">
        <v>2793</v>
      </c>
      <c r="B522" s="485" t="str">
        <f t="shared" si="76"/>
        <v>Syahla Adzkannisa Vuzela </v>
      </c>
    </row>
    <row r="523">
      <c r="A523" s="417" t="s">
        <v>2938</v>
      </c>
    </row>
    <row r="524">
      <c r="A524" s="417" t="s">
        <v>3091</v>
      </c>
    </row>
    <row r="525">
      <c r="A525" s="417" t="s">
        <v>2839</v>
      </c>
      <c r="B525" s="485" t="str">
        <f t="shared" ref="B525:B528" si="77">PROPER(A525)</f>
        <v>Syahluna Ananta Putri </v>
      </c>
    </row>
    <row r="526">
      <c r="A526" s="417" t="s">
        <v>2696</v>
      </c>
      <c r="B526" s="485" t="str">
        <f t="shared" si="77"/>
        <v>Syahwa Fatmah </v>
      </c>
    </row>
    <row r="527">
      <c r="A527" s="417" t="s">
        <v>2697</v>
      </c>
      <c r="B527" s="485" t="str">
        <f t="shared" si="77"/>
        <v>Syakira Alma Annisa </v>
      </c>
    </row>
    <row r="528">
      <c r="A528" s="417" t="s">
        <v>2742</v>
      </c>
      <c r="B528" s="485" t="str">
        <f t="shared" si="77"/>
        <v>Syarafina Nur Alifatuzahro </v>
      </c>
    </row>
    <row r="529">
      <c r="A529" s="417" t="s">
        <v>2890</v>
      </c>
    </row>
    <row r="530">
      <c r="A530" s="417" t="s">
        <v>2939</v>
      </c>
    </row>
    <row r="531">
      <c r="A531" s="417" t="s">
        <v>2840</v>
      </c>
      <c r="B531" s="485" t="str">
        <f t="shared" ref="B531:B534" si="78">PROPER(A531)</f>
        <v>Tabah Rafie Abdillah </v>
      </c>
    </row>
    <row r="532">
      <c r="A532" s="543" t="s">
        <v>2</v>
      </c>
      <c r="B532" s="485" t="str">
        <f t="shared" si="78"/>
        <v>Tahun Pelajaran 2025 - 2026</v>
      </c>
    </row>
    <row r="533">
      <c r="A533" s="417" t="s">
        <v>2743</v>
      </c>
      <c r="B533" s="485" t="str">
        <f t="shared" si="78"/>
        <v>Tanty Amelia Al Rasyid </v>
      </c>
    </row>
    <row r="534">
      <c r="A534" s="417" t="s">
        <v>2794</v>
      </c>
      <c r="B534" s="485" t="str">
        <f t="shared" si="78"/>
        <v>Taufik Hidayah </v>
      </c>
    </row>
    <row r="535">
      <c r="A535" s="417" t="s">
        <v>2940</v>
      </c>
    </row>
    <row r="536">
      <c r="A536" s="417" t="s">
        <v>2744</v>
      </c>
      <c r="B536" s="485" t="str">
        <f t="shared" ref="B536:B537" si="79">PROPER(A536)</f>
        <v>Teduh Mutiara Hapsari </v>
      </c>
    </row>
    <row r="537">
      <c r="A537" s="417" t="s">
        <v>2698</v>
      </c>
      <c r="B537" s="485" t="str">
        <f t="shared" si="79"/>
        <v>Tiara Winni Melia </v>
      </c>
    </row>
    <row r="538">
      <c r="A538" s="417" t="s">
        <v>3037</v>
      </c>
    </row>
    <row r="539">
      <c r="A539" s="417" t="s">
        <v>2598</v>
      </c>
      <c r="B539" s="485" t="str">
        <f t="shared" ref="B539:B540" si="80">PROPER(A539)</f>
        <v>Titania Dwizita Shahla </v>
      </c>
    </row>
    <row r="540">
      <c r="A540" s="417" t="s">
        <v>2841</v>
      </c>
      <c r="B540" s="485" t="str">
        <f t="shared" si="80"/>
        <v>Tristan Lovriano Aryasatya </v>
      </c>
    </row>
    <row r="541">
      <c r="A541" s="417" t="s">
        <v>2891</v>
      </c>
    </row>
    <row r="542">
      <c r="A542" s="417" t="s">
        <v>2745</v>
      </c>
      <c r="B542" s="485" t="str">
        <f>PROPER(A542)</f>
        <v>Tubagus Mochamad Rizki Fauzan Faris </v>
      </c>
    </row>
    <row r="543">
      <c r="A543" s="417" t="s">
        <v>3092</v>
      </c>
    </row>
    <row r="544">
      <c r="A544" s="417" t="s">
        <v>3038</v>
      </c>
    </row>
    <row r="545">
      <c r="A545" s="417" t="s">
        <v>2990</v>
      </c>
    </row>
    <row r="546">
      <c r="A546" s="417" t="s">
        <v>3039</v>
      </c>
    </row>
    <row r="547">
      <c r="A547" s="417" t="s">
        <v>2746</v>
      </c>
      <c r="B547" s="485" t="str">
        <f t="shared" ref="B547:B549" si="81">PROPER(A547)</f>
        <v>Yanza Rizkia Salsabillah </v>
      </c>
    </row>
    <row r="548">
      <c r="A548" s="417" t="s">
        <v>2648</v>
      </c>
      <c r="B548" s="485" t="str">
        <f t="shared" si="81"/>
        <v>Yasmin Kirani Affifah </v>
      </c>
    </row>
    <row r="549">
      <c r="A549" s="417" t="s">
        <v>2649</v>
      </c>
      <c r="B549" s="485" t="str">
        <f t="shared" si="81"/>
        <v>Yasmine Almira Queen </v>
      </c>
    </row>
    <row r="550">
      <c r="A550" s="417" t="s">
        <v>3040</v>
      </c>
    </row>
    <row r="551">
      <c r="A551" s="417" t="s">
        <v>2892</v>
      </c>
    </row>
    <row r="552">
      <c r="A552" s="417" t="s">
        <v>2842</v>
      </c>
      <c r="B552" s="485" t="str">
        <f t="shared" ref="B552:B553" si="82">PROPER(A552)</f>
        <v>Zafira Salsa Haniah </v>
      </c>
    </row>
    <row r="553">
      <c r="A553" s="417" t="s">
        <v>2599</v>
      </c>
      <c r="B553" s="485" t="str">
        <f t="shared" si="82"/>
        <v>Zaidan Riziq Sakha </v>
      </c>
    </row>
    <row r="554">
      <c r="A554" s="417" t="s">
        <v>3041</v>
      </c>
    </row>
    <row r="555">
      <c r="A555" s="417" t="s">
        <v>3093</v>
      </c>
    </row>
    <row r="556">
      <c r="A556" s="417" t="s">
        <v>2600</v>
      </c>
      <c r="B556" s="485" t="str">
        <f t="shared" ref="B556:B557" si="83">PROPER(A556)</f>
        <v>Zalikhah Rasikhah Putri </v>
      </c>
    </row>
    <row r="557">
      <c r="A557" s="417" t="s">
        <v>2545</v>
      </c>
      <c r="B557" s="485" t="str">
        <f t="shared" si="83"/>
        <v>Zavier Lamya Arkanominatha </v>
      </c>
    </row>
    <row r="558">
      <c r="A558" s="417" t="s">
        <v>3042</v>
      </c>
    </row>
    <row r="559">
      <c r="A559" s="417" t="s">
        <v>2546</v>
      </c>
      <c r="B559" s="485" t="str">
        <f t="shared" ref="B559:B595" si="84">PROPER(A559)</f>
        <v>Zhafirah Dwi Fauziah </v>
      </c>
    </row>
    <row r="560">
      <c r="B560" s="485" t="str">
        <f t="shared" si="84"/>
        <v/>
      </c>
    </row>
    <row r="561">
      <c r="B561" s="485" t="str">
        <f t="shared" si="84"/>
        <v/>
      </c>
    </row>
    <row r="562">
      <c r="A562" s="543"/>
      <c r="B562" s="485" t="str">
        <f t="shared" si="84"/>
        <v/>
      </c>
    </row>
    <row r="563">
      <c r="B563" s="485" t="str">
        <f t="shared" si="84"/>
        <v/>
      </c>
    </row>
    <row r="564">
      <c r="B564" s="485" t="str">
        <f t="shared" si="84"/>
        <v/>
      </c>
    </row>
    <row r="565">
      <c r="B565" s="485" t="str">
        <f t="shared" si="84"/>
        <v/>
      </c>
    </row>
    <row r="566">
      <c r="B566" s="485" t="str">
        <f t="shared" si="84"/>
        <v/>
      </c>
    </row>
    <row r="567">
      <c r="B567" s="485" t="str">
        <f t="shared" si="84"/>
        <v/>
      </c>
    </row>
    <row r="568">
      <c r="A568" s="543"/>
      <c r="B568" s="485" t="str">
        <f t="shared" si="84"/>
        <v/>
      </c>
    </row>
    <row r="569">
      <c r="B569" s="485" t="str">
        <f t="shared" si="84"/>
        <v/>
      </c>
    </row>
    <row r="570">
      <c r="B570" s="485" t="str">
        <f t="shared" si="84"/>
        <v/>
      </c>
    </row>
    <row r="571">
      <c r="B571" s="485" t="str">
        <f t="shared" si="84"/>
        <v/>
      </c>
    </row>
    <row r="572">
      <c r="B572" s="485" t="str">
        <f t="shared" si="84"/>
        <v/>
      </c>
    </row>
    <row r="573">
      <c r="B573" s="485" t="str">
        <f t="shared" si="84"/>
        <v/>
      </c>
    </row>
    <row r="574">
      <c r="B574" s="485" t="str">
        <f t="shared" si="84"/>
        <v/>
      </c>
    </row>
    <row r="575">
      <c r="B575" s="485" t="str">
        <f t="shared" si="84"/>
        <v/>
      </c>
    </row>
    <row r="576">
      <c r="B576" s="485" t="str">
        <f t="shared" si="84"/>
        <v/>
      </c>
    </row>
    <row r="577">
      <c r="B577" s="485" t="str">
        <f t="shared" si="84"/>
        <v/>
      </c>
    </row>
    <row r="578">
      <c r="B578" s="485" t="str">
        <f t="shared" si="84"/>
        <v/>
      </c>
    </row>
    <row r="579">
      <c r="B579" s="485" t="str">
        <f t="shared" si="84"/>
        <v/>
      </c>
    </row>
    <row r="580">
      <c r="B580" s="485" t="str">
        <f t="shared" si="84"/>
        <v/>
      </c>
    </row>
    <row r="581">
      <c r="B581" s="485" t="str">
        <f t="shared" si="84"/>
        <v/>
      </c>
    </row>
    <row r="582">
      <c r="B582" s="485" t="str">
        <f t="shared" si="84"/>
        <v/>
      </c>
    </row>
    <row r="583">
      <c r="B583" s="485" t="str">
        <f t="shared" si="84"/>
        <v/>
      </c>
    </row>
    <row r="584">
      <c r="B584" s="485" t="str">
        <f t="shared" si="84"/>
        <v/>
      </c>
    </row>
    <row r="585">
      <c r="B585" s="485" t="str">
        <f t="shared" si="84"/>
        <v/>
      </c>
    </row>
    <row r="586">
      <c r="B586" s="485" t="str">
        <f t="shared" si="84"/>
        <v/>
      </c>
    </row>
    <row r="587">
      <c r="B587" s="485" t="str">
        <f t="shared" si="84"/>
        <v/>
      </c>
    </row>
    <row r="588">
      <c r="B588" s="485" t="str">
        <f t="shared" si="84"/>
        <v/>
      </c>
    </row>
    <row r="589">
      <c r="B589" s="485" t="str">
        <f t="shared" si="84"/>
        <v/>
      </c>
    </row>
    <row r="590">
      <c r="B590" s="485" t="str">
        <f t="shared" si="84"/>
        <v/>
      </c>
    </row>
    <row r="591">
      <c r="B591" s="485" t="str">
        <f t="shared" si="84"/>
        <v/>
      </c>
    </row>
    <row r="592">
      <c r="B592" s="485" t="str">
        <f t="shared" si="84"/>
        <v/>
      </c>
    </row>
    <row r="593">
      <c r="B593" s="485" t="str">
        <f t="shared" si="84"/>
        <v/>
      </c>
    </row>
    <row r="594">
      <c r="B594" s="485" t="str">
        <f t="shared" si="84"/>
        <v/>
      </c>
    </row>
    <row r="595">
      <c r="B595" s="485" t="str">
        <f t="shared" si="84"/>
        <v/>
      </c>
    </row>
  </sheetData>
  <autoFilter ref="$A$1:$B$956">
    <sortState ref="A1:B956">
      <sortCondition ref="A1:A956"/>
    </sortState>
  </autoFil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6.57"/>
  </cols>
  <sheetData>
    <row r="1">
      <c r="A1" s="560" t="s">
        <v>5601</v>
      </c>
      <c r="I1" s="423"/>
      <c r="J1" s="423"/>
      <c r="K1" s="423"/>
      <c r="L1" s="423"/>
      <c r="M1" s="423"/>
      <c r="N1" s="423"/>
      <c r="O1" s="423"/>
      <c r="P1" s="423"/>
      <c r="Q1" s="423"/>
      <c r="R1" s="423"/>
      <c r="S1" s="423"/>
      <c r="T1" s="423"/>
      <c r="U1" s="423"/>
      <c r="V1" s="423"/>
      <c r="W1" s="423"/>
      <c r="X1" s="423"/>
      <c r="Y1" s="423"/>
      <c r="Z1" s="423"/>
    </row>
    <row r="2">
      <c r="A2" s="561" t="s">
        <v>1735</v>
      </c>
      <c r="B2" s="561" t="s">
        <v>5602</v>
      </c>
      <c r="C2" s="561" t="s">
        <v>5</v>
      </c>
      <c r="D2" s="561" t="s">
        <v>5603</v>
      </c>
      <c r="E2" s="561" t="s">
        <v>5604</v>
      </c>
      <c r="F2" s="561" t="s">
        <v>5605</v>
      </c>
      <c r="G2" s="561" t="s">
        <v>5606</v>
      </c>
      <c r="H2" s="561" t="s">
        <v>5607</v>
      </c>
      <c r="I2" s="423"/>
      <c r="J2" s="423"/>
      <c r="K2" s="423"/>
      <c r="L2" s="423"/>
      <c r="M2" s="423"/>
      <c r="N2" s="423"/>
      <c r="O2" s="423"/>
      <c r="P2" s="423"/>
      <c r="Q2" s="423"/>
      <c r="R2" s="423"/>
      <c r="S2" s="423"/>
      <c r="T2" s="423"/>
      <c r="U2" s="423"/>
      <c r="V2" s="423"/>
      <c r="W2" s="423"/>
      <c r="X2" s="423"/>
      <c r="Y2" s="423"/>
      <c r="Z2" s="423"/>
    </row>
    <row r="3">
      <c r="A3" s="562">
        <v>1.0</v>
      </c>
      <c r="B3" s="563" t="s">
        <v>1161</v>
      </c>
      <c r="C3" s="563" t="s">
        <v>5240</v>
      </c>
      <c r="D3" s="562">
        <v>3.0</v>
      </c>
      <c r="E3" s="562">
        <v>0.0</v>
      </c>
      <c r="F3" s="562">
        <v>0.0</v>
      </c>
      <c r="G3" s="562">
        <v>5.0</v>
      </c>
      <c r="H3" s="562">
        <v>0.0</v>
      </c>
      <c r="I3" s="423"/>
      <c r="J3" s="423"/>
      <c r="K3" s="423"/>
      <c r="L3" s="423"/>
      <c r="M3" s="423"/>
      <c r="N3" s="423"/>
      <c r="O3" s="423"/>
      <c r="P3" s="423"/>
      <c r="Q3" s="423"/>
      <c r="R3" s="423"/>
      <c r="S3" s="423"/>
      <c r="T3" s="423"/>
      <c r="U3" s="423"/>
      <c r="V3" s="423"/>
      <c r="W3" s="423"/>
      <c r="X3" s="423"/>
      <c r="Y3" s="423"/>
      <c r="Z3" s="423"/>
    </row>
    <row r="4">
      <c r="A4" s="564">
        <v>2.0</v>
      </c>
      <c r="B4" s="565" t="s">
        <v>1164</v>
      </c>
      <c r="C4" s="565" t="s">
        <v>5240</v>
      </c>
      <c r="D4" s="564">
        <v>2.0</v>
      </c>
      <c r="E4" s="564">
        <v>0.0</v>
      </c>
      <c r="F4" s="564">
        <v>0.0</v>
      </c>
      <c r="G4" s="564">
        <v>6.0</v>
      </c>
      <c r="H4" s="564">
        <v>0.0</v>
      </c>
      <c r="I4" s="423"/>
      <c r="J4" s="423"/>
      <c r="K4" s="423"/>
      <c r="L4" s="423"/>
      <c r="M4" s="423"/>
      <c r="N4" s="423"/>
      <c r="O4" s="423"/>
      <c r="P4" s="423"/>
      <c r="Q4" s="423"/>
      <c r="R4" s="423"/>
      <c r="S4" s="423"/>
      <c r="T4" s="423"/>
      <c r="U4" s="423"/>
      <c r="V4" s="423"/>
      <c r="W4" s="423"/>
      <c r="X4" s="423"/>
      <c r="Y4" s="423"/>
      <c r="Z4" s="423"/>
    </row>
    <row r="5">
      <c r="A5" s="562">
        <v>3.0</v>
      </c>
      <c r="B5" s="563" t="s">
        <v>1165</v>
      </c>
      <c r="C5" s="563" t="s">
        <v>5240</v>
      </c>
      <c r="D5" s="562">
        <v>1.0</v>
      </c>
      <c r="E5" s="562">
        <v>0.0</v>
      </c>
      <c r="F5" s="562">
        <v>0.0</v>
      </c>
      <c r="G5" s="562">
        <v>7.0</v>
      </c>
      <c r="H5" s="562">
        <v>0.0</v>
      </c>
      <c r="I5" s="423"/>
      <c r="J5" s="423"/>
      <c r="K5" s="423"/>
      <c r="L5" s="423"/>
      <c r="M5" s="423"/>
      <c r="N5" s="423"/>
      <c r="O5" s="423"/>
      <c r="P5" s="423"/>
      <c r="Q5" s="423"/>
      <c r="R5" s="423"/>
      <c r="S5" s="423"/>
      <c r="T5" s="423"/>
      <c r="U5" s="423"/>
      <c r="V5" s="423"/>
      <c r="W5" s="423"/>
      <c r="X5" s="423"/>
      <c r="Y5" s="423"/>
      <c r="Z5" s="423"/>
    </row>
    <row r="6">
      <c r="A6" s="564">
        <v>4.0</v>
      </c>
      <c r="B6" s="565" t="s">
        <v>1166</v>
      </c>
      <c r="C6" s="565" t="s">
        <v>5240</v>
      </c>
      <c r="D6" s="564">
        <v>3.0</v>
      </c>
      <c r="E6" s="564">
        <v>0.0</v>
      </c>
      <c r="F6" s="564">
        <v>0.0</v>
      </c>
      <c r="G6" s="564">
        <v>5.0</v>
      </c>
      <c r="H6" s="564">
        <v>0.0</v>
      </c>
      <c r="I6" s="423"/>
      <c r="J6" s="423"/>
      <c r="K6" s="423"/>
      <c r="L6" s="423"/>
      <c r="M6" s="423"/>
      <c r="N6" s="423"/>
      <c r="O6" s="423"/>
      <c r="P6" s="423"/>
      <c r="Q6" s="423"/>
      <c r="R6" s="423"/>
      <c r="S6" s="423"/>
      <c r="T6" s="423"/>
      <c r="U6" s="423"/>
      <c r="V6" s="423"/>
      <c r="W6" s="423"/>
      <c r="X6" s="423"/>
      <c r="Y6" s="423"/>
      <c r="Z6" s="423"/>
    </row>
    <row r="7">
      <c r="A7" s="562">
        <v>5.0</v>
      </c>
      <c r="B7" s="563" t="s">
        <v>5608</v>
      </c>
      <c r="C7" s="563" t="s">
        <v>5240</v>
      </c>
      <c r="D7" s="562">
        <v>1.0</v>
      </c>
      <c r="E7" s="562">
        <v>0.0</v>
      </c>
      <c r="F7" s="562">
        <v>0.0</v>
      </c>
      <c r="G7" s="562">
        <v>7.0</v>
      </c>
      <c r="H7" s="562">
        <v>0.0</v>
      </c>
      <c r="I7" s="423"/>
      <c r="J7" s="423"/>
      <c r="K7" s="423"/>
      <c r="L7" s="423"/>
      <c r="M7" s="423"/>
      <c r="N7" s="423"/>
      <c r="O7" s="423"/>
      <c r="P7" s="423"/>
      <c r="Q7" s="423"/>
      <c r="R7" s="423"/>
      <c r="S7" s="423"/>
      <c r="T7" s="423"/>
      <c r="U7" s="423"/>
      <c r="V7" s="423"/>
      <c r="W7" s="423"/>
      <c r="X7" s="423"/>
      <c r="Y7" s="423"/>
      <c r="Z7" s="423"/>
    </row>
    <row r="8">
      <c r="A8" s="564">
        <v>6.0</v>
      </c>
      <c r="B8" s="565" t="s">
        <v>1169</v>
      </c>
      <c r="C8" s="565" t="s">
        <v>5240</v>
      </c>
      <c r="D8" s="564">
        <v>2.0</v>
      </c>
      <c r="E8" s="564">
        <v>0.0</v>
      </c>
      <c r="F8" s="564">
        <v>0.0</v>
      </c>
      <c r="G8" s="564">
        <v>6.0</v>
      </c>
      <c r="H8" s="564">
        <v>0.0</v>
      </c>
      <c r="I8" s="423"/>
      <c r="J8" s="423"/>
      <c r="K8" s="423"/>
      <c r="L8" s="423"/>
      <c r="M8" s="423"/>
      <c r="N8" s="423"/>
      <c r="O8" s="423"/>
      <c r="P8" s="423"/>
      <c r="Q8" s="423"/>
      <c r="R8" s="423"/>
      <c r="S8" s="423"/>
      <c r="T8" s="423"/>
      <c r="U8" s="423"/>
      <c r="V8" s="423"/>
      <c r="W8" s="423"/>
      <c r="X8" s="423"/>
      <c r="Y8" s="423"/>
      <c r="Z8" s="423"/>
    </row>
    <row r="9">
      <c r="A9" s="562">
        <v>7.0</v>
      </c>
      <c r="B9" s="563" t="s">
        <v>1170</v>
      </c>
      <c r="C9" s="563" t="s">
        <v>5240</v>
      </c>
      <c r="D9" s="562">
        <v>1.0</v>
      </c>
      <c r="E9" s="562">
        <v>0.0</v>
      </c>
      <c r="F9" s="562">
        <v>0.0</v>
      </c>
      <c r="G9" s="562">
        <v>7.0</v>
      </c>
      <c r="H9" s="562">
        <v>0.0</v>
      </c>
      <c r="I9" s="423"/>
      <c r="J9" s="423"/>
      <c r="K9" s="423"/>
      <c r="L9" s="423"/>
      <c r="M9" s="423"/>
      <c r="N9" s="423"/>
      <c r="O9" s="423"/>
      <c r="P9" s="423"/>
      <c r="Q9" s="423"/>
      <c r="R9" s="423"/>
      <c r="S9" s="423"/>
      <c r="T9" s="423"/>
      <c r="U9" s="423"/>
      <c r="V9" s="423"/>
      <c r="W9" s="423"/>
      <c r="X9" s="423"/>
      <c r="Y9" s="423"/>
      <c r="Z9" s="423"/>
    </row>
    <row r="10">
      <c r="A10" s="564">
        <v>8.0</v>
      </c>
      <c r="B10" s="565" t="s">
        <v>1171</v>
      </c>
      <c r="C10" s="565" t="s">
        <v>5240</v>
      </c>
      <c r="D10" s="564">
        <v>2.0</v>
      </c>
      <c r="E10" s="564">
        <v>0.0</v>
      </c>
      <c r="F10" s="564">
        <v>0.0</v>
      </c>
      <c r="G10" s="564">
        <v>6.0</v>
      </c>
      <c r="H10" s="564">
        <v>0.0</v>
      </c>
      <c r="I10" s="423"/>
      <c r="J10" s="423"/>
      <c r="K10" s="423"/>
      <c r="L10" s="423"/>
      <c r="M10" s="423"/>
      <c r="N10" s="423"/>
      <c r="O10" s="423"/>
      <c r="P10" s="423"/>
      <c r="Q10" s="423"/>
      <c r="R10" s="423"/>
      <c r="S10" s="423"/>
      <c r="T10" s="423"/>
      <c r="U10" s="423"/>
      <c r="V10" s="423"/>
      <c r="W10" s="423"/>
      <c r="X10" s="423"/>
      <c r="Y10" s="423"/>
      <c r="Z10" s="423"/>
    </row>
    <row r="11">
      <c r="A11" s="562">
        <v>9.0</v>
      </c>
      <c r="B11" s="563" t="s">
        <v>1172</v>
      </c>
      <c r="C11" s="563" t="s">
        <v>5240</v>
      </c>
      <c r="D11" s="562">
        <v>2.0</v>
      </c>
      <c r="E11" s="562">
        <v>0.0</v>
      </c>
      <c r="F11" s="562">
        <v>0.0</v>
      </c>
      <c r="G11" s="562">
        <v>6.0</v>
      </c>
      <c r="H11" s="562">
        <v>0.0</v>
      </c>
      <c r="I11" s="423"/>
      <c r="J11" s="423"/>
      <c r="K11" s="423"/>
      <c r="L11" s="423"/>
      <c r="M11" s="423"/>
      <c r="N11" s="423"/>
      <c r="O11" s="423"/>
      <c r="P11" s="423"/>
      <c r="Q11" s="423"/>
      <c r="R11" s="423"/>
      <c r="S11" s="423"/>
      <c r="T11" s="423"/>
      <c r="U11" s="423"/>
      <c r="V11" s="423"/>
      <c r="W11" s="423"/>
      <c r="X11" s="423"/>
      <c r="Y11" s="423"/>
      <c r="Z11" s="423"/>
    </row>
    <row r="12">
      <c r="A12" s="564">
        <v>10.0</v>
      </c>
      <c r="B12" s="565" t="s">
        <v>1173</v>
      </c>
      <c r="C12" s="565" t="s">
        <v>5240</v>
      </c>
      <c r="D12" s="564">
        <v>0.0</v>
      </c>
      <c r="E12" s="564">
        <v>0.0</v>
      </c>
      <c r="F12" s="564">
        <v>0.0</v>
      </c>
      <c r="G12" s="564">
        <v>8.0</v>
      </c>
      <c r="H12" s="564">
        <v>0.0</v>
      </c>
      <c r="I12" s="423"/>
      <c r="J12" s="423"/>
      <c r="K12" s="423"/>
      <c r="L12" s="423"/>
      <c r="M12" s="423"/>
      <c r="N12" s="423"/>
      <c r="O12" s="423"/>
      <c r="P12" s="423"/>
      <c r="Q12" s="423"/>
      <c r="R12" s="423"/>
      <c r="S12" s="423"/>
      <c r="T12" s="423"/>
      <c r="U12" s="423"/>
      <c r="V12" s="423"/>
      <c r="W12" s="423"/>
      <c r="X12" s="423"/>
      <c r="Y12" s="423"/>
      <c r="Z12" s="423"/>
    </row>
    <row r="13">
      <c r="A13" s="562">
        <v>11.0</v>
      </c>
      <c r="B13" s="563" t="s">
        <v>1174</v>
      </c>
      <c r="C13" s="563" t="s">
        <v>5240</v>
      </c>
      <c r="D13" s="562">
        <v>2.0</v>
      </c>
      <c r="E13" s="562">
        <v>0.0</v>
      </c>
      <c r="F13" s="562">
        <v>0.0</v>
      </c>
      <c r="G13" s="562">
        <v>6.0</v>
      </c>
      <c r="H13" s="562">
        <v>0.0</v>
      </c>
      <c r="I13" s="423"/>
      <c r="J13" s="423"/>
      <c r="K13" s="423"/>
      <c r="L13" s="423"/>
      <c r="M13" s="423"/>
      <c r="N13" s="423"/>
      <c r="O13" s="423"/>
      <c r="P13" s="423"/>
      <c r="Q13" s="423"/>
      <c r="R13" s="423"/>
      <c r="S13" s="423"/>
      <c r="T13" s="423"/>
      <c r="U13" s="423"/>
      <c r="V13" s="423"/>
      <c r="W13" s="423"/>
      <c r="X13" s="423"/>
      <c r="Y13" s="423"/>
      <c r="Z13" s="423"/>
    </row>
    <row r="14">
      <c r="A14" s="564">
        <v>12.0</v>
      </c>
      <c r="B14" s="565" t="s">
        <v>1175</v>
      </c>
      <c r="C14" s="565" t="s">
        <v>5240</v>
      </c>
      <c r="D14" s="564">
        <v>3.0</v>
      </c>
      <c r="E14" s="564">
        <v>0.0</v>
      </c>
      <c r="F14" s="564">
        <v>0.0</v>
      </c>
      <c r="G14" s="564">
        <v>5.0</v>
      </c>
      <c r="H14" s="564">
        <v>0.0</v>
      </c>
      <c r="I14" s="423"/>
      <c r="J14" s="423"/>
      <c r="K14" s="423"/>
      <c r="L14" s="423"/>
      <c r="M14" s="423"/>
      <c r="N14" s="423"/>
      <c r="O14" s="423"/>
      <c r="P14" s="423"/>
      <c r="Q14" s="423"/>
      <c r="R14" s="423"/>
      <c r="S14" s="423"/>
      <c r="T14" s="423"/>
      <c r="U14" s="423"/>
      <c r="V14" s="423"/>
      <c r="W14" s="423"/>
      <c r="X14" s="423"/>
      <c r="Y14" s="423"/>
      <c r="Z14" s="423"/>
    </row>
    <row r="15">
      <c r="A15" s="562">
        <v>13.0</v>
      </c>
      <c r="B15" s="563" t="s">
        <v>1176</v>
      </c>
      <c r="C15" s="563" t="s">
        <v>5240</v>
      </c>
      <c r="D15" s="562">
        <v>1.0</v>
      </c>
      <c r="E15" s="562">
        <v>0.0</v>
      </c>
      <c r="F15" s="562">
        <v>0.0</v>
      </c>
      <c r="G15" s="562">
        <v>7.0</v>
      </c>
      <c r="H15" s="562">
        <v>0.0</v>
      </c>
      <c r="I15" s="423"/>
      <c r="J15" s="423"/>
      <c r="K15" s="423"/>
      <c r="L15" s="423"/>
      <c r="M15" s="423"/>
      <c r="N15" s="423"/>
      <c r="O15" s="423"/>
      <c r="P15" s="423"/>
      <c r="Q15" s="423"/>
      <c r="R15" s="423"/>
      <c r="S15" s="423"/>
      <c r="T15" s="423"/>
      <c r="U15" s="423"/>
      <c r="V15" s="423"/>
      <c r="W15" s="423"/>
      <c r="X15" s="423"/>
      <c r="Y15" s="423"/>
      <c r="Z15" s="423"/>
    </row>
    <row r="16">
      <c r="A16" s="564">
        <v>14.0</v>
      </c>
      <c r="B16" s="565" t="s">
        <v>1177</v>
      </c>
      <c r="C16" s="565" t="s">
        <v>5240</v>
      </c>
      <c r="D16" s="564">
        <v>3.0</v>
      </c>
      <c r="E16" s="564">
        <v>0.0</v>
      </c>
      <c r="F16" s="564">
        <v>0.0</v>
      </c>
      <c r="G16" s="564">
        <v>5.0</v>
      </c>
      <c r="H16" s="564">
        <v>0.0</v>
      </c>
      <c r="I16" s="423"/>
      <c r="J16" s="423"/>
      <c r="K16" s="423"/>
      <c r="L16" s="423"/>
      <c r="M16" s="423"/>
      <c r="N16" s="423"/>
      <c r="O16" s="423"/>
      <c r="P16" s="423"/>
      <c r="Q16" s="423"/>
      <c r="R16" s="423"/>
      <c r="S16" s="423"/>
      <c r="T16" s="423"/>
      <c r="U16" s="423"/>
      <c r="V16" s="423"/>
      <c r="W16" s="423"/>
      <c r="X16" s="423"/>
      <c r="Y16" s="423"/>
      <c r="Z16" s="423"/>
    </row>
    <row r="17">
      <c r="A17" s="562">
        <v>15.0</v>
      </c>
      <c r="B17" s="563" t="s">
        <v>1178</v>
      </c>
      <c r="C17" s="563" t="s">
        <v>5240</v>
      </c>
      <c r="D17" s="562">
        <v>1.0</v>
      </c>
      <c r="E17" s="562">
        <v>0.0</v>
      </c>
      <c r="F17" s="562">
        <v>0.0</v>
      </c>
      <c r="G17" s="562">
        <v>7.0</v>
      </c>
      <c r="H17" s="562">
        <v>0.0</v>
      </c>
      <c r="I17" s="423"/>
      <c r="J17" s="423"/>
      <c r="K17" s="423"/>
      <c r="L17" s="423"/>
      <c r="M17" s="423"/>
      <c r="N17" s="423"/>
      <c r="O17" s="423"/>
      <c r="P17" s="423"/>
      <c r="Q17" s="423"/>
      <c r="R17" s="423"/>
      <c r="S17" s="423"/>
      <c r="T17" s="423"/>
      <c r="U17" s="423"/>
      <c r="V17" s="423"/>
      <c r="W17" s="423"/>
      <c r="X17" s="423"/>
      <c r="Y17" s="423"/>
      <c r="Z17" s="423"/>
    </row>
    <row r="18">
      <c r="A18" s="564">
        <v>16.0</v>
      </c>
      <c r="B18" s="565" t="s">
        <v>1179</v>
      </c>
      <c r="C18" s="565" t="s">
        <v>5240</v>
      </c>
      <c r="D18" s="564">
        <v>3.0</v>
      </c>
      <c r="E18" s="564">
        <v>0.0</v>
      </c>
      <c r="F18" s="564">
        <v>0.0</v>
      </c>
      <c r="G18" s="564">
        <v>5.0</v>
      </c>
      <c r="H18" s="564">
        <v>0.0</v>
      </c>
      <c r="I18" s="423"/>
      <c r="J18" s="423"/>
      <c r="K18" s="423"/>
      <c r="L18" s="423"/>
      <c r="M18" s="423"/>
      <c r="N18" s="423"/>
      <c r="O18" s="423"/>
      <c r="P18" s="423"/>
      <c r="Q18" s="423"/>
      <c r="R18" s="423"/>
      <c r="S18" s="423"/>
      <c r="T18" s="423"/>
      <c r="U18" s="423"/>
      <c r="V18" s="423"/>
      <c r="W18" s="423"/>
      <c r="X18" s="423"/>
      <c r="Y18" s="423"/>
      <c r="Z18" s="423"/>
    </row>
    <row r="19">
      <c r="A19" s="562">
        <v>17.0</v>
      </c>
      <c r="B19" s="563" t="s">
        <v>1180</v>
      </c>
      <c r="C19" s="563" t="s">
        <v>5240</v>
      </c>
      <c r="D19" s="562">
        <v>1.0</v>
      </c>
      <c r="E19" s="562">
        <v>0.0</v>
      </c>
      <c r="F19" s="562">
        <v>0.0</v>
      </c>
      <c r="G19" s="562">
        <v>7.0</v>
      </c>
      <c r="H19" s="562">
        <v>0.0</v>
      </c>
      <c r="I19" s="423"/>
      <c r="J19" s="423"/>
      <c r="K19" s="423"/>
      <c r="L19" s="423"/>
      <c r="M19" s="423"/>
      <c r="N19" s="423"/>
      <c r="O19" s="423"/>
      <c r="P19" s="423"/>
      <c r="Q19" s="423"/>
      <c r="R19" s="423"/>
      <c r="S19" s="423"/>
      <c r="T19" s="423"/>
      <c r="U19" s="423"/>
      <c r="V19" s="423"/>
      <c r="W19" s="423"/>
      <c r="X19" s="423"/>
      <c r="Y19" s="423"/>
      <c r="Z19" s="423"/>
    </row>
    <row r="20">
      <c r="A20" s="564">
        <v>18.0</v>
      </c>
      <c r="B20" s="565" t="s">
        <v>1181</v>
      </c>
      <c r="C20" s="565" t="s">
        <v>5240</v>
      </c>
      <c r="D20" s="564">
        <v>2.0</v>
      </c>
      <c r="E20" s="564">
        <v>0.0</v>
      </c>
      <c r="F20" s="564">
        <v>0.0</v>
      </c>
      <c r="G20" s="564">
        <v>6.0</v>
      </c>
      <c r="H20" s="564">
        <v>0.0</v>
      </c>
      <c r="I20" s="423"/>
      <c r="J20" s="423"/>
      <c r="K20" s="423"/>
      <c r="L20" s="423"/>
      <c r="M20" s="423"/>
      <c r="N20" s="423"/>
      <c r="O20" s="423"/>
      <c r="P20" s="423"/>
      <c r="Q20" s="423"/>
      <c r="R20" s="423"/>
      <c r="S20" s="423"/>
      <c r="T20" s="423"/>
      <c r="U20" s="423"/>
      <c r="V20" s="423"/>
      <c r="W20" s="423"/>
      <c r="X20" s="423"/>
      <c r="Y20" s="423"/>
      <c r="Z20" s="423"/>
    </row>
    <row r="21">
      <c r="A21" s="562">
        <v>19.0</v>
      </c>
      <c r="B21" s="563" t="s">
        <v>1182</v>
      </c>
      <c r="C21" s="563" t="s">
        <v>5240</v>
      </c>
      <c r="D21" s="562">
        <v>2.0</v>
      </c>
      <c r="E21" s="562">
        <v>0.0</v>
      </c>
      <c r="F21" s="562">
        <v>0.0</v>
      </c>
      <c r="G21" s="562">
        <v>6.0</v>
      </c>
      <c r="H21" s="562">
        <v>0.0</v>
      </c>
      <c r="I21" s="423"/>
      <c r="J21" s="423"/>
      <c r="K21" s="423"/>
      <c r="L21" s="423"/>
      <c r="M21" s="423"/>
      <c r="N21" s="423"/>
      <c r="O21" s="423"/>
      <c r="P21" s="423"/>
      <c r="Q21" s="423"/>
      <c r="R21" s="423"/>
      <c r="S21" s="423"/>
      <c r="T21" s="423"/>
      <c r="U21" s="423"/>
      <c r="V21" s="423"/>
      <c r="W21" s="423"/>
      <c r="X21" s="423"/>
      <c r="Y21" s="423"/>
      <c r="Z21" s="423"/>
    </row>
    <row r="22">
      <c r="A22" s="564">
        <v>20.0</v>
      </c>
      <c r="B22" s="565" t="s">
        <v>1183</v>
      </c>
      <c r="C22" s="565" t="s">
        <v>5240</v>
      </c>
      <c r="D22" s="564">
        <v>0.0</v>
      </c>
      <c r="E22" s="564">
        <v>0.0</v>
      </c>
      <c r="F22" s="564">
        <v>0.0</v>
      </c>
      <c r="G22" s="564">
        <v>8.0</v>
      </c>
      <c r="H22" s="564">
        <v>0.0</v>
      </c>
      <c r="I22" s="423"/>
      <c r="J22" s="423"/>
      <c r="K22" s="423"/>
      <c r="L22" s="423"/>
      <c r="M22" s="423"/>
      <c r="N22" s="423"/>
      <c r="O22" s="423"/>
      <c r="P22" s="423"/>
      <c r="Q22" s="423"/>
      <c r="R22" s="423"/>
      <c r="S22" s="423"/>
      <c r="T22" s="423"/>
      <c r="U22" s="423"/>
      <c r="V22" s="423"/>
      <c r="W22" s="423"/>
      <c r="X22" s="423"/>
      <c r="Y22" s="423"/>
      <c r="Z22" s="423"/>
    </row>
    <row r="23">
      <c r="A23" s="562">
        <v>21.0</v>
      </c>
      <c r="B23" s="563" t="s">
        <v>1184</v>
      </c>
      <c r="C23" s="563" t="s">
        <v>5240</v>
      </c>
      <c r="D23" s="562">
        <v>0.0</v>
      </c>
      <c r="E23" s="562">
        <v>0.0</v>
      </c>
      <c r="F23" s="562">
        <v>0.0</v>
      </c>
      <c r="G23" s="562">
        <v>8.0</v>
      </c>
      <c r="H23" s="562">
        <v>0.0</v>
      </c>
      <c r="I23" s="423"/>
      <c r="J23" s="423"/>
      <c r="K23" s="423"/>
      <c r="L23" s="423"/>
      <c r="M23" s="423"/>
      <c r="N23" s="423"/>
      <c r="O23" s="423"/>
      <c r="P23" s="423"/>
      <c r="Q23" s="423"/>
      <c r="R23" s="423"/>
      <c r="S23" s="423"/>
      <c r="T23" s="423"/>
      <c r="U23" s="423"/>
      <c r="V23" s="423"/>
      <c r="W23" s="423"/>
      <c r="X23" s="423"/>
      <c r="Y23" s="423"/>
      <c r="Z23" s="423"/>
    </row>
    <row r="24">
      <c r="A24" s="564">
        <v>22.0</v>
      </c>
      <c r="B24" s="565" t="s">
        <v>1185</v>
      </c>
      <c r="C24" s="565" t="s">
        <v>5240</v>
      </c>
      <c r="D24" s="564">
        <v>0.0</v>
      </c>
      <c r="E24" s="564">
        <v>0.0</v>
      </c>
      <c r="F24" s="564">
        <v>0.0</v>
      </c>
      <c r="G24" s="564">
        <v>8.0</v>
      </c>
      <c r="H24" s="564">
        <v>0.0</v>
      </c>
      <c r="I24" s="423"/>
      <c r="J24" s="423"/>
      <c r="K24" s="423"/>
      <c r="L24" s="423"/>
      <c r="M24" s="423"/>
      <c r="N24" s="423"/>
      <c r="O24" s="423"/>
      <c r="P24" s="423"/>
      <c r="Q24" s="423"/>
      <c r="R24" s="423"/>
      <c r="S24" s="423"/>
      <c r="T24" s="423"/>
      <c r="U24" s="423"/>
      <c r="V24" s="423"/>
      <c r="W24" s="423"/>
      <c r="X24" s="423"/>
      <c r="Y24" s="423"/>
      <c r="Z24" s="423"/>
    </row>
    <row r="25">
      <c r="A25" s="562">
        <v>23.0</v>
      </c>
      <c r="B25" s="563" t="s">
        <v>1186</v>
      </c>
      <c r="C25" s="563" t="s">
        <v>5240</v>
      </c>
      <c r="D25" s="562">
        <v>0.0</v>
      </c>
      <c r="E25" s="562">
        <v>0.0</v>
      </c>
      <c r="F25" s="562">
        <v>0.0</v>
      </c>
      <c r="G25" s="562">
        <v>8.0</v>
      </c>
      <c r="H25" s="562">
        <v>0.0</v>
      </c>
      <c r="I25" s="423"/>
      <c r="J25" s="423"/>
      <c r="K25" s="423"/>
      <c r="L25" s="423"/>
      <c r="M25" s="423"/>
      <c r="N25" s="423"/>
      <c r="O25" s="423"/>
      <c r="P25" s="423"/>
      <c r="Q25" s="423"/>
      <c r="R25" s="423"/>
      <c r="S25" s="423"/>
      <c r="T25" s="423"/>
      <c r="U25" s="423"/>
      <c r="V25" s="423"/>
      <c r="W25" s="423"/>
      <c r="X25" s="423"/>
      <c r="Y25" s="423"/>
      <c r="Z25" s="423"/>
    </row>
    <row r="26">
      <c r="A26" s="564">
        <v>24.0</v>
      </c>
      <c r="B26" s="565" t="s">
        <v>1188</v>
      </c>
      <c r="C26" s="565" t="s">
        <v>5240</v>
      </c>
      <c r="D26" s="564">
        <v>0.0</v>
      </c>
      <c r="E26" s="564">
        <v>0.0</v>
      </c>
      <c r="F26" s="564">
        <v>0.0</v>
      </c>
      <c r="G26" s="564">
        <v>8.0</v>
      </c>
      <c r="H26" s="564">
        <v>0.0</v>
      </c>
      <c r="I26" s="423"/>
      <c r="J26" s="423"/>
      <c r="K26" s="423"/>
      <c r="L26" s="423"/>
      <c r="M26" s="423"/>
      <c r="N26" s="423"/>
      <c r="O26" s="423"/>
      <c r="P26" s="423"/>
      <c r="Q26" s="423"/>
      <c r="R26" s="423"/>
      <c r="S26" s="423"/>
      <c r="T26" s="423"/>
      <c r="U26" s="423"/>
      <c r="V26" s="423"/>
      <c r="W26" s="423"/>
      <c r="X26" s="423"/>
      <c r="Y26" s="423"/>
      <c r="Z26" s="423"/>
    </row>
    <row r="27">
      <c r="A27" s="562">
        <v>25.0</v>
      </c>
      <c r="B27" s="563" t="s">
        <v>1189</v>
      </c>
      <c r="C27" s="563" t="s">
        <v>5240</v>
      </c>
      <c r="D27" s="562">
        <v>0.0</v>
      </c>
      <c r="E27" s="562">
        <v>0.0</v>
      </c>
      <c r="F27" s="562">
        <v>0.0</v>
      </c>
      <c r="G27" s="562">
        <v>8.0</v>
      </c>
      <c r="H27" s="562">
        <v>0.0</v>
      </c>
      <c r="I27" s="423"/>
      <c r="J27" s="423"/>
      <c r="K27" s="423"/>
      <c r="L27" s="423"/>
      <c r="M27" s="423"/>
      <c r="N27" s="423"/>
      <c r="O27" s="423"/>
      <c r="P27" s="423"/>
      <c r="Q27" s="423"/>
      <c r="R27" s="423"/>
      <c r="S27" s="423"/>
      <c r="T27" s="423"/>
      <c r="U27" s="423"/>
      <c r="V27" s="423"/>
      <c r="W27" s="423"/>
      <c r="X27" s="423"/>
      <c r="Y27" s="423"/>
      <c r="Z27" s="423"/>
    </row>
    <row r="28">
      <c r="A28" s="564">
        <v>26.0</v>
      </c>
      <c r="B28" s="565" t="s">
        <v>1190</v>
      </c>
      <c r="C28" s="565" t="s">
        <v>5240</v>
      </c>
      <c r="D28" s="564">
        <v>0.0</v>
      </c>
      <c r="E28" s="564">
        <v>0.0</v>
      </c>
      <c r="F28" s="564">
        <v>0.0</v>
      </c>
      <c r="G28" s="564">
        <v>8.0</v>
      </c>
      <c r="H28" s="564">
        <v>0.0</v>
      </c>
      <c r="I28" s="423"/>
      <c r="J28" s="423"/>
      <c r="K28" s="423"/>
      <c r="L28" s="423"/>
      <c r="M28" s="423"/>
      <c r="N28" s="423"/>
      <c r="O28" s="423"/>
      <c r="P28" s="423"/>
      <c r="Q28" s="423"/>
      <c r="R28" s="423"/>
      <c r="S28" s="423"/>
      <c r="T28" s="423"/>
      <c r="U28" s="423"/>
      <c r="V28" s="423"/>
      <c r="W28" s="423"/>
      <c r="X28" s="423"/>
      <c r="Y28" s="423"/>
      <c r="Z28" s="423"/>
    </row>
    <row r="29">
      <c r="A29" s="562">
        <v>27.0</v>
      </c>
      <c r="B29" s="563" t="s">
        <v>1191</v>
      </c>
      <c r="C29" s="563" t="s">
        <v>5240</v>
      </c>
      <c r="D29" s="562">
        <v>0.0</v>
      </c>
      <c r="E29" s="562">
        <v>0.0</v>
      </c>
      <c r="F29" s="562">
        <v>0.0</v>
      </c>
      <c r="G29" s="562">
        <v>8.0</v>
      </c>
      <c r="H29" s="562">
        <v>0.0</v>
      </c>
      <c r="I29" s="423"/>
      <c r="J29" s="423"/>
      <c r="K29" s="423"/>
      <c r="L29" s="423"/>
      <c r="M29" s="423"/>
      <c r="N29" s="423"/>
      <c r="O29" s="423"/>
      <c r="P29" s="423"/>
      <c r="Q29" s="423"/>
      <c r="R29" s="423"/>
      <c r="S29" s="423"/>
      <c r="T29" s="423"/>
      <c r="U29" s="423"/>
      <c r="V29" s="423"/>
      <c r="W29" s="423"/>
      <c r="X29" s="423"/>
      <c r="Y29" s="423"/>
      <c r="Z29" s="423"/>
    </row>
    <row r="30">
      <c r="A30" s="564">
        <v>28.0</v>
      </c>
      <c r="B30" s="565" t="s">
        <v>1192</v>
      </c>
      <c r="C30" s="565" t="s">
        <v>5240</v>
      </c>
      <c r="D30" s="564">
        <v>1.0</v>
      </c>
      <c r="E30" s="564">
        <v>0.0</v>
      </c>
      <c r="F30" s="564">
        <v>0.0</v>
      </c>
      <c r="G30" s="564">
        <v>7.0</v>
      </c>
      <c r="H30" s="564">
        <v>0.0</v>
      </c>
      <c r="I30" s="423"/>
      <c r="J30" s="423"/>
      <c r="K30" s="423"/>
      <c r="L30" s="423"/>
      <c r="M30" s="423"/>
      <c r="N30" s="423"/>
      <c r="O30" s="423"/>
      <c r="P30" s="423"/>
      <c r="Q30" s="423"/>
      <c r="R30" s="423"/>
      <c r="S30" s="423"/>
      <c r="T30" s="423"/>
      <c r="U30" s="423"/>
      <c r="V30" s="423"/>
      <c r="W30" s="423"/>
      <c r="X30" s="423"/>
      <c r="Y30" s="423"/>
      <c r="Z30" s="423"/>
    </row>
    <row r="31">
      <c r="A31" s="562">
        <v>29.0</v>
      </c>
      <c r="B31" s="563" t="s">
        <v>1193</v>
      </c>
      <c r="C31" s="563" t="s">
        <v>5240</v>
      </c>
      <c r="D31" s="562">
        <v>2.0</v>
      </c>
      <c r="E31" s="562">
        <v>0.0</v>
      </c>
      <c r="F31" s="562">
        <v>0.0</v>
      </c>
      <c r="G31" s="562">
        <v>6.0</v>
      </c>
      <c r="H31" s="562">
        <v>0.0</v>
      </c>
      <c r="I31" s="423"/>
      <c r="J31" s="423"/>
      <c r="K31" s="423"/>
      <c r="L31" s="423"/>
      <c r="M31" s="423"/>
      <c r="N31" s="423"/>
      <c r="O31" s="423"/>
      <c r="P31" s="423"/>
      <c r="Q31" s="423"/>
      <c r="R31" s="423"/>
      <c r="S31" s="423"/>
      <c r="T31" s="423"/>
      <c r="U31" s="423"/>
      <c r="V31" s="423"/>
      <c r="W31" s="423"/>
      <c r="X31" s="423"/>
      <c r="Y31" s="423"/>
      <c r="Z31" s="423"/>
    </row>
    <row r="32">
      <c r="A32" s="564">
        <v>30.0</v>
      </c>
      <c r="B32" s="565" t="s">
        <v>1194</v>
      </c>
      <c r="C32" s="565" t="s">
        <v>5240</v>
      </c>
      <c r="D32" s="564">
        <v>3.0</v>
      </c>
      <c r="E32" s="564">
        <v>0.0</v>
      </c>
      <c r="F32" s="564">
        <v>0.0</v>
      </c>
      <c r="G32" s="564">
        <v>5.0</v>
      </c>
      <c r="H32" s="564">
        <v>0.0</v>
      </c>
      <c r="I32" s="423"/>
      <c r="J32" s="423"/>
      <c r="K32" s="423"/>
      <c r="L32" s="423"/>
      <c r="M32" s="423"/>
      <c r="N32" s="423"/>
      <c r="O32" s="423"/>
      <c r="P32" s="423"/>
      <c r="Q32" s="423"/>
      <c r="R32" s="423"/>
      <c r="S32" s="423"/>
      <c r="T32" s="423"/>
      <c r="U32" s="423"/>
      <c r="V32" s="423"/>
      <c r="W32" s="423"/>
      <c r="X32" s="423"/>
      <c r="Y32" s="423"/>
      <c r="Z32" s="423"/>
    </row>
    <row r="33">
      <c r="A33" s="562">
        <v>31.0</v>
      </c>
      <c r="B33" s="563" t="s">
        <v>1195</v>
      </c>
      <c r="C33" s="563" t="s">
        <v>5240</v>
      </c>
      <c r="D33" s="562">
        <v>1.0</v>
      </c>
      <c r="E33" s="562">
        <v>0.0</v>
      </c>
      <c r="F33" s="562">
        <v>0.0</v>
      </c>
      <c r="G33" s="562">
        <v>7.0</v>
      </c>
      <c r="H33" s="562">
        <v>0.0</v>
      </c>
      <c r="I33" s="423"/>
      <c r="J33" s="423"/>
      <c r="K33" s="423"/>
      <c r="L33" s="423"/>
      <c r="M33" s="423"/>
      <c r="N33" s="423"/>
      <c r="O33" s="423"/>
      <c r="P33" s="423"/>
      <c r="Q33" s="423"/>
      <c r="R33" s="423"/>
      <c r="S33" s="423"/>
      <c r="T33" s="423"/>
      <c r="U33" s="423"/>
      <c r="V33" s="423"/>
      <c r="W33" s="423"/>
      <c r="X33" s="423"/>
      <c r="Y33" s="423"/>
      <c r="Z33" s="423"/>
    </row>
    <row r="34">
      <c r="A34" s="564">
        <v>32.0</v>
      </c>
      <c r="B34" s="565" t="s">
        <v>1196</v>
      </c>
      <c r="C34" s="565" t="s">
        <v>5240</v>
      </c>
      <c r="D34" s="564">
        <v>3.0</v>
      </c>
      <c r="E34" s="564">
        <v>0.0</v>
      </c>
      <c r="F34" s="564">
        <v>0.0</v>
      </c>
      <c r="G34" s="564">
        <v>5.0</v>
      </c>
      <c r="H34" s="564">
        <v>0.0</v>
      </c>
      <c r="I34" s="423"/>
      <c r="J34" s="423"/>
      <c r="K34" s="423"/>
      <c r="L34" s="423"/>
      <c r="M34" s="423"/>
      <c r="N34" s="423"/>
      <c r="O34" s="423"/>
      <c r="P34" s="423"/>
      <c r="Q34" s="423"/>
      <c r="R34" s="423"/>
      <c r="S34" s="423"/>
      <c r="T34" s="423"/>
      <c r="U34" s="423"/>
      <c r="V34" s="423"/>
      <c r="W34" s="423"/>
      <c r="X34" s="423"/>
      <c r="Y34" s="423"/>
      <c r="Z34" s="423"/>
    </row>
    <row r="35">
      <c r="A35" s="562">
        <v>33.0</v>
      </c>
      <c r="B35" s="563" t="s">
        <v>1197</v>
      </c>
      <c r="C35" s="563" t="s">
        <v>5240</v>
      </c>
      <c r="D35" s="562">
        <v>1.0</v>
      </c>
      <c r="E35" s="562">
        <v>0.0</v>
      </c>
      <c r="F35" s="562">
        <v>0.0</v>
      </c>
      <c r="G35" s="562">
        <v>7.0</v>
      </c>
      <c r="H35" s="562">
        <v>0.0</v>
      </c>
      <c r="I35" s="423"/>
      <c r="J35" s="423"/>
      <c r="K35" s="423"/>
      <c r="L35" s="423"/>
      <c r="M35" s="423"/>
      <c r="N35" s="423"/>
      <c r="O35" s="423"/>
      <c r="P35" s="423"/>
      <c r="Q35" s="423"/>
      <c r="R35" s="423"/>
      <c r="S35" s="423"/>
      <c r="T35" s="423"/>
      <c r="U35" s="423"/>
      <c r="V35" s="423"/>
      <c r="W35" s="423"/>
      <c r="X35" s="423"/>
      <c r="Y35" s="423"/>
      <c r="Z35" s="423"/>
    </row>
    <row r="36">
      <c r="A36" s="564">
        <v>34.0</v>
      </c>
      <c r="B36" s="565" t="s">
        <v>1198</v>
      </c>
      <c r="C36" s="565" t="s">
        <v>5240</v>
      </c>
      <c r="D36" s="564">
        <v>1.0</v>
      </c>
      <c r="E36" s="564">
        <v>0.0</v>
      </c>
      <c r="F36" s="564">
        <v>0.0</v>
      </c>
      <c r="G36" s="564">
        <v>7.0</v>
      </c>
      <c r="H36" s="564">
        <v>0.0</v>
      </c>
      <c r="I36" s="423"/>
      <c r="J36" s="423"/>
      <c r="K36" s="423"/>
      <c r="L36" s="423"/>
      <c r="M36" s="423"/>
      <c r="N36" s="423"/>
      <c r="O36" s="423"/>
      <c r="P36" s="423"/>
      <c r="Q36" s="423"/>
      <c r="R36" s="423"/>
      <c r="S36" s="423"/>
      <c r="T36" s="423"/>
      <c r="U36" s="423"/>
      <c r="V36" s="423"/>
      <c r="W36" s="423"/>
      <c r="X36" s="423"/>
      <c r="Y36" s="423"/>
      <c r="Z36" s="423"/>
    </row>
    <row r="37">
      <c r="A37" s="562">
        <v>35.0</v>
      </c>
      <c r="B37" s="563" t="s">
        <v>1199</v>
      </c>
      <c r="C37" s="563" t="s">
        <v>5240</v>
      </c>
      <c r="D37" s="562">
        <v>1.0</v>
      </c>
      <c r="E37" s="562">
        <v>0.0</v>
      </c>
      <c r="F37" s="562">
        <v>0.0</v>
      </c>
      <c r="G37" s="562">
        <v>7.0</v>
      </c>
      <c r="H37" s="562">
        <v>0.0</v>
      </c>
      <c r="I37" s="423"/>
      <c r="J37" s="423"/>
      <c r="K37" s="423"/>
      <c r="L37" s="423"/>
      <c r="M37" s="423"/>
      <c r="N37" s="423"/>
      <c r="O37" s="423"/>
      <c r="P37" s="423"/>
      <c r="Q37" s="423"/>
      <c r="R37" s="423"/>
      <c r="S37" s="423"/>
      <c r="T37" s="423"/>
      <c r="U37" s="423"/>
      <c r="V37" s="423"/>
      <c r="W37" s="423"/>
      <c r="X37" s="423"/>
      <c r="Y37" s="423"/>
      <c r="Z37" s="423"/>
    </row>
    <row r="38">
      <c r="A38" s="564">
        <v>36.0</v>
      </c>
      <c r="B38" s="565" t="s">
        <v>1200</v>
      </c>
      <c r="C38" s="565" t="s">
        <v>5240</v>
      </c>
      <c r="D38" s="564">
        <v>2.0</v>
      </c>
      <c r="E38" s="564">
        <v>0.0</v>
      </c>
      <c r="F38" s="564">
        <v>0.0</v>
      </c>
      <c r="G38" s="564">
        <v>6.0</v>
      </c>
      <c r="H38" s="564">
        <v>0.0</v>
      </c>
      <c r="I38" s="423"/>
      <c r="J38" s="423"/>
      <c r="K38" s="423"/>
      <c r="L38" s="423"/>
      <c r="M38" s="423"/>
      <c r="N38" s="423"/>
      <c r="O38" s="423"/>
      <c r="P38" s="423"/>
      <c r="Q38" s="423"/>
      <c r="R38" s="423"/>
      <c r="S38" s="423"/>
      <c r="T38" s="423"/>
      <c r="U38" s="423"/>
      <c r="V38" s="423"/>
      <c r="W38" s="423"/>
      <c r="X38" s="423"/>
      <c r="Y38" s="423"/>
      <c r="Z38" s="423"/>
    </row>
    <row r="39">
      <c r="A39" s="562">
        <v>37.0</v>
      </c>
      <c r="B39" s="563" t="s">
        <v>1201</v>
      </c>
      <c r="C39" s="563" t="s">
        <v>5240</v>
      </c>
      <c r="D39" s="562">
        <v>0.0</v>
      </c>
      <c r="E39" s="562">
        <v>0.0</v>
      </c>
      <c r="F39" s="562">
        <v>0.0</v>
      </c>
      <c r="G39" s="562">
        <v>8.0</v>
      </c>
      <c r="H39" s="562">
        <v>0.0</v>
      </c>
      <c r="I39" s="423"/>
      <c r="J39" s="423"/>
      <c r="K39" s="423"/>
      <c r="L39" s="423"/>
      <c r="M39" s="423"/>
      <c r="N39" s="423"/>
      <c r="O39" s="423"/>
      <c r="P39" s="423"/>
      <c r="Q39" s="423"/>
      <c r="R39" s="423"/>
      <c r="S39" s="423"/>
      <c r="T39" s="423"/>
      <c r="U39" s="423"/>
      <c r="V39" s="423"/>
      <c r="W39" s="423"/>
      <c r="X39" s="423"/>
      <c r="Y39" s="423"/>
      <c r="Z39" s="423"/>
    </row>
    <row r="40">
      <c r="A40" s="564">
        <v>38.0</v>
      </c>
      <c r="B40" s="565" t="s">
        <v>5609</v>
      </c>
      <c r="C40" s="565" t="s">
        <v>5240</v>
      </c>
      <c r="D40" s="564">
        <v>0.0</v>
      </c>
      <c r="E40" s="564">
        <v>0.0</v>
      </c>
      <c r="F40" s="564">
        <v>0.0</v>
      </c>
      <c r="G40" s="564">
        <v>8.0</v>
      </c>
      <c r="H40" s="564">
        <v>0.0</v>
      </c>
      <c r="I40" s="423"/>
      <c r="J40" s="423"/>
      <c r="K40" s="423"/>
      <c r="L40" s="423"/>
      <c r="M40" s="423"/>
      <c r="N40" s="423"/>
      <c r="O40" s="423"/>
      <c r="P40" s="423"/>
      <c r="Q40" s="423"/>
      <c r="R40" s="423"/>
      <c r="S40" s="423"/>
      <c r="T40" s="423"/>
      <c r="U40" s="423"/>
      <c r="V40" s="423"/>
      <c r="W40" s="423"/>
      <c r="X40" s="423"/>
      <c r="Y40" s="423"/>
      <c r="Z40" s="423"/>
    </row>
    <row r="41">
      <c r="A41" s="562">
        <v>39.0</v>
      </c>
      <c r="B41" s="563" t="s">
        <v>1203</v>
      </c>
      <c r="C41" s="563" t="s">
        <v>5240</v>
      </c>
      <c r="D41" s="562">
        <v>2.0</v>
      </c>
      <c r="E41" s="562">
        <v>0.0</v>
      </c>
      <c r="F41" s="562">
        <v>0.0</v>
      </c>
      <c r="G41" s="562">
        <v>6.0</v>
      </c>
      <c r="H41" s="562">
        <v>0.0</v>
      </c>
      <c r="I41" s="423"/>
      <c r="J41" s="423"/>
      <c r="K41" s="423"/>
      <c r="L41" s="423"/>
      <c r="M41" s="423"/>
      <c r="N41" s="423"/>
      <c r="O41" s="423"/>
      <c r="P41" s="423"/>
      <c r="Q41" s="423"/>
      <c r="R41" s="423"/>
      <c r="S41" s="423"/>
      <c r="T41" s="423"/>
      <c r="U41" s="423"/>
      <c r="V41" s="423"/>
      <c r="W41" s="423"/>
      <c r="X41" s="423"/>
      <c r="Y41" s="423"/>
      <c r="Z41" s="423"/>
    </row>
    <row r="42">
      <c r="A42" s="564">
        <v>40.0</v>
      </c>
      <c r="B42" s="565" t="s">
        <v>1204</v>
      </c>
      <c r="C42" s="565" t="s">
        <v>5240</v>
      </c>
      <c r="D42" s="564">
        <v>2.0</v>
      </c>
      <c r="E42" s="564">
        <v>0.0</v>
      </c>
      <c r="F42" s="564">
        <v>0.0</v>
      </c>
      <c r="G42" s="564">
        <v>6.0</v>
      </c>
      <c r="H42" s="564">
        <v>0.0</v>
      </c>
      <c r="I42" s="423"/>
      <c r="J42" s="423"/>
      <c r="K42" s="423"/>
      <c r="L42" s="423"/>
      <c r="M42" s="423"/>
      <c r="N42" s="423"/>
      <c r="O42" s="423"/>
      <c r="P42" s="423"/>
      <c r="Q42" s="423"/>
      <c r="R42" s="423"/>
      <c r="S42" s="423"/>
      <c r="T42" s="423"/>
      <c r="U42" s="423"/>
      <c r="V42" s="423"/>
      <c r="W42" s="423"/>
      <c r="X42" s="423"/>
      <c r="Y42" s="423"/>
      <c r="Z42" s="423"/>
    </row>
    <row r="43">
      <c r="A43" s="562">
        <v>41.0</v>
      </c>
      <c r="B43" s="563" t="s">
        <v>1205</v>
      </c>
      <c r="C43" s="563" t="s">
        <v>5240</v>
      </c>
      <c r="D43" s="562">
        <v>2.0</v>
      </c>
      <c r="E43" s="562">
        <v>0.0</v>
      </c>
      <c r="F43" s="562">
        <v>0.0</v>
      </c>
      <c r="G43" s="562">
        <v>6.0</v>
      </c>
      <c r="H43" s="562">
        <v>0.0</v>
      </c>
      <c r="I43" s="423"/>
      <c r="J43" s="423"/>
      <c r="K43" s="423"/>
      <c r="L43" s="423"/>
      <c r="M43" s="423"/>
      <c r="N43" s="423"/>
      <c r="O43" s="423"/>
      <c r="P43" s="423"/>
      <c r="Q43" s="423"/>
      <c r="R43" s="423"/>
      <c r="S43" s="423"/>
      <c r="T43" s="423"/>
      <c r="U43" s="423"/>
      <c r="V43" s="423"/>
      <c r="W43" s="423"/>
      <c r="X43" s="423"/>
      <c r="Y43" s="423"/>
      <c r="Z43" s="423"/>
    </row>
    <row r="44">
      <c r="A44" s="564">
        <v>42.0</v>
      </c>
      <c r="B44" s="565" t="s">
        <v>1206</v>
      </c>
      <c r="C44" s="565" t="s">
        <v>5240</v>
      </c>
      <c r="D44" s="564">
        <v>3.0</v>
      </c>
      <c r="E44" s="564">
        <v>0.0</v>
      </c>
      <c r="F44" s="564">
        <v>0.0</v>
      </c>
      <c r="G44" s="564">
        <v>5.0</v>
      </c>
      <c r="H44" s="564">
        <v>0.0</v>
      </c>
      <c r="I44" s="423"/>
      <c r="J44" s="423"/>
      <c r="K44" s="423"/>
      <c r="L44" s="423"/>
      <c r="M44" s="423"/>
      <c r="N44" s="423"/>
      <c r="O44" s="423"/>
      <c r="P44" s="423"/>
      <c r="Q44" s="423"/>
      <c r="R44" s="423"/>
      <c r="S44" s="423"/>
      <c r="T44" s="423"/>
      <c r="U44" s="423"/>
      <c r="V44" s="423"/>
      <c r="W44" s="423"/>
      <c r="X44" s="423"/>
      <c r="Y44" s="423"/>
      <c r="Z44" s="423"/>
    </row>
    <row r="45">
      <c r="A45" s="562">
        <v>43.0</v>
      </c>
      <c r="B45" s="563" t="s">
        <v>5610</v>
      </c>
      <c r="C45" s="563" t="s">
        <v>5240</v>
      </c>
      <c r="D45" s="562">
        <v>3.0</v>
      </c>
      <c r="E45" s="562">
        <v>0.0</v>
      </c>
      <c r="F45" s="562">
        <v>0.0</v>
      </c>
      <c r="G45" s="562">
        <v>5.0</v>
      </c>
      <c r="H45" s="562">
        <v>0.0</v>
      </c>
      <c r="I45" s="423"/>
      <c r="J45" s="423"/>
      <c r="K45" s="423"/>
      <c r="L45" s="423"/>
      <c r="M45" s="423"/>
      <c r="N45" s="423"/>
      <c r="O45" s="423"/>
      <c r="P45" s="423"/>
      <c r="Q45" s="423"/>
      <c r="R45" s="423"/>
      <c r="S45" s="423"/>
      <c r="T45" s="423"/>
      <c r="U45" s="423"/>
      <c r="V45" s="423"/>
      <c r="W45" s="423"/>
      <c r="X45" s="423"/>
      <c r="Y45" s="423"/>
      <c r="Z45" s="423"/>
    </row>
    <row r="46">
      <c r="A46" s="564">
        <v>44.0</v>
      </c>
      <c r="B46" s="565" t="s">
        <v>1208</v>
      </c>
      <c r="C46" s="565" t="s">
        <v>5240</v>
      </c>
      <c r="D46" s="564">
        <v>0.0</v>
      </c>
      <c r="E46" s="564">
        <v>0.0</v>
      </c>
      <c r="F46" s="564">
        <v>0.0</v>
      </c>
      <c r="G46" s="564">
        <v>8.0</v>
      </c>
      <c r="H46" s="564">
        <v>0.0</v>
      </c>
      <c r="I46" s="423"/>
      <c r="J46" s="423"/>
      <c r="K46" s="423"/>
      <c r="L46" s="423"/>
      <c r="M46" s="423"/>
      <c r="N46" s="423"/>
      <c r="O46" s="423"/>
      <c r="P46" s="423"/>
      <c r="Q46" s="423"/>
      <c r="R46" s="423"/>
      <c r="S46" s="423"/>
      <c r="T46" s="423"/>
      <c r="U46" s="423"/>
      <c r="V46" s="423"/>
      <c r="W46" s="423"/>
      <c r="X46" s="423"/>
      <c r="Y46" s="423"/>
      <c r="Z46" s="423"/>
    </row>
    <row r="47">
      <c r="A47" s="562">
        <v>45.0</v>
      </c>
      <c r="B47" s="563" t="s">
        <v>1209</v>
      </c>
      <c r="C47" s="563" t="s">
        <v>5240</v>
      </c>
      <c r="D47" s="562">
        <v>1.0</v>
      </c>
      <c r="E47" s="562">
        <v>0.0</v>
      </c>
      <c r="F47" s="562">
        <v>0.0</v>
      </c>
      <c r="G47" s="562">
        <v>7.0</v>
      </c>
      <c r="H47" s="562">
        <v>0.0</v>
      </c>
      <c r="I47" s="423"/>
      <c r="J47" s="423"/>
      <c r="K47" s="423"/>
      <c r="L47" s="423"/>
      <c r="M47" s="423"/>
      <c r="N47" s="423"/>
      <c r="O47" s="423"/>
      <c r="P47" s="423"/>
      <c r="Q47" s="423"/>
      <c r="R47" s="423"/>
      <c r="S47" s="423"/>
      <c r="T47" s="423"/>
      <c r="U47" s="423"/>
      <c r="V47" s="423"/>
      <c r="W47" s="423"/>
      <c r="X47" s="423"/>
      <c r="Y47" s="423"/>
      <c r="Z47" s="423"/>
    </row>
    <row r="48">
      <c r="A48" s="564">
        <v>46.0</v>
      </c>
      <c r="B48" s="565" t="s">
        <v>1210</v>
      </c>
      <c r="C48" s="565" t="s">
        <v>5240</v>
      </c>
      <c r="D48" s="564">
        <v>3.0</v>
      </c>
      <c r="E48" s="564">
        <v>0.0</v>
      </c>
      <c r="F48" s="564">
        <v>0.0</v>
      </c>
      <c r="G48" s="564">
        <v>5.0</v>
      </c>
      <c r="H48" s="564">
        <v>0.0</v>
      </c>
      <c r="I48" s="423"/>
      <c r="J48" s="423"/>
      <c r="K48" s="423"/>
      <c r="L48" s="423"/>
      <c r="M48" s="423"/>
      <c r="N48" s="423"/>
      <c r="O48" s="423"/>
      <c r="P48" s="423"/>
      <c r="Q48" s="423"/>
      <c r="R48" s="423"/>
      <c r="S48" s="423"/>
      <c r="T48" s="423"/>
      <c r="U48" s="423"/>
      <c r="V48" s="423"/>
      <c r="W48" s="423"/>
      <c r="X48" s="423"/>
      <c r="Y48" s="423"/>
      <c r="Z48" s="423"/>
    </row>
    <row r="49">
      <c r="A49" s="562">
        <v>47.0</v>
      </c>
      <c r="B49" s="563" t="s">
        <v>1211</v>
      </c>
      <c r="C49" s="563" t="s">
        <v>5240</v>
      </c>
      <c r="D49" s="562">
        <v>0.0</v>
      </c>
      <c r="E49" s="562">
        <v>0.0</v>
      </c>
      <c r="F49" s="562">
        <v>0.0</v>
      </c>
      <c r="G49" s="562">
        <v>8.0</v>
      </c>
      <c r="H49" s="562">
        <v>0.0</v>
      </c>
      <c r="I49" s="423"/>
      <c r="J49" s="423"/>
      <c r="K49" s="423"/>
      <c r="L49" s="423"/>
      <c r="M49" s="423"/>
      <c r="N49" s="423"/>
      <c r="O49" s="423"/>
      <c r="P49" s="423"/>
      <c r="Q49" s="423"/>
      <c r="R49" s="423"/>
      <c r="S49" s="423"/>
      <c r="T49" s="423"/>
      <c r="U49" s="423"/>
      <c r="V49" s="423"/>
      <c r="W49" s="423"/>
      <c r="X49" s="423"/>
      <c r="Y49" s="423"/>
      <c r="Z49" s="423"/>
    </row>
    <row r="50">
      <c r="A50" s="564">
        <v>48.0</v>
      </c>
      <c r="B50" s="565" t="s">
        <v>1634</v>
      </c>
      <c r="C50" s="565" t="s">
        <v>5269</v>
      </c>
      <c r="D50" s="564">
        <v>1.0</v>
      </c>
      <c r="E50" s="564">
        <v>0.0</v>
      </c>
      <c r="F50" s="564">
        <v>0.0</v>
      </c>
      <c r="G50" s="564">
        <v>7.0</v>
      </c>
      <c r="H50" s="564">
        <v>0.0</v>
      </c>
      <c r="I50" s="423"/>
      <c r="J50" s="423"/>
      <c r="K50" s="423"/>
      <c r="L50" s="423"/>
      <c r="M50" s="423"/>
      <c r="N50" s="423"/>
      <c r="O50" s="423"/>
      <c r="P50" s="423"/>
      <c r="Q50" s="423"/>
      <c r="R50" s="423"/>
      <c r="S50" s="423"/>
      <c r="T50" s="423"/>
      <c r="U50" s="423"/>
      <c r="V50" s="423"/>
      <c r="W50" s="423"/>
      <c r="X50" s="423"/>
      <c r="Y50" s="423"/>
      <c r="Z50" s="423"/>
    </row>
    <row r="51">
      <c r="A51" s="562">
        <v>49.0</v>
      </c>
      <c r="B51" s="563" t="s">
        <v>1636</v>
      </c>
      <c r="C51" s="563" t="s">
        <v>5269</v>
      </c>
      <c r="D51" s="562">
        <v>0.0</v>
      </c>
      <c r="E51" s="562">
        <v>0.0</v>
      </c>
      <c r="F51" s="562">
        <v>0.0</v>
      </c>
      <c r="G51" s="562">
        <v>8.0</v>
      </c>
      <c r="H51" s="562">
        <v>0.0</v>
      </c>
      <c r="I51" s="423"/>
      <c r="J51" s="423"/>
      <c r="K51" s="423"/>
      <c r="L51" s="423"/>
      <c r="M51" s="423"/>
      <c r="N51" s="423"/>
      <c r="O51" s="423"/>
      <c r="P51" s="423"/>
      <c r="Q51" s="423"/>
      <c r="R51" s="423"/>
      <c r="S51" s="423"/>
      <c r="T51" s="423"/>
      <c r="U51" s="423"/>
      <c r="V51" s="423"/>
      <c r="W51" s="423"/>
      <c r="X51" s="423"/>
      <c r="Y51" s="423"/>
      <c r="Z51" s="423"/>
    </row>
    <row r="52">
      <c r="A52" s="564">
        <v>50.0</v>
      </c>
      <c r="B52" s="565" t="s">
        <v>1637</v>
      </c>
      <c r="C52" s="565" t="s">
        <v>5269</v>
      </c>
      <c r="D52" s="564">
        <v>4.0</v>
      </c>
      <c r="E52" s="564">
        <v>0.0</v>
      </c>
      <c r="F52" s="564">
        <v>0.0</v>
      </c>
      <c r="G52" s="564">
        <v>4.0</v>
      </c>
      <c r="H52" s="564">
        <v>0.0</v>
      </c>
      <c r="I52" s="423"/>
      <c r="J52" s="423"/>
      <c r="K52" s="423"/>
      <c r="L52" s="423"/>
      <c r="M52" s="423"/>
      <c r="N52" s="423"/>
      <c r="O52" s="423"/>
      <c r="P52" s="423"/>
      <c r="Q52" s="423"/>
      <c r="R52" s="423"/>
      <c r="S52" s="423"/>
      <c r="T52" s="423"/>
      <c r="U52" s="423"/>
      <c r="V52" s="423"/>
      <c r="W52" s="423"/>
      <c r="X52" s="423"/>
      <c r="Y52" s="423"/>
      <c r="Z52" s="423"/>
    </row>
    <row r="53">
      <c r="A53" s="562">
        <v>51.0</v>
      </c>
      <c r="B53" s="563" t="s">
        <v>1638</v>
      </c>
      <c r="C53" s="563" t="s">
        <v>5269</v>
      </c>
      <c r="D53" s="562">
        <v>1.0</v>
      </c>
      <c r="E53" s="562">
        <v>0.0</v>
      </c>
      <c r="F53" s="562">
        <v>0.0</v>
      </c>
      <c r="G53" s="562">
        <v>7.0</v>
      </c>
      <c r="H53" s="562">
        <v>0.0</v>
      </c>
      <c r="I53" s="423"/>
      <c r="J53" s="423"/>
      <c r="K53" s="423"/>
      <c r="L53" s="423"/>
      <c r="M53" s="423"/>
      <c r="N53" s="423"/>
      <c r="O53" s="423"/>
      <c r="P53" s="423"/>
      <c r="Q53" s="423"/>
      <c r="R53" s="423"/>
      <c r="S53" s="423"/>
      <c r="T53" s="423"/>
      <c r="U53" s="423"/>
      <c r="V53" s="423"/>
      <c r="W53" s="423"/>
      <c r="X53" s="423"/>
      <c r="Y53" s="423"/>
      <c r="Z53" s="423"/>
    </row>
    <row r="54">
      <c r="A54" s="564">
        <v>52.0</v>
      </c>
      <c r="B54" s="565" t="s">
        <v>1639</v>
      </c>
      <c r="C54" s="565" t="s">
        <v>5269</v>
      </c>
      <c r="D54" s="564">
        <v>2.0</v>
      </c>
      <c r="E54" s="564">
        <v>0.0</v>
      </c>
      <c r="F54" s="564">
        <v>0.0</v>
      </c>
      <c r="G54" s="564">
        <v>6.0</v>
      </c>
      <c r="H54" s="564">
        <v>0.0</v>
      </c>
      <c r="I54" s="423"/>
      <c r="J54" s="423"/>
      <c r="K54" s="423"/>
      <c r="L54" s="423"/>
      <c r="M54" s="423"/>
      <c r="N54" s="423"/>
      <c r="O54" s="423"/>
      <c r="P54" s="423"/>
      <c r="Q54" s="423"/>
      <c r="R54" s="423"/>
      <c r="S54" s="423"/>
      <c r="T54" s="423"/>
      <c r="U54" s="423"/>
      <c r="V54" s="423"/>
      <c r="W54" s="423"/>
      <c r="X54" s="423"/>
      <c r="Y54" s="423"/>
      <c r="Z54" s="423"/>
    </row>
    <row r="55">
      <c r="A55" s="562">
        <v>53.0</v>
      </c>
      <c r="B55" s="563" t="s">
        <v>1640</v>
      </c>
      <c r="C55" s="563" t="s">
        <v>5269</v>
      </c>
      <c r="D55" s="562">
        <v>1.0</v>
      </c>
      <c r="E55" s="562">
        <v>0.0</v>
      </c>
      <c r="F55" s="562">
        <v>0.0</v>
      </c>
      <c r="G55" s="562">
        <v>7.0</v>
      </c>
      <c r="H55" s="562">
        <v>0.0</v>
      </c>
      <c r="I55" s="423"/>
      <c r="J55" s="423"/>
      <c r="K55" s="423"/>
      <c r="L55" s="423"/>
      <c r="M55" s="423"/>
      <c r="N55" s="423"/>
      <c r="O55" s="423"/>
      <c r="P55" s="423"/>
      <c r="Q55" s="423"/>
      <c r="R55" s="423"/>
      <c r="S55" s="423"/>
      <c r="T55" s="423"/>
      <c r="U55" s="423"/>
      <c r="V55" s="423"/>
      <c r="W55" s="423"/>
      <c r="X55" s="423"/>
      <c r="Y55" s="423"/>
      <c r="Z55" s="423"/>
    </row>
    <row r="56">
      <c r="A56" s="564">
        <v>54.0</v>
      </c>
      <c r="B56" s="565" t="s">
        <v>1641</v>
      </c>
      <c r="C56" s="565" t="s">
        <v>5269</v>
      </c>
      <c r="D56" s="564">
        <v>3.0</v>
      </c>
      <c r="E56" s="564">
        <v>0.0</v>
      </c>
      <c r="F56" s="564">
        <v>0.0</v>
      </c>
      <c r="G56" s="564">
        <v>5.0</v>
      </c>
      <c r="H56" s="564">
        <v>0.0</v>
      </c>
      <c r="I56" s="423"/>
      <c r="J56" s="423"/>
      <c r="K56" s="423"/>
      <c r="L56" s="423"/>
      <c r="M56" s="423"/>
      <c r="N56" s="423"/>
      <c r="O56" s="423"/>
      <c r="P56" s="423"/>
      <c r="Q56" s="423"/>
      <c r="R56" s="423"/>
      <c r="S56" s="423"/>
      <c r="T56" s="423"/>
      <c r="U56" s="423"/>
      <c r="V56" s="423"/>
      <c r="W56" s="423"/>
      <c r="X56" s="423"/>
      <c r="Y56" s="423"/>
      <c r="Z56" s="423"/>
    </row>
    <row r="57">
      <c r="A57" s="562">
        <v>55.0</v>
      </c>
      <c r="B57" s="563" t="s">
        <v>1642</v>
      </c>
      <c r="C57" s="563" t="s">
        <v>5269</v>
      </c>
      <c r="D57" s="562">
        <v>4.0</v>
      </c>
      <c r="E57" s="562">
        <v>0.0</v>
      </c>
      <c r="F57" s="562">
        <v>0.0</v>
      </c>
      <c r="G57" s="562">
        <v>4.0</v>
      </c>
      <c r="H57" s="562">
        <v>0.0</v>
      </c>
      <c r="I57" s="423"/>
      <c r="J57" s="423"/>
      <c r="K57" s="423"/>
      <c r="L57" s="423"/>
      <c r="M57" s="423"/>
      <c r="N57" s="423"/>
      <c r="O57" s="423"/>
      <c r="P57" s="423"/>
      <c r="Q57" s="423"/>
      <c r="R57" s="423"/>
      <c r="S57" s="423"/>
      <c r="T57" s="423"/>
      <c r="U57" s="423"/>
      <c r="V57" s="423"/>
      <c r="W57" s="423"/>
      <c r="X57" s="423"/>
      <c r="Y57" s="423"/>
      <c r="Z57" s="423"/>
    </row>
    <row r="58">
      <c r="A58" s="564">
        <v>56.0</v>
      </c>
      <c r="B58" s="565" t="s">
        <v>1643</v>
      </c>
      <c r="C58" s="565" t="s">
        <v>5269</v>
      </c>
      <c r="D58" s="564">
        <v>4.0</v>
      </c>
      <c r="E58" s="564">
        <v>0.0</v>
      </c>
      <c r="F58" s="564">
        <v>0.0</v>
      </c>
      <c r="G58" s="564">
        <v>4.0</v>
      </c>
      <c r="H58" s="564">
        <v>0.0</v>
      </c>
      <c r="I58" s="423"/>
      <c r="J58" s="423"/>
      <c r="K58" s="423"/>
      <c r="L58" s="423"/>
      <c r="M58" s="423"/>
      <c r="N58" s="423"/>
      <c r="O58" s="423"/>
      <c r="P58" s="423"/>
      <c r="Q58" s="423"/>
      <c r="R58" s="423"/>
      <c r="S58" s="423"/>
      <c r="T58" s="423"/>
      <c r="U58" s="423"/>
      <c r="V58" s="423"/>
      <c r="W58" s="423"/>
      <c r="X58" s="423"/>
      <c r="Y58" s="423"/>
      <c r="Z58" s="423"/>
    </row>
    <row r="59">
      <c r="A59" s="562">
        <v>57.0</v>
      </c>
      <c r="B59" s="563" t="s">
        <v>5611</v>
      </c>
      <c r="C59" s="563" t="s">
        <v>5269</v>
      </c>
      <c r="D59" s="562">
        <v>1.0</v>
      </c>
      <c r="E59" s="562">
        <v>0.0</v>
      </c>
      <c r="F59" s="562">
        <v>0.0</v>
      </c>
      <c r="G59" s="562">
        <v>7.0</v>
      </c>
      <c r="H59" s="562">
        <v>0.0</v>
      </c>
      <c r="I59" s="423"/>
      <c r="J59" s="423"/>
      <c r="K59" s="423"/>
      <c r="L59" s="423"/>
      <c r="M59" s="423"/>
      <c r="N59" s="423"/>
      <c r="O59" s="423"/>
      <c r="P59" s="423"/>
      <c r="Q59" s="423"/>
      <c r="R59" s="423"/>
      <c r="S59" s="423"/>
      <c r="T59" s="423"/>
      <c r="U59" s="423"/>
      <c r="V59" s="423"/>
      <c r="W59" s="423"/>
      <c r="X59" s="423"/>
      <c r="Y59" s="423"/>
      <c r="Z59" s="423"/>
    </row>
    <row r="60">
      <c r="A60" s="564">
        <v>58.0</v>
      </c>
      <c r="B60" s="565" t="s">
        <v>1645</v>
      </c>
      <c r="C60" s="565" t="s">
        <v>5269</v>
      </c>
      <c r="D60" s="564">
        <v>1.0</v>
      </c>
      <c r="E60" s="564">
        <v>0.0</v>
      </c>
      <c r="F60" s="564">
        <v>0.0</v>
      </c>
      <c r="G60" s="564">
        <v>7.0</v>
      </c>
      <c r="H60" s="564">
        <v>0.0</v>
      </c>
      <c r="I60" s="423"/>
      <c r="J60" s="423"/>
      <c r="K60" s="423"/>
      <c r="L60" s="423"/>
      <c r="M60" s="423"/>
      <c r="N60" s="423"/>
      <c r="O60" s="423"/>
      <c r="P60" s="423"/>
      <c r="Q60" s="423"/>
      <c r="R60" s="423"/>
      <c r="S60" s="423"/>
      <c r="T60" s="423"/>
      <c r="U60" s="423"/>
      <c r="V60" s="423"/>
      <c r="W60" s="423"/>
      <c r="X60" s="423"/>
      <c r="Y60" s="423"/>
      <c r="Z60" s="423"/>
    </row>
    <row r="61">
      <c r="A61" s="562">
        <v>59.0</v>
      </c>
      <c r="B61" s="563" t="s">
        <v>1646</v>
      </c>
      <c r="C61" s="563" t="s">
        <v>5269</v>
      </c>
      <c r="D61" s="562">
        <v>2.0</v>
      </c>
      <c r="E61" s="562">
        <v>0.0</v>
      </c>
      <c r="F61" s="562">
        <v>0.0</v>
      </c>
      <c r="G61" s="562">
        <v>6.0</v>
      </c>
      <c r="H61" s="562">
        <v>0.0</v>
      </c>
      <c r="I61" s="423"/>
      <c r="J61" s="423"/>
      <c r="K61" s="423"/>
      <c r="L61" s="423"/>
      <c r="M61" s="423"/>
      <c r="N61" s="423"/>
      <c r="O61" s="423"/>
      <c r="P61" s="423"/>
      <c r="Q61" s="423"/>
      <c r="R61" s="423"/>
      <c r="S61" s="423"/>
      <c r="T61" s="423"/>
      <c r="U61" s="423"/>
      <c r="V61" s="423"/>
      <c r="W61" s="423"/>
      <c r="X61" s="423"/>
      <c r="Y61" s="423"/>
      <c r="Z61" s="423"/>
    </row>
    <row r="62">
      <c r="A62" s="564">
        <v>60.0</v>
      </c>
      <c r="B62" s="565" t="s">
        <v>1647</v>
      </c>
      <c r="C62" s="565" t="s">
        <v>5269</v>
      </c>
      <c r="D62" s="564">
        <v>2.0</v>
      </c>
      <c r="E62" s="564">
        <v>0.0</v>
      </c>
      <c r="F62" s="564">
        <v>0.0</v>
      </c>
      <c r="G62" s="564">
        <v>6.0</v>
      </c>
      <c r="H62" s="564">
        <v>0.0</v>
      </c>
      <c r="I62" s="423"/>
      <c r="J62" s="423"/>
      <c r="K62" s="423"/>
      <c r="L62" s="423"/>
      <c r="M62" s="423"/>
      <c r="N62" s="423"/>
      <c r="O62" s="423"/>
      <c r="P62" s="423"/>
      <c r="Q62" s="423"/>
      <c r="R62" s="423"/>
      <c r="S62" s="423"/>
      <c r="T62" s="423"/>
      <c r="U62" s="423"/>
      <c r="V62" s="423"/>
      <c r="W62" s="423"/>
      <c r="X62" s="423"/>
      <c r="Y62" s="423"/>
      <c r="Z62" s="423"/>
    </row>
    <row r="63">
      <c r="A63" s="562">
        <v>61.0</v>
      </c>
      <c r="B63" s="563" t="s">
        <v>1648</v>
      </c>
      <c r="C63" s="563" t="s">
        <v>5269</v>
      </c>
      <c r="D63" s="562">
        <v>2.0</v>
      </c>
      <c r="E63" s="562">
        <v>0.0</v>
      </c>
      <c r="F63" s="562">
        <v>0.0</v>
      </c>
      <c r="G63" s="562">
        <v>6.0</v>
      </c>
      <c r="H63" s="562">
        <v>0.0</v>
      </c>
      <c r="I63" s="423"/>
      <c r="J63" s="423"/>
      <c r="K63" s="423"/>
      <c r="L63" s="423"/>
      <c r="M63" s="423"/>
      <c r="N63" s="423"/>
      <c r="O63" s="423"/>
      <c r="P63" s="423"/>
      <c r="Q63" s="423"/>
      <c r="R63" s="423"/>
      <c r="S63" s="423"/>
      <c r="T63" s="423"/>
      <c r="U63" s="423"/>
      <c r="V63" s="423"/>
      <c r="W63" s="423"/>
      <c r="X63" s="423"/>
      <c r="Y63" s="423"/>
      <c r="Z63" s="423"/>
    </row>
    <row r="64">
      <c r="A64" s="564">
        <v>62.0</v>
      </c>
      <c r="B64" s="565" t="s">
        <v>1649</v>
      </c>
      <c r="C64" s="565" t="s">
        <v>5269</v>
      </c>
      <c r="D64" s="564">
        <v>0.0</v>
      </c>
      <c r="E64" s="564">
        <v>0.0</v>
      </c>
      <c r="F64" s="564">
        <v>0.0</v>
      </c>
      <c r="G64" s="564">
        <v>8.0</v>
      </c>
      <c r="H64" s="564">
        <v>0.0</v>
      </c>
      <c r="I64" s="423"/>
      <c r="J64" s="423"/>
      <c r="K64" s="423"/>
      <c r="L64" s="423"/>
      <c r="M64" s="423"/>
      <c r="N64" s="423"/>
      <c r="O64" s="423"/>
      <c r="P64" s="423"/>
      <c r="Q64" s="423"/>
      <c r="R64" s="423"/>
      <c r="S64" s="423"/>
      <c r="T64" s="423"/>
      <c r="U64" s="423"/>
      <c r="V64" s="423"/>
      <c r="W64" s="423"/>
      <c r="X64" s="423"/>
      <c r="Y64" s="423"/>
      <c r="Z64" s="423"/>
    </row>
    <row r="65">
      <c r="A65" s="562">
        <v>63.0</v>
      </c>
      <c r="B65" s="563" t="s">
        <v>1650</v>
      </c>
      <c r="C65" s="563" t="s">
        <v>5269</v>
      </c>
      <c r="D65" s="562">
        <v>3.0</v>
      </c>
      <c r="E65" s="562">
        <v>0.0</v>
      </c>
      <c r="F65" s="562">
        <v>0.0</v>
      </c>
      <c r="G65" s="562">
        <v>5.0</v>
      </c>
      <c r="H65" s="562">
        <v>0.0</v>
      </c>
      <c r="I65" s="423"/>
      <c r="J65" s="423"/>
      <c r="K65" s="423"/>
      <c r="L65" s="423"/>
      <c r="M65" s="423"/>
      <c r="N65" s="423"/>
      <c r="O65" s="423"/>
      <c r="P65" s="423"/>
      <c r="Q65" s="423"/>
      <c r="R65" s="423"/>
      <c r="S65" s="423"/>
      <c r="T65" s="423"/>
      <c r="U65" s="423"/>
      <c r="V65" s="423"/>
      <c r="W65" s="423"/>
      <c r="X65" s="423"/>
      <c r="Y65" s="423"/>
      <c r="Z65" s="423"/>
    </row>
    <row r="66">
      <c r="A66" s="564">
        <v>64.0</v>
      </c>
      <c r="B66" s="565" t="s">
        <v>1651</v>
      </c>
      <c r="C66" s="565" t="s">
        <v>5269</v>
      </c>
      <c r="D66" s="564">
        <v>0.0</v>
      </c>
      <c r="E66" s="564">
        <v>0.0</v>
      </c>
      <c r="F66" s="564">
        <v>0.0</v>
      </c>
      <c r="G66" s="564">
        <v>8.0</v>
      </c>
      <c r="H66" s="564">
        <v>0.0</v>
      </c>
      <c r="I66" s="423"/>
      <c r="J66" s="423"/>
      <c r="K66" s="423"/>
      <c r="L66" s="423"/>
      <c r="M66" s="423"/>
      <c r="N66" s="423"/>
      <c r="O66" s="423"/>
      <c r="P66" s="423"/>
      <c r="Q66" s="423"/>
      <c r="R66" s="423"/>
      <c r="S66" s="423"/>
      <c r="T66" s="423"/>
      <c r="U66" s="423"/>
      <c r="V66" s="423"/>
      <c r="W66" s="423"/>
      <c r="X66" s="423"/>
      <c r="Y66" s="423"/>
      <c r="Z66" s="423"/>
    </row>
    <row r="67">
      <c r="A67" s="562">
        <v>65.0</v>
      </c>
      <c r="B67" s="563" t="s">
        <v>5612</v>
      </c>
      <c r="C67" s="563" t="s">
        <v>5269</v>
      </c>
      <c r="D67" s="562">
        <v>1.0</v>
      </c>
      <c r="E67" s="562">
        <v>0.0</v>
      </c>
      <c r="F67" s="562">
        <v>0.0</v>
      </c>
      <c r="G67" s="562">
        <v>7.0</v>
      </c>
      <c r="H67" s="562">
        <v>0.0</v>
      </c>
      <c r="I67" s="423"/>
      <c r="J67" s="423"/>
      <c r="K67" s="423"/>
      <c r="L67" s="423"/>
      <c r="M67" s="423"/>
      <c r="N67" s="423"/>
      <c r="O67" s="423"/>
      <c r="P67" s="423"/>
      <c r="Q67" s="423"/>
      <c r="R67" s="423"/>
      <c r="S67" s="423"/>
      <c r="T67" s="423"/>
      <c r="U67" s="423"/>
      <c r="V67" s="423"/>
      <c r="W67" s="423"/>
      <c r="X67" s="423"/>
      <c r="Y67" s="423"/>
      <c r="Z67" s="423"/>
    </row>
    <row r="68">
      <c r="A68" s="564">
        <v>66.0</v>
      </c>
      <c r="B68" s="565" t="s">
        <v>1653</v>
      </c>
      <c r="C68" s="565" t="s">
        <v>5269</v>
      </c>
      <c r="D68" s="564">
        <v>0.0</v>
      </c>
      <c r="E68" s="564">
        <v>0.0</v>
      </c>
      <c r="F68" s="564">
        <v>0.0</v>
      </c>
      <c r="G68" s="564">
        <v>8.0</v>
      </c>
      <c r="H68" s="564">
        <v>0.0</v>
      </c>
      <c r="I68" s="423"/>
      <c r="J68" s="423"/>
      <c r="K68" s="423"/>
      <c r="L68" s="423"/>
      <c r="M68" s="423"/>
      <c r="N68" s="423"/>
      <c r="O68" s="423"/>
      <c r="P68" s="423"/>
      <c r="Q68" s="423"/>
      <c r="R68" s="423"/>
      <c r="S68" s="423"/>
      <c r="T68" s="423"/>
      <c r="U68" s="423"/>
      <c r="V68" s="423"/>
      <c r="W68" s="423"/>
      <c r="X68" s="423"/>
      <c r="Y68" s="423"/>
      <c r="Z68" s="423"/>
    </row>
    <row r="69">
      <c r="A69" s="562">
        <v>67.0</v>
      </c>
      <c r="B69" s="563" t="s">
        <v>1654</v>
      </c>
      <c r="C69" s="563" t="s">
        <v>5269</v>
      </c>
      <c r="D69" s="562">
        <v>2.0</v>
      </c>
      <c r="E69" s="562">
        <v>0.0</v>
      </c>
      <c r="F69" s="562">
        <v>0.0</v>
      </c>
      <c r="G69" s="562">
        <v>6.0</v>
      </c>
      <c r="H69" s="562">
        <v>0.0</v>
      </c>
      <c r="I69" s="423"/>
      <c r="J69" s="423"/>
      <c r="K69" s="423"/>
      <c r="L69" s="423"/>
      <c r="M69" s="423"/>
      <c r="N69" s="423"/>
      <c r="O69" s="423"/>
      <c r="P69" s="423"/>
      <c r="Q69" s="423"/>
      <c r="R69" s="423"/>
      <c r="S69" s="423"/>
      <c r="T69" s="423"/>
      <c r="U69" s="423"/>
      <c r="V69" s="423"/>
      <c r="W69" s="423"/>
      <c r="X69" s="423"/>
      <c r="Y69" s="423"/>
      <c r="Z69" s="423"/>
    </row>
    <row r="70">
      <c r="A70" s="564">
        <v>68.0</v>
      </c>
      <c r="B70" s="565" t="s">
        <v>1655</v>
      </c>
      <c r="C70" s="565" t="s">
        <v>5269</v>
      </c>
      <c r="D70" s="564">
        <v>2.0</v>
      </c>
      <c r="E70" s="564">
        <v>0.0</v>
      </c>
      <c r="F70" s="564">
        <v>0.0</v>
      </c>
      <c r="G70" s="564">
        <v>6.0</v>
      </c>
      <c r="H70" s="564">
        <v>0.0</v>
      </c>
      <c r="I70" s="423"/>
      <c r="J70" s="423"/>
      <c r="K70" s="423"/>
      <c r="L70" s="423"/>
      <c r="M70" s="423"/>
      <c r="N70" s="423"/>
      <c r="O70" s="423"/>
      <c r="P70" s="423"/>
      <c r="Q70" s="423"/>
      <c r="R70" s="423"/>
      <c r="S70" s="423"/>
      <c r="T70" s="423"/>
      <c r="U70" s="423"/>
      <c r="V70" s="423"/>
      <c r="W70" s="423"/>
      <c r="X70" s="423"/>
      <c r="Y70" s="423"/>
      <c r="Z70" s="423"/>
    </row>
    <row r="71">
      <c r="A71" s="562">
        <v>69.0</v>
      </c>
      <c r="B71" s="563" t="s">
        <v>1656</v>
      </c>
      <c r="C71" s="563" t="s">
        <v>5269</v>
      </c>
      <c r="D71" s="562">
        <v>4.0</v>
      </c>
      <c r="E71" s="562">
        <v>0.0</v>
      </c>
      <c r="F71" s="562">
        <v>0.0</v>
      </c>
      <c r="G71" s="562">
        <v>4.0</v>
      </c>
      <c r="H71" s="562">
        <v>0.0</v>
      </c>
      <c r="I71" s="423"/>
      <c r="J71" s="423"/>
      <c r="K71" s="423"/>
      <c r="L71" s="423"/>
      <c r="M71" s="423"/>
      <c r="N71" s="423"/>
      <c r="O71" s="423"/>
      <c r="P71" s="423"/>
      <c r="Q71" s="423"/>
      <c r="R71" s="423"/>
      <c r="S71" s="423"/>
      <c r="T71" s="423"/>
      <c r="U71" s="423"/>
      <c r="V71" s="423"/>
      <c r="W71" s="423"/>
      <c r="X71" s="423"/>
      <c r="Y71" s="423"/>
      <c r="Z71" s="423"/>
    </row>
    <row r="72">
      <c r="A72" s="564">
        <v>70.0</v>
      </c>
      <c r="B72" s="565" t="s">
        <v>1657</v>
      </c>
      <c r="C72" s="565" t="s">
        <v>5269</v>
      </c>
      <c r="D72" s="564">
        <v>2.0</v>
      </c>
      <c r="E72" s="564">
        <v>0.0</v>
      </c>
      <c r="F72" s="564">
        <v>0.0</v>
      </c>
      <c r="G72" s="564">
        <v>6.0</v>
      </c>
      <c r="H72" s="564">
        <v>0.0</v>
      </c>
      <c r="I72" s="423"/>
      <c r="J72" s="423"/>
      <c r="K72" s="423"/>
      <c r="L72" s="423"/>
      <c r="M72" s="423"/>
      <c r="N72" s="423"/>
      <c r="O72" s="423"/>
      <c r="P72" s="423"/>
      <c r="Q72" s="423"/>
      <c r="R72" s="423"/>
      <c r="S72" s="423"/>
      <c r="T72" s="423"/>
      <c r="U72" s="423"/>
      <c r="V72" s="423"/>
      <c r="W72" s="423"/>
      <c r="X72" s="423"/>
      <c r="Y72" s="423"/>
      <c r="Z72" s="423"/>
    </row>
    <row r="73">
      <c r="A73" s="562">
        <v>71.0</v>
      </c>
      <c r="B73" s="563" t="s">
        <v>1658</v>
      </c>
      <c r="C73" s="563" t="s">
        <v>5269</v>
      </c>
      <c r="D73" s="562">
        <v>0.0</v>
      </c>
      <c r="E73" s="562">
        <v>0.0</v>
      </c>
      <c r="F73" s="562">
        <v>0.0</v>
      </c>
      <c r="G73" s="562">
        <v>8.0</v>
      </c>
      <c r="H73" s="562">
        <v>0.0</v>
      </c>
      <c r="I73" s="423"/>
      <c r="J73" s="423"/>
      <c r="K73" s="423"/>
      <c r="L73" s="423"/>
      <c r="M73" s="423"/>
      <c r="N73" s="423"/>
      <c r="O73" s="423"/>
      <c r="P73" s="423"/>
      <c r="Q73" s="423"/>
      <c r="R73" s="423"/>
      <c r="S73" s="423"/>
      <c r="T73" s="423"/>
      <c r="U73" s="423"/>
      <c r="V73" s="423"/>
      <c r="W73" s="423"/>
      <c r="X73" s="423"/>
      <c r="Y73" s="423"/>
      <c r="Z73" s="423"/>
    </row>
    <row r="74">
      <c r="A74" s="564">
        <v>72.0</v>
      </c>
      <c r="B74" s="565" t="s">
        <v>5613</v>
      </c>
      <c r="C74" s="565" t="s">
        <v>5269</v>
      </c>
      <c r="D74" s="564">
        <v>2.0</v>
      </c>
      <c r="E74" s="564">
        <v>0.0</v>
      </c>
      <c r="F74" s="564">
        <v>0.0</v>
      </c>
      <c r="G74" s="564">
        <v>6.0</v>
      </c>
      <c r="H74" s="564">
        <v>0.0</v>
      </c>
      <c r="I74" s="423"/>
      <c r="J74" s="423"/>
      <c r="K74" s="423"/>
      <c r="L74" s="423"/>
      <c r="M74" s="423"/>
      <c r="N74" s="423"/>
      <c r="O74" s="423"/>
      <c r="P74" s="423"/>
      <c r="Q74" s="423"/>
      <c r="R74" s="423"/>
      <c r="S74" s="423"/>
      <c r="T74" s="423"/>
      <c r="U74" s="423"/>
      <c r="V74" s="423"/>
      <c r="W74" s="423"/>
      <c r="X74" s="423"/>
      <c r="Y74" s="423"/>
      <c r="Z74" s="423"/>
    </row>
    <row r="75">
      <c r="A75" s="562">
        <v>73.0</v>
      </c>
      <c r="B75" s="563" t="s">
        <v>5614</v>
      </c>
      <c r="C75" s="563" t="s">
        <v>5269</v>
      </c>
      <c r="D75" s="562">
        <v>1.0</v>
      </c>
      <c r="E75" s="562">
        <v>0.0</v>
      </c>
      <c r="F75" s="562">
        <v>0.0</v>
      </c>
      <c r="G75" s="562">
        <v>7.0</v>
      </c>
      <c r="H75" s="562">
        <v>0.0</v>
      </c>
      <c r="I75" s="423"/>
      <c r="J75" s="423"/>
      <c r="K75" s="423"/>
      <c r="L75" s="423"/>
      <c r="M75" s="423"/>
      <c r="N75" s="423"/>
      <c r="O75" s="423"/>
      <c r="P75" s="423"/>
      <c r="Q75" s="423"/>
      <c r="R75" s="423"/>
      <c r="S75" s="423"/>
      <c r="T75" s="423"/>
      <c r="U75" s="423"/>
      <c r="V75" s="423"/>
      <c r="W75" s="423"/>
      <c r="X75" s="423"/>
      <c r="Y75" s="423"/>
      <c r="Z75" s="423"/>
    </row>
    <row r="76">
      <c r="A76" s="564">
        <v>74.0</v>
      </c>
      <c r="B76" s="565" t="s">
        <v>1661</v>
      </c>
      <c r="C76" s="565" t="s">
        <v>5269</v>
      </c>
      <c r="D76" s="564">
        <v>4.0</v>
      </c>
      <c r="E76" s="564">
        <v>0.0</v>
      </c>
      <c r="F76" s="564">
        <v>0.0</v>
      </c>
      <c r="G76" s="564">
        <v>4.0</v>
      </c>
      <c r="H76" s="564">
        <v>0.0</v>
      </c>
      <c r="I76" s="423"/>
      <c r="J76" s="423"/>
      <c r="K76" s="423"/>
      <c r="L76" s="423"/>
      <c r="M76" s="423"/>
      <c r="N76" s="423"/>
      <c r="O76" s="423"/>
      <c r="P76" s="423"/>
      <c r="Q76" s="423"/>
      <c r="R76" s="423"/>
      <c r="S76" s="423"/>
      <c r="T76" s="423"/>
      <c r="U76" s="423"/>
      <c r="V76" s="423"/>
      <c r="W76" s="423"/>
      <c r="X76" s="423"/>
      <c r="Y76" s="423"/>
      <c r="Z76" s="423"/>
    </row>
    <row r="77">
      <c r="A77" s="562">
        <v>75.0</v>
      </c>
      <c r="B77" s="563" t="s">
        <v>1662</v>
      </c>
      <c r="C77" s="563" t="s">
        <v>5269</v>
      </c>
      <c r="D77" s="562">
        <v>2.0</v>
      </c>
      <c r="E77" s="562">
        <v>0.0</v>
      </c>
      <c r="F77" s="562">
        <v>0.0</v>
      </c>
      <c r="G77" s="562">
        <v>6.0</v>
      </c>
      <c r="H77" s="562">
        <v>0.0</v>
      </c>
      <c r="I77" s="423"/>
      <c r="J77" s="423"/>
      <c r="K77" s="423"/>
      <c r="L77" s="423"/>
      <c r="M77" s="423"/>
      <c r="N77" s="423"/>
      <c r="O77" s="423"/>
      <c r="P77" s="423"/>
      <c r="Q77" s="423"/>
      <c r="R77" s="423"/>
      <c r="S77" s="423"/>
      <c r="T77" s="423"/>
      <c r="U77" s="423"/>
      <c r="V77" s="423"/>
      <c r="W77" s="423"/>
      <c r="X77" s="423"/>
      <c r="Y77" s="423"/>
      <c r="Z77" s="423"/>
    </row>
    <row r="78">
      <c r="A78" s="564">
        <v>76.0</v>
      </c>
      <c r="B78" s="565" t="s">
        <v>1663</v>
      </c>
      <c r="C78" s="565" t="s">
        <v>5269</v>
      </c>
      <c r="D78" s="564">
        <v>2.0</v>
      </c>
      <c r="E78" s="564">
        <v>0.0</v>
      </c>
      <c r="F78" s="564">
        <v>0.0</v>
      </c>
      <c r="G78" s="564">
        <v>6.0</v>
      </c>
      <c r="H78" s="564">
        <v>0.0</v>
      </c>
      <c r="I78" s="423"/>
      <c r="J78" s="423"/>
      <c r="K78" s="423"/>
      <c r="L78" s="423"/>
      <c r="M78" s="423"/>
      <c r="N78" s="423"/>
      <c r="O78" s="423"/>
      <c r="P78" s="423"/>
      <c r="Q78" s="423"/>
      <c r="R78" s="423"/>
      <c r="S78" s="423"/>
      <c r="T78" s="423"/>
      <c r="U78" s="423"/>
      <c r="V78" s="423"/>
      <c r="W78" s="423"/>
      <c r="X78" s="423"/>
      <c r="Y78" s="423"/>
      <c r="Z78" s="423"/>
    </row>
    <row r="79">
      <c r="A79" s="562">
        <v>77.0</v>
      </c>
      <c r="B79" s="563" t="s">
        <v>1664</v>
      </c>
      <c r="C79" s="563" t="s">
        <v>5269</v>
      </c>
      <c r="D79" s="562">
        <v>0.0</v>
      </c>
      <c r="E79" s="562">
        <v>0.0</v>
      </c>
      <c r="F79" s="562">
        <v>0.0</v>
      </c>
      <c r="G79" s="562">
        <v>8.0</v>
      </c>
      <c r="H79" s="562">
        <v>0.0</v>
      </c>
      <c r="I79" s="423"/>
      <c r="J79" s="423"/>
      <c r="K79" s="423"/>
      <c r="L79" s="423"/>
      <c r="M79" s="423"/>
      <c r="N79" s="423"/>
      <c r="O79" s="423"/>
      <c r="P79" s="423"/>
      <c r="Q79" s="423"/>
      <c r="R79" s="423"/>
      <c r="S79" s="423"/>
      <c r="T79" s="423"/>
      <c r="U79" s="423"/>
      <c r="V79" s="423"/>
      <c r="W79" s="423"/>
      <c r="X79" s="423"/>
      <c r="Y79" s="423"/>
      <c r="Z79" s="423"/>
    </row>
    <row r="80">
      <c r="A80" s="564">
        <v>78.0</v>
      </c>
      <c r="B80" s="565" t="s">
        <v>1665</v>
      </c>
      <c r="C80" s="565" t="s">
        <v>5269</v>
      </c>
      <c r="D80" s="564">
        <v>4.0</v>
      </c>
      <c r="E80" s="564">
        <v>0.0</v>
      </c>
      <c r="F80" s="564">
        <v>0.0</v>
      </c>
      <c r="G80" s="564">
        <v>4.0</v>
      </c>
      <c r="H80" s="564">
        <v>0.0</v>
      </c>
      <c r="I80" s="423"/>
      <c r="J80" s="423"/>
      <c r="K80" s="423"/>
      <c r="L80" s="423"/>
      <c r="M80" s="423"/>
      <c r="N80" s="423"/>
      <c r="O80" s="423"/>
      <c r="P80" s="423"/>
      <c r="Q80" s="423"/>
      <c r="R80" s="423"/>
      <c r="S80" s="423"/>
      <c r="T80" s="423"/>
      <c r="U80" s="423"/>
      <c r="V80" s="423"/>
      <c r="W80" s="423"/>
      <c r="X80" s="423"/>
      <c r="Y80" s="423"/>
      <c r="Z80" s="423"/>
    </row>
    <row r="81">
      <c r="A81" s="562">
        <v>79.0</v>
      </c>
      <c r="B81" s="563" t="s">
        <v>1666</v>
      </c>
      <c r="C81" s="563" t="s">
        <v>5269</v>
      </c>
      <c r="D81" s="562">
        <v>0.0</v>
      </c>
      <c r="E81" s="562">
        <v>0.0</v>
      </c>
      <c r="F81" s="562">
        <v>0.0</v>
      </c>
      <c r="G81" s="562">
        <v>8.0</v>
      </c>
      <c r="H81" s="562">
        <v>0.0</v>
      </c>
      <c r="I81" s="423"/>
      <c r="J81" s="423"/>
      <c r="K81" s="423"/>
      <c r="L81" s="423"/>
      <c r="M81" s="423"/>
      <c r="N81" s="423"/>
      <c r="O81" s="423"/>
      <c r="P81" s="423"/>
      <c r="Q81" s="423"/>
      <c r="R81" s="423"/>
      <c r="S81" s="423"/>
      <c r="T81" s="423"/>
      <c r="U81" s="423"/>
      <c r="V81" s="423"/>
      <c r="W81" s="423"/>
      <c r="X81" s="423"/>
      <c r="Y81" s="423"/>
      <c r="Z81" s="423"/>
    </row>
    <row r="82">
      <c r="A82" s="564">
        <v>80.0</v>
      </c>
      <c r="B82" s="565" t="s">
        <v>1667</v>
      </c>
      <c r="C82" s="565" t="s">
        <v>5269</v>
      </c>
      <c r="D82" s="564">
        <v>1.0</v>
      </c>
      <c r="E82" s="564">
        <v>0.0</v>
      </c>
      <c r="F82" s="564">
        <v>0.0</v>
      </c>
      <c r="G82" s="564">
        <v>7.0</v>
      </c>
      <c r="H82" s="564">
        <v>0.0</v>
      </c>
      <c r="I82" s="423"/>
      <c r="J82" s="423"/>
      <c r="K82" s="423"/>
      <c r="L82" s="423"/>
      <c r="M82" s="423"/>
      <c r="N82" s="423"/>
      <c r="O82" s="423"/>
      <c r="P82" s="423"/>
      <c r="Q82" s="423"/>
      <c r="R82" s="423"/>
      <c r="S82" s="423"/>
      <c r="T82" s="423"/>
      <c r="U82" s="423"/>
      <c r="V82" s="423"/>
      <c r="W82" s="423"/>
      <c r="X82" s="423"/>
      <c r="Y82" s="423"/>
      <c r="Z82" s="423"/>
    </row>
    <row r="83">
      <c r="A83" s="562">
        <v>81.0</v>
      </c>
      <c r="B83" s="563" t="s">
        <v>1668</v>
      </c>
      <c r="C83" s="563" t="s">
        <v>5269</v>
      </c>
      <c r="D83" s="562">
        <v>2.0</v>
      </c>
      <c r="E83" s="562">
        <v>0.0</v>
      </c>
      <c r="F83" s="562">
        <v>0.0</v>
      </c>
      <c r="G83" s="562">
        <v>6.0</v>
      </c>
      <c r="H83" s="562">
        <v>0.0</v>
      </c>
      <c r="I83" s="423"/>
      <c r="J83" s="423"/>
      <c r="K83" s="423"/>
      <c r="L83" s="423"/>
      <c r="M83" s="423"/>
      <c r="N83" s="423"/>
      <c r="O83" s="423"/>
      <c r="P83" s="423"/>
      <c r="Q83" s="423"/>
      <c r="R83" s="423"/>
      <c r="S83" s="423"/>
      <c r="T83" s="423"/>
      <c r="U83" s="423"/>
      <c r="V83" s="423"/>
      <c r="W83" s="423"/>
      <c r="X83" s="423"/>
      <c r="Y83" s="423"/>
      <c r="Z83" s="423"/>
    </row>
    <row r="84">
      <c r="A84" s="564">
        <v>82.0</v>
      </c>
      <c r="B84" s="565" t="s">
        <v>1669</v>
      </c>
      <c r="C84" s="565" t="s">
        <v>5269</v>
      </c>
      <c r="D84" s="564">
        <v>3.0</v>
      </c>
      <c r="E84" s="564">
        <v>0.0</v>
      </c>
      <c r="F84" s="564">
        <v>0.0</v>
      </c>
      <c r="G84" s="564">
        <v>5.0</v>
      </c>
      <c r="H84" s="564">
        <v>0.0</v>
      </c>
      <c r="I84" s="423"/>
      <c r="J84" s="423"/>
      <c r="K84" s="423"/>
      <c r="L84" s="423"/>
      <c r="M84" s="423"/>
      <c r="N84" s="423"/>
      <c r="O84" s="423"/>
      <c r="P84" s="423"/>
      <c r="Q84" s="423"/>
      <c r="R84" s="423"/>
      <c r="S84" s="423"/>
      <c r="T84" s="423"/>
      <c r="U84" s="423"/>
      <c r="V84" s="423"/>
      <c r="W84" s="423"/>
      <c r="X84" s="423"/>
      <c r="Y84" s="423"/>
      <c r="Z84" s="423"/>
    </row>
    <row r="85">
      <c r="A85" s="562">
        <v>83.0</v>
      </c>
      <c r="B85" s="563" t="s">
        <v>1670</v>
      </c>
      <c r="C85" s="563" t="s">
        <v>5269</v>
      </c>
      <c r="D85" s="562">
        <v>3.0</v>
      </c>
      <c r="E85" s="562">
        <v>0.0</v>
      </c>
      <c r="F85" s="562">
        <v>0.0</v>
      </c>
      <c r="G85" s="562">
        <v>5.0</v>
      </c>
      <c r="H85" s="562">
        <v>0.0</v>
      </c>
      <c r="I85" s="423"/>
      <c r="J85" s="423"/>
      <c r="K85" s="423"/>
      <c r="L85" s="423"/>
      <c r="M85" s="423"/>
      <c r="N85" s="423"/>
      <c r="O85" s="423"/>
      <c r="P85" s="423"/>
      <c r="Q85" s="423"/>
      <c r="R85" s="423"/>
      <c r="S85" s="423"/>
      <c r="T85" s="423"/>
      <c r="U85" s="423"/>
      <c r="V85" s="423"/>
      <c r="W85" s="423"/>
      <c r="X85" s="423"/>
      <c r="Y85" s="423"/>
      <c r="Z85" s="423"/>
    </row>
    <row r="86">
      <c r="A86" s="564">
        <v>84.0</v>
      </c>
      <c r="B86" s="565" t="s">
        <v>1671</v>
      </c>
      <c r="C86" s="565" t="s">
        <v>5269</v>
      </c>
      <c r="D86" s="564">
        <v>4.0</v>
      </c>
      <c r="E86" s="564">
        <v>0.0</v>
      </c>
      <c r="F86" s="564">
        <v>0.0</v>
      </c>
      <c r="G86" s="564">
        <v>4.0</v>
      </c>
      <c r="H86" s="564">
        <v>0.0</v>
      </c>
      <c r="I86" s="423"/>
      <c r="J86" s="423"/>
      <c r="K86" s="423"/>
      <c r="L86" s="423"/>
      <c r="M86" s="423"/>
      <c r="N86" s="423"/>
      <c r="O86" s="423"/>
      <c r="P86" s="423"/>
      <c r="Q86" s="423"/>
      <c r="R86" s="423"/>
      <c r="S86" s="423"/>
      <c r="T86" s="423"/>
      <c r="U86" s="423"/>
      <c r="V86" s="423"/>
      <c r="W86" s="423"/>
      <c r="X86" s="423"/>
      <c r="Y86" s="423"/>
      <c r="Z86" s="423"/>
    </row>
    <row r="87">
      <c r="A87" s="562">
        <v>85.0</v>
      </c>
      <c r="B87" s="563" t="s">
        <v>1672</v>
      </c>
      <c r="C87" s="563" t="s">
        <v>5269</v>
      </c>
      <c r="D87" s="562">
        <v>2.0</v>
      </c>
      <c r="E87" s="562">
        <v>0.0</v>
      </c>
      <c r="F87" s="562">
        <v>0.0</v>
      </c>
      <c r="G87" s="562">
        <v>6.0</v>
      </c>
      <c r="H87" s="562">
        <v>0.0</v>
      </c>
      <c r="I87" s="423"/>
      <c r="J87" s="423"/>
      <c r="K87" s="423"/>
      <c r="L87" s="423"/>
      <c r="M87" s="423"/>
      <c r="N87" s="423"/>
      <c r="O87" s="423"/>
      <c r="P87" s="423"/>
      <c r="Q87" s="423"/>
      <c r="R87" s="423"/>
      <c r="S87" s="423"/>
      <c r="T87" s="423"/>
      <c r="U87" s="423"/>
      <c r="V87" s="423"/>
      <c r="W87" s="423"/>
      <c r="X87" s="423"/>
      <c r="Y87" s="423"/>
      <c r="Z87" s="423"/>
    </row>
    <row r="88">
      <c r="A88" s="564">
        <v>86.0</v>
      </c>
      <c r="B88" s="565" t="s">
        <v>1673</v>
      </c>
      <c r="C88" s="565" t="s">
        <v>5269</v>
      </c>
      <c r="D88" s="564">
        <v>2.0</v>
      </c>
      <c r="E88" s="564">
        <v>0.0</v>
      </c>
      <c r="F88" s="564">
        <v>0.0</v>
      </c>
      <c r="G88" s="564">
        <v>6.0</v>
      </c>
      <c r="H88" s="564">
        <v>0.0</v>
      </c>
      <c r="I88" s="423"/>
      <c r="J88" s="423"/>
      <c r="K88" s="423"/>
      <c r="L88" s="423"/>
      <c r="M88" s="423"/>
      <c r="N88" s="423"/>
      <c r="O88" s="423"/>
      <c r="P88" s="423"/>
      <c r="Q88" s="423"/>
      <c r="R88" s="423"/>
      <c r="S88" s="423"/>
      <c r="T88" s="423"/>
      <c r="U88" s="423"/>
      <c r="V88" s="423"/>
      <c r="W88" s="423"/>
      <c r="X88" s="423"/>
      <c r="Y88" s="423"/>
      <c r="Z88" s="423"/>
    </row>
    <row r="89">
      <c r="A89" s="562">
        <v>87.0</v>
      </c>
      <c r="B89" s="563" t="s">
        <v>1674</v>
      </c>
      <c r="C89" s="563" t="s">
        <v>5269</v>
      </c>
      <c r="D89" s="562">
        <v>2.0</v>
      </c>
      <c r="E89" s="562">
        <v>0.0</v>
      </c>
      <c r="F89" s="562">
        <v>0.0</v>
      </c>
      <c r="G89" s="562">
        <v>6.0</v>
      </c>
      <c r="H89" s="562">
        <v>0.0</v>
      </c>
      <c r="I89" s="423"/>
      <c r="J89" s="423"/>
      <c r="K89" s="423"/>
      <c r="L89" s="423"/>
      <c r="M89" s="423"/>
      <c r="N89" s="423"/>
      <c r="O89" s="423"/>
      <c r="P89" s="423"/>
      <c r="Q89" s="423"/>
      <c r="R89" s="423"/>
      <c r="S89" s="423"/>
      <c r="T89" s="423"/>
      <c r="U89" s="423"/>
      <c r="V89" s="423"/>
      <c r="W89" s="423"/>
      <c r="X89" s="423"/>
      <c r="Y89" s="423"/>
      <c r="Z89" s="423"/>
    </row>
    <row r="90">
      <c r="A90" s="564">
        <v>88.0</v>
      </c>
      <c r="B90" s="565" t="s">
        <v>1675</v>
      </c>
      <c r="C90" s="565" t="s">
        <v>5269</v>
      </c>
      <c r="D90" s="564">
        <v>3.0</v>
      </c>
      <c r="E90" s="564">
        <v>0.0</v>
      </c>
      <c r="F90" s="564">
        <v>0.0</v>
      </c>
      <c r="G90" s="564">
        <v>5.0</v>
      </c>
      <c r="H90" s="564">
        <v>0.0</v>
      </c>
      <c r="I90" s="423"/>
      <c r="J90" s="423"/>
      <c r="K90" s="423"/>
      <c r="L90" s="423"/>
      <c r="M90" s="423"/>
      <c r="N90" s="423"/>
      <c r="O90" s="423"/>
      <c r="P90" s="423"/>
      <c r="Q90" s="423"/>
      <c r="R90" s="423"/>
      <c r="S90" s="423"/>
      <c r="T90" s="423"/>
      <c r="U90" s="423"/>
      <c r="V90" s="423"/>
      <c r="W90" s="423"/>
      <c r="X90" s="423"/>
      <c r="Y90" s="423"/>
      <c r="Z90" s="423"/>
    </row>
    <row r="91">
      <c r="A91" s="562">
        <v>89.0</v>
      </c>
      <c r="B91" s="563" t="s">
        <v>1676</v>
      </c>
      <c r="C91" s="563" t="s">
        <v>5269</v>
      </c>
      <c r="D91" s="562">
        <v>0.0</v>
      </c>
      <c r="E91" s="562">
        <v>0.0</v>
      </c>
      <c r="F91" s="562">
        <v>0.0</v>
      </c>
      <c r="G91" s="562">
        <v>8.0</v>
      </c>
      <c r="H91" s="562">
        <v>0.0</v>
      </c>
      <c r="I91" s="423"/>
      <c r="J91" s="423"/>
      <c r="K91" s="423"/>
      <c r="L91" s="423"/>
      <c r="M91" s="423"/>
      <c r="N91" s="423"/>
      <c r="O91" s="423"/>
      <c r="P91" s="423"/>
      <c r="Q91" s="423"/>
      <c r="R91" s="423"/>
      <c r="S91" s="423"/>
      <c r="T91" s="423"/>
      <c r="U91" s="423"/>
      <c r="V91" s="423"/>
      <c r="W91" s="423"/>
      <c r="X91" s="423"/>
      <c r="Y91" s="423"/>
      <c r="Z91" s="423"/>
    </row>
    <row r="92">
      <c r="A92" s="564">
        <v>90.0</v>
      </c>
      <c r="B92" s="565" t="s">
        <v>1677</v>
      </c>
      <c r="C92" s="565" t="s">
        <v>5269</v>
      </c>
      <c r="D92" s="564">
        <v>2.0</v>
      </c>
      <c r="E92" s="564">
        <v>0.0</v>
      </c>
      <c r="F92" s="564">
        <v>0.0</v>
      </c>
      <c r="G92" s="564">
        <v>6.0</v>
      </c>
      <c r="H92" s="564">
        <v>0.0</v>
      </c>
      <c r="I92" s="423"/>
      <c r="J92" s="423"/>
      <c r="K92" s="423"/>
      <c r="L92" s="423"/>
      <c r="M92" s="423"/>
      <c r="N92" s="423"/>
      <c r="O92" s="423"/>
      <c r="P92" s="423"/>
      <c r="Q92" s="423"/>
      <c r="R92" s="423"/>
      <c r="S92" s="423"/>
      <c r="T92" s="423"/>
      <c r="U92" s="423"/>
      <c r="V92" s="423"/>
      <c r="W92" s="423"/>
      <c r="X92" s="423"/>
      <c r="Y92" s="423"/>
      <c r="Z92" s="423"/>
    </row>
    <row r="93">
      <c r="A93" s="562">
        <v>91.0</v>
      </c>
      <c r="B93" s="563" t="s">
        <v>1678</v>
      </c>
      <c r="C93" s="563" t="s">
        <v>5269</v>
      </c>
      <c r="D93" s="562">
        <v>2.0</v>
      </c>
      <c r="E93" s="562">
        <v>0.0</v>
      </c>
      <c r="F93" s="562">
        <v>0.0</v>
      </c>
      <c r="G93" s="562">
        <v>6.0</v>
      </c>
      <c r="H93" s="562">
        <v>0.0</v>
      </c>
      <c r="I93" s="423"/>
      <c r="J93" s="423"/>
      <c r="K93" s="423"/>
      <c r="L93" s="423"/>
      <c r="M93" s="423"/>
      <c r="N93" s="423"/>
      <c r="O93" s="423"/>
      <c r="P93" s="423"/>
      <c r="Q93" s="423"/>
      <c r="R93" s="423"/>
      <c r="S93" s="423"/>
      <c r="T93" s="423"/>
      <c r="U93" s="423"/>
      <c r="V93" s="423"/>
      <c r="W93" s="423"/>
      <c r="X93" s="423"/>
      <c r="Y93" s="423"/>
      <c r="Z93" s="423"/>
    </row>
    <row r="94">
      <c r="A94" s="564">
        <v>92.0</v>
      </c>
      <c r="B94" s="565" t="s">
        <v>1679</v>
      </c>
      <c r="C94" s="565" t="s">
        <v>5269</v>
      </c>
      <c r="D94" s="564">
        <v>0.0</v>
      </c>
      <c r="E94" s="564">
        <v>0.0</v>
      </c>
      <c r="F94" s="564">
        <v>0.0</v>
      </c>
      <c r="G94" s="564">
        <v>8.0</v>
      </c>
      <c r="H94" s="564">
        <v>0.0</v>
      </c>
      <c r="I94" s="423"/>
      <c r="J94" s="423"/>
      <c r="K94" s="423"/>
      <c r="L94" s="423"/>
      <c r="M94" s="423"/>
      <c r="N94" s="423"/>
      <c r="O94" s="423"/>
      <c r="P94" s="423"/>
      <c r="Q94" s="423"/>
      <c r="R94" s="423"/>
      <c r="S94" s="423"/>
      <c r="T94" s="423"/>
      <c r="U94" s="423"/>
      <c r="V94" s="423"/>
      <c r="W94" s="423"/>
      <c r="X94" s="423"/>
      <c r="Y94" s="423"/>
      <c r="Z94" s="423"/>
    </row>
    <row r="95">
      <c r="A95" s="562">
        <v>93.0</v>
      </c>
      <c r="B95" s="563" t="s">
        <v>1680</v>
      </c>
      <c r="C95" s="563" t="s">
        <v>5269</v>
      </c>
      <c r="D95" s="562">
        <v>0.0</v>
      </c>
      <c r="E95" s="562">
        <v>0.0</v>
      </c>
      <c r="F95" s="562">
        <v>0.0</v>
      </c>
      <c r="G95" s="562">
        <v>8.0</v>
      </c>
      <c r="H95" s="562">
        <v>0.0</v>
      </c>
      <c r="I95" s="423"/>
      <c r="J95" s="423"/>
      <c r="K95" s="423"/>
      <c r="L95" s="423"/>
      <c r="M95" s="423"/>
      <c r="N95" s="423"/>
      <c r="O95" s="423"/>
      <c r="P95" s="423"/>
      <c r="Q95" s="423"/>
      <c r="R95" s="423"/>
      <c r="S95" s="423"/>
      <c r="T95" s="423"/>
      <c r="U95" s="423"/>
      <c r="V95" s="423"/>
      <c r="W95" s="423"/>
      <c r="X95" s="423"/>
      <c r="Y95" s="423"/>
      <c r="Z95" s="423"/>
    </row>
    <row r="96">
      <c r="A96" s="564">
        <v>94.0</v>
      </c>
      <c r="B96" s="565" t="s">
        <v>1681</v>
      </c>
      <c r="C96" s="565" t="s">
        <v>5269</v>
      </c>
      <c r="D96" s="564">
        <v>4.0</v>
      </c>
      <c r="E96" s="564">
        <v>0.0</v>
      </c>
      <c r="F96" s="564">
        <v>0.0</v>
      </c>
      <c r="G96" s="564">
        <v>4.0</v>
      </c>
      <c r="H96" s="564">
        <v>0.0</v>
      </c>
      <c r="I96" s="423"/>
      <c r="J96" s="423"/>
      <c r="K96" s="423"/>
      <c r="L96" s="423"/>
      <c r="M96" s="423"/>
      <c r="N96" s="423"/>
      <c r="O96" s="423"/>
      <c r="P96" s="423"/>
      <c r="Q96" s="423"/>
      <c r="R96" s="423"/>
      <c r="S96" s="423"/>
      <c r="T96" s="423"/>
      <c r="U96" s="423"/>
      <c r="V96" s="423"/>
      <c r="W96" s="423"/>
      <c r="X96" s="423"/>
      <c r="Y96" s="423"/>
      <c r="Z96" s="423"/>
    </row>
    <row r="97">
      <c r="A97" s="562">
        <v>95.0</v>
      </c>
      <c r="B97" s="563" t="s">
        <v>1682</v>
      </c>
      <c r="C97" s="563" t="s">
        <v>5269</v>
      </c>
      <c r="D97" s="562">
        <v>2.0</v>
      </c>
      <c r="E97" s="562">
        <v>0.0</v>
      </c>
      <c r="F97" s="562">
        <v>0.0</v>
      </c>
      <c r="G97" s="562">
        <v>6.0</v>
      </c>
      <c r="H97" s="562">
        <v>0.0</v>
      </c>
      <c r="I97" s="423"/>
      <c r="J97" s="423"/>
      <c r="K97" s="423"/>
      <c r="L97" s="423"/>
      <c r="M97" s="423"/>
      <c r="N97" s="423"/>
      <c r="O97" s="423"/>
      <c r="P97" s="423"/>
      <c r="Q97" s="423"/>
      <c r="R97" s="423"/>
      <c r="S97" s="423"/>
      <c r="T97" s="423"/>
      <c r="U97" s="423"/>
      <c r="V97" s="423"/>
      <c r="W97" s="423"/>
      <c r="X97" s="423"/>
      <c r="Y97" s="423"/>
      <c r="Z97" s="423"/>
    </row>
    <row r="98">
      <c r="A98" s="564">
        <v>96.0</v>
      </c>
      <c r="B98" s="565" t="s">
        <v>1683</v>
      </c>
      <c r="C98" s="565" t="s">
        <v>5273</v>
      </c>
      <c r="D98" s="564">
        <v>1.0</v>
      </c>
      <c r="E98" s="564">
        <v>0.0</v>
      </c>
      <c r="F98" s="564">
        <v>0.0</v>
      </c>
      <c r="G98" s="564">
        <v>7.0</v>
      </c>
      <c r="H98" s="564">
        <v>0.0</v>
      </c>
      <c r="I98" s="423"/>
      <c r="J98" s="423"/>
      <c r="K98" s="423"/>
      <c r="L98" s="423"/>
      <c r="M98" s="423"/>
      <c r="N98" s="423"/>
      <c r="O98" s="423"/>
      <c r="P98" s="423"/>
      <c r="Q98" s="423"/>
      <c r="R98" s="423"/>
      <c r="S98" s="423"/>
      <c r="T98" s="423"/>
      <c r="U98" s="423"/>
      <c r="V98" s="423"/>
      <c r="W98" s="423"/>
      <c r="X98" s="423"/>
      <c r="Y98" s="423"/>
      <c r="Z98" s="423"/>
    </row>
    <row r="99">
      <c r="A99" s="562">
        <v>97.0</v>
      </c>
      <c r="B99" s="563" t="s">
        <v>1685</v>
      </c>
      <c r="C99" s="563" t="s">
        <v>5273</v>
      </c>
      <c r="D99" s="562">
        <v>0.0</v>
      </c>
      <c r="E99" s="562">
        <v>0.0</v>
      </c>
      <c r="F99" s="562">
        <v>0.0</v>
      </c>
      <c r="G99" s="562">
        <v>8.0</v>
      </c>
      <c r="H99" s="562">
        <v>0.0</v>
      </c>
      <c r="I99" s="423"/>
      <c r="J99" s="423"/>
      <c r="K99" s="423"/>
      <c r="L99" s="423"/>
      <c r="M99" s="423"/>
      <c r="N99" s="423"/>
      <c r="O99" s="423"/>
      <c r="P99" s="423"/>
      <c r="Q99" s="423"/>
      <c r="R99" s="423"/>
      <c r="S99" s="423"/>
      <c r="T99" s="423"/>
      <c r="U99" s="423"/>
      <c r="V99" s="423"/>
      <c r="W99" s="423"/>
      <c r="X99" s="423"/>
      <c r="Y99" s="423"/>
      <c r="Z99" s="423"/>
    </row>
    <row r="100">
      <c r="A100" s="564">
        <v>98.0</v>
      </c>
      <c r="B100" s="565" t="s">
        <v>1686</v>
      </c>
      <c r="C100" s="565" t="s">
        <v>5273</v>
      </c>
      <c r="D100" s="564">
        <v>0.0</v>
      </c>
      <c r="E100" s="564">
        <v>0.0</v>
      </c>
      <c r="F100" s="564">
        <v>0.0</v>
      </c>
      <c r="G100" s="564">
        <v>8.0</v>
      </c>
      <c r="H100" s="564">
        <v>0.0</v>
      </c>
      <c r="I100" s="423"/>
      <c r="J100" s="423"/>
      <c r="K100" s="423"/>
      <c r="L100" s="423"/>
      <c r="M100" s="423"/>
      <c r="N100" s="423"/>
      <c r="O100" s="423"/>
      <c r="P100" s="423"/>
      <c r="Q100" s="423"/>
      <c r="R100" s="423"/>
      <c r="S100" s="423"/>
      <c r="T100" s="423"/>
      <c r="U100" s="423"/>
      <c r="V100" s="423"/>
      <c r="W100" s="423"/>
      <c r="X100" s="423"/>
      <c r="Y100" s="423"/>
      <c r="Z100" s="423"/>
    </row>
    <row r="101">
      <c r="A101" s="562">
        <v>99.0</v>
      </c>
      <c r="B101" s="563" t="s">
        <v>1687</v>
      </c>
      <c r="C101" s="563" t="s">
        <v>5273</v>
      </c>
      <c r="D101" s="562">
        <v>1.0</v>
      </c>
      <c r="E101" s="562">
        <v>0.0</v>
      </c>
      <c r="F101" s="562">
        <v>0.0</v>
      </c>
      <c r="G101" s="562">
        <v>7.0</v>
      </c>
      <c r="H101" s="562">
        <v>0.0</v>
      </c>
      <c r="I101" s="423"/>
      <c r="J101" s="423"/>
      <c r="K101" s="423"/>
      <c r="L101" s="423"/>
      <c r="M101" s="423"/>
      <c r="N101" s="423"/>
      <c r="O101" s="423"/>
      <c r="P101" s="423"/>
      <c r="Q101" s="423"/>
      <c r="R101" s="423"/>
      <c r="S101" s="423"/>
      <c r="T101" s="423"/>
      <c r="U101" s="423"/>
      <c r="V101" s="423"/>
      <c r="W101" s="423"/>
      <c r="X101" s="423"/>
      <c r="Y101" s="423"/>
      <c r="Z101" s="423"/>
    </row>
    <row r="102">
      <c r="A102" s="564">
        <v>100.0</v>
      </c>
      <c r="B102" s="565" t="s">
        <v>1688</v>
      </c>
      <c r="C102" s="565" t="s">
        <v>5273</v>
      </c>
      <c r="D102" s="564">
        <v>0.0</v>
      </c>
      <c r="E102" s="564">
        <v>0.0</v>
      </c>
      <c r="F102" s="564">
        <v>0.0</v>
      </c>
      <c r="G102" s="564">
        <v>8.0</v>
      </c>
      <c r="H102" s="564">
        <v>0.0</v>
      </c>
      <c r="I102" s="423"/>
      <c r="J102" s="423"/>
      <c r="K102" s="423"/>
      <c r="L102" s="423"/>
      <c r="M102" s="423"/>
      <c r="N102" s="423"/>
      <c r="O102" s="423"/>
      <c r="P102" s="423"/>
      <c r="Q102" s="423"/>
      <c r="R102" s="423"/>
      <c r="S102" s="423"/>
      <c r="T102" s="423"/>
      <c r="U102" s="423"/>
      <c r="V102" s="423"/>
      <c r="W102" s="423"/>
      <c r="X102" s="423"/>
      <c r="Y102" s="423"/>
      <c r="Z102" s="423"/>
    </row>
    <row r="103">
      <c r="A103" s="562">
        <v>101.0</v>
      </c>
      <c r="B103" s="563" t="s">
        <v>1689</v>
      </c>
      <c r="C103" s="563" t="s">
        <v>5273</v>
      </c>
      <c r="D103" s="562">
        <v>1.0</v>
      </c>
      <c r="E103" s="562">
        <v>0.0</v>
      </c>
      <c r="F103" s="562">
        <v>0.0</v>
      </c>
      <c r="G103" s="562">
        <v>7.0</v>
      </c>
      <c r="H103" s="562">
        <v>0.0</v>
      </c>
      <c r="I103" s="423"/>
      <c r="J103" s="423"/>
      <c r="K103" s="423"/>
      <c r="L103" s="423"/>
      <c r="M103" s="423"/>
      <c r="N103" s="423"/>
      <c r="O103" s="423"/>
      <c r="P103" s="423"/>
      <c r="Q103" s="423"/>
      <c r="R103" s="423"/>
      <c r="S103" s="423"/>
      <c r="T103" s="423"/>
      <c r="U103" s="423"/>
      <c r="V103" s="423"/>
      <c r="W103" s="423"/>
      <c r="X103" s="423"/>
      <c r="Y103" s="423"/>
      <c r="Z103" s="423"/>
    </row>
    <row r="104">
      <c r="A104" s="564">
        <v>102.0</v>
      </c>
      <c r="B104" s="565" t="s">
        <v>1690</v>
      </c>
      <c r="C104" s="565" t="s">
        <v>5273</v>
      </c>
      <c r="D104" s="564">
        <v>1.0</v>
      </c>
      <c r="E104" s="564">
        <v>0.0</v>
      </c>
      <c r="F104" s="564">
        <v>0.0</v>
      </c>
      <c r="G104" s="564">
        <v>7.0</v>
      </c>
      <c r="H104" s="564">
        <v>0.0</v>
      </c>
      <c r="I104" s="423"/>
      <c r="J104" s="423"/>
      <c r="K104" s="423"/>
      <c r="L104" s="423"/>
      <c r="M104" s="423"/>
      <c r="N104" s="423"/>
      <c r="O104" s="423"/>
      <c r="P104" s="423"/>
      <c r="Q104" s="423"/>
      <c r="R104" s="423"/>
      <c r="S104" s="423"/>
      <c r="T104" s="423"/>
      <c r="U104" s="423"/>
      <c r="V104" s="423"/>
      <c r="W104" s="423"/>
      <c r="X104" s="423"/>
      <c r="Y104" s="423"/>
      <c r="Z104" s="423"/>
    </row>
    <row r="105">
      <c r="A105" s="562">
        <v>103.0</v>
      </c>
      <c r="B105" s="563" t="s">
        <v>1691</v>
      </c>
      <c r="C105" s="563" t="s">
        <v>5273</v>
      </c>
      <c r="D105" s="562">
        <v>1.0</v>
      </c>
      <c r="E105" s="562">
        <v>0.0</v>
      </c>
      <c r="F105" s="562">
        <v>0.0</v>
      </c>
      <c r="G105" s="562">
        <v>7.0</v>
      </c>
      <c r="H105" s="562">
        <v>0.0</v>
      </c>
      <c r="I105" s="423"/>
      <c r="J105" s="423"/>
      <c r="K105" s="423"/>
      <c r="L105" s="423"/>
      <c r="M105" s="423"/>
      <c r="N105" s="423"/>
      <c r="O105" s="423"/>
      <c r="P105" s="423"/>
      <c r="Q105" s="423"/>
      <c r="R105" s="423"/>
      <c r="S105" s="423"/>
      <c r="T105" s="423"/>
      <c r="U105" s="423"/>
      <c r="V105" s="423"/>
      <c r="W105" s="423"/>
      <c r="X105" s="423"/>
      <c r="Y105" s="423"/>
      <c r="Z105" s="423"/>
    </row>
    <row r="106">
      <c r="A106" s="564">
        <v>104.0</v>
      </c>
      <c r="B106" s="565" t="s">
        <v>1692</v>
      </c>
      <c r="C106" s="565" t="s">
        <v>5273</v>
      </c>
      <c r="D106" s="564">
        <v>0.0</v>
      </c>
      <c r="E106" s="564">
        <v>0.0</v>
      </c>
      <c r="F106" s="564">
        <v>0.0</v>
      </c>
      <c r="G106" s="564">
        <v>8.0</v>
      </c>
      <c r="H106" s="564">
        <v>0.0</v>
      </c>
      <c r="I106" s="423"/>
      <c r="J106" s="423"/>
      <c r="K106" s="423"/>
      <c r="L106" s="423"/>
      <c r="M106" s="423"/>
      <c r="N106" s="423"/>
      <c r="O106" s="423"/>
      <c r="P106" s="423"/>
      <c r="Q106" s="423"/>
      <c r="R106" s="423"/>
      <c r="S106" s="423"/>
      <c r="T106" s="423"/>
      <c r="U106" s="423"/>
      <c r="V106" s="423"/>
      <c r="W106" s="423"/>
      <c r="X106" s="423"/>
      <c r="Y106" s="423"/>
      <c r="Z106" s="423"/>
    </row>
    <row r="107">
      <c r="A107" s="562">
        <v>105.0</v>
      </c>
      <c r="B107" s="563" t="s">
        <v>1693</v>
      </c>
      <c r="C107" s="563" t="s">
        <v>5273</v>
      </c>
      <c r="D107" s="562">
        <v>1.0</v>
      </c>
      <c r="E107" s="562">
        <v>0.0</v>
      </c>
      <c r="F107" s="562">
        <v>0.0</v>
      </c>
      <c r="G107" s="562">
        <v>7.0</v>
      </c>
      <c r="H107" s="562">
        <v>0.0</v>
      </c>
      <c r="I107" s="423"/>
      <c r="J107" s="423"/>
      <c r="K107" s="423"/>
      <c r="L107" s="423"/>
      <c r="M107" s="423"/>
      <c r="N107" s="423"/>
      <c r="O107" s="423"/>
      <c r="P107" s="423"/>
      <c r="Q107" s="423"/>
      <c r="R107" s="423"/>
      <c r="S107" s="423"/>
      <c r="T107" s="423"/>
      <c r="U107" s="423"/>
      <c r="V107" s="423"/>
      <c r="W107" s="423"/>
      <c r="X107" s="423"/>
      <c r="Y107" s="423"/>
      <c r="Z107" s="423"/>
    </row>
    <row r="108">
      <c r="A108" s="564">
        <v>106.0</v>
      </c>
      <c r="B108" s="565" t="s">
        <v>1694</v>
      </c>
      <c r="C108" s="565" t="s">
        <v>5273</v>
      </c>
      <c r="D108" s="564">
        <v>1.0</v>
      </c>
      <c r="E108" s="564">
        <v>0.0</v>
      </c>
      <c r="F108" s="564">
        <v>0.0</v>
      </c>
      <c r="G108" s="564">
        <v>7.0</v>
      </c>
      <c r="H108" s="564">
        <v>0.0</v>
      </c>
      <c r="I108" s="423"/>
      <c r="J108" s="423"/>
      <c r="K108" s="423"/>
      <c r="L108" s="423"/>
      <c r="M108" s="423"/>
      <c r="N108" s="423"/>
      <c r="O108" s="423"/>
      <c r="P108" s="423"/>
      <c r="Q108" s="423"/>
      <c r="R108" s="423"/>
      <c r="S108" s="423"/>
      <c r="T108" s="423"/>
      <c r="U108" s="423"/>
      <c r="V108" s="423"/>
      <c r="W108" s="423"/>
      <c r="X108" s="423"/>
      <c r="Y108" s="423"/>
      <c r="Z108" s="423"/>
    </row>
    <row r="109">
      <c r="A109" s="562">
        <v>107.0</v>
      </c>
      <c r="B109" s="563" t="s">
        <v>1695</v>
      </c>
      <c r="C109" s="563" t="s">
        <v>5273</v>
      </c>
      <c r="D109" s="562">
        <v>3.0</v>
      </c>
      <c r="E109" s="562">
        <v>0.0</v>
      </c>
      <c r="F109" s="562">
        <v>0.0</v>
      </c>
      <c r="G109" s="562">
        <v>5.0</v>
      </c>
      <c r="H109" s="562">
        <v>0.0</v>
      </c>
      <c r="I109" s="423"/>
      <c r="J109" s="423"/>
      <c r="K109" s="423"/>
      <c r="L109" s="423"/>
      <c r="M109" s="423"/>
      <c r="N109" s="423"/>
      <c r="O109" s="423"/>
      <c r="P109" s="423"/>
      <c r="Q109" s="423"/>
      <c r="R109" s="423"/>
      <c r="S109" s="423"/>
      <c r="T109" s="423"/>
      <c r="U109" s="423"/>
      <c r="V109" s="423"/>
      <c r="W109" s="423"/>
      <c r="X109" s="423"/>
      <c r="Y109" s="423"/>
      <c r="Z109" s="423"/>
    </row>
    <row r="110">
      <c r="A110" s="564">
        <v>108.0</v>
      </c>
      <c r="B110" s="565" t="s">
        <v>1696</v>
      </c>
      <c r="C110" s="565" t="s">
        <v>5273</v>
      </c>
      <c r="D110" s="564">
        <v>2.0</v>
      </c>
      <c r="E110" s="564">
        <v>0.0</v>
      </c>
      <c r="F110" s="564">
        <v>0.0</v>
      </c>
      <c r="G110" s="564">
        <v>6.0</v>
      </c>
      <c r="H110" s="564">
        <v>0.0</v>
      </c>
      <c r="I110" s="423"/>
      <c r="J110" s="423"/>
      <c r="K110" s="423"/>
      <c r="L110" s="423"/>
      <c r="M110" s="423"/>
      <c r="N110" s="423"/>
      <c r="O110" s="423"/>
      <c r="P110" s="423"/>
      <c r="Q110" s="423"/>
      <c r="R110" s="423"/>
      <c r="S110" s="423"/>
      <c r="T110" s="423"/>
      <c r="U110" s="423"/>
      <c r="V110" s="423"/>
      <c r="W110" s="423"/>
      <c r="X110" s="423"/>
      <c r="Y110" s="423"/>
      <c r="Z110" s="423"/>
    </row>
    <row r="111">
      <c r="A111" s="562">
        <v>109.0</v>
      </c>
      <c r="B111" s="563" t="s">
        <v>1697</v>
      </c>
      <c r="C111" s="563" t="s">
        <v>5273</v>
      </c>
      <c r="D111" s="562">
        <v>1.0</v>
      </c>
      <c r="E111" s="562">
        <v>0.0</v>
      </c>
      <c r="F111" s="562">
        <v>0.0</v>
      </c>
      <c r="G111" s="562">
        <v>7.0</v>
      </c>
      <c r="H111" s="562">
        <v>0.0</v>
      </c>
      <c r="I111" s="423"/>
      <c r="J111" s="423"/>
      <c r="K111" s="423"/>
      <c r="L111" s="423"/>
      <c r="M111" s="423"/>
      <c r="N111" s="423"/>
      <c r="O111" s="423"/>
      <c r="P111" s="423"/>
      <c r="Q111" s="423"/>
      <c r="R111" s="423"/>
      <c r="S111" s="423"/>
      <c r="T111" s="423"/>
      <c r="U111" s="423"/>
      <c r="V111" s="423"/>
      <c r="W111" s="423"/>
      <c r="X111" s="423"/>
      <c r="Y111" s="423"/>
      <c r="Z111" s="423"/>
    </row>
    <row r="112">
      <c r="A112" s="564">
        <v>110.0</v>
      </c>
      <c r="B112" s="565" t="s">
        <v>1698</v>
      </c>
      <c r="C112" s="565" t="s">
        <v>5273</v>
      </c>
      <c r="D112" s="564">
        <v>1.0</v>
      </c>
      <c r="E112" s="564">
        <v>0.0</v>
      </c>
      <c r="F112" s="564">
        <v>0.0</v>
      </c>
      <c r="G112" s="564">
        <v>7.0</v>
      </c>
      <c r="H112" s="564">
        <v>0.0</v>
      </c>
      <c r="I112" s="423"/>
      <c r="J112" s="423"/>
      <c r="K112" s="423"/>
      <c r="L112" s="423"/>
      <c r="M112" s="423"/>
      <c r="N112" s="423"/>
      <c r="O112" s="423"/>
      <c r="P112" s="423"/>
      <c r="Q112" s="423"/>
      <c r="R112" s="423"/>
      <c r="S112" s="423"/>
      <c r="T112" s="423"/>
      <c r="U112" s="423"/>
      <c r="V112" s="423"/>
      <c r="W112" s="423"/>
      <c r="X112" s="423"/>
      <c r="Y112" s="423"/>
      <c r="Z112" s="423"/>
    </row>
    <row r="113">
      <c r="A113" s="562">
        <v>111.0</v>
      </c>
      <c r="B113" s="563" t="s">
        <v>1699</v>
      </c>
      <c r="C113" s="563" t="s">
        <v>5273</v>
      </c>
      <c r="D113" s="562">
        <v>0.0</v>
      </c>
      <c r="E113" s="562">
        <v>0.0</v>
      </c>
      <c r="F113" s="562">
        <v>0.0</v>
      </c>
      <c r="G113" s="562">
        <v>8.0</v>
      </c>
      <c r="H113" s="562">
        <v>0.0</v>
      </c>
      <c r="I113" s="423"/>
      <c r="J113" s="423"/>
      <c r="K113" s="423"/>
      <c r="L113" s="423"/>
      <c r="M113" s="423"/>
      <c r="N113" s="423"/>
      <c r="O113" s="423"/>
      <c r="P113" s="423"/>
      <c r="Q113" s="423"/>
      <c r="R113" s="423"/>
      <c r="S113" s="423"/>
      <c r="T113" s="423"/>
      <c r="U113" s="423"/>
      <c r="V113" s="423"/>
      <c r="W113" s="423"/>
      <c r="X113" s="423"/>
      <c r="Y113" s="423"/>
      <c r="Z113" s="423"/>
    </row>
    <row r="114">
      <c r="A114" s="564">
        <v>112.0</v>
      </c>
      <c r="B114" s="565" t="s">
        <v>1700</v>
      </c>
      <c r="C114" s="565" t="s">
        <v>5273</v>
      </c>
      <c r="D114" s="564">
        <v>1.0</v>
      </c>
      <c r="E114" s="564">
        <v>0.0</v>
      </c>
      <c r="F114" s="564">
        <v>0.0</v>
      </c>
      <c r="G114" s="564">
        <v>7.0</v>
      </c>
      <c r="H114" s="564">
        <v>0.0</v>
      </c>
      <c r="I114" s="423"/>
      <c r="J114" s="423"/>
      <c r="K114" s="423"/>
      <c r="L114" s="423"/>
      <c r="M114" s="423"/>
      <c r="N114" s="423"/>
      <c r="O114" s="423"/>
      <c r="P114" s="423"/>
      <c r="Q114" s="423"/>
      <c r="R114" s="423"/>
      <c r="S114" s="423"/>
      <c r="T114" s="423"/>
      <c r="U114" s="423"/>
      <c r="V114" s="423"/>
      <c r="W114" s="423"/>
      <c r="X114" s="423"/>
      <c r="Y114" s="423"/>
      <c r="Z114" s="423"/>
    </row>
    <row r="115">
      <c r="A115" s="562">
        <v>113.0</v>
      </c>
      <c r="B115" s="563" t="s">
        <v>5615</v>
      </c>
      <c r="C115" s="563" t="s">
        <v>5273</v>
      </c>
      <c r="D115" s="562">
        <v>0.0</v>
      </c>
      <c r="E115" s="562">
        <v>0.0</v>
      </c>
      <c r="F115" s="562">
        <v>0.0</v>
      </c>
      <c r="G115" s="562">
        <v>8.0</v>
      </c>
      <c r="H115" s="562">
        <v>0.0</v>
      </c>
      <c r="I115" s="423"/>
      <c r="J115" s="423"/>
      <c r="K115" s="423"/>
      <c r="L115" s="423"/>
      <c r="M115" s="423"/>
      <c r="N115" s="423"/>
      <c r="O115" s="423"/>
      <c r="P115" s="423"/>
      <c r="Q115" s="423"/>
      <c r="R115" s="423"/>
      <c r="S115" s="423"/>
      <c r="T115" s="423"/>
      <c r="U115" s="423"/>
      <c r="V115" s="423"/>
      <c r="W115" s="423"/>
      <c r="X115" s="423"/>
      <c r="Y115" s="423"/>
      <c r="Z115" s="423"/>
    </row>
    <row r="116">
      <c r="A116" s="564">
        <v>114.0</v>
      </c>
      <c r="B116" s="565" t="s">
        <v>1702</v>
      </c>
      <c r="C116" s="565" t="s">
        <v>5273</v>
      </c>
      <c r="D116" s="564">
        <v>1.0</v>
      </c>
      <c r="E116" s="564">
        <v>0.0</v>
      </c>
      <c r="F116" s="564">
        <v>0.0</v>
      </c>
      <c r="G116" s="564">
        <v>7.0</v>
      </c>
      <c r="H116" s="564">
        <v>0.0</v>
      </c>
      <c r="I116" s="423"/>
      <c r="J116" s="423"/>
      <c r="K116" s="423"/>
      <c r="L116" s="423"/>
      <c r="M116" s="423"/>
      <c r="N116" s="423"/>
      <c r="O116" s="423"/>
      <c r="P116" s="423"/>
      <c r="Q116" s="423"/>
      <c r="R116" s="423"/>
      <c r="S116" s="423"/>
      <c r="T116" s="423"/>
      <c r="U116" s="423"/>
      <c r="V116" s="423"/>
      <c r="W116" s="423"/>
      <c r="X116" s="423"/>
      <c r="Y116" s="423"/>
      <c r="Z116" s="423"/>
    </row>
    <row r="117">
      <c r="A117" s="562">
        <v>115.0</v>
      </c>
      <c r="B117" s="563" t="s">
        <v>1703</v>
      </c>
      <c r="C117" s="563" t="s">
        <v>5273</v>
      </c>
      <c r="D117" s="562">
        <v>1.0</v>
      </c>
      <c r="E117" s="562">
        <v>0.0</v>
      </c>
      <c r="F117" s="562">
        <v>0.0</v>
      </c>
      <c r="G117" s="562">
        <v>7.0</v>
      </c>
      <c r="H117" s="562">
        <v>0.0</v>
      </c>
      <c r="I117" s="423"/>
      <c r="J117" s="423"/>
      <c r="K117" s="423"/>
      <c r="L117" s="423"/>
      <c r="M117" s="423"/>
      <c r="N117" s="423"/>
      <c r="O117" s="423"/>
      <c r="P117" s="423"/>
      <c r="Q117" s="423"/>
      <c r="R117" s="423"/>
      <c r="S117" s="423"/>
      <c r="T117" s="423"/>
      <c r="U117" s="423"/>
      <c r="V117" s="423"/>
      <c r="W117" s="423"/>
      <c r="X117" s="423"/>
      <c r="Y117" s="423"/>
      <c r="Z117" s="423"/>
    </row>
    <row r="118">
      <c r="A118" s="564">
        <v>116.0</v>
      </c>
      <c r="B118" s="565" t="s">
        <v>1704</v>
      </c>
      <c r="C118" s="565" t="s">
        <v>5273</v>
      </c>
      <c r="D118" s="564">
        <v>1.0</v>
      </c>
      <c r="E118" s="564">
        <v>0.0</v>
      </c>
      <c r="F118" s="564">
        <v>0.0</v>
      </c>
      <c r="G118" s="564">
        <v>7.0</v>
      </c>
      <c r="H118" s="564">
        <v>0.0</v>
      </c>
      <c r="I118" s="423"/>
      <c r="J118" s="423"/>
      <c r="K118" s="423"/>
      <c r="L118" s="423"/>
      <c r="M118" s="423"/>
      <c r="N118" s="423"/>
      <c r="O118" s="423"/>
      <c r="P118" s="423"/>
      <c r="Q118" s="423"/>
      <c r="R118" s="423"/>
      <c r="S118" s="423"/>
      <c r="T118" s="423"/>
      <c r="U118" s="423"/>
      <c r="V118" s="423"/>
      <c r="W118" s="423"/>
      <c r="X118" s="423"/>
      <c r="Y118" s="423"/>
      <c r="Z118" s="423"/>
    </row>
    <row r="119">
      <c r="A119" s="562">
        <v>117.0</v>
      </c>
      <c r="B119" s="563" t="s">
        <v>1705</v>
      </c>
      <c r="C119" s="563" t="s">
        <v>5273</v>
      </c>
      <c r="D119" s="562">
        <v>1.0</v>
      </c>
      <c r="E119" s="562">
        <v>0.0</v>
      </c>
      <c r="F119" s="562">
        <v>0.0</v>
      </c>
      <c r="G119" s="562">
        <v>7.0</v>
      </c>
      <c r="H119" s="562">
        <v>0.0</v>
      </c>
      <c r="I119" s="423"/>
      <c r="J119" s="423"/>
      <c r="K119" s="423"/>
      <c r="L119" s="423"/>
      <c r="M119" s="423"/>
      <c r="N119" s="423"/>
      <c r="O119" s="423"/>
      <c r="P119" s="423"/>
      <c r="Q119" s="423"/>
      <c r="R119" s="423"/>
      <c r="S119" s="423"/>
      <c r="T119" s="423"/>
      <c r="U119" s="423"/>
      <c r="V119" s="423"/>
      <c r="W119" s="423"/>
      <c r="X119" s="423"/>
      <c r="Y119" s="423"/>
      <c r="Z119" s="423"/>
    </row>
    <row r="120">
      <c r="A120" s="564">
        <v>118.0</v>
      </c>
      <c r="B120" s="565" t="s">
        <v>1706</v>
      </c>
      <c r="C120" s="565" t="s">
        <v>5273</v>
      </c>
      <c r="D120" s="564">
        <v>0.0</v>
      </c>
      <c r="E120" s="564">
        <v>0.0</v>
      </c>
      <c r="F120" s="564">
        <v>0.0</v>
      </c>
      <c r="G120" s="564">
        <v>8.0</v>
      </c>
      <c r="H120" s="564">
        <v>0.0</v>
      </c>
      <c r="I120" s="423"/>
      <c r="J120" s="423"/>
      <c r="K120" s="423"/>
      <c r="L120" s="423"/>
      <c r="M120" s="423"/>
      <c r="N120" s="423"/>
      <c r="O120" s="423"/>
      <c r="P120" s="423"/>
      <c r="Q120" s="423"/>
      <c r="R120" s="423"/>
      <c r="S120" s="423"/>
      <c r="T120" s="423"/>
      <c r="U120" s="423"/>
      <c r="V120" s="423"/>
      <c r="W120" s="423"/>
      <c r="X120" s="423"/>
      <c r="Y120" s="423"/>
      <c r="Z120" s="423"/>
    </row>
    <row r="121">
      <c r="A121" s="562">
        <v>119.0</v>
      </c>
      <c r="B121" s="563" t="s">
        <v>1707</v>
      </c>
      <c r="C121" s="563" t="s">
        <v>5273</v>
      </c>
      <c r="D121" s="562">
        <v>3.0</v>
      </c>
      <c r="E121" s="562">
        <v>0.0</v>
      </c>
      <c r="F121" s="562">
        <v>0.0</v>
      </c>
      <c r="G121" s="562">
        <v>5.0</v>
      </c>
      <c r="H121" s="562">
        <v>0.0</v>
      </c>
      <c r="I121" s="423"/>
      <c r="J121" s="423"/>
      <c r="K121" s="423"/>
      <c r="L121" s="423"/>
      <c r="M121" s="423"/>
      <c r="N121" s="423"/>
      <c r="O121" s="423"/>
      <c r="P121" s="423"/>
      <c r="Q121" s="423"/>
      <c r="R121" s="423"/>
      <c r="S121" s="423"/>
      <c r="T121" s="423"/>
      <c r="U121" s="423"/>
      <c r="V121" s="423"/>
      <c r="W121" s="423"/>
      <c r="X121" s="423"/>
      <c r="Y121" s="423"/>
      <c r="Z121" s="423"/>
    </row>
    <row r="122">
      <c r="A122" s="564">
        <v>120.0</v>
      </c>
      <c r="B122" s="565" t="s">
        <v>1708</v>
      </c>
      <c r="C122" s="565" t="s">
        <v>5273</v>
      </c>
      <c r="D122" s="564">
        <v>0.0</v>
      </c>
      <c r="E122" s="564">
        <v>0.0</v>
      </c>
      <c r="F122" s="564">
        <v>0.0</v>
      </c>
      <c r="G122" s="564">
        <v>8.0</v>
      </c>
      <c r="H122" s="564">
        <v>0.0</v>
      </c>
      <c r="I122" s="423"/>
      <c r="J122" s="423"/>
      <c r="K122" s="423"/>
      <c r="L122" s="423"/>
      <c r="M122" s="423"/>
      <c r="N122" s="423"/>
      <c r="O122" s="423"/>
      <c r="P122" s="423"/>
      <c r="Q122" s="423"/>
      <c r="R122" s="423"/>
      <c r="S122" s="423"/>
      <c r="T122" s="423"/>
      <c r="U122" s="423"/>
      <c r="V122" s="423"/>
      <c r="W122" s="423"/>
      <c r="X122" s="423"/>
      <c r="Y122" s="423"/>
      <c r="Z122" s="423"/>
    </row>
    <row r="123">
      <c r="A123" s="562">
        <v>121.0</v>
      </c>
      <c r="B123" s="563" t="s">
        <v>1709</v>
      </c>
      <c r="C123" s="563" t="s">
        <v>5273</v>
      </c>
      <c r="D123" s="562">
        <v>1.0</v>
      </c>
      <c r="E123" s="562">
        <v>0.0</v>
      </c>
      <c r="F123" s="562">
        <v>0.0</v>
      </c>
      <c r="G123" s="562">
        <v>7.0</v>
      </c>
      <c r="H123" s="562">
        <v>0.0</v>
      </c>
      <c r="I123" s="423"/>
      <c r="J123" s="423"/>
      <c r="K123" s="423"/>
      <c r="L123" s="423"/>
      <c r="M123" s="423"/>
      <c r="N123" s="423"/>
      <c r="O123" s="423"/>
      <c r="P123" s="423"/>
      <c r="Q123" s="423"/>
      <c r="R123" s="423"/>
      <c r="S123" s="423"/>
      <c r="T123" s="423"/>
      <c r="U123" s="423"/>
      <c r="V123" s="423"/>
      <c r="W123" s="423"/>
      <c r="X123" s="423"/>
      <c r="Y123" s="423"/>
      <c r="Z123" s="423"/>
    </row>
    <row r="124">
      <c r="A124" s="564">
        <v>122.0</v>
      </c>
      <c r="B124" s="565" t="s">
        <v>1710</v>
      </c>
      <c r="C124" s="565" t="s">
        <v>5273</v>
      </c>
      <c r="D124" s="564">
        <v>2.0</v>
      </c>
      <c r="E124" s="564">
        <v>0.0</v>
      </c>
      <c r="F124" s="564">
        <v>0.0</v>
      </c>
      <c r="G124" s="564">
        <v>6.0</v>
      </c>
      <c r="H124" s="564">
        <v>0.0</v>
      </c>
      <c r="I124" s="423"/>
      <c r="J124" s="423"/>
      <c r="K124" s="423"/>
      <c r="L124" s="423"/>
      <c r="M124" s="423"/>
      <c r="N124" s="423"/>
      <c r="O124" s="423"/>
      <c r="P124" s="423"/>
      <c r="Q124" s="423"/>
      <c r="R124" s="423"/>
      <c r="S124" s="423"/>
      <c r="T124" s="423"/>
      <c r="U124" s="423"/>
      <c r="V124" s="423"/>
      <c r="W124" s="423"/>
      <c r="X124" s="423"/>
      <c r="Y124" s="423"/>
      <c r="Z124" s="423"/>
    </row>
    <row r="125">
      <c r="A125" s="562">
        <v>123.0</v>
      </c>
      <c r="B125" s="563" t="s">
        <v>1711</v>
      </c>
      <c r="C125" s="563" t="s">
        <v>5273</v>
      </c>
      <c r="D125" s="562">
        <v>2.0</v>
      </c>
      <c r="E125" s="562">
        <v>0.0</v>
      </c>
      <c r="F125" s="562">
        <v>0.0</v>
      </c>
      <c r="G125" s="562">
        <v>6.0</v>
      </c>
      <c r="H125" s="562">
        <v>0.0</v>
      </c>
      <c r="I125" s="423"/>
      <c r="J125" s="423"/>
      <c r="K125" s="423"/>
      <c r="L125" s="423"/>
      <c r="M125" s="423"/>
      <c r="N125" s="423"/>
      <c r="O125" s="423"/>
      <c r="P125" s="423"/>
      <c r="Q125" s="423"/>
      <c r="R125" s="423"/>
      <c r="S125" s="423"/>
      <c r="T125" s="423"/>
      <c r="U125" s="423"/>
      <c r="V125" s="423"/>
      <c r="W125" s="423"/>
      <c r="X125" s="423"/>
      <c r="Y125" s="423"/>
      <c r="Z125" s="423"/>
    </row>
    <row r="126">
      <c r="A126" s="564">
        <v>124.0</v>
      </c>
      <c r="B126" s="565" t="s">
        <v>1712</v>
      </c>
      <c r="C126" s="565" t="s">
        <v>5273</v>
      </c>
      <c r="D126" s="564">
        <v>0.0</v>
      </c>
      <c r="E126" s="564">
        <v>0.0</v>
      </c>
      <c r="F126" s="564">
        <v>0.0</v>
      </c>
      <c r="G126" s="564">
        <v>8.0</v>
      </c>
      <c r="H126" s="564">
        <v>0.0</v>
      </c>
      <c r="I126" s="423"/>
      <c r="J126" s="423"/>
      <c r="K126" s="423"/>
      <c r="L126" s="423"/>
      <c r="M126" s="423"/>
      <c r="N126" s="423"/>
      <c r="O126" s="423"/>
      <c r="P126" s="423"/>
      <c r="Q126" s="423"/>
      <c r="R126" s="423"/>
      <c r="S126" s="423"/>
      <c r="T126" s="423"/>
      <c r="U126" s="423"/>
      <c r="V126" s="423"/>
      <c r="W126" s="423"/>
      <c r="X126" s="423"/>
      <c r="Y126" s="423"/>
      <c r="Z126" s="423"/>
    </row>
    <row r="127">
      <c r="A127" s="562">
        <v>125.0</v>
      </c>
      <c r="B127" s="563" t="s">
        <v>1713</v>
      </c>
      <c r="C127" s="563" t="s">
        <v>5273</v>
      </c>
      <c r="D127" s="562">
        <v>0.0</v>
      </c>
      <c r="E127" s="562">
        <v>0.0</v>
      </c>
      <c r="F127" s="562">
        <v>0.0</v>
      </c>
      <c r="G127" s="562">
        <v>8.0</v>
      </c>
      <c r="H127" s="562">
        <v>0.0</v>
      </c>
      <c r="I127" s="423"/>
      <c r="J127" s="423"/>
      <c r="K127" s="423"/>
      <c r="L127" s="423"/>
      <c r="M127" s="423"/>
      <c r="N127" s="423"/>
      <c r="O127" s="423"/>
      <c r="P127" s="423"/>
      <c r="Q127" s="423"/>
      <c r="R127" s="423"/>
      <c r="S127" s="423"/>
      <c r="T127" s="423"/>
      <c r="U127" s="423"/>
      <c r="V127" s="423"/>
      <c r="W127" s="423"/>
      <c r="X127" s="423"/>
      <c r="Y127" s="423"/>
      <c r="Z127" s="423"/>
    </row>
    <row r="128">
      <c r="A128" s="564">
        <v>126.0</v>
      </c>
      <c r="B128" s="565" t="s">
        <v>1714</v>
      </c>
      <c r="C128" s="565" t="s">
        <v>5273</v>
      </c>
      <c r="D128" s="564">
        <v>1.0</v>
      </c>
      <c r="E128" s="564">
        <v>0.0</v>
      </c>
      <c r="F128" s="564">
        <v>0.0</v>
      </c>
      <c r="G128" s="564">
        <v>7.0</v>
      </c>
      <c r="H128" s="564">
        <v>0.0</v>
      </c>
      <c r="I128" s="423"/>
      <c r="J128" s="423"/>
      <c r="K128" s="423"/>
      <c r="L128" s="423"/>
      <c r="M128" s="423"/>
      <c r="N128" s="423"/>
      <c r="O128" s="423"/>
      <c r="P128" s="423"/>
      <c r="Q128" s="423"/>
      <c r="R128" s="423"/>
      <c r="S128" s="423"/>
      <c r="T128" s="423"/>
      <c r="U128" s="423"/>
      <c r="V128" s="423"/>
      <c r="W128" s="423"/>
      <c r="X128" s="423"/>
      <c r="Y128" s="423"/>
      <c r="Z128" s="423"/>
    </row>
    <row r="129">
      <c r="A129" s="562">
        <v>127.0</v>
      </c>
      <c r="B129" s="563" t="s">
        <v>1715</v>
      </c>
      <c r="C129" s="563" t="s">
        <v>5273</v>
      </c>
      <c r="D129" s="562">
        <v>3.0</v>
      </c>
      <c r="E129" s="562">
        <v>0.0</v>
      </c>
      <c r="F129" s="562">
        <v>0.0</v>
      </c>
      <c r="G129" s="562">
        <v>5.0</v>
      </c>
      <c r="H129" s="562">
        <v>0.0</v>
      </c>
      <c r="I129" s="423"/>
      <c r="J129" s="423"/>
      <c r="K129" s="423"/>
      <c r="L129" s="423"/>
      <c r="M129" s="423"/>
      <c r="N129" s="423"/>
      <c r="O129" s="423"/>
      <c r="P129" s="423"/>
      <c r="Q129" s="423"/>
      <c r="R129" s="423"/>
      <c r="S129" s="423"/>
      <c r="T129" s="423"/>
      <c r="U129" s="423"/>
      <c r="V129" s="423"/>
      <c r="W129" s="423"/>
      <c r="X129" s="423"/>
      <c r="Y129" s="423"/>
      <c r="Z129" s="423"/>
    </row>
    <row r="130">
      <c r="A130" s="564">
        <v>128.0</v>
      </c>
      <c r="B130" s="565" t="s">
        <v>1716</v>
      </c>
      <c r="C130" s="565" t="s">
        <v>5273</v>
      </c>
      <c r="D130" s="564">
        <v>1.0</v>
      </c>
      <c r="E130" s="564">
        <v>0.0</v>
      </c>
      <c r="F130" s="564">
        <v>0.0</v>
      </c>
      <c r="G130" s="564">
        <v>7.0</v>
      </c>
      <c r="H130" s="564">
        <v>0.0</v>
      </c>
      <c r="I130" s="423"/>
      <c r="J130" s="423"/>
      <c r="K130" s="423"/>
      <c r="L130" s="423"/>
      <c r="M130" s="423"/>
      <c r="N130" s="423"/>
      <c r="O130" s="423"/>
      <c r="P130" s="423"/>
      <c r="Q130" s="423"/>
      <c r="R130" s="423"/>
      <c r="S130" s="423"/>
      <c r="T130" s="423"/>
      <c r="U130" s="423"/>
      <c r="V130" s="423"/>
      <c r="W130" s="423"/>
      <c r="X130" s="423"/>
      <c r="Y130" s="423"/>
      <c r="Z130" s="423"/>
    </row>
    <row r="131">
      <c r="A131" s="562">
        <v>129.0</v>
      </c>
      <c r="B131" s="563" t="s">
        <v>1717</v>
      </c>
      <c r="C131" s="563" t="s">
        <v>5273</v>
      </c>
      <c r="D131" s="562">
        <v>1.0</v>
      </c>
      <c r="E131" s="562">
        <v>0.0</v>
      </c>
      <c r="F131" s="562">
        <v>0.0</v>
      </c>
      <c r="G131" s="562">
        <v>7.0</v>
      </c>
      <c r="H131" s="562">
        <v>0.0</v>
      </c>
      <c r="I131" s="423"/>
      <c r="J131" s="423"/>
      <c r="K131" s="423"/>
      <c r="L131" s="423"/>
      <c r="M131" s="423"/>
      <c r="N131" s="423"/>
      <c r="O131" s="423"/>
      <c r="P131" s="423"/>
      <c r="Q131" s="423"/>
      <c r="R131" s="423"/>
      <c r="S131" s="423"/>
      <c r="T131" s="423"/>
      <c r="U131" s="423"/>
      <c r="V131" s="423"/>
      <c r="W131" s="423"/>
      <c r="X131" s="423"/>
      <c r="Y131" s="423"/>
      <c r="Z131" s="423"/>
    </row>
    <row r="132">
      <c r="A132" s="564">
        <v>130.0</v>
      </c>
      <c r="B132" s="565" t="s">
        <v>1718</v>
      </c>
      <c r="C132" s="565" t="s">
        <v>5273</v>
      </c>
      <c r="D132" s="564">
        <v>1.0</v>
      </c>
      <c r="E132" s="564">
        <v>0.0</v>
      </c>
      <c r="F132" s="564">
        <v>0.0</v>
      </c>
      <c r="G132" s="564">
        <v>7.0</v>
      </c>
      <c r="H132" s="564">
        <v>0.0</v>
      </c>
      <c r="I132" s="423"/>
      <c r="J132" s="423"/>
      <c r="K132" s="423"/>
      <c r="L132" s="423"/>
      <c r="M132" s="423"/>
      <c r="N132" s="423"/>
      <c r="O132" s="423"/>
      <c r="P132" s="423"/>
      <c r="Q132" s="423"/>
      <c r="R132" s="423"/>
      <c r="S132" s="423"/>
      <c r="T132" s="423"/>
      <c r="U132" s="423"/>
      <c r="V132" s="423"/>
      <c r="W132" s="423"/>
      <c r="X132" s="423"/>
      <c r="Y132" s="423"/>
      <c r="Z132" s="423"/>
    </row>
    <row r="133">
      <c r="A133" s="562">
        <v>131.0</v>
      </c>
      <c r="B133" s="563" t="s">
        <v>1719</v>
      </c>
      <c r="C133" s="563" t="s">
        <v>5273</v>
      </c>
      <c r="D133" s="562">
        <v>1.0</v>
      </c>
      <c r="E133" s="562">
        <v>0.0</v>
      </c>
      <c r="F133" s="562">
        <v>0.0</v>
      </c>
      <c r="G133" s="562">
        <v>7.0</v>
      </c>
      <c r="H133" s="562">
        <v>0.0</v>
      </c>
      <c r="I133" s="423"/>
      <c r="J133" s="423"/>
      <c r="K133" s="423"/>
      <c r="L133" s="423"/>
      <c r="M133" s="423"/>
      <c r="N133" s="423"/>
      <c r="O133" s="423"/>
      <c r="P133" s="423"/>
      <c r="Q133" s="423"/>
      <c r="R133" s="423"/>
      <c r="S133" s="423"/>
      <c r="T133" s="423"/>
      <c r="U133" s="423"/>
      <c r="V133" s="423"/>
      <c r="W133" s="423"/>
      <c r="X133" s="423"/>
      <c r="Y133" s="423"/>
      <c r="Z133" s="423"/>
    </row>
    <row r="134">
      <c r="A134" s="564">
        <v>132.0</v>
      </c>
      <c r="B134" s="565" t="s">
        <v>1720</v>
      </c>
      <c r="C134" s="565" t="s">
        <v>5273</v>
      </c>
      <c r="D134" s="564">
        <v>0.0</v>
      </c>
      <c r="E134" s="564">
        <v>0.0</v>
      </c>
      <c r="F134" s="564">
        <v>0.0</v>
      </c>
      <c r="G134" s="564">
        <v>8.0</v>
      </c>
      <c r="H134" s="564">
        <v>0.0</v>
      </c>
      <c r="I134" s="423"/>
      <c r="J134" s="423"/>
      <c r="K134" s="423"/>
      <c r="L134" s="423"/>
      <c r="M134" s="423"/>
      <c r="N134" s="423"/>
      <c r="O134" s="423"/>
      <c r="P134" s="423"/>
      <c r="Q134" s="423"/>
      <c r="R134" s="423"/>
      <c r="S134" s="423"/>
      <c r="T134" s="423"/>
      <c r="U134" s="423"/>
      <c r="V134" s="423"/>
      <c r="W134" s="423"/>
      <c r="X134" s="423"/>
      <c r="Y134" s="423"/>
      <c r="Z134" s="423"/>
    </row>
    <row r="135">
      <c r="A135" s="562">
        <v>133.0</v>
      </c>
      <c r="B135" s="563" t="s">
        <v>1721</v>
      </c>
      <c r="C135" s="563" t="s">
        <v>5273</v>
      </c>
      <c r="D135" s="562">
        <v>0.0</v>
      </c>
      <c r="E135" s="562">
        <v>0.0</v>
      </c>
      <c r="F135" s="562">
        <v>0.0</v>
      </c>
      <c r="G135" s="562">
        <v>8.0</v>
      </c>
      <c r="H135" s="562">
        <v>0.0</v>
      </c>
      <c r="I135" s="423"/>
      <c r="J135" s="423"/>
      <c r="K135" s="423"/>
      <c r="L135" s="423"/>
      <c r="M135" s="423"/>
      <c r="N135" s="423"/>
      <c r="O135" s="423"/>
      <c r="P135" s="423"/>
      <c r="Q135" s="423"/>
      <c r="R135" s="423"/>
      <c r="S135" s="423"/>
      <c r="T135" s="423"/>
      <c r="U135" s="423"/>
      <c r="V135" s="423"/>
      <c r="W135" s="423"/>
      <c r="X135" s="423"/>
      <c r="Y135" s="423"/>
      <c r="Z135" s="423"/>
    </row>
    <row r="136">
      <c r="A136" s="564">
        <v>134.0</v>
      </c>
      <c r="B136" s="565" t="s">
        <v>1722</v>
      </c>
      <c r="C136" s="565" t="s">
        <v>5273</v>
      </c>
      <c r="D136" s="564">
        <v>2.0</v>
      </c>
      <c r="E136" s="564">
        <v>0.0</v>
      </c>
      <c r="F136" s="564">
        <v>0.0</v>
      </c>
      <c r="G136" s="564">
        <v>6.0</v>
      </c>
      <c r="H136" s="564">
        <v>0.0</v>
      </c>
      <c r="I136" s="423"/>
      <c r="J136" s="423"/>
      <c r="K136" s="423"/>
      <c r="L136" s="423"/>
      <c r="M136" s="423"/>
      <c r="N136" s="423"/>
      <c r="O136" s="423"/>
      <c r="P136" s="423"/>
      <c r="Q136" s="423"/>
      <c r="R136" s="423"/>
      <c r="S136" s="423"/>
      <c r="T136" s="423"/>
      <c r="U136" s="423"/>
      <c r="V136" s="423"/>
      <c r="W136" s="423"/>
      <c r="X136" s="423"/>
      <c r="Y136" s="423"/>
      <c r="Z136" s="423"/>
    </row>
    <row r="137">
      <c r="A137" s="562">
        <v>135.0</v>
      </c>
      <c r="B137" s="563" t="s">
        <v>1723</v>
      </c>
      <c r="C137" s="563" t="s">
        <v>5273</v>
      </c>
      <c r="D137" s="562">
        <v>2.0</v>
      </c>
      <c r="E137" s="562">
        <v>0.0</v>
      </c>
      <c r="F137" s="562">
        <v>0.0</v>
      </c>
      <c r="G137" s="562">
        <v>6.0</v>
      </c>
      <c r="H137" s="562">
        <v>0.0</v>
      </c>
      <c r="I137" s="423"/>
      <c r="J137" s="423"/>
      <c r="K137" s="423"/>
      <c r="L137" s="423"/>
      <c r="M137" s="423"/>
      <c r="N137" s="423"/>
      <c r="O137" s="423"/>
      <c r="P137" s="423"/>
      <c r="Q137" s="423"/>
      <c r="R137" s="423"/>
      <c r="S137" s="423"/>
      <c r="T137" s="423"/>
      <c r="U137" s="423"/>
      <c r="V137" s="423"/>
      <c r="W137" s="423"/>
      <c r="X137" s="423"/>
      <c r="Y137" s="423"/>
      <c r="Z137" s="423"/>
    </row>
    <row r="138">
      <c r="A138" s="564">
        <v>136.0</v>
      </c>
      <c r="B138" s="565" t="s">
        <v>1724</v>
      </c>
      <c r="C138" s="565" t="s">
        <v>5273</v>
      </c>
      <c r="D138" s="564">
        <v>2.0</v>
      </c>
      <c r="E138" s="564">
        <v>0.0</v>
      </c>
      <c r="F138" s="564">
        <v>0.0</v>
      </c>
      <c r="G138" s="564">
        <v>6.0</v>
      </c>
      <c r="H138" s="564">
        <v>0.0</v>
      </c>
      <c r="I138" s="423"/>
      <c r="J138" s="423"/>
      <c r="K138" s="423"/>
      <c r="L138" s="423"/>
      <c r="M138" s="423"/>
      <c r="N138" s="423"/>
      <c r="O138" s="423"/>
      <c r="P138" s="423"/>
      <c r="Q138" s="423"/>
      <c r="R138" s="423"/>
      <c r="S138" s="423"/>
      <c r="T138" s="423"/>
      <c r="U138" s="423"/>
      <c r="V138" s="423"/>
      <c r="W138" s="423"/>
      <c r="X138" s="423"/>
      <c r="Y138" s="423"/>
      <c r="Z138" s="423"/>
    </row>
    <row r="139">
      <c r="A139" s="562">
        <v>137.0</v>
      </c>
      <c r="B139" s="563" t="s">
        <v>1725</v>
      </c>
      <c r="C139" s="563" t="s">
        <v>5273</v>
      </c>
      <c r="D139" s="562">
        <v>2.0</v>
      </c>
      <c r="E139" s="562">
        <v>0.0</v>
      </c>
      <c r="F139" s="562">
        <v>0.0</v>
      </c>
      <c r="G139" s="562">
        <v>6.0</v>
      </c>
      <c r="H139" s="562">
        <v>0.0</v>
      </c>
      <c r="I139" s="423"/>
      <c r="J139" s="423"/>
      <c r="K139" s="423"/>
      <c r="L139" s="423"/>
      <c r="M139" s="423"/>
      <c r="N139" s="423"/>
      <c r="O139" s="423"/>
      <c r="P139" s="423"/>
      <c r="Q139" s="423"/>
      <c r="R139" s="423"/>
      <c r="S139" s="423"/>
      <c r="T139" s="423"/>
      <c r="U139" s="423"/>
      <c r="V139" s="423"/>
      <c r="W139" s="423"/>
      <c r="X139" s="423"/>
      <c r="Y139" s="423"/>
      <c r="Z139" s="423"/>
    </row>
    <row r="140">
      <c r="A140" s="564">
        <v>138.0</v>
      </c>
      <c r="B140" s="565" t="s">
        <v>1726</v>
      </c>
      <c r="C140" s="565" t="s">
        <v>5273</v>
      </c>
      <c r="D140" s="564">
        <v>1.0</v>
      </c>
      <c r="E140" s="564">
        <v>0.0</v>
      </c>
      <c r="F140" s="564">
        <v>0.0</v>
      </c>
      <c r="G140" s="564">
        <v>7.0</v>
      </c>
      <c r="H140" s="564">
        <v>0.0</v>
      </c>
      <c r="I140" s="423"/>
      <c r="J140" s="423"/>
      <c r="K140" s="423"/>
      <c r="L140" s="423"/>
      <c r="M140" s="423"/>
      <c r="N140" s="423"/>
      <c r="O140" s="423"/>
      <c r="P140" s="423"/>
      <c r="Q140" s="423"/>
      <c r="R140" s="423"/>
      <c r="S140" s="423"/>
      <c r="T140" s="423"/>
      <c r="U140" s="423"/>
      <c r="V140" s="423"/>
      <c r="W140" s="423"/>
      <c r="X140" s="423"/>
      <c r="Y140" s="423"/>
      <c r="Z140" s="423"/>
    </row>
    <row r="141">
      <c r="A141" s="562">
        <v>139.0</v>
      </c>
      <c r="B141" s="563" t="s">
        <v>1727</v>
      </c>
      <c r="C141" s="563" t="s">
        <v>5273</v>
      </c>
      <c r="D141" s="562">
        <v>1.0</v>
      </c>
      <c r="E141" s="562">
        <v>0.0</v>
      </c>
      <c r="F141" s="562">
        <v>0.0</v>
      </c>
      <c r="G141" s="562">
        <v>7.0</v>
      </c>
      <c r="H141" s="562">
        <v>0.0</v>
      </c>
      <c r="I141" s="423"/>
      <c r="J141" s="423"/>
      <c r="K141" s="423"/>
      <c r="L141" s="423"/>
      <c r="M141" s="423"/>
      <c r="N141" s="423"/>
      <c r="O141" s="423"/>
      <c r="P141" s="423"/>
      <c r="Q141" s="423"/>
      <c r="R141" s="423"/>
      <c r="S141" s="423"/>
      <c r="T141" s="423"/>
      <c r="U141" s="423"/>
      <c r="V141" s="423"/>
      <c r="W141" s="423"/>
      <c r="X141" s="423"/>
      <c r="Y141" s="423"/>
      <c r="Z141" s="423"/>
    </row>
    <row r="142">
      <c r="A142" s="564">
        <v>140.0</v>
      </c>
      <c r="B142" s="565" t="s">
        <v>1728</v>
      </c>
      <c r="C142" s="565" t="s">
        <v>5273</v>
      </c>
      <c r="D142" s="564">
        <v>1.0</v>
      </c>
      <c r="E142" s="564">
        <v>0.0</v>
      </c>
      <c r="F142" s="564">
        <v>0.0</v>
      </c>
      <c r="G142" s="564">
        <v>7.0</v>
      </c>
      <c r="H142" s="564">
        <v>0.0</v>
      </c>
      <c r="I142" s="423"/>
      <c r="J142" s="423"/>
      <c r="K142" s="423"/>
      <c r="L142" s="423"/>
      <c r="M142" s="423"/>
      <c r="N142" s="423"/>
      <c r="O142" s="423"/>
      <c r="P142" s="423"/>
      <c r="Q142" s="423"/>
      <c r="R142" s="423"/>
      <c r="S142" s="423"/>
      <c r="T142" s="423"/>
      <c r="U142" s="423"/>
      <c r="V142" s="423"/>
      <c r="W142" s="423"/>
      <c r="X142" s="423"/>
      <c r="Y142" s="423"/>
      <c r="Z142" s="423"/>
    </row>
    <row r="143">
      <c r="A143" s="562">
        <v>141.0</v>
      </c>
      <c r="B143" s="563" t="s">
        <v>1729</v>
      </c>
      <c r="C143" s="563" t="s">
        <v>5273</v>
      </c>
      <c r="D143" s="562">
        <v>1.0</v>
      </c>
      <c r="E143" s="562">
        <v>0.0</v>
      </c>
      <c r="F143" s="562">
        <v>0.0</v>
      </c>
      <c r="G143" s="562">
        <v>7.0</v>
      </c>
      <c r="H143" s="562">
        <v>0.0</v>
      </c>
      <c r="I143" s="423"/>
      <c r="J143" s="423"/>
      <c r="K143" s="423"/>
      <c r="L143" s="423"/>
      <c r="M143" s="423"/>
      <c r="N143" s="423"/>
      <c r="O143" s="423"/>
      <c r="P143" s="423"/>
      <c r="Q143" s="423"/>
      <c r="R143" s="423"/>
      <c r="S143" s="423"/>
      <c r="T143" s="423"/>
      <c r="U143" s="423"/>
      <c r="V143" s="423"/>
      <c r="W143" s="423"/>
      <c r="X143" s="423"/>
      <c r="Y143" s="423"/>
      <c r="Z143" s="423"/>
    </row>
    <row r="144">
      <c r="A144" s="564">
        <v>142.0</v>
      </c>
      <c r="B144" s="565" t="s">
        <v>1730</v>
      </c>
      <c r="C144" s="565" t="s">
        <v>5273</v>
      </c>
      <c r="D144" s="564">
        <v>0.0</v>
      </c>
      <c r="E144" s="564">
        <v>0.0</v>
      </c>
      <c r="F144" s="564">
        <v>0.0</v>
      </c>
      <c r="G144" s="564">
        <v>8.0</v>
      </c>
      <c r="H144" s="564">
        <v>0.0</v>
      </c>
      <c r="I144" s="423"/>
      <c r="J144" s="423"/>
      <c r="K144" s="423"/>
      <c r="L144" s="423"/>
      <c r="M144" s="423"/>
      <c r="N144" s="423"/>
      <c r="O144" s="423"/>
      <c r="P144" s="423"/>
      <c r="Q144" s="423"/>
      <c r="R144" s="423"/>
      <c r="S144" s="423"/>
      <c r="T144" s="423"/>
      <c r="U144" s="423"/>
      <c r="V144" s="423"/>
      <c r="W144" s="423"/>
      <c r="X144" s="423"/>
      <c r="Y144" s="423"/>
      <c r="Z144" s="423"/>
    </row>
    <row r="145">
      <c r="A145" s="562">
        <v>143.0</v>
      </c>
      <c r="B145" s="563" t="s">
        <v>1731</v>
      </c>
      <c r="C145" s="563" t="s">
        <v>5273</v>
      </c>
      <c r="D145" s="562">
        <v>1.0</v>
      </c>
      <c r="E145" s="562">
        <v>0.0</v>
      </c>
      <c r="F145" s="562">
        <v>0.0</v>
      </c>
      <c r="G145" s="562">
        <v>7.0</v>
      </c>
      <c r="H145" s="562">
        <v>0.0</v>
      </c>
      <c r="I145" s="423"/>
      <c r="J145" s="423"/>
      <c r="K145" s="423"/>
      <c r="L145" s="423"/>
      <c r="M145" s="423"/>
      <c r="N145" s="423"/>
      <c r="O145" s="423"/>
      <c r="P145" s="423"/>
      <c r="Q145" s="423"/>
      <c r="R145" s="423"/>
      <c r="S145" s="423"/>
      <c r="T145" s="423"/>
      <c r="U145" s="423"/>
      <c r="V145" s="423"/>
      <c r="W145" s="423"/>
      <c r="X145" s="423"/>
      <c r="Y145" s="423"/>
      <c r="Z145" s="423"/>
    </row>
    <row r="146">
      <c r="A146" s="564">
        <v>144.0</v>
      </c>
      <c r="B146" s="565" t="s">
        <v>1354</v>
      </c>
      <c r="C146" s="565" t="s">
        <v>5249</v>
      </c>
      <c r="D146" s="564">
        <v>0.0</v>
      </c>
      <c r="E146" s="564">
        <v>0.0</v>
      </c>
      <c r="F146" s="564">
        <v>0.0</v>
      </c>
      <c r="G146" s="564">
        <v>8.0</v>
      </c>
      <c r="H146" s="564">
        <v>0.0</v>
      </c>
      <c r="I146" s="423"/>
      <c r="J146" s="423"/>
      <c r="K146" s="423"/>
      <c r="L146" s="423"/>
      <c r="M146" s="423"/>
      <c r="N146" s="423"/>
      <c r="O146" s="423"/>
      <c r="P146" s="423"/>
      <c r="Q146" s="423"/>
      <c r="R146" s="423"/>
      <c r="S146" s="423"/>
      <c r="T146" s="423"/>
      <c r="U146" s="423"/>
      <c r="V146" s="423"/>
      <c r="W146" s="423"/>
      <c r="X146" s="423"/>
      <c r="Y146" s="423"/>
      <c r="Z146" s="423"/>
    </row>
    <row r="147">
      <c r="A147" s="562">
        <v>145.0</v>
      </c>
      <c r="B147" s="563" t="s">
        <v>1356</v>
      </c>
      <c r="C147" s="563" t="s">
        <v>5249</v>
      </c>
      <c r="D147" s="562">
        <v>0.0</v>
      </c>
      <c r="E147" s="562">
        <v>0.0</v>
      </c>
      <c r="F147" s="562">
        <v>0.0</v>
      </c>
      <c r="G147" s="562">
        <v>8.0</v>
      </c>
      <c r="H147" s="562">
        <v>0.0</v>
      </c>
      <c r="I147" s="423"/>
      <c r="J147" s="423"/>
      <c r="K147" s="423"/>
      <c r="L147" s="423"/>
      <c r="M147" s="423"/>
      <c r="N147" s="423"/>
      <c r="O147" s="423"/>
      <c r="P147" s="423"/>
      <c r="Q147" s="423"/>
      <c r="R147" s="423"/>
      <c r="S147" s="423"/>
      <c r="T147" s="423"/>
      <c r="U147" s="423"/>
      <c r="V147" s="423"/>
      <c r="W147" s="423"/>
      <c r="X147" s="423"/>
      <c r="Y147" s="423"/>
      <c r="Z147" s="423"/>
    </row>
    <row r="148">
      <c r="A148" s="564">
        <v>146.0</v>
      </c>
      <c r="B148" s="565" t="s">
        <v>1357</v>
      </c>
      <c r="C148" s="565" t="s">
        <v>5249</v>
      </c>
      <c r="D148" s="564">
        <v>1.0</v>
      </c>
      <c r="E148" s="564">
        <v>0.0</v>
      </c>
      <c r="F148" s="564">
        <v>0.0</v>
      </c>
      <c r="G148" s="564">
        <v>7.0</v>
      </c>
      <c r="H148" s="564">
        <v>0.0</v>
      </c>
      <c r="I148" s="423"/>
      <c r="J148" s="423"/>
      <c r="K148" s="423"/>
      <c r="L148" s="423"/>
      <c r="M148" s="423"/>
      <c r="N148" s="423"/>
      <c r="O148" s="423"/>
      <c r="P148" s="423"/>
      <c r="Q148" s="423"/>
      <c r="R148" s="423"/>
      <c r="S148" s="423"/>
      <c r="T148" s="423"/>
      <c r="U148" s="423"/>
      <c r="V148" s="423"/>
      <c r="W148" s="423"/>
      <c r="X148" s="423"/>
      <c r="Y148" s="423"/>
      <c r="Z148" s="423"/>
    </row>
    <row r="149">
      <c r="A149" s="562">
        <v>147.0</v>
      </c>
      <c r="B149" s="563" t="s">
        <v>1358</v>
      </c>
      <c r="C149" s="563" t="s">
        <v>5249</v>
      </c>
      <c r="D149" s="562">
        <v>0.0</v>
      </c>
      <c r="E149" s="562">
        <v>0.0</v>
      </c>
      <c r="F149" s="562">
        <v>1.0</v>
      </c>
      <c r="G149" s="562">
        <v>7.0</v>
      </c>
      <c r="H149" s="562">
        <v>0.0</v>
      </c>
      <c r="I149" s="423"/>
      <c r="J149" s="423"/>
      <c r="K149" s="423"/>
      <c r="L149" s="423"/>
      <c r="M149" s="423"/>
      <c r="N149" s="423"/>
      <c r="O149" s="423"/>
      <c r="P149" s="423"/>
      <c r="Q149" s="423"/>
      <c r="R149" s="423"/>
      <c r="S149" s="423"/>
      <c r="T149" s="423"/>
      <c r="U149" s="423"/>
      <c r="V149" s="423"/>
      <c r="W149" s="423"/>
      <c r="X149" s="423"/>
      <c r="Y149" s="423"/>
      <c r="Z149" s="423"/>
    </row>
    <row r="150">
      <c r="A150" s="564">
        <v>148.0</v>
      </c>
      <c r="B150" s="565" t="s">
        <v>1359</v>
      </c>
      <c r="C150" s="565" t="s">
        <v>5249</v>
      </c>
      <c r="D150" s="564">
        <v>1.0</v>
      </c>
      <c r="E150" s="564">
        <v>0.0</v>
      </c>
      <c r="F150" s="564">
        <v>0.0</v>
      </c>
      <c r="G150" s="564">
        <v>7.0</v>
      </c>
      <c r="H150" s="564">
        <v>0.0</v>
      </c>
      <c r="I150" s="423"/>
      <c r="J150" s="423"/>
      <c r="K150" s="423"/>
      <c r="L150" s="423"/>
      <c r="M150" s="423"/>
      <c r="N150" s="423"/>
      <c r="O150" s="423"/>
      <c r="P150" s="423"/>
      <c r="Q150" s="423"/>
      <c r="R150" s="423"/>
      <c r="S150" s="423"/>
      <c r="T150" s="423"/>
      <c r="U150" s="423"/>
      <c r="V150" s="423"/>
      <c r="W150" s="423"/>
      <c r="X150" s="423"/>
      <c r="Y150" s="423"/>
      <c r="Z150" s="423"/>
    </row>
    <row r="151">
      <c r="A151" s="562">
        <v>149.0</v>
      </c>
      <c r="B151" s="563" t="s">
        <v>1360</v>
      </c>
      <c r="C151" s="563" t="s">
        <v>5249</v>
      </c>
      <c r="D151" s="562">
        <v>1.0</v>
      </c>
      <c r="E151" s="562">
        <v>0.0</v>
      </c>
      <c r="F151" s="562">
        <v>0.0</v>
      </c>
      <c r="G151" s="562">
        <v>7.0</v>
      </c>
      <c r="H151" s="562">
        <v>0.0</v>
      </c>
      <c r="I151" s="423"/>
      <c r="J151" s="423"/>
      <c r="K151" s="423"/>
      <c r="L151" s="423"/>
      <c r="M151" s="423"/>
      <c r="N151" s="423"/>
      <c r="O151" s="423"/>
      <c r="P151" s="423"/>
      <c r="Q151" s="423"/>
      <c r="R151" s="423"/>
      <c r="S151" s="423"/>
      <c r="T151" s="423"/>
      <c r="U151" s="423"/>
      <c r="V151" s="423"/>
      <c r="W151" s="423"/>
      <c r="X151" s="423"/>
      <c r="Y151" s="423"/>
      <c r="Z151" s="423"/>
    </row>
    <row r="152">
      <c r="A152" s="564">
        <v>150.0</v>
      </c>
      <c r="B152" s="565" t="s">
        <v>1361</v>
      </c>
      <c r="C152" s="565" t="s">
        <v>5249</v>
      </c>
      <c r="D152" s="564">
        <v>0.0</v>
      </c>
      <c r="E152" s="564">
        <v>0.0</v>
      </c>
      <c r="F152" s="564">
        <v>0.0</v>
      </c>
      <c r="G152" s="564">
        <v>8.0</v>
      </c>
      <c r="H152" s="564">
        <v>0.0</v>
      </c>
      <c r="I152" s="423"/>
      <c r="J152" s="423"/>
      <c r="K152" s="423"/>
      <c r="L152" s="423"/>
      <c r="M152" s="423"/>
      <c r="N152" s="423"/>
      <c r="O152" s="423"/>
      <c r="P152" s="423"/>
      <c r="Q152" s="423"/>
      <c r="R152" s="423"/>
      <c r="S152" s="423"/>
      <c r="T152" s="423"/>
      <c r="U152" s="423"/>
      <c r="V152" s="423"/>
      <c r="W152" s="423"/>
      <c r="X152" s="423"/>
      <c r="Y152" s="423"/>
      <c r="Z152" s="423"/>
    </row>
    <row r="153">
      <c r="A153" s="562">
        <v>151.0</v>
      </c>
      <c r="B153" s="563" t="s">
        <v>1362</v>
      </c>
      <c r="C153" s="563" t="s">
        <v>5249</v>
      </c>
      <c r="D153" s="562">
        <v>0.0</v>
      </c>
      <c r="E153" s="562">
        <v>0.0</v>
      </c>
      <c r="F153" s="562">
        <v>0.0</v>
      </c>
      <c r="G153" s="562">
        <v>8.0</v>
      </c>
      <c r="H153" s="562">
        <v>0.0</v>
      </c>
      <c r="I153" s="423"/>
      <c r="J153" s="423"/>
      <c r="K153" s="423"/>
      <c r="L153" s="423"/>
      <c r="M153" s="423"/>
      <c r="N153" s="423"/>
      <c r="O153" s="423"/>
      <c r="P153" s="423"/>
      <c r="Q153" s="423"/>
      <c r="R153" s="423"/>
      <c r="S153" s="423"/>
      <c r="T153" s="423"/>
      <c r="U153" s="423"/>
      <c r="V153" s="423"/>
      <c r="W153" s="423"/>
      <c r="X153" s="423"/>
      <c r="Y153" s="423"/>
      <c r="Z153" s="423"/>
    </row>
    <row r="154">
      <c r="A154" s="564">
        <v>152.0</v>
      </c>
      <c r="B154" s="565" t="s">
        <v>1363</v>
      </c>
      <c r="C154" s="565" t="s">
        <v>5249</v>
      </c>
      <c r="D154" s="564">
        <v>2.0</v>
      </c>
      <c r="E154" s="564">
        <v>0.0</v>
      </c>
      <c r="F154" s="564">
        <v>0.0</v>
      </c>
      <c r="G154" s="564">
        <v>6.0</v>
      </c>
      <c r="H154" s="564">
        <v>0.0</v>
      </c>
      <c r="I154" s="423"/>
      <c r="J154" s="423"/>
      <c r="K154" s="423"/>
      <c r="L154" s="423"/>
      <c r="M154" s="423"/>
      <c r="N154" s="423"/>
      <c r="O154" s="423"/>
      <c r="P154" s="423"/>
      <c r="Q154" s="423"/>
      <c r="R154" s="423"/>
      <c r="S154" s="423"/>
      <c r="T154" s="423"/>
      <c r="U154" s="423"/>
      <c r="V154" s="423"/>
      <c r="W154" s="423"/>
      <c r="X154" s="423"/>
      <c r="Y154" s="423"/>
      <c r="Z154" s="423"/>
    </row>
    <row r="155">
      <c r="A155" s="562">
        <v>153.0</v>
      </c>
      <c r="B155" s="563" t="s">
        <v>1364</v>
      </c>
      <c r="C155" s="563" t="s">
        <v>5249</v>
      </c>
      <c r="D155" s="562">
        <v>0.0</v>
      </c>
      <c r="E155" s="562">
        <v>0.0</v>
      </c>
      <c r="F155" s="562">
        <v>0.0</v>
      </c>
      <c r="G155" s="562">
        <v>8.0</v>
      </c>
      <c r="H155" s="562">
        <v>0.0</v>
      </c>
      <c r="I155" s="423"/>
      <c r="J155" s="423"/>
      <c r="K155" s="423"/>
      <c r="L155" s="423"/>
      <c r="M155" s="423"/>
      <c r="N155" s="423"/>
      <c r="O155" s="423"/>
      <c r="P155" s="423"/>
      <c r="Q155" s="423"/>
      <c r="R155" s="423"/>
      <c r="S155" s="423"/>
      <c r="T155" s="423"/>
      <c r="U155" s="423"/>
      <c r="V155" s="423"/>
      <c r="W155" s="423"/>
      <c r="X155" s="423"/>
      <c r="Y155" s="423"/>
      <c r="Z155" s="423"/>
    </row>
    <row r="156">
      <c r="A156" s="564">
        <v>154.0</v>
      </c>
      <c r="B156" s="565" t="s">
        <v>1365</v>
      </c>
      <c r="C156" s="565" t="s">
        <v>5249</v>
      </c>
      <c r="D156" s="564">
        <v>1.0</v>
      </c>
      <c r="E156" s="564">
        <v>0.0</v>
      </c>
      <c r="F156" s="564">
        <v>0.0</v>
      </c>
      <c r="G156" s="564">
        <v>7.0</v>
      </c>
      <c r="H156" s="564">
        <v>0.0</v>
      </c>
      <c r="I156" s="423"/>
      <c r="J156" s="423"/>
      <c r="K156" s="423"/>
      <c r="L156" s="423"/>
      <c r="M156" s="423"/>
      <c r="N156" s="423"/>
      <c r="O156" s="423"/>
      <c r="P156" s="423"/>
      <c r="Q156" s="423"/>
      <c r="R156" s="423"/>
      <c r="S156" s="423"/>
      <c r="T156" s="423"/>
      <c r="U156" s="423"/>
      <c r="V156" s="423"/>
      <c r="W156" s="423"/>
      <c r="X156" s="423"/>
      <c r="Y156" s="423"/>
      <c r="Z156" s="423"/>
    </row>
    <row r="157">
      <c r="A157" s="562">
        <v>155.0</v>
      </c>
      <c r="B157" s="563" t="s">
        <v>1366</v>
      </c>
      <c r="C157" s="563" t="s">
        <v>5249</v>
      </c>
      <c r="D157" s="562">
        <v>0.0</v>
      </c>
      <c r="E157" s="562">
        <v>0.0</v>
      </c>
      <c r="F157" s="562">
        <v>0.0</v>
      </c>
      <c r="G157" s="562">
        <v>8.0</v>
      </c>
      <c r="H157" s="562">
        <v>0.0</v>
      </c>
      <c r="I157" s="423"/>
      <c r="J157" s="423"/>
      <c r="K157" s="423"/>
      <c r="L157" s="423"/>
      <c r="M157" s="423"/>
      <c r="N157" s="423"/>
      <c r="O157" s="423"/>
      <c r="P157" s="423"/>
      <c r="Q157" s="423"/>
      <c r="R157" s="423"/>
      <c r="S157" s="423"/>
      <c r="T157" s="423"/>
      <c r="U157" s="423"/>
      <c r="V157" s="423"/>
      <c r="W157" s="423"/>
      <c r="X157" s="423"/>
      <c r="Y157" s="423"/>
      <c r="Z157" s="423"/>
    </row>
    <row r="158">
      <c r="A158" s="564">
        <v>156.0</v>
      </c>
      <c r="B158" s="565" t="s">
        <v>1367</v>
      </c>
      <c r="C158" s="565" t="s">
        <v>5249</v>
      </c>
      <c r="D158" s="564">
        <v>0.0</v>
      </c>
      <c r="E158" s="564">
        <v>0.0</v>
      </c>
      <c r="F158" s="564">
        <v>0.0</v>
      </c>
      <c r="G158" s="564">
        <v>8.0</v>
      </c>
      <c r="H158" s="564">
        <v>0.0</v>
      </c>
      <c r="I158" s="423"/>
      <c r="J158" s="423"/>
      <c r="K158" s="423"/>
      <c r="L158" s="423"/>
      <c r="M158" s="423"/>
      <c r="N158" s="423"/>
      <c r="O158" s="423"/>
      <c r="P158" s="423"/>
      <c r="Q158" s="423"/>
      <c r="R158" s="423"/>
      <c r="S158" s="423"/>
      <c r="T158" s="423"/>
      <c r="U158" s="423"/>
      <c r="V158" s="423"/>
      <c r="W158" s="423"/>
      <c r="X158" s="423"/>
      <c r="Y158" s="423"/>
      <c r="Z158" s="423"/>
    </row>
    <row r="159">
      <c r="A159" s="562">
        <v>157.0</v>
      </c>
      <c r="B159" s="563" t="s">
        <v>1368</v>
      </c>
      <c r="C159" s="563" t="s">
        <v>5249</v>
      </c>
      <c r="D159" s="562">
        <v>0.0</v>
      </c>
      <c r="E159" s="562">
        <v>0.0</v>
      </c>
      <c r="F159" s="562">
        <v>0.0</v>
      </c>
      <c r="G159" s="562">
        <v>8.0</v>
      </c>
      <c r="H159" s="562">
        <v>0.0</v>
      </c>
      <c r="I159" s="423"/>
      <c r="J159" s="423"/>
      <c r="K159" s="423"/>
      <c r="L159" s="423"/>
      <c r="M159" s="423"/>
      <c r="N159" s="423"/>
      <c r="O159" s="423"/>
      <c r="P159" s="423"/>
      <c r="Q159" s="423"/>
      <c r="R159" s="423"/>
      <c r="S159" s="423"/>
      <c r="T159" s="423"/>
      <c r="U159" s="423"/>
      <c r="V159" s="423"/>
      <c r="W159" s="423"/>
      <c r="X159" s="423"/>
      <c r="Y159" s="423"/>
      <c r="Z159" s="423"/>
    </row>
    <row r="160">
      <c r="A160" s="564">
        <v>158.0</v>
      </c>
      <c r="B160" s="565" t="s">
        <v>5616</v>
      </c>
      <c r="C160" s="565" t="s">
        <v>5249</v>
      </c>
      <c r="D160" s="564">
        <v>0.0</v>
      </c>
      <c r="E160" s="564">
        <v>0.0</v>
      </c>
      <c r="F160" s="564">
        <v>0.0</v>
      </c>
      <c r="G160" s="564">
        <v>8.0</v>
      </c>
      <c r="H160" s="564">
        <v>0.0</v>
      </c>
      <c r="I160" s="423"/>
      <c r="J160" s="423"/>
      <c r="K160" s="423"/>
      <c r="L160" s="423"/>
      <c r="M160" s="423"/>
      <c r="N160" s="423"/>
      <c r="O160" s="423"/>
      <c r="P160" s="423"/>
      <c r="Q160" s="423"/>
      <c r="R160" s="423"/>
      <c r="S160" s="423"/>
      <c r="T160" s="423"/>
      <c r="U160" s="423"/>
      <c r="V160" s="423"/>
      <c r="W160" s="423"/>
      <c r="X160" s="423"/>
      <c r="Y160" s="423"/>
      <c r="Z160" s="423"/>
    </row>
    <row r="161">
      <c r="A161" s="562">
        <v>159.0</v>
      </c>
      <c r="B161" s="563" t="s">
        <v>5617</v>
      </c>
      <c r="C161" s="563" t="s">
        <v>5249</v>
      </c>
      <c r="D161" s="562">
        <v>0.0</v>
      </c>
      <c r="E161" s="562">
        <v>0.0</v>
      </c>
      <c r="F161" s="562">
        <v>0.0</v>
      </c>
      <c r="G161" s="562">
        <v>8.0</v>
      </c>
      <c r="H161" s="562">
        <v>0.0</v>
      </c>
      <c r="I161" s="423"/>
      <c r="J161" s="423"/>
      <c r="K161" s="423"/>
      <c r="L161" s="423"/>
      <c r="M161" s="423"/>
      <c r="N161" s="423"/>
      <c r="O161" s="423"/>
      <c r="P161" s="423"/>
      <c r="Q161" s="423"/>
      <c r="R161" s="423"/>
      <c r="S161" s="423"/>
      <c r="T161" s="423"/>
      <c r="U161" s="423"/>
      <c r="V161" s="423"/>
      <c r="W161" s="423"/>
      <c r="X161" s="423"/>
      <c r="Y161" s="423"/>
      <c r="Z161" s="423"/>
    </row>
    <row r="162">
      <c r="A162" s="564">
        <v>160.0</v>
      </c>
      <c r="B162" s="565" t="s">
        <v>1369</v>
      </c>
      <c r="C162" s="565" t="s">
        <v>5249</v>
      </c>
      <c r="D162" s="564">
        <v>2.0</v>
      </c>
      <c r="E162" s="564">
        <v>0.0</v>
      </c>
      <c r="F162" s="564">
        <v>0.0</v>
      </c>
      <c r="G162" s="564">
        <v>6.0</v>
      </c>
      <c r="H162" s="564">
        <v>0.0</v>
      </c>
      <c r="I162" s="423"/>
      <c r="J162" s="423"/>
      <c r="K162" s="423"/>
      <c r="L162" s="423"/>
      <c r="M162" s="423"/>
      <c r="N162" s="423"/>
      <c r="O162" s="423"/>
      <c r="P162" s="423"/>
      <c r="Q162" s="423"/>
      <c r="R162" s="423"/>
      <c r="S162" s="423"/>
      <c r="T162" s="423"/>
      <c r="U162" s="423"/>
      <c r="V162" s="423"/>
      <c r="W162" s="423"/>
      <c r="X162" s="423"/>
      <c r="Y162" s="423"/>
      <c r="Z162" s="423"/>
    </row>
    <row r="163">
      <c r="A163" s="562">
        <v>161.0</v>
      </c>
      <c r="B163" s="563" t="s">
        <v>1370</v>
      </c>
      <c r="C163" s="563" t="s">
        <v>5249</v>
      </c>
      <c r="D163" s="562">
        <v>0.0</v>
      </c>
      <c r="E163" s="562">
        <v>0.0</v>
      </c>
      <c r="F163" s="562">
        <v>0.0</v>
      </c>
      <c r="G163" s="562">
        <v>8.0</v>
      </c>
      <c r="H163" s="562">
        <v>0.0</v>
      </c>
      <c r="I163" s="423"/>
      <c r="J163" s="423"/>
      <c r="K163" s="423"/>
      <c r="L163" s="423"/>
      <c r="M163" s="423"/>
      <c r="N163" s="423"/>
      <c r="O163" s="423"/>
      <c r="P163" s="423"/>
      <c r="Q163" s="423"/>
      <c r="R163" s="423"/>
      <c r="S163" s="423"/>
      <c r="T163" s="423"/>
      <c r="U163" s="423"/>
      <c r="V163" s="423"/>
      <c r="W163" s="423"/>
      <c r="X163" s="423"/>
      <c r="Y163" s="423"/>
      <c r="Z163" s="423"/>
    </row>
    <row r="164">
      <c r="A164" s="564">
        <v>162.0</v>
      </c>
      <c r="B164" s="565" t="s">
        <v>1371</v>
      </c>
      <c r="C164" s="565" t="s">
        <v>5249</v>
      </c>
      <c r="D164" s="564">
        <v>0.0</v>
      </c>
      <c r="E164" s="564">
        <v>0.0</v>
      </c>
      <c r="F164" s="564">
        <v>0.0</v>
      </c>
      <c r="G164" s="564">
        <v>8.0</v>
      </c>
      <c r="H164" s="564">
        <v>0.0</v>
      </c>
      <c r="I164" s="423"/>
      <c r="J164" s="423"/>
      <c r="K164" s="423"/>
      <c r="L164" s="423"/>
      <c r="M164" s="423"/>
      <c r="N164" s="423"/>
      <c r="O164" s="423"/>
      <c r="P164" s="423"/>
      <c r="Q164" s="423"/>
      <c r="R164" s="423"/>
      <c r="S164" s="423"/>
      <c r="T164" s="423"/>
      <c r="U164" s="423"/>
      <c r="V164" s="423"/>
      <c r="W164" s="423"/>
      <c r="X164" s="423"/>
      <c r="Y164" s="423"/>
      <c r="Z164" s="423"/>
    </row>
    <row r="165">
      <c r="A165" s="562">
        <v>163.0</v>
      </c>
      <c r="B165" s="563" t="s">
        <v>1372</v>
      </c>
      <c r="C165" s="563" t="s">
        <v>5249</v>
      </c>
      <c r="D165" s="562">
        <v>0.0</v>
      </c>
      <c r="E165" s="562">
        <v>0.0</v>
      </c>
      <c r="F165" s="562">
        <v>0.0</v>
      </c>
      <c r="G165" s="562">
        <v>8.0</v>
      </c>
      <c r="H165" s="562">
        <v>0.0</v>
      </c>
      <c r="I165" s="423"/>
      <c r="J165" s="423"/>
      <c r="K165" s="423"/>
      <c r="L165" s="423"/>
      <c r="M165" s="423"/>
      <c r="N165" s="423"/>
      <c r="O165" s="423"/>
      <c r="P165" s="423"/>
      <c r="Q165" s="423"/>
      <c r="R165" s="423"/>
      <c r="S165" s="423"/>
      <c r="T165" s="423"/>
      <c r="U165" s="423"/>
      <c r="V165" s="423"/>
      <c r="W165" s="423"/>
      <c r="X165" s="423"/>
      <c r="Y165" s="423"/>
      <c r="Z165" s="423"/>
    </row>
    <row r="166">
      <c r="A166" s="564">
        <v>164.0</v>
      </c>
      <c r="B166" s="565" t="s">
        <v>1373</v>
      </c>
      <c r="C166" s="565" t="s">
        <v>5249</v>
      </c>
      <c r="D166" s="564">
        <v>0.0</v>
      </c>
      <c r="E166" s="564">
        <v>0.0</v>
      </c>
      <c r="F166" s="564">
        <v>0.0</v>
      </c>
      <c r="G166" s="564">
        <v>8.0</v>
      </c>
      <c r="H166" s="564">
        <v>0.0</v>
      </c>
      <c r="I166" s="423"/>
      <c r="J166" s="423"/>
      <c r="K166" s="423"/>
      <c r="L166" s="423"/>
      <c r="M166" s="423"/>
      <c r="N166" s="423"/>
      <c r="O166" s="423"/>
      <c r="P166" s="423"/>
      <c r="Q166" s="423"/>
      <c r="R166" s="423"/>
      <c r="S166" s="423"/>
      <c r="T166" s="423"/>
      <c r="U166" s="423"/>
      <c r="V166" s="423"/>
      <c r="W166" s="423"/>
      <c r="X166" s="423"/>
      <c r="Y166" s="423"/>
      <c r="Z166" s="423"/>
    </row>
    <row r="167">
      <c r="A167" s="562">
        <v>165.0</v>
      </c>
      <c r="B167" s="563" t="s">
        <v>1374</v>
      </c>
      <c r="C167" s="563" t="s">
        <v>5249</v>
      </c>
      <c r="D167" s="562">
        <v>0.0</v>
      </c>
      <c r="E167" s="562">
        <v>0.0</v>
      </c>
      <c r="F167" s="562">
        <v>0.0</v>
      </c>
      <c r="G167" s="562">
        <v>8.0</v>
      </c>
      <c r="H167" s="562">
        <v>0.0</v>
      </c>
      <c r="I167" s="423"/>
      <c r="J167" s="423"/>
      <c r="K167" s="423"/>
      <c r="L167" s="423"/>
      <c r="M167" s="423"/>
      <c r="N167" s="423"/>
      <c r="O167" s="423"/>
      <c r="P167" s="423"/>
      <c r="Q167" s="423"/>
      <c r="R167" s="423"/>
      <c r="S167" s="423"/>
      <c r="T167" s="423"/>
      <c r="U167" s="423"/>
      <c r="V167" s="423"/>
      <c r="W167" s="423"/>
      <c r="X167" s="423"/>
      <c r="Y167" s="423"/>
      <c r="Z167" s="423"/>
    </row>
    <row r="168">
      <c r="A168" s="564">
        <v>166.0</v>
      </c>
      <c r="B168" s="565" t="s">
        <v>1375</v>
      </c>
      <c r="C168" s="565" t="s">
        <v>5249</v>
      </c>
      <c r="D168" s="564">
        <v>0.0</v>
      </c>
      <c r="E168" s="564">
        <v>0.0</v>
      </c>
      <c r="F168" s="564">
        <v>0.0</v>
      </c>
      <c r="G168" s="564">
        <v>8.0</v>
      </c>
      <c r="H168" s="564">
        <v>0.0</v>
      </c>
      <c r="I168" s="423"/>
      <c r="J168" s="423"/>
      <c r="K168" s="423"/>
      <c r="L168" s="423"/>
      <c r="M168" s="423"/>
      <c r="N168" s="423"/>
      <c r="O168" s="423"/>
      <c r="P168" s="423"/>
      <c r="Q168" s="423"/>
      <c r="R168" s="423"/>
      <c r="S168" s="423"/>
      <c r="T168" s="423"/>
      <c r="U168" s="423"/>
      <c r="V168" s="423"/>
      <c r="W168" s="423"/>
      <c r="X168" s="423"/>
      <c r="Y168" s="423"/>
      <c r="Z168" s="423"/>
    </row>
    <row r="169">
      <c r="A169" s="562">
        <v>167.0</v>
      </c>
      <c r="B169" s="563" t="s">
        <v>1376</v>
      </c>
      <c r="C169" s="563" t="s">
        <v>5249</v>
      </c>
      <c r="D169" s="562">
        <v>1.0</v>
      </c>
      <c r="E169" s="562">
        <v>0.0</v>
      </c>
      <c r="F169" s="562">
        <v>0.0</v>
      </c>
      <c r="G169" s="562">
        <v>7.0</v>
      </c>
      <c r="H169" s="562">
        <v>0.0</v>
      </c>
      <c r="I169" s="423"/>
      <c r="J169" s="423"/>
      <c r="K169" s="423"/>
      <c r="L169" s="423"/>
      <c r="M169" s="423"/>
      <c r="N169" s="423"/>
      <c r="O169" s="423"/>
      <c r="P169" s="423"/>
      <c r="Q169" s="423"/>
      <c r="R169" s="423"/>
      <c r="S169" s="423"/>
      <c r="T169" s="423"/>
      <c r="U169" s="423"/>
      <c r="V169" s="423"/>
      <c r="W169" s="423"/>
      <c r="X169" s="423"/>
      <c r="Y169" s="423"/>
      <c r="Z169" s="423"/>
    </row>
    <row r="170">
      <c r="A170" s="564">
        <v>168.0</v>
      </c>
      <c r="B170" s="565" t="s">
        <v>1377</v>
      </c>
      <c r="C170" s="565" t="s">
        <v>5249</v>
      </c>
      <c r="D170" s="564">
        <v>3.0</v>
      </c>
      <c r="E170" s="564">
        <v>0.0</v>
      </c>
      <c r="F170" s="564">
        <v>0.0</v>
      </c>
      <c r="G170" s="564">
        <v>5.0</v>
      </c>
      <c r="H170" s="564">
        <v>0.0</v>
      </c>
      <c r="I170" s="423"/>
      <c r="J170" s="423"/>
      <c r="K170" s="423"/>
      <c r="L170" s="423"/>
      <c r="M170" s="423"/>
      <c r="N170" s="423"/>
      <c r="O170" s="423"/>
      <c r="P170" s="423"/>
      <c r="Q170" s="423"/>
      <c r="R170" s="423"/>
      <c r="S170" s="423"/>
      <c r="T170" s="423"/>
      <c r="U170" s="423"/>
      <c r="V170" s="423"/>
      <c r="W170" s="423"/>
      <c r="X170" s="423"/>
      <c r="Y170" s="423"/>
      <c r="Z170" s="423"/>
    </row>
    <row r="171">
      <c r="A171" s="562">
        <v>169.0</v>
      </c>
      <c r="B171" s="563" t="s">
        <v>5618</v>
      </c>
      <c r="C171" s="563" t="s">
        <v>5249</v>
      </c>
      <c r="D171" s="562">
        <v>0.0</v>
      </c>
      <c r="E171" s="562">
        <v>0.0</v>
      </c>
      <c r="F171" s="562">
        <v>0.0</v>
      </c>
      <c r="G171" s="562">
        <v>8.0</v>
      </c>
      <c r="H171" s="562">
        <v>0.0</v>
      </c>
      <c r="I171" s="423"/>
      <c r="J171" s="423"/>
      <c r="K171" s="423"/>
      <c r="L171" s="423"/>
      <c r="M171" s="423"/>
      <c r="N171" s="423"/>
      <c r="O171" s="423"/>
      <c r="P171" s="423"/>
      <c r="Q171" s="423"/>
      <c r="R171" s="423"/>
      <c r="S171" s="423"/>
      <c r="T171" s="423"/>
      <c r="U171" s="423"/>
      <c r="V171" s="423"/>
      <c r="W171" s="423"/>
      <c r="X171" s="423"/>
      <c r="Y171" s="423"/>
      <c r="Z171" s="423"/>
    </row>
    <row r="172">
      <c r="A172" s="564">
        <v>170.0</v>
      </c>
      <c r="B172" s="565" t="s">
        <v>1379</v>
      </c>
      <c r="C172" s="565" t="s">
        <v>5249</v>
      </c>
      <c r="D172" s="564">
        <v>4.0</v>
      </c>
      <c r="E172" s="564">
        <v>0.0</v>
      </c>
      <c r="F172" s="564">
        <v>0.0</v>
      </c>
      <c r="G172" s="564">
        <v>4.0</v>
      </c>
      <c r="H172" s="564">
        <v>0.0</v>
      </c>
      <c r="I172" s="423"/>
      <c r="J172" s="423"/>
      <c r="K172" s="423"/>
      <c r="L172" s="423"/>
      <c r="M172" s="423"/>
      <c r="N172" s="423"/>
      <c r="O172" s="423"/>
      <c r="P172" s="423"/>
      <c r="Q172" s="423"/>
      <c r="R172" s="423"/>
      <c r="S172" s="423"/>
      <c r="T172" s="423"/>
      <c r="U172" s="423"/>
      <c r="V172" s="423"/>
      <c r="W172" s="423"/>
      <c r="X172" s="423"/>
      <c r="Y172" s="423"/>
      <c r="Z172" s="423"/>
    </row>
    <row r="173">
      <c r="A173" s="562">
        <v>171.0</v>
      </c>
      <c r="B173" s="563" t="s">
        <v>1380</v>
      </c>
      <c r="C173" s="563" t="s">
        <v>5249</v>
      </c>
      <c r="D173" s="562">
        <v>2.0</v>
      </c>
      <c r="E173" s="562">
        <v>0.0</v>
      </c>
      <c r="F173" s="562">
        <v>0.0</v>
      </c>
      <c r="G173" s="562">
        <v>6.0</v>
      </c>
      <c r="H173" s="562">
        <v>0.0</v>
      </c>
      <c r="I173" s="423"/>
      <c r="J173" s="423"/>
      <c r="K173" s="423"/>
      <c r="L173" s="423"/>
      <c r="M173" s="423"/>
      <c r="N173" s="423"/>
      <c r="O173" s="423"/>
      <c r="P173" s="423"/>
      <c r="Q173" s="423"/>
      <c r="R173" s="423"/>
      <c r="S173" s="423"/>
      <c r="T173" s="423"/>
      <c r="U173" s="423"/>
      <c r="V173" s="423"/>
      <c r="W173" s="423"/>
      <c r="X173" s="423"/>
      <c r="Y173" s="423"/>
      <c r="Z173" s="423"/>
    </row>
    <row r="174">
      <c r="A174" s="564">
        <v>172.0</v>
      </c>
      <c r="B174" s="565" t="s">
        <v>1381</v>
      </c>
      <c r="C174" s="565" t="s">
        <v>5249</v>
      </c>
      <c r="D174" s="564">
        <v>2.0</v>
      </c>
      <c r="E174" s="564">
        <v>0.0</v>
      </c>
      <c r="F174" s="564">
        <v>0.0</v>
      </c>
      <c r="G174" s="564">
        <v>6.0</v>
      </c>
      <c r="H174" s="564">
        <v>0.0</v>
      </c>
      <c r="I174" s="423"/>
      <c r="J174" s="423"/>
      <c r="K174" s="423"/>
      <c r="L174" s="423"/>
      <c r="M174" s="423"/>
      <c r="N174" s="423"/>
      <c r="O174" s="423"/>
      <c r="P174" s="423"/>
      <c r="Q174" s="423"/>
      <c r="R174" s="423"/>
      <c r="S174" s="423"/>
      <c r="T174" s="423"/>
      <c r="U174" s="423"/>
      <c r="V174" s="423"/>
      <c r="W174" s="423"/>
      <c r="X174" s="423"/>
      <c r="Y174" s="423"/>
      <c r="Z174" s="423"/>
    </row>
    <row r="175">
      <c r="A175" s="562">
        <v>173.0</v>
      </c>
      <c r="B175" s="563" t="s">
        <v>1382</v>
      </c>
      <c r="C175" s="563" t="s">
        <v>5249</v>
      </c>
      <c r="D175" s="562">
        <v>1.0</v>
      </c>
      <c r="E175" s="562">
        <v>0.0</v>
      </c>
      <c r="F175" s="562">
        <v>0.0</v>
      </c>
      <c r="G175" s="562">
        <v>7.0</v>
      </c>
      <c r="H175" s="562">
        <v>0.0</v>
      </c>
      <c r="I175" s="423"/>
      <c r="J175" s="423"/>
      <c r="K175" s="423"/>
      <c r="L175" s="423"/>
      <c r="M175" s="423"/>
      <c r="N175" s="423"/>
      <c r="O175" s="423"/>
      <c r="P175" s="423"/>
      <c r="Q175" s="423"/>
      <c r="R175" s="423"/>
      <c r="S175" s="423"/>
      <c r="T175" s="423"/>
      <c r="U175" s="423"/>
      <c r="V175" s="423"/>
      <c r="W175" s="423"/>
      <c r="X175" s="423"/>
      <c r="Y175" s="423"/>
      <c r="Z175" s="423"/>
    </row>
    <row r="176">
      <c r="A176" s="564">
        <v>174.0</v>
      </c>
      <c r="B176" s="565" t="s">
        <v>1383</v>
      </c>
      <c r="C176" s="565" t="s">
        <v>5249</v>
      </c>
      <c r="D176" s="564">
        <v>3.0</v>
      </c>
      <c r="E176" s="564">
        <v>0.0</v>
      </c>
      <c r="F176" s="564">
        <v>0.0</v>
      </c>
      <c r="G176" s="564">
        <v>5.0</v>
      </c>
      <c r="H176" s="564">
        <v>0.0</v>
      </c>
      <c r="I176" s="423"/>
      <c r="J176" s="423"/>
      <c r="K176" s="423"/>
      <c r="L176" s="423"/>
      <c r="M176" s="423"/>
      <c r="N176" s="423"/>
      <c r="O176" s="423"/>
      <c r="P176" s="423"/>
      <c r="Q176" s="423"/>
      <c r="R176" s="423"/>
      <c r="S176" s="423"/>
      <c r="T176" s="423"/>
      <c r="U176" s="423"/>
      <c r="V176" s="423"/>
      <c r="W176" s="423"/>
      <c r="X176" s="423"/>
      <c r="Y176" s="423"/>
      <c r="Z176" s="423"/>
    </row>
    <row r="177">
      <c r="A177" s="562">
        <v>175.0</v>
      </c>
      <c r="B177" s="563" t="s">
        <v>1384</v>
      </c>
      <c r="C177" s="563" t="s">
        <v>5249</v>
      </c>
      <c r="D177" s="562">
        <v>2.0</v>
      </c>
      <c r="E177" s="562">
        <v>0.0</v>
      </c>
      <c r="F177" s="562">
        <v>0.0</v>
      </c>
      <c r="G177" s="562">
        <v>6.0</v>
      </c>
      <c r="H177" s="562">
        <v>0.0</v>
      </c>
      <c r="I177" s="423"/>
      <c r="J177" s="423"/>
      <c r="K177" s="423"/>
      <c r="L177" s="423"/>
      <c r="M177" s="423"/>
      <c r="N177" s="423"/>
      <c r="O177" s="423"/>
      <c r="P177" s="423"/>
      <c r="Q177" s="423"/>
      <c r="R177" s="423"/>
      <c r="S177" s="423"/>
      <c r="T177" s="423"/>
      <c r="U177" s="423"/>
      <c r="V177" s="423"/>
      <c r="W177" s="423"/>
      <c r="X177" s="423"/>
      <c r="Y177" s="423"/>
      <c r="Z177" s="423"/>
    </row>
    <row r="178">
      <c r="A178" s="564">
        <v>176.0</v>
      </c>
      <c r="B178" s="565" t="s">
        <v>1385</v>
      </c>
      <c r="C178" s="565" t="s">
        <v>5249</v>
      </c>
      <c r="D178" s="564">
        <v>3.0</v>
      </c>
      <c r="E178" s="564">
        <v>0.0</v>
      </c>
      <c r="F178" s="564">
        <v>0.0</v>
      </c>
      <c r="G178" s="564">
        <v>5.0</v>
      </c>
      <c r="H178" s="564">
        <v>0.0</v>
      </c>
      <c r="I178" s="423"/>
      <c r="J178" s="423"/>
      <c r="K178" s="423"/>
      <c r="L178" s="423"/>
      <c r="M178" s="423"/>
      <c r="N178" s="423"/>
      <c r="O178" s="423"/>
      <c r="P178" s="423"/>
      <c r="Q178" s="423"/>
      <c r="R178" s="423"/>
      <c r="S178" s="423"/>
      <c r="T178" s="423"/>
      <c r="U178" s="423"/>
      <c r="V178" s="423"/>
      <c r="W178" s="423"/>
      <c r="X178" s="423"/>
      <c r="Y178" s="423"/>
      <c r="Z178" s="423"/>
    </row>
    <row r="179">
      <c r="A179" s="562">
        <v>177.0</v>
      </c>
      <c r="B179" s="563" t="s">
        <v>1386</v>
      </c>
      <c r="C179" s="563" t="s">
        <v>5249</v>
      </c>
      <c r="D179" s="562">
        <v>1.0</v>
      </c>
      <c r="E179" s="562">
        <v>0.0</v>
      </c>
      <c r="F179" s="562">
        <v>0.0</v>
      </c>
      <c r="G179" s="562">
        <v>7.0</v>
      </c>
      <c r="H179" s="562">
        <v>0.0</v>
      </c>
      <c r="I179" s="423"/>
      <c r="J179" s="423"/>
      <c r="K179" s="423"/>
      <c r="L179" s="423"/>
      <c r="M179" s="423"/>
      <c r="N179" s="423"/>
      <c r="O179" s="423"/>
      <c r="P179" s="423"/>
      <c r="Q179" s="423"/>
      <c r="R179" s="423"/>
      <c r="S179" s="423"/>
      <c r="T179" s="423"/>
      <c r="U179" s="423"/>
      <c r="V179" s="423"/>
      <c r="W179" s="423"/>
      <c r="X179" s="423"/>
      <c r="Y179" s="423"/>
      <c r="Z179" s="423"/>
    </row>
    <row r="180">
      <c r="A180" s="564">
        <v>178.0</v>
      </c>
      <c r="B180" s="565" t="s">
        <v>1387</v>
      </c>
      <c r="C180" s="565" t="s">
        <v>5249</v>
      </c>
      <c r="D180" s="564">
        <v>2.0</v>
      </c>
      <c r="E180" s="564">
        <v>0.0</v>
      </c>
      <c r="F180" s="564">
        <v>0.0</v>
      </c>
      <c r="G180" s="564">
        <v>6.0</v>
      </c>
      <c r="H180" s="564">
        <v>0.0</v>
      </c>
      <c r="I180" s="423"/>
      <c r="J180" s="423"/>
      <c r="K180" s="423"/>
      <c r="L180" s="423"/>
      <c r="M180" s="423"/>
      <c r="N180" s="423"/>
      <c r="O180" s="423"/>
      <c r="P180" s="423"/>
      <c r="Q180" s="423"/>
      <c r="R180" s="423"/>
      <c r="S180" s="423"/>
      <c r="T180" s="423"/>
      <c r="U180" s="423"/>
      <c r="V180" s="423"/>
      <c r="W180" s="423"/>
      <c r="X180" s="423"/>
      <c r="Y180" s="423"/>
      <c r="Z180" s="423"/>
    </row>
    <row r="181">
      <c r="A181" s="562">
        <v>179.0</v>
      </c>
      <c r="B181" s="563" t="s">
        <v>1388</v>
      </c>
      <c r="C181" s="563" t="s">
        <v>5249</v>
      </c>
      <c r="D181" s="562">
        <v>2.0</v>
      </c>
      <c r="E181" s="562">
        <v>0.0</v>
      </c>
      <c r="F181" s="562">
        <v>0.0</v>
      </c>
      <c r="G181" s="562">
        <v>6.0</v>
      </c>
      <c r="H181" s="562">
        <v>0.0</v>
      </c>
      <c r="I181" s="423"/>
      <c r="J181" s="423"/>
      <c r="K181" s="423"/>
      <c r="L181" s="423"/>
      <c r="M181" s="423"/>
      <c r="N181" s="423"/>
      <c r="O181" s="423"/>
      <c r="P181" s="423"/>
      <c r="Q181" s="423"/>
      <c r="R181" s="423"/>
      <c r="S181" s="423"/>
      <c r="T181" s="423"/>
      <c r="U181" s="423"/>
      <c r="V181" s="423"/>
      <c r="W181" s="423"/>
      <c r="X181" s="423"/>
      <c r="Y181" s="423"/>
      <c r="Z181" s="423"/>
    </row>
    <row r="182">
      <c r="A182" s="564">
        <v>180.0</v>
      </c>
      <c r="B182" s="565" t="s">
        <v>1389</v>
      </c>
      <c r="C182" s="565" t="s">
        <v>5249</v>
      </c>
      <c r="D182" s="564">
        <v>1.0</v>
      </c>
      <c r="E182" s="564">
        <v>0.0</v>
      </c>
      <c r="F182" s="564">
        <v>0.0</v>
      </c>
      <c r="G182" s="564">
        <v>7.0</v>
      </c>
      <c r="H182" s="564">
        <v>0.0</v>
      </c>
      <c r="I182" s="423"/>
      <c r="J182" s="423"/>
      <c r="K182" s="423"/>
      <c r="L182" s="423"/>
      <c r="M182" s="423"/>
      <c r="N182" s="423"/>
      <c r="O182" s="423"/>
      <c r="P182" s="423"/>
      <c r="Q182" s="423"/>
      <c r="R182" s="423"/>
      <c r="S182" s="423"/>
      <c r="T182" s="423"/>
      <c r="U182" s="423"/>
      <c r="V182" s="423"/>
      <c r="W182" s="423"/>
      <c r="X182" s="423"/>
      <c r="Y182" s="423"/>
      <c r="Z182" s="423"/>
    </row>
    <row r="183">
      <c r="A183" s="562">
        <v>181.0</v>
      </c>
      <c r="B183" s="563" t="s">
        <v>1390</v>
      </c>
      <c r="C183" s="563" t="s">
        <v>5249</v>
      </c>
      <c r="D183" s="562">
        <v>1.0</v>
      </c>
      <c r="E183" s="562">
        <v>0.0</v>
      </c>
      <c r="F183" s="562">
        <v>0.0</v>
      </c>
      <c r="G183" s="562">
        <v>7.0</v>
      </c>
      <c r="H183" s="562">
        <v>0.0</v>
      </c>
      <c r="I183" s="423"/>
      <c r="J183" s="423"/>
      <c r="K183" s="423"/>
      <c r="L183" s="423"/>
      <c r="M183" s="423"/>
      <c r="N183" s="423"/>
      <c r="O183" s="423"/>
      <c r="P183" s="423"/>
      <c r="Q183" s="423"/>
      <c r="R183" s="423"/>
      <c r="S183" s="423"/>
      <c r="T183" s="423"/>
      <c r="U183" s="423"/>
      <c r="V183" s="423"/>
      <c r="W183" s="423"/>
      <c r="X183" s="423"/>
      <c r="Y183" s="423"/>
      <c r="Z183" s="423"/>
    </row>
    <row r="184">
      <c r="A184" s="564">
        <v>182.0</v>
      </c>
      <c r="B184" s="565" t="s">
        <v>1391</v>
      </c>
      <c r="C184" s="565" t="s">
        <v>5249</v>
      </c>
      <c r="D184" s="564">
        <v>3.0</v>
      </c>
      <c r="E184" s="564">
        <v>0.0</v>
      </c>
      <c r="F184" s="564">
        <v>0.0</v>
      </c>
      <c r="G184" s="564">
        <v>5.0</v>
      </c>
      <c r="H184" s="564">
        <v>0.0</v>
      </c>
      <c r="I184" s="423"/>
      <c r="J184" s="423"/>
      <c r="K184" s="423"/>
      <c r="L184" s="423"/>
      <c r="M184" s="423"/>
      <c r="N184" s="423"/>
      <c r="O184" s="423"/>
      <c r="P184" s="423"/>
      <c r="Q184" s="423"/>
      <c r="R184" s="423"/>
      <c r="S184" s="423"/>
      <c r="T184" s="423"/>
      <c r="U184" s="423"/>
      <c r="V184" s="423"/>
      <c r="W184" s="423"/>
      <c r="X184" s="423"/>
      <c r="Y184" s="423"/>
      <c r="Z184" s="423"/>
    </row>
    <row r="185">
      <c r="A185" s="562">
        <v>183.0</v>
      </c>
      <c r="B185" s="563" t="s">
        <v>1392</v>
      </c>
      <c r="C185" s="563" t="s">
        <v>5249</v>
      </c>
      <c r="D185" s="562">
        <v>1.0</v>
      </c>
      <c r="E185" s="562">
        <v>0.0</v>
      </c>
      <c r="F185" s="562">
        <v>0.0</v>
      </c>
      <c r="G185" s="562">
        <v>7.0</v>
      </c>
      <c r="H185" s="562">
        <v>0.0</v>
      </c>
      <c r="I185" s="423"/>
      <c r="J185" s="423"/>
      <c r="K185" s="423"/>
      <c r="L185" s="423"/>
      <c r="M185" s="423"/>
      <c r="N185" s="423"/>
      <c r="O185" s="423"/>
      <c r="P185" s="423"/>
      <c r="Q185" s="423"/>
      <c r="R185" s="423"/>
      <c r="S185" s="423"/>
      <c r="T185" s="423"/>
      <c r="U185" s="423"/>
      <c r="V185" s="423"/>
      <c r="W185" s="423"/>
      <c r="X185" s="423"/>
      <c r="Y185" s="423"/>
      <c r="Z185" s="423"/>
    </row>
    <row r="186">
      <c r="A186" s="564">
        <v>184.0</v>
      </c>
      <c r="B186" s="565" t="s">
        <v>1393</v>
      </c>
      <c r="C186" s="565" t="s">
        <v>5249</v>
      </c>
      <c r="D186" s="564">
        <v>2.0</v>
      </c>
      <c r="E186" s="564">
        <v>0.0</v>
      </c>
      <c r="F186" s="564">
        <v>0.0</v>
      </c>
      <c r="G186" s="564">
        <v>6.0</v>
      </c>
      <c r="H186" s="564">
        <v>0.0</v>
      </c>
      <c r="I186" s="423"/>
      <c r="J186" s="423"/>
      <c r="K186" s="423"/>
      <c r="L186" s="423"/>
      <c r="M186" s="423"/>
      <c r="N186" s="423"/>
      <c r="O186" s="423"/>
      <c r="P186" s="423"/>
      <c r="Q186" s="423"/>
      <c r="R186" s="423"/>
      <c r="S186" s="423"/>
      <c r="T186" s="423"/>
      <c r="U186" s="423"/>
      <c r="V186" s="423"/>
      <c r="W186" s="423"/>
      <c r="X186" s="423"/>
      <c r="Y186" s="423"/>
      <c r="Z186" s="423"/>
    </row>
    <row r="187">
      <c r="A187" s="562">
        <v>185.0</v>
      </c>
      <c r="B187" s="563" t="s">
        <v>1394</v>
      </c>
      <c r="C187" s="563" t="s">
        <v>5249</v>
      </c>
      <c r="D187" s="562">
        <v>3.0</v>
      </c>
      <c r="E187" s="562">
        <v>0.0</v>
      </c>
      <c r="F187" s="562">
        <v>0.0</v>
      </c>
      <c r="G187" s="562">
        <v>5.0</v>
      </c>
      <c r="H187" s="562">
        <v>0.0</v>
      </c>
      <c r="I187" s="423"/>
      <c r="J187" s="423"/>
      <c r="K187" s="423"/>
      <c r="L187" s="423"/>
      <c r="M187" s="423"/>
      <c r="N187" s="423"/>
      <c r="O187" s="423"/>
      <c r="P187" s="423"/>
      <c r="Q187" s="423"/>
      <c r="R187" s="423"/>
      <c r="S187" s="423"/>
      <c r="T187" s="423"/>
      <c r="U187" s="423"/>
      <c r="V187" s="423"/>
      <c r="W187" s="423"/>
      <c r="X187" s="423"/>
      <c r="Y187" s="423"/>
      <c r="Z187" s="423"/>
    </row>
    <row r="188">
      <c r="A188" s="564">
        <v>186.0</v>
      </c>
      <c r="B188" s="565" t="s">
        <v>1395</v>
      </c>
      <c r="C188" s="565" t="s">
        <v>5249</v>
      </c>
      <c r="D188" s="564">
        <v>3.0</v>
      </c>
      <c r="E188" s="564">
        <v>0.0</v>
      </c>
      <c r="F188" s="564">
        <v>0.0</v>
      </c>
      <c r="G188" s="564">
        <v>5.0</v>
      </c>
      <c r="H188" s="564">
        <v>0.0</v>
      </c>
      <c r="I188" s="423"/>
      <c r="J188" s="423"/>
      <c r="K188" s="423"/>
      <c r="L188" s="423"/>
      <c r="M188" s="423"/>
      <c r="N188" s="423"/>
      <c r="O188" s="423"/>
      <c r="P188" s="423"/>
      <c r="Q188" s="423"/>
      <c r="R188" s="423"/>
      <c r="S188" s="423"/>
      <c r="T188" s="423"/>
      <c r="U188" s="423"/>
      <c r="V188" s="423"/>
      <c r="W188" s="423"/>
      <c r="X188" s="423"/>
      <c r="Y188" s="423"/>
      <c r="Z188" s="423"/>
    </row>
    <row r="189">
      <c r="A189" s="562">
        <v>187.0</v>
      </c>
      <c r="B189" s="563" t="s">
        <v>1396</v>
      </c>
      <c r="C189" s="563" t="s">
        <v>5249</v>
      </c>
      <c r="D189" s="562">
        <v>1.0</v>
      </c>
      <c r="E189" s="562">
        <v>0.0</v>
      </c>
      <c r="F189" s="562">
        <v>0.0</v>
      </c>
      <c r="G189" s="562">
        <v>7.0</v>
      </c>
      <c r="H189" s="562">
        <v>0.0</v>
      </c>
      <c r="I189" s="423"/>
      <c r="J189" s="423"/>
      <c r="K189" s="423"/>
      <c r="L189" s="423"/>
      <c r="M189" s="423"/>
      <c r="N189" s="423"/>
      <c r="O189" s="423"/>
      <c r="P189" s="423"/>
      <c r="Q189" s="423"/>
      <c r="R189" s="423"/>
      <c r="S189" s="423"/>
      <c r="T189" s="423"/>
      <c r="U189" s="423"/>
      <c r="V189" s="423"/>
      <c r="W189" s="423"/>
      <c r="X189" s="423"/>
      <c r="Y189" s="423"/>
      <c r="Z189" s="423"/>
    </row>
    <row r="190">
      <c r="A190" s="564">
        <v>188.0</v>
      </c>
      <c r="B190" s="565" t="s">
        <v>1397</v>
      </c>
      <c r="C190" s="565" t="s">
        <v>5249</v>
      </c>
      <c r="D190" s="564">
        <v>2.0</v>
      </c>
      <c r="E190" s="564">
        <v>0.0</v>
      </c>
      <c r="F190" s="564">
        <v>0.0</v>
      </c>
      <c r="G190" s="564">
        <v>6.0</v>
      </c>
      <c r="H190" s="564">
        <v>0.0</v>
      </c>
      <c r="I190" s="423"/>
      <c r="J190" s="423"/>
      <c r="K190" s="423"/>
      <c r="L190" s="423"/>
      <c r="M190" s="423"/>
      <c r="N190" s="423"/>
      <c r="O190" s="423"/>
      <c r="P190" s="423"/>
      <c r="Q190" s="423"/>
      <c r="R190" s="423"/>
      <c r="S190" s="423"/>
      <c r="T190" s="423"/>
      <c r="U190" s="423"/>
      <c r="V190" s="423"/>
      <c r="W190" s="423"/>
      <c r="X190" s="423"/>
      <c r="Y190" s="423"/>
      <c r="Z190" s="423"/>
    </row>
    <row r="191">
      <c r="A191" s="562">
        <v>189.0</v>
      </c>
      <c r="B191" s="563" t="s">
        <v>1398</v>
      </c>
      <c r="C191" s="563" t="s">
        <v>5249</v>
      </c>
      <c r="D191" s="562">
        <v>4.0</v>
      </c>
      <c r="E191" s="562">
        <v>0.0</v>
      </c>
      <c r="F191" s="562">
        <v>0.0</v>
      </c>
      <c r="G191" s="562">
        <v>4.0</v>
      </c>
      <c r="H191" s="562">
        <v>0.0</v>
      </c>
      <c r="I191" s="423"/>
      <c r="J191" s="423"/>
      <c r="K191" s="423"/>
      <c r="L191" s="423"/>
      <c r="M191" s="423"/>
      <c r="N191" s="423"/>
      <c r="O191" s="423"/>
      <c r="P191" s="423"/>
      <c r="Q191" s="423"/>
      <c r="R191" s="423"/>
      <c r="S191" s="423"/>
      <c r="T191" s="423"/>
      <c r="U191" s="423"/>
      <c r="V191" s="423"/>
      <c r="W191" s="423"/>
      <c r="X191" s="423"/>
      <c r="Y191" s="423"/>
      <c r="Z191" s="423"/>
    </row>
    <row r="192">
      <c r="A192" s="564">
        <v>190.0</v>
      </c>
      <c r="B192" s="565" t="s">
        <v>1399</v>
      </c>
      <c r="C192" s="565" t="s">
        <v>5249</v>
      </c>
      <c r="D192" s="564">
        <v>2.0</v>
      </c>
      <c r="E192" s="564">
        <v>0.0</v>
      </c>
      <c r="F192" s="564">
        <v>0.0</v>
      </c>
      <c r="G192" s="564">
        <v>6.0</v>
      </c>
      <c r="H192" s="564">
        <v>0.0</v>
      </c>
      <c r="I192" s="423"/>
      <c r="J192" s="423"/>
      <c r="K192" s="423"/>
      <c r="L192" s="423"/>
      <c r="M192" s="423"/>
      <c r="N192" s="423"/>
      <c r="O192" s="423"/>
      <c r="P192" s="423"/>
      <c r="Q192" s="423"/>
      <c r="R192" s="423"/>
      <c r="S192" s="423"/>
      <c r="T192" s="423"/>
      <c r="U192" s="423"/>
      <c r="V192" s="423"/>
      <c r="W192" s="423"/>
      <c r="X192" s="423"/>
      <c r="Y192" s="423"/>
      <c r="Z192" s="423"/>
    </row>
    <row r="193">
      <c r="A193" s="562">
        <v>191.0</v>
      </c>
      <c r="B193" s="563" t="s">
        <v>1400</v>
      </c>
      <c r="C193" s="563" t="s">
        <v>5253</v>
      </c>
      <c r="D193" s="562">
        <v>1.0</v>
      </c>
      <c r="E193" s="562">
        <v>0.0</v>
      </c>
      <c r="F193" s="562">
        <v>0.0</v>
      </c>
      <c r="G193" s="562">
        <v>7.0</v>
      </c>
      <c r="H193" s="562">
        <v>0.0</v>
      </c>
      <c r="I193" s="423"/>
      <c r="J193" s="423"/>
      <c r="K193" s="423"/>
      <c r="L193" s="423"/>
      <c r="M193" s="423"/>
      <c r="N193" s="423"/>
      <c r="O193" s="423"/>
      <c r="P193" s="423"/>
      <c r="Q193" s="423"/>
      <c r="R193" s="423"/>
      <c r="S193" s="423"/>
      <c r="T193" s="423"/>
      <c r="U193" s="423"/>
      <c r="V193" s="423"/>
      <c r="W193" s="423"/>
      <c r="X193" s="423"/>
      <c r="Y193" s="423"/>
      <c r="Z193" s="423"/>
    </row>
    <row r="194">
      <c r="A194" s="564">
        <v>192.0</v>
      </c>
      <c r="B194" s="565" t="s">
        <v>1402</v>
      </c>
      <c r="C194" s="565" t="s">
        <v>5253</v>
      </c>
      <c r="D194" s="564">
        <v>0.0</v>
      </c>
      <c r="E194" s="564">
        <v>0.0</v>
      </c>
      <c r="F194" s="564">
        <v>0.0</v>
      </c>
      <c r="G194" s="564">
        <v>8.0</v>
      </c>
      <c r="H194" s="564">
        <v>0.0</v>
      </c>
      <c r="I194" s="423"/>
      <c r="J194" s="423"/>
      <c r="K194" s="423"/>
      <c r="L194" s="423"/>
      <c r="M194" s="423"/>
      <c r="N194" s="423"/>
      <c r="O194" s="423"/>
      <c r="P194" s="423"/>
      <c r="Q194" s="423"/>
      <c r="R194" s="423"/>
      <c r="S194" s="423"/>
      <c r="T194" s="423"/>
      <c r="U194" s="423"/>
      <c r="V194" s="423"/>
      <c r="W194" s="423"/>
      <c r="X194" s="423"/>
      <c r="Y194" s="423"/>
      <c r="Z194" s="423"/>
    </row>
    <row r="195">
      <c r="A195" s="562">
        <v>193.0</v>
      </c>
      <c r="B195" s="563" t="s">
        <v>1403</v>
      </c>
      <c r="C195" s="563" t="s">
        <v>5253</v>
      </c>
      <c r="D195" s="562">
        <v>1.0</v>
      </c>
      <c r="E195" s="562">
        <v>0.0</v>
      </c>
      <c r="F195" s="562">
        <v>0.0</v>
      </c>
      <c r="G195" s="562">
        <v>6.0</v>
      </c>
      <c r="H195" s="562">
        <v>1.0</v>
      </c>
      <c r="I195" s="423"/>
      <c r="J195" s="423"/>
      <c r="K195" s="423"/>
      <c r="L195" s="423"/>
      <c r="M195" s="423"/>
      <c r="N195" s="423"/>
      <c r="O195" s="423"/>
      <c r="P195" s="423"/>
      <c r="Q195" s="423"/>
      <c r="R195" s="423"/>
      <c r="S195" s="423"/>
      <c r="T195" s="423"/>
      <c r="U195" s="423"/>
      <c r="V195" s="423"/>
      <c r="W195" s="423"/>
      <c r="X195" s="423"/>
      <c r="Y195" s="423"/>
      <c r="Z195" s="423"/>
    </row>
    <row r="196">
      <c r="A196" s="564">
        <v>194.0</v>
      </c>
      <c r="B196" s="565" t="s">
        <v>1404</v>
      </c>
      <c r="C196" s="565" t="s">
        <v>5253</v>
      </c>
      <c r="D196" s="564">
        <v>3.0</v>
      </c>
      <c r="E196" s="564">
        <v>0.0</v>
      </c>
      <c r="F196" s="564">
        <v>0.0</v>
      </c>
      <c r="G196" s="564">
        <v>5.0</v>
      </c>
      <c r="H196" s="564">
        <v>0.0</v>
      </c>
      <c r="I196" s="423"/>
      <c r="J196" s="423"/>
      <c r="K196" s="423"/>
      <c r="L196" s="423"/>
      <c r="M196" s="423"/>
      <c r="N196" s="423"/>
      <c r="O196" s="423"/>
      <c r="P196" s="423"/>
      <c r="Q196" s="423"/>
      <c r="R196" s="423"/>
      <c r="S196" s="423"/>
      <c r="T196" s="423"/>
      <c r="U196" s="423"/>
      <c r="V196" s="423"/>
      <c r="W196" s="423"/>
      <c r="X196" s="423"/>
      <c r="Y196" s="423"/>
      <c r="Z196" s="423"/>
    </row>
    <row r="197">
      <c r="A197" s="562">
        <v>195.0</v>
      </c>
      <c r="B197" s="563" t="s">
        <v>1405</v>
      </c>
      <c r="C197" s="563" t="s">
        <v>5253</v>
      </c>
      <c r="D197" s="562">
        <v>2.0</v>
      </c>
      <c r="E197" s="562">
        <v>0.0</v>
      </c>
      <c r="F197" s="562">
        <v>0.0</v>
      </c>
      <c r="G197" s="562">
        <v>5.0</v>
      </c>
      <c r="H197" s="562">
        <v>1.0</v>
      </c>
      <c r="I197" s="423"/>
      <c r="J197" s="423"/>
      <c r="K197" s="423"/>
      <c r="L197" s="423"/>
      <c r="M197" s="423"/>
      <c r="N197" s="423"/>
      <c r="O197" s="423"/>
      <c r="P197" s="423"/>
      <c r="Q197" s="423"/>
      <c r="R197" s="423"/>
      <c r="S197" s="423"/>
      <c r="T197" s="423"/>
      <c r="U197" s="423"/>
      <c r="V197" s="423"/>
      <c r="W197" s="423"/>
      <c r="X197" s="423"/>
      <c r="Y197" s="423"/>
      <c r="Z197" s="423"/>
    </row>
    <row r="198">
      <c r="A198" s="564">
        <v>196.0</v>
      </c>
      <c r="B198" s="565" t="s">
        <v>1406</v>
      </c>
      <c r="C198" s="565" t="s">
        <v>5253</v>
      </c>
      <c r="D198" s="564">
        <v>0.0</v>
      </c>
      <c r="E198" s="564">
        <v>0.0</v>
      </c>
      <c r="F198" s="564">
        <v>0.0</v>
      </c>
      <c r="G198" s="564">
        <v>8.0</v>
      </c>
      <c r="H198" s="564">
        <v>0.0</v>
      </c>
      <c r="I198" s="423"/>
      <c r="J198" s="423"/>
      <c r="K198" s="423"/>
      <c r="L198" s="423"/>
      <c r="M198" s="423"/>
      <c r="N198" s="423"/>
      <c r="O198" s="423"/>
      <c r="P198" s="423"/>
      <c r="Q198" s="423"/>
      <c r="R198" s="423"/>
      <c r="S198" s="423"/>
      <c r="T198" s="423"/>
      <c r="U198" s="423"/>
      <c r="V198" s="423"/>
      <c r="W198" s="423"/>
      <c r="X198" s="423"/>
      <c r="Y198" s="423"/>
      <c r="Z198" s="423"/>
    </row>
    <row r="199">
      <c r="A199" s="562">
        <v>197.0</v>
      </c>
      <c r="B199" s="563" t="s">
        <v>1407</v>
      </c>
      <c r="C199" s="563" t="s">
        <v>5253</v>
      </c>
      <c r="D199" s="562">
        <v>1.0</v>
      </c>
      <c r="E199" s="562">
        <v>0.0</v>
      </c>
      <c r="F199" s="562">
        <v>1.0</v>
      </c>
      <c r="G199" s="562">
        <v>6.0</v>
      </c>
      <c r="H199" s="562">
        <v>0.0</v>
      </c>
      <c r="I199" s="423"/>
      <c r="J199" s="423"/>
      <c r="K199" s="423"/>
      <c r="L199" s="423"/>
      <c r="M199" s="423"/>
      <c r="N199" s="423"/>
      <c r="O199" s="423"/>
      <c r="P199" s="423"/>
      <c r="Q199" s="423"/>
      <c r="R199" s="423"/>
      <c r="S199" s="423"/>
      <c r="T199" s="423"/>
      <c r="U199" s="423"/>
      <c r="V199" s="423"/>
      <c r="W199" s="423"/>
      <c r="X199" s="423"/>
      <c r="Y199" s="423"/>
      <c r="Z199" s="423"/>
    </row>
    <row r="200">
      <c r="A200" s="564">
        <v>198.0</v>
      </c>
      <c r="B200" s="565" t="s">
        <v>1408</v>
      </c>
      <c r="C200" s="565" t="s">
        <v>5253</v>
      </c>
      <c r="D200" s="564">
        <v>1.0</v>
      </c>
      <c r="E200" s="564">
        <v>0.0</v>
      </c>
      <c r="F200" s="564">
        <v>0.0</v>
      </c>
      <c r="G200" s="564">
        <v>7.0</v>
      </c>
      <c r="H200" s="564">
        <v>0.0</v>
      </c>
      <c r="I200" s="423"/>
      <c r="J200" s="423"/>
      <c r="K200" s="423"/>
      <c r="L200" s="423"/>
      <c r="M200" s="423"/>
      <c r="N200" s="423"/>
      <c r="O200" s="423"/>
      <c r="P200" s="423"/>
      <c r="Q200" s="423"/>
      <c r="R200" s="423"/>
      <c r="S200" s="423"/>
      <c r="T200" s="423"/>
      <c r="U200" s="423"/>
      <c r="V200" s="423"/>
      <c r="W200" s="423"/>
      <c r="X200" s="423"/>
      <c r="Y200" s="423"/>
      <c r="Z200" s="423"/>
    </row>
    <row r="201">
      <c r="A201" s="562">
        <v>199.0</v>
      </c>
      <c r="B201" s="563" t="s">
        <v>1409</v>
      </c>
      <c r="C201" s="563" t="s">
        <v>5253</v>
      </c>
      <c r="D201" s="562">
        <v>1.0</v>
      </c>
      <c r="E201" s="562">
        <v>0.0</v>
      </c>
      <c r="F201" s="562">
        <v>0.0</v>
      </c>
      <c r="G201" s="562">
        <v>6.0</v>
      </c>
      <c r="H201" s="562">
        <v>1.0</v>
      </c>
      <c r="I201" s="423"/>
      <c r="J201" s="423"/>
      <c r="K201" s="423"/>
      <c r="L201" s="423"/>
      <c r="M201" s="423"/>
      <c r="N201" s="423"/>
      <c r="O201" s="423"/>
      <c r="P201" s="423"/>
      <c r="Q201" s="423"/>
      <c r="R201" s="423"/>
      <c r="S201" s="423"/>
      <c r="T201" s="423"/>
      <c r="U201" s="423"/>
      <c r="V201" s="423"/>
      <c r="W201" s="423"/>
      <c r="X201" s="423"/>
      <c r="Y201" s="423"/>
      <c r="Z201" s="423"/>
    </row>
    <row r="202">
      <c r="A202" s="564">
        <v>200.0</v>
      </c>
      <c r="B202" s="565" t="s">
        <v>1410</v>
      </c>
      <c r="C202" s="565" t="s">
        <v>5253</v>
      </c>
      <c r="D202" s="564">
        <v>1.0</v>
      </c>
      <c r="E202" s="564">
        <v>0.0</v>
      </c>
      <c r="F202" s="564">
        <v>0.0</v>
      </c>
      <c r="G202" s="564">
        <v>6.0</v>
      </c>
      <c r="H202" s="564">
        <v>1.0</v>
      </c>
      <c r="I202" s="423"/>
      <c r="J202" s="423"/>
      <c r="K202" s="423"/>
      <c r="L202" s="423"/>
      <c r="M202" s="423"/>
      <c r="N202" s="423"/>
      <c r="O202" s="423"/>
      <c r="P202" s="423"/>
      <c r="Q202" s="423"/>
      <c r="R202" s="423"/>
      <c r="S202" s="423"/>
      <c r="T202" s="423"/>
      <c r="U202" s="423"/>
      <c r="V202" s="423"/>
      <c r="W202" s="423"/>
      <c r="X202" s="423"/>
      <c r="Y202" s="423"/>
      <c r="Z202" s="423"/>
    </row>
    <row r="203">
      <c r="A203" s="562">
        <v>201.0</v>
      </c>
      <c r="B203" s="563" t="s">
        <v>5619</v>
      </c>
      <c r="C203" s="563" t="s">
        <v>5253</v>
      </c>
      <c r="D203" s="562">
        <v>3.0</v>
      </c>
      <c r="E203" s="562">
        <v>0.0</v>
      </c>
      <c r="F203" s="562">
        <v>0.0</v>
      </c>
      <c r="G203" s="562">
        <v>5.0</v>
      </c>
      <c r="H203" s="562">
        <v>0.0</v>
      </c>
      <c r="I203" s="423"/>
      <c r="J203" s="423"/>
      <c r="K203" s="423"/>
      <c r="L203" s="423"/>
      <c r="M203" s="423"/>
      <c r="N203" s="423"/>
      <c r="O203" s="423"/>
      <c r="P203" s="423"/>
      <c r="Q203" s="423"/>
      <c r="R203" s="423"/>
      <c r="S203" s="423"/>
      <c r="T203" s="423"/>
      <c r="U203" s="423"/>
      <c r="V203" s="423"/>
      <c r="W203" s="423"/>
      <c r="X203" s="423"/>
      <c r="Y203" s="423"/>
      <c r="Z203" s="423"/>
    </row>
    <row r="204">
      <c r="A204" s="564">
        <v>202.0</v>
      </c>
      <c r="B204" s="565" t="s">
        <v>1412</v>
      </c>
      <c r="C204" s="565" t="s">
        <v>5253</v>
      </c>
      <c r="D204" s="564">
        <v>0.0</v>
      </c>
      <c r="E204" s="564">
        <v>0.0</v>
      </c>
      <c r="F204" s="564">
        <v>0.0</v>
      </c>
      <c r="G204" s="564">
        <v>8.0</v>
      </c>
      <c r="H204" s="564">
        <v>0.0</v>
      </c>
      <c r="I204" s="423"/>
      <c r="J204" s="423"/>
      <c r="K204" s="423"/>
      <c r="L204" s="423"/>
      <c r="M204" s="423"/>
      <c r="N204" s="423"/>
      <c r="O204" s="423"/>
      <c r="P204" s="423"/>
      <c r="Q204" s="423"/>
      <c r="R204" s="423"/>
      <c r="S204" s="423"/>
      <c r="T204" s="423"/>
      <c r="U204" s="423"/>
      <c r="V204" s="423"/>
      <c r="W204" s="423"/>
      <c r="X204" s="423"/>
      <c r="Y204" s="423"/>
      <c r="Z204" s="423"/>
    </row>
    <row r="205">
      <c r="A205" s="562">
        <v>203.0</v>
      </c>
      <c r="B205" s="563" t="s">
        <v>1413</v>
      </c>
      <c r="C205" s="563" t="s">
        <v>5253</v>
      </c>
      <c r="D205" s="562">
        <v>2.0</v>
      </c>
      <c r="E205" s="562">
        <v>0.0</v>
      </c>
      <c r="F205" s="562">
        <v>0.0</v>
      </c>
      <c r="G205" s="562">
        <v>6.0</v>
      </c>
      <c r="H205" s="562">
        <v>0.0</v>
      </c>
      <c r="I205" s="423"/>
      <c r="J205" s="423"/>
      <c r="K205" s="423"/>
      <c r="L205" s="423"/>
      <c r="M205" s="423"/>
      <c r="N205" s="423"/>
      <c r="O205" s="423"/>
      <c r="P205" s="423"/>
      <c r="Q205" s="423"/>
      <c r="R205" s="423"/>
      <c r="S205" s="423"/>
      <c r="T205" s="423"/>
      <c r="U205" s="423"/>
      <c r="V205" s="423"/>
      <c r="W205" s="423"/>
      <c r="X205" s="423"/>
      <c r="Y205" s="423"/>
      <c r="Z205" s="423"/>
    </row>
    <row r="206">
      <c r="A206" s="564">
        <v>204.0</v>
      </c>
      <c r="B206" s="565" t="s">
        <v>1414</v>
      </c>
      <c r="C206" s="565" t="s">
        <v>5253</v>
      </c>
      <c r="D206" s="564">
        <v>4.0</v>
      </c>
      <c r="E206" s="564">
        <v>0.0</v>
      </c>
      <c r="F206" s="564">
        <v>0.0</v>
      </c>
      <c r="G206" s="564">
        <v>4.0</v>
      </c>
      <c r="H206" s="564">
        <v>0.0</v>
      </c>
      <c r="I206" s="423"/>
      <c r="J206" s="423"/>
      <c r="K206" s="423"/>
      <c r="L206" s="423"/>
      <c r="M206" s="423"/>
      <c r="N206" s="423"/>
      <c r="O206" s="423"/>
      <c r="P206" s="423"/>
      <c r="Q206" s="423"/>
      <c r="R206" s="423"/>
      <c r="S206" s="423"/>
      <c r="T206" s="423"/>
      <c r="U206" s="423"/>
      <c r="V206" s="423"/>
      <c r="W206" s="423"/>
      <c r="X206" s="423"/>
      <c r="Y206" s="423"/>
      <c r="Z206" s="423"/>
    </row>
    <row r="207">
      <c r="A207" s="562">
        <v>205.0</v>
      </c>
      <c r="B207" s="563" t="s">
        <v>1415</v>
      </c>
      <c r="C207" s="563" t="s">
        <v>5253</v>
      </c>
      <c r="D207" s="562">
        <v>2.0</v>
      </c>
      <c r="E207" s="562">
        <v>0.0</v>
      </c>
      <c r="F207" s="562">
        <v>0.0</v>
      </c>
      <c r="G207" s="562">
        <v>6.0</v>
      </c>
      <c r="H207" s="562">
        <v>0.0</v>
      </c>
      <c r="I207" s="423"/>
      <c r="J207" s="423"/>
      <c r="K207" s="423"/>
      <c r="L207" s="423"/>
      <c r="M207" s="423"/>
      <c r="N207" s="423"/>
      <c r="O207" s="423"/>
      <c r="P207" s="423"/>
      <c r="Q207" s="423"/>
      <c r="R207" s="423"/>
      <c r="S207" s="423"/>
      <c r="T207" s="423"/>
      <c r="U207" s="423"/>
      <c r="V207" s="423"/>
      <c r="W207" s="423"/>
      <c r="X207" s="423"/>
      <c r="Y207" s="423"/>
      <c r="Z207" s="423"/>
    </row>
    <row r="208">
      <c r="A208" s="564">
        <v>206.0</v>
      </c>
      <c r="B208" s="565" t="s">
        <v>1416</v>
      </c>
      <c r="C208" s="565" t="s">
        <v>5253</v>
      </c>
      <c r="D208" s="564">
        <v>1.0</v>
      </c>
      <c r="E208" s="564">
        <v>0.0</v>
      </c>
      <c r="F208" s="564">
        <v>0.0</v>
      </c>
      <c r="G208" s="564">
        <v>7.0</v>
      </c>
      <c r="H208" s="564">
        <v>0.0</v>
      </c>
      <c r="I208" s="423"/>
      <c r="J208" s="423"/>
      <c r="K208" s="423"/>
      <c r="L208" s="423"/>
      <c r="M208" s="423"/>
      <c r="N208" s="423"/>
      <c r="O208" s="423"/>
      <c r="P208" s="423"/>
      <c r="Q208" s="423"/>
      <c r="R208" s="423"/>
      <c r="S208" s="423"/>
      <c r="T208" s="423"/>
      <c r="U208" s="423"/>
      <c r="V208" s="423"/>
      <c r="W208" s="423"/>
      <c r="X208" s="423"/>
      <c r="Y208" s="423"/>
      <c r="Z208" s="423"/>
    </row>
    <row r="209">
      <c r="A209" s="562">
        <v>207.0</v>
      </c>
      <c r="B209" s="563" t="s">
        <v>5620</v>
      </c>
      <c r="C209" s="563" t="s">
        <v>5253</v>
      </c>
      <c r="D209" s="562">
        <v>1.0</v>
      </c>
      <c r="E209" s="562">
        <v>0.0</v>
      </c>
      <c r="F209" s="562">
        <v>0.0</v>
      </c>
      <c r="G209" s="562">
        <v>7.0</v>
      </c>
      <c r="H209" s="562">
        <v>0.0</v>
      </c>
      <c r="I209" s="423"/>
      <c r="J209" s="423"/>
      <c r="K209" s="423"/>
      <c r="L209" s="423"/>
      <c r="M209" s="423"/>
      <c r="N209" s="423"/>
      <c r="O209" s="423"/>
      <c r="P209" s="423"/>
      <c r="Q209" s="423"/>
      <c r="R209" s="423"/>
      <c r="S209" s="423"/>
      <c r="T209" s="423"/>
      <c r="U209" s="423"/>
      <c r="V209" s="423"/>
      <c r="W209" s="423"/>
      <c r="X209" s="423"/>
      <c r="Y209" s="423"/>
      <c r="Z209" s="423"/>
    </row>
    <row r="210">
      <c r="A210" s="564">
        <v>208.0</v>
      </c>
      <c r="B210" s="565" t="s">
        <v>1418</v>
      </c>
      <c r="C210" s="565" t="s">
        <v>5253</v>
      </c>
      <c r="D210" s="564">
        <v>3.0</v>
      </c>
      <c r="E210" s="564">
        <v>0.0</v>
      </c>
      <c r="F210" s="564">
        <v>0.0</v>
      </c>
      <c r="G210" s="564">
        <v>5.0</v>
      </c>
      <c r="H210" s="564">
        <v>0.0</v>
      </c>
      <c r="I210" s="423"/>
      <c r="J210" s="423"/>
      <c r="K210" s="423"/>
      <c r="L210" s="423"/>
      <c r="M210" s="423"/>
      <c r="N210" s="423"/>
      <c r="O210" s="423"/>
      <c r="P210" s="423"/>
      <c r="Q210" s="423"/>
      <c r="R210" s="423"/>
      <c r="S210" s="423"/>
      <c r="T210" s="423"/>
      <c r="U210" s="423"/>
      <c r="V210" s="423"/>
      <c r="W210" s="423"/>
      <c r="X210" s="423"/>
      <c r="Y210" s="423"/>
      <c r="Z210" s="423"/>
    </row>
    <row r="211">
      <c r="A211" s="562">
        <v>209.0</v>
      </c>
      <c r="B211" s="563" t="s">
        <v>1419</v>
      </c>
      <c r="C211" s="563" t="s">
        <v>5253</v>
      </c>
      <c r="D211" s="562">
        <v>1.0</v>
      </c>
      <c r="E211" s="562">
        <v>0.0</v>
      </c>
      <c r="F211" s="562">
        <v>0.0</v>
      </c>
      <c r="G211" s="562">
        <v>7.0</v>
      </c>
      <c r="H211" s="562">
        <v>0.0</v>
      </c>
      <c r="I211" s="423"/>
      <c r="J211" s="423"/>
      <c r="K211" s="423"/>
      <c r="L211" s="423"/>
      <c r="M211" s="423"/>
      <c r="N211" s="423"/>
      <c r="O211" s="423"/>
      <c r="P211" s="423"/>
      <c r="Q211" s="423"/>
      <c r="R211" s="423"/>
      <c r="S211" s="423"/>
      <c r="T211" s="423"/>
      <c r="U211" s="423"/>
      <c r="V211" s="423"/>
      <c r="W211" s="423"/>
      <c r="X211" s="423"/>
      <c r="Y211" s="423"/>
      <c r="Z211" s="423"/>
    </row>
    <row r="212">
      <c r="A212" s="564">
        <v>210.0</v>
      </c>
      <c r="B212" s="565" t="s">
        <v>1420</v>
      </c>
      <c r="C212" s="565" t="s">
        <v>5253</v>
      </c>
      <c r="D212" s="564">
        <v>1.0</v>
      </c>
      <c r="E212" s="564">
        <v>0.0</v>
      </c>
      <c r="F212" s="564">
        <v>1.0</v>
      </c>
      <c r="G212" s="564">
        <v>6.0</v>
      </c>
      <c r="H212" s="564">
        <v>0.0</v>
      </c>
      <c r="I212" s="423"/>
      <c r="J212" s="423"/>
      <c r="K212" s="423"/>
      <c r="L212" s="423"/>
      <c r="M212" s="423"/>
      <c r="N212" s="423"/>
      <c r="O212" s="423"/>
      <c r="P212" s="423"/>
      <c r="Q212" s="423"/>
      <c r="R212" s="423"/>
      <c r="S212" s="423"/>
      <c r="T212" s="423"/>
      <c r="U212" s="423"/>
      <c r="V212" s="423"/>
      <c r="W212" s="423"/>
      <c r="X212" s="423"/>
      <c r="Y212" s="423"/>
      <c r="Z212" s="423"/>
    </row>
    <row r="213">
      <c r="A213" s="562">
        <v>211.0</v>
      </c>
      <c r="B213" s="563" t="s">
        <v>1421</v>
      </c>
      <c r="C213" s="563" t="s">
        <v>5253</v>
      </c>
      <c r="D213" s="562">
        <v>0.0</v>
      </c>
      <c r="E213" s="562">
        <v>0.0</v>
      </c>
      <c r="F213" s="562">
        <v>0.0</v>
      </c>
      <c r="G213" s="562">
        <v>8.0</v>
      </c>
      <c r="H213" s="562">
        <v>0.0</v>
      </c>
      <c r="I213" s="423"/>
      <c r="J213" s="423"/>
      <c r="K213" s="423"/>
      <c r="L213" s="423"/>
      <c r="M213" s="423"/>
      <c r="N213" s="423"/>
      <c r="O213" s="423"/>
      <c r="P213" s="423"/>
      <c r="Q213" s="423"/>
      <c r="R213" s="423"/>
      <c r="S213" s="423"/>
      <c r="T213" s="423"/>
      <c r="U213" s="423"/>
      <c r="V213" s="423"/>
      <c r="W213" s="423"/>
      <c r="X213" s="423"/>
      <c r="Y213" s="423"/>
      <c r="Z213" s="423"/>
    </row>
    <row r="214">
      <c r="A214" s="564">
        <v>212.0</v>
      </c>
      <c r="B214" s="565" t="s">
        <v>5621</v>
      </c>
      <c r="C214" s="565" t="s">
        <v>5253</v>
      </c>
      <c r="D214" s="564">
        <v>0.0</v>
      </c>
      <c r="E214" s="564">
        <v>0.0</v>
      </c>
      <c r="F214" s="564">
        <v>0.0</v>
      </c>
      <c r="G214" s="564">
        <v>8.0</v>
      </c>
      <c r="H214" s="564">
        <v>0.0</v>
      </c>
      <c r="I214" s="423"/>
      <c r="J214" s="423"/>
      <c r="K214" s="423"/>
      <c r="L214" s="423"/>
      <c r="M214" s="423"/>
      <c r="N214" s="423"/>
      <c r="O214" s="423"/>
      <c r="P214" s="423"/>
      <c r="Q214" s="423"/>
      <c r="R214" s="423"/>
      <c r="S214" s="423"/>
      <c r="T214" s="423"/>
      <c r="U214" s="423"/>
      <c r="V214" s="423"/>
      <c r="W214" s="423"/>
      <c r="X214" s="423"/>
      <c r="Y214" s="423"/>
      <c r="Z214" s="423"/>
    </row>
    <row r="215">
      <c r="A215" s="562">
        <v>213.0</v>
      </c>
      <c r="B215" s="563" t="s">
        <v>1422</v>
      </c>
      <c r="C215" s="563" t="s">
        <v>5253</v>
      </c>
      <c r="D215" s="562">
        <v>1.0</v>
      </c>
      <c r="E215" s="562">
        <v>0.0</v>
      </c>
      <c r="F215" s="562">
        <v>0.0</v>
      </c>
      <c r="G215" s="562">
        <v>7.0</v>
      </c>
      <c r="H215" s="562">
        <v>0.0</v>
      </c>
      <c r="I215" s="423"/>
      <c r="J215" s="423"/>
      <c r="K215" s="423"/>
      <c r="L215" s="423"/>
      <c r="M215" s="423"/>
      <c r="N215" s="423"/>
      <c r="O215" s="423"/>
      <c r="P215" s="423"/>
      <c r="Q215" s="423"/>
      <c r="R215" s="423"/>
      <c r="S215" s="423"/>
      <c r="T215" s="423"/>
      <c r="U215" s="423"/>
      <c r="V215" s="423"/>
      <c r="W215" s="423"/>
      <c r="X215" s="423"/>
      <c r="Y215" s="423"/>
      <c r="Z215" s="423"/>
    </row>
    <row r="216">
      <c r="A216" s="564">
        <v>214.0</v>
      </c>
      <c r="B216" s="565" t="s">
        <v>1423</v>
      </c>
      <c r="C216" s="565" t="s">
        <v>5253</v>
      </c>
      <c r="D216" s="564">
        <v>1.0</v>
      </c>
      <c r="E216" s="564">
        <v>0.0</v>
      </c>
      <c r="F216" s="564">
        <v>0.0</v>
      </c>
      <c r="G216" s="564">
        <v>7.0</v>
      </c>
      <c r="H216" s="564">
        <v>0.0</v>
      </c>
      <c r="I216" s="423"/>
      <c r="J216" s="423"/>
      <c r="K216" s="423"/>
      <c r="L216" s="423"/>
      <c r="M216" s="423"/>
      <c r="N216" s="423"/>
      <c r="O216" s="423"/>
      <c r="P216" s="423"/>
      <c r="Q216" s="423"/>
      <c r="R216" s="423"/>
      <c r="S216" s="423"/>
      <c r="T216" s="423"/>
      <c r="U216" s="423"/>
      <c r="V216" s="423"/>
      <c r="W216" s="423"/>
      <c r="X216" s="423"/>
      <c r="Y216" s="423"/>
      <c r="Z216" s="423"/>
    </row>
    <row r="217">
      <c r="A217" s="562">
        <v>215.0</v>
      </c>
      <c r="B217" s="563" t="s">
        <v>1424</v>
      </c>
      <c r="C217" s="563" t="s">
        <v>5253</v>
      </c>
      <c r="D217" s="562">
        <v>3.0</v>
      </c>
      <c r="E217" s="562">
        <v>0.0</v>
      </c>
      <c r="F217" s="562">
        <v>0.0</v>
      </c>
      <c r="G217" s="562">
        <v>5.0</v>
      </c>
      <c r="H217" s="562">
        <v>0.0</v>
      </c>
      <c r="I217" s="423"/>
      <c r="J217" s="423"/>
      <c r="K217" s="423"/>
      <c r="L217" s="423"/>
      <c r="M217" s="423"/>
      <c r="N217" s="423"/>
      <c r="O217" s="423"/>
      <c r="P217" s="423"/>
      <c r="Q217" s="423"/>
      <c r="R217" s="423"/>
      <c r="S217" s="423"/>
      <c r="T217" s="423"/>
      <c r="U217" s="423"/>
      <c r="V217" s="423"/>
      <c r="W217" s="423"/>
      <c r="X217" s="423"/>
      <c r="Y217" s="423"/>
      <c r="Z217" s="423"/>
    </row>
    <row r="218">
      <c r="A218" s="564">
        <v>216.0</v>
      </c>
      <c r="B218" s="565" t="s">
        <v>1425</v>
      </c>
      <c r="C218" s="565" t="s">
        <v>5253</v>
      </c>
      <c r="D218" s="564">
        <v>1.0</v>
      </c>
      <c r="E218" s="564">
        <v>0.0</v>
      </c>
      <c r="F218" s="564">
        <v>0.0</v>
      </c>
      <c r="G218" s="564">
        <v>7.0</v>
      </c>
      <c r="H218" s="564">
        <v>0.0</v>
      </c>
      <c r="I218" s="423"/>
      <c r="J218" s="423"/>
      <c r="K218" s="423"/>
      <c r="L218" s="423"/>
      <c r="M218" s="423"/>
      <c r="N218" s="423"/>
      <c r="O218" s="423"/>
      <c r="P218" s="423"/>
      <c r="Q218" s="423"/>
      <c r="R218" s="423"/>
      <c r="S218" s="423"/>
      <c r="T218" s="423"/>
      <c r="U218" s="423"/>
      <c r="V218" s="423"/>
      <c r="W218" s="423"/>
      <c r="X218" s="423"/>
      <c r="Y218" s="423"/>
      <c r="Z218" s="423"/>
    </row>
    <row r="219">
      <c r="A219" s="562">
        <v>217.0</v>
      </c>
      <c r="B219" s="563" t="s">
        <v>1426</v>
      </c>
      <c r="C219" s="563" t="s">
        <v>5253</v>
      </c>
      <c r="D219" s="562">
        <v>2.0</v>
      </c>
      <c r="E219" s="562">
        <v>0.0</v>
      </c>
      <c r="F219" s="562">
        <v>0.0</v>
      </c>
      <c r="G219" s="562">
        <v>6.0</v>
      </c>
      <c r="H219" s="562">
        <v>0.0</v>
      </c>
      <c r="I219" s="423"/>
      <c r="J219" s="423"/>
      <c r="K219" s="423"/>
      <c r="L219" s="423"/>
      <c r="M219" s="423"/>
      <c r="N219" s="423"/>
      <c r="O219" s="423"/>
      <c r="P219" s="423"/>
      <c r="Q219" s="423"/>
      <c r="R219" s="423"/>
      <c r="S219" s="423"/>
      <c r="T219" s="423"/>
      <c r="U219" s="423"/>
      <c r="V219" s="423"/>
      <c r="W219" s="423"/>
      <c r="X219" s="423"/>
      <c r="Y219" s="423"/>
      <c r="Z219" s="423"/>
    </row>
    <row r="220">
      <c r="A220" s="564">
        <v>218.0</v>
      </c>
      <c r="B220" s="565" t="s">
        <v>1427</v>
      </c>
      <c r="C220" s="565" t="s">
        <v>5253</v>
      </c>
      <c r="D220" s="564">
        <v>1.0</v>
      </c>
      <c r="E220" s="564">
        <v>0.0</v>
      </c>
      <c r="F220" s="564">
        <v>0.0</v>
      </c>
      <c r="G220" s="564">
        <v>7.0</v>
      </c>
      <c r="H220" s="564">
        <v>0.0</v>
      </c>
      <c r="I220" s="423"/>
      <c r="J220" s="423"/>
      <c r="K220" s="423"/>
      <c r="L220" s="423"/>
      <c r="M220" s="423"/>
      <c r="N220" s="423"/>
      <c r="O220" s="423"/>
      <c r="P220" s="423"/>
      <c r="Q220" s="423"/>
      <c r="R220" s="423"/>
      <c r="S220" s="423"/>
      <c r="T220" s="423"/>
      <c r="U220" s="423"/>
      <c r="V220" s="423"/>
      <c r="W220" s="423"/>
      <c r="X220" s="423"/>
      <c r="Y220" s="423"/>
      <c r="Z220" s="423"/>
    </row>
    <row r="221">
      <c r="A221" s="562">
        <v>219.0</v>
      </c>
      <c r="B221" s="563" t="s">
        <v>1428</v>
      </c>
      <c r="C221" s="563" t="s">
        <v>5253</v>
      </c>
      <c r="D221" s="562">
        <v>0.0</v>
      </c>
      <c r="E221" s="562">
        <v>0.0</v>
      </c>
      <c r="F221" s="562">
        <v>0.0</v>
      </c>
      <c r="G221" s="562">
        <v>8.0</v>
      </c>
      <c r="H221" s="562">
        <v>0.0</v>
      </c>
      <c r="I221" s="423"/>
      <c r="J221" s="423"/>
      <c r="K221" s="423"/>
      <c r="L221" s="423"/>
      <c r="M221" s="423"/>
      <c r="N221" s="423"/>
      <c r="O221" s="423"/>
      <c r="P221" s="423"/>
      <c r="Q221" s="423"/>
      <c r="R221" s="423"/>
      <c r="S221" s="423"/>
      <c r="T221" s="423"/>
      <c r="U221" s="423"/>
      <c r="V221" s="423"/>
      <c r="W221" s="423"/>
      <c r="X221" s="423"/>
      <c r="Y221" s="423"/>
      <c r="Z221" s="423"/>
    </row>
    <row r="222">
      <c r="A222" s="564">
        <v>220.0</v>
      </c>
      <c r="B222" s="565" t="s">
        <v>1429</v>
      </c>
      <c r="C222" s="565" t="s">
        <v>5253</v>
      </c>
      <c r="D222" s="564">
        <v>0.0</v>
      </c>
      <c r="E222" s="564">
        <v>0.0</v>
      </c>
      <c r="F222" s="564">
        <v>0.0</v>
      </c>
      <c r="G222" s="564">
        <v>8.0</v>
      </c>
      <c r="H222" s="564">
        <v>0.0</v>
      </c>
      <c r="I222" s="423"/>
      <c r="J222" s="423"/>
      <c r="K222" s="423"/>
      <c r="L222" s="423"/>
      <c r="M222" s="423"/>
      <c r="N222" s="423"/>
      <c r="O222" s="423"/>
      <c r="P222" s="423"/>
      <c r="Q222" s="423"/>
      <c r="R222" s="423"/>
      <c r="S222" s="423"/>
      <c r="T222" s="423"/>
      <c r="U222" s="423"/>
      <c r="V222" s="423"/>
      <c r="W222" s="423"/>
      <c r="X222" s="423"/>
      <c r="Y222" s="423"/>
      <c r="Z222" s="423"/>
    </row>
    <row r="223">
      <c r="A223" s="562">
        <v>221.0</v>
      </c>
      <c r="B223" s="563" t="s">
        <v>1430</v>
      </c>
      <c r="C223" s="563" t="s">
        <v>5253</v>
      </c>
      <c r="D223" s="562">
        <v>4.0</v>
      </c>
      <c r="E223" s="562">
        <v>0.0</v>
      </c>
      <c r="F223" s="562">
        <v>0.0</v>
      </c>
      <c r="G223" s="562">
        <v>4.0</v>
      </c>
      <c r="H223" s="562">
        <v>0.0</v>
      </c>
      <c r="I223" s="423"/>
      <c r="J223" s="423"/>
      <c r="K223" s="423"/>
      <c r="L223" s="423"/>
      <c r="M223" s="423"/>
      <c r="N223" s="423"/>
      <c r="O223" s="423"/>
      <c r="P223" s="423"/>
      <c r="Q223" s="423"/>
      <c r="R223" s="423"/>
      <c r="S223" s="423"/>
      <c r="T223" s="423"/>
      <c r="U223" s="423"/>
      <c r="V223" s="423"/>
      <c r="W223" s="423"/>
      <c r="X223" s="423"/>
      <c r="Y223" s="423"/>
      <c r="Z223" s="423"/>
    </row>
    <row r="224">
      <c r="A224" s="564">
        <v>222.0</v>
      </c>
      <c r="B224" s="565" t="s">
        <v>1431</v>
      </c>
      <c r="C224" s="565" t="s">
        <v>5253</v>
      </c>
      <c r="D224" s="564">
        <v>0.0</v>
      </c>
      <c r="E224" s="564">
        <v>0.0</v>
      </c>
      <c r="F224" s="564">
        <v>0.0</v>
      </c>
      <c r="G224" s="564">
        <v>8.0</v>
      </c>
      <c r="H224" s="564">
        <v>0.0</v>
      </c>
      <c r="I224" s="423"/>
      <c r="J224" s="423"/>
      <c r="K224" s="423"/>
      <c r="L224" s="423"/>
      <c r="M224" s="423"/>
      <c r="N224" s="423"/>
      <c r="O224" s="423"/>
      <c r="P224" s="423"/>
      <c r="Q224" s="423"/>
      <c r="R224" s="423"/>
      <c r="S224" s="423"/>
      <c r="T224" s="423"/>
      <c r="U224" s="423"/>
      <c r="V224" s="423"/>
      <c r="W224" s="423"/>
      <c r="X224" s="423"/>
      <c r="Y224" s="423"/>
      <c r="Z224" s="423"/>
    </row>
    <row r="225">
      <c r="A225" s="562">
        <v>223.0</v>
      </c>
      <c r="B225" s="563" t="s">
        <v>1432</v>
      </c>
      <c r="C225" s="563" t="s">
        <v>5253</v>
      </c>
      <c r="D225" s="562">
        <v>1.0</v>
      </c>
      <c r="E225" s="562">
        <v>0.0</v>
      </c>
      <c r="F225" s="562">
        <v>0.0</v>
      </c>
      <c r="G225" s="562">
        <v>7.0</v>
      </c>
      <c r="H225" s="562">
        <v>0.0</v>
      </c>
      <c r="I225" s="423"/>
      <c r="J225" s="423"/>
      <c r="K225" s="423"/>
      <c r="L225" s="423"/>
      <c r="M225" s="423"/>
      <c r="N225" s="423"/>
      <c r="O225" s="423"/>
      <c r="P225" s="423"/>
      <c r="Q225" s="423"/>
      <c r="R225" s="423"/>
      <c r="S225" s="423"/>
      <c r="T225" s="423"/>
      <c r="U225" s="423"/>
      <c r="V225" s="423"/>
      <c r="W225" s="423"/>
      <c r="X225" s="423"/>
      <c r="Y225" s="423"/>
      <c r="Z225" s="423"/>
    </row>
    <row r="226">
      <c r="A226" s="564">
        <v>224.0</v>
      </c>
      <c r="B226" s="565" t="s">
        <v>1433</v>
      </c>
      <c r="C226" s="565" t="s">
        <v>5253</v>
      </c>
      <c r="D226" s="564">
        <v>3.0</v>
      </c>
      <c r="E226" s="564">
        <v>0.0</v>
      </c>
      <c r="F226" s="564">
        <v>0.0</v>
      </c>
      <c r="G226" s="564">
        <v>5.0</v>
      </c>
      <c r="H226" s="564">
        <v>0.0</v>
      </c>
      <c r="I226" s="423"/>
      <c r="J226" s="423"/>
      <c r="K226" s="423"/>
      <c r="L226" s="423"/>
      <c r="M226" s="423"/>
      <c r="N226" s="423"/>
      <c r="O226" s="423"/>
      <c r="P226" s="423"/>
      <c r="Q226" s="423"/>
      <c r="R226" s="423"/>
      <c r="S226" s="423"/>
      <c r="T226" s="423"/>
      <c r="U226" s="423"/>
      <c r="V226" s="423"/>
      <c r="W226" s="423"/>
      <c r="X226" s="423"/>
      <c r="Y226" s="423"/>
      <c r="Z226" s="423"/>
    </row>
    <row r="227">
      <c r="A227" s="562">
        <v>225.0</v>
      </c>
      <c r="B227" s="563" t="s">
        <v>1434</v>
      </c>
      <c r="C227" s="563" t="s">
        <v>5253</v>
      </c>
      <c r="D227" s="562">
        <v>2.0</v>
      </c>
      <c r="E227" s="562">
        <v>0.0</v>
      </c>
      <c r="F227" s="562">
        <v>0.0</v>
      </c>
      <c r="G227" s="562">
        <v>6.0</v>
      </c>
      <c r="H227" s="562">
        <v>0.0</v>
      </c>
      <c r="I227" s="423"/>
      <c r="J227" s="423"/>
      <c r="K227" s="423"/>
      <c r="L227" s="423"/>
      <c r="M227" s="423"/>
      <c r="N227" s="423"/>
      <c r="O227" s="423"/>
      <c r="P227" s="423"/>
      <c r="Q227" s="423"/>
      <c r="R227" s="423"/>
      <c r="S227" s="423"/>
      <c r="T227" s="423"/>
      <c r="U227" s="423"/>
      <c r="V227" s="423"/>
      <c r="W227" s="423"/>
      <c r="X227" s="423"/>
      <c r="Y227" s="423"/>
      <c r="Z227" s="423"/>
    </row>
    <row r="228">
      <c r="A228" s="564">
        <v>226.0</v>
      </c>
      <c r="B228" s="565" t="s">
        <v>5622</v>
      </c>
      <c r="C228" s="565" t="s">
        <v>5253</v>
      </c>
      <c r="D228" s="564">
        <v>0.0</v>
      </c>
      <c r="E228" s="564">
        <v>0.0</v>
      </c>
      <c r="F228" s="564">
        <v>0.0</v>
      </c>
      <c r="G228" s="564">
        <v>8.0</v>
      </c>
      <c r="H228" s="564">
        <v>0.0</v>
      </c>
      <c r="I228" s="423"/>
      <c r="J228" s="423"/>
      <c r="K228" s="423"/>
      <c r="L228" s="423"/>
      <c r="M228" s="423"/>
      <c r="N228" s="423"/>
      <c r="O228" s="423"/>
      <c r="P228" s="423"/>
      <c r="Q228" s="423"/>
      <c r="R228" s="423"/>
      <c r="S228" s="423"/>
      <c r="T228" s="423"/>
      <c r="U228" s="423"/>
      <c r="V228" s="423"/>
      <c r="W228" s="423"/>
      <c r="X228" s="423"/>
      <c r="Y228" s="423"/>
      <c r="Z228" s="423"/>
    </row>
    <row r="229">
      <c r="A229" s="562">
        <v>227.0</v>
      </c>
      <c r="B229" s="563" t="s">
        <v>1435</v>
      </c>
      <c r="C229" s="563" t="s">
        <v>5253</v>
      </c>
      <c r="D229" s="562">
        <v>1.0</v>
      </c>
      <c r="E229" s="562">
        <v>0.0</v>
      </c>
      <c r="F229" s="562">
        <v>0.0</v>
      </c>
      <c r="G229" s="562">
        <v>7.0</v>
      </c>
      <c r="H229" s="562">
        <v>0.0</v>
      </c>
      <c r="I229" s="423"/>
      <c r="J229" s="423"/>
      <c r="K229" s="423"/>
      <c r="L229" s="423"/>
      <c r="M229" s="423"/>
      <c r="N229" s="423"/>
      <c r="O229" s="423"/>
      <c r="P229" s="423"/>
      <c r="Q229" s="423"/>
      <c r="R229" s="423"/>
      <c r="S229" s="423"/>
      <c r="T229" s="423"/>
      <c r="U229" s="423"/>
      <c r="V229" s="423"/>
      <c r="W229" s="423"/>
      <c r="X229" s="423"/>
      <c r="Y229" s="423"/>
      <c r="Z229" s="423"/>
    </row>
    <row r="230">
      <c r="A230" s="564">
        <v>228.0</v>
      </c>
      <c r="B230" s="565" t="s">
        <v>1436</v>
      </c>
      <c r="C230" s="565" t="s">
        <v>5253</v>
      </c>
      <c r="D230" s="564">
        <v>1.0</v>
      </c>
      <c r="E230" s="564">
        <v>0.0</v>
      </c>
      <c r="F230" s="564">
        <v>0.0</v>
      </c>
      <c r="G230" s="564">
        <v>7.0</v>
      </c>
      <c r="H230" s="564">
        <v>0.0</v>
      </c>
      <c r="I230" s="423"/>
      <c r="J230" s="423"/>
      <c r="K230" s="423"/>
      <c r="L230" s="423"/>
      <c r="M230" s="423"/>
      <c r="N230" s="423"/>
      <c r="O230" s="423"/>
      <c r="P230" s="423"/>
      <c r="Q230" s="423"/>
      <c r="R230" s="423"/>
      <c r="S230" s="423"/>
      <c r="T230" s="423"/>
      <c r="U230" s="423"/>
      <c r="V230" s="423"/>
      <c r="W230" s="423"/>
      <c r="X230" s="423"/>
      <c r="Y230" s="423"/>
      <c r="Z230" s="423"/>
    </row>
    <row r="231">
      <c r="A231" s="562">
        <v>229.0</v>
      </c>
      <c r="B231" s="563" t="s">
        <v>1437</v>
      </c>
      <c r="C231" s="563" t="s">
        <v>5253</v>
      </c>
      <c r="D231" s="562">
        <v>0.0</v>
      </c>
      <c r="E231" s="562">
        <v>0.0</v>
      </c>
      <c r="F231" s="562">
        <v>0.0</v>
      </c>
      <c r="G231" s="562">
        <v>8.0</v>
      </c>
      <c r="H231" s="562">
        <v>0.0</v>
      </c>
      <c r="I231" s="423"/>
      <c r="J231" s="423"/>
      <c r="K231" s="423"/>
      <c r="L231" s="423"/>
      <c r="M231" s="423"/>
      <c r="N231" s="423"/>
      <c r="O231" s="423"/>
      <c r="P231" s="423"/>
      <c r="Q231" s="423"/>
      <c r="R231" s="423"/>
      <c r="S231" s="423"/>
      <c r="T231" s="423"/>
      <c r="U231" s="423"/>
      <c r="V231" s="423"/>
      <c r="W231" s="423"/>
      <c r="X231" s="423"/>
      <c r="Y231" s="423"/>
      <c r="Z231" s="423"/>
    </row>
    <row r="232">
      <c r="A232" s="564">
        <v>230.0</v>
      </c>
      <c r="B232" s="565" t="s">
        <v>1438</v>
      </c>
      <c r="C232" s="565" t="s">
        <v>5253</v>
      </c>
      <c r="D232" s="564">
        <v>3.0</v>
      </c>
      <c r="E232" s="564">
        <v>0.0</v>
      </c>
      <c r="F232" s="564">
        <v>0.0</v>
      </c>
      <c r="G232" s="564">
        <v>5.0</v>
      </c>
      <c r="H232" s="564">
        <v>0.0</v>
      </c>
      <c r="I232" s="423"/>
      <c r="J232" s="423"/>
      <c r="K232" s="423"/>
      <c r="L232" s="423"/>
      <c r="M232" s="423"/>
      <c r="N232" s="423"/>
      <c r="O232" s="423"/>
      <c r="P232" s="423"/>
      <c r="Q232" s="423"/>
      <c r="R232" s="423"/>
      <c r="S232" s="423"/>
      <c r="T232" s="423"/>
      <c r="U232" s="423"/>
      <c r="V232" s="423"/>
      <c r="W232" s="423"/>
      <c r="X232" s="423"/>
      <c r="Y232" s="423"/>
      <c r="Z232" s="423"/>
    </row>
    <row r="233">
      <c r="A233" s="562">
        <v>231.0</v>
      </c>
      <c r="B233" s="563" t="s">
        <v>1439</v>
      </c>
      <c r="C233" s="563" t="s">
        <v>5253</v>
      </c>
      <c r="D233" s="562">
        <v>2.0</v>
      </c>
      <c r="E233" s="562">
        <v>0.0</v>
      </c>
      <c r="F233" s="562">
        <v>0.0</v>
      </c>
      <c r="G233" s="562">
        <v>6.0</v>
      </c>
      <c r="H233" s="562">
        <v>0.0</v>
      </c>
      <c r="I233" s="423"/>
      <c r="J233" s="423"/>
      <c r="K233" s="423"/>
      <c r="L233" s="423"/>
      <c r="M233" s="423"/>
      <c r="N233" s="423"/>
      <c r="O233" s="423"/>
      <c r="P233" s="423"/>
      <c r="Q233" s="423"/>
      <c r="R233" s="423"/>
      <c r="S233" s="423"/>
      <c r="T233" s="423"/>
      <c r="U233" s="423"/>
      <c r="V233" s="423"/>
      <c r="W233" s="423"/>
      <c r="X233" s="423"/>
      <c r="Y233" s="423"/>
      <c r="Z233" s="423"/>
    </row>
    <row r="234">
      <c r="A234" s="564">
        <v>232.0</v>
      </c>
      <c r="B234" s="565" t="s">
        <v>1440</v>
      </c>
      <c r="C234" s="565" t="s">
        <v>5253</v>
      </c>
      <c r="D234" s="564">
        <v>2.0</v>
      </c>
      <c r="E234" s="564">
        <v>0.0</v>
      </c>
      <c r="F234" s="564">
        <v>0.0</v>
      </c>
      <c r="G234" s="564">
        <v>6.0</v>
      </c>
      <c r="H234" s="564">
        <v>0.0</v>
      </c>
      <c r="I234" s="423"/>
      <c r="J234" s="423"/>
      <c r="K234" s="423"/>
      <c r="L234" s="423"/>
      <c r="M234" s="423"/>
      <c r="N234" s="423"/>
      <c r="O234" s="423"/>
      <c r="P234" s="423"/>
      <c r="Q234" s="423"/>
      <c r="R234" s="423"/>
      <c r="S234" s="423"/>
      <c r="T234" s="423"/>
      <c r="U234" s="423"/>
      <c r="V234" s="423"/>
      <c r="W234" s="423"/>
      <c r="X234" s="423"/>
      <c r="Y234" s="423"/>
      <c r="Z234" s="423"/>
    </row>
    <row r="235">
      <c r="A235" s="562">
        <v>233.0</v>
      </c>
      <c r="B235" s="563" t="s">
        <v>1441</v>
      </c>
      <c r="C235" s="563" t="s">
        <v>5253</v>
      </c>
      <c r="D235" s="562">
        <v>3.0</v>
      </c>
      <c r="E235" s="562">
        <v>0.0</v>
      </c>
      <c r="F235" s="562">
        <v>0.0</v>
      </c>
      <c r="G235" s="562">
        <v>5.0</v>
      </c>
      <c r="H235" s="562">
        <v>0.0</v>
      </c>
      <c r="I235" s="423"/>
      <c r="J235" s="423"/>
      <c r="K235" s="423"/>
      <c r="L235" s="423"/>
      <c r="M235" s="423"/>
      <c r="N235" s="423"/>
      <c r="O235" s="423"/>
      <c r="P235" s="423"/>
      <c r="Q235" s="423"/>
      <c r="R235" s="423"/>
      <c r="S235" s="423"/>
      <c r="T235" s="423"/>
      <c r="U235" s="423"/>
      <c r="V235" s="423"/>
      <c r="W235" s="423"/>
      <c r="X235" s="423"/>
      <c r="Y235" s="423"/>
      <c r="Z235" s="423"/>
    </row>
    <row r="236">
      <c r="A236" s="564">
        <v>234.0</v>
      </c>
      <c r="B236" s="565" t="s">
        <v>1442</v>
      </c>
      <c r="C236" s="565" t="s">
        <v>5253</v>
      </c>
      <c r="D236" s="564">
        <v>0.0</v>
      </c>
      <c r="E236" s="564">
        <v>0.0</v>
      </c>
      <c r="F236" s="564">
        <v>0.0</v>
      </c>
      <c r="G236" s="564">
        <v>8.0</v>
      </c>
      <c r="H236" s="564">
        <v>0.0</v>
      </c>
      <c r="I236" s="423"/>
      <c r="J236" s="423"/>
      <c r="K236" s="423"/>
      <c r="L236" s="423"/>
      <c r="M236" s="423"/>
      <c r="N236" s="423"/>
      <c r="O236" s="423"/>
      <c r="P236" s="423"/>
      <c r="Q236" s="423"/>
      <c r="R236" s="423"/>
      <c r="S236" s="423"/>
      <c r="T236" s="423"/>
      <c r="U236" s="423"/>
      <c r="V236" s="423"/>
      <c r="W236" s="423"/>
      <c r="X236" s="423"/>
      <c r="Y236" s="423"/>
      <c r="Z236" s="423"/>
    </row>
    <row r="237">
      <c r="A237" s="562">
        <v>235.0</v>
      </c>
      <c r="B237" s="563" t="s">
        <v>1443</v>
      </c>
      <c r="C237" s="563" t="s">
        <v>5253</v>
      </c>
      <c r="D237" s="562">
        <v>2.0</v>
      </c>
      <c r="E237" s="562">
        <v>0.0</v>
      </c>
      <c r="F237" s="562">
        <v>0.0</v>
      </c>
      <c r="G237" s="562">
        <v>6.0</v>
      </c>
      <c r="H237" s="562">
        <v>0.0</v>
      </c>
      <c r="I237" s="423"/>
      <c r="J237" s="423"/>
      <c r="K237" s="423"/>
      <c r="L237" s="423"/>
      <c r="M237" s="423"/>
      <c r="N237" s="423"/>
      <c r="O237" s="423"/>
      <c r="P237" s="423"/>
      <c r="Q237" s="423"/>
      <c r="R237" s="423"/>
      <c r="S237" s="423"/>
      <c r="T237" s="423"/>
      <c r="U237" s="423"/>
      <c r="V237" s="423"/>
      <c r="W237" s="423"/>
      <c r="X237" s="423"/>
      <c r="Y237" s="423"/>
      <c r="Z237" s="423"/>
    </row>
    <row r="238">
      <c r="A238" s="564">
        <v>236.0</v>
      </c>
      <c r="B238" s="565" t="s">
        <v>5623</v>
      </c>
      <c r="C238" s="565" t="s">
        <v>5253</v>
      </c>
      <c r="D238" s="564">
        <v>4.0</v>
      </c>
      <c r="E238" s="564">
        <v>0.0</v>
      </c>
      <c r="F238" s="564">
        <v>0.0</v>
      </c>
      <c r="G238" s="564">
        <v>4.0</v>
      </c>
      <c r="H238" s="564">
        <v>0.0</v>
      </c>
      <c r="I238" s="423"/>
      <c r="J238" s="423"/>
      <c r="K238" s="423"/>
      <c r="L238" s="423"/>
      <c r="M238" s="423"/>
      <c r="N238" s="423"/>
      <c r="O238" s="423"/>
      <c r="P238" s="423"/>
      <c r="Q238" s="423"/>
      <c r="R238" s="423"/>
      <c r="S238" s="423"/>
      <c r="T238" s="423"/>
      <c r="U238" s="423"/>
      <c r="V238" s="423"/>
      <c r="W238" s="423"/>
      <c r="X238" s="423"/>
      <c r="Y238" s="423"/>
      <c r="Z238" s="423"/>
    </row>
    <row r="239">
      <c r="A239" s="562">
        <v>237.0</v>
      </c>
      <c r="B239" s="563" t="s">
        <v>1445</v>
      </c>
      <c r="C239" s="563" t="s">
        <v>5253</v>
      </c>
      <c r="D239" s="562">
        <v>1.0</v>
      </c>
      <c r="E239" s="562">
        <v>0.0</v>
      </c>
      <c r="F239" s="562">
        <v>0.0</v>
      </c>
      <c r="G239" s="562">
        <v>7.0</v>
      </c>
      <c r="H239" s="562">
        <v>0.0</v>
      </c>
      <c r="I239" s="423"/>
      <c r="J239" s="423"/>
      <c r="K239" s="423"/>
      <c r="L239" s="423"/>
      <c r="M239" s="423"/>
      <c r="N239" s="423"/>
      <c r="O239" s="423"/>
      <c r="P239" s="423"/>
      <c r="Q239" s="423"/>
      <c r="R239" s="423"/>
      <c r="S239" s="423"/>
      <c r="T239" s="423"/>
      <c r="U239" s="423"/>
      <c r="V239" s="423"/>
      <c r="W239" s="423"/>
      <c r="X239" s="423"/>
      <c r="Y239" s="423"/>
      <c r="Z239" s="423"/>
    </row>
    <row r="240">
      <c r="A240" s="564">
        <v>238.0</v>
      </c>
      <c r="B240" s="565" t="s">
        <v>1446</v>
      </c>
      <c r="C240" s="565" t="s">
        <v>5256</v>
      </c>
      <c r="D240" s="564">
        <v>4.0</v>
      </c>
      <c r="E240" s="564">
        <v>0.0</v>
      </c>
      <c r="F240" s="564">
        <v>0.0</v>
      </c>
      <c r="G240" s="564">
        <v>4.0</v>
      </c>
      <c r="H240" s="564">
        <v>0.0</v>
      </c>
      <c r="I240" s="423"/>
      <c r="J240" s="423"/>
      <c r="K240" s="423"/>
      <c r="L240" s="423"/>
      <c r="M240" s="423"/>
      <c r="N240" s="423"/>
      <c r="O240" s="423"/>
      <c r="P240" s="423"/>
      <c r="Q240" s="423"/>
      <c r="R240" s="423"/>
      <c r="S240" s="423"/>
      <c r="T240" s="423"/>
      <c r="U240" s="423"/>
      <c r="V240" s="423"/>
      <c r="W240" s="423"/>
      <c r="X240" s="423"/>
      <c r="Y240" s="423"/>
      <c r="Z240" s="423"/>
    </row>
    <row r="241">
      <c r="A241" s="562">
        <v>239.0</v>
      </c>
      <c r="B241" s="563" t="s">
        <v>1448</v>
      </c>
      <c r="C241" s="563" t="s">
        <v>5256</v>
      </c>
      <c r="D241" s="562">
        <v>1.0</v>
      </c>
      <c r="E241" s="562">
        <v>0.0</v>
      </c>
      <c r="F241" s="562">
        <v>0.0</v>
      </c>
      <c r="G241" s="562">
        <v>7.0</v>
      </c>
      <c r="H241" s="562">
        <v>0.0</v>
      </c>
      <c r="I241" s="423"/>
      <c r="J241" s="423"/>
      <c r="K241" s="423"/>
      <c r="L241" s="423"/>
      <c r="M241" s="423"/>
      <c r="N241" s="423"/>
      <c r="O241" s="423"/>
      <c r="P241" s="423"/>
      <c r="Q241" s="423"/>
      <c r="R241" s="423"/>
      <c r="S241" s="423"/>
      <c r="T241" s="423"/>
      <c r="U241" s="423"/>
      <c r="V241" s="423"/>
      <c r="W241" s="423"/>
      <c r="X241" s="423"/>
      <c r="Y241" s="423"/>
      <c r="Z241" s="423"/>
    </row>
    <row r="242">
      <c r="A242" s="564">
        <v>240.0</v>
      </c>
      <c r="B242" s="565" t="s">
        <v>1449</v>
      </c>
      <c r="C242" s="565" t="s">
        <v>5256</v>
      </c>
      <c r="D242" s="564">
        <v>3.0</v>
      </c>
      <c r="E242" s="564">
        <v>0.0</v>
      </c>
      <c r="F242" s="564">
        <v>0.0</v>
      </c>
      <c r="G242" s="564">
        <v>5.0</v>
      </c>
      <c r="H242" s="564">
        <v>0.0</v>
      </c>
      <c r="I242" s="423"/>
      <c r="J242" s="423"/>
      <c r="K242" s="423"/>
      <c r="L242" s="423"/>
      <c r="M242" s="423"/>
      <c r="N242" s="423"/>
      <c r="O242" s="423"/>
      <c r="P242" s="423"/>
      <c r="Q242" s="423"/>
      <c r="R242" s="423"/>
      <c r="S242" s="423"/>
      <c r="T242" s="423"/>
      <c r="U242" s="423"/>
      <c r="V242" s="423"/>
      <c r="W242" s="423"/>
      <c r="X242" s="423"/>
      <c r="Y242" s="423"/>
      <c r="Z242" s="423"/>
    </row>
    <row r="243">
      <c r="A243" s="562">
        <v>241.0</v>
      </c>
      <c r="B243" s="563" t="s">
        <v>1450</v>
      </c>
      <c r="C243" s="563" t="s">
        <v>5256</v>
      </c>
      <c r="D243" s="562">
        <v>4.0</v>
      </c>
      <c r="E243" s="562">
        <v>0.0</v>
      </c>
      <c r="F243" s="562">
        <v>0.0</v>
      </c>
      <c r="G243" s="562">
        <v>4.0</v>
      </c>
      <c r="H243" s="562">
        <v>0.0</v>
      </c>
      <c r="I243" s="423"/>
      <c r="J243" s="423"/>
      <c r="K243" s="423"/>
      <c r="L243" s="423"/>
      <c r="M243" s="423"/>
      <c r="N243" s="423"/>
      <c r="O243" s="423"/>
      <c r="P243" s="423"/>
      <c r="Q243" s="423"/>
      <c r="R243" s="423"/>
      <c r="S243" s="423"/>
      <c r="T243" s="423"/>
      <c r="U243" s="423"/>
      <c r="V243" s="423"/>
      <c r="W243" s="423"/>
      <c r="X243" s="423"/>
      <c r="Y243" s="423"/>
      <c r="Z243" s="423"/>
    </row>
    <row r="244">
      <c r="A244" s="564">
        <v>242.0</v>
      </c>
      <c r="B244" s="565" t="s">
        <v>1451</v>
      </c>
      <c r="C244" s="565" t="s">
        <v>5256</v>
      </c>
      <c r="D244" s="564">
        <v>3.0</v>
      </c>
      <c r="E244" s="564">
        <v>0.0</v>
      </c>
      <c r="F244" s="564">
        <v>0.0</v>
      </c>
      <c r="G244" s="564">
        <v>5.0</v>
      </c>
      <c r="H244" s="564">
        <v>0.0</v>
      </c>
      <c r="I244" s="423"/>
      <c r="J244" s="423"/>
      <c r="K244" s="423"/>
      <c r="L244" s="423"/>
      <c r="M244" s="423"/>
      <c r="N244" s="423"/>
      <c r="O244" s="423"/>
      <c r="P244" s="423"/>
      <c r="Q244" s="423"/>
      <c r="R244" s="423"/>
      <c r="S244" s="423"/>
      <c r="T244" s="423"/>
      <c r="U244" s="423"/>
      <c r="V244" s="423"/>
      <c r="W244" s="423"/>
      <c r="X244" s="423"/>
      <c r="Y244" s="423"/>
      <c r="Z244" s="423"/>
    </row>
    <row r="245">
      <c r="A245" s="562">
        <v>243.0</v>
      </c>
      <c r="B245" s="563" t="s">
        <v>1452</v>
      </c>
      <c r="C245" s="563" t="s">
        <v>5256</v>
      </c>
      <c r="D245" s="562">
        <v>5.0</v>
      </c>
      <c r="E245" s="562">
        <v>0.0</v>
      </c>
      <c r="F245" s="562">
        <v>0.0</v>
      </c>
      <c r="G245" s="562">
        <v>3.0</v>
      </c>
      <c r="H245" s="562">
        <v>0.0</v>
      </c>
      <c r="I245" s="423"/>
      <c r="J245" s="423"/>
      <c r="K245" s="423"/>
      <c r="L245" s="423"/>
      <c r="M245" s="423"/>
      <c r="N245" s="423"/>
      <c r="O245" s="423"/>
      <c r="P245" s="423"/>
      <c r="Q245" s="423"/>
      <c r="R245" s="423"/>
      <c r="S245" s="423"/>
      <c r="T245" s="423"/>
      <c r="U245" s="423"/>
      <c r="V245" s="423"/>
      <c r="W245" s="423"/>
      <c r="X245" s="423"/>
      <c r="Y245" s="423"/>
      <c r="Z245" s="423"/>
    </row>
    <row r="246">
      <c r="A246" s="564">
        <v>244.0</v>
      </c>
      <c r="B246" s="565" t="s">
        <v>1453</v>
      </c>
      <c r="C246" s="565" t="s">
        <v>5256</v>
      </c>
      <c r="D246" s="564">
        <v>4.0</v>
      </c>
      <c r="E246" s="564">
        <v>0.0</v>
      </c>
      <c r="F246" s="564">
        <v>0.0</v>
      </c>
      <c r="G246" s="564">
        <v>4.0</v>
      </c>
      <c r="H246" s="564">
        <v>0.0</v>
      </c>
      <c r="I246" s="423"/>
      <c r="J246" s="423"/>
      <c r="K246" s="423"/>
      <c r="L246" s="423"/>
      <c r="M246" s="423"/>
      <c r="N246" s="423"/>
      <c r="O246" s="423"/>
      <c r="P246" s="423"/>
      <c r="Q246" s="423"/>
      <c r="R246" s="423"/>
      <c r="S246" s="423"/>
      <c r="T246" s="423"/>
      <c r="U246" s="423"/>
      <c r="V246" s="423"/>
      <c r="W246" s="423"/>
      <c r="X246" s="423"/>
      <c r="Y246" s="423"/>
      <c r="Z246" s="423"/>
    </row>
    <row r="247">
      <c r="A247" s="562">
        <v>245.0</v>
      </c>
      <c r="B247" s="563" t="s">
        <v>1454</v>
      </c>
      <c r="C247" s="563" t="s">
        <v>5256</v>
      </c>
      <c r="D247" s="562">
        <v>1.0</v>
      </c>
      <c r="E247" s="562">
        <v>0.0</v>
      </c>
      <c r="F247" s="562">
        <v>0.0</v>
      </c>
      <c r="G247" s="562">
        <v>7.0</v>
      </c>
      <c r="H247" s="562">
        <v>0.0</v>
      </c>
      <c r="I247" s="423"/>
      <c r="J247" s="423"/>
      <c r="K247" s="423"/>
      <c r="L247" s="423"/>
      <c r="M247" s="423"/>
      <c r="N247" s="423"/>
      <c r="O247" s="423"/>
      <c r="P247" s="423"/>
      <c r="Q247" s="423"/>
      <c r="R247" s="423"/>
      <c r="S247" s="423"/>
      <c r="T247" s="423"/>
      <c r="U247" s="423"/>
      <c r="V247" s="423"/>
      <c r="W247" s="423"/>
      <c r="X247" s="423"/>
      <c r="Y247" s="423"/>
      <c r="Z247" s="423"/>
    </row>
    <row r="248">
      <c r="A248" s="564">
        <v>246.0</v>
      </c>
      <c r="B248" s="565" t="s">
        <v>1455</v>
      </c>
      <c r="C248" s="565" t="s">
        <v>5256</v>
      </c>
      <c r="D248" s="564">
        <v>2.0</v>
      </c>
      <c r="E248" s="564">
        <v>0.0</v>
      </c>
      <c r="F248" s="564">
        <v>0.0</v>
      </c>
      <c r="G248" s="564">
        <v>6.0</v>
      </c>
      <c r="H248" s="564">
        <v>0.0</v>
      </c>
      <c r="I248" s="423"/>
      <c r="J248" s="423"/>
      <c r="K248" s="423"/>
      <c r="L248" s="423"/>
      <c r="M248" s="423"/>
      <c r="N248" s="423"/>
      <c r="O248" s="423"/>
      <c r="P248" s="423"/>
      <c r="Q248" s="423"/>
      <c r="R248" s="423"/>
      <c r="S248" s="423"/>
      <c r="T248" s="423"/>
      <c r="U248" s="423"/>
      <c r="V248" s="423"/>
      <c r="W248" s="423"/>
      <c r="X248" s="423"/>
      <c r="Y248" s="423"/>
      <c r="Z248" s="423"/>
    </row>
    <row r="249">
      <c r="A249" s="562">
        <v>247.0</v>
      </c>
      <c r="B249" s="563" t="s">
        <v>1456</v>
      </c>
      <c r="C249" s="563" t="s">
        <v>5256</v>
      </c>
      <c r="D249" s="562">
        <v>0.0</v>
      </c>
      <c r="E249" s="562">
        <v>0.0</v>
      </c>
      <c r="F249" s="562">
        <v>0.0</v>
      </c>
      <c r="G249" s="562">
        <v>8.0</v>
      </c>
      <c r="H249" s="562">
        <v>0.0</v>
      </c>
      <c r="I249" s="423"/>
      <c r="J249" s="423"/>
      <c r="K249" s="423"/>
      <c r="L249" s="423"/>
      <c r="M249" s="423"/>
      <c r="N249" s="423"/>
      <c r="O249" s="423"/>
      <c r="P249" s="423"/>
      <c r="Q249" s="423"/>
      <c r="R249" s="423"/>
      <c r="S249" s="423"/>
      <c r="T249" s="423"/>
      <c r="U249" s="423"/>
      <c r="V249" s="423"/>
      <c r="W249" s="423"/>
      <c r="X249" s="423"/>
      <c r="Y249" s="423"/>
      <c r="Z249" s="423"/>
    </row>
    <row r="250">
      <c r="A250" s="564">
        <v>248.0</v>
      </c>
      <c r="B250" s="565" t="s">
        <v>1457</v>
      </c>
      <c r="C250" s="565" t="s">
        <v>5256</v>
      </c>
      <c r="D250" s="564">
        <v>5.0</v>
      </c>
      <c r="E250" s="564">
        <v>0.0</v>
      </c>
      <c r="F250" s="564">
        <v>0.0</v>
      </c>
      <c r="G250" s="564">
        <v>3.0</v>
      </c>
      <c r="H250" s="564">
        <v>0.0</v>
      </c>
      <c r="I250" s="423"/>
      <c r="J250" s="423"/>
      <c r="K250" s="423"/>
      <c r="L250" s="423"/>
      <c r="M250" s="423"/>
      <c r="N250" s="423"/>
      <c r="O250" s="423"/>
      <c r="P250" s="423"/>
      <c r="Q250" s="423"/>
      <c r="R250" s="423"/>
      <c r="S250" s="423"/>
      <c r="T250" s="423"/>
      <c r="U250" s="423"/>
      <c r="V250" s="423"/>
      <c r="W250" s="423"/>
      <c r="X250" s="423"/>
      <c r="Y250" s="423"/>
      <c r="Z250" s="423"/>
    </row>
    <row r="251">
      <c r="A251" s="562">
        <v>249.0</v>
      </c>
      <c r="B251" s="563" t="s">
        <v>1458</v>
      </c>
      <c r="C251" s="563" t="s">
        <v>5256</v>
      </c>
      <c r="D251" s="562">
        <v>4.0</v>
      </c>
      <c r="E251" s="562">
        <v>0.0</v>
      </c>
      <c r="F251" s="562">
        <v>0.0</v>
      </c>
      <c r="G251" s="562">
        <v>4.0</v>
      </c>
      <c r="H251" s="562">
        <v>0.0</v>
      </c>
      <c r="I251" s="423"/>
      <c r="J251" s="423"/>
      <c r="K251" s="423"/>
      <c r="L251" s="423"/>
      <c r="M251" s="423"/>
      <c r="N251" s="423"/>
      <c r="O251" s="423"/>
      <c r="P251" s="423"/>
      <c r="Q251" s="423"/>
      <c r="R251" s="423"/>
      <c r="S251" s="423"/>
      <c r="T251" s="423"/>
      <c r="U251" s="423"/>
      <c r="V251" s="423"/>
      <c r="W251" s="423"/>
      <c r="X251" s="423"/>
      <c r="Y251" s="423"/>
      <c r="Z251" s="423"/>
    </row>
    <row r="252">
      <c r="A252" s="564">
        <v>250.0</v>
      </c>
      <c r="B252" s="565" t="s">
        <v>1459</v>
      </c>
      <c r="C252" s="565" t="s">
        <v>5256</v>
      </c>
      <c r="D252" s="564">
        <v>3.0</v>
      </c>
      <c r="E252" s="564">
        <v>0.0</v>
      </c>
      <c r="F252" s="564">
        <v>0.0</v>
      </c>
      <c r="G252" s="564">
        <v>5.0</v>
      </c>
      <c r="H252" s="564">
        <v>0.0</v>
      </c>
      <c r="I252" s="423"/>
      <c r="J252" s="423"/>
      <c r="K252" s="423"/>
      <c r="L252" s="423"/>
      <c r="M252" s="423"/>
      <c r="N252" s="423"/>
      <c r="O252" s="423"/>
      <c r="P252" s="423"/>
      <c r="Q252" s="423"/>
      <c r="R252" s="423"/>
      <c r="S252" s="423"/>
      <c r="T252" s="423"/>
      <c r="U252" s="423"/>
      <c r="V252" s="423"/>
      <c r="W252" s="423"/>
      <c r="X252" s="423"/>
      <c r="Y252" s="423"/>
      <c r="Z252" s="423"/>
    </row>
    <row r="253">
      <c r="A253" s="562">
        <v>251.0</v>
      </c>
      <c r="B253" s="563" t="s">
        <v>1460</v>
      </c>
      <c r="C253" s="563" t="s">
        <v>5256</v>
      </c>
      <c r="D253" s="562">
        <v>0.0</v>
      </c>
      <c r="E253" s="562">
        <v>0.0</v>
      </c>
      <c r="F253" s="562">
        <v>0.0</v>
      </c>
      <c r="G253" s="562">
        <v>8.0</v>
      </c>
      <c r="H253" s="562">
        <v>0.0</v>
      </c>
      <c r="I253" s="423"/>
      <c r="J253" s="423"/>
      <c r="K253" s="423"/>
      <c r="L253" s="423"/>
      <c r="M253" s="423"/>
      <c r="N253" s="423"/>
      <c r="O253" s="423"/>
      <c r="P253" s="423"/>
      <c r="Q253" s="423"/>
      <c r="R253" s="423"/>
      <c r="S253" s="423"/>
      <c r="T253" s="423"/>
      <c r="U253" s="423"/>
      <c r="V253" s="423"/>
      <c r="W253" s="423"/>
      <c r="X253" s="423"/>
      <c r="Y253" s="423"/>
      <c r="Z253" s="423"/>
    </row>
    <row r="254">
      <c r="A254" s="564">
        <v>252.0</v>
      </c>
      <c r="B254" s="565" t="s">
        <v>1461</v>
      </c>
      <c r="C254" s="565" t="s">
        <v>5256</v>
      </c>
      <c r="D254" s="564">
        <v>0.0</v>
      </c>
      <c r="E254" s="564">
        <v>0.0</v>
      </c>
      <c r="F254" s="564">
        <v>0.0</v>
      </c>
      <c r="G254" s="564">
        <v>8.0</v>
      </c>
      <c r="H254" s="564">
        <v>0.0</v>
      </c>
      <c r="I254" s="423"/>
      <c r="J254" s="423"/>
      <c r="K254" s="423"/>
      <c r="L254" s="423"/>
      <c r="M254" s="423"/>
      <c r="N254" s="423"/>
      <c r="O254" s="423"/>
      <c r="P254" s="423"/>
      <c r="Q254" s="423"/>
      <c r="R254" s="423"/>
      <c r="S254" s="423"/>
      <c r="T254" s="423"/>
      <c r="U254" s="423"/>
      <c r="V254" s="423"/>
      <c r="W254" s="423"/>
      <c r="X254" s="423"/>
      <c r="Y254" s="423"/>
      <c r="Z254" s="423"/>
    </row>
    <row r="255">
      <c r="A255" s="562">
        <v>253.0</v>
      </c>
      <c r="B255" s="563" t="s">
        <v>1462</v>
      </c>
      <c r="C255" s="563" t="s">
        <v>5256</v>
      </c>
      <c r="D255" s="562">
        <v>3.0</v>
      </c>
      <c r="E255" s="562">
        <v>0.0</v>
      </c>
      <c r="F255" s="562">
        <v>0.0</v>
      </c>
      <c r="G255" s="562">
        <v>5.0</v>
      </c>
      <c r="H255" s="562">
        <v>0.0</v>
      </c>
      <c r="I255" s="423"/>
      <c r="J255" s="423"/>
      <c r="K255" s="423"/>
      <c r="L255" s="423"/>
      <c r="M255" s="423"/>
      <c r="N255" s="423"/>
      <c r="O255" s="423"/>
      <c r="P255" s="423"/>
      <c r="Q255" s="423"/>
      <c r="R255" s="423"/>
      <c r="S255" s="423"/>
      <c r="T255" s="423"/>
      <c r="U255" s="423"/>
      <c r="V255" s="423"/>
      <c r="W255" s="423"/>
      <c r="X255" s="423"/>
      <c r="Y255" s="423"/>
      <c r="Z255" s="423"/>
    </row>
    <row r="256">
      <c r="A256" s="564">
        <v>254.0</v>
      </c>
      <c r="B256" s="565" t="s">
        <v>1463</v>
      </c>
      <c r="C256" s="565" t="s">
        <v>5256</v>
      </c>
      <c r="D256" s="564">
        <v>2.0</v>
      </c>
      <c r="E256" s="564">
        <v>0.0</v>
      </c>
      <c r="F256" s="564">
        <v>0.0</v>
      </c>
      <c r="G256" s="564">
        <v>6.0</v>
      </c>
      <c r="H256" s="564">
        <v>0.0</v>
      </c>
      <c r="I256" s="423"/>
      <c r="J256" s="423"/>
      <c r="K256" s="423"/>
      <c r="L256" s="423"/>
      <c r="M256" s="423"/>
      <c r="N256" s="423"/>
      <c r="O256" s="423"/>
      <c r="P256" s="423"/>
      <c r="Q256" s="423"/>
      <c r="R256" s="423"/>
      <c r="S256" s="423"/>
      <c r="T256" s="423"/>
      <c r="U256" s="423"/>
      <c r="V256" s="423"/>
      <c r="W256" s="423"/>
      <c r="X256" s="423"/>
      <c r="Y256" s="423"/>
      <c r="Z256" s="423"/>
    </row>
    <row r="257">
      <c r="A257" s="562">
        <v>255.0</v>
      </c>
      <c r="B257" s="563" t="s">
        <v>1464</v>
      </c>
      <c r="C257" s="563" t="s">
        <v>5256</v>
      </c>
      <c r="D257" s="562">
        <v>4.0</v>
      </c>
      <c r="E257" s="562">
        <v>0.0</v>
      </c>
      <c r="F257" s="562">
        <v>0.0</v>
      </c>
      <c r="G257" s="562">
        <v>4.0</v>
      </c>
      <c r="H257" s="562">
        <v>0.0</v>
      </c>
      <c r="I257" s="423"/>
      <c r="J257" s="423"/>
      <c r="K257" s="423"/>
      <c r="L257" s="423"/>
      <c r="M257" s="423"/>
      <c r="N257" s="423"/>
      <c r="O257" s="423"/>
      <c r="P257" s="423"/>
      <c r="Q257" s="423"/>
      <c r="R257" s="423"/>
      <c r="S257" s="423"/>
      <c r="T257" s="423"/>
      <c r="U257" s="423"/>
      <c r="V257" s="423"/>
      <c r="W257" s="423"/>
      <c r="X257" s="423"/>
      <c r="Y257" s="423"/>
      <c r="Z257" s="423"/>
    </row>
    <row r="258">
      <c r="A258" s="564">
        <v>256.0</v>
      </c>
      <c r="B258" s="565" t="s">
        <v>1465</v>
      </c>
      <c r="C258" s="565" t="s">
        <v>5256</v>
      </c>
      <c r="D258" s="564">
        <v>3.0</v>
      </c>
      <c r="E258" s="564">
        <v>0.0</v>
      </c>
      <c r="F258" s="564">
        <v>0.0</v>
      </c>
      <c r="G258" s="564">
        <v>5.0</v>
      </c>
      <c r="H258" s="564">
        <v>0.0</v>
      </c>
      <c r="I258" s="423"/>
      <c r="J258" s="423"/>
      <c r="K258" s="423"/>
      <c r="L258" s="423"/>
      <c r="M258" s="423"/>
      <c r="N258" s="423"/>
      <c r="O258" s="423"/>
      <c r="P258" s="423"/>
      <c r="Q258" s="423"/>
      <c r="R258" s="423"/>
      <c r="S258" s="423"/>
      <c r="T258" s="423"/>
      <c r="U258" s="423"/>
      <c r="V258" s="423"/>
      <c r="W258" s="423"/>
      <c r="X258" s="423"/>
      <c r="Y258" s="423"/>
      <c r="Z258" s="423"/>
    </row>
    <row r="259">
      <c r="A259" s="562">
        <v>257.0</v>
      </c>
      <c r="B259" s="563" t="s">
        <v>1466</v>
      </c>
      <c r="C259" s="563" t="s">
        <v>5256</v>
      </c>
      <c r="D259" s="562">
        <v>5.0</v>
      </c>
      <c r="E259" s="562">
        <v>0.0</v>
      </c>
      <c r="F259" s="562">
        <v>0.0</v>
      </c>
      <c r="G259" s="562">
        <v>3.0</v>
      </c>
      <c r="H259" s="562">
        <v>0.0</v>
      </c>
      <c r="I259" s="423"/>
      <c r="J259" s="423"/>
      <c r="K259" s="423"/>
      <c r="L259" s="423"/>
      <c r="M259" s="423"/>
      <c r="N259" s="423"/>
      <c r="O259" s="423"/>
      <c r="P259" s="423"/>
      <c r="Q259" s="423"/>
      <c r="R259" s="423"/>
      <c r="S259" s="423"/>
      <c r="T259" s="423"/>
      <c r="U259" s="423"/>
      <c r="V259" s="423"/>
      <c r="W259" s="423"/>
      <c r="X259" s="423"/>
      <c r="Y259" s="423"/>
      <c r="Z259" s="423"/>
    </row>
    <row r="260">
      <c r="A260" s="564">
        <v>258.0</v>
      </c>
      <c r="B260" s="565" t="s">
        <v>1467</v>
      </c>
      <c r="C260" s="565" t="s">
        <v>5256</v>
      </c>
      <c r="D260" s="564">
        <v>5.0</v>
      </c>
      <c r="E260" s="564">
        <v>0.0</v>
      </c>
      <c r="F260" s="564">
        <v>0.0</v>
      </c>
      <c r="G260" s="564">
        <v>3.0</v>
      </c>
      <c r="H260" s="564">
        <v>0.0</v>
      </c>
      <c r="I260" s="423"/>
      <c r="J260" s="423"/>
      <c r="K260" s="423"/>
      <c r="L260" s="423"/>
      <c r="M260" s="423"/>
      <c r="N260" s="423"/>
      <c r="O260" s="423"/>
      <c r="P260" s="423"/>
      <c r="Q260" s="423"/>
      <c r="R260" s="423"/>
      <c r="S260" s="423"/>
      <c r="T260" s="423"/>
      <c r="U260" s="423"/>
      <c r="V260" s="423"/>
      <c r="W260" s="423"/>
      <c r="X260" s="423"/>
      <c r="Y260" s="423"/>
      <c r="Z260" s="423"/>
    </row>
    <row r="261">
      <c r="A261" s="562">
        <v>259.0</v>
      </c>
      <c r="B261" s="563" t="s">
        <v>1468</v>
      </c>
      <c r="C261" s="563" t="s">
        <v>5256</v>
      </c>
      <c r="D261" s="562">
        <v>2.0</v>
      </c>
      <c r="E261" s="562">
        <v>0.0</v>
      </c>
      <c r="F261" s="562">
        <v>0.0</v>
      </c>
      <c r="G261" s="562">
        <v>6.0</v>
      </c>
      <c r="H261" s="562">
        <v>0.0</v>
      </c>
      <c r="I261" s="423"/>
      <c r="J261" s="423"/>
      <c r="K261" s="423"/>
      <c r="L261" s="423"/>
      <c r="M261" s="423"/>
      <c r="N261" s="423"/>
      <c r="O261" s="423"/>
      <c r="P261" s="423"/>
      <c r="Q261" s="423"/>
      <c r="R261" s="423"/>
      <c r="S261" s="423"/>
      <c r="T261" s="423"/>
      <c r="U261" s="423"/>
      <c r="V261" s="423"/>
      <c r="W261" s="423"/>
      <c r="X261" s="423"/>
      <c r="Y261" s="423"/>
      <c r="Z261" s="423"/>
    </row>
    <row r="262">
      <c r="A262" s="564">
        <v>260.0</v>
      </c>
      <c r="B262" s="565" t="s">
        <v>5624</v>
      </c>
      <c r="C262" s="565" t="s">
        <v>5256</v>
      </c>
      <c r="D262" s="564">
        <v>0.0</v>
      </c>
      <c r="E262" s="564">
        <v>0.0</v>
      </c>
      <c r="F262" s="564">
        <v>0.0</v>
      </c>
      <c r="G262" s="564">
        <v>8.0</v>
      </c>
      <c r="H262" s="564">
        <v>0.0</v>
      </c>
      <c r="I262" s="423"/>
      <c r="J262" s="423"/>
      <c r="K262" s="423"/>
      <c r="L262" s="423"/>
      <c r="M262" s="423"/>
      <c r="N262" s="423"/>
      <c r="O262" s="423"/>
      <c r="P262" s="423"/>
      <c r="Q262" s="423"/>
      <c r="R262" s="423"/>
      <c r="S262" s="423"/>
      <c r="T262" s="423"/>
      <c r="U262" s="423"/>
      <c r="V262" s="423"/>
      <c r="W262" s="423"/>
      <c r="X262" s="423"/>
      <c r="Y262" s="423"/>
      <c r="Z262" s="423"/>
    </row>
    <row r="263">
      <c r="A263" s="562">
        <v>261.0</v>
      </c>
      <c r="B263" s="563" t="s">
        <v>1469</v>
      </c>
      <c r="C263" s="563" t="s">
        <v>5256</v>
      </c>
      <c r="D263" s="562">
        <v>0.0</v>
      </c>
      <c r="E263" s="562">
        <v>0.0</v>
      </c>
      <c r="F263" s="562">
        <v>0.0</v>
      </c>
      <c r="G263" s="562">
        <v>8.0</v>
      </c>
      <c r="H263" s="562">
        <v>0.0</v>
      </c>
      <c r="I263" s="423"/>
      <c r="J263" s="423"/>
      <c r="K263" s="423"/>
      <c r="L263" s="423"/>
      <c r="M263" s="423"/>
      <c r="N263" s="423"/>
      <c r="O263" s="423"/>
      <c r="P263" s="423"/>
      <c r="Q263" s="423"/>
      <c r="R263" s="423"/>
      <c r="S263" s="423"/>
      <c r="T263" s="423"/>
      <c r="U263" s="423"/>
      <c r="V263" s="423"/>
      <c r="W263" s="423"/>
      <c r="X263" s="423"/>
      <c r="Y263" s="423"/>
      <c r="Z263" s="423"/>
    </row>
    <row r="264">
      <c r="A264" s="564">
        <v>262.0</v>
      </c>
      <c r="B264" s="565" t="s">
        <v>1470</v>
      </c>
      <c r="C264" s="565" t="s">
        <v>5256</v>
      </c>
      <c r="D264" s="564">
        <v>3.0</v>
      </c>
      <c r="E264" s="564">
        <v>0.0</v>
      </c>
      <c r="F264" s="564">
        <v>0.0</v>
      </c>
      <c r="G264" s="564">
        <v>5.0</v>
      </c>
      <c r="H264" s="564">
        <v>0.0</v>
      </c>
      <c r="I264" s="423"/>
      <c r="J264" s="423"/>
      <c r="K264" s="423"/>
      <c r="L264" s="423"/>
      <c r="M264" s="423"/>
      <c r="N264" s="423"/>
      <c r="O264" s="423"/>
      <c r="P264" s="423"/>
      <c r="Q264" s="423"/>
      <c r="R264" s="423"/>
      <c r="S264" s="423"/>
      <c r="T264" s="423"/>
      <c r="U264" s="423"/>
      <c r="V264" s="423"/>
      <c r="W264" s="423"/>
      <c r="X264" s="423"/>
      <c r="Y264" s="423"/>
      <c r="Z264" s="423"/>
    </row>
    <row r="265">
      <c r="A265" s="562">
        <v>263.0</v>
      </c>
      <c r="B265" s="563" t="s">
        <v>1471</v>
      </c>
      <c r="C265" s="563" t="s">
        <v>5256</v>
      </c>
      <c r="D265" s="562">
        <v>4.0</v>
      </c>
      <c r="E265" s="562">
        <v>0.0</v>
      </c>
      <c r="F265" s="562">
        <v>0.0</v>
      </c>
      <c r="G265" s="562">
        <v>4.0</v>
      </c>
      <c r="H265" s="562">
        <v>0.0</v>
      </c>
      <c r="I265" s="423"/>
      <c r="J265" s="423"/>
      <c r="K265" s="423"/>
      <c r="L265" s="423"/>
      <c r="M265" s="423"/>
      <c r="N265" s="423"/>
      <c r="O265" s="423"/>
      <c r="P265" s="423"/>
      <c r="Q265" s="423"/>
      <c r="R265" s="423"/>
      <c r="S265" s="423"/>
      <c r="T265" s="423"/>
      <c r="U265" s="423"/>
      <c r="V265" s="423"/>
      <c r="W265" s="423"/>
      <c r="X265" s="423"/>
      <c r="Y265" s="423"/>
      <c r="Z265" s="423"/>
    </row>
    <row r="266">
      <c r="A266" s="564">
        <v>264.0</v>
      </c>
      <c r="B266" s="565" t="s">
        <v>1472</v>
      </c>
      <c r="C266" s="565" t="s">
        <v>5256</v>
      </c>
      <c r="D266" s="564">
        <v>3.0</v>
      </c>
      <c r="E266" s="564">
        <v>0.0</v>
      </c>
      <c r="F266" s="564">
        <v>0.0</v>
      </c>
      <c r="G266" s="564">
        <v>5.0</v>
      </c>
      <c r="H266" s="564">
        <v>0.0</v>
      </c>
      <c r="I266" s="423"/>
      <c r="J266" s="423"/>
      <c r="K266" s="423"/>
      <c r="L266" s="423"/>
      <c r="M266" s="423"/>
      <c r="N266" s="423"/>
      <c r="O266" s="423"/>
      <c r="P266" s="423"/>
      <c r="Q266" s="423"/>
      <c r="R266" s="423"/>
      <c r="S266" s="423"/>
      <c r="T266" s="423"/>
      <c r="U266" s="423"/>
      <c r="V266" s="423"/>
      <c r="W266" s="423"/>
      <c r="X266" s="423"/>
      <c r="Y266" s="423"/>
      <c r="Z266" s="423"/>
    </row>
    <row r="267">
      <c r="A267" s="562">
        <v>265.0</v>
      </c>
      <c r="B267" s="563" t="s">
        <v>1473</v>
      </c>
      <c r="C267" s="563" t="s">
        <v>5256</v>
      </c>
      <c r="D267" s="562">
        <v>1.0</v>
      </c>
      <c r="E267" s="562">
        <v>0.0</v>
      </c>
      <c r="F267" s="562">
        <v>0.0</v>
      </c>
      <c r="G267" s="562">
        <v>7.0</v>
      </c>
      <c r="H267" s="562">
        <v>0.0</v>
      </c>
      <c r="I267" s="423"/>
      <c r="J267" s="423"/>
      <c r="K267" s="423"/>
      <c r="L267" s="423"/>
      <c r="M267" s="423"/>
      <c r="N267" s="423"/>
      <c r="O267" s="423"/>
      <c r="P267" s="423"/>
      <c r="Q267" s="423"/>
      <c r="R267" s="423"/>
      <c r="S267" s="423"/>
      <c r="T267" s="423"/>
      <c r="U267" s="423"/>
      <c r="V267" s="423"/>
      <c r="W267" s="423"/>
      <c r="X267" s="423"/>
      <c r="Y267" s="423"/>
      <c r="Z267" s="423"/>
    </row>
    <row r="268">
      <c r="A268" s="564">
        <v>266.0</v>
      </c>
      <c r="B268" s="565" t="s">
        <v>1474</v>
      </c>
      <c r="C268" s="565" t="s">
        <v>5256</v>
      </c>
      <c r="D268" s="564">
        <v>3.0</v>
      </c>
      <c r="E268" s="564">
        <v>0.0</v>
      </c>
      <c r="F268" s="564">
        <v>0.0</v>
      </c>
      <c r="G268" s="564">
        <v>5.0</v>
      </c>
      <c r="H268" s="564">
        <v>0.0</v>
      </c>
      <c r="I268" s="423"/>
      <c r="J268" s="423"/>
      <c r="K268" s="423"/>
      <c r="L268" s="423"/>
      <c r="M268" s="423"/>
      <c r="N268" s="423"/>
      <c r="O268" s="423"/>
      <c r="P268" s="423"/>
      <c r="Q268" s="423"/>
      <c r="R268" s="423"/>
      <c r="S268" s="423"/>
      <c r="T268" s="423"/>
      <c r="U268" s="423"/>
      <c r="V268" s="423"/>
      <c r="W268" s="423"/>
      <c r="X268" s="423"/>
      <c r="Y268" s="423"/>
      <c r="Z268" s="423"/>
    </row>
    <row r="269">
      <c r="A269" s="562">
        <v>267.0</v>
      </c>
      <c r="B269" s="563" t="s">
        <v>1475</v>
      </c>
      <c r="C269" s="563" t="s">
        <v>5256</v>
      </c>
      <c r="D269" s="562">
        <v>2.0</v>
      </c>
      <c r="E269" s="562">
        <v>0.0</v>
      </c>
      <c r="F269" s="562">
        <v>0.0</v>
      </c>
      <c r="G269" s="562">
        <v>6.0</v>
      </c>
      <c r="H269" s="562">
        <v>0.0</v>
      </c>
      <c r="I269" s="423"/>
      <c r="J269" s="423"/>
      <c r="K269" s="423"/>
      <c r="L269" s="423"/>
      <c r="M269" s="423"/>
      <c r="N269" s="423"/>
      <c r="O269" s="423"/>
      <c r="P269" s="423"/>
      <c r="Q269" s="423"/>
      <c r="R269" s="423"/>
      <c r="S269" s="423"/>
      <c r="T269" s="423"/>
      <c r="U269" s="423"/>
      <c r="V269" s="423"/>
      <c r="W269" s="423"/>
      <c r="X269" s="423"/>
      <c r="Y269" s="423"/>
      <c r="Z269" s="423"/>
    </row>
    <row r="270">
      <c r="A270" s="564">
        <v>268.0</v>
      </c>
      <c r="B270" s="565" t="s">
        <v>1476</v>
      </c>
      <c r="C270" s="565" t="s">
        <v>5256</v>
      </c>
      <c r="D270" s="564">
        <v>3.0</v>
      </c>
      <c r="E270" s="564">
        <v>0.0</v>
      </c>
      <c r="F270" s="564">
        <v>0.0</v>
      </c>
      <c r="G270" s="564">
        <v>5.0</v>
      </c>
      <c r="H270" s="564">
        <v>0.0</v>
      </c>
      <c r="I270" s="423"/>
      <c r="J270" s="423"/>
      <c r="K270" s="423"/>
      <c r="L270" s="423"/>
      <c r="M270" s="423"/>
      <c r="N270" s="423"/>
      <c r="O270" s="423"/>
      <c r="P270" s="423"/>
      <c r="Q270" s="423"/>
      <c r="R270" s="423"/>
      <c r="S270" s="423"/>
      <c r="T270" s="423"/>
      <c r="U270" s="423"/>
      <c r="V270" s="423"/>
      <c r="W270" s="423"/>
      <c r="X270" s="423"/>
      <c r="Y270" s="423"/>
      <c r="Z270" s="423"/>
    </row>
    <row r="271">
      <c r="A271" s="562">
        <v>269.0</v>
      </c>
      <c r="B271" s="563" t="s">
        <v>1477</v>
      </c>
      <c r="C271" s="563" t="s">
        <v>5256</v>
      </c>
      <c r="D271" s="562">
        <v>3.0</v>
      </c>
      <c r="E271" s="562">
        <v>0.0</v>
      </c>
      <c r="F271" s="562">
        <v>0.0</v>
      </c>
      <c r="G271" s="562">
        <v>5.0</v>
      </c>
      <c r="H271" s="562">
        <v>0.0</v>
      </c>
      <c r="I271" s="423"/>
      <c r="J271" s="423"/>
      <c r="K271" s="423"/>
      <c r="L271" s="423"/>
      <c r="M271" s="423"/>
      <c r="N271" s="423"/>
      <c r="O271" s="423"/>
      <c r="P271" s="423"/>
      <c r="Q271" s="423"/>
      <c r="R271" s="423"/>
      <c r="S271" s="423"/>
      <c r="T271" s="423"/>
      <c r="U271" s="423"/>
      <c r="V271" s="423"/>
      <c r="W271" s="423"/>
      <c r="X271" s="423"/>
      <c r="Y271" s="423"/>
      <c r="Z271" s="423"/>
    </row>
    <row r="272">
      <c r="A272" s="564">
        <v>270.0</v>
      </c>
      <c r="B272" s="565" t="s">
        <v>1478</v>
      </c>
      <c r="C272" s="565" t="s">
        <v>5256</v>
      </c>
      <c r="D272" s="564">
        <v>4.0</v>
      </c>
      <c r="E272" s="564">
        <v>0.0</v>
      </c>
      <c r="F272" s="564">
        <v>0.0</v>
      </c>
      <c r="G272" s="564">
        <v>4.0</v>
      </c>
      <c r="H272" s="564">
        <v>0.0</v>
      </c>
      <c r="I272" s="423"/>
      <c r="J272" s="423"/>
      <c r="K272" s="423"/>
      <c r="L272" s="423"/>
      <c r="M272" s="423"/>
      <c r="N272" s="423"/>
      <c r="O272" s="423"/>
      <c r="P272" s="423"/>
      <c r="Q272" s="423"/>
      <c r="R272" s="423"/>
      <c r="S272" s="423"/>
      <c r="T272" s="423"/>
      <c r="U272" s="423"/>
      <c r="V272" s="423"/>
      <c r="W272" s="423"/>
      <c r="X272" s="423"/>
      <c r="Y272" s="423"/>
      <c r="Z272" s="423"/>
    </row>
    <row r="273">
      <c r="A273" s="562">
        <v>271.0</v>
      </c>
      <c r="B273" s="563" t="s">
        <v>1479</v>
      </c>
      <c r="C273" s="563" t="s">
        <v>5256</v>
      </c>
      <c r="D273" s="562">
        <v>3.0</v>
      </c>
      <c r="E273" s="562">
        <v>0.0</v>
      </c>
      <c r="F273" s="562">
        <v>0.0</v>
      </c>
      <c r="G273" s="562">
        <v>5.0</v>
      </c>
      <c r="H273" s="562">
        <v>0.0</v>
      </c>
      <c r="I273" s="423"/>
      <c r="J273" s="423"/>
      <c r="K273" s="423"/>
      <c r="L273" s="423"/>
      <c r="M273" s="423"/>
      <c r="N273" s="423"/>
      <c r="O273" s="423"/>
      <c r="P273" s="423"/>
      <c r="Q273" s="423"/>
      <c r="R273" s="423"/>
      <c r="S273" s="423"/>
      <c r="T273" s="423"/>
      <c r="U273" s="423"/>
      <c r="V273" s="423"/>
      <c r="W273" s="423"/>
      <c r="X273" s="423"/>
      <c r="Y273" s="423"/>
      <c r="Z273" s="423"/>
    </row>
    <row r="274">
      <c r="A274" s="564">
        <v>272.0</v>
      </c>
      <c r="B274" s="565" t="s">
        <v>1480</v>
      </c>
      <c r="C274" s="565" t="s">
        <v>5256</v>
      </c>
      <c r="D274" s="564">
        <v>2.0</v>
      </c>
      <c r="E274" s="564">
        <v>0.0</v>
      </c>
      <c r="F274" s="564">
        <v>0.0</v>
      </c>
      <c r="G274" s="564">
        <v>6.0</v>
      </c>
      <c r="H274" s="564">
        <v>0.0</v>
      </c>
      <c r="I274" s="423"/>
      <c r="J274" s="423"/>
      <c r="K274" s="423"/>
      <c r="L274" s="423"/>
      <c r="M274" s="423"/>
      <c r="N274" s="423"/>
      <c r="O274" s="423"/>
      <c r="P274" s="423"/>
      <c r="Q274" s="423"/>
      <c r="R274" s="423"/>
      <c r="S274" s="423"/>
      <c r="T274" s="423"/>
      <c r="U274" s="423"/>
      <c r="V274" s="423"/>
      <c r="W274" s="423"/>
      <c r="X274" s="423"/>
      <c r="Y274" s="423"/>
      <c r="Z274" s="423"/>
    </row>
    <row r="275">
      <c r="A275" s="562">
        <v>273.0</v>
      </c>
      <c r="B275" s="563" t="s">
        <v>1481</v>
      </c>
      <c r="C275" s="563" t="s">
        <v>5256</v>
      </c>
      <c r="D275" s="562">
        <v>4.0</v>
      </c>
      <c r="E275" s="562">
        <v>0.0</v>
      </c>
      <c r="F275" s="562">
        <v>0.0</v>
      </c>
      <c r="G275" s="562">
        <v>4.0</v>
      </c>
      <c r="H275" s="562">
        <v>0.0</v>
      </c>
      <c r="I275" s="423"/>
      <c r="J275" s="423"/>
      <c r="K275" s="423"/>
      <c r="L275" s="423"/>
      <c r="M275" s="423"/>
      <c r="N275" s="423"/>
      <c r="O275" s="423"/>
      <c r="P275" s="423"/>
      <c r="Q275" s="423"/>
      <c r="R275" s="423"/>
      <c r="S275" s="423"/>
      <c r="T275" s="423"/>
      <c r="U275" s="423"/>
      <c r="V275" s="423"/>
      <c r="W275" s="423"/>
      <c r="X275" s="423"/>
      <c r="Y275" s="423"/>
      <c r="Z275" s="423"/>
    </row>
    <row r="276">
      <c r="A276" s="564">
        <v>274.0</v>
      </c>
      <c r="B276" s="565" t="s">
        <v>1482</v>
      </c>
      <c r="C276" s="565" t="s">
        <v>5256</v>
      </c>
      <c r="D276" s="564">
        <v>3.0</v>
      </c>
      <c r="E276" s="564">
        <v>0.0</v>
      </c>
      <c r="F276" s="564">
        <v>0.0</v>
      </c>
      <c r="G276" s="564">
        <v>5.0</v>
      </c>
      <c r="H276" s="564">
        <v>0.0</v>
      </c>
      <c r="I276" s="423"/>
      <c r="J276" s="423"/>
      <c r="K276" s="423"/>
      <c r="L276" s="423"/>
      <c r="M276" s="423"/>
      <c r="N276" s="423"/>
      <c r="O276" s="423"/>
      <c r="P276" s="423"/>
      <c r="Q276" s="423"/>
      <c r="R276" s="423"/>
      <c r="S276" s="423"/>
      <c r="T276" s="423"/>
      <c r="U276" s="423"/>
      <c r="V276" s="423"/>
      <c r="W276" s="423"/>
      <c r="X276" s="423"/>
      <c r="Y276" s="423"/>
      <c r="Z276" s="423"/>
    </row>
    <row r="277">
      <c r="A277" s="562">
        <v>275.0</v>
      </c>
      <c r="B277" s="563" t="s">
        <v>1483</v>
      </c>
      <c r="C277" s="563" t="s">
        <v>5256</v>
      </c>
      <c r="D277" s="562">
        <v>2.0</v>
      </c>
      <c r="E277" s="562">
        <v>0.0</v>
      </c>
      <c r="F277" s="562">
        <v>0.0</v>
      </c>
      <c r="G277" s="562">
        <v>6.0</v>
      </c>
      <c r="H277" s="562">
        <v>0.0</v>
      </c>
      <c r="I277" s="423"/>
      <c r="J277" s="423"/>
      <c r="K277" s="423"/>
      <c r="L277" s="423"/>
      <c r="M277" s="423"/>
      <c r="N277" s="423"/>
      <c r="O277" s="423"/>
      <c r="P277" s="423"/>
      <c r="Q277" s="423"/>
      <c r="R277" s="423"/>
      <c r="S277" s="423"/>
      <c r="T277" s="423"/>
      <c r="U277" s="423"/>
      <c r="V277" s="423"/>
      <c r="W277" s="423"/>
      <c r="X277" s="423"/>
      <c r="Y277" s="423"/>
      <c r="Z277" s="423"/>
    </row>
    <row r="278">
      <c r="A278" s="564">
        <v>276.0</v>
      </c>
      <c r="B278" s="565" t="s">
        <v>5625</v>
      </c>
      <c r="C278" s="565" t="s">
        <v>5256</v>
      </c>
      <c r="D278" s="564">
        <v>0.0</v>
      </c>
      <c r="E278" s="564">
        <v>0.0</v>
      </c>
      <c r="F278" s="564">
        <v>0.0</v>
      </c>
      <c r="G278" s="564">
        <v>8.0</v>
      </c>
      <c r="H278" s="564">
        <v>0.0</v>
      </c>
      <c r="I278" s="423"/>
      <c r="J278" s="423"/>
      <c r="K278" s="423"/>
      <c r="L278" s="423"/>
      <c r="M278" s="423"/>
      <c r="N278" s="423"/>
      <c r="O278" s="423"/>
      <c r="P278" s="423"/>
      <c r="Q278" s="423"/>
      <c r="R278" s="423"/>
      <c r="S278" s="423"/>
      <c r="T278" s="423"/>
      <c r="U278" s="423"/>
      <c r="V278" s="423"/>
      <c r="W278" s="423"/>
      <c r="X278" s="423"/>
      <c r="Y278" s="423"/>
      <c r="Z278" s="423"/>
    </row>
    <row r="279">
      <c r="A279" s="562">
        <v>277.0</v>
      </c>
      <c r="B279" s="563" t="s">
        <v>1484</v>
      </c>
      <c r="C279" s="563" t="s">
        <v>5256</v>
      </c>
      <c r="D279" s="562">
        <v>3.0</v>
      </c>
      <c r="E279" s="562">
        <v>0.0</v>
      </c>
      <c r="F279" s="562">
        <v>0.0</v>
      </c>
      <c r="G279" s="562">
        <v>5.0</v>
      </c>
      <c r="H279" s="562">
        <v>0.0</v>
      </c>
      <c r="I279" s="423"/>
      <c r="J279" s="423"/>
      <c r="K279" s="423"/>
      <c r="L279" s="423"/>
      <c r="M279" s="423"/>
      <c r="N279" s="423"/>
      <c r="O279" s="423"/>
      <c r="P279" s="423"/>
      <c r="Q279" s="423"/>
      <c r="R279" s="423"/>
      <c r="S279" s="423"/>
      <c r="T279" s="423"/>
      <c r="U279" s="423"/>
      <c r="V279" s="423"/>
      <c r="W279" s="423"/>
      <c r="X279" s="423"/>
      <c r="Y279" s="423"/>
      <c r="Z279" s="423"/>
    </row>
    <row r="280">
      <c r="A280" s="564">
        <v>278.0</v>
      </c>
      <c r="B280" s="565" t="s">
        <v>1485</v>
      </c>
      <c r="C280" s="565" t="s">
        <v>5256</v>
      </c>
      <c r="D280" s="564">
        <v>3.0</v>
      </c>
      <c r="E280" s="564">
        <v>0.0</v>
      </c>
      <c r="F280" s="564">
        <v>0.0</v>
      </c>
      <c r="G280" s="564">
        <v>5.0</v>
      </c>
      <c r="H280" s="564">
        <v>0.0</v>
      </c>
      <c r="I280" s="423"/>
      <c r="J280" s="423"/>
      <c r="K280" s="423"/>
      <c r="L280" s="423"/>
      <c r="M280" s="423"/>
      <c r="N280" s="423"/>
      <c r="O280" s="423"/>
      <c r="P280" s="423"/>
      <c r="Q280" s="423"/>
      <c r="R280" s="423"/>
      <c r="S280" s="423"/>
      <c r="T280" s="423"/>
      <c r="U280" s="423"/>
      <c r="V280" s="423"/>
      <c r="W280" s="423"/>
      <c r="X280" s="423"/>
      <c r="Y280" s="423"/>
      <c r="Z280" s="423"/>
    </row>
    <row r="281">
      <c r="A281" s="562">
        <v>279.0</v>
      </c>
      <c r="B281" s="563" t="s">
        <v>1486</v>
      </c>
      <c r="C281" s="563" t="s">
        <v>5256</v>
      </c>
      <c r="D281" s="562">
        <v>3.0</v>
      </c>
      <c r="E281" s="562">
        <v>0.0</v>
      </c>
      <c r="F281" s="562">
        <v>0.0</v>
      </c>
      <c r="G281" s="562">
        <v>5.0</v>
      </c>
      <c r="H281" s="562">
        <v>0.0</v>
      </c>
      <c r="I281" s="423"/>
      <c r="J281" s="423"/>
      <c r="K281" s="423"/>
      <c r="L281" s="423"/>
      <c r="M281" s="423"/>
      <c r="N281" s="423"/>
      <c r="O281" s="423"/>
      <c r="P281" s="423"/>
      <c r="Q281" s="423"/>
      <c r="R281" s="423"/>
      <c r="S281" s="423"/>
      <c r="T281" s="423"/>
      <c r="U281" s="423"/>
      <c r="V281" s="423"/>
      <c r="W281" s="423"/>
      <c r="X281" s="423"/>
      <c r="Y281" s="423"/>
      <c r="Z281" s="423"/>
    </row>
    <row r="282">
      <c r="A282" s="564">
        <v>280.0</v>
      </c>
      <c r="B282" s="565" t="s">
        <v>1487</v>
      </c>
      <c r="C282" s="565" t="s">
        <v>5256</v>
      </c>
      <c r="D282" s="564">
        <v>3.0</v>
      </c>
      <c r="E282" s="564">
        <v>0.0</v>
      </c>
      <c r="F282" s="564">
        <v>0.0</v>
      </c>
      <c r="G282" s="564">
        <v>5.0</v>
      </c>
      <c r="H282" s="564">
        <v>0.0</v>
      </c>
      <c r="I282" s="423"/>
      <c r="J282" s="423"/>
      <c r="K282" s="423"/>
      <c r="L282" s="423"/>
      <c r="M282" s="423"/>
      <c r="N282" s="423"/>
      <c r="O282" s="423"/>
      <c r="P282" s="423"/>
      <c r="Q282" s="423"/>
      <c r="R282" s="423"/>
      <c r="S282" s="423"/>
      <c r="T282" s="423"/>
      <c r="U282" s="423"/>
      <c r="V282" s="423"/>
      <c r="W282" s="423"/>
      <c r="X282" s="423"/>
      <c r="Y282" s="423"/>
      <c r="Z282" s="423"/>
    </row>
    <row r="283">
      <c r="A283" s="562">
        <v>281.0</v>
      </c>
      <c r="B283" s="563" t="s">
        <v>1488</v>
      </c>
      <c r="C283" s="563" t="s">
        <v>5256</v>
      </c>
      <c r="D283" s="562">
        <v>3.0</v>
      </c>
      <c r="E283" s="562">
        <v>0.0</v>
      </c>
      <c r="F283" s="562">
        <v>0.0</v>
      </c>
      <c r="G283" s="562">
        <v>5.0</v>
      </c>
      <c r="H283" s="562">
        <v>0.0</v>
      </c>
      <c r="I283" s="423"/>
      <c r="J283" s="423"/>
      <c r="K283" s="423"/>
      <c r="L283" s="423"/>
      <c r="M283" s="423"/>
      <c r="N283" s="423"/>
      <c r="O283" s="423"/>
      <c r="P283" s="423"/>
      <c r="Q283" s="423"/>
      <c r="R283" s="423"/>
      <c r="S283" s="423"/>
      <c r="T283" s="423"/>
      <c r="U283" s="423"/>
      <c r="V283" s="423"/>
      <c r="W283" s="423"/>
      <c r="X283" s="423"/>
      <c r="Y283" s="423"/>
      <c r="Z283" s="423"/>
    </row>
    <row r="284">
      <c r="A284" s="564">
        <v>282.0</v>
      </c>
      <c r="B284" s="565" t="s">
        <v>1489</v>
      </c>
      <c r="C284" s="565" t="s">
        <v>5256</v>
      </c>
      <c r="D284" s="564">
        <v>4.0</v>
      </c>
      <c r="E284" s="564">
        <v>0.0</v>
      </c>
      <c r="F284" s="564">
        <v>0.0</v>
      </c>
      <c r="G284" s="564">
        <v>4.0</v>
      </c>
      <c r="H284" s="564">
        <v>0.0</v>
      </c>
      <c r="I284" s="423"/>
      <c r="J284" s="423"/>
      <c r="K284" s="423"/>
      <c r="L284" s="423"/>
      <c r="M284" s="423"/>
      <c r="N284" s="423"/>
      <c r="O284" s="423"/>
      <c r="P284" s="423"/>
      <c r="Q284" s="423"/>
      <c r="R284" s="423"/>
      <c r="S284" s="423"/>
      <c r="T284" s="423"/>
      <c r="U284" s="423"/>
      <c r="V284" s="423"/>
      <c r="W284" s="423"/>
      <c r="X284" s="423"/>
      <c r="Y284" s="423"/>
      <c r="Z284" s="423"/>
    </row>
    <row r="285">
      <c r="A285" s="562">
        <v>283.0</v>
      </c>
      <c r="B285" s="563" t="s">
        <v>1490</v>
      </c>
      <c r="C285" s="563" t="s">
        <v>5256</v>
      </c>
      <c r="D285" s="562">
        <v>3.0</v>
      </c>
      <c r="E285" s="562">
        <v>0.0</v>
      </c>
      <c r="F285" s="562">
        <v>0.0</v>
      </c>
      <c r="G285" s="562">
        <v>5.0</v>
      </c>
      <c r="H285" s="562">
        <v>0.0</v>
      </c>
      <c r="I285" s="423"/>
      <c r="J285" s="423"/>
      <c r="K285" s="423"/>
      <c r="L285" s="423"/>
      <c r="M285" s="423"/>
      <c r="N285" s="423"/>
      <c r="O285" s="423"/>
      <c r="P285" s="423"/>
      <c r="Q285" s="423"/>
      <c r="R285" s="423"/>
      <c r="S285" s="423"/>
      <c r="T285" s="423"/>
      <c r="U285" s="423"/>
      <c r="V285" s="423"/>
      <c r="W285" s="423"/>
      <c r="X285" s="423"/>
      <c r="Y285" s="423"/>
      <c r="Z285" s="423"/>
    </row>
    <row r="286">
      <c r="A286" s="564">
        <v>284.0</v>
      </c>
      <c r="B286" s="565" t="s">
        <v>1491</v>
      </c>
      <c r="C286" s="565" t="s">
        <v>5256</v>
      </c>
      <c r="D286" s="564">
        <v>3.0</v>
      </c>
      <c r="E286" s="564">
        <v>0.0</v>
      </c>
      <c r="F286" s="564">
        <v>0.0</v>
      </c>
      <c r="G286" s="564">
        <v>5.0</v>
      </c>
      <c r="H286" s="564">
        <v>0.0</v>
      </c>
      <c r="I286" s="423"/>
      <c r="J286" s="423"/>
      <c r="K286" s="423"/>
      <c r="L286" s="423"/>
      <c r="M286" s="423"/>
      <c r="N286" s="423"/>
      <c r="O286" s="423"/>
      <c r="P286" s="423"/>
      <c r="Q286" s="423"/>
      <c r="R286" s="423"/>
      <c r="S286" s="423"/>
      <c r="T286" s="423"/>
      <c r="U286" s="423"/>
      <c r="V286" s="423"/>
      <c r="W286" s="423"/>
      <c r="X286" s="423"/>
      <c r="Y286" s="423"/>
      <c r="Z286" s="423"/>
    </row>
    <row r="287">
      <c r="A287" s="562">
        <v>285.0</v>
      </c>
      <c r="B287" s="563" t="s">
        <v>1492</v>
      </c>
      <c r="C287" s="563" t="s">
        <v>5256</v>
      </c>
      <c r="D287" s="562">
        <v>1.0</v>
      </c>
      <c r="E287" s="562">
        <v>0.0</v>
      </c>
      <c r="F287" s="562">
        <v>0.0</v>
      </c>
      <c r="G287" s="562">
        <v>7.0</v>
      </c>
      <c r="H287" s="562">
        <v>0.0</v>
      </c>
      <c r="I287" s="423"/>
      <c r="J287" s="423"/>
      <c r="K287" s="423"/>
      <c r="L287" s="423"/>
      <c r="M287" s="423"/>
      <c r="N287" s="423"/>
      <c r="O287" s="423"/>
      <c r="P287" s="423"/>
      <c r="Q287" s="423"/>
      <c r="R287" s="423"/>
      <c r="S287" s="423"/>
      <c r="T287" s="423"/>
      <c r="U287" s="423"/>
      <c r="V287" s="423"/>
      <c r="W287" s="423"/>
      <c r="X287" s="423"/>
      <c r="Y287" s="423"/>
      <c r="Z287" s="423"/>
    </row>
    <row r="288">
      <c r="A288" s="564">
        <v>286.0</v>
      </c>
      <c r="B288" s="565" t="s">
        <v>1213</v>
      </c>
      <c r="C288" s="565" t="s">
        <v>5242</v>
      </c>
      <c r="D288" s="564">
        <v>1.0</v>
      </c>
      <c r="E288" s="564">
        <v>0.0</v>
      </c>
      <c r="F288" s="564">
        <v>0.0</v>
      </c>
      <c r="G288" s="564">
        <v>7.0</v>
      </c>
      <c r="H288" s="564">
        <v>0.0</v>
      </c>
      <c r="I288" s="423"/>
      <c r="J288" s="423"/>
      <c r="K288" s="423"/>
      <c r="L288" s="423"/>
      <c r="M288" s="423"/>
      <c r="N288" s="423"/>
      <c r="O288" s="423"/>
      <c r="P288" s="423"/>
      <c r="Q288" s="423"/>
      <c r="R288" s="423"/>
      <c r="S288" s="423"/>
      <c r="T288" s="423"/>
      <c r="U288" s="423"/>
      <c r="V288" s="423"/>
      <c r="W288" s="423"/>
      <c r="X288" s="423"/>
      <c r="Y288" s="423"/>
      <c r="Z288" s="423"/>
    </row>
    <row r="289">
      <c r="A289" s="562">
        <v>287.0</v>
      </c>
      <c r="B289" s="563" t="s">
        <v>1215</v>
      </c>
      <c r="C289" s="563" t="s">
        <v>5242</v>
      </c>
      <c r="D289" s="562">
        <v>2.0</v>
      </c>
      <c r="E289" s="562">
        <v>0.0</v>
      </c>
      <c r="F289" s="562">
        <v>0.0</v>
      </c>
      <c r="G289" s="562">
        <v>6.0</v>
      </c>
      <c r="H289" s="562">
        <v>0.0</v>
      </c>
      <c r="I289" s="423"/>
      <c r="J289" s="423"/>
      <c r="K289" s="423"/>
      <c r="L289" s="423"/>
      <c r="M289" s="423"/>
      <c r="N289" s="423"/>
      <c r="O289" s="423"/>
      <c r="P289" s="423"/>
      <c r="Q289" s="423"/>
      <c r="R289" s="423"/>
      <c r="S289" s="423"/>
      <c r="T289" s="423"/>
      <c r="U289" s="423"/>
      <c r="V289" s="423"/>
      <c r="W289" s="423"/>
      <c r="X289" s="423"/>
      <c r="Y289" s="423"/>
      <c r="Z289" s="423"/>
    </row>
    <row r="290">
      <c r="A290" s="564">
        <v>288.0</v>
      </c>
      <c r="B290" s="565" t="s">
        <v>1216</v>
      </c>
      <c r="C290" s="565" t="s">
        <v>5242</v>
      </c>
      <c r="D290" s="564">
        <v>3.0</v>
      </c>
      <c r="E290" s="564">
        <v>0.0</v>
      </c>
      <c r="F290" s="564">
        <v>0.0</v>
      </c>
      <c r="G290" s="564">
        <v>5.0</v>
      </c>
      <c r="H290" s="564">
        <v>0.0</v>
      </c>
      <c r="I290" s="423"/>
      <c r="J290" s="423"/>
      <c r="K290" s="423"/>
      <c r="L290" s="423"/>
      <c r="M290" s="423"/>
      <c r="N290" s="423"/>
      <c r="O290" s="423"/>
      <c r="P290" s="423"/>
      <c r="Q290" s="423"/>
      <c r="R290" s="423"/>
      <c r="S290" s="423"/>
      <c r="T290" s="423"/>
      <c r="U290" s="423"/>
      <c r="V290" s="423"/>
      <c r="W290" s="423"/>
      <c r="X290" s="423"/>
      <c r="Y290" s="423"/>
      <c r="Z290" s="423"/>
    </row>
    <row r="291">
      <c r="A291" s="562">
        <v>289.0</v>
      </c>
      <c r="B291" s="563" t="s">
        <v>1217</v>
      </c>
      <c r="C291" s="563" t="s">
        <v>5242</v>
      </c>
      <c r="D291" s="562">
        <v>5.0</v>
      </c>
      <c r="E291" s="562">
        <v>0.0</v>
      </c>
      <c r="F291" s="562">
        <v>0.0</v>
      </c>
      <c r="G291" s="562">
        <v>3.0</v>
      </c>
      <c r="H291" s="562">
        <v>0.0</v>
      </c>
      <c r="I291" s="423"/>
      <c r="J291" s="423"/>
      <c r="K291" s="423"/>
      <c r="L291" s="423"/>
      <c r="M291" s="423"/>
      <c r="N291" s="423"/>
      <c r="O291" s="423"/>
      <c r="P291" s="423"/>
      <c r="Q291" s="423"/>
      <c r="R291" s="423"/>
      <c r="S291" s="423"/>
      <c r="T291" s="423"/>
      <c r="U291" s="423"/>
      <c r="V291" s="423"/>
      <c r="W291" s="423"/>
      <c r="X291" s="423"/>
      <c r="Y291" s="423"/>
      <c r="Z291" s="423"/>
    </row>
    <row r="292">
      <c r="A292" s="564">
        <v>290.0</v>
      </c>
      <c r="B292" s="565" t="s">
        <v>1218</v>
      </c>
      <c r="C292" s="565" t="s">
        <v>5242</v>
      </c>
      <c r="D292" s="564">
        <v>2.0</v>
      </c>
      <c r="E292" s="564">
        <v>0.0</v>
      </c>
      <c r="F292" s="564">
        <v>0.0</v>
      </c>
      <c r="G292" s="564">
        <v>6.0</v>
      </c>
      <c r="H292" s="564">
        <v>0.0</v>
      </c>
      <c r="I292" s="423"/>
      <c r="J292" s="423"/>
      <c r="K292" s="423"/>
      <c r="L292" s="423"/>
      <c r="M292" s="423"/>
      <c r="N292" s="423"/>
      <c r="O292" s="423"/>
      <c r="P292" s="423"/>
      <c r="Q292" s="423"/>
      <c r="R292" s="423"/>
      <c r="S292" s="423"/>
      <c r="T292" s="423"/>
      <c r="U292" s="423"/>
      <c r="V292" s="423"/>
      <c r="W292" s="423"/>
      <c r="X292" s="423"/>
      <c r="Y292" s="423"/>
      <c r="Z292" s="423"/>
    </row>
    <row r="293">
      <c r="A293" s="562">
        <v>291.0</v>
      </c>
      <c r="B293" s="563" t="s">
        <v>1219</v>
      </c>
      <c r="C293" s="563" t="s">
        <v>5242</v>
      </c>
      <c r="D293" s="562">
        <v>4.0</v>
      </c>
      <c r="E293" s="562">
        <v>0.0</v>
      </c>
      <c r="F293" s="562">
        <v>0.0</v>
      </c>
      <c r="G293" s="562">
        <v>4.0</v>
      </c>
      <c r="H293" s="562">
        <v>0.0</v>
      </c>
      <c r="I293" s="423"/>
      <c r="J293" s="423"/>
      <c r="K293" s="423"/>
      <c r="L293" s="423"/>
      <c r="M293" s="423"/>
      <c r="N293" s="423"/>
      <c r="O293" s="423"/>
      <c r="P293" s="423"/>
      <c r="Q293" s="423"/>
      <c r="R293" s="423"/>
      <c r="S293" s="423"/>
      <c r="T293" s="423"/>
      <c r="U293" s="423"/>
      <c r="V293" s="423"/>
      <c r="W293" s="423"/>
      <c r="X293" s="423"/>
      <c r="Y293" s="423"/>
      <c r="Z293" s="423"/>
    </row>
    <row r="294">
      <c r="A294" s="564">
        <v>292.0</v>
      </c>
      <c r="B294" s="565" t="s">
        <v>1220</v>
      </c>
      <c r="C294" s="565" t="s">
        <v>5242</v>
      </c>
      <c r="D294" s="564">
        <v>5.0</v>
      </c>
      <c r="E294" s="564">
        <v>0.0</v>
      </c>
      <c r="F294" s="564">
        <v>0.0</v>
      </c>
      <c r="G294" s="564">
        <v>3.0</v>
      </c>
      <c r="H294" s="564">
        <v>0.0</v>
      </c>
      <c r="I294" s="423"/>
      <c r="J294" s="423"/>
      <c r="K294" s="423"/>
      <c r="L294" s="423"/>
      <c r="M294" s="423"/>
      <c r="N294" s="423"/>
      <c r="O294" s="423"/>
      <c r="P294" s="423"/>
      <c r="Q294" s="423"/>
      <c r="R294" s="423"/>
      <c r="S294" s="423"/>
      <c r="T294" s="423"/>
      <c r="U294" s="423"/>
      <c r="V294" s="423"/>
      <c r="W294" s="423"/>
      <c r="X294" s="423"/>
      <c r="Y294" s="423"/>
      <c r="Z294" s="423"/>
    </row>
    <row r="295">
      <c r="A295" s="562">
        <v>293.0</v>
      </c>
      <c r="B295" s="563" t="s">
        <v>1221</v>
      </c>
      <c r="C295" s="563" t="s">
        <v>5242</v>
      </c>
      <c r="D295" s="562">
        <v>4.0</v>
      </c>
      <c r="E295" s="562">
        <v>0.0</v>
      </c>
      <c r="F295" s="562">
        <v>0.0</v>
      </c>
      <c r="G295" s="562">
        <v>4.0</v>
      </c>
      <c r="H295" s="562">
        <v>0.0</v>
      </c>
      <c r="I295" s="423"/>
      <c r="J295" s="423"/>
      <c r="K295" s="423"/>
      <c r="L295" s="423"/>
      <c r="M295" s="423"/>
      <c r="N295" s="423"/>
      <c r="O295" s="423"/>
      <c r="P295" s="423"/>
      <c r="Q295" s="423"/>
      <c r="R295" s="423"/>
      <c r="S295" s="423"/>
      <c r="T295" s="423"/>
      <c r="U295" s="423"/>
      <c r="V295" s="423"/>
      <c r="W295" s="423"/>
      <c r="X295" s="423"/>
      <c r="Y295" s="423"/>
      <c r="Z295" s="423"/>
    </row>
    <row r="296">
      <c r="A296" s="564">
        <v>294.0</v>
      </c>
      <c r="B296" s="565" t="s">
        <v>1222</v>
      </c>
      <c r="C296" s="565" t="s">
        <v>5242</v>
      </c>
      <c r="D296" s="564">
        <v>3.0</v>
      </c>
      <c r="E296" s="564">
        <v>0.0</v>
      </c>
      <c r="F296" s="564">
        <v>0.0</v>
      </c>
      <c r="G296" s="564">
        <v>5.0</v>
      </c>
      <c r="H296" s="564">
        <v>0.0</v>
      </c>
      <c r="I296" s="423"/>
      <c r="J296" s="423"/>
      <c r="K296" s="423"/>
      <c r="L296" s="423"/>
      <c r="M296" s="423"/>
      <c r="N296" s="423"/>
      <c r="O296" s="423"/>
      <c r="P296" s="423"/>
      <c r="Q296" s="423"/>
      <c r="R296" s="423"/>
      <c r="S296" s="423"/>
      <c r="T296" s="423"/>
      <c r="U296" s="423"/>
      <c r="V296" s="423"/>
      <c r="W296" s="423"/>
      <c r="X296" s="423"/>
      <c r="Y296" s="423"/>
      <c r="Z296" s="423"/>
    </row>
    <row r="297">
      <c r="A297" s="562">
        <v>295.0</v>
      </c>
      <c r="B297" s="563" t="s">
        <v>1223</v>
      </c>
      <c r="C297" s="563" t="s">
        <v>5242</v>
      </c>
      <c r="D297" s="562">
        <v>0.0</v>
      </c>
      <c r="E297" s="562">
        <v>0.0</v>
      </c>
      <c r="F297" s="562">
        <v>0.0</v>
      </c>
      <c r="G297" s="562">
        <v>8.0</v>
      </c>
      <c r="H297" s="562">
        <v>0.0</v>
      </c>
      <c r="I297" s="423"/>
      <c r="J297" s="423"/>
      <c r="K297" s="423"/>
      <c r="L297" s="423"/>
      <c r="M297" s="423"/>
      <c r="N297" s="423"/>
      <c r="O297" s="423"/>
      <c r="P297" s="423"/>
      <c r="Q297" s="423"/>
      <c r="R297" s="423"/>
      <c r="S297" s="423"/>
      <c r="T297" s="423"/>
      <c r="U297" s="423"/>
      <c r="V297" s="423"/>
      <c r="W297" s="423"/>
      <c r="X297" s="423"/>
      <c r="Y297" s="423"/>
      <c r="Z297" s="423"/>
    </row>
    <row r="298">
      <c r="A298" s="564">
        <v>296.0</v>
      </c>
      <c r="B298" s="565" t="s">
        <v>1224</v>
      </c>
      <c r="C298" s="565" t="s">
        <v>5242</v>
      </c>
      <c r="D298" s="564">
        <v>4.0</v>
      </c>
      <c r="E298" s="564">
        <v>0.0</v>
      </c>
      <c r="F298" s="564">
        <v>0.0</v>
      </c>
      <c r="G298" s="564">
        <v>4.0</v>
      </c>
      <c r="H298" s="564">
        <v>0.0</v>
      </c>
      <c r="I298" s="423"/>
      <c r="J298" s="423"/>
      <c r="K298" s="423"/>
      <c r="L298" s="423"/>
      <c r="M298" s="423"/>
      <c r="N298" s="423"/>
      <c r="O298" s="423"/>
      <c r="P298" s="423"/>
      <c r="Q298" s="423"/>
      <c r="R298" s="423"/>
      <c r="S298" s="423"/>
      <c r="T298" s="423"/>
      <c r="U298" s="423"/>
      <c r="V298" s="423"/>
      <c r="W298" s="423"/>
      <c r="X298" s="423"/>
      <c r="Y298" s="423"/>
      <c r="Z298" s="423"/>
    </row>
    <row r="299">
      <c r="A299" s="562">
        <v>297.0</v>
      </c>
      <c r="B299" s="563" t="s">
        <v>5626</v>
      </c>
      <c r="C299" s="563" t="s">
        <v>5242</v>
      </c>
      <c r="D299" s="562">
        <v>4.0</v>
      </c>
      <c r="E299" s="562">
        <v>0.0</v>
      </c>
      <c r="F299" s="562">
        <v>0.0</v>
      </c>
      <c r="G299" s="562">
        <v>4.0</v>
      </c>
      <c r="H299" s="562">
        <v>0.0</v>
      </c>
      <c r="I299" s="423"/>
      <c r="J299" s="423"/>
      <c r="K299" s="423"/>
      <c r="L299" s="423"/>
      <c r="M299" s="423"/>
      <c r="N299" s="423"/>
      <c r="O299" s="423"/>
      <c r="P299" s="423"/>
      <c r="Q299" s="423"/>
      <c r="R299" s="423"/>
      <c r="S299" s="423"/>
      <c r="T299" s="423"/>
      <c r="U299" s="423"/>
      <c r="V299" s="423"/>
      <c r="W299" s="423"/>
      <c r="X299" s="423"/>
      <c r="Y299" s="423"/>
      <c r="Z299" s="423"/>
    </row>
    <row r="300">
      <c r="A300" s="564">
        <v>298.0</v>
      </c>
      <c r="B300" s="565" t="s">
        <v>1226</v>
      </c>
      <c r="C300" s="565" t="s">
        <v>5242</v>
      </c>
      <c r="D300" s="564">
        <v>3.0</v>
      </c>
      <c r="E300" s="564">
        <v>0.0</v>
      </c>
      <c r="F300" s="564">
        <v>0.0</v>
      </c>
      <c r="G300" s="564">
        <v>5.0</v>
      </c>
      <c r="H300" s="564">
        <v>0.0</v>
      </c>
      <c r="I300" s="423"/>
      <c r="J300" s="423"/>
      <c r="K300" s="423"/>
      <c r="L300" s="423"/>
      <c r="M300" s="423"/>
      <c r="N300" s="423"/>
      <c r="O300" s="423"/>
      <c r="P300" s="423"/>
      <c r="Q300" s="423"/>
      <c r="R300" s="423"/>
      <c r="S300" s="423"/>
      <c r="T300" s="423"/>
      <c r="U300" s="423"/>
      <c r="V300" s="423"/>
      <c r="W300" s="423"/>
      <c r="X300" s="423"/>
      <c r="Y300" s="423"/>
      <c r="Z300" s="423"/>
    </row>
    <row r="301">
      <c r="A301" s="562">
        <v>299.0</v>
      </c>
      <c r="B301" s="563" t="s">
        <v>1227</v>
      </c>
      <c r="C301" s="563" t="s">
        <v>5242</v>
      </c>
      <c r="D301" s="562">
        <v>5.0</v>
      </c>
      <c r="E301" s="562">
        <v>0.0</v>
      </c>
      <c r="F301" s="562">
        <v>0.0</v>
      </c>
      <c r="G301" s="562">
        <v>3.0</v>
      </c>
      <c r="H301" s="562">
        <v>0.0</v>
      </c>
      <c r="I301" s="423"/>
      <c r="J301" s="423"/>
      <c r="K301" s="423"/>
      <c r="L301" s="423"/>
      <c r="M301" s="423"/>
      <c r="N301" s="423"/>
      <c r="O301" s="423"/>
      <c r="P301" s="423"/>
      <c r="Q301" s="423"/>
      <c r="R301" s="423"/>
      <c r="S301" s="423"/>
      <c r="T301" s="423"/>
      <c r="U301" s="423"/>
      <c r="V301" s="423"/>
      <c r="W301" s="423"/>
      <c r="X301" s="423"/>
      <c r="Y301" s="423"/>
      <c r="Z301" s="423"/>
    </row>
    <row r="302">
      <c r="A302" s="564">
        <v>300.0</v>
      </c>
      <c r="B302" s="565" t="s">
        <v>1228</v>
      </c>
      <c r="C302" s="565" t="s">
        <v>5242</v>
      </c>
      <c r="D302" s="564">
        <v>5.0</v>
      </c>
      <c r="E302" s="564">
        <v>0.0</v>
      </c>
      <c r="F302" s="564">
        <v>0.0</v>
      </c>
      <c r="G302" s="564">
        <v>3.0</v>
      </c>
      <c r="H302" s="564">
        <v>0.0</v>
      </c>
      <c r="I302" s="423"/>
      <c r="J302" s="423"/>
      <c r="K302" s="423"/>
      <c r="L302" s="423"/>
      <c r="M302" s="423"/>
      <c r="N302" s="423"/>
      <c r="O302" s="423"/>
      <c r="P302" s="423"/>
      <c r="Q302" s="423"/>
      <c r="R302" s="423"/>
      <c r="S302" s="423"/>
      <c r="T302" s="423"/>
      <c r="U302" s="423"/>
      <c r="V302" s="423"/>
      <c r="W302" s="423"/>
      <c r="X302" s="423"/>
      <c r="Y302" s="423"/>
      <c r="Z302" s="423"/>
    </row>
    <row r="303">
      <c r="A303" s="562">
        <v>301.0</v>
      </c>
      <c r="B303" s="563" t="s">
        <v>1229</v>
      </c>
      <c r="C303" s="563" t="s">
        <v>5242</v>
      </c>
      <c r="D303" s="562">
        <v>4.0</v>
      </c>
      <c r="E303" s="562">
        <v>0.0</v>
      </c>
      <c r="F303" s="562">
        <v>0.0</v>
      </c>
      <c r="G303" s="562">
        <v>4.0</v>
      </c>
      <c r="H303" s="562">
        <v>0.0</v>
      </c>
      <c r="I303" s="423"/>
      <c r="J303" s="423"/>
      <c r="K303" s="423"/>
      <c r="L303" s="423"/>
      <c r="M303" s="423"/>
      <c r="N303" s="423"/>
      <c r="O303" s="423"/>
      <c r="P303" s="423"/>
      <c r="Q303" s="423"/>
      <c r="R303" s="423"/>
      <c r="S303" s="423"/>
      <c r="T303" s="423"/>
      <c r="U303" s="423"/>
      <c r="V303" s="423"/>
      <c r="W303" s="423"/>
      <c r="X303" s="423"/>
      <c r="Y303" s="423"/>
      <c r="Z303" s="423"/>
    </row>
    <row r="304">
      <c r="A304" s="564">
        <v>302.0</v>
      </c>
      <c r="B304" s="565" t="s">
        <v>1230</v>
      </c>
      <c r="C304" s="565" t="s">
        <v>5242</v>
      </c>
      <c r="D304" s="564">
        <v>5.0</v>
      </c>
      <c r="E304" s="564">
        <v>0.0</v>
      </c>
      <c r="F304" s="564">
        <v>0.0</v>
      </c>
      <c r="G304" s="564">
        <v>3.0</v>
      </c>
      <c r="H304" s="564">
        <v>0.0</v>
      </c>
      <c r="I304" s="423"/>
      <c r="J304" s="423"/>
      <c r="K304" s="423"/>
      <c r="L304" s="423"/>
      <c r="M304" s="423"/>
      <c r="N304" s="423"/>
      <c r="O304" s="423"/>
      <c r="P304" s="423"/>
      <c r="Q304" s="423"/>
      <c r="R304" s="423"/>
      <c r="S304" s="423"/>
      <c r="T304" s="423"/>
      <c r="U304" s="423"/>
      <c r="V304" s="423"/>
      <c r="W304" s="423"/>
      <c r="X304" s="423"/>
      <c r="Y304" s="423"/>
      <c r="Z304" s="423"/>
    </row>
    <row r="305">
      <c r="A305" s="562">
        <v>303.0</v>
      </c>
      <c r="B305" s="563" t="s">
        <v>1231</v>
      </c>
      <c r="C305" s="563" t="s">
        <v>5242</v>
      </c>
      <c r="D305" s="562">
        <v>4.0</v>
      </c>
      <c r="E305" s="562">
        <v>0.0</v>
      </c>
      <c r="F305" s="562">
        <v>0.0</v>
      </c>
      <c r="G305" s="562">
        <v>4.0</v>
      </c>
      <c r="H305" s="562">
        <v>0.0</v>
      </c>
      <c r="I305" s="423"/>
      <c r="J305" s="423"/>
      <c r="K305" s="423"/>
      <c r="L305" s="423"/>
      <c r="M305" s="423"/>
      <c r="N305" s="423"/>
      <c r="O305" s="423"/>
      <c r="P305" s="423"/>
      <c r="Q305" s="423"/>
      <c r="R305" s="423"/>
      <c r="S305" s="423"/>
      <c r="T305" s="423"/>
      <c r="U305" s="423"/>
      <c r="V305" s="423"/>
      <c r="W305" s="423"/>
      <c r="X305" s="423"/>
      <c r="Y305" s="423"/>
      <c r="Z305" s="423"/>
    </row>
    <row r="306">
      <c r="A306" s="564">
        <v>304.0</v>
      </c>
      <c r="B306" s="565" t="s">
        <v>1232</v>
      </c>
      <c r="C306" s="565" t="s">
        <v>5242</v>
      </c>
      <c r="D306" s="564">
        <v>3.0</v>
      </c>
      <c r="E306" s="564">
        <v>0.0</v>
      </c>
      <c r="F306" s="564">
        <v>0.0</v>
      </c>
      <c r="G306" s="564">
        <v>5.0</v>
      </c>
      <c r="H306" s="564">
        <v>0.0</v>
      </c>
      <c r="I306" s="423"/>
      <c r="J306" s="423"/>
      <c r="K306" s="423"/>
      <c r="L306" s="423"/>
      <c r="M306" s="423"/>
      <c r="N306" s="423"/>
      <c r="O306" s="423"/>
      <c r="P306" s="423"/>
      <c r="Q306" s="423"/>
      <c r="R306" s="423"/>
      <c r="S306" s="423"/>
      <c r="T306" s="423"/>
      <c r="U306" s="423"/>
      <c r="V306" s="423"/>
      <c r="W306" s="423"/>
      <c r="X306" s="423"/>
      <c r="Y306" s="423"/>
      <c r="Z306" s="423"/>
    </row>
    <row r="307">
      <c r="A307" s="562">
        <v>305.0</v>
      </c>
      <c r="B307" s="563" t="s">
        <v>1233</v>
      </c>
      <c r="C307" s="563" t="s">
        <v>5242</v>
      </c>
      <c r="D307" s="562">
        <v>0.0</v>
      </c>
      <c r="E307" s="562">
        <v>0.0</v>
      </c>
      <c r="F307" s="562">
        <v>0.0</v>
      </c>
      <c r="G307" s="562">
        <v>8.0</v>
      </c>
      <c r="H307" s="562">
        <v>0.0</v>
      </c>
      <c r="I307" s="423"/>
      <c r="J307" s="423"/>
      <c r="K307" s="423"/>
      <c r="L307" s="423"/>
      <c r="M307" s="423"/>
      <c r="N307" s="423"/>
      <c r="O307" s="423"/>
      <c r="P307" s="423"/>
      <c r="Q307" s="423"/>
      <c r="R307" s="423"/>
      <c r="S307" s="423"/>
      <c r="T307" s="423"/>
      <c r="U307" s="423"/>
      <c r="V307" s="423"/>
      <c r="W307" s="423"/>
      <c r="X307" s="423"/>
      <c r="Y307" s="423"/>
      <c r="Z307" s="423"/>
    </row>
    <row r="308">
      <c r="A308" s="564">
        <v>306.0</v>
      </c>
      <c r="B308" s="565" t="s">
        <v>1234</v>
      </c>
      <c r="C308" s="565" t="s">
        <v>5242</v>
      </c>
      <c r="D308" s="564">
        <v>0.0</v>
      </c>
      <c r="E308" s="564">
        <v>0.0</v>
      </c>
      <c r="F308" s="564">
        <v>0.0</v>
      </c>
      <c r="G308" s="564">
        <v>8.0</v>
      </c>
      <c r="H308" s="564">
        <v>0.0</v>
      </c>
      <c r="I308" s="423"/>
      <c r="J308" s="423"/>
      <c r="K308" s="423"/>
      <c r="L308" s="423"/>
      <c r="M308" s="423"/>
      <c r="N308" s="423"/>
      <c r="O308" s="423"/>
      <c r="P308" s="423"/>
      <c r="Q308" s="423"/>
      <c r="R308" s="423"/>
      <c r="S308" s="423"/>
      <c r="T308" s="423"/>
      <c r="U308" s="423"/>
      <c r="V308" s="423"/>
      <c r="W308" s="423"/>
      <c r="X308" s="423"/>
      <c r="Y308" s="423"/>
      <c r="Z308" s="423"/>
    </row>
    <row r="309">
      <c r="A309" s="562">
        <v>307.0</v>
      </c>
      <c r="B309" s="563" t="s">
        <v>1235</v>
      </c>
      <c r="C309" s="563" t="s">
        <v>5242</v>
      </c>
      <c r="D309" s="562">
        <v>2.0</v>
      </c>
      <c r="E309" s="562">
        <v>0.0</v>
      </c>
      <c r="F309" s="562">
        <v>0.0</v>
      </c>
      <c r="G309" s="562">
        <v>6.0</v>
      </c>
      <c r="H309" s="562">
        <v>0.0</v>
      </c>
      <c r="I309" s="423"/>
      <c r="J309" s="423"/>
      <c r="K309" s="423"/>
      <c r="L309" s="423"/>
      <c r="M309" s="423"/>
      <c r="N309" s="423"/>
      <c r="O309" s="423"/>
      <c r="P309" s="423"/>
      <c r="Q309" s="423"/>
      <c r="R309" s="423"/>
      <c r="S309" s="423"/>
      <c r="T309" s="423"/>
      <c r="U309" s="423"/>
      <c r="V309" s="423"/>
      <c r="W309" s="423"/>
      <c r="X309" s="423"/>
      <c r="Y309" s="423"/>
      <c r="Z309" s="423"/>
    </row>
    <row r="310">
      <c r="A310" s="564">
        <v>308.0</v>
      </c>
      <c r="B310" s="565" t="s">
        <v>1236</v>
      </c>
      <c r="C310" s="565" t="s">
        <v>5242</v>
      </c>
      <c r="D310" s="564">
        <v>2.0</v>
      </c>
      <c r="E310" s="564">
        <v>0.0</v>
      </c>
      <c r="F310" s="564">
        <v>0.0</v>
      </c>
      <c r="G310" s="564">
        <v>6.0</v>
      </c>
      <c r="H310" s="564">
        <v>0.0</v>
      </c>
      <c r="I310" s="423"/>
      <c r="J310" s="423"/>
      <c r="K310" s="423"/>
      <c r="L310" s="423"/>
      <c r="M310" s="423"/>
      <c r="N310" s="423"/>
      <c r="O310" s="423"/>
      <c r="P310" s="423"/>
      <c r="Q310" s="423"/>
      <c r="R310" s="423"/>
      <c r="S310" s="423"/>
      <c r="T310" s="423"/>
      <c r="U310" s="423"/>
      <c r="V310" s="423"/>
      <c r="W310" s="423"/>
      <c r="X310" s="423"/>
      <c r="Y310" s="423"/>
      <c r="Z310" s="423"/>
    </row>
    <row r="311">
      <c r="A311" s="562">
        <v>309.0</v>
      </c>
      <c r="B311" s="563" t="s">
        <v>5627</v>
      </c>
      <c r="C311" s="563" t="s">
        <v>5242</v>
      </c>
      <c r="D311" s="562">
        <v>0.0</v>
      </c>
      <c r="E311" s="562">
        <v>0.0</v>
      </c>
      <c r="F311" s="562">
        <v>0.0</v>
      </c>
      <c r="G311" s="562">
        <v>8.0</v>
      </c>
      <c r="H311" s="562">
        <v>0.0</v>
      </c>
      <c r="I311" s="423"/>
      <c r="J311" s="423"/>
      <c r="K311" s="423"/>
      <c r="L311" s="423"/>
      <c r="M311" s="423"/>
      <c r="N311" s="423"/>
      <c r="O311" s="423"/>
      <c r="P311" s="423"/>
      <c r="Q311" s="423"/>
      <c r="R311" s="423"/>
      <c r="S311" s="423"/>
      <c r="T311" s="423"/>
      <c r="U311" s="423"/>
      <c r="V311" s="423"/>
      <c r="W311" s="423"/>
      <c r="X311" s="423"/>
      <c r="Y311" s="423"/>
      <c r="Z311" s="423"/>
    </row>
    <row r="312">
      <c r="A312" s="564">
        <v>310.0</v>
      </c>
      <c r="B312" s="565" t="s">
        <v>1237</v>
      </c>
      <c r="C312" s="565" t="s">
        <v>5242</v>
      </c>
      <c r="D312" s="564">
        <v>3.0</v>
      </c>
      <c r="E312" s="564">
        <v>0.0</v>
      </c>
      <c r="F312" s="564">
        <v>0.0</v>
      </c>
      <c r="G312" s="564">
        <v>5.0</v>
      </c>
      <c r="H312" s="564">
        <v>0.0</v>
      </c>
      <c r="I312" s="423"/>
      <c r="J312" s="423"/>
      <c r="K312" s="423"/>
      <c r="L312" s="423"/>
      <c r="M312" s="423"/>
      <c r="N312" s="423"/>
      <c r="O312" s="423"/>
      <c r="P312" s="423"/>
      <c r="Q312" s="423"/>
      <c r="R312" s="423"/>
      <c r="S312" s="423"/>
      <c r="T312" s="423"/>
      <c r="U312" s="423"/>
      <c r="V312" s="423"/>
      <c r="W312" s="423"/>
      <c r="X312" s="423"/>
      <c r="Y312" s="423"/>
      <c r="Z312" s="423"/>
    </row>
    <row r="313">
      <c r="A313" s="562">
        <v>311.0</v>
      </c>
      <c r="B313" s="563" t="s">
        <v>1238</v>
      </c>
      <c r="C313" s="563" t="s">
        <v>5242</v>
      </c>
      <c r="D313" s="562">
        <v>4.0</v>
      </c>
      <c r="E313" s="562">
        <v>0.0</v>
      </c>
      <c r="F313" s="562">
        <v>0.0</v>
      </c>
      <c r="G313" s="562">
        <v>4.0</v>
      </c>
      <c r="H313" s="562">
        <v>0.0</v>
      </c>
      <c r="I313" s="423"/>
      <c r="J313" s="423"/>
      <c r="K313" s="423"/>
      <c r="L313" s="423"/>
      <c r="M313" s="423"/>
      <c r="N313" s="423"/>
      <c r="O313" s="423"/>
      <c r="P313" s="423"/>
      <c r="Q313" s="423"/>
      <c r="R313" s="423"/>
      <c r="S313" s="423"/>
      <c r="T313" s="423"/>
      <c r="U313" s="423"/>
      <c r="V313" s="423"/>
      <c r="W313" s="423"/>
      <c r="X313" s="423"/>
      <c r="Y313" s="423"/>
      <c r="Z313" s="423"/>
    </row>
    <row r="314">
      <c r="A314" s="564">
        <v>312.0</v>
      </c>
      <c r="B314" s="565" t="s">
        <v>1239</v>
      </c>
      <c r="C314" s="565" t="s">
        <v>5242</v>
      </c>
      <c r="D314" s="564">
        <v>4.0</v>
      </c>
      <c r="E314" s="564">
        <v>0.0</v>
      </c>
      <c r="F314" s="564">
        <v>0.0</v>
      </c>
      <c r="G314" s="564">
        <v>4.0</v>
      </c>
      <c r="H314" s="564">
        <v>0.0</v>
      </c>
      <c r="I314" s="423"/>
      <c r="J314" s="423"/>
      <c r="K314" s="423"/>
      <c r="L314" s="423"/>
      <c r="M314" s="423"/>
      <c r="N314" s="423"/>
      <c r="O314" s="423"/>
      <c r="P314" s="423"/>
      <c r="Q314" s="423"/>
      <c r="R314" s="423"/>
      <c r="S314" s="423"/>
      <c r="T314" s="423"/>
      <c r="U314" s="423"/>
      <c r="V314" s="423"/>
      <c r="W314" s="423"/>
      <c r="X314" s="423"/>
      <c r="Y314" s="423"/>
      <c r="Z314" s="423"/>
    </row>
    <row r="315">
      <c r="A315" s="562">
        <v>313.0</v>
      </c>
      <c r="B315" s="563" t="s">
        <v>1240</v>
      </c>
      <c r="C315" s="563" t="s">
        <v>5242</v>
      </c>
      <c r="D315" s="562">
        <v>0.0</v>
      </c>
      <c r="E315" s="562">
        <v>0.0</v>
      </c>
      <c r="F315" s="562">
        <v>0.0</v>
      </c>
      <c r="G315" s="562">
        <v>8.0</v>
      </c>
      <c r="H315" s="562">
        <v>0.0</v>
      </c>
      <c r="I315" s="423"/>
      <c r="J315" s="423"/>
      <c r="K315" s="423"/>
      <c r="L315" s="423"/>
      <c r="M315" s="423"/>
      <c r="N315" s="423"/>
      <c r="O315" s="423"/>
      <c r="P315" s="423"/>
      <c r="Q315" s="423"/>
      <c r="R315" s="423"/>
      <c r="S315" s="423"/>
      <c r="T315" s="423"/>
      <c r="U315" s="423"/>
      <c r="V315" s="423"/>
      <c r="W315" s="423"/>
      <c r="X315" s="423"/>
      <c r="Y315" s="423"/>
      <c r="Z315" s="423"/>
    </row>
    <row r="316">
      <c r="A316" s="564">
        <v>314.0</v>
      </c>
      <c r="B316" s="565" t="s">
        <v>1241</v>
      </c>
      <c r="C316" s="565" t="s">
        <v>5242</v>
      </c>
      <c r="D316" s="564">
        <v>2.0</v>
      </c>
      <c r="E316" s="564">
        <v>0.0</v>
      </c>
      <c r="F316" s="564">
        <v>0.0</v>
      </c>
      <c r="G316" s="564">
        <v>6.0</v>
      </c>
      <c r="H316" s="564">
        <v>0.0</v>
      </c>
      <c r="I316" s="423"/>
      <c r="J316" s="423"/>
      <c r="K316" s="423"/>
      <c r="L316" s="423"/>
      <c r="M316" s="423"/>
      <c r="N316" s="423"/>
      <c r="O316" s="423"/>
      <c r="P316" s="423"/>
      <c r="Q316" s="423"/>
      <c r="R316" s="423"/>
      <c r="S316" s="423"/>
      <c r="T316" s="423"/>
      <c r="U316" s="423"/>
      <c r="V316" s="423"/>
      <c r="W316" s="423"/>
      <c r="X316" s="423"/>
      <c r="Y316" s="423"/>
      <c r="Z316" s="423"/>
    </row>
    <row r="317">
      <c r="A317" s="562">
        <v>315.0</v>
      </c>
      <c r="B317" s="563" t="s">
        <v>1242</v>
      </c>
      <c r="C317" s="563" t="s">
        <v>5242</v>
      </c>
      <c r="D317" s="562">
        <v>2.0</v>
      </c>
      <c r="E317" s="562">
        <v>0.0</v>
      </c>
      <c r="F317" s="562">
        <v>0.0</v>
      </c>
      <c r="G317" s="562">
        <v>6.0</v>
      </c>
      <c r="H317" s="562">
        <v>0.0</v>
      </c>
      <c r="I317" s="423"/>
      <c r="J317" s="423"/>
      <c r="K317" s="423"/>
      <c r="L317" s="423"/>
      <c r="M317" s="423"/>
      <c r="N317" s="423"/>
      <c r="O317" s="423"/>
      <c r="P317" s="423"/>
      <c r="Q317" s="423"/>
      <c r="R317" s="423"/>
      <c r="S317" s="423"/>
      <c r="T317" s="423"/>
      <c r="U317" s="423"/>
      <c r="V317" s="423"/>
      <c r="W317" s="423"/>
      <c r="X317" s="423"/>
      <c r="Y317" s="423"/>
      <c r="Z317" s="423"/>
    </row>
    <row r="318">
      <c r="A318" s="564">
        <v>316.0</v>
      </c>
      <c r="B318" s="565" t="s">
        <v>1243</v>
      </c>
      <c r="C318" s="565" t="s">
        <v>5242</v>
      </c>
      <c r="D318" s="564">
        <v>0.0</v>
      </c>
      <c r="E318" s="564">
        <v>0.0</v>
      </c>
      <c r="F318" s="564">
        <v>0.0</v>
      </c>
      <c r="G318" s="564">
        <v>8.0</v>
      </c>
      <c r="H318" s="564">
        <v>0.0</v>
      </c>
      <c r="I318" s="423"/>
      <c r="J318" s="423"/>
      <c r="K318" s="423"/>
      <c r="L318" s="423"/>
      <c r="M318" s="423"/>
      <c r="N318" s="423"/>
      <c r="O318" s="423"/>
      <c r="P318" s="423"/>
      <c r="Q318" s="423"/>
      <c r="R318" s="423"/>
      <c r="S318" s="423"/>
      <c r="T318" s="423"/>
      <c r="U318" s="423"/>
      <c r="V318" s="423"/>
      <c r="W318" s="423"/>
      <c r="X318" s="423"/>
      <c r="Y318" s="423"/>
      <c r="Z318" s="423"/>
    </row>
    <row r="319">
      <c r="A319" s="562">
        <v>317.0</v>
      </c>
      <c r="B319" s="563" t="s">
        <v>1244</v>
      </c>
      <c r="C319" s="563" t="s">
        <v>5242</v>
      </c>
      <c r="D319" s="562">
        <v>5.0</v>
      </c>
      <c r="E319" s="562">
        <v>0.0</v>
      </c>
      <c r="F319" s="562">
        <v>0.0</v>
      </c>
      <c r="G319" s="562">
        <v>3.0</v>
      </c>
      <c r="H319" s="562">
        <v>0.0</v>
      </c>
      <c r="I319" s="566">
        <f>MAX(D98:D145)</f>
        <v>3</v>
      </c>
      <c r="J319" s="423"/>
      <c r="K319" s="423"/>
      <c r="L319" s="423"/>
      <c r="M319" s="423"/>
      <c r="N319" s="423"/>
      <c r="O319" s="423"/>
      <c r="P319" s="423"/>
      <c r="Q319" s="423"/>
      <c r="R319" s="423"/>
      <c r="S319" s="423"/>
      <c r="T319" s="423"/>
      <c r="U319" s="423"/>
      <c r="V319" s="423"/>
      <c r="W319" s="423"/>
      <c r="X319" s="423"/>
      <c r="Y319" s="423"/>
      <c r="Z319" s="423"/>
    </row>
    <row r="320">
      <c r="A320" s="564">
        <v>318.0</v>
      </c>
      <c r="B320" s="565" t="s">
        <v>1245</v>
      </c>
      <c r="C320" s="565" t="s">
        <v>5242</v>
      </c>
      <c r="D320" s="564">
        <v>5.0</v>
      </c>
      <c r="E320" s="564">
        <v>0.0</v>
      </c>
      <c r="F320" s="564">
        <v>0.0</v>
      </c>
      <c r="G320" s="564">
        <v>3.0</v>
      </c>
      <c r="H320" s="564">
        <v>0.0</v>
      </c>
      <c r="I320" s="423"/>
      <c r="J320" s="423"/>
      <c r="K320" s="423"/>
      <c r="L320" s="423"/>
      <c r="M320" s="423"/>
      <c r="N320" s="423"/>
      <c r="O320" s="423"/>
      <c r="P320" s="423"/>
      <c r="Q320" s="423"/>
      <c r="R320" s="423"/>
      <c r="S320" s="423"/>
      <c r="T320" s="423"/>
      <c r="U320" s="423"/>
      <c r="V320" s="423"/>
      <c r="W320" s="423"/>
      <c r="X320" s="423"/>
      <c r="Y320" s="423"/>
      <c r="Z320" s="423"/>
    </row>
    <row r="321">
      <c r="A321" s="562">
        <v>319.0</v>
      </c>
      <c r="B321" s="563" t="s">
        <v>1246</v>
      </c>
      <c r="C321" s="563" t="s">
        <v>5242</v>
      </c>
      <c r="D321" s="562">
        <v>0.0</v>
      </c>
      <c r="E321" s="562">
        <v>0.0</v>
      </c>
      <c r="F321" s="562">
        <v>0.0</v>
      </c>
      <c r="G321" s="562">
        <v>8.0</v>
      </c>
      <c r="H321" s="562">
        <v>0.0</v>
      </c>
      <c r="I321" s="423"/>
      <c r="J321" s="423"/>
      <c r="K321" s="423"/>
      <c r="L321" s="423"/>
      <c r="M321" s="423"/>
      <c r="N321" s="423"/>
      <c r="O321" s="423"/>
      <c r="P321" s="423"/>
      <c r="Q321" s="423"/>
      <c r="R321" s="423"/>
      <c r="S321" s="423"/>
      <c r="T321" s="423"/>
      <c r="U321" s="423"/>
      <c r="V321" s="423"/>
      <c r="W321" s="423"/>
      <c r="X321" s="423"/>
      <c r="Y321" s="423"/>
      <c r="Z321" s="423"/>
    </row>
    <row r="322">
      <c r="A322" s="564">
        <v>320.0</v>
      </c>
      <c r="B322" s="565" t="s">
        <v>1247</v>
      </c>
      <c r="C322" s="565" t="s">
        <v>5242</v>
      </c>
      <c r="D322" s="564">
        <v>4.0</v>
      </c>
      <c r="E322" s="564">
        <v>0.0</v>
      </c>
      <c r="F322" s="564">
        <v>0.0</v>
      </c>
      <c r="G322" s="564">
        <v>4.0</v>
      </c>
      <c r="H322" s="564">
        <v>0.0</v>
      </c>
      <c r="I322" s="423"/>
      <c r="J322" s="423"/>
      <c r="K322" s="423"/>
      <c r="L322" s="423"/>
      <c r="M322" s="423"/>
      <c r="N322" s="423"/>
      <c r="O322" s="423"/>
      <c r="P322" s="423"/>
      <c r="Q322" s="423"/>
      <c r="R322" s="423"/>
      <c r="S322" s="423"/>
      <c r="T322" s="423"/>
      <c r="U322" s="423"/>
      <c r="V322" s="423"/>
      <c r="W322" s="423"/>
      <c r="X322" s="423"/>
      <c r="Y322" s="423"/>
      <c r="Z322" s="423"/>
    </row>
    <row r="323">
      <c r="A323" s="562">
        <v>321.0</v>
      </c>
      <c r="B323" s="563" t="s">
        <v>1248</v>
      </c>
      <c r="C323" s="563" t="s">
        <v>5242</v>
      </c>
      <c r="D323" s="562">
        <v>2.0</v>
      </c>
      <c r="E323" s="562">
        <v>0.0</v>
      </c>
      <c r="F323" s="562">
        <v>0.0</v>
      </c>
      <c r="G323" s="562">
        <v>6.0</v>
      </c>
      <c r="H323" s="562">
        <v>0.0</v>
      </c>
      <c r="I323" s="423"/>
      <c r="J323" s="423"/>
      <c r="K323" s="423"/>
      <c r="L323" s="423"/>
      <c r="M323" s="423"/>
      <c r="N323" s="423"/>
      <c r="O323" s="423"/>
      <c r="P323" s="423"/>
      <c r="Q323" s="423"/>
      <c r="R323" s="423"/>
      <c r="S323" s="423"/>
      <c r="T323" s="423"/>
      <c r="U323" s="423"/>
      <c r="V323" s="423"/>
      <c r="W323" s="423"/>
      <c r="X323" s="423"/>
      <c r="Y323" s="423"/>
      <c r="Z323" s="423"/>
    </row>
    <row r="324">
      <c r="A324" s="564">
        <v>322.0</v>
      </c>
      <c r="B324" s="565" t="s">
        <v>1249</v>
      </c>
      <c r="C324" s="565" t="s">
        <v>5242</v>
      </c>
      <c r="D324" s="564">
        <v>2.0</v>
      </c>
      <c r="E324" s="564">
        <v>0.0</v>
      </c>
      <c r="F324" s="564">
        <v>0.0</v>
      </c>
      <c r="G324" s="564">
        <v>6.0</v>
      </c>
      <c r="H324" s="564">
        <v>0.0</v>
      </c>
      <c r="I324" s="423"/>
      <c r="J324" s="423"/>
      <c r="K324" s="423"/>
      <c r="L324" s="423"/>
      <c r="M324" s="423"/>
      <c r="N324" s="423"/>
      <c r="O324" s="423"/>
      <c r="P324" s="423"/>
      <c r="Q324" s="423"/>
      <c r="R324" s="423"/>
      <c r="S324" s="423"/>
      <c r="T324" s="423"/>
      <c r="U324" s="423"/>
      <c r="V324" s="423"/>
      <c r="W324" s="423"/>
      <c r="X324" s="423"/>
      <c r="Y324" s="423"/>
      <c r="Z324" s="423"/>
    </row>
    <row r="325">
      <c r="A325" s="562">
        <v>323.0</v>
      </c>
      <c r="B325" s="563" t="s">
        <v>1250</v>
      </c>
      <c r="C325" s="563" t="s">
        <v>5242</v>
      </c>
      <c r="D325" s="562">
        <v>3.0</v>
      </c>
      <c r="E325" s="562">
        <v>0.0</v>
      </c>
      <c r="F325" s="562">
        <v>0.0</v>
      </c>
      <c r="G325" s="562">
        <v>5.0</v>
      </c>
      <c r="H325" s="562">
        <v>0.0</v>
      </c>
      <c r="I325" s="423"/>
      <c r="J325" s="423"/>
      <c r="K325" s="423"/>
      <c r="L325" s="423"/>
      <c r="M325" s="423"/>
      <c r="N325" s="423"/>
      <c r="O325" s="423"/>
      <c r="P325" s="423"/>
      <c r="Q325" s="423"/>
      <c r="R325" s="423"/>
      <c r="S325" s="423"/>
      <c r="T325" s="423"/>
      <c r="U325" s="423"/>
      <c r="V325" s="423"/>
      <c r="W325" s="423"/>
      <c r="X325" s="423"/>
      <c r="Y325" s="423"/>
      <c r="Z325" s="423"/>
    </row>
    <row r="326">
      <c r="A326" s="564">
        <v>324.0</v>
      </c>
      <c r="B326" s="565" t="s">
        <v>1251</v>
      </c>
      <c r="C326" s="565" t="s">
        <v>5242</v>
      </c>
      <c r="D326" s="564">
        <v>0.0</v>
      </c>
      <c r="E326" s="564">
        <v>0.0</v>
      </c>
      <c r="F326" s="564">
        <v>0.0</v>
      </c>
      <c r="G326" s="564">
        <v>8.0</v>
      </c>
      <c r="H326" s="564">
        <v>0.0</v>
      </c>
      <c r="I326" s="423"/>
      <c r="J326" s="423"/>
      <c r="K326" s="423"/>
      <c r="L326" s="423"/>
      <c r="M326" s="423"/>
      <c r="N326" s="423"/>
      <c r="O326" s="423"/>
      <c r="P326" s="423"/>
      <c r="Q326" s="423"/>
      <c r="R326" s="423"/>
      <c r="S326" s="423"/>
      <c r="T326" s="423"/>
      <c r="U326" s="423"/>
      <c r="V326" s="423"/>
      <c r="W326" s="423"/>
      <c r="X326" s="423"/>
      <c r="Y326" s="423"/>
      <c r="Z326" s="423"/>
    </row>
    <row r="327">
      <c r="A327" s="562">
        <v>325.0</v>
      </c>
      <c r="B327" s="563" t="s">
        <v>1252</v>
      </c>
      <c r="C327" s="563" t="s">
        <v>5242</v>
      </c>
      <c r="D327" s="562">
        <v>1.0</v>
      </c>
      <c r="E327" s="562">
        <v>0.0</v>
      </c>
      <c r="F327" s="562">
        <v>0.0</v>
      </c>
      <c r="G327" s="562">
        <v>7.0</v>
      </c>
      <c r="H327" s="562">
        <v>0.0</v>
      </c>
      <c r="I327" s="423"/>
      <c r="J327" s="423"/>
      <c r="K327" s="423"/>
      <c r="L327" s="423"/>
      <c r="M327" s="423"/>
      <c r="N327" s="423"/>
      <c r="O327" s="423"/>
      <c r="P327" s="423"/>
      <c r="Q327" s="423"/>
      <c r="R327" s="423"/>
      <c r="S327" s="423"/>
      <c r="T327" s="423"/>
      <c r="U327" s="423"/>
      <c r="V327" s="423"/>
      <c r="W327" s="423"/>
      <c r="X327" s="423"/>
      <c r="Y327" s="423"/>
      <c r="Z327" s="423"/>
    </row>
    <row r="328">
      <c r="A328" s="564">
        <v>326.0</v>
      </c>
      <c r="B328" s="565" t="s">
        <v>1253</v>
      </c>
      <c r="C328" s="565" t="s">
        <v>5242</v>
      </c>
      <c r="D328" s="564">
        <v>4.0</v>
      </c>
      <c r="E328" s="564">
        <v>0.0</v>
      </c>
      <c r="F328" s="564">
        <v>0.0</v>
      </c>
      <c r="G328" s="564">
        <v>4.0</v>
      </c>
      <c r="H328" s="564">
        <v>0.0</v>
      </c>
      <c r="I328" s="423"/>
      <c r="J328" s="423"/>
      <c r="K328" s="423"/>
      <c r="L328" s="423"/>
      <c r="M328" s="423"/>
      <c r="N328" s="423"/>
      <c r="O328" s="423"/>
      <c r="P328" s="423"/>
      <c r="Q328" s="423"/>
      <c r="R328" s="423"/>
      <c r="S328" s="423"/>
      <c r="T328" s="423"/>
      <c r="U328" s="423"/>
      <c r="V328" s="423"/>
      <c r="W328" s="423"/>
      <c r="X328" s="423"/>
      <c r="Y328" s="423"/>
      <c r="Z328" s="423"/>
    </row>
    <row r="329">
      <c r="A329" s="562">
        <v>327.0</v>
      </c>
      <c r="B329" s="563" t="s">
        <v>1254</v>
      </c>
      <c r="C329" s="563" t="s">
        <v>5242</v>
      </c>
      <c r="D329" s="562">
        <v>3.0</v>
      </c>
      <c r="E329" s="562">
        <v>0.0</v>
      </c>
      <c r="F329" s="562">
        <v>0.0</v>
      </c>
      <c r="G329" s="562">
        <v>5.0</v>
      </c>
      <c r="H329" s="562">
        <v>0.0</v>
      </c>
      <c r="I329" s="423"/>
      <c r="J329" s="423"/>
      <c r="K329" s="423"/>
      <c r="L329" s="423"/>
      <c r="M329" s="423"/>
      <c r="N329" s="423"/>
      <c r="O329" s="423"/>
      <c r="P329" s="423"/>
      <c r="Q329" s="423"/>
      <c r="R329" s="423"/>
      <c r="S329" s="423"/>
      <c r="T329" s="423"/>
      <c r="U329" s="423"/>
      <c r="V329" s="423"/>
      <c r="W329" s="423"/>
      <c r="X329" s="423"/>
      <c r="Y329" s="423"/>
      <c r="Z329" s="423"/>
    </row>
    <row r="330">
      <c r="A330" s="564">
        <v>328.0</v>
      </c>
      <c r="B330" s="565" t="s">
        <v>1255</v>
      </c>
      <c r="C330" s="565" t="s">
        <v>5242</v>
      </c>
      <c r="D330" s="564">
        <v>5.0</v>
      </c>
      <c r="E330" s="564">
        <v>0.0</v>
      </c>
      <c r="F330" s="564">
        <v>0.0</v>
      </c>
      <c r="G330" s="564">
        <v>3.0</v>
      </c>
      <c r="H330" s="564">
        <v>0.0</v>
      </c>
      <c r="I330" s="423"/>
      <c r="J330" s="423"/>
      <c r="K330" s="423"/>
      <c r="L330" s="423"/>
      <c r="M330" s="423"/>
      <c r="N330" s="423"/>
      <c r="O330" s="423"/>
      <c r="P330" s="423"/>
      <c r="Q330" s="423"/>
      <c r="R330" s="423"/>
      <c r="S330" s="423"/>
      <c r="T330" s="423"/>
      <c r="U330" s="423"/>
      <c r="V330" s="423"/>
      <c r="W330" s="423"/>
      <c r="X330" s="423"/>
      <c r="Y330" s="423"/>
      <c r="Z330" s="423"/>
    </row>
    <row r="331">
      <c r="A331" s="562">
        <v>329.0</v>
      </c>
      <c r="B331" s="563" t="s">
        <v>1256</v>
      </c>
      <c r="C331" s="563" t="s">
        <v>5242</v>
      </c>
      <c r="D331" s="562">
        <v>2.0</v>
      </c>
      <c r="E331" s="562">
        <v>0.0</v>
      </c>
      <c r="F331" s="562">
        <v>0.0</v>
      </c>
      <c r="G331" s="562">
        <v>6.0</v>
      </c>
      <c r="H331" s="562">
        <v>0.0</v>
      </c>
      <c r="I331" s="423"/>
      <c r="J331" s="423"/>
      <c r="K331" s="423"/>
      <c r="L331" s="423"/>
      <c r="M331" s="423"/>
      <c r="N331" s="423"/>
      <c r="O331" s="423"/>
      <c r="P331" s="423"/>
      <c r="Q331" s="423"/>
      <c r="R331" s="423"/>
      <c r="S331" s="423"/>
      <c r="T331" s="423"/>
      <c r="U331" s="423"/>
      <c r="V331" s="423"/>
      <c r="W331" s="423"/>
      <c r="X331" s="423"/>
      <c r="Y331" s="423"/>
      <c r="Z331" s="423"/>
    </row>
    <row r="332">
      <c r="A332" s="564">
        <v>330.0</v>
      </c>
      <c r="B332" s="565" t="s">
        <v>1257</v>
      </c>
      <c r="C332" s="565" t="s">
        <v>5242</v>
      </c>
      <c r="D332" s="564">
        <v>0.0</v>
      </c>
      <c r="E332" s="564">
        <v>0.0</v>
      </c>
      <c r="F332" s="564">
        <v>0.0</v>
      </c>
      <c r="G332" s="564">
        <v>8.0</v>
      </c>
      <c r="H332" s="564">
        <v>0.0</v>
      </c>
      <c r="I332" s="423"/>
      <c r="J332" s="423"/>
      <c r="K332" s="423"/>
      <c r="L332" s="423"/>
      <c r="M332" s="423"/>
      <c r="N332" s="423"/>
      <c r="O332" s="423"/>
      <c r="P332" s="423"/>
      <c r="Q332" s="423"/>
      <c r="R332" s="423"/>
      <c r="S332" s="423"/>
      <c r="T332" s="423"/>
      <c r="U332" s="423"/>
      <c r="V332" s="423"/>
      <c r="W332" s="423"/>
      <c r="X332" s="423"/>
      <c r="Y332" s="423"/>
      <c r="Z332" s="423"/>
    </row>
    <row r="333">
      <c r="A333" s="562">
        <v>331.0</v>
      </c>
      <c r="B333" s="563" t="s">
        <v>1258</v>
      </c>
      <c r="C333" s="563" t="s">
        <v>5242</v>
      </c>
      <c r="D333" s="562">
        <v>2.0</v>
      </c>
      <c r="E333" s="562">
        <v>0.0</v>
      </c>
      <c r="F333" s="562">
        <v>0.0</v>
      </c>
      <c r="G333" s="562">
        <v>6.0</v>
      </c>
      <c r="H333" s="562">
        <v>0.0</v>
      </c>
      <c r="I333" s="423"/>
      <c r="J333" s="423"/>
      <c r="K333" s="423"/>
      <c r="L333" s="423"/>
      <c r="M333" s="423"/>
      <c r="N333" s="423"/>
      <c r="O333" s="423"/>
      <c r="P333" s="423"/>
      <c r="Q333" s="423"/>
      <c r="R333" s="423"/>
      <c r="S333" s="423"/>
      <c r="T333" s="423"/>
      <c r="U333" s="423"/>
      <c r="V333" s="423"/>
      <c r="W333" s="423"/>
      <c r="X333" s="423"/>
      <c r="Y333" s="423"/>
      <c r="Z333" s="423"/>
    </row>
    <row r="334">
      <c r="A334" s="564">
        <v>332.0</v>
      </c>
      <c r="B334" s="565" t="s">
        <v>1259</v>
      </c>
      <c r="C334" s="565" t="s">
        <v>5242</v>
      </c>
      <c r="D334" s="564">
        <v>3.0</v>
      </c>
      <c r="E334" s="564">
        <v>0.0</v>
      </c>
      <c r="F334" s="564">
        <v>0.0</v>
      </c>
      <c r="G334" s="564">
        <v>5.0</v>
      </c>
      <c r="H334" s="564">
        <v>0.0</v>
      </c>
      <c r="I334" s="423"/>
      <c r="J334" s="423"/>
      <c r="K334" s="423"/>
      <c r="L334" s="423"/>
      <c r="M334" s="423"/>
      <c r="N334" s="423"/>
      <c r="O334" s="423"/>
      <c r="P334" s="423"/>
      <c r="Q334" s="423"/>
      <c r="R334" s="423"/>
      <c r="S334" s="423"/>
      <c r="T334" s="423"/>
      <c r="U334" s="423"/>
      <c r="V334" s="423"/>
      <c r="W334" s="423"/>
      <c r="X334" s="423"/>
      <c r="Y334" s="423"/>
      <c r="Z334" s="423"/>
    </row>
    <row r="335">
      <c r="A335" s="562">
        <v>333.0</v>
      </c>
      <c r="B335" s="563" t="s">
        <v>1260</v>
      </c>
      <c r="C335" s="563" t="s">
        <v>5242</v>
      </c>
      <c r="D335" s="562">
        <v>3.0</v>
      </c>
      <c r="E335" s="562">
        <v>0.0</v>
      </c>
      <c r="F335" s="562">
        <v>0.0</v>
      </c>
      <c r="G335" s="562">
        <v>5.0</v>
      </c>
      <c r="H335" s="562">
        <v>0.0</v>
      </c>
      <c r="I335" s="423"/>
      <c r="J335" s="423"/>
      <c r="K335" s="423"/>
      <c r="L335" s="423"/>
      <c r="M335" s="423"/>
      <c r="N335" s="423"/>
      <c r="O335" s="423"/>
      <c r="P335" s="423"/>
      <c r="Q335" s="423"/>
      <c r="R335" s="423"/>
      <c r="S335" s="423"/>
      <c r="T335" s="423"/>
      <c r="U335" s="423"/>
      <c r="V335" s="423"/>
      <c r="W335" s="423"/>
      <c r="X335" s="423"/>
      <c r="Y335" s="423"/>
      <c r="Z335" s="423"/>
    </row>
    <row r="336">
      <c r="A336" s="564">
        <v>334.0</v>
      </c>
      <c r="B336" s="565" t="s">
        <v>1261</v>
      </c>
      <c r="C336" s="565" t="s">
        <v>5245</v>
      </c>
      <c r="D336" s="564">
        <v>0.0</v>
      </c>
      <c r="E336" s="564">
        <v>0.0</v>
      </c>
      <c r="F336" s="564">
        <v>0.0</v>
      </c>
      <c r="G336" s="564">
        <v>8.0</v>
      </c>
      <c r="H336" s="564">
        <v>0.0</v>
      </c>
      <c r="I336" s="423"/>
      <c r="J336" s="423"/>
      <c r="K336" s="423"/>
      <c r="L336" s="423"/>
      <c r="M336" s="423"/>
      <c r="N336" s="423"/>
      <c r="O336" s="423"/>
      <c r="P336" s="423"/>
      <c r="Q336" s="423"/>
      <c r="R336" s="423"/>
      <c r="S336" s="423"/>
      <c r="T336" s="423"/>
      <c r="U336" s="423"/>
      <c r="V336" s="423"/>
      <c r="W336" s="423"/>
      <c r="X336" s="423"/>
      <c r="Y336" s="423"/>
      <c r="Z336" s="423"/>
    </row>
    <row r="337">
      <c r="A337" s="562">
        <v>335.0</v>
      </c>
      <c r="B337" s="563" t="s">
        <v>1263</v>
      </c>
      <c r="C337" s="563" t="s">
        <v>5245</v>
      </c>
      <c r="D337" s="562">
        <v>2.0</v>
      </c>
      <c r="E337" s="562">
        <v>0.0</v>
      </c>
      <c r="F337" s="562">
        <v>0.0</v>
      </c>
      <c r="G337" s="562">
        <v>6.0</v>
      </c>
      <c r="H337" s="562">
        <v>0.0</v>
      </c>
      <c r="I337" s="423"/>
      <c r="J337" s="423"/>
      <c r="K337" s="423"/>
      <c r="L337" s="423"/>
      <c r="M337" s="423"/>
      <c r="N337" s="423"/>
      <c r="O337" s="423"/>
      <c r="P337" s="423"/>
      <c r="Q337" s="423"/>
      <c r="R337" s="423"/>
      <c r="S337" s="423"/>
      <c r="T337" s="423"/>
      <c r="U337" s="423"/>
      <c r="V337" s="423"/>
      <c r="W337" s="423"/>
      <c r="X337" s="423"/>
      <c r="Y337" s="423"/>
      <c r="Z337" s="423"/>
    </row>
    <row r="338">
      <c r="A338" s="564">
        <v>336.0</v>
      </c>
      <c r="B338" s="565" t="s">
        <v>1264</v>
      </c>
      <c r="C338" s="565" t="s">
        <v>5245</v>
      </c>
      <c r="D338" s="564">
        <v>0.0</v>
      </c>
      <c r="E338" s="564">
        <v>0.0</v>
      </c>
      <c r="F338" s="564">
        <v>0.0</v>
      </c>
      <c r="G338" s="564">
        <v>8.0</v>
      </c>
      <c r="H338" s="564">
        <v>0.0</v>
      </c>
      <c r="I338" s="423"/>
      <c r="J338" s="423"/>
      <c r="K338" s="423"/>
      <c r="L338" s="423"/>
      <c r="M338" s="423"/>
      <c r="N338" s="423"/>
      <c r="O338" s="423"/>
      <c r="P338" s="423"/>
      <c r="Q338" s="423"/>
      <c r="R338" s="423"/>
      <c r="S338" s="423"/>
      <c r="T338" s="423"/>
      <c r="U338" s="423"/>
      <c r="V338" s="423"/>
      <c r="W338" s="423"/>
      <c r="X338" s="423"/>
      <c r="Y338" s="423"/>
      <c r="Z338" s="423"/>
    </row>
    <row r="339">
      <c r="A339" s="562">
        <v>337.0</v>
      </c>
      <c r="B339" s="563" t="s">
        <v>1265</v>
      </c>
      <c r="C339" s="563" t="s">
        <v>5245</v>
      </c>
      <c r="D339" s="562">
        <v>3.0</v>
      </c>
      <c r="E339" s="562">
        <v>0.0</v>
      </c>
      <c r="F339" s="562">
        <v>0.0</v>
      </c>
      <c r="G339" s="562">
        <v>5.0</v>
      </c>
      <c r="H339" s="562">
        <v>0.0</v>
      </c>
      <c r="I339" s="423"/>
      <c r="J339" s="423"/>
      <c r="K339" s="423"/>
      <c r="L339" s="423"/>
      <c r="M339" s="423"/>
      <c r="N339" s="423"/>
      <c r="O339" s="423"/>
      <c r="P339" s="423"/>
      <c r="Q339" s="423"/>
      <c r="R339" s="423"/>
      <c r="S339" s="423"/>
      <c r="T339" s="423"/>
      <c r="U339" s="423"/>
      <c r="V339" s="423"/>
      <c r="W339" s="423"/>
      <c r="X339" s="423"/>
      <c r="Y339" s="423"/>
      <c r="Z339" s="423"/>
    </row>
    <row r="340">
      <c r="A340" s="564">
        <v>338.0</v>
      </c>
      <c r="B340" s="565" t="s">
        <v>1266</v>
      </c>
      <c r="C340" s="565" t="s">
        <v>5245</v>
      </c>
      <c r="D340" s="564">
        <v>3.0</v>
      </c>
      <c r="E340" s="564">
        <v>0.0</v>
      </c>
      <c r="F340" s="564">
        <v>0.0</v>
      </c>
      <c r="G340" s="564">
        <v>5.0</v>
      </c>
      <c r="H340" s="564">
        <v>0.0</v>
      </c>
      <c r="I340" s="423"/>
      <c r="J340" s="423"/>
      <c r="K340" s="423"/>
      <c r="L340" s="423"/>
      <c r="M340" s="423"/>
      <c r="N340" s="423"/>
      <c r="O340" s="423"/>
      <c r="P340" s="423"/>
      <c r="Q340" s="423"/>
      <c r="R340" s="423"/>
      <c r="S340" s="423"/>
      <c r="T340" s="423"/>
      <c r="U340" s="423"/>
      <c r="V340" s="423"/>
      <c r="W340" s="423"/>
      <c r="X340" s="423"/>
      <c r="Y340" s="423"/>
      <c r="Z340" s="423"/>
    </row>
    <row r="341">
      <c r="A341" s="562">
        <v>339.0</v>
      </c>
      <c r="B341" s="563" t="s">
        <v>1267</v>
      </c>
      <c r="C341" s="563" t="s">
        <v>5245</v>
      </c>
      <c r="D341" s="562">
        <v>1.0</v>
      </c>
      <c r="E341" s="562">
        <v>0.0</v>
      </c>
      <c r="F341" s="562">
        <v>0.0</v>
      </c>
      <c r="G341" s="562">
        <v>7.0</v>
      </c>
      <c r="H341" s="562">
        <v>0.0</v>
      </c>
      <c r="I341" s="423"/>
      <c r="J341" s="423"/>
      <c r="K341" s="423"/>
      <c r="L341" s="423"/>
      <c r="M341" s="423"/>
      <c r="N341" s="423"/>
      <c r="O341" s="423"/>
      <c r="P341" s="423"/>
      <c r="Q341" s="423"/>
      <c r="R341" s="423"/>
      <c r="S341" s="423"/>
      <c r="T341" s="423"/>
      <c r="U341" s="423"/>
      <c r="V341" s="423"/>
      <c r="W341" s="423"/>
      <c r="X341" s="423"/>
      <c r="Y341" s="423"/>
      <c r="Z341" s="423"/>
    </row>
    <row r="342">
      <c r="A342" s="564">
        <v>340.0</v>
      </c>
      <c r="B342" s="565" t="s">
        <v>1268</v>
      </c>
      <c r="C342" s="565" t="s">
        <v>5245</v>
      </c>
      <c r="D342" s="564">
        <v>1.0</v>
      </c>
      <c r="E342" s="564">
        <v>0.0</v>
      </c>
      <c r="F342" s="564">
        <v>0.0</v>
      </c>
      <c r="G342" s="564">
        <v>7.0</v>
      </c>
      <c r="H342" s="564">
        <v>0.0</v>
      </c>
      <c r="I342" s="423"/>
      <c r="J342" s="423"/>
      <c r="K342" s="423"/>
      <c r="L342" s="423"/>
      <c r="M342" s="423"/>
      <c r="N342" s="423"/>
      <c r="O342" s="423"/>
      <c r="P342" s="423"/>
      <c r="Q342" s="423"/>
      <c r="R342" s="423"/>
      <c r="S342" s="423"/>
      <c r="T342" s="423"/>
      <c r="U342" s="423"/>
      <c r="V342" s="423"/>
      <c r="W342" s="423"/>
      <c r="X342" s="423"/>
      <c r="Y342" s="423"/>
      <c r="Z342" s="423"/>
    </row>
    <row r="343">
      <c r="A343" s="562">
        <v>341.0</v>
      </c>
      <c r="B343" s="563" t="s">
        <v>1269</v>
      </c>
      <c r="C343" s="563" t="s">
        <v>5245</v>
      </c>
      <c r="D343" s="562">
        <v>1.0</v>
      </c>
      <c r="E343" s="562">
        <v>0.0</v>
      </c>
      <c r="F343" s="562">
        <v>0.0</v>
      </c>
      <c r="G343" s="562">
        <v>7.0</v>
      </c>
      <c r="H343" s="562">
        <v>0.0</v>
      </c>
      <c r="I343" s="423"/>
      <c r="J343" s="423"/>
      <c r="K343" s="423"/>
      <c r="L343" s="423"/>
      <c r="M343" s="423"/>
      <c r="N343" s="423"/>
      <c r="O343" s="423"/>
      <c r="P343" s="423"/>
      <c r="Q343" s="423"/>
      <c r="R343" s="423"/>
      <c r="S343" s="423"/>
      <c r="T343" s="423"/>
      <c r="U343" s="423"/>
      <c r="V343" s="423"/>
      <c r="W343" s="423"/>
      <c r="X343" s="423"/>
      <c r="Y343" s="423"/>
      <c r="Z343" s="423"/>
    </row>
    <row r="344">
      <c r="A344" s="564">
        <v>342.0</v>
      </c>
      <c r="B344" s="565" t="s">
        <v>1270</v>
      </c>
      <c r="C344" s="565" t="s">
        <v>5245</v>
      </c>
      <c r="D344" s="564">
        <v>0.0</v>
      </c>
      <c r="E344" s="564">
        <v>0.0</v>
      </c>
      <c r="F344" s="564">
        <v>0.0</v>
      </c>
      <c r="G344" s="564">
        <v>8.0</v>
      </c>
      <c r="H344" s="564">
        <v>0.0</v>
      </c>
      <c r="I344" s="423"/>
      <c r="J344" s="423"/>
      <c r="K344" s="423"/>
      <c r="L344" s="423"/>
      <c r="M344" s="423"/>
      <c r="N344" s="423"/>
      <c r="O344" s="423"/>
      <c r="P344" s="423"/>
      <c r="Q344" s="423"/>
      <c r="R344" s="423"/>
      <c r="S344" s="423"/>
      <c r="T344" s="423"/>
      <c r="U344" s="423"/>
      <c r="V344" s="423"/>
      <c r="W344" s="423"/>
      <c r="X344" s="423"/>
      <c r="Y344" s="423"/>
      <c r="Z344" s="423"/>
    </row>
    <row r="345">
      <c r="A345" s="562">
        <v>343.0</v>
      </c>
      <c r="B345" s="563" t="s">
        <v>1271</v>
      </c>
      <c r="C345" s="563" t="s">
        <v>5245</v>
      </c>
      <c r="D345" s="562">
        <v>0.0</v>
      </c>
      <c r="E345" s="562">
        <v>0.0</v>
      </c>
      <c r="F345" s="562">
        <v>0.0</v>
      </c>
      <c r="G345" s="562">
        <v>8.0</v>
      </c>
      <c r="H345" s="562">
        <v>0.0</v>
      </c>
      <c r="I345" s="423"/>
      <c r="J345" s="423"/>
      <c r="K345" s="423"/>
      <c r="L345" s="423"/>
      <c r="M345" s="423"/>
      <c r="N345" s="423"/>
      <c r="O345" s="423"/>
      <c r="P345" s="423"/>
      <c r="Q345" s="423"/>
      <c r="R345" s="423"/>
      <c r="S345" s="423"/>
      <c r="T345" s="423"/>
      <c r="U345" s="423"/>
      <c r="V345" s="423"/>
      <c r="W345" s="423"/>
      <c r="X345" s="423"/>
      <c r="Y345" s="423"/>
      <c r="Z345" s="423"/>
    </row>
    <row r="346">
      <c r="A346" s="564">
        <v>344.0</v>
      </c>
      <c r="B346" s="565" t="s">
        <v>1272</v>
      </c>
      <c r="C346" s="565" t="s">
        <v>5245</v>
      </c>
      <c r="D346" s="564">
        <v>2.0</v>
      </c>
      <c r="E346" s="564">
        <v>0.0</v>
      </c>
      <c r="F346" s="564">
        <v>0.0</v>
      </c>
      <c r="G346" s="564">
        <v>6.0</v>
      </c>
      <c r="H346" s="564">
        <v>0.0</v>
      </c>
      <c r="I346" s="423"/>
      <c r="J346" s="423"/>
      <c r="K346" s="423"/>
      <c r="L346" s="423"/>
      <c r="M346" s="423"/>
      <c r="N346" s="423"/>
      <c r="O346" s="423"/>
      <c r="P346" s="423"/>
      <c r="Q346" s="423"/>
      <c r="R346" s="423"/>
      <c r="S346" s="423"/>
      <c r="T346" s="423"/>
      <c r="U346" s="423"/>
      <c r="V346" s="423"/>
      <c r="W346" s="423"/>
      <c r="X346" s="423"/>
      <c r="Y346" s="423"/>
      <c r="Z346" s="423"/>
    </row>
    <row r="347">
      <c r="A347" s="562">
        <v>345.0</v>
      </c>
      <c r="B347" s="563" t="s">
        <v>1273</v>
      </c>
      <c r="C347" s="563" t="s">
        <v>5245</v>
      </c>
      <c r="D347" s="562">
        <v>1.0</v>
      </c>
      <c r="E347" s="562">
        <v>0.0</v>
      </c>
      <c r="F347" s="562">
        <v>0.0</v>
      </c>
      <c r="G347" s="562">
        <v>7.0</v>
      </c>
      <c r="H347" s="562">
        <v>0.0</v>
      </c>
      <c r="I347" s="423"/>
      <c r="J347" s="423"/>
      <c r="K347" s="423"/>
      <c r="L347" s="423"/>
      <c r="M347" s="423"/>
      <c r="N347" s="423"/>
      <c r="O347" s="423"/>
      <c r="P347" s="423"/>
      <c r="Q347" s="423"/>
      <c r="R347" s="423"/>
      <c r="S347" s="423"/>
      <c r="T347" s="423"/>
      <c r="U347" s="423"/>
      <c r="V347" s="423"/>
      <c r="W347" s="423"/>
      <c r="X347" s="423"/>
      <c r="Y347" s="423"/>
      <c r="Z347" s="423"/>
    </row>
    <row r="348">
      <c r="A348" s="564">
        <v>346.0</v>
      </c>
      <c r="B348" s="565" t="s">
        <v>5628</v>
      </c>
      <c r="C348" s="565" t="s">
        <v>5245</v>
      </c>
      <c r="D348" s="564">
        <v>1.0</v>
      </c>
      <c r="E348" s="564">
        <v>0.0</v>
      </c>
      <c r="F348" s="564">
        <v>0.0</v>
      </c>
      <c r="G348" s="564">
        <v>7.0</v>
      </c>
      <c r="H348" s="564">
        <v>0.0</v>
      </c>
      <c r="I348" s="423"/>
      <c r="J348" s="423"/>
      <c r="K348" s="423"/>
      <c r="L348" s="423"/>
      <c r="M348" s="423"/>
      <c r="N348" s="423"/>
      <c r="O348" s="423"/>
      <c r="P348" s="423"/>
      <c r="Q348" s="423"/>
      <c r="R348" s="423"/>
      <c r="S348" s="423"/>
      <c r="T348" s="423"/>
      <c r="U348" s="423"/>
      <c r="V348" s="423"/>
      <c r="W348" s="423"/>
      <c r="X348" s="423"/>
      <c r="Y348" s="423"/>
      <c r="Z348" s="423"/>
    </row>
    <row r="349">
      <c r="A349" s="562">
        <v>347.0</v>
      </c>
      <c r="B349" s="563" t="s">
        <v>5629</v>
      </c>
      <c r="C349" s="563" t="s">
        <v>5245</v>
      </c>
      <c r="D349" s="562">
        <v>2.0</v>
      </c>
      <c r="E349" s="562">
        <v>0.0</v>
      </c>
      <c r="F349" s="562">
        <v>0.0</v>
      </c>
      <c r="G349" s="562">
        <v>6.0</v>
      </c>
      <c r="H349" s="562">
        <v>0.0</v>
      </c>
      <c r="I349" s="423"/>
      <c r="J349" s="423"/>
      <c r="K349" s="423"/>
      <c r="L349" s="423"/>
      <c r="M349" s="423"/>
      <c r="N349" s="423"/>
      <c r="O349" s="423"/>
      <c r="P349" s="423"/>
      <c r="Q349" s="423"/>
      <c r="R349" s="423"/>
      <c r="S349" s="423"/>
      <c r="T349" s="423"/>
      <c r="U349" s="423"/>
      <c r="V349" s="423"/>
      <c r="W349" s="423"/>
      <c r="X349" s="423"/>
      <c r="Y349" s="423"/>
      <c r="Z349" s="423"/>
    </row>
    <row r="350">
      <c r="A350" s="564">
        <v>348.0</v>
      </c>
      <c r="B350" s="565" t="s">
        <v>1276</v>
      </c>
      <c r="C350" s="565" t="s">
        <v>5245</v>
      </c>
      <c r="D350" s="564">
        <v>1.0</v>
      </c>
      <c r="E350" s="564">
        <v>0.0</v>
      </c>
      <c r="F350" s="564">
        <v>0.0</v>
      </c>
      <c r="G350" s="564">
        <v>7.0</v>
      </c>
      <c r="H350" s="564">
        <v>0.0</v>
      </c>
      <c r="I350" s="423"/>
      <c r="J350" s="423"/>
      <c r="K350" s="423"/>
      <c r="L350" s="423"/>
      <c r="M350" s="423"/>
      <c r="N350" s="423"/>
      <c r="O350" s="423"/>
      <c r="P350" s="423"/>
      <c r="Q350" s="423"/>
      <c r="R350" s="423"/>
      <c r="S350" s="423"/>
      <c r="T350" s="423"/>
      <c r="U350" s="423"/>
      <c r="V350" s="423"/>
      <c r="W350" s="423"/>
      <c r="X350" s="423"/>
      <c r="Y350" s="423"/>
      <c r="Z350" s="423"/>
    </row>
    <row r="351">
      <c r="A351" s="562">
        <v>349.0</v>
      </c>
      <c r="B351" s="563" t="s">
        <v>1277</v>
      </c>
      <c r="C351" s="563" t="s">
        <v>5245</v>
      </c>
      <c r="D351" s="562">
        <v>1.0</v>
      </c>
      <c r="E351" s="562">
        <v>0.0</v>
      </c>
      <c r="F351" s="562">
        <v>0.0</v>
      </c>
      <c r="G351" s="562">
        <v>7.0</v>
      </c>
      <c r="H351" s="562">
        <v>0.0</v>
      </c>
      <c r="I351" s="423"/>
      <c r="J351" s="423"/>
      <c r="K351" s="423"/>
      <c r="L351" s="423"/>
      <c r="M351" s="423"/>
      <c r="N351" s="423"/>
      <c r="O351" s="423"/>
      <c r="P351" s="423"/>
      <c r="Q351" s="423"/>
      <c r="R351" s="423"/>
      <c r="S351" s="423"/>
      <c r="T351" s="423"/>
      <c r="U351" s="423"/>
      <c r="V351" s="423"/>
      <c r="W351" s="423"/>
      <c r="X351" s="423"/>
      <c r="Y351" s="423"/>
      <c r="Z351" s="423"/>
    </row>
    <row r="352">
      <c r="A352" s="564">
        <v>350.0</v>
      </c>
      <c r="B352" s="565" t="s">
        <v>1278</v>
      </c>
      <c r="C352" s="565" t="s">
        <v>5245</v>
      </c>
      <c r="D352" s="564">
        <v>2.0</v>
      </c>
      <c r="E352" s="564">
        <v>0.0</v>
      </c>
      <c r="F352" s="564">
        <v>0.0</v>
      </c>
      <c r="G352" s="564">
        <v>6.0</v>
      </c>
      <c r="H352" s="564">
        <v>0.0</v>
      </c>
      <c r="I352" s="423"/>
      <c r="J352" s="423"/>
      <c r="K352" s="423"/>
      <c r="L352" s="423"/>
      <c r="M352" s="423"/>
      <c r="N352" s="423"/>
      <c r="O352" s="423"/>
      <c r="P352" s="423"/>
      <c r="Q352" s="423"/>
      <c r="R352" s="423"/>
      <c r="S352" s="423"/>
      <c r="T352" s="423"/>
      <c r="U352" s="423"/>
      <c r="V352" s="423"/>
      <c r="W352" s="423"/>
      <c r="X352" s="423"/>
      <c r="Y352" s="423"/>
      <c r="Z352" s="423"/>
    </row>
    <row r="353">
      <c r="A353" s="562">
        <v>351.0</v>
      </c>
      <c r="B353" s="563" t="s">
        <v>1279</v>
      </c>
      <c r="C353" s="563" t="s">
        <v>5245</v>
      </c>
      <c r="D353" s="562">
        <v>1.0</v>
      </c>
      <c r="E353" s="562">
        <v>0.0</v>
      </c>
      <c r="F353" s="562">
        <v>0.0</v>
      </c>
      <c r="G353" s="562">
        <v>7.0</v>
      </c>
      <c r="H353" s="562">
        <v>0.0</v>
      </c>
      <c r="I353" s="423"/>
      <c r="J353" s="423"/>
      <c r="K353" s="423"/>
      <c r="L353" s="423"/>
      <c r="M353" s="423"/>
      <c r="N353" s="423"/>
      <c r="O353" s="423"/>
      <c r="P353" s="423"/>
      <c r="Q353" s="423"/>
      <c r="R353" s="423"/>
      <c r="S353" s="423"/>
      <c r="T353" s="423"/>
      <c r="U353" s="423"/>
      <c r="V353" s="423"/>
      <c r="W353" s="423"/>
      <c r="X353" s="423"/>
      <c r="Y353" s="423"/>
      <c r="Z353" s="423"/>
    </row>
    <row r="354">
      <c r="A354" s="564">
        <v>352.0</v>
      </c>
      <c r="B354" s="565" t="s">
        <v>1280</v>
      </c>
      <c r="C354" s="565" t="s">
        <v>5245</v>
      </c>
      <c r="D354" s="564">
        <v>0.0</v>
      </c>
      <c r="E354" s="564">
        <v>0.0</v>
      </c>
      <c r="F354" s="564">
        <v>0.0</v>
      </c>
      <c r="G354" s="564">
        <v>8.0</v>
      </c>
      <c r="H354" s="564">
        <v>0.0</v>
      </c>
      <c r="I354" s="423"/>
      <c r="J354" s="423"/>
      <c r="K354" s="423"/>
      <c r="L354" s="423"/>
      <c r="M354" s="423"/>
      <c r="N354" s="423"/>
      <c r="O354" s="423"/>
      <c r="P354" s="423"/>
      <c r="Q354" s="423"/>
      <c r="R354" s="423"/>
      <c r="S354" s="423"/>
      <c r="T354" s="423"/>
      <c r="U354" s="423"/>
      <c r="V354" s="423"/>
      <c r="W354" s="423"/>
      <c r="X354" s="423"/>
      <c r="Y354" s="423"/>
      <c r="Z354" s="423"/>
    </row>
    <row r="355">
      <c r="A355" s="562">
        <v>353.0</v>
      </c>
      <c r="B355" s="563" t="s">
        <v>1281</v>
      </c>
      <c r="C355" s="563" t="s">
        <v>5245</v>
      </c>
      <c r="D355" s="562">
        <v>0.0</v>
      </c>
      <c r="E355" s="562">
        <v>0.0</v>
      </c>
      <c r="F355" s="562">
        <v>0.0</v>
      </c>
      <c r="G355" s="562">
        <v>8.0</v>
      </c>
      <c r="H355" s="562">
        <v>0.0</v>
      </c>
      <c r="I355" s="423"/>
      <c r="J355" s="423"/>
      <c r="K355" s="423"/>
      <c r="L355" s="423"/>
      <c r="M355" s="423"/>
      <c r="N355" s="423"/>
      <c r="O355" s="423"/>
      <c r="P355" s="423"/>
      <c r="Q355" s="423"/>
      <c r="R355" s="423"/>
      <c r="S355" s="423"/>
      <c r="T355" s="423"/>
      <c r="U355" s="423"/>
      <c r="V355" s="423"/>
      <c r="W355" s="423"/>
      <c r="X355" s="423"/>
      <c r="Y355" s="423"/>
      <c r="Z355" s="423"/>
    </row>
    <row r="356">
      <c r="A356" s="564">
        <v>354.0</v>
      </c>
      <c r="B356" s="565" t="s">
        <v>1282</v>
      </c>
      <c r="C356" s="565" t="s">
        <v>5245</v>
      </c>
      <c r="D356" s="564">
        <v>0.0</v>
      </c>
      <c r="E356" s="564">
        <v>0.0</v>
      </c>
      <c r="F356" s="564">
        <v>0.0</v>
      </c>
      <c r="G356" s="564">
        <v>8.0</v>
      </c>
      <c r="H356" s="564">
        <v>0.0</v>
      </c>
      <c r="I356" s="423"/>
      <c r="J356" s="423"/>
      <c r="K356" s="423"/>
      <c r="L356" s="423"/>
      <c r="M356" s="423"/>
      <c r="N356" s="423"/>
      <c r="O356" s="423"/>
      <c r="P356" s="423"/>
      <c r="Q356" s="423"/>
      <c r="R356" s="423"/>
      <c r="S356" s="423"/>
      <c r="T356" s="423"/>
      <c r="U356" s="423"/>
      <c r="V356" s="423"/>
      <c r="W356" s="423"/>
      <c r="X356" s="423"/>
      <c r="Y356" s="423"/>
      <c r="Z356" s="423"/>
    </row>
    <row r="357">
      <c r="A357" s="562">
        <v>355.0</v>
      </c>
      <c r="B357" s="563" t="s">
        <v>1283</v>
      </c>
      <c r="C357" s="563" t="s">
        <v>5245</v>
      </c>
      <c r="D357" s="562">
        <v>2.0</v>
      </c>
      <c r="E357" s="562">
        <v>0.0</v>
      </c>
      <c r="F357" s="562">
        <v>0.0</v>
      </c>
      <c r="G357" s="562">
        <v>6.0</v>
      </c>
      <c r="H357" s="562">
        <v>0.0</v>
      </c>
      <c r="I357" s="423"/>
      <c r="J357" s="423"/>
      <c r="K357" s="423"/>
      <c r="L357" s="423"/>
      <c r="M357" s="423"/>
      <c r="N357" s="423"/>
      <c r="O357" s="423"/>
      <c r="P357" s="423"/>
      <c r="Q357" s="423"/>
      <c r="R357" s="423"/>
      <c r="S357" s="423"/>
      <c r="T357" s="423"/>
      <c r="U357" s="423"/>
      <c r="V357" s="423"/>
      <c r="W357" s="423"/>
      <c r="X357" s="423"/>
      <c r="Y357" s="423"/>
      <c r="Z357" s="423"/>
    </row>
    <row r="358">
      <c r="A358" s="564">
        <v>356.0</v>
      </c>
      <c r="B358" s="565" t="s">
        <v>1285</v>
      </c>
      <c r="C358" s="565" t="s">
        <v>5245</v>
      </c>
      <c r="D358" s="564">
        <v>1.0</v>
      </c>
      <c r="E358" s="564">
        <v>0.0</v>
      </c>
      <c r="F358" s="564">
        <v>0.0</v>
      </c>
      <c r="G358" s="564">
        <v>7.0</v>
      </c>
      <c r="H358" s="564">
        <v>0.0</v>
      </c>
      <c r="I358" s="423"/>
      <c r="J358" s="423"/>
      <c r="K358" s="423"/>
      <c r="L358" s="423"/>
      <c r="M358" s="423"/>
      <c r="N358" s="423"/>
      <c r="O358" s="423"/>
      <c r="P358" s="423"/>
      <c r="Q358" s="423"/>
      <c r="R358" s="423"/>
      <c r="S358" s="423"/>
      <c r="T358" s="423"/>
      <c r="U358" s="423"/>
      <c r="V358" s="423"/>
      <c r="W358" s="423"/>
      <c r="X358" s="423"/>
      <c r="Y358" s="423"/>
      <c r="Z358" s="423"/>
    </row>
    <row r="359">
      <c r="A359" s="562">
        <v>357.0</v>
      </c>
      <c r="B359" s="563" t="s">
        <v>1286</v>
      </c>
      <c r="C359" s="563" t="s">
        <v>5245</v>
      </c>
      <c r="D359" s="562">
        <v>0.0</v>
      </c>
      <c r="E359" s="562">
        <v>0.0</v>
      </c>
      <c r="F359" s="562">
        <v>0.0</v>
      </c>
      <c r="G359" s="562">
        <v>8.0</v>
      </c>
      <c r="H359" s="562">
        <v>0.0</v>
      </c>
      <c r="I359" s="423"/>
      <c r="J359" s="423"/>
      <c r="K359" s="423"/>
      <c r="L359" s="423"/>
      <c r="M359" s="423"/>
      <c r="N359" s="423"/>
      <c r="O359" s="423"/>
      <c r="P359" s="423"/>
      <c r="Q359" s="423"/>
      <c r="R359" s="423"/>
      <c r="S359" s="423"/>
      <c r="T359" s="423"/>
      <c r="U359" s="423"/>
      <c r="V359" s="423"/>
      <c r="W359" s="423"/>
      <c r="X359" s="423"/>
      <c r="Y359" s="423"/>
      <c r="Z359" s="423"/>
    </row>
    <row r="360">
      <c r="A360" s="564">
        <v>358.0</v>
      </c>
      <c r="B360" s="565" t="s">
        <v>1287</v>
      </c>
      <c r="C360" s="565" t="s">
        <v>5245</v>
      </c>
      <c r="D360" s="564">
        <v>1.0</v>
      </c>
      <c r="E360" s="564">
        <v>0.0</v>
      </c>
      <c r="F360" s="564">
        <v>0.0</v>
      </c>
      <c r="G360" s="564">
        <v>7.0</v>
      </c>
      <c r="H360" s="564">
        <v>0.0</v>
      </c>
      <c r="I360" s="423"/>
      <c r="J360" s="423"/>
      <c r="K360" s="423"/>
      <c r="L360" s="423"/>
      <c r="M360" s="423"/>
      <c r="N360" s="423"/>
      <c r="O360" s="423"/>
      <c r="P360" s="423"/>
      <c r="Q360" s="423"/>
      <c r="R360" s="423"/>
      <c r="S360" s="423"/>
      <c r="T360" s="423"/>
      <c r="U360" s="423"/>
      <c r="V360" s="423"/>
      <c r="W360" s="423"/>
      <c r="X360" s="423"/>
      <c r="Y360" s="423"/>
      <c r="Z360" s="423"/>
    </row>
    <row r="361">
      <c r="A361" s="562">
        <v>359.0</v>
      </c>
      <c r="B361" s="563" t="s">
        <v>1288</v>
      </c>
      <c r="C361" s="563" t="s">
        <v>5245</v>
      </c>
      <c r="D361" s="562">
        <v>0.0</v>
      </c>
      <c r="E361" s="562">
        <v>0.0</v>
      </c>
      <c r="F361" s="562">
        <v>0.0</v>
      </c>
      <c r="G361" s="562">
        <v>8.0</v>
      </c>
      <c r="H361" s="562">
        <v>0.0</v>
      </c>
      <c r="I361" s="423"/>
      <c r="J361" s="423"/>
      <c r="K361" s="423"/>
      <c r="L361" s="423"/>
      <c r="M361" s="423"/>
      <c r="N361" s="423"/>
      <c r="O361" s="423"/>
      <c r="P361" s="423"/>
      <c r="Q361" s="423"/>
      <c r="R361" s="423"/>
      <c r="S361" s="423"/>
      <c r="T361" s="423"/>
      <c r="U361" s="423"/>
      <c r="V361" s="423"/>
      <c r="W361" s="423"/>
      <c r="X361" s="423"/>
      <c r="Y361" s="423"/>
      <c r="Z361" s="423"/>
    </row>
    <row r="362">
      <c r="A362" s="564">
        <v>360.0</v>
      </c>
      <c r="B362" s="565" t="s">
        <v>1289</v>
      </c>
      <c r="C362" s="565" t="s">
        <v>5245</v>
      </c>
      <c r="D362" s="564">
        <v>2.0</v>
      </c>
      <c r="E362" s="564">
        <v>0.0</v>
      </c>
      <c r="F362" s="564">
        <v>0.0</v>
      </c>
      <c r="G362" s="564">
        <v>6.0</v>
      </c>
      <c r="H362" s="564">
        <v>0.0</v>
      </c>
      <c r="I362" s="423"/>
      <c r="J362" s="423"/>
      <c r="K362" s="423"/>
      <c r="L362" s="423"/>
      <c r="M362" s="423"/>
      <c r="N362" s="423"/>
      <c r="O362" s="423"/>
      <c r="P362" s="423"/>
      <c r="Q362" s="423"/>
      <c r="R362" s="423"/>
      <c r="S362" s="423"/>
      <c r="T362" s="423"/>
      <c r="U362" s="423"/>
      <c r="V362" s="423"/>
      <c r="W362" s="423"/>
      <c r="X362" s="423"/>
      <c r="Y362" s="423"/>
      <c r="Z362" s="423"/>
    </row>
    <row r="363">
      <c r="A363" s="562">
        <v>361.0</v>
      </c>
      <c r="B363" s="563" t="s">
        <v>1290</v>
      </c>
      <c r="C363" s="563" t="s">
        <v>5245</v>
      </c>
      <c r="D363" s="562">
        <v>0.0</v>
      </c>
      <c r="E363" s="562">
        <v>0.0</v>
      </c>
      <c r="F363" s="562">
        <v>0.0</v>
      </c>
      <c r="G363" s="562">
        <v>8.0</v>
      </c>
      <c r="H363" s="562">
        <v>0.0</v>
      </c>
      <c r="I363" s="423"/>
      <c r="J363" s="423"/>
      <c r="K363" s="423"/>
      <c r="L363" s="423"/>
      <c r="M363" s="423"/>
      <c r="N363" s="423"/>
      <c r="O363" s="423"/>
      <c r="P363" s="423"/>
      <c r="Q363" s="423"/>
      <c r="R363" s="423"/>
      <c r="S363" s="423"/>
      <c r="T363" s="423"/>
      <c r="U363" s="423"/>
      <c r="V363" s="423"/>
      <c r="W363" s="423"/>
      <c r="X363" s="423"/>
      <c r="Y363" s="423"/>
      <c r="Z363" s="423"/>
    </row>
    <row r="364">
      <c r="A364" s="564">
        <v>362.0</v>
      </c>
      <c r="B364" s="565" t="s">
        <v>1291</v>
      </c>
      <c r="C364" s="565" t="s">
        <v>5245</v>
      </c>
      <c r="D364" s="564">
        <v>2.0</v>
      </c>
      <c r="E364" s="564">
        <v>0.0</v>
      </c>
      <c r="F364" s="564">
        <v>0.0</v>
      </c>
      <c r="G364" s="564">
        <v>6.0</v>
      </c>
      <c r="H364" s="564">
        <v>0.0</v>
      </c>
      <c r="I364" s="423"/>
      <c r="J364" s="423"/>
      <c r="K364" s="423"/>
      <c r="L364" s="423"/>
      <c r="M364" s="423"/>
      <c r="N364" s="423"/>
      <c r="O364" s="423"/>
      <c r="P364" s="423"/>
      <c r="Q364" s="423"/>
      <c r="R364" s="423"/>
      <c r="S364" s="423"/>
      <c r="T364" s="423"/>
      <c r="U364" s="423"/>
      <c r="V364" s="423"/>
      <c r="W364" s="423"/>
      <c r="X364" s="423"/>
      <c r="Y364" s="423"/>
      <c r="Z364" s="423"/>
    </row>
    <row r="365">
      <c r="A365" s="562">
        <v>363.0</v>
      </c>
      <c r="B365" s="563" t="s">
        <v>5630</v>
      </c>
      <c r="C365" s="563" t="s">
        <v>5245</v>
      </c>
      <c r="D365" s="562">
        <v>3.0</v>
      </c>
      <c r="E365" s="562">
        <v>0.0</v>
      </c>
      <c r="F365" s="562">
        <v>0.0</v>
      </c>
      <c r="G365" s="562">
        <v>5.0</v>
      </c>
      <c r="H365" s="562">
        <v>0.0</v>
      </c>
      <c r="I365" s="423"/>
      <c r="J365" s="423"/>
      <c r="K365" s="423"/>
      <c r="L365" s="423"/>
      <c r="M365" s="423"/>
      <c r="N365" s="423"/>
      <c r="O365" s="423"/>
      <c r="P365" s="423"/>
      <c r="Q365" s="423"/>
      <c r="R365" s="423"/>
      <c r="S365" s="423"/>
      <c r="T365" s="423"/>
      <c r="U365" s="423"/>
      <c r="V365" s="423"/>
      <c r="W365" s="423"/>
      <c r="X365" s="423"/>
      <c r="Y365" s="423"/>
      <c r="Z365" s="423"/>
    </row>
    <row r="366">
      <c r="A366" s="564">
        <v>364.0</v>
      </c>
      <c r="B366" s="565" t="s">
        <v>1292</v>
      </c>
      <c r="C366" s="565" t="s">
        <v>5245</v>
      </c>
      <c r="D366" s="564">
        <v>2.0</v>
      </c>
      <c r="E366" s="564">
        <v>0.0</v>
      </c>
      <c r="F366" s="564">
        <v>0.0</v>
      </c>
      <c r="G366" s="564">
        <v>6.0</v>
      </c>
      <c r="H366" s="564">
        <v>0.0</v>
      </c>
      <c r="I366" s="423"/>
      <c r="J366" s="423"/>
      <c r="K366" s="423"/>
      <c r="L366" s="423"/>
      <c r="M366" s="423"/>
      <c r="N366" s="423"/>
      <c r="O366" s="423"/>
      <c r="P366" s="423"/>
      <c r="Q366" s="423"/>
      <c r="R366" s="423"/>
      <c r="S366" s="423"/>
      <c r="T366" s="423"/>
      <c r="U366" s="423"/>
      <c r="V366" s="423"/>
      <c r="W366" s="423"/>
      <c r="X366" s="423"/>
      <c r="Y366" s="423"/>
      <c r="Z366" s="423"/>
    </row>
    <row r="367">
      <c r="A367" s="562">
        <v>365.0</v>
      </c>
      <c r="B367" s="563" t="s">
        <v>1293</v>
      </c>
      <c r="C367" s="563" t="s">
        <v>5245</v>
      </c>
      <c r="D367" s="562">
        <v>1.0</v>
      </c>
      <c r="E367" s="562">
        <v>0.0</v>
      </c>
      <c r="F367" s="562">
        <v>0.0</v>
      </c>
      <c r="G367" s="562">
        <v>7.0</v>
      </c>
      <c r="H367" s="562">
        <v>0.0</v>
      </c>
      <c r="I367" s="423"/>
      <c r="J367" s="423"/>
      <c r="K367" s="423"/>
      <c r="L367" s="423"/>
      <c r="M367" s="423"/>
      <c r="N367" s="423"/>
      <c r="O367" s="423"/>
      <c r="P367" s="423"/>
      <c r="Q367" s="423"/>
      <c r="R367" s="423"/>
      <c r="S367" s="423"/>
      <c r="T367" s="423"/>
      <c r="U367" s="423"/>
      <c r="V367" s="423"/>
      <c r="W367" s="423"/>
      <c r="X367" s="423"/>
      <c r="Y367" s="423"/>
      <c r="Z367" s="423"/>
    </row>
    <row r="368">
      <c r="A368" s="564">
        <v>366.0</v>
      </c>
      <c r="B368" s="565" t="s">
        <v>1294</v>
      </c>
      <c r="C368" s="565" t="s">
        <v>5245</v>
      </c>
      <c r="D368" s="564">
        <v>3.0</v>
      </c>
      <c r="E368" s="564">
        <v>0.0</v>
      </c>
      <c r="F368" s="564">
        <v>0.0</v>
      </c>
      <c r="G368" s="564">
        <v>5.0</v>
      </c>
      <c r="H368" s="564">
        <v>0.0</v>
      </c>
      <c r="I368" s="423"/>
      <c r="J368" s="423"/>
      <c r="K368" s="423"/>
      <c r="L368" s="423"/>
      <c r="M368" s="423"/>
      <c r="N368" s="423"/>
      <c r="O368" s="423"/>
      <c r="P368" s="423"/>
      <c r="Q368" s="423"/>
      <c r="R368" s="423"/>
      <c r="S368" s="423"/>
      <c r="T368" s="423"/>
      <c r="U368" s="423"/>
      <c r="V368" s="423"/>
      <c r="W368" s="423"/>
      <c r="X368" s="423"/>
      <c r="Y368" s="423"/>
      <c r="Z368" s="423"/>
    </row>
    <row r="369">
      <c r="A369" s="562">
        <v>367.0</v>
      </c>
      <c r="B369" s="563" t="s">
        <v>1295</v>
      </c>
      <c r="C369" s="563" t="s">
        <v>5245</v>
      </c>
      <c r="D369" s="562">
        <v>1.0</v>
      </c>
      <c r="E369" s="562">
        <v>0.0</v>
      </c>
      <c r="F369" s="562">
        <v>0.0</v>
      </c>
      <c r="G369" s="562">
        <v>7.0</v>
      </c>
      <c r="H369" s="562">
        <v>0.0</v>
      </c>
      <c r="I369" s="423"/>
      <c r="J369" s="423"/>
      <c r="K369" s="423"/>
      <c r="L369" s="423"/>
      <c r="M369" s="423"/>
      <c r="N369" s="423"/>
      <c r="O369" s="423"/>
      <c r="P369" s="423"/>
      <c r="Q369" s="423"/>
      <c r="R369" s="423"/>
      <c r="S369" s="423"/>
      <c r="T369" s="423"/>
      <c r="U369" s="423"/>
      <c r="V369" s="423"/>
      <c r="W369" s="423"/>
      <c r="X369" s="423"/>
      <c r="Y369" s="423"/>
      <c r="Z369" s="423"/>
    </row>
    <row r="370">
      <c r="A370" s="564">
        <v>368.0</v>
      </c>
      <c r="B370" s="565" t="s">
        <v>1296</v>
      </c>
      <c r="C370" s="565" t="s">
        <v>5245</v>
      </c>
      <c r="D370" s="564">
        <v>0.0</v>
      </c>
      <c r="E370" s="564">
        <v>0.0</v>
      </c>
      <c r="F370" s="564">
        <v>0.0</v>
      </c>
      <c r="G370" s="564">
        <v>8.0</v>
      </c>
      <c r="H370" s="564">
        <v>0.0</v>
      </c>
      <c r="I370" s="423"/>
      <c r="J370" s="423"/>
      <c r="K370" s="423"/>
      <c r="L370" s="423"/>
      <c r="M370" s="423"/>
      <c r="N370" s="423"/>
      <c r="O370" s="423"/>
      <c r="P370" s="423"/>
      <c r="Q370" s="423"/>
      <c r="R370" s="423"/>
      <c r="S370" s="423"/>
      <c r="T370" s="423"/>
      <c r="U370" s="423"/>
      <c r="V370" s="423"/>
      <c r="W370" s="423"/>
      <c r="X370" s="423"/>
      <c r="Y370" s="423"/>
      <c r="Z370" s="423"/>
    </row>
    <row r="371">
      <c r="A371" s="562">
        <v>369.0</v>
      </c>
      <c r="B371" s="563" t="s">
        <v>1297</v>
      </c>
      <c r="C371" s="563" t="s">
        <v>5245</v>
      </c>
      <c r="D371" s="562">
        <v>2.0</v>
      </c>
      <c r="E371" s="562">
        <v>0.0</v>
      </c>
      <c r="F371" s="562">
        <v>0.0</v>
      </c>
      <c r="G371" s="562">
        <v>6.0</v>
      </c>
      <c r="H371" s="562">
        <v>0.0</v>
      </c>
      <c r="I371" s="423"/>
      <c r="J371" s="423"/>
      <c r="K371" s="423"/>
      <c r="L371" s="423"/>
      <c r="M371" s="423"/>
      <c r="N371" s="423"/>
      <c r="O371" s="423"/>
      <c r="P371" s="423"/>
      <c r="Q371" s="423"/>
      <c r="R371" s="423"/>
      <c r="S371" s="423"/>
      <c r="T371" s="423"/>
      <c r="U371" s="423"/>
      <c r="V371" s="423"/>
      <c r="W371" s="423"/>
      <c r="X371" s="423"/>
      <c r="Y371" s="423"/>
      <c r="Z371" s="423"/>
    </row>
    <row r="372">
      <c r="A372" s="564">
        <v>370.0</v>
      </c>
      <c r="B372" s="565" t="s">
        <v>1298</v>
      </c>
      <c r="C372" s="565" t="s">
        <v>5245</v>
      </c>
      <c r="D372" s="564">
        <v>2.0</v>
      </c>
      <c r="E372" s="564">
        <v>0.0</v>
      </c>
      <c r="F372" s="564">
        <v>0.0</v>
      </c>
      <c r="G372" s="564">
        <v>6.0</v>
      </c>
      <c r="H372" s="564">
        <v>0.0</v>
      </c>
      <c r="I372" s="423"/>
      <c r="J372" s="423"/>
      <c r="K372" s="423"/>
      <c r="L372" s="423"/>
      <c r="M372" s="423"/>
      <c r="N372" s="423"/>
      <c r="O372" s="423"/>
      <c r="P372" s="423"/>
      <c r="Q372" s="423"/>
      <c r="R372" s="423"/>
      <c r="S372" s="423"/>
      <c r="T372" s="423"/>
      <c r="U372" s="423"/>
      <c r="V372" s="423"/>
      <c r="W372" s="423"/>
      <c r="X372" s="423"/>
      <c r="Y372" s="423"/>
      <c r="Z372" s="423"/>
    </row>
    <row r="373">
      <c r="A373" s="562">
        <v>371.0</v>
      </c>
      <c r="B373" s="563" t="s">
        <v>1299</v>
      </c>
      <c r="C373" s="563" t="s">
        <v>5245</v>
      </c>
      <c r="D373" s="562">
        <v>0.0</v>
      </c>
      <c r="E373" s="562">
        <v>0.0</v>
      </c>
      <c r="F373" s="562">
        <v>0.0</v>
      </c>
      <c r="G373" s="562">
        <v>8.0</v>
      </c>
      <c r="H373" s="562">
        <v>0.0</v>
      </c>
      <c r="I373" s="423"/>
      <c r="J373" s="423"/>
      <c r="K373" s="423"/>
      <c r="L373" s="423"/>
      <c r="M373" s="423"/>
      <c r="N373" s="423"/>
      <c r="O373" s="423"/>
      <c r="P373" s="423"/>
      <c r="Q373" s="423"/>
      <c r="R373" s="423"/>
      <c r="S373" s="423"/>
      <c r="T373" s="423"/>
      <c r="U373" s="423"/>
      <c r="V373" s="423"/>
      <c r="W373" s="423"/>
      <c r="X373" s="423"/>
      <c r="Y373" s="423"/>
      <c r="Z373" s="423"/>
    </row>
    <row r="374">
      <c r="A374" s="564">
        <v>372.0</v>
      </c>
      <c r="B374" s="565" t="s">
        <v>1300</v>
      </c>
      <c r="C374" s="565" t="s">
        <v>5245</v>
      </c>
      <c r="D374" s="564">
        <v>2.0</v>
      </c>
      <c r="E374" s="564">
        <v>0.0</v>
      </c>
      <c r="F374" s="564">
        <v>0.0</v>
      </c>
      <c r="G374" s="564">
        <v>6.0</v>
      </c>
      <c r="H374" s="564">
        <v>0.0</v>
      </c>
      <c r="I374" s="423"/>
      <c r="J374" s="423"/>
      <c r="K374" s="423"/>
      <c r="L374" s="423"/>
      <c r="M374" s="423"/>
      <c r="N374" s="423"/>
      <c r="O374" s="423"/>
      <c r="P374" s="423"/>
      <c r="Q374" s="423"/>
      <c r="R374" s="423"/>
      <c r="S374" s="423"/>
      <c r="T374" s="423"/>
      <c r="U374" s="423"/>
      <c r="V374" s="423"/>
      <c r="W374" s="423"/>
      <c r="X374" s="423"/>
      <c r="Y374" s="423"/>
      <c r="Z374" s="423"/>
    </row>
    <row r="375">
      <c r="A375" s="562">
        <v>373.0</v>
      </c>
      <c r="B375" s="563" t="s">
        <v>1301</v>
      </c>
      <c r="C375" s="563" t="s">
        <v>5245</v>
      </c>
      <c r="D375" s="562">
        <v>2.0</v>
      </c>
      <c r="E375" s="562">
        <v>0.0</v>
      </c>
      <c r="F375" s="562">
        <v>0.0</v>
      </c>
      <c r="G375" s="562">
        <v>6.0</v>
      </c>
      <c r="H375" s="562">
        <v>0.0</v>
      </c>
      <c r="I375" s="423"/>
      <c r="J375" s="423"/>
      <c r="K375" s="423"/>
      <c r="L375" s="423"/>
      <c r="M375" s="423"/>
      <c r="N375" s="423"/>
      <c r="O375" s="423"/>
      <c r="P375" s="423"/>
      <c r="Q375" s="423"/>
      <c r="R375" s="423"/>
      <c r="S375" s="423"/>
      <c r="T375" s="423"/>
      <c r="U375" s="423"/>
      <c r="V375" s="423"/>
      <c r="W375" s="423"/>
      <c r="X375" s="423"/>
      <c r="Y375" s="423"/>
      <c r="Z375" s="423"/>
    </row>
    <row r="376">
      <c r="A376" s="564">
        <v>374.0</v>
      </c>
      <c r="B376" s="565" t="s">
        <v>1302</v>
      </c>
      <c r="C376" s="565" t="s">
        <v>5245</v>
      </c>
      <c r="D376" s="564">
        <v>2.0</v>
      </c>
      <c r="E376" s="564">
        <v>0.0</v>
      </c>
      <c r="F376" s="564">
        <v>0.0</v>
      </c>
      <c r="G376" s="564">
        <v>6.0</v>
      </c>
      <c r="H376" s="564">
        <v>0.0</v>
      </c>
      <c r="I376" s="423"/>
      <c r="J376" s="423"/>
      <c r="K376" s="423"/>
      <c r="L376" s="423"/>
      <c r="M376" s="423"/>
      <c r="N376" s="423"/>
      <c r="O376" s="423"/>
      <c r="P376" s="423"/>
      <c r="Q376" s="423"/>
      <c r="R376" s="423"/>
      <c r="S376" s="423"/>
      <c r="T376" s="423"/>
      <c r="U376" s="423"/>
      <c r="V376" s="423"/>
      <c r="W376" s="423"/>
      <c r="X376" s="423"/>
      <c r="Y376" s="423"/>
      <c r="Z376" s="423"/>
    </row>
    <row r="377">
      <c r="A377" s="562">
        <v>375.0</v>
      </c>
      <c r="B377" s="563" t="s">
        <v>1303</v>
      </c>
      <c r="C377" s="563" t="s">
        <v>5245</v>
      </c>
      <c r="D377" s="562">
        <v>3.0</v>
      </c>
      <c r="E377" s="562">
        <v>0.0</v>
      </c>
      <c r="F377" s="562">
        <v>0.0</v>
      </c>
      <c r="G377" s="562">
        <v>5.0</v>
      </c>
      <c r="H377" s="562">
        <v>0.0</v>
      </c>
      <c r="I377" s="423"/>
      <c r="J377" s="423"/>
      <c r="K377" s="423"/>
      <c r="L377" s="423"/>
      <c r="M377" s="423"/>
      <c r="N377" s="423"/>
      <c r="O377" s="423"/>
      <c r="P377" s="423"/>
      <c r="Q377" s="423"/>
      <c r="R377" s="423"/>
      <c r="S377" s="423"/>
      <c r="T377" s="423"/>
      <c r="U377" s="423"/>
      <c r="V377" s="423"/>
      <c r="W377" s="423"/>
      <c r="X377" s="423"/>
      <c r="Y377" s="423"/>
      <c r="Z377" s="423"/>
    </row>
    <row r="378">
      <c r="A378" s="564">
        <v>376.0</v>
      </c>
      <c r="B378" s="565" t="s">
        <v>1304</v>
      </c>
      <c r="C378" s="565" t="s">
        <v>5245</v>
      </c>
      <c r="D378" s="564">
        <v>3.0</v>
      </c>
      <c r="E378" s="564">
        <v>0.0</v>
      </c>
      <c r="F378" s="564">
        <v>0.0</v>
      </c>
      <c r="G378" s="564">
        <v>5.0</v>
      </c>
      <c r="H378" s="564">
        <v>0.0</v>
      </c>
      <c r="I378" s="423"/>
      <c r="J378" s="423"/>
      <c r="K378" s="423"/>
      <c r="L378" s="423"/>
      <c r="M378" s="423"/>
      <c r="N378" s="423"/>
      <c r="O378" s="423"/>
      <c r="P378" s="423"/>
      <c r="Q378" s="423"/>
      <c r="R378" s="423"/>
      <c r="S378" s="423"/>
      <c r="T378" s="423"/>
      <c r="U378" s="423"/>
      <c r="V378" s="423"/>
      <c r="W378" s="423"/>
      <c r="X378" s="423"/>
      <c r="Y378" s="423"/>
      <c r="Z378" s="423"/>
    </row>
    <row r="379">
      <c r="A379" s="562">
        <v>377.0</v>
      </c>
      <c r="B379" s="563" t="s">
        <v>1305</v>
      </c>
      <c r="C379" s="563" t="s">
        <v>5245</v>
      </c>
      <c r="D379" s="562">
        <v>2.0</v>
      </c>
      <c r="E379" s="562">
        <v>0.0</v>
      </c>
      <c r="F379" s="562">
        <v>0.0</v>
      </c>
      <c r="G379" s="562">
        <v>6.0</v>
      </c>
      <c r="H379" s="562">
        <v>0.0</v>
      </c>
      <c r="I379" s="423"/>
      <c r="J379" s="423"/>
      <c r="K379" s="423"/>
      <c r="L379" s="423"/>
      <c r="M379" s="423"/>
      <c r="N379" s="423"/>
      <c r="O379" s="423"/>
      <c r="P379" s="423"/>
      <c r="Q379" s="423"/>
      <c r="R379" s="423"/>
      <c r="S379" s="423"/>
      <c r="T379" s="423"/>
      <c r="U379" s="423"/>
      <c r="V379" s="423"/>
      <c r="W379" s="423"/>
      <c r="X379" s="423"/>
      <c r="Y379" s="423"/>
      <c r="Z379" s="423"/>
    </row>
    <row r="380">
      <c r="A380" s="564">
        <v>378.0</v>
      </c>
      <c r="B380" s="565" t="s">
        <v>1306</v>
      </c>
      <c r="C380" s="565" t="s">
        <v>5245</v>
      </c>
      <c r="D380" s="564">
        <v>3.0</v>
      </c>
      <c r="E380" s="564">
        <v>0.0</v>
      </c>
      <c r="F380" s="564">
        <v>0.0</v>
      </c>
      <c r="G380" s="564">
        <v>5.0</v>
      </c>
      <c r="H380" s="564">
        <v>0.0</v>
      </c>
      <c r="I380" s="423"/>
      <c r="J380" s="423"/>
      <c r="K380" s="423"/>
      <c r="L380" s="423"/>
      <c r="M380" s="423"/>
      <c r="N380" s="423"/>
      <c r="O380" s="423"/>
      <c r="P380" s="423"/>
      <c r="Q380" s="423"/>
      <c r="R380" s="423"/>
      <c r="S380" s="423"/>
      <c r="T380" s="423"/>
      <c r="U380" s="423"/>
      <c r="V380" s="423"/>
      <c r="W380" s="423"/>
      <c r="X380" s="423"/>
      <c r="Y380" s="423"/>
      <c r="Z380" s="423"/>
    </row>
    <row r="381">
      <c r="A381" s="562">
        <v>379.0</v>
      </c>
      <c r="B381" s="563" t="s">
        <v>1284</v>
      </c>
      <c r="C381" s="563" t="s">
        <v>5245</v>
      </c>
      <c r="D381" s="562">
        <v>1.0</v>
      </c>
      <c r="E381" s="562">
        <v>0.0</v>
      </c>
      <c r="F381" s="562">
        <v>0.0</v>
      </c>
      <c r="G381" s="562">
        <v>7.0</v>
      </c>
      <c r="H381" s="562">
        <v>0.0</v>
      </c>
      <c r="I381" s="423"/>
      <c r="J381" s="423"/>
      <c r="K381" s="423"/>
      <c r="L381" s="423"/>
      <c r="M381" s="423"/>
      <c r="N381" s="423"/>
      <c r="O381" s="423"/>
      <c r="P381" s="423"/>
      <c r="Q381" s="423"/>
      <c r="R381" s="423"/>
      <c r="S381" s="423"/>
      <c r="T381" s="423"/>
      <c r="U381" s="423"/>
      <c r="V381" s="423"/>
      <c r="W381" s="423"/>
      <c r="X381" s="423"/>
      <c r="Y381" s="423"/>
      <c r="Z381" s="423"/>
    </row>
    <row r="382">
      <c r="A382" s="564">
        <v>380.0</v>
      </c>
      <c r="B382" s="565" t="s">
        <v>1307</v>
      </c>
      <c r="C382" s="565" t="s">
        <v>5247</v>
      </c>
      <c r="D382" s="564">
        <v>1.0</v>
      </c>
      <c r="E382" s="564">
        <v>0.0</v>
      </c>
      <c r="F382" s="564">
        <v>0.0</v>
      </c>
      <c r="G382" s="564">
        <v>7.0</v>
      </c>
      <c r="H382" s="564">
        <v>0.0</v>
      </c>
      <c r="I382" s="423"/>
      <c r="J382" s="423"/>
      <c r="K382" s="423"/>
      <c r="L382" s="423"/>
      <c r="M382" s="423"/>
      <c r="N382" s="423"/>
      <c r="O382" s="423"/>
      <c r="P382" s="423"/>
      <c r="Q382" s="423"/>
      <c r="R382" s="423"/>
      <c r="S382" s="423"/>
      <c r="T382" s="423"/>
      <c r="U382" s="423"/>
      <c r="V382" s="423"/>
      <c r="W382" s="423"/>
      <c r="X382" s="423"/>
      <c r="Y382" s="423"/>
      <c r="Z382" s="423"/>
    </row>
    <row r="383">
      <c r="A383" s="562">
        <v>381.0</v>
      </c>
      <c r="B383" s="563" t="s">
        <v>1309</v>
      </c>
      <c r="C383" s="563" t="s">
        <v>5247</v>
      </c>
      <c r="D383" s="562">
        <v>2.0</v>
      </c>
      <c r="E383" s="562">
        <v>0.0</v>
      </c>
      <c r="F383" s="562">
        <v>0.0</v>
      </c>
      <c r="G383" s="562">
        <v>6.0</v>
      </c>
      <c r="H383" s="562">
        <v>0.0</v>
      </c>
      <c r="I383" s="423"/>
      <c r="J383" s="423"/>
      <c r="K383" s="423"/>
      <c r="L383" s="423"/>
      <c r="M383" s="423"/>
      <c r="N383" s="423"/>
      <c r="O383" s="423"/>
      <c r="P383" s="423"/>
      <c r="Q383" s="423"/>
      <c r="R383" s="423"/>
      <c r="S383" s="423"/>
      <c r="T383" s="423"/>
      <c r="U383" s="423"/>
      <c r="V383" s="423"/>
      <c r="W383" s="423"/>
      <c r="X383" s="423"/>
      <c r="Y383" s="423"/>
      <c r="Z383" s="423"/>
    </row>
    <row r="384">
      <c r="A384" s="564">
        <v>382.0</v>
      </c>
      <c r="B384" s="565" t="s">
        <v>1310</v>
      </c>
      <c r="C384" s="565" t="s">
        <v>5247</v>
      </c>
      <c r="D384" s="564">
        <v>1.0</v>
      </c>
      <c r="E384" s="564">
        <v>0.0</v>
      </c>
      <c r="F384" s="564">
        <v>0.0</v>
      </c>
      <c r="G384" s="564">
        <v>7.0</v>
      </c>
      <c r="H384" s="564">
        <v>0.0</v>
      </c>
      <c r="I384" s="423"/>
      <c r="J384" s="423"/>
      <c r="K384" s="423"/>
      <c r="L384" s="423"/>
      <c r="M384" s="423"/>
      <c r="N384" s="423"/>
      <c r="O384" s="423"/>
      <c r="P384" s="423"/>
      <c r="Q384" s="423"/>
      <c r="R384" s="423"/>
      <c r="S384" s="423"/>
      <c r="T384" s="423"/>
      <c r="U384" s="423"/>
      <c r="V384" s="423"/>
      <c r="W384" s="423"/>
      <c r="X384" s="423"/>
      <c r="Y384" s="423"/>
      <c r="Z384" s="423"/>
    </row>
    <row r="385">
      <c r="A385" s="562">
        <v>383.0</v>
      </c>
      <c r="B385" s="563" t="s">
        <v>1311</v>
      </c>
      <c r="C385" s="563" t="s">
        <v>5247</v>
      </c>
      <c r="D385" s="562">
        <v>1.0</v>
      </c>
      <c r="E385" s="562">
        <v>0.0</v>
      </c>
      <c r="F385" s="562">
        <v>0.0</v>
      </c>
      <c r="G385" s="562">
        <v>7.0</v>
      </c>
      <c r="H385" s="562">
        <v>0.0</v>
      </c>
      <c r="I385" s="423"/>
      <c r="J385" s="423"/>
      <c r="K385" s="423"/>
      <c r="L385" s="423"/>
      <c r="M385" s="423"/>
      <c r="N385" s="423"/>
      <c r="O385" s="423"/>
      <c r="P385" s="423"/>
      <c r="Q385" s="423"/>
      <c r="R385" s="423"/>
      <c r="S385" s="423"/>
      <c r="T385" s="423"/>
      <c r="U385" s="423"/>
      <c r="V385" s="423"/>
      <c r="W385" s="423"/>
      <c r="X385" s="423"/>
      <c r="Y385" s="423"/>
      <c r="Z385" s="423"/>
    </row>
    <row r="386">
      <c r="A386" s="564">
        <v>384.0</v>
      </c>
      <c r="B386" s="565" t="s">
        <v>1312</v>
      </c>
      <c r="C386" s="565" t="s">
        <v>5247</v>
      </c>
      <c r="D386" s="564">
        <v>1.0</v>
      </c>
      <c r="E386" s="564">
        <v>0.0</v>
      </c>
      <c r="F386" s="564">
        <v>0.0</v>
      </c>
      <c r="G386" s="564">
        <v>7.0</v>
      </c>
      <c r="H386" s="564">
        <v>0.0</v>
      </c>
      <c r="I386" s="423"/>
      <c r="J386" s="423"/>
      <c r="K386" s="423"/>
      <c r="L386" s="423"/>
      <c r="M386" s="423"/>
      <c r="N386" s="423"/>
      <c r="O386" s="423"/>
      <c r="P386" s="423"/>
      <c r="Q386" s="423"/>
      <c r="R386" s="423"/>
      <c r="S386" s="423"/>
      <c r="T386" s="423"/>
      <c r="U386" s="423"/>
      <c r="V386" s="423"/>
      <c r="W386" s="423"/>
      <c r="X386" s="423"/>
      <c r="Y386" s="423"/>
      <c r="Z386" s="423"/>
    </row>
    <row r="387">
      <c r="A387" s="562">
        <v>385.0</v>
      </c>
      <c r="B387" s="563" t="s">
        <v>1313</v>
      </c>
      <c r="C387" s="563" t="s">
        <v>5247</v>
      </c>
      <c r="D387" s="562">
        <v>4.0</v>
      </c>
      <c r="E387" s="562">
        <v>0.0</v>
      </c>
      <c r="F387" s="562">
        <v>0.0</v>
      </c>
      <c r="G387" s="562">
        <v>4.0</v>
      </c>
      <c r="H387" s="562">
        <v>0.0</v>
      </c>
      <c r="I387" s="423"/>
      <c r="J387" s="423"/>
      <c r="K387" s="423"/>
      <c r="L387" s="423"/>
      <c r="M387" s="423"/>
      <c r="N387" s="423"/>
      <c r="O387" s="423"/>
      <c r="P387" s="423"/>
      <c r="Q387" s="423"/>
      <c r="R387" s="423"/>
      <c r="S387" s="423"/>
      <c r="T387" s="423"/>
      <c r="U387" s="423"/>
      <c r="V387" s="423"/>
      <c r="W387" s="423"/>
      <c r="X387" s="423"/>
      <c r="Y387" s="423"/>
      <c r="Z387" s="423"/>
    </row>
    <row r="388">
      <c r="A388" s="564">
        <v>386.0</v>
      </c>
      <c r="B388" s="565" t="s">
        <v>1314</v>
      </c>
      <c r="C388" s="565" t="s">
        <v>5247</v>
      </c>
      <c r="D388" s="564">
        <v>2.0</v>
      </c>
      <c r="E388" s="564">
        <v>0.0</v>
      </c>
      <c r="F388" s="564">
        <v>0.0</v>
      </c>
      <c r="G388" s="564">
        <v>6.0</v>
      </c>
      <c r="H388" s="564">
        <v>0.0</v>
      </c>
      <c r="I388" s="423"/>
      <c r="J388" s="423"/>
      <c r="K388" s="423"/>
      <c r="L388" s="423"/>
      <c r="M388" s="423"/>
      <c r="N388" s="423"/>
      <c r="O388" s="423"/>
      <c r="P388" s="423"/>
      <c r="Q388" s="423"/>
      <c r="R388" s="423"/>
      <c r="S388" s="423"/>
      <c r="T388" s="423"/>
      <c r="U388" s="423"/>
      <c r="V388" s="423"/>
      <c r="W388" s="423"/>
      <c r="X388" s="423"/>
      <c r="Y388" s="423"/>
      <c r="Z388" s="423"/>
    </row>
    <row r="389">
      <c r="A389" s="562">
        <v>387.0</v>
      </c>
      <c r="B389" s="563" t="s">
        <v>1315</v>
      </c>
      <c r="C389" s="563" t="s">
        <v>5247</v>
      </c>
      <c r="D389" s="562">
        <v>1.0</v>
      </c>
      <c r="E389" s="562">
        <v>0.0</v>
      </c>
      <c r="F389" s="562">
        <v>0.0</v>
      </c>
      <c r="G389" s="562">
        <v>7.0</v>
      </c>
      <c r="H389" s="562">
        <v>0.0</v>
      </c>
      <c r="I389" s="423"/>
      <c r="J389" s="423"/>
      <c r="K389" s="423"/>
      <c r="L389" s="423"/>
      <c r="M389" s="423"/>
      <c r="N389" s="423"/>
      <c r="O389" s="423"/>
      <c r="P389" s="423"/>
      <c r="Q389" s="423"/>
      <c r="R389" s="423"/>
      <c r="S389" s="423"/>
      <c r="T389" s="423"/>
      <c r="U389" s="423"/>
      <c r="V389" s="423"/>
      <c r="W389" s="423"/>
      <c r="X389" s="423"/>
      <c r="Y389" s="423"/>
      <c r="Z389" s="423"/>
    </row>
    <row r="390">
      <c r="A390" s="564">
        <v>388.0</v>
      </c>
      <c r="B390" s="565" t="s">
        <v>1316</v>
      </c>
      <c r="C390" s="565" t="s">
        <v>5247</v>
      </c>
      <c r="D390" s="564">
        <v>1.0</v>
      </c>
      <c r="E390" s="564">
        <v>0.0</v>
      </c>
      <c r="F390" s="564">
        <v>0.0</v>
      </c>
      <c r="G390" s="564">
        <v>7.0</v>
      </c>
      <c r="H390" s="564">
        <v>0.0</v>
      </c>
      <c r="I390" s="423"/>
      <c r="J390" s="423"/>
      <c r="K390" s="423"/>
      <c r="L390" s="423"/>
      <c r="M390" s="423"/>
      <c r="N390" s="423"/>
      <c r="O390" s="423"/>
      <c r="P390" s="423"/>
      <c r="Q390" s="423"/>
      <c r="R390" s="423"/>
      <c r="S390" s="423"/>
      <c r="T390" s="423"/>
      <c r="U390" s="423"/>
      <c r="V390" s="423"/>
      <c r="W390" s="423"/>
      <c r="X390" s="423"/>
      <c r="Y390" s="423"/>
      <c r="Z390" s="423"/>
    </row>
    <row r="391">
      <c r="A391" s="562">
        <v>389.0</v>
      </c>
      <c r="B391" s="563" t="s">
        <v>5631</v>
      </c>
      <c r="C391" s="563" t="s">
        <v>5247</v>
      </c>
      <c r="D391" s="562">
        <v>1.0</v>
      </c>
      <c r="E391" s="562">
        <v>0.0</v>
      </c>
      <c r="F391" s="562">
        <v>0.0</v>
      </c>
      <c r="G391" s="562">
        <v>7.0</v>
      </c>
      <c r="H391" s="562">
        <v>0.0</v>
      </c>
      <c r="I391" s="423"/>
      <c r="J391" s="423"/>
      <c r="K391" s="423"/>
      <c r="L391" s="423"/>
      <c r="M391" s="423"/>
      <c r="N391" s="423"/>
      <c r="O391" s="423"/>
      <c r="P391" s="423"/>
      <c r="Q391" s="423"/>
      <c r="R391" s="423"/>
      <c r="S391" s="423"/>
      <c r="T391" s="423"/>
      <c r="U391" s="423"/>
      <c r="V391" s="423"/>
      <c r="W391" s="423"/>
      <c r="X391" s="423"/>
      <c r="Y391" s="423"/>
      <c r="Z391" s="423"/>
    </row>
    <row r="392">
      <c r="A392" s="564">
        <v>390.0</v>
      </c>
      <c r="B392" s="565" t="s">
        <v>5632</v>
      </c>
      <c r="C392" s="565" t="s">
        <v>5247</v>
      </c>
      <c r="D392" s="564">
        <v>2.0</v>
      </c>
      <c r="E392" s="564">
        <v>0.0</v>
      </c>
      <c r="F392" s="564">
        <v>0.0</v>
      </c>
      <c r="G392" s="564">
        <v>6.0</v>
      </c>
      <c r="H392" s="564">
        <v>0.0</v>
      </c>
      <c r="I392" s="423"/>
      <c r="J392" s="423"/>
      <c r="K392" s="423"/>
      <c r="L392" s="423"/>
      <c r="M392" s="423"/>
      <c r="N392" s="423"/>
      <c r="O392" s="423"/>
      <c r="P392" s="423"/>
      <c r="Q392" s="423"/>
      <c r="R392" s="423"/>
      <c r="S392" s="423"/>
      <c r="T392" s="423"/>
      <c r="U392" s="423"/>
      <c r="V392" s="423"/>
      <c r="W392" s="423"/>
      <c r="X392" s="423"/>
      <c r="Y392" s="423"/>
      <c r="Z392" s="423"/>
    </row>
    <row r="393">
      <c r="A393" s="562">
        <v>391.0</v>
      </c>
      <c r="B393" s="563" t="s">
        <v>1319</v>
      </c>
      <c r="C393" s="563" t="s">
        <v>5247</v>
      </c>
      <c r="D393" s="562">
        <v>2.0</v>
      </c>
      <c r="E393" s="562">
        <v>0.0</v>
      </c>
      <c r="F393" s="562">
        <v>0.0</v>
      </c>
      <c r="G393" s="562">
        <v>6.0</v>
      </c>
      <c r="H393" s="562">
        <v>0.0</v>
      </c>
      <c r="I393" s="423"/>
      <c r="J393" s="423"/>
      <c r="K393" s="423"/>
      <c r="L393" s="423"/>
      <c r="M393" s="423"/>
      <c r="N393" s="423"/>
      <c r="O393" s="423"/>
      <c r="P393" s="423"/>
      <c r="Q393" s="423"/>
      <c r="R393" s="423"/>
      <c r="S393" s="423"/>
      <c r="T393" s="423"/>
      <c r="U393" s="423"/>
      <c r="V393" s="423"/>
      <c r="W393" s="423"/>
      <c r="X393" s="423"/>
      <c r="Y393" s="423"/>
      <c r="Z393" s="423"/>
    </row>
    <row r="394">
      <c r="A394" s="564">
        <v>392.0</v>
      </c>
      <c r="B394" s="565" t="s">
        <v>1320</v>
      </c>
      <c r="C394" s="565" t="s">
        <v>5247</v>
      </c>
      <c r="D394" s="564">
        <v>0.0</v>
      </c>
      <c r="E394" s="564">
        <v>0.0</v>
      </c>
      <c r="F394" s="564">
        <v>0.0</v>
      </c>
      <c r="G394" s="564">
        <v>8.0</v>
      </c>
      <c r="H394" s="564">
        <v>0.0</v>
      </c>
      <c r="I394" s="423"/>
      <c r="J394" s="423"/>
      <c r="K394" s="423"/>
      <c r="L394" s="423"/>
      <c r="M394" s="423"/>
      <c r="N394" s="423"/>
      <c r="O394" s="423"/>
      <c r="P394" s="423"/>
      <c r="Q394" s="423"/>
      <c r="R394" s="423"/>
      <c r="S394" s="423"/>
      <c r="T394" s="423"/>
      <c r="U394" s="423"/>
      <c r="V394" s="423"/>
      <c r="W394" s="423"/>
      <c r="X394" s="423"/>
      <c r="Y394" s="423"/>
      <c r="Z394" s="423"/>
    </row>
    <row r="395">
      <c r="A395" s="562">
        <v>393.0</v>
      </c>
      <c r="B395" s="563" t="s">
        <v>1321</v>
      </c>
      <c r="C395" s="563" t="s">
        <v>5247</v>
      </c>
      <c r="D395" s="562">
        <v>2.0</v>
      </c>
      <c r="E395" s="562">
        <v>0.0</v>
      </c>
      <c r="F395" s="562">
        <v>0.0</v>
      </c>
      <c r="G395" s="562">
        <v>6.0</v>
      </c>
      <c r="H395" s="562">
        <v>0.0</v>
      </c>
      <c r="I395" s="423"/>
      <c r="J395" s="423"/>
      <c r="K395" s="423"/>
      <c r="L395" s="423"/>
      <c r="M395" s="423"/>
      <c r="N395" s="423"/>
      <c r="O395" s="423"/>
      <c r="P395" s="423"/>
      <c r="Q395" s="423"/>
      <c r="R395" s="423"/>
      <c r="S395" s="423"/>
      <c r="T395" s="423"/>
      <c r="U395" s="423"/>
      <c r="V395" s="423"/>
      <c r="W395" s="423"/>
      <c r="X395" s="423"/>
      <c r="Y395" s="423"/>
      <c r="Z395" s="423"/>
    </row>
    <row r="396">
      <c r="A396" s="564">
        <v>394.0</v>
      </c>
      <c r="B396" s="565" t="s">
        <v>5633</v>
      </c>
      <c r="C396" s="565" t="s">
        <v>5247</v>
      </c>
      <c r="D396" s="564">
        <v>2.0</v>
      </c>
      <c r="E396" s="564">
        <v>0.0</v>
      </c>
      <c r="F396" s="564">
        <v>0.0</v>
      </c>
      <c r="G396" s="564">
        <v>6.0</v>
      </c>
      <c r="H396" s="564">
        <v>0.0</v>
      </c>
      <c r="I396" s="423"/>
      <c r="J396" s="423"/>
      <c r="K396" s="423"/>
      <c r="L396" s="423"/>
      <c r="M396" s="423"/>
      <c r="N396" s="423"/>
      <c r="O396" s="423"/>
      <c r="P396" s="423"/>
      <c r="Q396" s="423"/>
      <c r="R396" s="423"/>
      <c r="S396" s="423"/>
      <c r="T396" s="423"/>
      <c r="U396" s="423"/>
      <c r="V396" s="423"/>
      <c r="W396" s="423"/>
      <c r="X396" s="423"/>
      <c r="Y396" s="423"/>
      <c r="Z396" s="423"/>
    </row>
    <row r="397">
      <c r="A397" s="562">
        <v>395.0</v>
      </c>
      <c r="B397" s="563" t="s">
        <v>1323</v>
      </c>
      <c r="C397" s="563" t="s">
        <v>5247</v>
      </c>
      <c r="D397" s="562">
        <v>2.0</v>
      </c>
      <c r="E397" s="562">
        <v>0.0</v>
      </c>
      <c r="F397" s="562">
        <v>0.0</v>
      </c>
      <c r="G397" s="562">
        <v>6.0</v>
      </c>
      <c r="H397" s="562">
        <v>0.0</v>
      </c>
      <c r="I397" s="423"/>
      <c r="J397" s="423"/>
      <c r="K397" s="423"/>
      <c r="L397" s="423"/>
      <c r="M397" s="423"/>
      <c r="N397" s="423"/>
      <c r="O397" s="423"/>
      <c r="P397" s="423"/>
      <c r="Q397" s="423"/>
      <c r="R397" s="423"/>
      <c r="S397" s="423"/>
      <c r="T397" s="423"/>
      <c r="U397" s="423"/>
      <c r="V397" s="423"/>
      <c r="W397" s="423"/>
      <c r="X397" s="423"/>
      <c r="Y397" s="423"/>
      <c r="Z397" s="423"/>
    </row>
    <row r="398">
      <c r="A398" s="564">
        <v>396.0</v>
      </c>
      <c r="B398" s="565" t="s">
        <v>1324</v>
      </c>
      <c r="C398" s="565" t="s">
        <v>5247</v>
      </c>
      <c r="D398" s="564">
        <v>1.0</v>
      </c>
      <c r="E398" s="564">
        <v>0.0</v>
      </c>
      <c r="F398" s="564">
        <v>0.0</v>
      </c>
      <c r="G398" s="564">
        <v>7.0</v>
      </c>
      <c r="H398" s="564">
        <v>0.0</v>
      </c>
      <c r="I398" s="423"/>
      <c r="J398" s="423"/>
      <c r="K398" s="423"/>
      <c r="L398" s="423"/>
      <c r="M398" s="423"/>
      <c r="N398" s="423"/>
      <c r="O398" s="423"/>
      <c r="P398" s="423"/>
      <c r="Q398" s="423"/>
      <c r="R398" s="423"/>
      <c r="S398" s="423"/>
      <c r="T398" s="423"/>
      <c r="U398" s="423"/>
      <c r="V398" s="423"/>
      <c r="W398" s="423"/>
      <c r="X398" s="423"/>
      <c r="Y398" s="423"/>
      <c r="Z398" s="423"/>
    </row>
    <row r="399">
      <c r="A399" s="562">
        <v>397.0</v>
      </c>
      <c r="B399" s="563" t="s">
        <v>1325</v>
      </c>
      <c r="C399" s="563" t="s">
        <v>5247</v>
      </c>
      <c r="D399" s="562">
        <v>3.0</v>
      </c>
      <c r="E399" s="562">
        <v>0.0</v>
      </c>
      <c r="F399" s="562">
        <v>0.0</v>
      </c>
      <c r="G399" s="562">
        <v>5.0</v>
      </c>
      <c r="H399" s="562">
        <v>0.0</v>
      </c>
      <c r="I399" s="423"/>
      <c r="J399" s="423"/>
      <c r="K399" s="423"/>
      <c r="L399" s="423"/>
      <c r="M399" s="423"/>
      <c r="N399" s="423"/>
      <c r="O399" s="423"/>
      <c r="P399" s="423"/>
      <c r="Q399" s="423"/>
      <c r="R399" s="423"/>
      <c r="S399" s="423"/>
      <c r="T399" s="423"/>
      <c r="U399" s="423"/>
      <c r="V399" s="423"/>
      <c r="W399" s="423"/>
      <c r="X399" s="423"/>
      <c r="Y399" s="423"/>
      <c r="Z399" s="423"/>
    </row>
    <row r="400">
      <c r="A400" s="564">
        <v>398.0</v>
      </c>
      <c r="B400" s="565" t="s">
        <v>1326</v>
      </c>
      <c r="C400" s="565" t="s">
        <v>5247</v>
      </c>
      <c r="D400" s="564">
        <v>1.0</v>
      </c>
      <c r="E400" s="564">
        <v>0.0</v>
      </c>
      <c r="F400" s="564">
        <v>0.0</v>
      </c>
      <c r="G400" s="564">
        <v>7.0</v>
      </c>
      <c r="H400" s="564">
        <v>0.0</v>
      </c>
      <c r="I400" s="423"/>
      <c r="J400" s="423"/>
      <c r="K400" s="423"/>
      <c r="L400" s="423"/>
      <c r="M400" s="423"/>
      <c r="N400" s="423"/>
      <c r="O400" s="423"/>
      <c r="P400" s="423"/>
      <c r="Q400" s="423"/>
      <c r="R400" s="423"/>
      <c r="S400" s="423"/>
      <c r="T400" s="423"/>
      <c r="U400" s="423"/>
      <c r="V400" s="423"/>
      <c r="W400" s="423"/>
      <c r="X400" s="423"/>
      <c r="Y400" s="423"/>
      <c r="Z400" s="423"/>
    </row>
    <row r="401">
      <c r="A401" s="562">
        <v>399.0</v>
      </c>
      <c r="B401" s="563" t="s">
        <v>1327</v>
      </c>
      <c r="C401" s="563" t="s">
        <v>5247</v>
      </c>
      <c r="D401" s="562">
        <v>3.0</v>
      </c>
      <c r="E401" s="562">
        <v>0.0</v>
      </c>
      <c r="F401" s="562">
        <v>0.0</v>
      </c>
      <c r="G401" s="562">
        <v>5.0</v>
      </c>
      <c r="H401" s="562">
        <v>0.0</v>
      </c>
      <c r="I401" s="423"/>
      <c r="J401" s="423"/>
      <c r="K401" s="423"/>
      <c r="L401" s="423"/>
      <c r="M401" s="423"/>
      <c r="N401" s="423"/>
      <c r="O401" s="423"/>
      <c r="P401" s="423"/>
      <c r="Q401" s="423"/>
      <c r="R401" s="423"/>
      <c r="S401" s="423"/>
      <c r="T401" s="423"/>
      <c r="U401" s="423"/>
      <c r="V401" s="423"/>
      <c r="W401" s="423"/>
      <c r="X401" s="423"/>
      <c r="Y401" s="423"/>
      <c r="Z401" s="423"/>
    </row>
    <row r="402">
      <c r="A402" s="564">
        <v>400.0</v>
      </c>
      <c r="B402" s="565" t="s">
        <v>1328</v>
      </c>
      <c r="C402" s="565" t="s">
        <v>5247</v>
      </c>
      <c r="D402" s="564">
        <v>0.0</v>
      </c>
      <c r="E402" s="564">
        <v>0.0</v>
      </c>
      <c r="F402" s="564">
        <v>0.0</v>
      </c>
      <c r="G402" s="564">
        <v>8.0</v>
      </c>
      <c r="H402" s="564">
        <v>0.0</v>
      </c>
      <c r="I402" s="423"/>
      <c r="J402" s="423"/>
      <c r="K402" s="423"/>
      <c r="L402" s="423"/>
      <c r="M402" s="423"/>
      <c r="N402" s="423"/>
      <c r="O402" s="423"/>
      <c r="P402" s="423"/>
      <c r="Q402" s="423"/>
      <c r="R402" s="423"/>
      <c r="S402" s="423"/>
      <c r="T402" s="423"/>
      <c r="U402" s="423"/>
      <c r="V402" s="423"/>
      <c r="W402" s="423"/>
      <c r="X402" s="423"/>
      <c r="Y402" s="423"/>
      <c r="Z402" s="423"/>
    </row>
    <row r="403">
      <c r="A403" s="562">
        <v>401.0</v>
      </c>
      <c r="B403" s="563" t="s">
        <v>1329</v>
      </c>
      <c r="C403" s="563" t="s">
        <v>5247</v>
      </c>
      <c r="D403" s="562">
        <v>3.0</v>
      </c>
      <c r="E403" s="562">
        <v>0.0</v>
      </c>
      <c r="F403" s="562">
        <v>0.0</v>
      </c>
      <c r="G403" s="562">
        <v>5.0</v>
      </c>
      <c r="H403" s="562">
        <v>0.0</v>
      </c>
      <c r="I403" s="423"/>
      <c r="J403" s="423"/>
      <c r="K403" s="423"/>
      <c r="L403" s="423"/>
      <c r="M403" s="423"/>
      <c r="N403" s="423"/>
      <c r="O403" s="423"/>
      <c r="P403" s="423"/>
      <c r="Q403" s="423"/>
      <c r="R403" s="423"/>
      <c r="S403" s="423"/>
      <c r="T403" s="423"/>
      <c r="U403" s="423"/>
      <c r="V403" s="423"/>
      <c r="W403" s="423"/>
      <c r="X403" s="423"/>
      <c r="Y403" s="423"/>
      <c r="Z403" s="423"/>
    </row>
    <row r="404">
      <c r="A404" s="564">
        <v>402.0</v>
      </c>
      <c r="B404" s="565" t="s">
        <v>1330</v>
      </c>
      <c r="C404" s="565" t="s">
        <v>5247</v>
      </c>
      <c r="D404" s="564">
        <v>1.0</v>
      </c>
      <c r="E404" s="564">
        <v>0.0</v>
      </c>
      <c r="F404" s="564">
        <v>0.0</v>
      </c>
      <c r="G404" s="564">
        <v>7.0</v>
      </c>
      <c r="H404" s="564">
        <v>0.0</v>
      </c>
      <c r="I404" s="423"/>
      <c r="J404" s="423"/>
      <c r="K404" s="423"/>
      <c r="L404" s="423"/>
      <c r="M404" s="423"/>
      <c r="N404" s="423"/>
      <c r="O404" s="423"/>
      <c r="P404" s="423"/>
      <c r="Q404" s="423"/>
      <c r="R404" s="423"/>
      <c r="S404" s="423"/>
      <c r="T404" s="423"/>
      <c r="U404" s="423"/>
      <c r="V404" s="423"/>
      <c r="W404" s="423"/>
      <c r="X404" s="423"/>
      <c r="Y404" s="423"/>
      <c r="Z404" s="423"/>
    </row>
    <row r="405">
      <c r="A405" s="562">
        <v>403.0</v>
      </c>
      <c r="B405" s="563" t="s">
        <v>1331</v>
      </c>
      <c r="C405" s="563" t="s">
        <v>5247</v>
      </c>
      <c r="D405" s="562">
        <v>4.0</v>
      </c>
      <c r="E405" s="562">
        <v>0.0</v>
      </c>
      <c r="F405" s="562">
        <v>0.0</v>
      </c>
      <c r="G405" s="562">
        <v>4.0</v>
      </c>
      <c r="H405" s="562">
        <v>0.0</v>
      </c>
      <c r="I405" s="423"/>
      <c r="J405" s="423"/>
      <c r="K405" s="423"/>
      <c r="L405" s="423"/>
      <c r="M405" s="423"/>
      <c r="N405" s="423"/>
      <c r="O405" s="423"/>
      <c r="P405" s="423"/>
      <c r="Q405" s="423"/>
      <c r="R405" s="423"/>
      <c r="S405" s="423"/>
      <c r="T405" s="423"/>
      <c r="U405" s="423"/>
      <c r="V405" s="423"/>
      <c r="W405" s="423"/>
      <c r="X405" s="423"/>
      <c r="Y405" s="423"/>
      <c r="Z405" s="423"/>
    </row>
    <row r="406">
      <c r="A406" s="564">
        <v>404.0</v>
      </c>
      <c r="B406" s="565" t="s">
        <v>1332</v>
      </c>
      <c r="C406" s="565" t="s">
        <v>5247</v>
      </c>
      <c r="D406" s="564">
        <v>3.0</v>
      </c>
      <c r="E406" s="564">
        <v>0.0</v>
      </c>
      <c r="F406" s="564">
        <v>0.0</v>
      </c>
      <c r="G406" s="564">
        <v>5.0</v>
      </c>
      <c r="H406" s="564">
        <v>0.0</v>
      </c>
      <c r="I406" s="423"/>
      <c r="J406" s="423"/>
      <c r="K406" s="423"/>
      <c r="L406" s="423"/>
      <c r="M406" s="423"/>
      <c r="N406" s="423"/>
      <c r="O406" s="423"/>
      <c r="P406" s="423"/>
      <c r="Q406" s="423"/>
      <c r="R406" s="423"/>
      <c r="S406" s="423"/>
      <c r="T406" s="423"/>
      <c r="U406" s="423"/>
      <c r="V406" s="423"/>
      <c r="W406" s="423"/>
      <c r="X406" s="423"/>
      <c r="Y406" s="423"/>
      <c r="Z406" s="423"/>
    </row>
    <row r="407">
      <c r="A407" s="562">
        <v>405.0</v>
      </c>
      <c r="B407" s="563" t="s">
        <v>1333</v>
      </c>
      <c r="C407" s="563" t="s">
        <v>5247</v>
      </c>
      <c r="D407" s="562">
        <v>2.0</v>
      </c>
      <c r="E407" s="562">
        <v>0.0</v>
      </c>
      <c r="F407" s="562">
        <v>0.0</v>
      </c>
      <c r="G407" s="562">
        <v>6.0</v>
      </c>
      <c r="H407" s="562">
        <v>0.0</v>
      </c>
      <c r="I407" s="423"/>
      <c r="J407" s="423"/>
      <c r="K407" s="423"/>
      <c r="L407" s="423"/>
      <c r="M407" s="423"/>
      <c r="N407" s="423"/>
      <c r="O407" s="423"/>
      <c r="P407" s="423"/>
      <c r="Q407" s="423"/>
      <c r="R407" s="423"/>
      <c r="S407" s="423"/>
      <c r="T407" s="423"/>
      <c r="U407" s="423"/>
      <c r="V407" s="423"/>
      <c r="W407" s="423"/>
      <c r="X407" s="423"/>
      <c r="Y407" s="423"/>
      <c r="Z407" s="423"/>
    </row>
    <row r="408">
      <c r="A408" s="564">
        <v>406.0</v>
      </c>
      <c r="B408" s="565" t="s">
        <v>1334</v>
      </c>
      <c r="C408" s="565" t="s">
        <v>5247</v>
      </c>
      <c r="D408" s="564">
        <v>1.0</v>
      </c>
      <c r="E408" s="564">
        <v>0.0</v>
      </c>
      <c r="F408" s="564">
        <v>0.0</v>
      </c>
      <c r="G408" s="564">
        <v>7.0</v>
      </c>
      <c r="H408" s="564">
        <v>0.0</v>
      </c>
      <c r="I408" s="423"/>
      <c r="J408" s="423"/>
      <c r="K408" s="423"/>
      <c r="L408" s="423"/>
      <c r="M408" s="423"/>
      <c r="N408" s="423"/>
      <c r="O408" s="423"/>
      <c r="P408" s="423"/>
      <c r="Q408" s="423"/>
      <c r="R408" s="423"/>
      <c r="S408" s="423"/>
      <c r="T408" s="423"/>
      <c r="U408" s="423"/>
      <c r="V408" s="423"/>
      <c r="W408" s="423"/>
      <c r="X408" s="423"/>
      <c r="Y408" s="423"/>
      <c r="Z408" s="423"/>
    </row>
    <row r="409">
      <c r="A409" s="562">
        <v>407.0</v>
      </c>
      <c r="B409" s="563" t="s">
        <v>1335</v>
      </c>
      <c r="C409" s="563" t="s">
        <v>5247</v>
      </c>
      <c r="D409" s="562">
        <v>1.0</v>
      </c>
      <c r="E409" s="562">
        <v>0.0</v>
      </c>
      <c r="F409" s="562">
        <v>0.0</v>
      </c>
      <c r="G409" s="562">
        <v>7.0</v>
      </c>
      <c r="H409" s="562">
        <v>0.0</v>
      </c>
      <c r="I409" s="423"/>
      <c r="J409" s="423"/>
      <c r="K409" s="423"/>
      <c r="L409" s="423"/>
      <c r="M409" s="423"/>
      <c r="N409" s="423"/>
      <c r="O409" s="423"/>
      <c r="P409" s="423"/>
      <c r="Q409" s="423"/>
      <c r="R409" s="423"/>
      <c r="S409" s="423"/>
      <c r="T409" s="423"/>
      <c r="U409" s="423"/>
      <c r="V409" s="423"/>
      <c r="W409" s="423"/>
      <c r="X409" s="423"/>
      <c r="Y409" s="423"/>
      <c r="Z409" s="423"/>
    </row>
    <row r="410">
      <c r="A410" s="564">
        <v>408.0</v>
      </c>
      <c r="B410" s="565" t="s">
        <v>1336</v>
      </c>
      <c r="C410" s="565" t="s">
        <v>5247</v>
      </c>
      <c r="D410" s="564">
        <v>1.0</v>
      </c>
      <c r="E410" s="564">
        <v>0.0</v>
      </c>
      <c r="F410" s="564">
        <v>0.0</v>
      </c>
      <c r="G410" s="564">
        <v>7.0</v>
      </c>
      <c r="H410" s="564">
        <v>0.0</v>
      </c>
      <c r="I410" s="423"/>
      <c r="J410" s="423"/>
      <c r="K410" s="423"/>
      <c r="L410" s="423"/>
      <c r="M410" s="423"/>
      <c r="N410" s="423"/>
      <c r="O410" s="423"/>
      <c r="P410" s="423"/>
      <c r="Q410" s="423"/>
      <c r="R410" s="423"/>
      <c r="S410" s="423"/>
      <c r="T410" s="423"/>
      <c r="U410" s="423"/>
      <c r="V410" s="423"/>
      <c r="W410" s="423"/>
      <c r="X410" s="423"/>
      <c r="Y410" s="423"/>
      <c r="Z410" s="423"/>
    </row>
    <row r="411">
      <c r="A411" s="562">
        <v>409.0</v>
      </c>
      <c r="B411" s="563" t="s">
        <v>1337</v>
      </c>
      <c r="C411" s="563" t="s">
        <v>5247</v>
      </c>
      <c r="D411" s="562">
        <v>0.0</v>
      </c>
      <c r="E411" s="562">
        <v>0.0</v>
      </c>
      <c r="F411" s="562">
        <v>0.0</v>
      </c>
      <c r="G411" s="562">
        <v>8.0</v>
      </c>
      <c r="H411" s="562">
        <v>0.0</v>
      </c>
      <c r="I411" s="423"/>
      <c r="J411" s="423"/>
      <c r="K411" s="423"/>
      <c r="L411" s="423"/>
      <c r="M411" s="423"/>
      <c r="N411" s="423"/>
      <c r="O411" s="423"/>
      <c r="P411" s="423"/>
      <c r="Q411" s="423"/>
      <c r="R411" s="423"/>
      <c r="S411" s="423"/>
      <c r="T411" s="423"/>
      <c r="U411" s="423"/>
      <c r="V411" s="423"/>
      <c r="W411" s="423"/>
      <c r="X411" s="423"/>
      <c r="Y411" s="423"/>
      <c r="Z411" s="423"/>
    </row>
    <row r="412">
      <c r="A412" s="564">
        <v>410.0</v>
      </c>
      <c r="B412" s="565" t="s">
        <v>1338</v>
      </c>
      <c r="C412" s="565" t="s">
        <v>5247</v>
      </c>
      <c r="D412" s="564">
        <v>4.0</v>
      </c>
      <c r="E412" s="564">
        <v>0.0</v>
      </c>
      <c r="F412" s="564">
        <v>0.0</v>
      </c>
      <c r="G412" s="564">
        <v>4.0</v>
      </c>
      <c r="H412" s="564">
        <v>0.0</v>
      </c>
      <c r="I412" s="423"/>
      <c r="J412" s="423"/>
      <c r="K412" s="423"/>
      <c r="L412" s="423"/>
      <c r="M412" s="423"/>
      <c r="N412" s="423"/>
      <c r="O412" s="423"/>
      <c r="P412" s="423"/>
      <c r="Q412" s="423"/>
      <c r="R412" s="423"/>
      <c r="S412" s="423"/>
      <c r="T412" s="423"/>
      <c r="U412" s="423"/>
      <c r="V412" s="423"/>
      <c r="W412" s="423"/>
      <c r="X412" s="423"/>
      <c r="Y412" s="423"/>
      <c r="Z412" s="423"/>
    </row>
    <row r="413">
      <c r="A413" s="562">
        <v>411.0</v>
      </c>
      <c r="B413" s="563" t="s">
        <v>1339</v>
      </c>
      <c r="C413" s="563" t="s">
        <v>5247</v>
      </c>
      <c r="D413" s="562">
        <v>0.0</v>
      </c>
      <c r="E413" s="562">
        <v>0.0</v>
      </c>
      <c r="F413" s="562">
        <v>0.0</v>
      </c>
      <c r="G413" s="562">
        <v>8.0</v>
      </c>
      <c r="H413" s="562">
        <v>0.0</v>
      </c>
      <c r="I413" s="423"/>
      <c r="J413" s="423"/>
      <c r="K413" s="423"/>
      <c r="L413" s="423"/>
      <c r="M413" s="423"/>
      <c r="N413" s="423"/>
      <c r="O413" s="423"/>
      <c r="P413" s="423"/>
      <c r="Q413" s="423"/>
      <c r="R413" s="423"/>
      <c r="S413" s="423"/>
      <c r="T413" s="423"/>
      <c r="U413" s="423"/>
      <c r="V413" s="423"/>
      <c r="W413" s="423"/>
      <c r="X413" s="423"/>
      <c r="Y413" s="423"/>
      <c r="Z413" s="423"/>
    </row>
    <row r="414">
      <c r="A414" s="564">
        <v>412.0</v>
      </c>
      <c r="B414" s="565" t="s">
        <v>1340</v>
      </c>
      <c r="C414" s="565" t="s">
        <v>5247</v>
      </c>
      <c r="D414" s="564">
        <v>1.0</v>
      </c>
      <c r="E414" s="564">
        <v>0.0</v>
      </c>
      <c r="F414" s="564">
        <v>0.0</v>
      </c>
      <c r="G414" s="564">
        <v>7.0</v>
      </c>
      <c r="H414" s="564">
        <v>0.0</v>
      </c>
      <c r="I414" s="423"/>
      <c r="J414" s="423"/>
      <c r="K414" s="423"/>
      <c r="L414" s="423"/>
      <c r="M414" s="423"/>
      <c r="N414" s="423"/>
      <c r="O414" s="423"/>
      <c r="P414" s="423"/>
      <c r="Q414" s="423"/>
      <c r="R414" s="423"/>
      <c r="S414" s="423"/>
      <c r="T414" s="423"/>
      <c r="U414" s="423"/>
      <c r="V414" s="423"/>
      <c r="W414" s="423"/>
      <c r="X414" s="423"/>
      <c r="Y414" s="423"/>
      <c r="Z414" s="423"/>
    </row>
    <row r="415">
      <c r="A415" s="562">
        <v>413.0</v>
      </c>
      <c r="B415" s="563" t="s">
        <v>1341</v>
      </c>
      <c r="C415" s="563" t="s">
        <v>5247</v>
      </c>
      <c r="D415" s="562">
        <v>1.0</v>
      </c>
      <c r="E415" s="562">
        <v>0.0</v>
      </c>
      <c r="F415" s="562">
        <v>0.0</v>
      </c>
      <c r="G415" s="562">
        <v>7.0</v>
      </c>
      <c r="H415" s="562">
        <v>0.0</v>
      </c>
      <c r="I415" s="423"/>
      <c r="J415" s="423"/>
      <c r="K415" s="423"/>
      <c r="L415" s="423"/>
      <c r="M415" s="423"/>
      <c r="N415" s="423"/>
      <c r="O415" s="423"/>
      <c r="P415" s="423"/>
      <c r="Q415" s="423"/>
      <c r="R415" s="423"/>
      <c r="S415" s="423"/>
      <c r="T415" s="423"/>
      <c r="U415" s="423"/>
      <c r="V415" s="423"/>
      <c r="W415" s="423"/>
      <c r="X415" s="423"/>
      <c r="Y415" s="423"/>
      <c r="Z415" s="423"/>
    </row>
    <row r="416">
      <c r="A416" s="564">
        <v>414.0</v>
      </c>
      <c r="B416" s="565" t="s">
        <v>1342</v>
      </c>
      <c r="C416" s="565" t="s">
        <v>5247</v>
      </c>
      <c r="D416" s="564">
        <v>0.0</v>
      </c>
      <c r="E416" s="564">
        <v>0.0</v>
      </c>
      <c r="F416" s="564">
        <v>0.0</v>
      </c>
      <c r="G416" s="564">
        <v>8.0</v>
      </c>
      <c r="H416" s="564">
        <v>0.0</v>
      </c>
      <c r="I416" s="423"/>
      <c r="J416" s="423"/>
      <c r="K416" s="423"/>
      <c r="L416" s="423"/>
      <c r="M416" s="423"/>
      <c r="N416" s="423"/>
      <c r="O416" s="423"/>
      <c r="P416" s="423"/>
      <c r="Q416" s="423"/>
      <c r="R416" s="423"/>
      <c r="S416" s="423"/>
      <c r="T416" s="423"/>
      <c r="U416" s="423"/>
      <c r="V416" s="423"/>
      <c r="W416" s="423"/>
      <c r="X416" s="423"/>
      <c r="Y416" s="423"/>
      <c r="Z416" s="423"/>
    </row>
    <row r="417">
      <c r="A417" s="562">
        <v>415.0</v>
      </c>
      <c r="B417" s="563" t="s">
        <v>1343</v>
      </c>
      <c r="C417" s="563" t="s">
        <v>5247</v>
      </c>
      <c r="D417" s="562">
        <v>1.0</v>
      </c>
      <c r="E417" s="562">
        <v>0.0</v>
      </c>
      <c r="F417" s="562">
        <v>0.0</v>
      </c>
      <c r="G417" s="562">
        <v>7.0</v>
      </c>
      <c r="H417" s="562">
        <v>0.0</v>
      </c>
      <c r="I417" s="423"/>
      <c r="J417" s="423"/>
      <c r="K417" s="423"/>
      <c r="L417" s="423"/>
      <c r="M417" s="423"/>
      <c r="N417" s="423"/>
      <c r="O417" s="423"/>
      <c r="P417" s="423"/>
      <c r="Q417" s="423"/>
      <c r="R417" s="423"/>
      <c r="S417" s="423"/>
      <c r="T417" s="423"/>
      <c r="U417" s="423"/>
      <c r="V417" s="423"/>
      <c r="W417" s="423"/>
      <c r="X417" s="423"/>
      <c r="Y417" s="423"/>
      <c r="Z417" s="423"/>
    </row>
    <row r="418">
      <c r="A418" s="564">
        <v>416.0</v>
      </c>
      <c r="B418" s="565" t="s">
        <v>1344</v>
      </c>
      <c r="C418" s="565" t="s">
        <v>5247</v>
      </c>
      <c r="D418" s="564">
        <v>2.0</v>
      </c>
      <c r="E418" s="564">
        <v>0.0</v>
      </c>
      <c r="F418" s="564">
        <v>0.0</v>
      </c>
      <c r="G418" s="564">
        <v>6.0</v>
      </c>
      <c r="H418" s="564">
        <v>0.0</v>
      </c>
      <c r="I418" s="423"/>
      <c r="J418" s="423"/>
      <c r="K418" s="423"/>
      <c r="L418" s="423"/>
      <c r="M418" s="423"/>
      <c r="N418" s="423"/>
      <c r="O418" s="423"/>
      <c r="P418" s="423"/>
      <c r="Q418" s="423"/>
      <c r="R418" s="423"/>
      <c r="S418" s="423"/>
      <c r="T418" s="423"/>
      <c r="U418" s="423"/>
      <c r="V418" s="423"/>
      <c r="W418" s="423"/>
      <c r="X418" s="423"/>
      <c r="Y418" s="423"/>
      <c r="Z418" s="423"/>
    </row>
    <row r="419">
      <c r="A419" s="562">
        <v>417.0</v>
      </c>
      <c r="B419" s="563" t="s">
        <v>1345</v>
      </c>
      <c r="C419" s="563" t="s">
        <v>5247</v>
      </c>
      <c r="D419" s="562">
        <v>3.0</v>
      </c>
      <c r="E419" s="562">
        <v>0.0</v>
      </c>
      <c r="F419" s="562">
        <v>0.0</v>
      </c>
      <c r="G419" s="562">
        <v>5.0</v>
      </c>
      <c r="H419" s="562">
        <v>0.0</v>
      </c>
      <c r="I419" s="423"/>
      <c r="J419" s="423"/>
      <c r="K419" s="423"/>
      <c r="L419" s="423"/>
      <c r="M419" s="423"/>
      <c r="N419" s="423"/>
      <c r="O419" s="423"/>
      <c r="P419" s="423"/>
      <c r="Q419" s="423"/>
      <c r="R419" s="423"/>
      <c r="S419" s="423"/>
      <c r="T419" s="423"/>
      <c r="U419" s="423"/>
      <c r="V419" s="423"/>
      <c r="W419" s="423"/>
      <c r="X419" s="423"/>
      <c r="Y419" s="423"/>
      <c r="Z419" s="423"/>
    </row>
    <row r="420">
      <c r="A420" s="564">
        <v>418.0</v>
      </c>
      <c r="B420" s="565" t="s">
        <v>1346</v>
      </c>
      <c r="C420" s="565" t="s">
        <v>5247</v>
      </c>
      <c r="D420" s="564">
        <v>1.0</v>
      </c>
      <c r="E420" s="564">
        <v>0.0</v>
      </c>
      <c r="F420" s="564">
        <v>0.0</v>
      </c>
      <c r="G420" s="564">
        <v>7.0</v>
      </c>
      <c r="H420" s="564">
        <v>0.0</v>
      </c>
      <c r="I420" s="423"/>
      <c r="J420" s="423"/>
      <c r="K420" s="423"/>
      <c r="L420" s="423"/>
      <c r="M420" s="423"/>
      <c r="N420" s="423"/>
      <c r="O420" s="423"/>
      <c r="P420" s="423"/>
      <c r="Q420" s="423"/>
      <c r="R420" s="423"/>
      <c r="S420" s="423"/>
      <c r="T420" s="423"/>
      <c r="U420" s="423"/>
      <c r="V420" s="423"/>
      <c r="W420" s="423"/>
      <c r="X420" s="423"/>
      <c r="Y420" s="423"/>
      <c r="Z420" s="423"/>
    </row>
    <row r="421">
      <c r="A421" s="562">
        <v>419.0</v>
      </c>
      <c r="B421" s="563" t="s">
        <v>1347</v>
      </c>
      <c r="C421" s="563" t="s">
        <v>5247</v>
      </c>
      <c r="D421" s="562">
        <v>2.0</v>
      </c>
      <c r="E421" s="562">
        <v>0.0</v>
      </c>
      <c r="F421" s="562">
        <v>0.0</v>
      </c>
      <c r="G421" s="562">
        <v>6.0</v>
      </c>
      <c r="H421" s="562">
        <v>0.0</v>
      </c>
      <c r="I421" s="423"/>
      <c r="J421" s="423"/>
      <c r="K421" s="423"/>
      <c r="L421" s="423"/>
      <c r="M421" s="423"/>
      <c r="N421" s="423"/>
      <c r="O421" s="423"/>
      <c r="P421" s="423"/>
      <c r="Q421" s="423"/>
      <c r="R421" s="423"/>
      <c r="S421" s="423"/>
      <c r="T421" s="423"/>
      <c r="U421" s="423"/>
      <c r="V421" s="423"/>
      <c r="W421" s="423"/>
      <c r="X421" s="423"/>
      <c r="Y421" s="423"/>
      <c r="Z421" s="423"/>
    </row>
    <row r="422">
      <c r="A422" s="564">
        <v>420.0</v>
      </c>
      <c r="B422" s="565" t="s">
        <v>1348</v>
      </c>
      <c r="C422" s="565" t="s">
        <v>5247</v>
      </c>
      <c r="D422" s="564">
        <v>3.0</v>
      </c>
      <c r="E422" s="564">
        <v>0.0</v>
      </c>
      <c r="F422" s="564">
        <v>0.0</v>
      </c>
      <c r="G422" s="564">
        <v>5.0</v>
      </c>
      <c r="H422" s="564">
        <v>0.0</v>
      </c>
      <c r="I422" s="423"/>
      <c r="J422" s="423"/>
      <c r="K422" s="423"/>
      <c r="L422" s="423"/>
      <c r="M422" s="423"/>
      <c r="N422" s="423"/>
      <c r="O422" s="423"/>
      <c r="P422" s="423"/>
      <c r="Q422" s="423"/>
      <c r="R422" s="423"/>
      <c r="S422" s="423"/>
      <c r="T422" s="423"/>
      <c r="U422" s="423"/>
      <c r="V422" s="423"/>
      <c r="W422" s="423"/>
      <c r="X422" s="423"/>
      <c r="Y422" s="423"/>
      <c r="Z422" s="423"/>
    </row>
    <row r="423">
      <c r="A423" s="562">
        <v>421.0</v>
      </c>
      <c r="B423" s="563" t="s">
        <v>1349</v>
      </c>
      <c r="C423" s="563" t="s">
        <v>5247</v>
      </c>
      <c r="D423" s="562">
        <v>3.0</v>
      </c>
      <c r="E423" s="562">
        <v>0.0</v>
      </c>
      <c r="F423" s="562">
        <v>0.0</v>
      </c>
      <c r="G423" s="562">
        <v>5.0</v>
      </c>
      <c r="H423" s="562">
        <v>0.0</v>
      </c>
      <c r="I423" s="423"/>
      <c r="J423" s="423"/>
      <c r="K423" s="423"/>
      <c r="L423" s="423"/>
      <c r="M423" s="423"/>
      <c r="N423" s="423"/>
      <c r="O423" s="423"/>
      <c r="P423" s="423"/>
      <c r="Q423" s="423"/>
      <c r="R423" s="423"/>
      <c r="S423" s="423"/>
      <c r="T423" s="423"/>
      <c r="U423" s="423"/>
      <c r="V423" s="423"/>
      <c r="W423" s="423"/>
      <c r="X423" s="423"/>
      <c r="Y423" s="423"/>
      <c r="Z423" s="423"/>
    </row>
    <row r="424">
      <c r="A424" s="564">
        <v>422.0</v>
      </c>
      <c r="B424" s="565" t="s">
        <v>1350</v>
      </c>
      <c r="C424" s="565" t="s">
        <v>5247</v>
      </c>
      <c r="D424" s="564">
        <v>4.0</v>
      </c>
      <c r="E424" s="564">
        <v>0.0</v>
      </c>
      <c r="F424" s="564">
        <v>0.0</v>
      </c>
      <c r="G424" s="564">
        <v>4.0</v>
      </c>
      <c r="H424" s="564">
        <v>0.0</v>
      </c>
      <c r="I424" s="423"/>
      <c r="J424" s="423"/>
      <c r="K424" s="423"/>
      <c r="L424" s="423"/>
      <c r="M424" s="423"/>
      <c r="N424" s="423"/>
      <c r="O424" s="423"/>
      <c r="P424" s="423"/>
      <c r="Q424" s="423"/>
      <c r="R424" s="423"/>
      <c r="S424" s="423"/>
      <c r="T424" s="423"/>
      <c r="U424" s="423"/>
      <c r="V424" s="423"/>
      <c r="W424" s="423"/>
      <c r="X424" s="423"/>
      <c r="Y424" s="423"/>
      <c r="Z424" s="423"/>
    </row>
    <row r="425">
      <c r="A425" s="562">
        <v>423.0</v>
      </c>
      <c r="B425" s="563" t="s">
        <v>1351</v>
      </c>
      <c r="C425" s="563" t="s">
        <v>5247</v>
      </c>
      <c r="D425" s="562">
        <v>1.0</v>
      </c>
      <c r="E425" s="562">
        <v>0.0</v>
      </c>
      <c r="F425" s="562">
        <v>1.0</v>
      </c>
      <c r="G425" s="562">
        <v>6.0</v>
      </c>
      <c r="H425" s="562">
        <v>0.0</v>
      </c>
      <c r="I425" s="423"/>
      <c r="J425" s="423"/>
      <c r="K425" s="423"/>
      <c r="L425" s="423"/>
      <c r="M425" s="423"/>
      <c r="N425" s="423"/>
      <c r="O425" s="423"/>
      <c r="P425" s="423"/>
      <c r="Q425" s="423"/>
      <c r="R425" s="423"/>
      <c r="S425" s="423"/>
      <c r="T425" s="423"/>
      <c r="U425" s="423"/>
      <c r="V425" s="423"/>
      <c r="W425" s="423"/>
      <c r="X425" s="423"/>
      <c r="Y425" s="423"/>
      <c r="Z425" s="423"/>
    </row>
    <row r="426">
      <c r="A426" s="564">
        <v>424.0</v>
      </c>
      <c r="B426" s="565" t="s">
        <v>1352</v>
      </c>
      <c r="C426" s="565" t="s">
        <v>5247</v>
      </c>
      <c r="D426" s="564">
        <v>4.0</v>
      </c>
      <c r="E426" s="564">
        <v>0.0</v>
      </c>
      <c r="F426" s="564">
        <v>0.0</v>
      </c>
      <c r="G426" s="564">
        <v>4.0</v>
      </c>
      <c r="H426" s="564">
        <v>0.0</v>
      </c>
      <c r="I426" s="423"/>
      <c r="J426" s="423"/>
      <c r="K426" s="423"/>
      <c r="L426" s="423"/>
      <c r="M426" s="423"/>
      <c r="N426" s="423"/>
      <c r="O426" s="423"/>
      <c r="P426" s="423"/>
      <c r="Q426" s="423"/>
      <c r="R426" s="423"/>
      <c r="S426" s="423"/>
      <c r="T426" s="423"/>
      <c r="U426" s="423"/>
      <c r="V426" s="423"/>
      <c r="W426" s="423"/>
      <c r="X426" s="423"/>
      <c r="Y426" s="423"/>
      <c r="Z426" s="423"/>
    </row>
    <row r="427">
      <c r="A427" s="562">
        <v>425.0</v>
      </c>
      <c r="B427" s="563" t="s">
        <v>402</v>
      </c>
      <c r="C427" s="563" t="s">
        <v>5247</v>
      </c>
      <c r="D427" s="562">
        <v>3.0</v>
      </c>
      <c r="E427" s="562">
        <v>0.0</v>
      </c>
      <c r="F427" s="562">
        <v>0.0</v>
      </c>
      <c r="G427" s="562">
        <v>5.0</v>
      </c>
      <c r="H427" s="562">
        <v>0.0</v>
      </c>
      <c r="I427" s="423"/>
      <c r="J427" s="423"/>
      <c r="K427" s="423"/>
      <c r="L427" s="423"/>
      <c r="M427" s="423"/>
      <c r="N427" s="423"/>
      <c r="O427" s="423"/>
      <c r="P427" s="423"/>
      <c r="Q427" s="423"/>
      <c r="R427" s="423"/>
      <c r="S427" s="423"/>
      <c r="T427" s="423"/>
      <c r="U427" s="423"/>
      <c r="V427" s="423"/>
      <c r="W427" s="423"/>
      <c r="X427" s="423"/>
      <c r="Y427" s="423"/>
      <c r="Z427" s="423"/>
    </row>
    <row r="428">
      <c r="A428" s="564">
        <v>426.0</v>
      </c>
      <c r="B428" s="565" t="s">
        <v>1493</v>
      </c>
      <c r="C428" s="565" t="s">
        <v>5260</v>
      </c>
      <c r="D428" s="564">
        <v>1.0</v>
      </c>
      <c r="E428" s="564">
        <v>0.0</v>
      </c>
      <c r="F428" s="564">
        <v>0.0</v>
      </c>
      <c r="G428" s="564">
        <v>7.0</v>
      </c>
      <c r="H428" s="564">
        <v>0.0</v>
      </c>
      <c r="I428" s="423"/>
      <c r="J428" s="423"/>
      <c r="K428" s="423"/>
      <c r="L428" s="423"/>
      <c r="M428" s="423"/>
      <c r="N428" s="423"/>
      <c r="O428" s="423"/>
      <c r="P428" s="423"/>
      <c r="Q428" s="423"/>
      <c r="R428" s="423"/>
      <c r="S428" s="423"/>
      <c r="T428" s="423"/>
      <c r="U428" s="423"/>
      <c r="V428" s="423"/>
      <c r="W428" s="423"/>
      <c r="X428" s="423"/>
      <c r="Y428" s="423"/>
      <c r="Z428" s="423"/>
    </row>
    <row r="429">
      <c r="A429" s="562">
        <v>427.0</v>
      </c>
      <c r="B429" s="563" t="s">
        <v>1495</v>
      </c>
      <c r="C429" s="563" t="s">
        <v>5260</v>
      </c>
      <c r="D429" s="562">
        <v>0.0</v>
      </c>
      <c r="E429" s="562">
        <v>0.0</v>
      </c>
      <c r="F429" s="562">
        <v>0.0</v>
      </c>
      <c r="G429" s="562">
        <v>8.0</v>
      </c>
      <c r="H429" s="562">
        <v>0.0</v>
      </c>
      <c r="I429" s="423"/>
      <c r="J429" s="423"/>
      <c r="K429" s="423"/>
      <c r="L429" s="423"/>
      <c r="M429" s="423"/>
      <c r="N429" s="423"/>
      <c r="O429" s="423"/>
      <c r="P429" s="423"/>
      <c r="Q429" s="423"/>
      <c r="R429" s="423"/>
      <c r="S429" s="423"/>
      <c r="T429" s="423"/>
      <c r="U429" s="423"/>
      <c r="V429" s="423"/>
      <c r="W429" s="423"/>
      <c r="X429" s="423"/>
      <c r="Y429" s="423"/>
      <c r="Z429" s="423"/>
    </row>
    <row r="430">
      <c r="A430" s="564">
        <v>428.0</v>
      </c>
      <c r="B430" s="565" t="s">
        <v>1496</v>
      </c>
      <c r="C430" s="565" t="s">
        <v>5260</v>
      </c>
      <c r="D430" s="564">
        <v>1.0</v>
      </c>
      <c r="E430" s="564">
        <v>0.0</v>
      </c>
      <c r="F430" s="564">
        <v>0.0</v>
      </c>
      <c r="G430" s="564">
        <v>7.0</v>
      </c>
      <c r="H430" s="564">
        <v>0.0</v>
      </c>
      <c r="I430" s="423"/>
      <c r="J430" s="423"/>
      <c r="K430" s="423"/>
      <c r="L430" s="423"/>
      <c r="M430" s="423"/>
      <c r="N430" s="423"/>
      <c r="O430" s="423"/>
      <c r="P430" s="423"/>
      <c r="Q430" s="423"/>
      <c r="R430" s="423"/>
      <c r="S430" s="423"/>
      <c r="T430" s="423"/>
      <c r="U430" s="423"/>
      <c r="V430" s="423"/>
      <c r="W430" s="423"/>
      <c r="X430" s="423"/>
      <c r="Y430" s="423"/>
      <c r="Z430" s="423"/>
    </row>
    <row r="431">
      <c r="A431" s="562">
        <v>429.0</v>
      </c>
      <c r="B431" s="563" t="s">
        <v>1497</v>
      </c>
      <c r="C431" s="563" t="s">
        <v>5260</v>
      </c>
      <c r="D431" s="562">
        <v>1.0</v>
      </c>
      <c r="E431" s="562">
        <v>0.0</v>
      </c>
      <c r="F431" s="562">
        <v>0.0</v>
      </c>
      <c r="G431" s="562">
        <v>7.0</v>
      </c>
      <c r="H431" s="562">
        <v>0.0</v>
      </c>
      <c r="I431" s="423"/>
      <c r="J431" s="423"/>
      <c r="K431" s="423"/>
      <c r="L431" s="423"/>
      <c r="M431" s="423"/>
      <c r="N431" s="423"/>
      <c r="O431" s="423"/>
      <c r="P431" s="423"/>
      <c r="Q431" s="423"/>
      <c r="R431" s="423"/>
      <c r="S431" s="423"/>
      <c r="T431" s="423"/>
      <c r="U431" s="423"/>
      <c r="V431" s="423"/>
      <c r="W431" s="423"/>
      <c r="X431" s="423"/>
      <c r="Y431" s="423"/>
      <c r="Z431" s="423"/>
    </row>
    <row r="432">
      <c r="A432" s="564">
        <v>430.0</v>
      </c>
      <c r="B432" s="565" t="s">
        <v>1498</v>
      </c>
      <c r="C432" s="565" t="s">
        <v>5260</v>
      </c>
      <c r="D432" s="564">
        <v>0.0</v>
      </c>
      <c r="E432" s="564">
        <v>0.0</v>
      </c>
      <c r="F432" s="564">
        <v>0.0</v>
      </c>
      <c r="G432" s="564">
        <v>8.0</v>
      </c>
      <c r="H432" s="564">
        <v>0.0</v>
      </c>
      <c r="I432" s="423"/>
      <c r="J432" s="423"/>
      <c r="K432" s="423"/>
      <c r="L432" s="423"/>
      <c r="M432" s="423"/>
      <c r="N432" s="423"/>
      <c r="O432" s="423"/>
      <c r="P432" s="423"/>
      <c r="Q432" s="423"/>
      <c r="R432" s="423"/>
      <c r="S432" s="423"/>
      <c r="T432" s="423"/>
      <c r="U432" s="423"/>
      <c r="V432" s="423"/>
      <c r="W432" s="423"/>
      <c r="X432" s="423"/>
      <c r="Y432" s="423"/>
      <c r="Z432" s="423"/>
    </row>
    <row r="433">
      <c r="A433" s="562">
        <v>431.0</v>
      </c>
      <c r="B433" s="563" t="s">
        <v>1499</v>
      </c>
      <c r="C433" s="563" t="s">
        <v>5260</v>
      </c>
      <c r="D433" s="562">
        <v>1.0</v>
      </c>
      <c r="E433" s="562">
        <v>0.0</v>
      </c>
      <c r="F433" s="562">
        <v>0.0</v>
      </c>
      <c r="G433" s="562">
        <v>7.0</v>
      </c>
      <c r="H433" s="562">
        <v>0.0</v>
      </c>
      <c r="I433" s="423"/>
      <c r="J433" s="423"/>
      <c r="K433" s="423"/>
      <c r="L433" s="423"/>
      <c r="M433" s="423"/>
      <c r="N433" s="423"/>
      <c r="O433" s="423"/>
      <c r="P433" s="423"/>
      <c r="Q433" s="423"/>
      <c r="R433" s="423"/>
      <c r="S433" s="423"/>
      <c r="T433" s="423"/>
      <c r="U433" s="423"/>
      <c r="V433" s="423"/>
      <c r="W433" s="423"/>
      <c r="X433" s="423"/>
      <c r="Y433" s="423"/>
      <c r="Z433" s="423"/>
    </row>
    <row r="434">
      <c r="A434" s="564">
        <v>432.0</v>
      </c>
      <c r="B434" s="565" t="s">
        <v>1500</v>
      </c>
      <c r="C434" s="565" t="s">
        <v>5260</v>
      </c>
      <c r="D434" s="564">
        <v>1.0</v>
      </c>
      <c r="E434" s="564">
        <v>0.0</v>
      </c>
      <c r="F434" s="564">
        <v>0.0</v>
      </c>
      <c r="G434" s="564">
        <v>7.0</v>
      </c>
      <c r="H434" s="564">
        <v>0.0</v>
      </c>
      <c r="I434" s="423"/>
      <c r="J434" s="423"/>
      <c r="K434" s="423"/>
      <c r="L434" s="423"/>
      <c r="M434" s="423"/>
      <c r="N434" s="423"/>
      <c r="O434" s="423"/>
      <c r="P434" s="423"/>
      <c r="Q434" s="423"/>
      <c r="R434" s="423"/>
      <c r="S434" s="423"/>
      <c r="T434" s="423"/>
      <c r="U434" s="423"/>
      <c r="V434" s="423"/>
      <c r="W434" s="423"/>
      <c r="X434" s="423"/>
      <c r="Y434" s="423"/>
      <c r="Z434" s="423"/>
    </row>
    <row r="435">
      <c r="A435" s="562">
        <v>433.0</v>
      </c>
      <c r="B435" s="563" t="s">
        <v>1501</v>
      </c>
      <c r="C435" s="563" t="s">
        <v>5260</v>
      </c>
      <c r="D435" s="562">
        <v>0.0</v>
      </c>
      <c r="E435" s="562">
        <v>0.0</v>
      </c>
      <c r="F435" s="562">
        <v>1.0</v>
      </c>
      <c r="G435" s="562">
        <v>7.0</v>
      </c>
      <c r="H435" s="562">
        <v>0.0</v>
      </c>
      <c r="I435" s="423"/>
      <c r="J435" s="423"/>
      <c r="K435" s="423"/>
      <c r="L435" s="423"/>
      <c r="M435" s="423"/>
      <c r="N435" s="423"/>
      <c r="O435" s="423"/>
      <c r="P435" s="423"/>
      <c r="Q435" s="423"/>
      <c r="R435" s="423"/>
      <c r="S435" s="423"/>
      <c r="T435" s="423"/>
      <c r="U435" s="423"/>
      <c r="V435" s="423"/>
      <c r="W435" s="423"/>
      <c r="X435" s="423"/>
      <c r="Y435" s="423"/>
      <c r="Z435" s="423"/>
    </row>
    <row r="436">
      <c r="A436" s="564">
        <v>434.0</v>
      </c>
      <c r="B436" s="565" t="s">
        <v>1502</v>
      </c>
      <c r="C436" s="565" t="s">
        <v>5260</v>
      </c>
      <c r="D436" s="564">
        <v>0.0</v>
      </c>
      <c r="E436" s="564">
        <v>0.0</v>
      </c>
      <c r="F436" s="564">
        <v>0.0</v>
      </c>
      <c r="G436" s="564">
        <v>8.0</v>
      </c>
      <c r="H436" s="564">
        <v>0.0</v>
      </c>
      <c r="I436" s="423"/>
      <c r="J436" s="423"/>
      <c r="K436" s="423"/>
      <c r="L436" s="423"/>
      <c r="M436" s="423"/>
      <c r="N436" s="423"/>
      <c r="O436" s="423"/>
      <c r="P436" s="423"/>
      <c r="Q436" s="423"/>
      <c r="R436" s="423"/>
      <c r="S436" s="423"/>
      <c r="T436" s="423"/>
      <c r="U436" s="423"/>
      <c r="V436" s="423"/>
      <c r="W436" s="423"/>
      <c r="X436" s="423"/>
      <c r="Y436" s="423"/>
      <c r="Z436" s="423"/>
    </row>
    <row r="437">
      <c r="A437" s="562">
        <v>435.0</v>
      </c>
      <c r="B437" s="563" t="s">
        <v>1503</v>
      </c>
      <c r="C437" s="563" t="s">
        <v>5260</v>
      </c>
      <c r="D437" s="562">
        <v>0.0</v>
      </c>
      <c r="E437" s="562">
        <v>0.0</v>
      </c>
      <c r="F437" s="562">
        <v>1.0</v>
      </c>
      <c r="G437" s="562">
        <v>7.0</v>
      </c>
      <c r="H437" s="562">
        <v>0.0</v>
      </c>
      <c r="I437" s="423"/>
      <c r="J437" s="423"/>
      <c r="K437" s="423"/>
      <c r="L437" s="423"/>
      <c r="M437" s="423"/>
      <c r="N437" s="423"/>
      <c r="O437" s="423"/>
      <c r="P437" s="423"/>
      <c r="Q437" s="423"/>
      <c r="R437" s="423"/>
      <c r="S437" s="423"/>
      <c r="T437" s="423"/>
      <c r="U437" s="423"/>
      <c r="V437" s="423"/>
      <c r="W437" s="423"/>
      <c r="X437" s="423"/>
      <c r="Y437" s="423"/>
      <c r="Z437" s="423"/>
    </row>
    <row r="438">
      <c r="A438" s="564">
        <v>436.0</v>
      </c>
      <c r="B438" s="565" t="s">
        <v>1504</v>
      </c>
      <c r="C438" s="565" t="s">
        <v>5260</v>
      </c>
      <c r="D438" s="564">
        <v>3.0</v>
      </c>
      <c r="E438" s="564">
        <v>0.0</v>
      </c>
      <c r="F438" s="564">
        <v>0.0</v>
      </c>
      <c r="G438" s="564">
        <v>5.0</v>
      </c>
      <c r="H438" s="564">
        <v>0.0</v>
      </c>
      <c r="I438" s="423"/>
      <c r="J438" s="423"/>
      <c r="K438" s="423"/>
      <c r="L438" s="423"/>
      <c r="M438" s="423"/>
      <c r="N438" s="423"/>
      <c r="O438" s="423"/>
      <c r="P438" s="423"/>
      <c r="Q438" s="423"/>
      <c r="R438" s="423"/>
      <c r="S438" s="423"/>
      <c r="T438" s="423"/>
      <c r="U438" s="423"/>
      <c r="V438" s="423"/>
      <c r="W438" s="423"/>
      <c r="X438" s="423"/>
      <c r="Y438" s="423"/>
      <c r="Z438" s="423"/>
    </row>
    <row r="439">
      <c r="A439" s="562">
        <v>437.0</v>
      </c>
      <c r="B439" s="563" t="s">
        <v>1505</v>
      </c>
      <c r="C439" s="563" t="s">
        <v>5260</v>
      </c>
      <c r="D439" s="562">
        <v>0.0</v>
      </c>
      <c r="E439" s="562">
        <v>0.0</v>
      </c>
      <c r="F439" s="562">
        <v>0.0</v>
      </c>
      <c r="G439" s="562">
        <v>8.0</v>
      </c>
      <c r="H439" s="562">
        <v>0.0</v>
      </c>
      <c r="I439" s="423"/>
      <c r="J439" s="423"/>
      <c r="K439" s="423"/>
      <c r="L439" s="423"/>
      <c r="M439" s="423"/>
      <c r="N439" s="423"/>
      <c r="O439" s="423"/>
      <c r="P439" s="423"/>
      <c r="Q439" s="423"/>
      <c r="R439" s="423"/>
      <c r="S439" s="423"/>
      <c r="T439" s="423"/>
      <c r="U439" s="423"/>
      <c r="V439" s="423"/>
      <c r="W439" s="423"/>
      <c r="X439" s="423"/>
      <c r="Y439" s="423"/>
      <c r="Z439" s="423"/>
    </row>
    <row r="440">
      <c r="A440" s="564">
        <v>438.0</v>
      </c>
      <c r="B440" s="565" t="s">
        <v>1506</v>
      </c>
      <c r="C440" s="565" t="s">
        <v>5260</v>
      </c>
      <c r="D440" s="564">
        <v>2.0</v>
      </c>
      <c r="E440" s="564">
        <v>0.0</v>
      </c>
      <c r="F440" s="564">
        <v>0.0</v>
      </c>
      <c r="G440" s="564">
        <v>6.0</v>
      </c>
      <c r="H440" s="564">
        <v>0.0</v>
      </c>
      <c r="I440" s="423"/>
      <c r="J440" s="423"/>
      <c r="K440" s="423"/>
      <c r="L440" s="423"/>
      <c r="M440" s="423"/>
      <c r="N440" s="423"/>
      <c r="O440" s="423"/>
      <c r="P440" s="423"/>
      <c r="Q440" s="423"/>
      <c r="R440" s="423"/>
      <c r="S440" s="423"/>
      <c r="T440" s="423"/>
      <c r="U440" s="423"/>
      <c r="V440" s="423"/>
      <c r="W440" s="423"/>
      <c r="X440" s="423"/>
      <c r="Y440" s="423"/>
      <c r="Z440" s="423"/>
    </row>
    <row r="441">
      <c r="A441" s="562">
        <v>439.0</v>
      </c>
      <c r="B441" s="563" t="s">
        <v>1507</v>
      </c>
      <c r="C441" s="563" t="s">
        <v>5260</v>
      </c>
      <c r="D441" s="562">
        <v>1.0</v>
      </c>
      <c r="E441" s="562">
        <v>0.0</v>
      </c>
      <c r="F441" s="562">
        <v>0.0</v>
      </c>
      <c r="G441" s="562">
        <v>7.0</v>
      </c>
      <c r="H441" s="562">
        <v>0.0</v>
      </c>
      <c r="I441" s="423"/>
      <c r="J441" s="423"/>
      <c r="K441" s="423"/>
      <c r="L441" s="423"/>
      <c r="M441" s="423"/>
      <c r="N441" s="423"/>
      <c r="O441" s="423"/>
      <c r="P441" s="423"/>
      <c r="Q441" s="423"/>
      <c r="R441" s="423"/>
      <c r="S441" s="423"/>
      <c r="T441" s="423"/>
      <c r="U441" s="423"/>
      <c r="V441" s="423"/>
      <c r="W441" s="423"/>
      <c r="X441" s="423"/>
      <c r="Y441" s="423"/>
      <c r="Z441" s="423"/>
    </row>
    <row r="442">
      <c r="A442" s="564">
        <v>440.0</v>
      </c>
      <c r="B442" s="565" t="s">
        <v>1508</v>
      </c>
      <c r="C442" s="565" t="s">
        <v>5260</v>
      </c>
      <c r="D442" s="564">
        <v>1.0</v>
      </c>
      <c r="E442" s="564">
        <v>0.0</v>
      </c>
      <c r="F442" s="564">
        <v>0.0</v>
      </c>
      <c r="G442" s="564">
        <v>7.0</v>
      </c>
      <c r="H442" s="564">
        <v>0.0</v>
      </c>
      <c r="I442" s="423"/>
      <c r="J442" s="423"/>
      <c r="K442" s="423"/>
      <c r="L442" s="423"/>
      <c r="M442" s="423"/>
      <c r="N442" s="423"/>
      <c r="O442" s="423"/>
      <c r="P442" s="423"/>
      <c r="Q442" s="423"/>
      <c r="R442" s="423"/>
      <c r="S442" s="423"/>
      <c r="T442" s="423"/>
      <c r="U442" s="423"/>
      <c r="V442" s="423"/>
      <c r="W442" s="423"/>
      <c r="X442" s="423"/>
      <c r="Y442" s="423"/>
      <c r="Z442" s="423"/>
    </row>
    <row r="443">
      <c r="A443" s="562">
        <v>441.0</v>
      </c>
      <c r="B443" s="563" t="s">
        <v>5634</v>
      </c>
      <c r="C443" s="563" t="s">
        <v>5260</v>
      </c>
      <c r="D443" s="562">
        <v>1.0</v>
      </c>
      <c r="E443" s="562">
        <v>0.0</v>
      </c>
      <c r="F443" s="562">
        <v>0.0</v>
      </c>
      <c r="G443" s="562">
        <v>7.0</v>
      </c>
      <c r="H443" s="562">
        <v>0.0</v>
      </c>
      <c r="I443" s="423"/>
      <c r="J443" s="423"/>
      <c r="K443" s="423"/>
      <c r="L443" s="423"/>
      <c r="M443" s="423"/>
      <c r="N443" s="423"/>
      <c r="O443" s="423"/>
      <c r="P443" s="423"/>
      <c r="Q443" s="423"/>
      <c r="R443" s="423"/>
      <c r="S443" s="423"/>
      <c r="T443" s="423"/>
      <c r="U443" s="423"/>
      <c r="V443" s="423"/>
      <c r="W443" s="423"/>
      <c r="X443" s="423"/>
      <c r="Y443" s="423"/>
      <c r="Z443" s="423"/>
    </row>
    <row r="444">
      <c r="A444" s="564">
        <v>442.0</v>
      </c>
      <c r="B444" s="565" t="s">
        <v>1510</v>
      </c>
      <c r="C444" s="565" t="s">
        <v>5260</v>
      </c>
      <c r="D444" s="564">
        <v>4.0</v>
      </c>
      <c r="E444" s="564">
        <v>0.0</v>
      </c>
      <c r="F444" s="564">
        <v>0.0</v>
      </c>
      <c r="G444" s="564">
        <v>4.0</v>
      </c>
      <c r="H444" s="564">
        <v>0.0</v>
      </c>
      <c r="I444" s="423"/>
      <c r="J444" s="423"/>
      <c r="K444" s="423"/>
      <c r="L444" s="423"/>
      <c r="M444" s="423"/>
      <c r="N444" s="423"/>
      <c r="O444" s="423"/>
      <c r="P444" s="423"/>
      <c r="Q444" s="423"/>
      <c r="R444" s="423"/>
      <c r="S444" s="423"/>
      <c r="T444" s="423"/>
      <c r="U444" s="423"/>
      <c r="V444" s="423"/>
      <c r="W444" s="423"/>
      <c r="X444" s="423"/>
      <c r="Y444" s="423"/>
      <c r="Z444" s="423"/>
    </row>
    <row r="445">
      <c r="A445" s="562">
        <v>443.0</v>
      </c>
      <c r="B445" s="563" t="s">
        <v>1511</v>
      </c>
      <c r="C445" s="563" t="s">
        <v>5260</v>
      </c>
      <c r="D445" s="562">
        <v>2.0</v>
      </c>
      <c r="E445" s="562">
        <v>0.0</v>
      </c>
      <c r="F445" s="562">
        <v>0.0</v>
      </c>
      <c r="G445" s="562">
        <v>6.0</v>
      </c>
      <c r="H445" s="562">
        <v>0.0</v>
      </c>
      <c r="I445" s="423"/>
      <c r="J445" s="423"/>
      <c r="K445" s="423"/>
      <c r="L445" s="423"/>
      <c r="M445" s="423"/>
      <c r="N445" s="423"/>
      <c r="O445" s="423"/>
      <c r="P445" s="423"/>
      <c r="Q445" s="423"/>
      <c r="R445" s="423"/>
      <c r="S445" s="423"/>
      <c r="T445" s="423"/>
      <c r="U445" s="423"/>
      <c r="V445" s="423"/>
      <c r="W445" s="423"/>
      <c r="X445" s="423"/>
      <c r="Y445" s="423"/>
      <c r="Z445" s="423"/>
    </row>
    <row r="446">
      <c r="A446" s="564">
        <v>444.0</v>
      </c>
      <c r="B446" s="565" t="s">
        <v>1512</v>
      </c>
      <c r="C446" s="565" t="s">
        <v>5260</v>
      </c>
      <c r="D446" s="564">
        <v>0.0</v>
      </c>
      <c r="E446" s="564">
        <v>0.0</v>
      </c>
      <c r="F446" s="564">
        <v>0.0</v>
      </c>
      <c r="G446" s="564">
        <v>8.0</v>
      </c>
      <c r="H446" s="564">
        <v>0.0</v>
      </c>
      <c r="I446" s="423"/>
      <c r="J446" s="423"/>
      <c r="K446" s="423"/>
      <c r="L446" s="423"/>
      <c r="M446" s="423"/>
      <c r="N446" s="423"/>
      <c r="O446" s="423"/>
      <c r="P446" s="423"/>
      <c r="Q446" s="423"/>
      <c r="R446" s="423"/>
      <c r="S446" s="423"/>
      <c r="T446" s="423"/>
      <c r="U446" s="423"/>
      <c r="V446" s="423"/>
      <c r="W446" s="423"/>
      <c r="X446" s="423"/>
      <c r="Y446" s="423"/>
      <c r="Z446" s="423"/>
    </row>
    <row r="447">
      <c r="A447" s="562">
        <v>445.0</v>
      </c>
      <c r="B447" s="563" t="s">
        <v>1513</v>
      </c>
      <c r="C447" s="563" t="s">
        <v>5260</v>
      </c>
      <c r="D447" s="562">
        <v>1.0</v>
      </c>
      <c r="E447" s="562">
        <v>0.0</v>
      </c>
      <c r="F447" s="562">
        <v>0.0</v>
      </c>
      <c r="G447" s="562">
        <v>7.0</v>
      </c>
      <c r="H447" s="562">
        <v>0.0</v>
      </c>
      <c r="I447" s="423"/>
      <c r="J447" s="423"/>
      <c r="K447" s="423"/>
      <c r="L447" s="423"/>
      <c r="M447" s="423"/>
      <c r="N447" s="423"/>
      <c r="O447" s="423"/>
      <c r="P447" s="423"/>
      <c r="Q447" s="423"/>
      <c r="R447" s="423"/>
      <c r="S447" s="423"/>
      <c r="T447" s="423"/>
      <c r="U447" s="423"/>
      <c r="V447" s="423"/>
      <c r="W447" s="423"/>
      <c r="X447" s="423"/>
      <c r="Y447" s="423"/>
      <c r="Z447" s="423"/>
    </row>
    <row r="448">
      <c r="A448" s="564">
        <v>446.0</v>
      </c>
      <c r="B448" s="565" t="s">
        <v>1514</v>
      </c>
      <c r="C448" s="565" t="s">
        <v>5260</v>
      </c>
      <c r="D448" s="564">
        <v>3.0</v>
      </c>
      <c r="E448" s="564">
        <v>0.0</v>
      </c>
      <c r="F448" s="564">
        <v>0.0</v>
      </c>
      <c r="G448" s="564">
        <v>5.0</v>
      </c>
      <c r="H448" s="564">
        <v>0.0</v>
      </c>
      <c r="I448" s="423"/>
      <c r="J448" s="423"/>
      <c r="K448" s="423"/>
      <c r="L448" s="423"/>
      <c r="M448" s="423"/>
      <c r="N448" s="423"/>
      <c r="O448" s="423"/>
      <c r="P448" s="423"/>
      <c r="Q448" s="423"/>
      <c r="R448" s="423"/>
      <c r="S448" s="423"/>
      <c r="T448" s="423"/>
      <c r="U448" s="423"/>
      <c r="V448" s="423"/>
      <c r="W448" s="423"/>
      <c r="X448" s="423"/>
      <c r="Y448" s="423"/>
      <c r="Z448" s="423"/>
    </row>
    <row r="449">
      <c r="A449" s="562">
        <v>447.0</v>
      </c>
      <c r="B449" s="563" t="s">
        <v>1515</v>
      </c>
      <c r="C449" s="563" t="s">
        <v>5260</v>
      </c>
      <c r="D449" s="562">
        <v>4.0</v>
      </c>
      <c r="E449" s="562">
        <v>0.0</v>
      </c>
      <c r="F449" s="562">
        <v>0.0</v>
      </c>
      <c r="G449" s="562">
        <v>4.0</v>
      </c>
      <c r="H449" s="562">
        <v>0.0</v>
      </c>
      <c r="I449" s="423"/>
      <c r="J449" s="423"/>
      <c r="K449" s="423"/>
      <c r="L449" s="423"/>
      <c r="M449" s="423"/>
      <c r="N449" s="423"/>
      <c r="O449" s="423"/>
      <c r="P449" s="423"/>
      <c r="Q449" s="423"/>
      <c r="R449" s="423"/>
      <c r="S449" s="423"/>
      <c r="T449" s="423"/>
      <c r="U449" s="423"/>
      <c r="V449" s="423"/>
      <c r="W449" s="423"/>
      <c r="X449" s="423"/>
      <c r="Y449" s="423"/>
      <c r="Z449" s="423"/>
    </row>
    <row r="450">
      <c r="A450" s="564">
        <v>448.0</v>
      </c>
      <c r="B450" s="565" t="s">
        <v>1516</v>
      </c>
      <c r="C450" s="565" t="s">
        <v>5260</v>
      </c>
      <c r="D450" s="564">
        <v>2.0</v>
      </c>
      <c r="E450" s="564">
        <v>0.0</v>
      </c>
      <c r="F450" s="564">
        <v>0.0</v>
      </c>
      <c r="G450" s="564">
        <v>6.0</v>
      </c>
      <c r="H450" s="564">
        <v>0.0</v>
      </c>
      <c r="I450" s="423"/>
      <c r="J450" s="423"/>
      <c r="K450" s="423"/>
      <c r="L450" s="423"/>
      <c r="M450" s="423"/>
      <c r="N450" s="423"/>
      <c r="O450" s="423"/>
      <c r="P450" s="423"/>
      <c r="Q450" s="423"/>
      <c r="R450" s="423"/>
      <c r="S450" s="423"/>
      <c r="T450" s="423"/>
      <c r="U450" s="423"/>
      <c r="V450" s="423"/>
      <c r="W450" s="423"/>
      <c r="X450" s="423"/>
      <c r="Y450" s="423"/>
      <c r="Z450" s="423"/>
    </row>
    <row r="451">
      <c r="A451" s="562">
        <v>449.0</v>
      </c>
      <c r="B451" s="567" t="s">
        <v>5635</v>
      </c>
      <c r="C451" s="563" t="s">
        <v>5260</v>
      </c>
      <c r="D451" s="562">
        <v>1.0</v>
      </c>
      <c r="E451" s="562">
        <v>0.0</v>
      </c>
      <c r="F451" s="562">
        <v>0.0</v>
      </c>
      <c r="G451" s="562">
        <v>7.0</v>
      </c>
      <c r="H451" s="562">
        <v>0.0</v>
      </c>
      <c r="I451" s="423"/>
      <c r="J451" s="423"/>
      <c r="K451" s="423"/>
      <c r="L451" s="423"/>
      <c r="M451" s="423"/>
      <c r="N451" s="423"/>
      <c r="O451" s="423"/>
      <c r="P451" s="423"/>
      <c r="Q451" s="423"/>
      <c r="R451" s="423"/>
      <c r="S451" s="423"/>
      <c r="T451" s="423"/>
      <c r="U451" s="423"/>
      <c r="V451" s="423"/>
      <c r="W451" s="423"/>
      <c r="X451" s="423"/>
      <c r="Y451" s="423"/>
      <c r="Z451" s="423"/>
    </row>
    <row r="452">
      <c r="A452" s="564">
        <v>450.0</v>
      </c>
      <c r="B452" s="565" t="s">
        <v>1517</v>
      </c>
      <c r="C452" s="565" t="s">
        <v>5260</v>
      </c>
      <c r="D452" s="564">
        <v>1.0</v>
      </c>
      <c r="E452" s="564">
        <v>0.0</v>
      </c>
      <c r="F452" s="564">
        <v>0.0</v>
      </c>
      <c r="G452" s="564">
        <v>7.0</v>
      </c>
      <c r="H452" s="564">
        <v>0.0</v>
      </c>
      <c r="I452" s="423"/>
      <c r="J452" s="423"/>
      <c r="K452" s="423"/>
      <c r="L452" s="423"/>
      <c r="M452" s="423"/>
      <c r="N452" s="423"/>
      <c r="O452" s="423"/>
      <c r="P452" s="423"/>
      <c r="Q452" s="423"/>
      <c r="R452" s="423"/>
      <c r="S452" s="423"/>
      <c r="T452" s="423"/>
      <c r="U452" s="423"/>
      <c r="V452" s="423"/>
      <c r="W452" s="423"/>
      <c r="X452" s="423"/>
      <c r="Y452" s="423"/>
      <c r="Z452" s="423"/>
    </row>
    <row r="453">
      <c r="A453" s="562">
        <v>451.0</v>
      </c>
      <c r="B453" s="563" t="s">
        <v>1518</v>
      </c>
      <c r="C453" s="563" t="s">
        <v>5260</v>
      </c>
      <c r="D453" s="562">
        <v>2.0</v>
      </c>
      <c r="E453" s="562">
        <v>0.0</v>
      </c>
      <c r="F453" s="562">
        <v>0.0</v>
      </c>
      <c r="G453" s="562">
        <v>6.0</v>
      </c>
      <c r="H453" s="562">
        <v>0.0</v>
      </c>
      <c r="I453" s="423"/>
      <c r="J453" s="423"/>
      <c r="K453" s="423"/>
      <c r="L453" s="423"/>
      <c r="M453" s="423"/>
      <c r="N453" s="423"/>
      <c r="O453" s="423"/>
      <c r="P453" s="423"/>
      <c r="Q453" s="423"/>
      <c r="R453" s="423"/>
      <c r="S453" s="423"/>
      <c r="T453" s="423"/>
      <c r="U453" s="423"/>
      <c r="V453" s="423"/>
      <c r="W453" s="423"/>
      <c r="X453" s="423"/>
      <c r="Y453" s="423"/>
      <c r="Z453" s="423"/>
    </row>
    <row r="454">
      <c r="A454" s="564">
        <v>452.0</v>
      </c>
      <c r="B454" s="565" t="s">
        <v>1519</v>
      </c>
      <c r="C454" s="565" t="s">
        <v>5260</v>
      </c>
      <c r="D454" s="564">
        <v>1.0</v>
      </c>
      <c r="E454" s="564">
        <v>0.0</v>
      </c>
      <c r="F454" s="564">
        <v>0.0</v>
      </c>
      <c r="G454" s="564">
        <v>7.0</v>
      </c>
      <c r="H454" s="564">
        <v>0.0</v>
      </c>
      <c r="I454" s="423"/>
      <c r="J454" s="423"/>
      <c r="K454" s="423"/>
      <c r="L454" s="423"/>
      <c r="M454" s="423"/>
      <c r="N454" s="423"/>
      <c r="O454" s="423"/>
      <c r="P454" s="423"/>
      <c r="Q454" s="423"/>
      <c r="R454" s="423"/>
      <c r="S454" s="423"/>
      <c r="T454" s="423"/>
      <c r="U454" s="423"/>
      <c r="V454" s="423"/>
      <c r="W454" s="423"/>
      <c r="X454" s="423"/>
      <c r="Y454" s="423"/>
      <c r="Z454" s="423"/>
    </row>
    <row r="455">
      <c r="A455" s="562">
        <v>453.0</v>
      </c>
      <c r="B455" s="563" t="s">
        <v>1520</v>
      </c>
      <c r="C455" s="563" t="s">
        <v>5260</v>
      </c>
      <c r="D455" s="562">
        <v>2.0</v>
      </c>
      <c r="E455" s="562">
        <v>0.0</v>
      </c>
      <c r="F455" s="562">
        <v>0.0</v>
      </c>
      <c r="G455" s="562">
        <v>6.0</v>
      </c>
      <c r="H455" s="562">
        <v>0.0</v>
      </c>
      <c r="I455" s="423"/>
      <c r="J455" s="423"/>
      <c r="K455" s="423"/>
      <c r="L455" s="423"/>
      <c r="M455" s="423"/>
      <c r="N455" s="423"/>
      <c r="O455" s="423"/>
      <c r="P455" s="423"/>
      <c r="Q455" s="423"/>
      <c r="R455" s="423"/>
      <c r="S455" s="423"/>
      <c r="T455" s="423"/>
      <c r="U455" s="423"/>
      <c r="V455" s="423"/>
      <c r="W455" s="423"/>
      <c r="X455" s="423"/>
      <c r="Y455" s="423"/>
      <c r="Z455" s="423"/>
    </row>
    <row r="456">
      <c r="A456" s="564">
        <v>454.0</v>
      </c>
      <c r="B456" s="565" t="s">
        <v>1521</v>
      </c>
      <c r="C456" s="565" t="s">
        <v>5260</v>
      </c>
      <c r="D456" s="564">
        <v>2.0</v>
      </c>
      <c r="E456" s="564">
        <v>0.0</v>
      </c>
      <c r="F456" s="564">
        <v>0.0</v>
      </c>
      <c r="G456" s="564">
        <v>6.0</v>
      </c>
      <c r="H456" s="564">
        <v>0.0</v>
      </c>
      <c r="I456" s="423"/>
      <c r="J456" s="423"/>
      <c r="K456" s="423"/>
      <c r="L456" s="423"/>
      <c r="M456" s="423"/>
      <c r="N456" s="423"/>
      <c r="O456" s="423"/>
      <c r="P456" s="423"/>
      <c r="Q456" s="423"/>
      <c r="R456" s="423"/>
      <c r="S456" s="423"/>
      <c r="T456" s="423"/>
      <c r="U456" s="423"/>
      <c r="V456" s="423"/>
      <c r="W456" s="423"/>
      <c r="X456" s="423"/>
      <c r="Y456" s="423"/>
      <c r="Z456" s="423"/>
    </row>
    <row r="457">
      <c r="A457" s="562">
        <v>455.0</v>
      </c>
      <c r="B457" s="563" t="s">
        <v>1522</v>
      </c>
      <c r="C457" s="563" t="s">
        <v>5260</v>
      </c>
      <c r="D457" s="562">
        <v>1.0</v>
      </c>
      <c r="E457" s="562">
        <v>0.0</v>
      </c>
      <c r="F457" s="562">
        <v>0.0</v>
      </c>
      <c r="G457" s="562">
        <v>7.0</v>
      </c>
      <c r="H457" s="562">
        <v>0.0</v>
      </c>
      <c r="I457" s="423"/>
      <c r="J457" s="423"/>
      <c r="K457" s="423"/>
      <c r="L457" s="423"/>
      <c r="M457" s="423"/>
      <c r="N457" s="423"/>
      <c r="O457" s="423"/>
      <c r="P457" s="423"/>
      <c r="Q457" s="423"/>
      <c r="R457" s="423"/>
      <c r="S457" s="423"/>
      <c r="T457" s="423"/>
      <c r="U457" s="423"/>
      <c r="V457" s="423"/>
      <c r="W457" s="423"/>
      <c r="X457" s="423"/>
      <c r="Y457" s="423"/>
      <c r="Z457" s="423"/>
    </row>
    <row r="458">
      <c r="A458" s="564">
        <v>456.0</v>
      </c>
      <c r="B458" s="565" t="s">
        <v>1523</v>
      </c>
      <c r="C458" s="565" t="s">
        <v>5260</v>
      </c>
      <c r="D458" s="564">
        <v>3.0</v>
      </c>
      <c r="E458" s="564">
        <v>0.0</v>
      </c>
      <c r="F458" s="564">
        <v>0.0</v>
      </c>
      <c r="G458" s="564">
        <v>5.0</v>
      </c>
      <c r="H458" s="564">
        <v>0.0</v>
      </c>
      <c r="I458" s="423"/>
      <c r="J458" s="423"/>
      <c r="K458" s="423"/>
      <c r="L458" s="423"/>
      <c r="M458" s="423"/>
      <c r="N458" s="423"/>
      <c r="O458" s="423"/>
      <c r="P458" s="423"/>
      <c r="Q458" s="423"/>
      <c r="R458" s="423"/>
      <c r="S458" s="423"/>
      <c r="T458" s="423"/>
      <c r="U458" s="423"/>
      <c r="V458" s="423"/>
      <c r="W458" s="423"/>
      <c r="X458" s="423"/>
      <c r="Y458" s="423"/>
      <c r="Z458" s="423"/>
    </row>
    <row r="459">
      <c r="A459" s="562">
        <v>457.0</v>
      </c>
      <c r="B459" s="563" t="s">
        <v>1524</v>
      </c>
      <c r="C459" s="563" t="s">
        <v>5260</v>
      </c>
      <c r="D459" s="562">
        <v>4.0</v>
      </c>
      <c r="E459" s="562">
        <v>0.0</v>
      </c>
      <c r="F459" s="562">
        <v>0.0</v>
      </c>
      <c r="G459" s="562">
        <v>4.0</v>
      </c>
      <c r="H459" s="562">
        <v>0.0</v>
      </c>
      <c r="I459" s="423"/>
      <c r="J459" s="423"/>
      <c r="K459" s="423"/>
      <c r="L459" s="423"/>
      <c r="M459" s="423"/>
      <c r="N459" s="423"/>
      <c r="O459" s="423"/>
      <c r="P459" s="423"/>
      <c r="Q459" s="423"/>
      <c r="R459" s="423"/>
      <c r="S459" s="423"/>
      <c r="T459" s="423"/>
      <c r="U459" s="423"/>
      <c r="V459" s="423"/>
      <c r="W459" s="423"/>
      <c r="X459" s="423"/>
      <c r="Y459" s="423"/>
      <c r="Z459" s="423"/>
    </row>
    <row r="460">
      <c r="A460" s="564">
        <v>458.0</v>
      </c>
      <c r="B460" s="565" t="s">
        <v>1525</v>
      </c>
      <c r="C460" s="565" t="s">
        <v>5260</v>
      </c>
      <c r="D460" s="564">
        <v>1.0</v>
      </c>
      <c r="E460" s="564">
        <v>0.0</v>
      </c>
      <c r="F460" s="564">
        <v>0.0</v>
      </c>
      <c r="G460" s="564">
        <v>7.0</v>
      </c>
      <c r="H460" s="564">
        <v>0.0</v>
      </c>
      <c r="I460" s="423"/>
      <c r="J460" s="423"/>
      <c r="K460" s="423"/>
      <c r="L460" s="423"/>
      <c r="M460" s="423"/>
      <c r="N460" s="423"/>
      <c r="O460" s="423"/>
      <c r="P460" s="423"/>
      <c r="Q460" s="423"/>
      <c r="R460" s="423"/>
      <c r="S460" s="423"/>
      <c r="T460" s="423"/>
      <c r="U460" s="423"/>
      <c r="V460" s="423"/>
      <c r="W460" s="423"/>
      <c r="X460" s="423"/>
      <c r="Y460" s="423"/>
      <c r="Z460" s="423"/>
    </row>
    <row r="461">
      <c r="A461" s="562">
        <v>459.0</v>
      </c>
      <c r="B461" s="563" t="s">
        <v>1526</v>
      </c>
      <c r="C461" s="563" t="s">
        <v>5260</v>
      </c>
      <c r="D461" s="562">
        <v>1.0</v>
      </c>
      <c r="E461" s="562">
        <v>0.0</v>
      </c>
      <c r="F461" s="562">
        <v>0.0</v>
      </c>
      <c r="G461" s="562">
        <v>7.0</v>
      </c>
      <c r="H461" s="562">
        <v>0.0</v>
      </c>
      <c r="I461" s="423"/>
      <c r="J461" s="423"/>
      <c r="K461" s="423"/>
      <c r="L461" s="423"/>
      <c r="M461" s="423"/>
      <c r="N461" s="423"/>
      <c r="O461" s="423"/>
      <c r="P461" s="423"/>
      <c r="Q461" s="423"/>
      <c r="R461" s="423"/>
      <c r="S461" s="423"/>
      <c r="T461" s="423"/>
      <c r="U461" s="423"/>
      <c r="V461" s="423"/>
      <c r="W461" s="423"/>
      <c r="X461" s="423"/>
      <c r="Y461" s="423"/>
      <c r="Z461" s="423"/>
    </row>
    <row r="462">
      <c r="A462" s="564">
        <v>460.0</v>
      </c>
      <c r="B462" s="565" t="s">
        <v>1527</v>
      </c>
      <c r="C462" s="565" t="s">
        <v>5260</v>
      </c>
      <c r="D462" s="564">
        <v>1.0</v>
      </c>
      <c r="E462" s="564">
        <v>0.0</v>
      </c>
      <c r="F462" s="564">
        <v>0.0</v>
      </c>
      <c r="G462" s="564">
        <v>7.0</v>
      </c>
      <c r="H462" s="564">
        <v>0.0</v>
      </c>
      <c r="I462" s="423"/>
      <c r="J462" s="423"/>
      <c r="K462" s="423"/>
      <c r="L462" s="423"/>
      <c r="M462" s="423"/>
      <c r="N462" s="423"/>
      <c r="O462" s="423"/>
      <c r="P462" s="423"/>
      <c r="Q462" s="423"/>
      <c r="R462" s="423"/>
      <c r="S462" s="423"/>
      <c r="T462" s="423"/>
      <c r="U462" s="423"/>
      <c r="V462" s="423"/>
      <c r="W462" s="423"/>
      <c r="X462" s="423"/>
      <c r="Y462" s="423"/>
      <c r="Z462" s="423"/>
    </row>
    <row r="463">
      <c r="A463" s="562">
        <v>461.0</v>
      </c>
      <c r="B463" s="563" t="s">
        <v>1528</v>
      </c>
      <c r="C463" s="563" t="s">
        <v>5260</v>
      </c>
      <c r="D463" s="562">
        <v>1.0</v>
      </c>
      <c r="E463" s="562">
        <v>0.0</v>
      </c>
      <c r="F463" s="562">
        <v>0.0</v>
      </c>
      <c r="G463" s="562">
        <v>7.0</v>
      </c>
      <c r="H463" s="562">
        <v>0.0</v>
      </c>
      <c r="I463" s="423"/>
      <c r="J463" s="423"/>
      <c r="K463" s="423"/>
      <c r="L463" s="423"/>
      <c r="M463" s="423"/>
      <c r="N463" s="423"/>
      <c r="O463" s="423"/>
      <c r="P463" s="423"/>
      <c r="Q463" s="423"/>
      <c r="R463" s="423"/>
      <c r="S463" s="423"/>
      <c r="T463" s="423"/>
      <c r="U463" s="423"/>
      <c r="V463" s="423"/>
      <c r="W463" s="423"/>
      <c r="X463" s="423"/>
      <c r="Y463" s="423"/>
      <c r="Z463" s="423"/>
    </row>
    <row r="464">
      <c r="A464" s="564">
        <v>462.0</v>
      </c>
      <c r="B464" s="565" t="s">
        <v>1529</v>
      </c>
      <c r="C464" s="565" t="s">
        <v>5260</v>
      </c>
      <c r="D464" s="564">
        <v>1.0</v>
      </c>
      <c r="E464" s="564">
        <v>0.0</v>
      </c>
      <c r="F464" s="564">
        <v>0.0</v>
      </c>
      <c r="G464" s="564">
        <v>7.0</v>
      </c>
      <c r="H464" s="564">
        <v>0.0</v>
      </c>
      <c r="I464" s="423"/>
      <c r="J464" s="423"/>
      <c r="K464" s="423"/>
      <c r="L464" s="423"/>
      <c r="M464" s="423"/>
      <c r="N464" s="423"/>
      <c r="O464" s="423"/>
      <c r="P464" s="423"/>
      <c r="Q464" s="423"/>
      <c r="R464" s="423"/>
      <c r="S464" s="423"/>
      <c r="T464" s="423"/>
      <c r="U464" s="423"/>
      <c r="V464" s="423"/>
      <c r="W464" s="423"/>
      <c r="X464" s="423"/>
      <c r="Y464" s="423"/>
      <c r="Z464" s="423"/>
    </row>
    <row r="465">
      <c r="A465" s="562">
        <v>463.0</v>
      </c>
      <c r="B465" s="563" t="s">
        <v>1531</v>
      </c>
      <c r="C465" s="563" t="s">
        <v>5260</v>
      </c>
      <c r="D465" s="562">
        <v>1.0</v>
      </c>
      <c r="E465" s="562">
        <v>0.0</v>
      </c>
      <c r="F465" s="562">
        <v>0.0</v>
      </c>
      <c r="G465" s="562">
        <v>7.0</v>
      </c>
      <c r="H465" s="562">
        <v>0.0</v>
      </c>
      <c r="I465" s="423"/>
      <c r="J465" s="423"/>
      <c r="K465" s="423"/>
      <c r="L465" s="423"/>
      <c r="M465" s="423"/>
      <c r="N465" s="423"/>
      <c r="O465" s="423"/>
      <c r="P465" s="423"/>
      <c r="Q465" s="423"/>
      <c r="R465" s="423"/>
      <c r="S465" s="423"/>
      <c r="T465" s="423"/>
      <c r="U465" s="423"/>
      <c r="V465" s="423"/>
      <c r="W465" s="423"/>
      <c r="X465" s="423"/>
      <c r="Y465" s="423"/>
      <c r="Z465" s="423"/>
    </row>
    <row r="466">
      <c r="A466" s="564">
        <v>464.0</v>
      </c>
      <c r="B466" s="565" t="s">
        <v>1530</v>
      </c>
      <c r="C466" s="565" t="s">
        <v>5260</v>
      </c>
      <c r="D466" s="564">
        <v>1.0</v>
      </c>
      <c r="E466" s="564">
        <v>0.0</v>
      </c>
      <c r="F466" s="564">
        <v>0.0</v>
      </c>
      <c r="G466" s="564">
        <v>7.0</v>
      </c>
      <c r="H466" s="564">
        <v>0.0</v>
      </c>
      <c r="I466" s="423"/>
      <c r="J466" s="423"/>
      <c r="K466" s="423"/>
      <c r="L466" s="423"/>
      <c r="M466" s="423"/>
      <c r="N466" s="423"/>
      <c r="O466" s="423"/>
      <c r="P466" s="423"/>
      <c r="Q466" s="423"/>
      <c r="R466" s="423"/>
      <c r="S466" s="423"/>
      <c r="T466" s="423"/>
      <c r="U466" s="423"/>
      <c r="V466" s="423"/>
      <c r="W466" s="423"/>
      <c r="X466" s="423"/>
      <c r="Y466" s="423"/>
      <c r="Z466" s="423"/>
    </row>
    <row r="467">
      <c r="A467" s="562">
        <v>465.0</v>
      </c>
      <c r="B467" s="563" t="s">
        <v>1532</v>
      </c>
      <c r="C467" s="563" t="s">
        <v>5260</v>
      </c>
      <c r="D467" s="562">
        <v>1.0</v>
      </c>
      <c r="E467" s="562">
        <v>0.0</v>
      </c>
      <c r="F467" s="562">
        <v>0.0</v>
      </c>
      <c r="G467" s="562">
        <v>7.0</v>
      </c>
      <c r="H467" s="562">
        <v>0.0</v>
      </c>
      <c r="I467" s="423"/>
      <c r="J467" s="423"/>
      <c r="K467" s="423"/>
      <c r="L467" s="423"/>
      <c r="M467" s="423"/>
      <c r="N467" s="423"/>
      <c r="O467" s="423"/>
      <c r="P467" s="423"/>
      <c r="Q467" s="423"/>
      <c r="R467" s="423"/>
      <c r="S467" s="423"/>
      <c r="T467" s="423"/>
      <c r="U467" s="423"/>
      <c r="V467" s="423"/>
      <c r="W467" s="423"/>
      <c r="X467" s="423"/>
      <c r="Y467" s="423"/>
      <c r="Z467" s="423"/>
    </row>
    <row r="468">
      <c r="A468" s="564">
        <v>466.0</v>
      </c>
      <c r="B468" s="565" t="s">
        <v>1533</v>
      </c>
      <c r="C468" s="565" t="s">
        <v>5260</v>
      </c>
      <c r="D468" s="564">
        <v>0.0</v>
      </c>
      <c r="E468" s="564">
        <v>0.0</v>
      </c>
      <c r="F468" s="564">
        <v>0.0</v>
      </c>
      <c r="G468" s="564">
        <v>8.0</v>
      </c>
      <c r="H468" s="564">
        <v>0.0</v>
      </c>
      <c r="I468" s="423"/>
      <c r="J468" s="423"/>
      <c r="K468" s="423"/>
      <c r="L468" s="423"/>
      <c r="M468" s="423"/>
      <c r="N468" s="423"/>
      <c r="O468" s="423"/>
      <c r="P468" s="423"/>
      <c r="Q468" s="423"/>
      <c r="R468" s="423"/>
      <c r="S468" s="423"/>
      <c r="T468" s="423"/>
      <c r="U468" s="423"/>
      <c r="V468" s="423"/>
      <c r="W468" s="423"/>
      <c r="X468" s="423"/>
      <c r="Y468" s="423"/>
      <c r="Z468" s="423"/>
    </row>
    <row r="469">
      <c r="A469" s="562">
        <v>467.0</v>
      </c>
      <c r="B469" s="563" t="s">
        <v>1534</v>
      </c>
      <c r="C469" s="563" t="s">
        <v>5260</v>
      </c>
      <c r="D469" s="562">
        <v>4.0</v>
      </c>
      <c r="E469" s="562">
        <v>0.0</v>
      </c>
      <c r="F469" s="562">
        <v>0.0</v>
      </c>
      <c r="G469" s="562">
        <v>4.0</v>
      </c>
      <c r="H469" s="562">
        <v>0.0</v>
      </c>
      <c r="I469" s="423"/>
      <c r="J469" s="423"/>
      <c r="K469" s="423"/>
      <c r="L469" s="423"/>
      <c r="M469" s="423"/>
      <c r="N469" s="423"/>
      <c r="O469" s="423"/>
      <c r="P469" s="423"/>
      <c r="Q469" s="423"/>
      <c r="R469" s="423"/>
      <c r="S469" s="423"/>
      <c r="T469" s="423"/>
      <c r="U469" s="423"/>
      <c r="V469" s="423"/>
      <c r="W469" s="423"/>
      <c r="X469" s="423"/>
      <c r="Y469" s="423"/>
      <c r="Z469" s="423"/>
    </row>
    <row r="470">
      <c r="A470" s="564">
        <v>468.0</v>
      </c>
      <c r="B470" s="565" t="s">
        <v>1535</v>
      </c>
      <c r="C470" s="565" t="s">
        <v>5260</v>
      </c>
      <c r="D470" s="564">
        <v>2.0</v>
      </c>
      <c r="E470" s="564">
        <v>0.0</v>
      </c>
      <c r="F470" s="564">
        <v>0.0</v>
      </c>
      <c r="G470" s="564">
        <v>6.0</v>
      </c>
      <c r="H470" s="564">
        <v>0.0</v>
      </c>
      <c r="I470" s="423"/>
      <c r="J470" s="423"/>
      <c r="K470" s="423"/>
      <c r="L470" s="423"/>
      <c r="M470" s="423"/>
      <c r="N470" s="423"/>
      <c r="O470" s="423"/>
      <c r="P470" s="423"/>
      <c r="Q470" s="423"/>
      <c r="R470" s="423"/>
      <c r="S470" s="423"/>
      <c r="T470" s="423"/>
      <c r="U470" s="423"/>
      <c r="V470" s="423"/>
      <c r="W470" s="423"/>
      <c r="X470" s="423"/>
      <c r="Y470" s="423"/>
      <c r="Z470" s="423"/>
    </row>
    <row r="471">
      <c r="A471" s="562">
        <v>469.0</v>
      </c>
      <c r="B471" s="563" t="s">
        <v>1536</v>
      </c>
      <c r="C471" s="563" t="s">
        <v>5260</v>
      </c>
      <c r="D471" s="562">
        <v>4.0</v>
      </c>
      <c r="E471" s="562">
        <v>0.0</v>
      </c>
      <c r="F471" s="562">
        <v>0.0</v>
      </c>
      <c r="G471" s="562">
        <v>4.0</v>
      </c>
      <c r="H471" s="562">
        <v>0.0</v>
      </c>
      <c r="I471" s="423"/>
      <c r="J471" s="423"/>
      <c r="K471" s="423"/>
      <c r="L471" s="423"/>
      <c r="M471" s="423"/>
      <c r="N471" s="423"/>
      <c r="O471" s="423"/>
      <c r="P471" s="423"/>
      <c r="Q471" s="423"/>
      <c r="R471" s="423"/>
      <c r="S471" s="423"/>
      <c r="T471" s="423"/>
      <c r="U471" s="423"/>
      <c r="V471" s="423"/>
      <c r="W471" s="423"/>
      <c r="X471" s="423"/>
      <c r="Y471" s="423"/>
      <c r="Z471" s="423"/>
    </row>
    <row r="472">
      <c r="A472" s="564">
        <v>470.0</v>
      </c>
      <c r="B472" s="565" t="s">
        <v>1537</v>
      </c>
      <c r="C472" s="565" t="s">
        <v>5260</v>
      </c>
      <c r="D472" s="564">
        <v>0.0</v>
      </c>
      <c r="E472" s="564">
        <v>0.0</v>
      </c>
      <c r="F472" s="564">
        <v>0.0</v>
      </c>
      <c r="G472" s="564">
        <v>8.0</v>
      </c>
      <c r="H472" s="564">
        <v>0.0</v>
      </c>
      <c r="I472" s="423"/>
      <c r="J472" s="423"/>
      <c r="K472" s="423"/>
      <c r="L472" s="423"/>
      <c r="M472" s="423"/>
      <c r="N472" s="423"/>
      <c r="O472" s="423"/>
      <c r="P472" s="423"/>
      <c r="Q472" s="423"/>
      <c r="R472" s="423"/>
      <c r="S472" s="423"/>
      <c r="T472" s="423"/>
      <c r="U472" s="423"/>
      <c r="V472" s="423"/>
      <c r="W472" s="423"/>
      <c r="X472" s="423"/>
      <c r="Y472" s="423"/>
      <c r="Z472" s="423"/>
    </row>
    <row r="473">
      <c r="A473" s="562">
        <v>471.0</v>
      </c>
      <c r="B473" s="563" t="s">
        <v>1538</v>
      </c>
      <c r="C473" s="563" t="s">
        <v>5260</v>
      </c>
      <c r="D473" s="562">
        <v>1.0</v>
      </c>
      <c r="E473" s="562">
        <v>0.0</v>
      </c>
      <c r="F473" s="562">
        <v>0.0</v>
      </c>
      <c r="G473" s="562">
        <v>7.0</v>
      </c>
      <c r="H473" s="562">
        <v>0.0</v>
      </c>
      <c r="I473" s="423"/>
      <c r="J473" s="423"/>
      <c r="K473" s="423"/>
      <c r="L473" s="423"/>
      <c r="M473" s="423"/>
      <c r="N473" s="423"/>
      <c r="O473" s="423"/>
      <c r="P473" s="423"/>
      <c r="Q473" s="423"/>
      <c r="R473" s="423"/>
      <c r="S473" s="423"/>
      <c r="T473" s="423"/>
      <c r="U473" s="423"/>
      <c r="V473" s="423"/>
      <c r="W473" s="423"/>
      <c r="X473" s="423"/>
      <c r="Y473" s="423"/>
      <c r="Z473" s="423"/>
    </row>
    <row r="474">
      <c r="A474" s="564">
        <v>472.0</v>
      </c>
      <c r="B474" s="565" t="s">
        <v>1539</v>
      </c>
      <c r="C474" s="565" t="s">
        <v>5260</v>
      </c>
      <c r="D474" s="564">
        <v>0.0</v>
      </c>
      <c r="E474" s="564">
        <v>0.0</v>
      </c>
      <c r="F474" s="564">
        <v>0.0</v>
      </c>
      <c r="G474" s="564">
        <v>8.0</v>
      </c>
      <c r="H474" s="564">
        <v>0.0</v>
      </c>
      <c r="I474" s="423"/>
      <c r="J474" s="423"/>
      <c r="K474" s="423"/>
      <c r="L474" s="423"/>
      <c r="M474" s="423"/>
      <c r="N474" s="423"/>
      <c r="O474" s="423"/>
      <c r="P474" s="423"/>
      <c r="Q474" s="423"/>
      <c r="R474" s="423"/>
      <c r="S474" s="423"/>
      <c r="T474" s="423"/>
      <c r="U474" s="423"/>
      <c r="V474" s="423"/>
      <c r="W474" s="423"/>
      <c r="X474" s="423"/>
      <c r="Y474" s="423"/>
      <c r="Z474" s="423"/>
    </row>
    <row r="475">
      <c r="A475" s="562">
        <v>473.0</v>
      </c>
      <c r="B475" s="563" t="s">
        <v>1540</v>
      </c>
      <c r="C475" s="563" t="s">
        <v>5260</v>
      </c>
      <c r="D475" s="562">
        <v>0.0</v>
      </c>
      <c r="E475" s="562">
        <v>0.0</v>
      </c>
      <c r="F475" s="562">
        <v>0.0</v>
      </c>
      <c r="G475" s="562">
        <v>8.0</v>
      </c>
      <c r="H475" s="562">
        <v>0.0</v>
      </c>
      <c r="I475" s="423"/>
      <c r="J475" s="423"/>
      <c r="K475" s="423"/>
      <c r="L475" s="423"/>
      <c r="M475" s="423"/>
      <c r="N475" s="423"/>
      <c r="O475" s="423"/>
      <c r="P475" s="423"/>
      <c r="Q475" s="423"/>
      <c r="R475" s="423"/>
      <c r="S475" s="423"/>
      <c r="T475" s="423"/>
      <c r="U475" s="423"/>
      <c r="V475" s="423"/>
      <c r="W475" s="423"/>
      <c r="X475" s="423"/>
      <c r="Y475" s="423"/>
      <c r="Z475" s="423"/>
    </row>
    <row r="476">
      <c r="A476" s="564">
        <v>474.0</v>
      </c>
      <c r="B476" s="565" t="s">
        <v>1541</v>
      </c>
      <c r="C476" s="565" t="s">
        <v>5262</v>
      </c>
      <c r="D476" s="564">
        <v>0.0</v>
      </c>
      <c r="E476" s="564">
        <v>0.0</v>
      </c>
      <c r="F476" s="564">
        <v>0.0</v>
      </c>
      <c r="G476" s="564">
        <v>8.0</v>
      </c>
      <c r="H476" s="564">
        <v>0.0</v>
      </c>
      <c r="I476" s="423"/>
      <c r="J476" s="423"/>
      <c r="K476" s="423"/>
      <c r="L476" s="423"/>
      <c r="M476" s="423"/>
      <c r="N476" s="423"/>
      <c r="O476" s="423"/>
      <c r="P476" s="423"/>
      <c r="Q476" s="423"/>
      <c r="R476" s="423"/>
      <c r="S476" s="423"/>
      <c r="T476" s="423"/>
      <c r="U476" s="423"/>
      <c r="V476" s="423"/>
      <c r="W476" s="423"/>
      <c r="X476" s="423"/>
      <c r="Y476" s="423"/>
      <c r="Z476" s="423"/>
    </row>
    <row r="477">
      <c r="A477" s="562">
        <v>475.0</v>
      </c>
      <c r="B477" s="563" t="s">
        <v>1543</v>
      </c>
      <c r="C477" s="563" t="s">
        <v>5262</v>
      </c>
      <c r="D477" s="562">
        <v>0.0</v>
      </c>
      <c r="E477" s="562">
        <v>0.0</v>
      </c>
      <c r="F477" s="562">
        <v>0.0</v>
      </c>
      <c r="G477" s="562">
        <v>8.0</v>
      </c>
      <c r="H477" s="562">
        <v>0.0</v>
      </c>
      <c r="I477" s="423"/>
      <c r="J477" s="423"/>
      <c r="K477" s="423"/>
      <c r="L477" s="423"/>
      <c r="M477" s="423"/>
      <c r="N477" s="423"/>
      <c r="O477" s="423"/>
      <c r="P477" s="423"/>
      <c r="Q477" s="423"/>
      <c r="R477" s="423"/>
      <c r="S477" s="423"/>
      <c r="T477" s="423"/>
      <c r="U477" s="423"/>
      <c r="V477" s="423"/>
      <c r="W477" s="423"/>
      <c r="X477" s="423"/>
      <c r="Y477" s="423"/>
      <c r="Z477" s="423"/>
    </row>
    <row r="478">
      <c r="A478" s="564">
        <v>476.0</v>
      </c>
      <c r="B478" s="565" t="s">
        <v>1544</v>
      </c>
      <c r="C478" s="565" t="s">
        <v>5262</v>
      </c>
      <c r="D478" s="564">
        <v>1.0</v>
      </c>
      <c r="E478" s="564">
        <v>0.0</v>
      </c>
      <c r="F478" s="564">
        <v>0.0</v>
      </c>
      <c r="G478" s="564">
        <v>7.0</v>
      </c>
      <c r="H478" s="564">
        <v>0.0</v>
      </c>
      <c r="I478" s="423"/>
      <c r="J478" s="423"/>
      <c r="K478" s="423"/>
      <c r="L478" s="423"/>
      <c r="M478" s="423"/>
      <c r="N478" s="423"/>
      <c r="O478" s="423"/>
      <c r="P478" s="423"/>
      <c r="Q478" s="423"/>
      <c r="R478" s="423"/>
      <c r="S478" s="423"/>
      <c r="T478" s="423"/>
      <c r="U478" s="423"/>
      <c r="V478" s="423"/>
      <c r="W478" s="423"/>
      <c r="X478" s="423"/>
      <c r="Y478" s="423"/>
      <c r="Z478" s="423"/>
    </row>
    <row r="479">
      <c r="A479" s="562">
        <v>477.0</v>
      </c>
      <c r="B479" s="563" t="s">
        <v>1545</v>
      </c>
      <c r="C479" s="563" t="s">
        <v>5262</v>
      </c>
      <c r="D479" s="562">
        <v>0.0</v>
      </c>
      <c r="E479" s="562">
        <v>0.0</v>
      </c>
      <c r="F479" s="562">
        <v>0.0</v>
      </c>
      <c r="G479" s="562">
        <v>8.0</v>
      </c>
      <c r="H479" s="562">
        <v>0.0</v>
      </c>
      <c r="I479" s="423"/>
      <c r="J479" s="423"/>
      <c r="K479" s="423"/>
      <c r="L479" s="423"/>
      <c r="M479" s="423"/>
      <c r="N479" s="423"/>
      <c r="O479" s="423"/>
      <c r="P479" s="423"/>
      <c r="Q479" s="423"/>
      <c r="R479" s="423"/>
      <c r="S479" s="423"/>
      <c r="T479" s="423"/>
      <c r="U479" s="423"/>
      <c r="V479" s="423"/>
      <c r="W479" s="423"/>
      <c r="X479" s="423"/>
      <c r="Y479" s="423"/>
      <c r="Z479" s="423"/>
    </row>
    <row r="480">
      <c r="A480" s="564">
        <v>478.0</v>
      </c>
      <c r="B480" s="565" t="s">
        <v>1546</v>
      </c>
      <c r="C480" s="565" t="s">
        <v>5262</v>
      </c>
      <c r="D480" s="564">
        <v>0.0</v>
      </c>
      <c r="E480" s="564">
        <v>0.0</v>
      </c>
      <c r="F480" s="564">
        <v>0.0</v>
      </c>
      <c r="G480" s="564">
        <v>8.0</v>
      </c>
      <c r="H480" s="564">
        <v>0.0</v>
      </c>
      <c r="I480" s="423"/>
      <c r="J480" s="423"/>
      <c r="K480" s="423"/>
      <c r="L480" s="423"/>
      <c r="M480" s="423"/>
      <c r="N480" s="423"/>
      <c r="O480" s="423"/>
      <c r="P480" s="423"/>
      <c r="Q480" s="423"/>
      <c r="R480" s="423"/>
      <c r="S480" s="423"/>
      <c r="T480" s="423"/>
      <c r="U480" s="423"/>
      <c r="V480" s="423"/>
      <c r="W480" s="423"/>
      <c r="X480" s="423"/>
      <c r="Y480" s="423"/>
      <c r="Z480" s="423"/>
    </row>
    <row r="481">
      <c r="A481" s="562">
        <v>479.0</v>
      </c>
      <c r="B481" s="563" t="s">
        <v>1547</v>
      </c>
      <c r="C481" s="563" t="s">
        <v>5262</v>
      </c>
      <c r="D481" s="562">
        <v>0.0</v>
      </c>
      <c r="E481" s="562">
        <v>0.0</v>
      </c>
      <c r="F481" s="562">
        <v>0.0</v>
      </c>
      <c r="G481" s="562">
        <v>8.0</v>
      </c>
      <c r="H481" s="562">
        <v>0.0</v>
      </c>
      <c r="I481" s="423"/>
      <c r="J481" s="423"/>
      <c r="K481" s="423"/>
      <c r="L481" s="423"/>
      <c r="M481" s="423"/>
      <c r="N481" s="423"/>
      <c r="O481" s="423"/>
      <c r="P481" s="423"/>
      <c r="Q481" s="423"/>
      <c r="R481" s="423"/>
      <c r="S481" s="423"/>
      <c r="T481" s="423"/>
      <c r="U481" s="423"/>
      <c r="V481" s="423"/>
      <c r="W481" s="423"/>
      <c r="X481" s="423"/>
      <c r="Y481" s="423"/>
      <c r="Z481" s="423"/>
    </row>
    <row r="482">
      <c r="A482" s="564">
        <v>480.0</v>
      </c>
      <c r="B482" s="565" t="s">
        <v>1548</v>
      </c>
      <c r="C482" s="565" t="s">
        <v>5262</v>
      </c>
      <c r="D482" s="564">
        <v>3.0</v>
      </c>
      <c r="E482" s="564">
        <v>0.0</v>
      </c>
      <c r="F482" s="564">
        <v>0.0</v>
      </c>
      <c r="G482" s="564">
        <v>5.0</v>
      </c>
      <c r="H482" s="564">
        <v>0.0</v>
      </c>
      <c r="I482" s="423"/>
      <c r="J482" s="423"/>
      <c r="K482" s="423"/>
      <c r="L482" s="423"/>
      <c r="M482" s="423"/>
      <c r="N482" s="423"/>
      <c r="O482" s="423"/>
      <c r="P482" s="423"/>
      <c r="Q482" s="423"/>
      <c r="R482" s="423"/>
      <c r="S482" s="423"/>
      <c r="T482" s="423"/>
      <c r="U482" s="423"/>
      <c r="V482" s="423"/>
      <c r="W482" s="423"/>
      <c r="X482" s="423"/>
      <c r="Y482" s="423"/>
      <c r="Z482" s="423"/>
    </row>
    <row r="483">
      <c r="A483" s="562">
        <v>481.0</v>
      </c>
      <c r="B483" s="563" t="s">
        <v>5636</v>
      </c>
      <c r="C483" s="563" t="s">
        <v>5262</v>
      </c>
      <c r="D483" s="562">
        <v>0.0</v>
      </c>
      <c r="E483" s="562">
        <v>0.0</v>
      </c>
      <c r="F483" s="562">
        <v>0.0</v>
      </c>
      <c r="G483" s="562">
        <v>8.0</v>
      </c>
      <c r="H483" s="562">
        <v>0.0</v>
      </c>
      <c r="I483" s="423"/>
      <c r="J483" s="423"/>
      <c r="K483" s="423"/>
      <c r="L483" s="423"/>
      <c r="M483" s="423"/>
      <c r="N483" s="423"/>
      <c r="O483" s="423"/>
      <c r="P483" s="423"/>
      <c r="Q483" s="423"/>
      <c r="R483" s="423"/>
      <c r="S483" s="423"/>
      <c r="T483" s="423"/>
      <c r="U483" s="423"/>
      <c r="V483" s="423"/>
      <c r="W483" s="423"/>
      <c r="X483" s="423"/>
      <c r="Y483" s="423"/>
      <c r="Z483" s="423"/>
    </row>
    <row r="484">
      <c r="A484" s="564">
        <v>482.0</v>
      </c>
      <c r="B484" s="565" t="s">
        <v>1550</v>
      </c>
      <c r="C484" s="565" t="s">
        <v>5262</v>
      </c>
      <c r="D484" s="564">
        <v>1.0</v>
      </c>
      <c r="E484" s="564">
        <v>0.0</v>
      </c>
      <c r="F484" s="564">
        <v>0.0</v>
      </c>
      <c r="G484" s="564">
        <v>7.0</v>
      </c>
      <c r="H484" s="564">
        <v>0.0</v>
      </c>
      <c r="I484" s="423"/>
      <c r="J484" s="423"/>
      <c r="K484" s="423"/>
      <c r="L484" s="423"/>
      <c r="M484" s="423"/>
      <c r="N484" s="423"/>
      <c r="O484" s="423"/>
      <c r="P484" s="423"/>
      <c r="Q484" s="423"/>
      <c r="R484" s="423"/>
      <c r="S484" s="423"/>
      <c r="T484" s="423"/>
      <c r="U484" s="423"/>
      <c r="V484" s="423"/>
      <c r="W484" s="423"/>
      <c r="X484" s="423"/>
      <c r="Y484" s="423"/>
      <c r="Z484" s="423"/>
    </row>
    <row r="485">
      <c r="A485" s="562">
        <v>483.0</v>
      </c>
      <c r="B485" s="563" t="s">
        <v>1551</v>
      </c>
      <c r="C485" s="563" t="s">
        <v>5262</v>
      </c>
      <c r="D485" s="562">
        <v>1.0</v>
      </c>
      <c r="E485" s="562">
        <v>0.0</v>
      </c>
      <c r="F485" s="562">
        <v>0.0</v>
      </c>
      <c r="G485" s="562">
        <v>7.0</v>
      </c>
      <c r="H485" s="562">
        <v>0.0</v>
      </c>
      <c r="I485" s="423"/>
      <c r="J485" s="423"/>
      <c r="K485" s="423"/>
      <c r="L485" s="423"/>
      <c r="M485" s="423"/>
      <c r="N485" s="423"/>
      <c r="O485" s="423"/>
      <c r="P485" s="423"/>
      <c r="Q485" s="423"/>
      <c r="R485" s="423"/>
      <c r="S485" s="423"/>
      <c r="T485" s="423"/>
      <c r="U485" s="423"/>
      <c r="V485" s="423"/>
      <c r="W485" s="423"/>
      <c r="X485" s="423"/>
      <c r="Y485" s="423"/>
      <c r="Z485" s="423"/>
    </row>
    <row r="486">
      <c r="A486" s="564">
        <v>484.0</v>
      </c>
      <c r="B486" s="565" t="s">
        <v>1552</v>
      </c>
      <c r="C486" s="565" t="s">
        <v>5262</v>
      </c>
      <c r="D486" s="564">
        <v>2.0</v>
      </c>
      <c r="E486" s="564">
        <v>0.0</v>
      </c>
      <c r="F486" s="564">
        <v>0.0</v>
      </c>
      <c r="G486" s="564">
        <v>6.0</v>
      </c>
      <c r="H486" s="564">
        <v>0.0</v>
      </c>
      <c r="I486" s="423"/>
      <c r="J486" s="423"/>
      <c r="K486" s="423"/>
      <c r="L486" s="423"/>
      <c r="M486" s="423"/>
      <c r="N486" s="423"/>
      <c r="O486" s="423"/>
      <c r="P486" s="423"/>
      <c r="Q486" s="423"/>
      <c r="R486" s="423"/>
      <c r="S486" s="423"/>
      <c r="T486" s="423"/>
      <c r="U486" s="423"/>
      <c r="V486" s="423"/>
      <c r="W486" s="423"/>
      <c r="X486" s="423"/>
      <c r="Y486" s="423"/>
      <c r="Z486" s="423"/>
    </row>
    <row r="487">
      <c r="A487" s="562">
        <v>485.0</v>
      </c>
      <c r="B487" s="563" t="s">
        <v>5637</v>
      </c>
      <c r="C487" s="563" t="s">
        <v>5262</v>
      </c>
      <c r="D487" s="562">
        <v>1.0</v>
      </c>
      <c r="E487" s="562">
        <v>0.0</v>
      </c>
      <c r="F487" s="562">
        <v>0.0</v>
      </c>
      <c r="G487" s="562">
        <v>7.0</v>
      </c>
      <c r="H487" s="562">
        <v>0.0</v>
      </c>
      <c r="I487" s="423"/>
      <c r="J487" s="423"/>
      <c r="K487" s="423"/>
      <c r="L487" s="423"/>
      <c r="M487" s="423"/>
      <c r="N487" s="423"/>
      <c r="O487" s="423"/>
      <c r="P487" s="423"/>
      <c r="Q487" s="423"/>
      <c r="R487" s="423"/>
      <c r="S487" s="423"/>
      <c r="T487" s="423"/>
      <c r="U487" s="423"/>
      <c r="V487" s="423"/>
      <c r="W487" s="423"/>
      <c r="X487" s="423"/>
      <c r="Y487" s="423"/>
      <c r="Z487" s="423"/>
    </row>
    <row r="488">
      <c r="A488" s="564">
        <v>486.0</v>
      </c>
      <c r="B488" s="565" t="s">
        <v>1554</v>
      </c>
      <c r="C488" s="565" t="s">
        <v>5262</v>
      </c>
      <c r="D488" s="564">
        <v>1.0</v>
      </c>
      <c r="E488" s="564">
        <v>0.0</v>
      </c>
      <c r="F488" s="564">
        <v>0.0</v>
      </c>
      <c r="G488" s="564">
        <v>7.0</v>
      </c>
      <c r="H488" s="564">
        <v>0.0</v>
      </c>
      <c r="I488" s="423"/>
      <c r="J488" s="423"/>
      <c r="K488" s="423"/>
      <c r="L488" s="423"/>
      <c r="M488" s="423"/>
      <c r="N488" s="423"/>
      <c r="O488" s="423"/>
      <c r="P488" s="423"/>
      <c r="Q488" s="423"/>
      <c r="R488" s="423"/>
      <c r="S488" s="423"/>
      <c r="T488" s="423"/>
      <c r="U488" s="423"/>
      <c r="V488" s="423"/>
      <c r="W488" s="423"/>
      <c r="X488" s="423"/>
      <c r="Y488" s="423"/>
      <c r="Z488" s="423"/>
    </row>
    <row r="489">
      <c r="A489" s="562">
        <v>487.0</v>
      </c>
      <c r="B489" s="563" t="s">
        <v>1555</v>
      </c>
      <c r="C489" s="563" t="s">
        <v>5262</v>
      </c>
      <c r="D489" s="562">
        <v>2.0</v>
      </c>
      <c r="E489" s="562">
        <v>0.0</v>
      </c>
      <c r="F489" s="562">
        <v>0.0</v>
      </c>
      <c r="G489" s="562">
        <v>6.0</v>
      </c>
      <c r="H489" s="562">
        <v>0.0</v>
      </c>
      <c r="I489" s="423"/>
      <c r="J489" s="423"/>
      <c r="K489" s="423"/>
      <c r="L489" s="423"/>
      <c r="M489" s="423"/>
      <c r="N489" s="423"/>
      <c r="O489" s="423"/>
      <c r="P489" s="423"/>
      <c r="Q489" s="423"/>
      <c r="R489" s="423"/>
      <c r="S489" s="423"/>
      <c r="T489" s="423"/>
      <c r="U489" s="423"/>
      <c r="V489" s="423"/>
      <c r="W489" s="423"/>
      <c r="X489" s="423"/>
      <c r="Y489" s="423"/>
      <c r="Z489" s="423"/>
    </row>
    <row r="490">
      <c r="A490" s="564">
        <v>488.0</v>
      </c>
      <c r="B490" s="565" t="s">
        <v>1556</v>
      </c>
      <c r="C490" s="565" t="s">
        <v>5262</v>
      </c>
      <c r="D490" s="564">
        <v>1.0</v>
      </c>
      <c r="E490" s="564">
        <v>0.0</v>
      </c>
      <c r="F490" s="564">
        <v>0.0</v>
      </c>
      <c r="G490" s="564">
        <v>7.0</v>
      </c>
      <c r="H490" s="564">
        <v>0.0</v>
      </c>
      <c r="I490" s="423"/>
      <c r="J490" s="423"/>
      <c r="K490" s="423"/>
      <c r="L490" s="423"/>
      <c r="M490" s="423"/>
      <c r="N490" s="423"/>
      <c r="O490" s="423"/>
      <c r="P490" s="423"/>
      <c r="Q490" s="423"/>
      <c r="R490" s="423"/>
      <c r="S490" s="423"/>
      <c r="T490" s="423"/>
      <c r="U490" s="423"/>
      <c r="V490" s="423"/>
      <c r="W490" s="423"/>
      <c r="X490" s="423"/>
      <c r="Y490" s="423"/>
      <c r="Z490" s="423"/>
    </row>
    <row r="491">
      <c r="A491" s="562">
        <v>489.0</v>
      </c>
      <c r="B491" s="563" t="s">
        <v>1557</v>
      </c>
      <c r="C491" s="563" t="s">
        <v>5262</v>
      </c>
      <c r="D491" s="562">
        <v>0.0</v>
      </c>
      <c r="E491" s="562">
        <v>0.0</v>
      </c>
      <c r="F491" s="562">
        <v>0.0</v>
      </c>
      <c r="G491" s="562">
        <v>8.0</v>
      </c>
      <c r="H491" s="562">
        <v>0.0</v>
      </c>
      <c r="I491" s="423"/>
      <c r="J491" s="423"/>
      <c r="K491" s="423"/>
      <c r="L491" s="423"/>
      <c r="M491" s="423"/>
      <c r="N491" s="423"/>
      <c r="O491" s="423"/>
      <c r="P491" s="423"/>
      <c r="Q491" s="423"/>
      <c r="R491" s="423"/>
      <c r="S491" s="423"/>
      <c r="T491" s="423"/>
      <c r="U491" s="423"/>
      <c r="V491" s="423"/>
      <c r="W491" s="423"/>
      <c r="X491" s="423"/>
      <c r="Y491" s="423"/>
      <c r="Z491" s="423"/>
    </row>
    <row r="492">
      <c r="A492" s="564">
        <v>490.0</v>
      </c>
      <c r="B492" s="565" t="s">
        <v>1558</v>
      </c>
      <c r="C492" s="565" t="s">
        <v>5262</v>
      </c>
      <c r="D492" s="564">
        <v>2.0</v>
      </c>
      <c r="E492" s="564">
        <v>0.0</v>
      </c>
      <c r="F492" s="564">
        <v>0.0</v>
      </c>
      <c r="G492" s="564">
        <v>6.0</v>
      </c>
      <c r="H492" s="564">
        <v>0.0</v>
      </c>
      <c r="I492" s="423"/>
      <c r="J492" s="423"/>
      <c r="K492" s="423"/>
      <c r="L492" s="423"/>
      <c r="M492" s="423"/>
      <c r="N492" s="423"/>
      <c r="O492" s="423"/>
      <c r="P492" s="423"/>
      <c r="Q492" s="423"/>
      <c r="R492" s="423"/>
      <c r="S492" s="423"/>
      <c r="T492" s="423"/>
      <c r="U492" s="423"/>
      <c r="V492" s="423"/>
      <c r="W492" s="423"/>
      <c r="X492" s="423"/>
      <c r="Y492" s="423"/>
      <c r="Z492" s="423"/>
    </row>
    <row r="493">
      <c r="A493" s="562">
        <v>491.0</v>
      </c>
      <c r="B493" s="563" t="s">
        <v>1559</v>
      </c>
      <c r="C493" s="563" t="s">
        <v>5262</v>
      </c>
      <c r="D493" s="562">
        <v>0.0</v>
      </c>
      <c r="E493" s="562">
        <v>0.0</v>
      </c>
      <c r="F493" s="562">
        <v>0.0</v>
      </c>
      <c r="G493" s="562">
        <v>8.0</v>
      </c>
      <c r="H493" s="562">
        <v>0.0</v>
      </c>
      <c r="I493" s="423"/>
      <c r="J493" s="423"/>
      <c r="K493" s="423"/>
      <c r="L493" s="423"/>
      <c r="M493" s="423"/>
      <c r="N493" s="423"/>
      <c r="O493" s="423"/>
      <c r="P493" s="423"/>
      <c r="Q493" s="423"/>
      <c r="R493" s="423"/>
      <c r="S493" s="423"/>
      <c r="T493" s="423"/>
      <c r="U493" s="423"/>
      <c r="V493" s="423"/>
      <c r="W493" s="423"/>
      <c r="X493" s="423"/>
      <c r="Y493" s="423"/>
      <c r="Z493" s="423"/>
    </row>
    <row r="494">
      <c r="A494" s="564">
        <v>492.0</v>
      </c>
      <c r="B494" s="565" t="s">
        <v>1560</v>
      </c>
      <c r="C494" s="565" t="s">
        <v>5262</v>
      </c>
      <c r="D494" s="564">
        <v>1.0</v>
      </c>
      <c r="E494" s="564">
        <v>0.0</v>
      </c>
      <c r="F494" s="564">
        <v>0.0</v>
      </c>
      <c r="G494" s="564">
        <v>7.0</v>
      </c>
      <c r="H494" s="564">
        <v>0.0</v>
      </c>
      <c r="I494" s="423"/>
      <c r="J494" s="423"/>
      <c r="K494" s="423"/>
      <c r="L494" s="423"/>
      <c r="M494" s="423"/>
      <c r="N494" s="423"/>
      <c r="O494" s="423"/>
      <c r="P494" s="423"/>
      <c r="Q494" s="423"/>
      <c r="R494" s="423"/>
      <c r="S494" s="423"/>
      <c r="T494" s="423"/>
      <c r="U494" s="423"/>
      <c r="V494" s="423"/>
      <c r="W494" s="423"/>
      <c r="X494" s="423"/>
      <c r="Y494" s="423"/>
      <c r="Z494" s="423"/>
    </row>
    <row r="495">
      <c r="A495" s="562">
        <v>493.0</v>
      </c>
      <c r="B495" s="563" t="s">
        <v>5638</v>
      </c>
      <c r="C495" s="563" t="s">
        <v>5262</v>
      </c>
      <c r="D495" s="562">
        <v>1.0</v>
      </c>
      <c r="E495" s="562">
        <v>0.0</v>
      </c>
      <c r="F495" s="562">
        <v>0.0</v>
      </c>
      <c r="G495" s="562">
        <v>7.0</v>
      </c>
      <c r="H495" s="562">
        <v>0.0</v>
      </c>
      <c r="I495" s="423"/>
      <c r="J495" s="423"/>
      <c r="K495" s="423"/>
      <c r="L495" s="423"/>
      <c r="M495" s="423"/>
      <c r="N495" s="423"/>
      <c r="O495" s="423"/>
      <c r="P495" s="423"/>
      <c r="Q495" s="423"/>
      <c r="R495" s="423"/>
      <c r="S495" s="423"/>
      <c r="T495" s="423"/>
      <c r="U495" s="423"/>
      <c r="V495" s="423"/>
      <c r="W495" s="423"/>
      <c r="X495" s="423"/>
      <c r="Y495" s="423"/>
      <c r="Z495" s="423"/>
    </row>
    <row r="496">
      <c r="A496" s="564">
        <v>494.0</v>
      </c>
      <c r="B496" s="565" t="s">
        <v>1562</v>
      </c>
      <c r="C496" s="565" t="s">
        <v>5262</v>
      </c>
      <c r="D496" s="564">
        <v>1.0</v>
      </c>
      <c r="E496" s="564">
        <v>0.0</v>
      </c>
      <c r="F496" s="564">
        <v>0.0</v>
      </c>
      <c r="G496" s="564">
        <v>7.0</v>
      </c>
      <c r="H496" s="564">
        <v>0.0</v>
      </c>
      <c r="I496" s="423"/>
      <c r="J496" s="423"/>
      <c r="K496" s="423"/>
      <c r="L496" s="423"/>
      <c r="M496" s="423"/>
      <c r="N496" s="423"/>
      <c r="O496" s="423"/>
      <c r="P496" s="423"/>
      <c r="Q496" s="423"/>
      <c r="R496" s="423"/>
      <c r="S496" s="423"/>
      <c r="T496" s="423"/>
      <c r="U496" s="423"/>
      <c r="V496" s="423"/>
      <c r="W496" s="423"/>
      <c r="X496" s="423"/>
      <c r="Y496" s="423"/>
      <c r="Z496" s="423"/>
    </row>
    <row r="497">
      <c r="A497" s="562">
        <v>495.0</v>
      </c>
      <c r="B497" s="563" t="s">
        <v>1563</v>
      </c>
      <c r="C497" s="563" t="s">
        <v>5262</v>
      </c>
      <c r="D497" s="562">
        <v>3.0</v>
      </c>
      <c r="E497" s="562">
        <v>0.0</v>
      </c>
      <c r="F497" s="562">
        <v>0.0</v>
      </c>
      <c r="G497" s="562">
        <v>5.0</v>
      </c>
      <c r="H497" s="562">
        <v>0.0</v>
      </c>
      <c r="I497" s="423"/>
      <c r="J497" s="423"/>
      <c r="K497" s="423"/>
      <c r="L497" s="423"/>
      <c r="M497" s="423"/>
      <c r="N497" s="423"/>
      <c r="O497" s="423"/>
      <c r="P497" s="423"/>
      <c r="Q497" s="423"/>
      <c r="R497" s="423"/>
      <c r="S497" s="423"/>
      <c r="T497" s="423"/>
      <c r="U497" s="423"/>
      <c r="V497" s="423"/>
      <c r="W497" s="423"/>
      <c r="X497" s="423"/>
      <c r="Y497" s="423"/>
      <c r="Z497" s="423"/>
    </row>
    <row r="498">
      <c r="A498" s="564">
        <v>496.0</v>
      </c>
      <c r="B498" s="565" t="s">
        <v>1564</v>
      </c>
      <c r="C498" s="565" t="s">
        <v>5262</v>
      </c>
      <c r="D498" s="564">
        <v>2.0</v>
      </c>
      <c r="E498" s="564">
        <v>0.0</v>
      </c>
      <c r="F498" s="564">
        <v>0.0</v>
      </c>
      <c r="G498" s="564">
        <v>6.0</v>
      </c>
      <c r="H498" s="564">
        <v>0.0</v>
      </c>
      <c r="I498" s="423"/>
      <c r="J498" s="423"/>
      <c r="K498" s="423"/>
      <c r="L498" s="423"/>
      <c r="M498" s="423"/>
      <c r="N498" s="423"/>
      <c r="O498" s="423"/>
      <c r="P498" s="423"/>
      <c r="Q498" s="423"/>
      <c r="R498" s="423"/>
      <c r="S498" s="423"/>
      <c r="T498" s="423"/>
      <c r="U498" s="423"/>
      <c r="V498" s="423"/>
      <c r="W498" s="423"/>
      <c r="X498" s="423"/>
      <c r="Y498" s="423"/>
      <c r="Z498" s="423"/>
    </row>
    <row r="499">
      <c r="A499" s="562">
        <v>497.0</v>
      </c>
      <c r="B499" s="563" t="s">
        <v>1565</v>
      </c>
      <c r="C499" s="563" t="s">
        <v>5262</v>
      </c>
      <c r="D499" s="562">
        <v>1.0</v>
      </c>
      <c r="E499" s="562">
        <v>0.0</v>
      </c>
      <c r="F499" s="562">
        <v>0.0</v>
      </c>
      <c r="G499" s="562">
        <v>7.0</v>
      </c>
      <c r="H499" s="562">
        <v>0.0</v>
      </c>
      <c r="I499" s="423"/>
      <c r="J499" s="423"/>
      <c r="K499" s="423"/>
      <c r="L499" s="423"/>
      <c r="M499" s="423"/>
      <c r="N499" s="423"/>
      <c r="O499" s="423"/>
      <c r="P499" s="423"/>
      <c r="Q499" s="423"/>
      <c r="R499" s="423"/>
      <c r="S499" s="423"/>
      <c r="T499" s="423"/>
      <c r="U499" s="423"/>
      <c r="V499" s="423"/>
      <c r="W499" s="423"/>
      <c r="X499" s="423"/>
      <c r="Y499" s="423"/>
      <c r="Z499" s="423"/>
    </row>
    <row r="500">
      <c r="A500" s="564">
        <v>498.0</v>
      </c>
      <c r="B500" s="565" t="s">
        <v>1566</v>
      </c>
      <c r="C500" s="565" t="s">
        <v>5262</v>
      </c>
      <c r="D500" s="564">
        <v>1.0</v>
      </c>
      <c r="E500" s="564">
        <v>0.0</v>
      </c>
      <c r="F500" s="564">
        <v>0.0</v>
      </c>
      <c r="G500" s="564">
        <v>7.0</v>
      </c>
      <c r="H500" s="564">
        <v>0.0</v>
      </c>
      <c r="I500" s="423"/>
      <c r="J500" s="423"/>
      <c r="K500" s="423"/>
      <c r="L500" s="423"/>
      <c r="M500" s="423"/>
      <c r="N500" s="423"/>
      <c r="O500" s="423"/>
      <c r="P500" s="423"/>
      <c r="Q500" s="423"/>
      <c r="R500" s="423"/>
      <c r="S500" s="423"/>
      <c r="T500" s="423"/>
      <c r="U500" s="423"/>
      <c r="V500" s="423"/>
      <c r="W500" s="423"/>
      <c r="X500" s="423"/>
      <c r="Y500" s="423"/>
      <c r="Z500" s="423"/>
    </row>
    <row r="501">
      <c r="A501" s="562">
        <v>499.0</v>
      </c>
      <c r="B501" s="563" t="s">
        <v>1567</v>
      </c>
      <c r="C501" s="563" t="s">
        <v>5262</v>
      </c>
      <c r="D501" s="562">
        <v>1.0</v>
      </c>
      <c r="E501" s="562">
        <v>0.0</v>
      </c>
      <c r="F501" s="562">
        <v>0.0</v>
      </c>
      <c r="G501" s="562">
        <v>7.0</v>
      </c>
      <c r="H501" s="562">
        <v>0.0</v>
      </c>
      <c r="I501" s="423"/>
      <c r="J501" s="423"/>
      <c r="K501" s="423"/>
      <c r="L501" s="423"/>
      <c r="M501" s="423"/>
      <c r="N501" s="423"/>
      <c r="O501" s="423"/>
      <c r="P501" s="423"/>
      <c r="Q501" s="423"/>
      <c r="R501" s="423"/>
      <c r="S501" s="423"/>
      <c r="T501" s="423"/>
      <c r="U501" s="423"/>
      <c r="V501" s="423"/>
      <c r="W501" s="423"/>
      <c r="X501" s="423"/>
      <c r="Y501" s="423"/>
      <c r="Z501" s="423"/>
    </row>
    <row r="502">
      <c r="A502" s="564">
        <v>500.0</v>
      </c>
      <c r="B502" s="565" t="s">
        <v>1568</v>
      </c>
      <c r="C502" s="565" t="s">
        <v>5262</v>
      </c>
      <c r="D502" s="564">
        <v>0.0</v>
      </c>
      <c r="E502" s="564">
        <v>0.0</v>
      </c>
      <c r="F502" s="564">
        <v>0.0</v>
      </c>
      <c r="G502" s="564">
        <v>8.0</v>
      </c>
      <c r="H502" s="564">
        <v>0.0</v>
      </c>
      <c r="I502" s="423"/>
      <c r="J502" s="423"/>
      <c r="K502" s="423"/>
      <c r="L502" s="423"/>
      <c r="M502" s="423"/>
      <c r="N502" s="423"/>
      <c r="O502" s="423"/>
      <c r="P502" s="423"/>
      <c r="Q502" s="423"/>
      <c r="R502" s="423"/>
      <c r="S502" s="423"/>
      <c r="T502" s="423"/>
      <c r="U502" s="423"/>
      <c r="V502" s="423"/>
      <c r="W502" s="423"/>
      <c r="X502" s="423"/>
      <c r="Y502" s="423"/>
      <c r="Z502" s="423"/>
    </row>
    <row r="503">
      <c r="A503" s="562">
        <v>501.0</v>
      </c>
      <c r="B503" s="563" t="s">
        <v>1569</v>
      </c>
      <c r="C503" s="563" t="s">
        <v>5262</v>
      </c>
      <c r="D503" s="562">
        <v>0.0</v>
      </c>
      <c r="E503" s="562">
        <v>0.0</v>
      </c>
      <c r="F503" s="562">
        <v>0.0</v>
      </c>
      <c r="G503" s="562">
        <v>8.0</v>
      </c>
      <c r="H503" s="562">
        <v>0.0</v>
      </c>
      <c r="I503" s="423"/>
      <c r="J503" s="423"/>
      <c r="K503" s="423"/>
      <c r="L503" s="423"/>
      <c r="M503" s="423"/>
      <c r="N503" s="423"/>
      <c r="O503" s="423"/>
      <c r="P503" s="423"/>
      <c r="Q503" s="423"/>
      <c r="R503" s="423"/>
      <c r="S503" s="423"/>
      <c r="T503" s="423"/>
      <c r="U503" s="423"/>
      <c r="V503" s="423"/>
      <c r="W503" s="423"/>
      <c r="X503" s="423"/>
      <c r="Y503" s="423"/>
      <c r="Z503" s="423"/>
    </row>
    <row r="504">
      <c r="A504" s="564">
        <v>502.0</v>
      </c>
      <c r="B504" s="565" t="s">
        <v>1570</v>
      </c>
      <c r="C504" s="565" t="s">
        <v>5262</v>
      </c>
      <c r="D504" s="564">
        <v>0.0</v>
      </c>
      <c r="E504" s="564">
        <v>0.0</v>
      </c>
      <c r="F504" s="564">
        <v>0.0</v>
      </c>
      <c r="G504" s="564">
        <v>8.0</v>
      </c>
      <c r="H504" s="564">
        <v>0.0</v>
      </c>
      <c r="I504" s="423"/>
      <c r="J504" s="423"/>
      <c r="K504" s="423"/>
      <c r="L504" s="423"/>
      <c r="M504" s="423"/>
      <c r="N504" s="423"/>
      <c r="O504" s="423"/>
      <c r="P504" s="423"/>
      <c r="Q504" s="423"/>
      <c r="R504" s="423"/>
      <c r="S504" s="423"/>
      <c r="T504" s="423"/>
      <c r="U504" s="423"/>
      <c r="V504" s="423"/>
      <c r="W504" s="423"/>
      <c r="X504" s="423"/>
      <c r="Y504" s="423"/>
      <c r="Z504" s="423"/>
    </row>
    <row r="505">
      <c r="A505" s="562">
        <v>503.0</v>
      </c>
      <c r="B505" s="563" t="s">
        <v>1571</v>
      </c>
      <c r="C505" s="563" t="s">
        <v>5262</v>
      </c>
      <c r="D505" s="562">
        <v>1.0</v>
      </c>
      <c r="E505" s="562">
        <v>0.0</v>
      </c>
      <c r="F505" s="562">
        <v>0.0</v>
      </c>
      <c r="G505" s="562">
        <v>7.0</v>
      </c>
      <c r="H505" s="562">
        <v>0.0</v>
      </c>
      <c r="I505" s="423"/>
      <c r="J505" s="423"/>
      <c r="K505" s="423"/>
      <c r="L505" s="423"/>
      <c r="M505" s="423"/>
      <c r="N505" s="423"/>
      <c r="O505" s="423"/>
      <c r="P505" s="423"/>
      <c r="Q505" s="423"/>
      <c r="R505" s="423"/>
      <c r="S505" s="423"/>
      <c r="T505" s="423"/>
      <c r="U505" s="423"/>
      <c r="V505" s="423"/>
      <c r="W505" s="423"/>
      <c r="X505" s="423"/>
      <c r="Y505" s="423"/>
      <c r="Z505" s="423"/>
    </row>
    <row r="506">
      <c r="A506" s="564">
        <v>504.0</v>
      </c>
      <c r="B506" s="565" t="s">
        <v>1572</v>
      </c>
      <c r="C506" s="565" t="s">
        <v>5262</v>
      </c>
      <c r="D506" s="564">
        <v>0.0</v>
      </c>
      <c r="E506" s="564">
        <v>0.0</v>
      </c>
      <c r="F506" s="564">
        <v>0.0</v>
      </c>
      <c r="G506" s="564">
        <v>8.0</v>
      </c>
      <c r="H506" s="564">
        <v>0.0</v>
      </c>
      <c r="I506" s="423"/>
      <c r="J506" s="423"/>
      <c r="K506" s="423"/>
      <c r="L506" s="423"/>
      <c r="M506" s="423"/>
      <c r="N506" s="423"/>
      <c r="O506" s="423"/>
      <c r="P506" s="423"/>
      <c r="Q506" s="423"/>
      <c r="R506" s="423"/>
      <c r="S506" s="423"/>
      <c r="T506" s="423"/>
      <c r="U506" s="423"/>
      <c r="V506" s="423"/>
      <c r="W506" s="423"/>
      <c r="X506" s="423"/>
      <c r="Y506" s="423"/>
      <c r="Z506" s="423"/>
    </row>
    <row r="507">
      <c r="A507" s="562">
        <v>505.0</v>
      </c>
      <c r="B507" s="563" t="s">
        <v>1573</v>
      </c>
      <c r="C507" s="563" t="s">
        <v>5262</v>
      </c>
      <c r="D507" s="562">
        <v>0.0</v>
      </c>
      <c r="E507" s="562">
        <v>0.0</v>
      </c>
      <c r="F507" s="562">
        <v>0.0</v>
      </c>
      <c r="G507" s="562">
        <v>8.0</v>
      </c>
      <c r="H507" s="562">
        <v>0.0</v>
      </c>
      <c r="I507" s="423"/>
      <c r="J507" s="423"/>
      <c r="K507" s="423"/>
      <c r="L507" s="423"/>
      <c r="M507" s="423"/>
      <c r="N507" s="423"/>
      <c r="O507" s="423"/>
      <c r="P507" s="423"/>
      <c r="Q507" s="423"/>
      <c r="R507" s="423"/>
      <c r="S507" s="423"/>
      <c r="T507" s="423"/>
      <c r="U507" s="423"/>
      <c r="V507" s="423"/>
      <c r="W507" s="423"/>
      <c r="X507" s="423"/>
      <c r="Y507" s="423"/>
      <c r="Z507" s="423"/>
    </row>
    <row r="508">
      <c r="A508" s="564">
        <v>506.0</v>
      </c>
      <c r="B508" s="565" t="s">
        <v>1574</v>
      </c>
      <c r="C508" s="565" t="s">
        <v>5262</v>
      </c>
      <c r="D508" s="564">
        <v>0.0</v>
      </c>
      <c r="E508" s="564">
        <v>0.0</v>
      </c>
      <c r="F508" s="564">
        <v>0.0</v>
      </c>
      <c r="G508" s="564">
        <v>8.0</v>
      </c>
      <c r="H508" s="564">
        <v>0.0</v>
      </c>
      <c r="I508" s="423"/>
      <c r="J508" s="423"/>
      <c r="K508" s="423"/>
      <c r="L508" s="423"/>
      <c r="M508" s="423"/>
      <c r="N508" s="423"/>
      <c r="O508" s="423"/>
      <c r="P508" s="423"/>
      <c r="Q508" s="423"/>
      <c r="R508" s="423"/>
      <c r="S508" s="423"/>
      <c r="T508" s="423"/>
      <c r="U508" s="423"/>
      <c r="V508" s="423"/>
      <c r="W508" s="423"/>
      <c r="X508" s="423"/>
      <c r="Y508" s="423"/>
      <c r="Z508" s="423"/>
    </row>
    <row r="509">
      <c r="A509" s="562">
        <v>507.0</v>
      </c>
      <c r="B509" s="563" t="s">
        <v>5639</v>
      </c>
      <c r="C509" s="563" t="s">
        <v>5262</v>
      </c>
      <c r="D509" s="562">
        <v>0.0</v>
      </c>
      <c r="E509" s="562">
        <v>0.0</v>
      </c>
      <c r="F509" s="562">
        <v>0.0</v>
      </c>
      <c r="G509" s="562">
        <v>8.0</v>
      </c>
      <c r="H509" s="562">
        <v>0.0</v>
      </c>
      <c r="I509" s="423"/>
      <c r="J509" s="423"/>
      <c r="K509" s="423"/>
      <c r="L509" s="423"/>
      <c r="M509" s="423"/>
      <c r="N509" s="423"/>
      <c r="O509" s="423"/>
      <c r="P509" s="423"/>
      <c r="Q509" s="423"/>
      <c r="R509" s="423"/>
      <c r="S509" s="423"/>
      <c r="T509" s="423"/>
      <c r="U509" s="423"/>
      <c r="V509" s="423"/>
      <c r="W509" s="423"/>
      <c r="X509" s="423"/>
      <c r="Y509" s="423"/>
      <c r="Z509" s="423"/>
    </row>
    <row r="510">
      <c r="A510" s="564">
        <v>508.0</v>
      </c>
      <c r="B510" s="565" t="s">
        <v>5640</v>
      </c>
      <c r="C510" s="565" t="s">
        <v>5262</v>
      </c>
      <c r="D510" s="564">
        <v>0.0</v>
      </c>
      <c r="E510" s="564">
        <v>0.0</v>
      </c>
      <c r="F510" s="564">
        <v>0.0</v>
      </c>
      <c r="G510" s="564">
        <v>8.0</v>
      </c>
      <c r="H510" s="564">
        <v>0.0</v>
      </c>
      <c r="I510" s="423"/>
      <c r="J510" s="423"/>
      <c r="K510" s="423"/>
      <c r="L510" s="423"/>
      <c r="M510" s="423"/>
      <c r="N510" s="423"/>
      <c r="O510" s="423"/>
      <c r="P510" s="423"/>
      <c r="Q510" s="423"/>
      <c r="R510" s="423"/>
      <c r="S510" s="423"/>
      <c r="T510" s="423"/>
      <c r="U510" s="423"/>
      <c r="V510" s="423"/>
      <c r="W510" s="423"/>
      <c r="X510" s="423"/>
      <c r="Y510" s="423"/>
      <c r="Z510" s="423"/>
    </row>
    <row r="511">
      <c r="A511" s="562">
        <v>509.0</v>
      </c>
      <c r="B511" s="563" t="s">
        <v>1576</v>
      </c>
      <c r="C511" s="563" t="s">
        <v>5262</v>
      </c>
      <c r="D511" s="562">
        <v>1.0</v>
      </c>
      <c r="E511" s="562">
        <v>0.0</v>
      </c>
      <c r="F511" s="562">
        <v>0.0</v>
      </c>
      <c r="G511" s="562">
        <v>7.0</v>
      </c>
      <c r="H511" s="562">
        <v>0.0</v>
      </c>
      <c r="I511" s="423"/>
      <c r="J511" s="423"/>
      <c r="K511" s="423"/>
      <c r="L511" s="423"/>
      <c r="M511" s="423"/>
      <c r="N511" s="423"/>
      <c r="O511" s="423"/>
      <c r="P511" s="423"/>
      <c r="Q511" s="423"/>
      <c r="R511" s="423"/>
      <c r="S511" s="423"/>
      <c r="T511" s="423"/>
      <c r="U511" s="423"/>
      <c r="V511" s="423"/>
      <c r="W511" s="423"/>
      <c r="X511" s="423"/>
      <c r="Y511" s="423"/>
      <c r="Z511" s="423"/>
    </row>
    <row r="512">
      <c r="A512" s="564">
        <v>510.0</v>
      </c>
      <c r="B512" s="565" t="s">
        <v>1577</v>
      </c>
      <c r="C512" s="565" t="s">
        <v>5262</v>
      </c>
      <c r="D512" s="564">
        <v>4.0</v>
      </c>
      <c r="E512" s="564">
        <v>0.0</v>
      </c>
      <c r="F512" s="564">
        <v>0.0</v>
      </c>
      <c r="G512" s="564">
        <v>4.0</v>
      </c>
      <c r="H512" s="564">
        <v>0.0</v>
      </c>
      <c r="I512" s="423"/>
      <c r="J512" s="423"/>
      <c r="K512" s="423"/>
      <c r="L512" s="423"/>
      <c r="M512" s="423"/>
      <c r="N512" s="423"/>
      <c r="O512" s="423"/>
      <c r="P512" s="423"/>
      <c r="Q512" s="423"/>
      <c r="R512" s="423"/>
      <c r="S512" s="423"/>
      <c r="T512" s="423"/>
      <c r="U512" s="423"/>
      <c r="V512" s="423"/>
      <c r="W512" s="423"/>
      <c r="X512" s="423"/>
      <c r="Y512" s="423"/>
      <c r="Z512" s="423"/>
    </row>
    <row r="513">
      <c r="A513" s="562">
        <v>511.0</v>
      </c>
      <c r="B513" s="563" t="s">
        <v>1578</v>
      </c>
      <c r="C513" s="563" t="s">
        <v>5262</v>
      </c>
      <c r="D513" s="562">
        <v>2.0</v>
      </c>
      <c r="E513" s="562">
        <v>0.0</v>
      </c>
      <c r="F513" s="562">
        <v>0.0</v>
      </c>
      <c r="G513" s="562">
        <v>6.0</v>
      </c>
      <c r="H513" s="562">
        <v>0.0</v>
      </c>
      <c r="I513" s="423"/>
      <c r="J513" s="423"/>
      <c r="K513" s="423"/>
      <c r="L513" s="423"/>
      <c r="M513" s="423"/>
      <c r="N513" s="423"/>
      <c r="O513" s="423"/>
      <c r="P513" s="423"/>
      <c r="Q513" s="423"/>
      <c r="R513" s="423"/>
      <c r="S513" s="423"/>
      <c r="T513" s="423"/>
      <c r="U513" s="423"/>
      <c r="V513" s="423"/>
      <c r="W513" s="423"/>
      <c r="X513" s="423"/>
      <c r="Y513" s="423"/>
      <c r="Z513" s="423"/>
    </row>
    <row r="514">
      <c r="A514" s="564">
        <v>512.0</v>
      </c>
      <c r="B514" s="565" t="s">
        <v>1579</v>
      </c>
      <c r="C514" s="565" t="s">
        <v>5262</v>
      </c>
      <c r="D514" s="564">
        <v>1.0</v>
      </c>
      <c r="E514" s="564">
        <v>0.0</v>
      </c>
      <c r="F514" s="564">
        <v>0.0</v>
      </c>
      <c r="G514" s="564">
        <v>7.0</v>
      </c>
      <c r="H514" s="564">
        <v>0.0</v>
      </c>
      <c r="I514" s="423"/>
      <c r="J514" s="423"/>
      <c r="K514" s="423"/>
      <c r="L514" s="423"/>
      <c r="M514" s="423"/>
      <c r="N514" s="423"/>
      <c r="O514" s="423"/>
      <c r="P514" s="423"/>
      <c r="Q514" s="423"/>
      <c r="R514" s="423"/>
      <c r="S514" s="423"/>
      <c r="T514" s="423"/>
      <c r="U514" s="423"/>
      <c r="V514" s="423"/>
      <c r="W514" s="423"/>
      <c r="X514" s="423"/>
      <c r="Y514" s="423"/>
      <c r="Z514" s="423"/>
    </row>
    <row r="515">
      <c r="A515" s="562">
        <v>513.0</v>
      </c>
      <c r="B515" s="563" t="s">
        <v>1580</v>
      </c>
      <c r="C515" s="563" t="s">
        <v>5262</v>
      </c>
      <c r="D515" s="562">
        <v>4.0</v>
      </c>
      <c r="E515" s="562">
        <v>0.0</v>
      </c>
      <c r="F515" s="562">
        <v>0.0</v>
      </c>
      <c r="G515" s="562">
        <v>4.0</v>
      </c>
      <c r="H515" s="562">
        <v>0.0</v>
      </c>
      <c r="I515" s="423"/>
      <c r="J515" s="423"/>
      <c r="K515" s="423"/>
      <c r="L515" s="423"/>
      <c r="M515" s="423"/>
      <c r="N515" s="423"/>
      <c r="O515" s="423"/>
      <c r="P515" s="423"/>
      <c r="Q515" s="423"/>
      <c r="R515" s="423"/>
      <c r="S515" s="423"/>
      <c r="T515" s="423"/>
      <c r="U515" s="423"/>
      <c r="V515" s="423"/>
      <c r="W515" s="423"/>
      <c r="X515" s="423"/>
      <c r="Y515" s="423"/>
      <c r="Z515" s="423"/>
    </row>
    <row r="516">
      <c r="A516" s="564">
        <v>514.0</v>
      </c>
      <c r="B516" s="565" t="s">
        <v>1581</v>
      </c>
      <c r="C516" s="565" t="s">
        <v>5262</v>
      </c>
      <c r="D516" s="564">
        <v>0.0</v>
      </c>
      <c r="E516" s="564">
        <v>0.0</v>
      </c>
      <c r="F516" s="564">
        <v>0.0</v>
      </c>
      <c r="G516" s="564">
        <v>8.0</v>
      </c>
      <c r="H516" s="564">
        <v>0.0</v>
      </c>
      <c r="I516" s="423"/>
      <c r="J516" s="423"/>
      <c r="K516" s="423"/>
      <c r="L516" s="423"/>
      <c r="M516" s="423"/>
      <c r="N516" s="423"/>
      <c r="O516" s="423"/>
      <c r="P516" s="423"/>
      <c r="Q516" s="423"/>
      <c r="R516" s="423"/>
      <c r="S516" s="423"/>
      <c r="T516" s="423"/>
      <c r="U516" s="423"/>
      <c r="V516" s="423"/>
      <c r="W516" s="423"/>
      <c r="X516" s="423"/>
      <c r="Y516" s="423"/>
      <c r="Z516" s="423"/>
    </row>
    <row r="517">
      <c r="A517" s="562">
        <v>515.0</v>
      </c>
      <c r="B517" s="563" t="s">
        <v>1582</v>
      </c>
      <c r="C517" s="563" t="s">
        <v>5262</v>
      </c>
      <c r="D517" s="562">
        <v>0.0</v>
      </c>
      <c r="E517" s="562">
        <v>0.0</v>
      </c>
      <c r="F517" s="562">
        <v>0.0</v>
      </c>
      <c r="G517" s="562">
        <v>8.0</v>
      </c>
      <c r="H517" s="562">
        <v>0.0</v>
      </c>
      <c r="I517" s="423"/>
      <c r="J517" s="423"/>
      <c r="K517" s="423"/>
      <c r="L517" s="423"/>
      <c r="M517" s="423"/>
      <c r="N517" s="423"/>
      <c r="O517" s="423"/>
      <c r="P517" s="423"/>
      <c r="Q517" s="423"/>
      <c r="R517" s="423"/>
      <c r="S517" s="423"/>
      <c r="T517" s="423"/>
      <c r="U517" s="423"/>
      <c r="V517" s="423"/>
      <c r="W517" s="423"/>
      <c r="X517" s="423"/>
      <c r="Y517" s="423"/>
      <c r="Z517" s="423"/>
    </row>
    <row r="518">
      <c r="A518" s="564">
        <v>516.0</v>
      </c>
      <c r="B518" s="565" t="s">
        <v>1583</v>
      </c>
      <c r="C518" s="565" t="s">
        <v>5262</v>
      </c>
      <c r="D518" s="564">
        <v>5.0</v>
      </c>
      <c r="E518" s="564">
        <v>0.0</v>
      </c>
      <c r="F518" s="564">
        <v>0.0</v>
      </c>
      <c r="G518" s="564">
        <v>3.0</v>
      </c>
      <c r="H518" s="564">
        <v>0.0</v>
      </c>
      <c r="I518" s="423"/>
      <c r="J518" s="423"/>
      <c r="K518" s="423"/>
      <c r="L518" s="423"/>
      <c r="M518" s="423"/>
      <c r="N518" s="423"/>
      <c r="O518" s="423"/>
      <c r="P518" s="423"/>
      <c r="Q518" s="423"/>
      <c r="R518" s="423"/>
      <c r="S518" s="423"/>
      <c r="T518" s="423"/>
      <c r="U518" s="423"/>
      <c r="V518" s="423"/>
      <c r="W518" s="423"/>
      <c r="X518" s="423"/>
      <c r="Y518" s="423"/>
      <c r="Z518" s="423"/>
    </row>
    <row r="519">
      <c r="A519" s="562">
        <v>517.0</v>
      </c>
      <c r="B519" s="563" t="s">
        <v>1584</v>
      </c>
      <c r="C519" s="563" t="s">
        <v>5262</v>
      </c>
      <c r="D519" s="562">
        <v>0.0</v>
      </c>
      <c r="E519" s="562">
        <v>0.0</v>
      </c>
      <c r="F519" s="562">
        <v>0.0</v>
      </c>
      <c r="G519" s="562">
        <v>8.0</v>
      </c>
      <c r="H519" s="562">
        <v>0.0</v>
      </c>
      <c r="I519" s="423"/>
      <c r="J519" s="423"/>
      <c r="K519" s="423"/>
      <c r="L519" s="423"/>
      <c r="M519" s="423"/>
      <c r="N519" s="423"/>
      <c r="O519" s="423"/>
      <c r="P519" s="423"/>
      <c r="Q519" s="423"/>
      <c r="R519" s="423"/>
      <c r="S519" s="423"/>
      <c r="T519" s="423"/>
      <c r="U519" s="423"/>
      <c r="V519" s="423"/>
      <c r="W519" s="423"/>
      <c r="X519" s="423"/>
      <c r="Y519" s="423"/>
      <c r="Z519" s="423"/>
    </row>
    <row r="520">
      <c r="A520" s="564">
        <v>518.0</v>
      </c>
      <c r="B520" s="565" t="s">
        <v>5641</v>
      </c>
      <c r="C520" s="565" t="s">
        <v>5262</v>
      </c>
      <c r="D520" s="564">
        <v>5.0</v>
      </c>
      <c r="E520" s="564">
        <v>0.0</v>
      </c>
      <c r="F520" s="564">
        <v>0.0</v>
      </c>
      <c r="G520" s="564">
        <v>3.0</v>
      </c>
      <c r="H520" s="564">
        <v>0.0</v>
      </c>
      <c r="I520" s="423"/>
      <c r="J520" s="423"/>
      <c r="K520" s="423"/>
      <c r="L520" s="423"/>
      <c r="M520" s="423"/>
      <c r="N520" s="423"/>
      <c r="O520" s="423"/>
      <c r="P520" s="423"/>
      <c r="Q520" s="423"/>
      <c r="R520" s="423"/>
      <c r="S520" s="423"/>
      <c r="T520" s="423"/>
      <c r="U520" s="423"/>
      <c r="V520" s="423"/>
      <c r="W520" s="423"/>
      <c r="X520" s="423"/>
      <c r="Y520" s="423"/>
      <c r="Z520" s="423"/>
    </row>
    <row r="521">
      <c r="A521" s="562">
        <v>519.0</v>
      </c>
      <c r="B521" s="563" t="s">
        <v>1586</v>
      </c>
      <c r="C521" s="563" t="s">
        <v>5262</v>
      </c>
      <c r="D521" s="562">
        <v>2.0</v>
      </c>
      <c r="E521" s="562">
        <v>0.0</v>
      </c>
      <c r="F521" s="562">
        <v>0.0</v>
      </c>
      <c r="G521" s="562">
        <v>6.0</v>
      </c>
      <c r="H521" s="562">
        <v>0.0</v>
      </c>
      <c r="I521" s="423"/>
      <c r="J521" s="423"/>
      <c r="K521" s="423"/>
      <c r="L521" s="423"/>
      <c r="M521" s="423"/>
      <c r="N521" s="423"/>
      <c r="O521" s="423"/>
      <c r="P521" s="423"/>
      <c r="Q521" s="423"/>
      <c r="R521" s="423"/>
      <c r="S521" s="423"/>
      <c r="T521" s="423"/>
      <c r="U521" s="423"/>
      <c r="V521" s="423"/>
      <c r="W521" s="423"/>
      <c r="X521" s="423"/>
      <c r="Y521" s="423"/>
      <c r="Z521" s="423"/>
    </row>
    <row r="522">
      <c r="A522" s="564">
        <v>520.0</v>
      </c>
      <c r="B522" s="565" t="s">
        <v>1587</v>
      </c>
      <c r="C522" s="565" t="s">
        <v>5266</v>
      </c>
      <c r="D522" s="564">
        <v>1.0</v>
      </c>
      <c r="E522" s="564">
        <v>0.0</v>
      </c>
      <c r="F522" s="564">
        <v>0.0</v>
      </c>
      <c r="G522" s="564">
        <v>7.0</v>
      </c>
      <c r="H522" s="564">
        <v>0.0</v>
      </c>
      <c r="I522" s="423"/>
      <c r="J522" s="423"/>
      <c r="K522" s="423"/>
      <c r="L522" s="423"/>
      <c r="M522" s="423"/>
      <c r="N522" s="423"/>
      <c r="O522" s="423"/>
      <c r="P522" s="423"/>
      <c r="Q522" s="423"/>
      <c r="R522" s="423"/>
      <c r="S522" s="423"/>
      <c r="T522" s="423"/>
      <c r="U522" s="423"/>
      <c r="V522" s="423"/>
      <c r="W522" s="423"/>
      <c r="X522" s="423"/>
      <c r="Y522" s="423"/>
      <c r="Z522" s="423"/>
    </row>
    <row r="523">
      <c r="A523" s="562">
        <v>521.0</v>
      </c>
      <c r="B523" s="563" t="s">
        <v>1589</v>
      </c>
      <c r="C523" s="563" t="s">
        <v>5266</v>
      </c>
      <c r="D523" s="562">
        <v>1.0</v>
      </c>
      <c r="E523" s="562">
        <v>0.0</v>
      </c>
      <c r="F523" s="562">
        <v>0.0</v>
      </c>
      <c r="G523" s="562">
        <v>7.0</v>
      </c>
      <c r="H523" s="562">
        <v>0.0</v>
      </c>
      <c r="I523" s="423"/>
      <c r="J523" s="423"/>
      <c r="K523" s="423"/>
      <c r="L523" s="423"/>
      <c r="M523" s="423"/>
      <c r="N523" s="423"/>
      <c r="O523" s="423"/>
      <c r="P523" s="423"/>
      <c r="Q523" s="423"/>
      <c r="R523" s="423"/>
      <c r="S523" s="423"/>
      <c r="T523" s="423"/>
      <c r="U523" s="423"/>
      <c r="V523" s="423"/>
      <c r="W523" s="423"/>
      <c r="X523" s="423"/>
      <c r="Y523" s="423"/>
      <c r="Z523" s="423"/>
    </row>
    <row r="524">
      <c r="A524" s="564">
        <v>522.0</v>
      </c>
      <c r="B524" s="565" t="s">
        <v>5642</v>
      </c>
      <c r="C524" s="565" t="s">
        <v>5266</v>
      </c>
      <c r="D524" s="564">
        <v>1.0</v>
      </c>
      <c r="E524" s="564">
        <v>0.0</v>
      </c>
      <c r="F524" s="564">
        <v>0.0</v>
      </c>
      <c r="G524" s="564">
        <v>7.0</v>
      </c>
      <c r="H524" s="564">
        <v>0.0</v>
      </c>
      <c r="I524" s="423"/>
      <c r="J524" s="423"/>
      <c r="K524" s="423"/>
      <c r="L524" s="423"/>
      <c r="M524" s="423"/>
      <c r="N524" s="423"/>
      <c r="O524" s="423"/>
      <c r="P524" s="423"/>
      <c r="Q524" s="423"/>
      <c r="R524" s="423"/>
      <c r="S524" s="423"/>
      <c r="T524" s="423"/>
      <c r="U524" s="423"/>
      <c r="V524" s="423"/>
      <c r="W524" s="423"/>
      <c r="X524" s="423"/>
      <c r="Y524" s="423"/>
      <c r="Z524" s="423"/>
    </row>
    <row r="525">
      <c r="A525" s="562">
        <v>523.0</v>
      </c>
      <c r="B525" s="563" t="s">
        <v>1591</v>
      </c>
      <c r="C525" s="563" t="s">
        <v>5266</v>
      </c>
      <c r="D525" s="562">
        <v>0.0</v>
      </c>
      <c r="E525" s="562">
        <v>0.0</v>
      </c>
      <c r="F525" s="562">
        <v>0.0</v>
      </c>
      <c r="G525" s="562">
        <v>8.0</v>
      </c>
      <c r="H525" s="562">
        <v>0.0</v>
      </c>
      <c r="I525" s="423"/>
      <c r="J525" s="423"/>
      <c r="K525" s="423"/>
      <c r="L525" s="423"/>
      <c r="M525" s="423"/>
      <c r="N525" s="423"/>
      <c r="O525" s="423"/>
      <c r="P525" s="423"/>
      <c r="Q525" s="423"/>
      <c r="R525" s="423"/>
      <c r="S525" s="423"/>
      <c r="T525" s="423"/>
      <c r="U525" s="423"/>
      <c r="V525" s="423"/>
      <c r="W525" s="423"/>
      <c r="X525" s="423"/>
      <c r="Y525" s="423"/>
      <c r="Z525" s="423"/>
    </row>
    <row r="526">
      <c r="A526" s="564">
        <v>524.0</v>
      </c>
      <c r="B526" s="565" t="s">
        <v>1592</v>
      </c>
      <c r="C526" s="565" t="s">
        <v>5266</v>
      </c>
      <c r="D526" s="564">
        <v>0.0</v>
      </c>
      <c r="E526" s="564">
        <v>0.0</v>
      </c>
      <c r="F526" s="564">
        <v>0.0</v>
      </c>
      <c r="G526" s="564">
        <v>8.0</v>
      </c>
      <c r="H526" s="564">
        <v>0.0</v>
      </c>
      <c r="I526" s="423"/>
      <c r="J526" s="423"/>
      <c r="K526" s="423"/>
      <c r="L526" s="423"/>
      <c r="M526" s="423"/>
      <c r="N526" s="423"/>
      <c r="O526" s="423"/>
      <c r="P526" s="423"/>
      <c r="Q526" s="423"/>
      <c r="R526" s="423"/>
      <c r="S526" s="423"/>
      <c r="T526" s="423"/>
      <c r="U526" s="423"/>
      <c r="V526" s="423"/>
      <c r="W526" s="423"/>
      <c r="X526" s="423"/>
      <c r="Y526" s="423"/>
      <c r="Z526" s="423"/>
    </row>
    <row r="527">
      <c r="A527" s="562">
        <v>525.0</v>
      </c>
      <c r="B527" s="563" t="s">
        <v>1593</v>
      </c>
      <c r="C527" s="563" t="s">
        <v>5266</v>
      </c>
      <c r="D527" s="562">
        <v>4.0</v>
      </c>
      <c r="E527" s="562">
        <v>0.0</v>
      </c>
      <c r="F527" s="562">
        <v>0.0</v>
      </c>
      <c r="G527" s="562">
        <v>4.0</v>
      </c>
      <c r="H527" s="562">
        <v>0.0</v>
      </c>
      <c r="I527" s="423"/>
      <c r="J527" s="423"/>
      <c r="K527" s="423"/>
      <c r="L527" s="423"/>
      <c r="M527" s="423"/>
      <c r="N527" s="423"/>
      <c r="O527" s="423"/>
      <c r="P527" s="423"/>
      <c r="Q527" s="423"/>
      <c r="R527" s="423"/>
      <c r="S527" s="423"/>
      <c r="T527" s="423"/>
      <c r="U527" s="423"/>
      <c r="V527" s="423"/>
      <c r="W527" s="423"/>
      <c r="X527" s="423"/>
      <c r="Y527" s="423"/>
      <c r="Z527" s="423"/>
    </row>
    <row r="528">
      <c r="A528" s="564">
        <v>526.0</v>
      </c>
      <c r="B528" s="565" t="s">
        <v>1594</v>
      </c>
      <c r="C528" s="565" t="s">
        <v>5266</v>
      </c>
      <c r="D528" s="564">
        <v>3.0</v>
      </c>
      <c r="E528" s="564">
        <v>0.0</v>
      </c>
      <c r="F528" s="564">
        <v>0.0</v>
      </c>
      <c r="G528" s="564">
        <v>5.0</v>
      </c>
      <c r="H528" s="564">
        <v>0.0</v>
      </c>
      <c r="I528" s="423"/>
      <c r="J528" s="423"/>
      <c r="K528" s="423"/>
      <c r="L528" s="423"/>
      <c r="M528" s="423"/>
      <c r="N528" s="423"/>
      <c r="O528" s="423"/>
      <c r="P528" s="423"/>
      <c r="Q528" s="423"/>
      <c r="R528" s="423"/>
      <c r="S528" s="423"/>
      <c r="T528" s="423"/>
      <c r="U528" s="423"/>
      <c r="V528" s="423"/>
      <c r="W528" s="423"/>
      <c r="X528" s="423"/>
      <c r="Y528" s="423"/>
      <c r="Z528" s="423"/>
    </row>
    <row r="529">
      <c r="A529" s="562">
        <v>527.0</v>
      </c>
      <c r="B529" s="563" t="s">
        <v>1595</v>
      </c>
      <c r="C529" s="563" t="s">
        <v>5266</v>
      </c>
      <c r="D529" s="562">
        <v>0.0</v>
      </c>
      <c r="E529" s="562">
        <v>0.0</v>
      </c>
      <c r="F529" s="562">
        <v>0.0</v>
      </c>
      <c r="G529" s="562">
        <v>8.0</v>
      </c>
      <c r="H529" s="562">
        <v>0.0</v>
      </c>
      <c r="I529" s="423"/>
      <c r="J529" s="423"/>
      <c r="K529" s="423"/>
      <c r="L529" s="423"/>
      <c r="M529" s="423"/>
      <c r="N529" s="423"/>
      <c r="O529" s="423"/>
      <c r="P529" s="423"/>
      <c r="Q529" s="423"/>
      <c r="R529" s="423"/>
      <c r="S529" s="423"/>
      <c r="T529" s="423"/>
      <c r="U529" s="423"/>
      <c r="V529" s="423"/>
      <c r="W529" s="423"/>
      <c r="X529" s="423"/>
      <c r="Y529" s="423"/>
      <c r="Z529" s="423"/>
    </row>
    <row r="530">
      <c r="A530" s="564">
        <v>528.0</v>
      </c>
      <c r="B530" s="565" t="s">
        <v>5643</v>
      </c>
      <c r="C530" s="565" t="s">
        <v>5266</v>
      </c>
      <c r="D530" s="564">
        <v>0.0</v>
      </c>
      <c r="E530" s="564">
        <v>0.0</v>
      </c>
      <c r="F530" s="564">
        <v>0.0</v>
      </c>
      <c r="G530" s="564">
        <v>8.0</v>
      </c>
      <c r="H530" s="564">
        <v>0.0</v>
      </c>
      <c r="I530" s="423"/>
      <c r="J530" s="423"/>
      <c r="K530" s="423"/>
      <c r="L530" s="423"/>
      <c r="M530" s="423"/>
      <c r="N530" s="423"/>
      <c r="O530" s="423"/>
      <c r="P530" s="423"/>
      <c r="Q530" s="423"/>
      <c r="R530" s="423"/>
      <c r="S530" s="423"/>
      <c r="T530" s="423"/>
      <c r="U530" s="423"/>
      <c r="V530" s="423"/>
      <c r="W530" s="423"/>
      <c r="X530" s="423"/>
      <c r="Y530" s="423"/>
      <c r="Z530" s="423"/>
    </row>
    <row r="531">
      <c r="A531" s="562">
        <v>529.0</v>
      </c>
      <c r="B531" s="563" t="s">
        <v>5644</v>
      </c>
      <c r="C531" s="563" t="s">
        <v>5266</v>
      </c>
      <c r="D531" s="562">
        <v>1.0</v>
      </c>
      <c r="E531" s="562">
        <v>0.0</v>
      </c>
      <c r="F531" s="562">
        <v>0.0</v>
      </c>
      <c r="G531" s="562">
        <v>7.0</v>
      </c>
      <c r="H531" s="562">
        <v>0.0</v>
      </c>
      <c r="I531" s="423"/>
      <c r="J531" s="423"/>
      <c r="K531" s="423"/>
      <c r="L531" s="423"/>
      <c r="M531" s="423"/>
      <c r="N531" s="423"/>
      <c r="O531" s="423"/>
      <c r="P531" s="423"/>
      <c r="Q531" s="423"/>
      <c r="R531" s="423"/>
      <c r="S531" s="423"/>
      <c r="T531" s="423"/>
      <c r="U531" s="423"/>
      <c r="V531" s="423"/>
      <c r="W531" s="423"/>
      <c r="X531" s="423"/>
      <c r="Y531" s="423"/>
      <c r="Z531" s="423"/>
    </row>
    <row r="532">
      <c r="A532" s="564">
        <v>530.0</v>
      </c>
      <c r="B532" s="565" t="s">
        <v>1598</v>
      </c>
      <c r="C532" s="565" t="s">
        <v>5266</v>
      </c>
      <c r="D532" s="564">
        <v>3.0</v>
      </c>
      <c r="E532" s="564">
        <v>0.0</v>
      </c>
      <c r="F532" s="564">
        <v>0.0</v>
      </c>
      <c r="G532" s="564">
        <v>5.0</v>
      </c>
      <c r="H532" s="564">
        <v>0.0</v>
      </c>
      <c r="I532" s="423"/>
      <c r="J532" s="423"/>
      <c r="K532" s="423"/>
      <c r="L532" s="423"/>
      <c r="M532" s="423"/>
      <c r="N532" s="423"/>
      <c r="O532" s="423"/>
      <c r="P532" s="423"/>
      <c r="Q532" s="423"/>
      <c r="R532" s="423"/>
      <c r="S532" s="423"/>
      <c r="T532" s="423"/>
      <c r="U532" s="423"/>
      <c r="V532" s="423"/>
      <c r="W532" s="423"/>
      <c r="X532" s="423"/>
      <c r="Y532" s="423"/>
      <c r="Z532" s="423"/>
    </row>
    <row r="533">
      <c r="A533" s="562">
        <v>531.0</v>
      </c>
      <c r="B533" s="563" t="s">
        <v>1599</v>
      </c>
      <c r="C533" s="563" t="s">
        <v>5266</v>
      </c>
      <c r="D533" s="562">
        <v>4.0</v>
      </c>
      <c r="E533" s="562">
        <v>0.0</v>
      </c>
      <c r="F533" s="562">
        <v>0.0</v>
      </c>
      <c r="G533" s="562">
        <v>4.0</v>
      </c>
      <c r="H533" s="562">
        <v>0.0</v>
      </c>
      <c r="I533" s="423"/>
      <c r="J533" s="423"/>
      <c r="K533" s="423"/>
      <c r="L533" s="423"/>
      <c r="M533" s="423"/>
      <c r="N533" s="423"/>
      <c r="O533" s="423"/>
      <c r="P533" s="423"/>
      <c r="Q533" s="423"/>
      <c r="R533" s="423"/>
      <c r="S533" s="423"/>
      <c r="T533" s="423"/>
      <c r="U533" s="423"/>
      <c r="V533" s="423"/>
      <c r="W533" s="423"/>
      <c r="X533" s="423"/>
      <c r="Y533" s="423"/>
      <c r="Z533" s="423"/>
    </row>
    <row r="534">
      <c r="A534" s="564">
        <v>532.0</v>
      </c>
      <c r="B534" s="565" t="s">
        <v>1600</v>
      </c>
      <c r="C534" s="565" t="s">
        <v>5266</v>
      </c>
      <c r="D534" s="564">
        <v>3.0</v>
      </c>
      <c r="E534" s="564">
        <v>0.0</v>
      </c>
      <c r="F534" s="564">
        <v>0.0</v>
      </c>
      <c r="G534" s="564">
        <v>5.0</v>
      </c>
      <c r="H534" s="564">
        <v>0.0</v>
      </c>
      <c r="I534" s="423"/>
      <c r="J534" s="423"/>
      <c r="K534" s="423"/>
      <c r="L534" s="423"/>
      <c r="M534" s="423"/>
      <c r="N534" s="423"/>
      <c r="O534" s="423"/>
      <c r="P534" s="423"/>
      <c r="Q534" s="423"/>
      <c r="R534" s="423"/>
      <c r="S534" s="423"/>
      <c r="T534" s="423"/>
      <c r="U534" s="423"/>
      <c r="V534" s="423"/>
      <c r="W534" s="423"/>
      <c r="X534" s="423"/>
      <c r="Y534" s="423"/>
      <c r="Z534" s="423"/>
    </row>
    <row r="535">
      <c r="A535" s="562">
        <v>533.0</v>
      </c>
      <c r="B535" s="563" t="s">
        <v>1601</v>
      </c>
      <c r="C535" s="563" t="s">
        <v>5266</v>
      </c>
      <c r="D535" s="562">
        <v>0.0</v>
      </c>
      <c r="E535" s="562">
        <v>0.0</v>
      </c>
      <c r="F535" s="562">
        <v>0.0</v>
      </c>
      <c r="G535" s="562">
        <v>8.0</v>
      </c>
      <c r="H535" s="562">
        <v>0.0</v>
      </c>
      <c r="I535" s="423"/>
      <c r="J535" s="423"/>
      <c r="K535" s="423"/>
      <c r="L535" s="423"/>
      <c r="M535" s="423"/>
      <c r="N535" s="423"/>
      <c r="O535" s="423"/>
      <c r="P535" s="423"/>
      <c r="Q535" s="423"/>
      <c r="R535" s="423"/>
      <c r="S535" s="423"/>
      <c r="T535" s="423"/>
      <c r="U535" s="423"/>
      <c r="V535" s="423"/>
      <c r="W535" s="423"/>
      <c r="X535" s="423"/>
      <c r="Y535" s="423"/>
      <c r="Z535" s="423"/>
    </row>
    <row r="536">
      <c r="A536" s="564">
        <v>534.0</v>
      </c>
      <c r="B536" s="565" t="s">
        <v>1602</v>
      </c>
      <c r="C536" s="565" t="s">
        <v>5266</v>
      </c>
      <c r="D536" s="564">
        <v>0.0</v>
      </c>
      <c r="E536" s="564">
        <v>0.0</v>
      </c>
      <c r="F536" s="564">
        <v>0.0</v>
      </c>
      <c r="G536" s="564">
        <v>8.0</v>
      </c>
      <c r="H536" s="564">
        <v>0.0</v>
      </c>
      <c r="I536" s="423"/>
      <c r="J536" s="423"/>
      <c r="K536" s="423"/>
      <c r="L536" s="423"/>
      <c r="M536" s="423"/>
      <c r="N536" s="423"/>
      <c r="O536" s="423"/>
      <c r="P536" s="423"/>
      <c r="Q536" s="423"/>
      <c r="R536" s="423"/>
      <c r="S536" s="423"/>
      <c r="T536" s="423"/>
      <c r="U536" s="423"/>
      <c r="V536" s="423"/>
      <c r="W536" s="423"/>
      <c r="X536" s="423"/>
      <c r="Y536" s="423"/>
      <c r="Z536" s="423"/>
    </row>
    <row r="537">
      <c r="A537" s="562">
        <v>535.0</v>
      </c>
      <c r="B537" s="563" t="s">
        <v>1603</v>
      </c>
      <c r="C537" s="563" t="s">
        <v>5266</v>
      </c>
      <c r="D537" s="562">
        <v>0.0</v>
      </c>
      <c r="E537" s="562">
        <v>0.0</v>
      </c>
      <c r="F537" s="562">
        <v>0.0</v>
      </c>
      <c r="G537" s="562">
        <v>8.0</v>
      </c>
      <c r="H537" s="562">
        <v>0.0</v>
      </c>
      <c r="I537" s="423"/>
      <c r="J537" s="423"/>
      <c r="K537" s="423"/>
      <c r="L537" s="423"/>
      <c r="M537" s="423"/>
      <c r="N537" s="423"/>
      <c r="O537" s="423"/>
      <c r="P537" s="423"/>
      <c r="Q537" s="423"/>
      <c r="R537" s="423"/>
      <c r="S537" s="423"/>
      <c r="T537" s="423"/>
      <c r="U537" s="423"/>
      <c r="V537" s="423"/>
      <c r="W537" s="423"/>
      <c r="X537" s="423"/>
      <c r="Y537" s="423"/>
      <c r="Z537" s="423"/>
    </row>
    <row r="538">
      <c r="A538" s="564">
        <v>536.0</v>
      </c>
      <c r="B538" s="565" t="s">
        <v>1604</v>
      </c>
      <c r="C538" s="565" t="s">
        <v>5266</v>
      </c>
      <c r="D538" s="564">
        <v>4.0</v>
      </c>
      <c r="E538" s="564">
        <v>0.0</v>
      </c>
      <c r="F538" s="564">
        <v>0.0</v>
      </c>
      <c r="G538" s="564">
        <v>4.0</v>
      </c>
      <c r="H538" s="564">
        <v>0.0</v>
      </c>
      <c r="I538" s="423"/>
      <c r="J538" s="423"/>
      <c r="K538" s="423"/>
      <c r="L538" s="423"/>
      <c r="M538" s="423"/>
      <c r="N538" s="423"/>
      <c r="O538" s="423"/>
      <c r="P538" s="423"/>
      <c r="Q538" s="423"/>
      <c r="R538" s="423"/>
      <c r="S538" s="423"/>
      <c r="T538" s="423"/>
      <c r="U538" s="423"/>
      <c r="V538" s="423"/>
      <c r="W538" s="423"/>
      <c r="X538" s="423"/>
      <c r="Y538" s="423"/>
      <c r="Z538" s="423"/>
    </row>
    <row r="539">
      <c r="A539" s="562">
        <v>537.0</v>
      </c>
      <c r="B539" s="563" t="s">
        <v>5645</v>
      </c>
      <c r="C539" s="563" t="s">
        <v>5266</v>
      </c>
      <c r="D539" s="562">
        <v>2.0</v>
      </c>
      <c r="E539" s="562">
        <v>0.0</v>
      </c>
      <c r="F539" s="562">
        <v>0.0</v>
      </c>
      <c r="G539" s="562">
        <v>6.0</v>
      </c>
      <c r="H539" s="562">
        <v>0.0</v>
      </c>
      <c r="I539" s="423"/>
      <c r="J539" s="423"/>
      <c r="K539" s="423"/>
      <c r="L539" s="423"/>
      <c r="M539" s="423"/>
      <c r="N539" s="423"/>
      <c r="O539" s="423"/>
      <c r="P539" s="423"/>
      <c r="Q539" s="423"/>
      <c r="R539" s="423"/>
      <c r="S539" s="423"/>
      <c r="T539" s="423"/>
      <c r="U539" s="423"/>
      <c r="V539" s="423"/>
      <c r="W539" s="423"/>
      <c r="X539" s="423"/>
      <c r="Y539" s="423"/>
      <c r="Z539" s="423"/>
    </row>
    <row r="540">
      <c r="A540" s="564">
        <v>538.0</v>
      </c>
      <c r="B540" s="565" t="s">
        <v>1606</v>
      </c>
      <c r="C540" s="565" t="s">
        <v>5266</v>
      </c>
      <c r="D540" s="564">
        <v>2.0</v>
      </c>
      <c r="E540" s="564">
        <v>0.0</v>
      </c>
      <c r="F540" s="564">
        <v>0.0</v>
      </c>
      <c r="G540" s="564">
        <v>6.0</v>
      </c>
      <c r="H540" s="564">
        <v>0.0</v>
      </c>
      <c r="I540" s="423"/>
      <c r="J540" s="423"/>
      <c r="K540" s="423"/>
      <c r="L540" s="423"/>
      <c r="M540" s="423"/>
      <c r="N540" s="423"/>
      <c r="O540" s="423"/>
      <c r="P540" s="423"/>
      <c r="Q540" s="423"/>
      <c r="R540" s="423"/>
      <c r="S540" s="423"/>
      <c r="T540" s="423"/>
      <c r="U540" s="423"/>
      <c r="V540" s="423"/>
      <c r="W540" s="423"/>
      <c r="X540" s="423"/>
      <c r="Y540" s="423"/>
      <c r="Z540" s="423"/>
    </row>
    <row r="541">
      <c r="A541" s="562">
        <v>539.0</v>
      </c>
      <c r="B541" s="563" t="s">
        <v>1607</v>
      </c>
      <c r="C541" s="563" t="s">
        <v>5266</v>
      </c>
      <c r="D541" s="562">
        <v>0.0</v>
      </c>
      <c r="E541" s="562">
        <v>0.0</v>
      </c>
      <c r="F541" s="562">
        <v>0.0</v>
      </c>
      <c r="G541" s="562">
        <v>8.0</v>
      </c>
      <c r="H541" s="562">
        <v>0.0</v>
      </c>
      <c r="I541" s="423"/>
      <c r="J541" s="423"/>
      <c r="K541" s="423"/>
      <c r="L541" s="423"/>
      <c r="M541" s="423"/>
      <c r="N541" s="423"/>
      <c r="O541" s="423"/>
      <c r="P541" s="423"/>
      <c r="Q541" s="423"/>
      <c r="R541" s="423"/>
      <c r="S541" s="423"/>
      <c r="T541" s="423"/>
      <c r="U541" s="423"/>
      <c r="V541" s="423"/>
      <c r="W541" s="423"/>
      <c r="X541" s="423"/>
      <c r="Y541" s="423"/>
      <c r="Z541" s="423"/>
    </row>
    <row r="542">
      <c r="A542" s="564">
        <v>540.0</v>
      </c>
      <c r="B542" s="565" t="s">
        <v>1608</v>
      </c>
      <c r="C542" s="565" t="s">
        <v>5266</v>
      </c>
      <c r="D542" s="564">
        <v>2.0</v>
      </c>
      <c r="E542" s="564">
        <v>0.0</v>
      </c>
      <c r="F542" s="564">
        <v>0.0</v>
      </c>
      <c r="G542" s="564">
        <v>6.0</v>
      </c>
      <c r="H542" s="564">
        <v>0.0</v>
      </c>
      <c r="I542" s="423"/>
      <c r="J542" s="423"/>
      <c r="K542" s="423"/>
      <c r="L542" s="423"/>
      <c r="M542" s="423"/>
      <c r="N542" s="423"/>
      <c r="O542" s="423"/>
      <c r="P542" s="423"/>
      <c r="Q542" s="423"/>
      <c r="R542" s="423"/>
      <c r="S542" s="423"/>
      <c r="T542" s="423"/>
      <c r="U542" s="423"/>
      <c r="V542" s="423"/>
      <c r="W542" s="423"/>
      <c r="X542" s="423"/>
      <c r="Y542" s="423"/>
      <c r="Z542" s="423"/>
    </row>
    <row r="543">
      <c r="A543" s="562">
        <v>541.0</v>
      </c>
      <c r="B543" s="563" t="s">
        <v>1609</v>
      </c>
      <c r="C543" s="563" t="s">
        <v>5266</v>
      </c>
      <c r="D543" s="562">
        <v>2.0</v>
      </c>
      <c r="E543" s="562">
        <v>0.0</v>
      </c>
      <c r="F543" s="562">
        <v>0.0</v>
      </c>
      <c r="G543" s="562">
        <v>6.0</v>
      </c>
      <c r="H543" s="562">
        <v>0.0</v>
      </c>
      <c r="I543" s="423"/>
      <c r="J543" s="423"/>
      <c r="K543" s="423"/>
      <c r="L543" s="423"/>
      <c r="M543" s="423"/>
      <c r="N543" s="423"/>
      <c r="O543" s="423"/>
      <c r="P543" s="423"/>
      <c r="Q543" s="423"/>
      <c r="R543" s="423"/>
      <c r="S543" s="423"/>
      <c r="T543" s="423"/>
      <c r="U543" s="423"/>
      <c r="V543" s="423"/>
      <c r="W543" s="423"/>
      <c r="X543" s="423"/>
      <c r="Y543" s="423"/>
      <c r="Z543" s="423"/>
    </row>
    <row r="544">
      <c r="A544" s="564">
        <v>542.0</v>
      </c>
      <c r="B544" s="565" t="s">
        <v>1610</v>
      </c>
      <c r="C544" s="565" t="s">
        <v>5266</v>
      </c>
      <c r="D544" s="564">
        <v>0.0</v>
      </c>
      <c r="E544" s="564">
        <v>0.0</v>
      </c>
      <c r="F544" s="564">
        <v>0.0</v>
      </c>
      <c r="G544" s="564">
        <v>8.0</v>
      </c>
      <c r="H544" s="564">
        <v>0.0</v>
      </c>
      <c r="I544" s="423"/>
      <c r="J544" s="423"/>
      <c r="K544" s="423"/>
      <c r="L544" s="423"/>
      <c r="M544" s="423"/>
      <c r="N544" s="423"/>
      <c r="O544" s="423"/>
      <c r="P544" s="423"/>
      <c r="Q544" s="423"/>
      <c r="R544" s="423"/>
      <c r="S544" s="423"/>
      <c r="T544" s="423"/>
      <c r="U544" s="423"/>
      <c r="V544" s="423"/>
      <c r="W544" s="423"/>
      <c r="X544" s="423"/>
      <c r="Y544" s="423"/>
      <c r="Z544" s="423"/>
    </row>
    <row r="545">
      <c r="A545" s="562">
        <v>543.0</v>
      </c>
      <c r="B545" s="563" t="s">
        <v>1611</v>
      </c>
      <c r="C545" s="563" t="s">
        <v>5266</v>
      </c>
      <c r="D545" s="562">
        <v>0.0</v>
      </c>
      <c r="E545" s="562">
        <v>0.0</v>
      </c>
      <c r="F545" s="562">
        <v>0.0</v>
      </c>
      <c r="G545" s="562">
        <v>8.0</v>
      </c>
      <c r="H545" s="562">
        <v>0.0</v>
      </c>
      <c r="I545" s="423"/>
      <c r="J545" s="423"/>
      <c r="K545" s="423"/>
      <c r="L545" s="423"/>
      <c r="M545" s="423"/>
      <c r="N545" s="423"/>
      <c r="O545" s="423"/>
      <c r="P545" s="423"/>
      <c r="Q545" s="423"/>
      <c r="R545" s="423"/>
      <c r="S545" s="423"/>
      <c r="T545" s="423"/>
      <c r="U545" s="423"/>
      <c r="V545" s="423"/>
      <c r="W545" s="423"/>
      <c r="X545" s="423"/>
      <c r="Y545" s="423"/>
      <c r="Z545" s="423"/>
    </row>
    <row r="546">
      <c r="A546" s="564">
        <v>544.0</v>
      </c>
      <c r="B546" s="565" t="s">
        <v>1612</v>
      </c>
      <c r="C546" s="565" t="s">
        <v>5266</v>
      </c>
      <c r="D546" s="564">
        <v>1.0</v>
      </c>
      <c r="E546" s="564">
        <v>0.0</v>
      </c>
      <c r="F546" s="564">
        <v>0.0</v>
      </c>
      <c r="G546" s="564">
        <v>7.0</v>
      </c>
      <c r="H546" s="564">
        <v>0.0</v>
      </c>
      <c r="I546" s="423"/>
      <c r="J546" s="423"/>
      <c r="K546" s="423"/>
      <c r="L546" s="423"/>
      <c r="M546" s="423"/>
      <c r="N546" s="423"/>
      <c r="O546" s="423"/>
      <c r="P546" s="423"/>
      <c r="Q546" s="423"/>
      <c r="R546" s="423"/>
      <c r="S546" s="423"/>
      <c r="T546" s="423"/>
      <c r="U546" s="423"/>
      <c r="V546" s="423"/>
      <c r="W546" s="423"/>
      <c r="X546" s="423"/>
      <c r="Y546" s="423"/>
      <c r="Z546" s="423"/>
    </row>
    <row r="547">
      <c r="A547" s="562">
        <v>545.0</v>
      </c>
      <c r="B547" s="563" t="s">
        <v>1613</v>
      </c>
      <c r="C547" s="563" t="s">
        <v>5266</v>
      </c>
      <c r="D547" s="562">
        <v>4.0</v>
      </c>
      <c r="E547" s="562">
        <v>0.0</v>
      </c>
      <c r="F547" s="562">
        <v>0.0</v>
      </c>
      <c r="G547" s="562">
        <v>4.0</v>
      </c>
      <c r="H547" s="562">
        <v>0.0</v>
      </c>
      <c r="I547" s="423"/>
      <c r="J547" s="423"/>
      <c r="K547" s="423"/>
      <c r="L547" s="423"/>
      <c r="M547" s="423"/>
      <c r="N547" s="423"/>
      <c r="O547" s="423"/>
      <c r="P547" s="423"/>
      <c r="Q547" s="423"/>
      <c r="R547" s="423"/>
      <c r="S547" s="423"/>
      <c r="T547" s="423"/>
      <c r="U547" s="423"/>
      <c r="V547" s="423"/>
      <c r="W547" s="423"/>
      <c r="X547" s="423"/>
      <c r="Y547" s="423"/>
      <c r="Z547" s="423"/>
    </row>
    <row r="548">
      <c r="A548" s="564">
        <v>546.0</v>
      </c>
      <c r="B548" s="565" t="s">
        <v>1614</v>
      </c>
      <c r="C548" s="565" t="s">
        <v>5266</v>
      </c>
      <c r="D548" s="564">
        <v>2.0</v>
      </c>
      <c r="E548" s="564">
        <v>0.0</v>
      </c>
      <c r="F548" s="564">
        <v>0.0</v>
      </c>
      <c r="G548" s="564">
        <v>6.0</v>
      </c>
      <c r="H548" s="564">
        <v>0.0</v>
      </c>
      <c r="I548" s="423"/>
      <c r="J548" s="423"/>
      <c r="K548" s="423"/>
      <c r="L548" s="423"/>
      <c r="M548" s="423"/>
      <c r="N548" s="423"/>
      <c r="O548" s="423"/>
      <c r="P548" s="423"/>
      <c r="Q548" s="423"/>
      <c r="R548" s="423"/>
      <c r="S548" s="423"/>
      <c r="T548" s="423"/>
      <c r="U548" s="423"/>
      <c r="V548" s="423"/>
      <c r="W548" s="423"/>
      <c r="X548" s="423"/>
      <c r="Y548" s="423"/>
      <c r="Z548" s="423"/>
    </row>
    <row r="549">
      <c r="A549" s="562">
        <v>547.0</v>
      </c>
      <c r="B549" s="563" t="s">
        <v>1615</v>
      </c>
      <c r="C549" s="563" t="s">
        <v>5266</v>
      </c>
      <c r="D549" s="562">
        <v>1.0</v>
      </c>
      <c r="E549" s="562">
        <v>0.0</v>
      </c>
      <c r="F549" s="562">
        <v>0.0</v>
      </c>
      <c r="G549" s="562">
        <v>7.0</v>
      </c>
      <c r="H549" s="562">
        <v>0.0</v>
      </c>
      <c r="I549" s="423"/>
      <c r="J549" s="423"/>
      <c r="K549" s="423"/>
      <c r="L549" s="423"/>
      <c r="M549" s="423"/>
      <c r="N549" s="423"/>
      <c r="O549" s="423"/>
      <c r="P549" s="423"/>
      <c r="Q549" s="423"/>
      <c r="R549" s="423"/>
      <c r="S549" s="423"/>
      <c r="T549" s="423"/>
      <c r="U549" s="423"/>
      <c r="V549" s="423"/>
      <c r="W549" s="423"/>
      <c r="X549" s="423"/>
      <c r="Y549" s="423"/>
      <c r="Z549" s="423"/>
    </row>
    <row r="550">
      <c r="A550" s="564">
        <v>548.0</v>
      </c>
      <c r="B550" s="565" t="s">
        <v>1616</v>
      </c>
      <c r="C550" s="565" t="s">
        <v>5266</v>
      </c>
      <c r="D550" s="564">
        <v>0.0</v>
      </c>
      <c r="E550" s="564">
        <v>0.0</v>
      </c>
      <c r="F550" s="564">
        <v>0.0</v>
      </c>
      <c r="G550" s="564">
        <v>8.0</v>
      </c>
      <c r="H550" s="564">
        <v>0.0</v>
      </c>
      <c r="I550" s="423"/>
      <c r="J550" s="423"/>
      <c r="K550" s="423"/>
      <c r="L550" s="423"/>
      <c r="M550" s="423"/>
      <c r="N550" s="423"/>
      <c r="O550" s="423"/>
      <c r="P550" s="423"/>
      <c r="Q550" s="423"/>
      <c r="R550" s="423"/>
      <c r="S550" s="423"/>
      <c r="T550" s="423"/>
      <c r="U550" s="423"/>
      <c r="V550" s="423"/>
      <c r="W550" s="423"/>
      <c r="X550" s="423"/>
      <c r="Y550" s="423"/>
      <c r="Z550" s="423"/>
    </row>
    <row r="551">
      <c r="A551" s="562">
        <v>549.0</v>
      </c>
      <c r="B551" s="563" t="s">
        <v>1617</v>
      </c>
      <c r="C551" s="563" t="s">
        <v>5266</v>
      </c>
      <c r="D551" s="562">
        <v>0.0</v>
      </c>
      <c r="E551" s="562">
        <v>0.0</v>
      </c>
      <c r="F551" s="562">
        <v>0.0</v>
      </c>
      <c r="G551" s="562">
        <v>8.0</v>
      </c>
      <c r="H551" s="562">
        <v>0.0</v>
      </c>
      <c r="I551" s="423"/>
      <c r="J551" s="423"/>
      <c r="K551" s="423"/>
      <c r="L551" s="423"/>
      <c r="M551" s="423"/>
      <c r="N551" s="423"/>
      <c r="O551" s="423"/>
      <c r="P551" s="423"/>
      <c r="Q551" s="423"/>
      <c r="R551" s="423"/>
      <c r="S551" s="423"/>
      <c r="T551" s="423"/>
      <c r="U551" s="423"/>
      <c r="V551" s="423"/>
      <c r="W551" s="423"/>
      <c r="X551" s="423"/>
      <c r="Y551" s="423"/>
      <c r="Z551" s="423"/>
    </row>
    <row r="552">
      <c r="A552" s="564">
        <v>550.0</v>
      </c>
      <c r="B552" s="565" t="s">
        <v>1618</v>
      </c>
      <c r="C552" s="565" t="s">
        <v>5266</v>
      </c>
      <c r="D552" s="564">
        <v>0.0</v>
      </c>
      <c r="E552" s="564">
        <v>0.0</v>
      </c>
      <c r="F552" s="564">
        <v>0.0</v>
      </c>
      <c r="G552" s="564">
        <v>8.0</v>
      </c>
      <c r="H552" s="564">
        <v>0.0</v>
      </c>
      <c r="I552" s="423"/>
      <c r="J552" s="423"/>
      <c r="K552" s="423"/>
      <c r="L552" s="423"/>
      <c r="M552" s="423"/>
      <c r="N552" s="423"/>
      <c r="O552" s="423"/>
      <c r="P552" s="423"/>
      <c r="Q552" s="423"/>
      <c r="R552" s="423"/>
      <c r="S552" s="423"/>
      <c r="T552" s="423"/>
      <c r="U552" s="423"/>
      <c r="V552" s="423"/>
      <c r="W552" s="423"/>
      <c r="X552" s="423"/>
      <c r="Y552" s="423"/>
      <c r="Z552" s="423"/>
    </row>
    <row r="553">
      <c r="A553" s="562">
        <v>551.0</v>
      </c>
      <c r="B553" s="563" t="s">
        <v>1619</v>
      </c>
      <c r="C553" s="563" t="s">
        <v>5266</v>
      </c>
      <c r="D553" s="562">
        <v>0.0</v>
      </c>
      <c r="E553" s="562">
        <v>0.0</v>
      </c>
      <c r="F553" s="562">
        <v>0.0</v>
      </c>
      <c r="G553" s="562">
        <v>8.0</v>
      </c>
      <c r="H553" s="562">
        <v>0.0</v>
      </c>
      <c r="I553" s="423"/>
      <c r="J553" s="423"/>
      <c r="K553" s="423"/>
      <c r="L553" s="423"/>
      <c r="M553" s="423"/>
      <c r="N553" s="423"/>
      <c r="O553" s="423"/>
      <c r="P553" s="423"/>
      <c r="Q553" s="423"/>
      <c r="R553" s="423"/>
      <c r="S553" s="423"/>
      <c r="T553" s="423"/>
      <c r="U553" s="423"/>
      <c r="V553" s="423"/>
      <c r="W553" s="423"/>
      <c r="X553" s="423"/>
      <c r="Y553" s="423"/>
      <c r="Z553" s="423"/>
    </row>
    <row r="554">
      <c r="A554" s="564">
        <v>552.0</v>
      </c>
      <c r="B554" s="565" t="s">
        <v>1620</v>
      </c>
      <c r="C554" s="565" t="s">
        <v>5266</v>
      </c>
      <c r="D554" s="564">
        <v>0.0</v>
      </c>
      <c r="E554" s="564">
        <v>0.0</v>
      </c>
      <c r="F554" s="564">
        <v>0.0</v>
      </c>
      <c r="G554" s="564">
        <v>8.0</v>
      </c>
      <c r="H554" s="564">
        <v>0.0</v>
      </c>
      <c r="I554" s="423"/>
      <c r="J554" s="423"/>
      <c r="K554" s="423"/>
      <c r="L554" s="423"/>
      <c r="M554" s="423"/>
      <c r="N554" s="423"/>
      <c r="O554" s="423"/>
      <c r="P554" s="423"/>
      <c r="Q554" s="423"/>
      <c r="R554" s="423"/>
      <c r="S554" s="423"/>
      <c r="T554" s="423"/>
      <c r="U554" s="423"/>
      <c r="V554" s="423"/>
      <c r="W554" s="423"/>
      <c r="X554" s="423"/>
      <c r="Y554" s="423"/>
      <c r="Z554" s="423"/>
    </row>
    <row r="555">
      <c r="A555" s="562">
        <v>553.0</v>
      </c>
      <c r="B555" s="563" t="s">
        <v>1621</v>
      </c>
      <c r="C555" s="563" t="s">
        <v>5266</v>
      </c>
      <c r="D555" s="562">
        <v>0.0</v>
      </c>
      <c r="E555" s="562">
        <v>0.0</v>
      </c>
      <c r="F555" s="562">
        <v>0.0</v>
      </c>
      <c r="G555" s="562">
        <v>8.0</v>
      </c>
      <c r="H555" s="562">
        <v>0.0</v>
      </c>
      <c r="I555" s="423"/>
      <c r="J555" s="423"/>
      <c r="K555" s="423"/>
      <c r="L555" s="423"/>
      <c r="M555" s="423"/>
      <c r="N555" s="423"/>
      <c r="O555" s="423"/>
      <c r="P555" s="423"/>
      <c r="Q555" s="423"/>
      <c r="R555" s="423"/>
      <c r="S555" s="423"/>
      <c r="T555" s="423"/>
      <c r="U555" s="423"/>
      <c r="V555" s="423"/>
      <c r="W555" s="423"/>
      <c r="X555" s="423"/>
      <c r="Y555" s="423"/>
      <c r="Z555" s="423"/>
    </row>
    <row r="556">
      <c r="A556" s="564">
        <v>554.0</v>
      </c>
      <c r="B556" s="565" t="s">
        <v>1622</v>
      </c>
      <c r="C556" s="565" t="s">
        <v>5266</v>
      </c>
      <c r="D556" s="564">
        <v>0.0</v>
      </c>
      <c r="E556" s="564">
        <v>0.0</v>
      </c>
      <c r="F556" s="564">
        <v>0.0</v>
      </c>
      <c r="G556" s="564">
        <v>8.0</v>
      </c>
      <c r="H556" s="564">
        <v>0.0</v>
      </c>
      <c r="I556" s="423"/>
      <c r="J556" s="423"/>
      <c r="K556" s="423"/>
      <c r="L556" s="423"/>
      <c r="M556" s="423"/>
      <c r="N556" s="423"/>
      <c r="O556" s="423"/>
      <c r="P556" s="423"/>
      <c r="Q556" s="423"/>
      <c r="R556" s="423"/>
      <c r="S556" s="423"/>
      <c r="T556" s="423"/>
      <c r="U556" s="423"/>
      <c r="V556" s="423"/>
      <c r="W556" s="423"/>
      <c r="X556" s="423"/>
      <c r="Y556" s="423"/>
      <c r="Z556" s="423"/>
    </row>
    <row r="557">
      <c r="A557" s="562">
        <v>555.0</v>
      </c>
      <c r="B557" s="563" t="s">
        <v>1623</v>
      </c>
      <c r="C557" s="563" t="s">
        <v>5266</v>
      </c>
      <c r="D557" s="562">
        <v>0.0</v>
      </c>
      <c r="E557" s="562">
        <v>0.0</v>
      </c>
      <c r="F557" s="562">
        <v>0.0</v>
      </c>
      <c r="G557" s="562">
        <v>8.0</v>
      </c>
      <c r="H557" s="562">
        <v>0.0</v>
      </c>
      <c r="I557" s="423"/>
      <c r="J557" s="423"/>
      <c r="K557" s="423"/>
      <c r="L557" s="423"/>
      <c r="M557" s="423"/>
      <c r="N557" s="423"/>
      <c r="O557" s="423"/>
      <c r="P557" s="423"/>
      <c r="Q557" s="423"/>
      <c r="R557" s="423"/>
      <c r="S557" s="423"/>
      <c r="T557" s="423"/>
      <c r="U557" s="423"/>
      <c r="V557" s="423"/>
      <c r="W557" s="423"/>
      <c r="X557" s="423"/>
      <c r="Y557" s="423"/>
      <c r="Z557" s="423"/>
    </row>
    <row r="558">
      <c r="A558" s="564">
        <v>556.0</v>
      </c>
      <c r="B558" s="565" t="s">
        <v>1624</v>
      </c>
      <c r="C558" s="565" t="s">
        <v>5266</v>
      </c>
      <c r="D558" s="564">
        <v>2.0</v>
      </c>
      <c r="E558" s="564">
        <v>0.0</v>
      </c>
      <c r="F558" s="564">
        <v>0.0</v>
      </c>
      <c r="G558" s="564">
        <v>6.0</v>
      </c>
      <c r="H558" s="564">
        <v>0.0</v>
      </c>
      <c r="I558" s="423"/>
      <c r="J558" s="423"/>
      <c r="K558" s="423"/>
      <c r="L558" s="423"/>
      <c r="M558" s="423"/>
      <c r="N558" s="423"/>
      <c r="O558" s="423"/>
      <c r="P558" s="423"/>
      <c r="Q558" s="423"/>
      <c r="R558" s="423"/>
      <c r="S558" s="423"/>
      <c r="T558" s="423"/>
      <c r="U558" s="423"/>
      <c r="V558" s="423"/>
      <c r="W558" s="423"/>
      <c r="X558" s="423"/>
      <c r="Y558" s="423"/>
      <c r="Z558" s="423"/>
    </row>
    <row r="559">
      <c r="A559" s="562">
        <v>557.0</v>
      </c>
      <c r="B559" s="563" t="s">
        <v>1625</v>
      </c>
      <c r="C559" s="563" t="s">
        <v>5266</v>
      </c>
      <c r="D559" s="562">
        <v>0.0</v>
      </c>
      <c r="E559" s="562">
        <v>0.0</v>
      </c>
      <c r="F559" s="562">
        <v>0.0</v>
      </c>
      <c r="G559" s="562">
        <v>8.0</v>
      </c>
      <c r="H559" s="562">
        <v>0.0</v>
      </c>
      <c r="I559" s="423"/>
      <c r="J559" s="423"/>
      <c r="K559" s="423"/>
      <c r="L559" s="423"/>
      <c r="M559" s="423"/>
      <c r="N559" s="423"/>
      <c r="O559" s="423"/>
      <c r="P559" s="423"/>
      <c r="Q559" s="423"/>
      <c r="R559" s="423"/>
      <c r="S559" s="423"/>
      <c r="T559" s="423"/>
      <c r="U559" s="423"/>
      <c r="V559" s="423"/>
      <c r="W559" s="423"/>
      <c r="X559" s="423"/>
      <c r="Y559" s="423"/>
      <c r="Z559" s="423"/>
    </row>
    <row r="560">
      <c r="A560" s="564">
        <v>558.0</v>
      </c>
      <c r="B560" s="565" t="s">
        <v>1626</v>
      </c>
      <c r="C560" s="565" t="s">
        <v>5266</v>
      </c>
      <c r="D560" s="564">
        <v>2.0</v>
      </c>
      <c r="E560" s="564">
        <v>0.0</v>
      </c>
      <c r="F560" s="564">
        <v>0.0</v>
      </c>
      <c r="G560" s="564">
        <v>6.0</v>
      </c>
      <c r="H560" s="564">
        <v>0.0</v>
      </c>
      <c r="I560" s="423"/>
      <c r="J560" s="423"/>
      <c r="K560" s="423"/>
      <c r="L560" s="423"/>
      <c r="M560" s="423"/>
      <c r="N560" s="423"/>
      <c r="O560" s="423"/>
      <c r="P560" s="423"/>
      <c r="Q560" s="423"/>
      <c r="R560" s="423"/>
      <c r="S560" s="423"/>
      <c r="T560" s="423"/>
      <c r="U560" s="423"/>
      <c r="V560" s="423"/>
      <c r="W560" s="423"/>
      <c r="X560" s="423"/>
      <c r="Y560" s="423"/>
      <c r="Z560" s="423"/>
    </row>
    <row r="561">
      <c r="A561" s="562">
        <v>559.0</v>
      </c>
      <c r="B561" s="563" t="s">
        <v>1627</v>
      </c>
      <c r="C561" s="563" t="s">
        <v>5266</v>
      </c>
      <c r="D561" s="562">
        <v>0.0</v>
      </c>
      <c r="E561" s="562">
        <v>0.0</v>
      </c>
      <c r="F561" s="562">
        <v>0.0</v>
      </c>
      <c r="G561" s="562">
        <v>8.0</v>
      </c>
      <c r="H561" s="562">
        <v>0.0</v>
      </c>
      <c r="I561" s="423"/>
      <c r="J561" s="423"/>
      <c r="K561" s="423"/>
      <c r="L561" s="423"/>
      <c r="M561" s="423"/>
      <c r="N561" s="423"/>
      <c r="O561" s="423"/>
      <c r="P561" s="423"/>
      <c r="Q561" s="423"/>
      <c r="R561" s="423"/>
      <c r="S561" s="423"/>
      <c r="T561" s="423"/>
      <c r="U561" s="423"/>
      <c r="V561" s="423"/>
      <c r="W561" s="423"/>
      <c r="X561" s="423"/>
      <c r="Y561" s="423"/>
      <c r="Z561" s="423"/>
    </row>
    <row r="562">
      <c r="A562" s="564">
        <v>560.0</v>
      </c>
      <c r="B562" s="565" t="s">
        <v>1628</v>
      </c>
      <c r="C562" s="565" t="s">
        <v>5266</v>
      </c>
      <c r="D562" s="564">
        <v>0.0</v>
      </c>
      <c r="E562" s="564">
        <v>0.0</v>
      </c>
      <c r="F562" s="564">
        <v>0.0</v>
      </c>
      <c r="G562" s="564">
        <v>8.0</v>
      </c>
      <c r="H562" s="564">
        <v>0.0</v>
      </c>
      <c r="I562" s="423"/>
      <c r="J562" s="423"/>
      <c r="K562" s="423"/>
      <c r="L562" s="423"/>
      <c r="M562" s="423"/>
      <c r="N562" s="423"/>
      <c r="O562" s="423"/>
      <c r="P562" s="423"/>
      <c r="Q562" s="423"/>
      <c r="R562" s="423"/>
      <c r="S562" s="423"/>
      <c r="T562" s="423"/>
      <c r="U562" s="423"/>
      <c r="V562" s="423"/>
      <c r="W562" s="423"/>
      <c r="X562" s="423"/>
      <c r="Y562" s="423"/>
      <c r="Z562" s="423"/>
    </row>
    <row r="563">
      <c r="A563" s="562">
        <v>561.0</v>
      </c>
      <c r="B563" s="563" t="s">
        <v>1629</v>
      </c>
      <c r="C563" s="563" t="s">
        <v>5266</v>
      </c>
      <c r="D563" s="562">
        <v>2.0</v>
      </c>
      <c r="E563" s="562">
        <v>0.0</v>
      </c>
      <c r="F563" s="562">
        <v>0.0</v>
      </c>
      <c r="G563" s="562">
        <v>6.0</v>
      </c>
      <c r="H563" s="562">
        <v>0.0</v>
      </c>
      <c r="I563" s="423"/>
      <c r="J563" s="423"/>
      <c r="K563" s="423"/>
      <c r="L563" s="423"/>
      <c r="M563" s="423"/>
      <c r="N563" s="423"/>
      <c r="O563" s="423"/>
      <c r="P563" s="423"/>
      <c r="Q563" s="423"/>
      <c r="R563" s="423"/>
      <c r="S563" s="423"/>
      <c r="T563" s="423"/>
      <c r="U563" s="423"/>
      <c r="V563" s="423"/>
      <c r="W563" s="423"/>
      <c r="X563" s="423"/>
      <c r="Y563" s="423"/>
      <c r="Z563" s="423"/>
    </row>
    <row r="564">
      <c r="A564" s="564">
        <v>562.0</v>
      </c>
      <c r="B564" s="565" t="s">
        <v>1630</v>
      </c>
      <c r="C564" s="565" t="s">
        <v>5266</v>
      </c>
      <c r="D564" s="564">
        <v>1.0</v>
      </c>
      <c r="E564" s="564">
        <v>0.0</v>
      </c>
      <c r="F564" s="564">
        <v>0.0</v>
      </c>
      <c r="G564" s="564">
        <v>7.0</v>
      </c>
      <c r="H564" s="564">
        <v>0.0</v>
      </c>
      <c r="I564" s="423"/>
      <c r="J564" s="423"/>
      <c r="K564" s="423"/>
      <c r="L564" s="423"/>
      <c r="M564" s="423"/>
      <c r="N564" s="423"/>
      <c r="O564" s="423"/>
      <c r="P564" s="423"/>
      <c r="Q564" s="423"/>
      <c r="R564" s="423"/>
      <c r="S564" s="423"/>
      <c r="T564" s="423"/>
      <c r="U564" s="423"/>
      <c r="V564" s="423"/>
      <c r="W564" s="423"/>
      <c r="X564" s="423"/>
      <c r="Y564" s="423"/>
      <c r="Z564" s="423"/>
    </row>
    <row r="565">
      <c r="A565" s="562">
        <v>563.0</v>
      </c>
      <c r="B565" s="563" t="s">
        <v>1631</v>
      </c>
      <c r="C565" s="563" t="s">
        <v>5266</v>
      </c>
      <c r="D565" s="562">
        <v>1.0</v>
      </c>
      <c r="E565" s="562">
        <v>0.0</v>
      </c>
      <c r="F565" s="562">
        <v>0.0</v>
      </c>
      <c r="G565" s="562">
        <v>7.0</v>
      </c>
      <c r="H565" s="562">
        <v>0.0</v>
      </c>
      <c r="I565" s="423"/>
      <c r="J565" s="423"/>
      <c r="K565" s="423"/>
      <c r="L565" s="423"/>
      <c r="M565" s="423"/>
      <c r="N565" s="423"/>
      <c r="O565" s="423"/>
      <c r="P565" s="423"/>
      <c r="Q565" s="423"/>
      <c r="R565" s="423"/>
      <c r="S565" s="423"/>
      <c r="T565" s="423"/>
      <c r="U565" s="423"/>
      <c r="V565" s="423"/>
      <c r="W565" s="423"/>
      <c r="X565" s="423"/>
      <c r="Y565" s="423"/>
      <c r="Z565" s="423"/>
    </row>
    <row r="566">
      <c r="A566" s="564">
        <v>564.0</v>
      </c>
      <c r="B566" s="565" t="s">
        <v>1632</v>
      </c>
      <c r="C566" s="565" t="s">
        <v>5266</v>
      </c>
      <c r="D566" s="564">
        <v>1.0</v>
      </c>
      <c r="E566" s="564">
        <v>0.0</v>
      </c>
      <c r="F566" s="564">
        <v>0.0</v>
      </c>
      <c r="G566" s="564">
        <v>7.0</v>
      </c>
      <c r="H566" s="564">
        <v>0.0</v>
      </c>
      <c r="I566" s="423"/>
      <c r="J566" s="423"/>
      <c r="K566" s="423"/>
      <c r="L566" s="423"/>
      <c r="M566" s="423"/>
      <c r="N566" s="423"/>
      <c r="O566" s="423"/>
      <c r="P566" s="423"/>
      <c r="Q566" s="423"/>
      <c r="R566" s="423"/>
      <c r="S566" s="423"/>
      <c r="T566" s="423"/>
      <c r="U566" s="423"/>
      <c r="V566" s="423"/>
      <c r="W566" s="423"/>
      <c r="X566" s="423"/>
      <c r="Y566" s="423"/>
      <c r="Z566" s="423"/>
    </row>
    <row r="567">
      <c r="A567" s="562">
        <v>565.0</v>
      </c>
      <c r="B567" s="563" t="s">
        <v>1633</v>
      </c>
      <c r="C567" s="563" t="s">
        <v>5266</v>
      </c>
      <c r="D567" s="562">
        <v>0.0</v>
      </c>
      <c r="E567" s="562">
        <v>0.0</v>
      </c>
      <c r="F567" s="562">
        <v>0.0</v>
      </c>
      <c r="G567" s="562">
        <v>8.0</v>
      </c>
      <c r="H567" s="562">
        <v>0.0</v>
      </c>
      <c r="I567" s="423"/>
      <c r="J567" s="423"/>
      <c r="K567" s="423"/>
      <c r="L567" s="423"/>
      <c r="M567" s="423"/>
      <c r="N567" s="423"/>
      <c r="O567" s="423"/>
      <c r="P567" s="423"/>
      <c r="Q567" s="423"/>
      <c r="R567" s="423"/>
      <c r="S567" s="423"/>
      <c r="T567" s="423"/>
      <c r="U567" s="423"/>
      <c r="V567" s="423"/>
      <c r="W567" s="423"/>
      <c r="X567" s="423"/>
      <c r="Y567" s="423"/>
      <c r="Z567" s="423"/>
    </row>
    <row r="568">
      <c r="A568" s="564">
        <v>566.0</v>
      </c>
      <c r="B568" s="565" t="s">
        <v>5646</v>
      </c>
      <c r="C568" s="565" t="s">
        <v>5240</v>
      </c>
      <c r="D568" s="564">
        <v>0.0</v>
      </c>
      <c r="E568" s="564">
        <v>0.0</v>
      </c>
      <c r="F568" s="564">
        <v>2.0</v>
      </c>
      <c r="G568" s="564">
        <v>5.0</v>
      </c>
      <c r="H568" s="564">
        <v>1.0</v>
      </c>
      <c r="I568" s="423"/>
      <c r="J568" s="423"/>
      <c r="K568" s="423"/>
      <c r="L568" s="423"/>
      <c r="M568" s="423"/>
      <c r="N568" s="423"/>
      <c r="O568" s="423"/>
      <c r="P568" s="423"/>
      <c r="Q568" s="423"/>
      <c r="R568" s="423"/>
      <c r="S568" s="423"/>
      <c r="T568" s="423"/>
      <c r="U568" s="423"/>
      <c r="V568" s="423"/>
      <c r="W568" s="423"/>
      <c r="X568" s="423"/>
      <c r="Y568" s="423"/>
      <c r="Z568" s="423"/>
    </row>
    <row r="569">
      <c r="A569" s="562">
        <v>567.0</v>
      </c>
      <c r="B569" s="563" t="s">
        <v>5647</v>
      </c>
      <c r="C569" s="563" t="s">
        <v>5648</v>
      </c>
      <c r="D569" s="562">
        <v>1.0</v>
      </c>
      <c r="E569" s="562">
        <v>0.0</v>
      </c>
      <c r="F569" s="562">
        <v>0.0</v>
      </c>
      <c r="G569" s="562">
        <v>5.0</v>
      </c>
      <c r="H569" s="562">
        <v>2.0</v>
      </c>
      <c r="I569" s="423"/>
      <c r="J569" s="423"/>
      <c r="K569" s="423"/>
      <c r="L569" s="423"/>
      <c r="M569" s="423"/>
      <c r="N569" s="423"/>
      <c r="O569" s="423"/>
      <c r="P569" s="423"/>
      <c r="Q569" s="423"/>
      <c r="R569" s="423"/>
      <c r="S569" s="423"/>
      <c r="T569" s="423"/>
      <c r="U569" s="423"/>
      <c r="V569" s="423"/>
      <c r="W569" s="423"/>
      <c r="X569" s="423"/>
      <c r="Y569" s="423"/>
      <c r="Z569" s="423"/>
    </row>
    <row r="570">
      <c r="A570" s="564">
        <v>568.0</v>
      </c>
      <c r="B570" s="565" t="s">
        <v>5649</v>
      </c>
      <c r="C570" s="565" t="s">
        <v>5648</v>
      </c>
      <c r="D570" s="564">
        <v>0.0</v>
      </c>
      <c r="E570" s="564">
        <v>0.0</v>
      </c>
      <c r="F570" s="564">
        <v>0.0</v>
      </c>
      <c r="G570" s="564">
        <v>8.0</v>
      </c>
      <c r="H570" s="564">
        <v>0.0</v>
      </c>
      <c r="I570" s="423"/>
      <c r="J570" s="423"/>
      <c r="K570" s="423"/>
      <c r="L570" s="423"/>
      <c r="M570" s="423"/>
      <c r="N570" s="423"/>
      <c r="O570" s="423"/>
      <c r="P570" s="423"/>
      <c r="Q570" s="423"/>
      <c r="R570" s="423"/>
      <c r="S570" s="423"/>
      <c r="T570" s="423"/>
      <c r="U570" s="423"/>
      <c r="V570" s="423"/>
      <c r="W570" s="423"/>
      <c r="X570" s="423"/>
      <c r="Y570" s="423"/>
      <c r="Z570" s="423"/>
    </row>
    <row r="571">
      <c r="A571" s="562">
        <v>569.0</v>
      </c>
      <c r="B571" s="563" t="s">
        <v>5650</v>
      </c>
      <c r="C571" s="563" t="s">
        <v>5648</v>
      </c>
      <c r="D571" s="562">
        <v>0.0</v>
      </c>
      <c r="E571" s="562">
        <v>0.0</v>
      </c>
      <c r="F571" s="562">
        <v>0.0</v>
      </c>
      <c r="G571" s="562">
        <v>8.0</v>
      </c>
      <c r="H571" s="562">
        <v>0.0</v>
      </c>
      <c r="I571" s="423"/>
      <c r="J571" s="423"/>
      <c r="K571" s="423"/>
      <c r="L571" s="423"/>
      <c r="M571" s="423"/>
      <c r="N571" s="423"/>
      <c r="O571" s="423"/>
      <c r="P571" s="423"/>
      <c r="Q571" s="423"/>
      <c r="R571" s="423"/>
      <c r="S571" s="423"/>
      <c r="T571" s="423"/>
      <c r="U571" s="423"/>
      <c r="V571" s="423"/>
      <c r="W571" s="423"/>
      <c r="X571" s="423"/>
      <c r="Y571" s="423"/>
      <c r="Z571" s="423"/>
    </row>
    <row r="572">
      <c r="A572" s="564">
        <v>570.0</v>
      </c>
      <c r="B572" s="565" t="s">
        <v>5651</v>
      </c>
      <c r="C572" s="565" t="s">
        <v>5648</v>
      </c>
      <c r="D572" s="564">
        <v>0.0</v>
      </c>
      <c r="E572" s="564">
        <v>0.0</v>
      </c>
      <c r="F572" s="564">
        <v>0.0</v>
      </c>
      <c r="G572" s="564">
        <v>8.0</v>
      </c>
      <c r="H572" s="564">
        <v>0.0</v>
      </c>
      <c r="I572" s="423"/>
      <c r="J572" s="423"/>
      <c r="K572" s="423"/>
      <c r="L572" s="423"/>
      <c r="M572" s="423"/>
      <c r="N572" s="423"/>
      <c r="O572" s="423"/>
      <c r="P572" s="423"/>
      <c r="Q572" s="423"/>
      <c r="R572" s="423"/>
      <c r="S572" s="423"/>
      <c r="T572" s="423"/>
      <c r="U572" s="423"/>
      <c r="V572" s="423"/>
      <c r="W572" s="423"/>
      <c r="X572" s="423"/>
      <c r="Y572" s="423"/>
      <c r="Z572" s="423"/>
    </row>
    <row r="573">
      <c r="A573" s="562">
        <v>571.0</v>
      </c>
      <c r="B573" s="563" t="s">
        <v>5652</v>
      </c>
      <c r="C573" s="563" t="s">
        <v>5648</v>
      </c>
      <c r="D573" s="562">
        <v>0.0</v>
      </c>
      <c r="E573" s="562">
        <v>0.0</v>
      </c>
      <c r="F573" s="562">
        <v>0.0</v>
      </c>
      <c r="G573" s="562">
        <v>8.0</v>
      </c>
      <c r="H573" s="562">
        <v>0.0</v>
      </c>
      <c r="I573" s="423"/>
      <c r="J573" s="423"/>
      <c r="K573" s="423"/>
      <c r="L573" s="423"/>
      <c r="M573" s="423"/>
      <c r="N573" s="423"/>
      <c r="O573" s="423"/>
      <c r="P573" s="423"/>
      <c r="Q573" s="423"/>
      <c r="R573" s="423"/>
      <c r="S573" s="423"/>
      <c r="T573" s="423"/>
      <c r="U573" s="423"/>
      <c r="V573" s="423"/>
      <c r="W573" s="423"/>
      <c r="X573" s="423"/>
      <c r="Y573" s="423"/>
      <c r="Z573" s="423"/>
    </row>
    <row r="574">
      <c r="A574" s="564">
        <v>572.0</v>
      </c>
      <c r="B574" s="565" t="s">
        <v>5653</v>
      </c>
      <c r="C574" s="565" t="s">
        <v>5648</v>
      </c>
      <c r="D574" s="564">
        <v>0.0</v>
      </c>
      <c r="E574" s="564">
        <v>0.0</v>
      </c>
      <c r="F574" s="564">
        <v>0.0</v>
      </c>
      <c r="G574" s="564">
        <v>8.0</v>
      </c>
      <c r="H574" s="564">
        <v>0.0</v>
      </c>
      <c r="I574" s="423"/>
      <c r="J574" s="423"/>
      <c r="K574" s="423"/>
      <c r="L574" s="423"/>
      <c r="M574" s="423"/>
      <c r="N574" s="423"/>
      <c r="O574" s="423"/>
      <c r="P574" s="423"/>
      <c r="Q574" s="423"/>
      <c r="R574" s="423"/>
      <c r="S574" s="423"/>
      <c r="T574" s="423"/>
      <c r="U574" s="423"/>
      <c r="V574" s="423"/>
      <c r="W574" s="423"/>
      <c r="X574" s="423"/>
      <c r="Y574" s="423"/>
      <c r="Z574" s="423"/>
    </row>
    <row r="575">
      <c r="A575" s="562">
        <v>573.0</v>
      </c>
      <c r="B575" s="563" t="s">
        <v>5654</v>
      </c>
      <c r="C575" s="563" t="s">
        <v>5648</v>
      </c>
      <c r="D575" s="562">
        <v>0.0</v>
      </c>
      <c r="E575" s="562">
        <v>0.0</v>
      </c>
      <c r="F575" s="562">
        <v>0.0</v>
      </c>
      <c r="G575" s="562">
        <v>8.0</v>
      </c>
      <c r="H575" s="562">
        <v>0.0</v>
      </c>
      <c r="I575" s="423"/>
      <c r="J575" s="423"/>
      <c r="K575" s="423"/>
      <c r="L575" s="423"/>
      <c r="M575" s="423"/>
      <c r="N575" s="423"/>
      <c r="O575" s="423"/>
      <c r="P575" s="423"/>
      <c r="Q575" s="423"/>
      <c r="R575" s="423"/>
      <c r="S575" s="423"/>
      <c r="T575" s="423"/>
      <c r="U575" s="423"/>
      <c r="V575" s="423"/>
      <c r="W575" s="423"/>
      <c r="X575" s="423"/>
      <c r="Y575" s="423"/>
      <c r="Z575" s="423"/>
    </row>
    <row r="576">
      <c r="A576" s="564">
        <v>574.0</v>
      </c>
      <c r="B576" s="565" t="s">
        <v>5655</v>
      </c>
      <c r="C576" s="565" t="s">
        <v>5648</v>
      </c>
      <c r="D576" s="564">
        <v>0.0</v>
      </c>
      <c r="E576" s="564">
        <v>0.0</v>
      </c>
      <c r="F576" s="564">
        <v>0.0</v>
      </c>
      <c r="G576" s="564">
        <v>8.0</v>
      </c>
      <c r="H576" s="564">
        <v>0.0</v>
      </c>
      <c r="I576" s="423"/>
      <c r="J576" s="423"/>
      <c r="K576" s="423"/>
      <c r="L576" s="423"/>
      <c r="M576" s="423"/>
      <c r="N576" s="423"/>
      <c r="O576" s="423"/>
      <c r="P576" s="423"/>
      <c r="Q576" s="423"/>
      <c r="R576" s="423"/>
      <c r="S576" s="423"/>
      <c r="T576" s="423"/>
      <c r="U576" s="423"/>
      <c r="V576" s="423"/>
      <c r="W576" s="423"/>
      <c r="X576" s="423"/>
      <c r="Y576" s="423"/>
      <c r="Z576" s="423"/>
    </row>
    <row r="577">
      <c r="A577" s="562">
        <v>575.0</v>
      </c>
      <c r="B577" s="563" t="s">
        <v>5656</v>
      </c>
      <c r="C577" s="563" t="s">
        <v>5648</v>
      </c>
      <c r="D577" s="562">
        <v>0.0</v>
      </c>
      <c r="E577" s="562">
        <v>0.0</v>
      </c>
      <c r="F577" s="562">
        <v>0.0</v>
      </c>
      <c r="G577" s="562">
        <v>8.0</v>
      </c>
      <c r="H577" s="562">
        <v>0.0</v>
      </c>
      <c r="I577" s="423"/>
      <c r="J577" s="423"/>
      <c r="K577" s="423"/>
      <c r="L577" s="423"/>
      <c r="M577" s="423"/>
      <c r="N577" s="423"/>
      <c r="O577" s="423"/>
      <c r="P577" s="423"/>
      <c r="Q577" s="423"/>
      <c r="R577" s="423"/>
      <c r="S577" s="423"/>
      <c r="T577" s="423"/>
      <c r="U577" s="423"/>
      <c r="V577" s="423"/>
      <c r="W577" s="423"/>
      <c r="X577" s="423"/>
      <c r="Y577" s="423"/>
      <c r="Z577" s="423"/>
    </row>
    <row r="578">
      <c r="A578" s="564">
        <v>576.0</v>
      </c>
      <c r="B578" s="565" t="s">
        <v>5657</v>
      </c>
      <c r="C578" s="565" t="s">
        <v>5648</v>
      </c>
      <c r="D578" s="564">
        <v>0.0</v>
      </c>
      <c r="E578" s="564">
        <v>0.0</v>
      </c>
      <c r="F578" s="564">
        <v>0.0</v>
      </c>
      <c r="G578" s="564">
        <v>8.0</v>
      </c>
      <c r="H578" s="564">
        <v>0.0</v>
      </c>
      <c r="I578" s="423"/>
      <c r="J578" s="423"/>
      <c r="K578" s="423"/>
      <c r="L578" s="423"/>
      <c r="M578" s="423"/>
      <c r="N578" s="423"/>
      <c r="O578" s="423"/>
      <c r="P578" s="423"/>
      <c r="Q578" s="423"/>
      <c r="R578" s="423"/>
      <c r="S578" s="423"/>
      <c r="T578" s="423"/>
      <c r="U578" s="423"/>
      <c r="V578" s="423"/>
      <c r="W578" s="423"/>
      <c r="X578" s="423"/>
      <c r="Y578" s="423"/>
      <c r="Z578" s="423"/>
    </row>
    <row r="579">
      <c r="A579" s="562">
        <v>577.0</v>
      </c>
      <c r="B579" s="563" t="s">
        <v>5658</v>
      </c>
      <c r="C579" s="563" t="s">
        <v>5648</v>
      </c>
      <c r="D579" s="562">
        <v>0.0</v>
      </c>
      <c r="E579" s="562">
        <v>0.0</v>
      </c>
      <c r="F579" s="562">
        <v>0.0</v>
      </c>
      <c r="G579" s="562">
        <v>8.0</v>
      </c>
      <c r="H579" s="562">
        <v>0.0</v>
      </c>
      <c r="I579" s="423"/>
      <c r="J579" s="423"/>
      <c r="K579" s="423"/>
      <c r="L579" s="423"/>
      <c r="M579" s="423"/>
      <c r="N579" s="423"/>
      <c r="O579" s="423"/>
      <c r="P579" s="423"/>
      <c r="Q579" s="423"/>
      <c r="R579" s="423"/>
      <c r="S579" s="423"/>
      <c r="T579" s="423"/>
      <c r="U579" s="423"/>
      <c r="V579" s="423"/>
      <c r="W579" s="423"/>
      <c r="X579" s="423"/>
      <c r="Y579" s="423"/>
      <c r="Z579" s="423"/>
    </row>
    <row r="580">
      <c r="A580" s="564">
        <v>578.0</v>
      </c>
      <c r="B580" s="565" t="s">
        <v>5659</v>
      </c>
      <c r="C580" s="565" t="s">
        <v>5648</v>
      </c>
      <c r="D580" s="564">
        <v>1.0</v>
      </c>
      <c r="E580" s="564">
        <v>0.0</v>
      </c>
      <c r="F580" s="564">
        <v>0.0</v>
      </c>
      <c r="G580" s="564">
        <v>7.0</v>
      </c>
      <c r="H580" s="564">
        <v>0.0</v>
      </c>
      <c r="I580" s="423"/>
      <c r="J580" s="423"/>
      <c r="K580" s="423"/>
      <c r="L580" s="423"/>
      <c r="M580" s="423"/>
      <c r="N580" s="423"/>
      <c r="O580" s="423"/>
      <c r="P580" s="423"/>
      <c r="Q580" s="423"/>
      <c r="R580" s="423"/>
      <c r="S580" s="423"/>
      <c r="T580" s="423"/>
      <c r="U580" s="423"/>
      <c r="V580" s="423"/>
      <c r="W580" s="423"/>
      <c r="X580" s="423"/>
      <c r="Y580" s="423"/>
      <c r="Z580" s="423"/>
    </row>
    <row r="581">
      <c r="A581" s="562">
        <v>579.0</v>
      </c>
      <c r="B581" s="563" t="s">
        <v>5660</v>
      </c>
      <c r="C581" s="563" t="s">
        <v>5648</v>
      </c>
      <c r="D581" s="562">
        <v>0.0</v>
      </c>
      <c r="E581" s="562">
        <v>0.0</v>
      </c>
      <c r="F581" s="562">
        <v>0.0</v>
      </c>
      <c r="G581" s="562">
        <v>8.0</v>
      </c>
      <c r="H581" s="562">
        <v>0.0</v>
      </c>
      <c r="I581" s="423"/>
      <c r="J581" s="423"/>
      <c r="K581" s="423"/>
      <c r="L581" s="423"/>
      <c r="M581" s="423"/>
      <c r="N581" s="423"/>
      <c r="O581" s="423"/>
      <c r="P581" s="423"/>
      <c r="Q581" s="423"/>
      <c r="R581" s="423"/>
      <c r="S581" s="423"/>
      <c r="T581" s="423"/>
      <c r="U581" s="423"/>
      <c r="V581" s="423"/>
      <c r="W581" s="423"/>
      <c r="X581" s="423"/>
      <c r="Y581" s="423"/>
      <c r="Z581" s="423"/>
    </row>
    <row r="582">
      <c r="A582" s="564">
        <v>580.0</v>
      </c>
      <c r="B582" s="565" t="s">
        <v>5661</v>
      </c>
      <c r="C582" s="565" t="s">
        <v>5648</v>
      </c>
      <c r="D582" s="564">
        <v>2.0</v>
      </c>
      <c r="E582" s="564">
        <v>0.0</v>
      </c>
      <c r="F582" s="564">
        <v>0.0</v>
      </c>
      <c r="G582" s="564">
        <v>6.0</v>
      </c>
      <c r="H582" s="564">
        <v>0.0</v>
      </c>
      <c r="I582" s="423"/>
      <c r="J582" s="423"/>
      <c r="K582" s="423"/>
      <c r="L582" s="423"/>
      <c r="M582" s="423"/>
      <c r="N582" s="423"/>
      <c r="O582" s="423"/>
      <c r="P582" s="423"/>
      <c r="Q582" s="423"/>
      <c r="R582" s="423"/>
      <c r="S582" s="423"/>
      <c r="T582" s="423"/>
      <c r="U582" s="423"/>
      <c r="V582" s="423"/>
      <c r="W582" s="423"/>
      <c r="X582" s="423"/>
      <c r="Y582" s="423"/>
      <c r="Z582" s="423"/>
    </row>
    <row r="583">
      <c r="A583" s="562">
        <v>581.0</v>
      </c>
      <c r="B583" s="563" t="s">
        <v>5662</v>
      </c>
      <c r="C583" s="563" t="s">
        <v>5648</v>
      </c>
      <c r="D583" s="562">
        <v>0.0</v>
      </c>
      <c r="E583" s="562">
        <v>0.0</v>
      </c>
      <c r="F583" s="562">
        <v>0.0</v>
      </c>
      <c r="G583" s="562">
        <v>8.0</v>
      </c>
      <c r="H583" s="562">
        <v>0.0</v>
      </c>
      <c r="I583" s="423"/>
      <c r="J583" s="423"/>
      <c r="K583" s="423"/>
      <c r="L583" s="423"/>
      <c r="M583" s="423"/>
      <c r="N583" s="423"/>
      <c r="O583" s="423"/>
      <c r="P583" s="423"/>
      <c r="Q583" s="423"/>
      <c r="R583" s="423"/>
      <c r="S583" s="423"/>
      <c r="T583" s="423"/>
      <c r="U583" s="423"/>
      <c r="V583" s="423"/>
      <c r="W583" s="423"/>
      <c r="X583" s="423"/>
      <c r="Y583" s="423"/>
      <c r="Z583" s="423"/>
    </row>
    <row r="584">
      <c r="A584" s="564">
        <v>582.0</v>
      </c>
      <c r="B584" s="565" t="s">
        <v>5663</v>
      </c>
      <c r="C584" s="565" t="s">
        <v>5648</v>
      </c>
      <c r="D584" s="564">
        <v>0.0</v>
      </c>
      <c r="E584" s="564">
        <v>0.0</v>
      </c>
      <c r="F584" s="564">
        <v>0.0</v>
      </c>
      <c r="G584" s="564">
        <v>8.0</v>
      </c>
      <c r="H584" s="564">
        <v>0.0</v>
      </c>
      <c r="I584" s="423"/>
      <c r="J584" s="423"/>
      <c r="K584" s="423"/>
      <c r="L584" s="423"/>
      <c r="M584" s="423"/>
      <c r="N584" s="423"/>
      <c r="O584" s="423"/>
      <c r="P584" s="423"/>
      <c r="Q584" s="423"/>
      <c r="R584" s="423"/>
      <c r="S584" s="423"/>
      <c r="T584" s="423"/>
      <c r="U584" s="423"/>
      <c r="V584" s="423"/>
      <c r="W584" s="423"/>
      <c r="X584" s="423"/>
      <c r="Y584" s="423"/>
      <c r="Z584" s="423"/>
    </row>
    <row r="585">
      <c r="A585" s="562">
        <v>583.0</v>
      </c>
      <c r="B585" s="563" t="s">
        <v>5664</v>
      </c>
      <c r="C585" s="563" t="s">
        <v>5648</v>
      </c>
      <c r="D585" s="562">
        <v>0.0</v>
      </c>
      <c r="E585" s="562">
        <v>0.0</v>
      </c>
      <c r="F585" s="562">
        <v>0.0</v>
      </c>
      <c r="G585" s="562">
        <v>8.0</v>
      </c>
      <c r="H585" s="562">
        <v>0.0</v>
      </c>
      <c r="I585" s="423"/>
      <c r="J585" s="423"/>
      <c r="K585" s="423"/>
      <c r="L585" s="423"/>
      <c r="M585" s="423"/>
      <c r="N585" s="423"/>
      <c r="O585" s="423"/>
      <c r="P585" s="423"/>
      <c r="Q585" s="423"/>
      <c r="R585" s="423"/>
      <c r="S585" s="423"/>
      <c r="T585" s="423"/>
      <c r="U585" s="423"/>
      <c r="V585" s="423"/>
      <c r="W585" s="423"/>
      <c r="X585" s="423"/>
      <c r="Y585" s="423"/>
      <c r="Z585" s="423"/>
    </row>
    <row r="586">
      <c r="A586" s="564">
        <v>584.0</v>
      </c>
      <c r="B586" s="565" t="s">
        <v>5665</v>
      </c>
      <c r="C586" s="565" t="s">
        <v>5648</v>
      </c>
      <c r="D586" s="564">
        <v>0.0</v>
      </c>
      <c r="E586" s="564">
        <v>0.0</v>
      </c>
      <c r="F586" s="564">
        <v>0.0</v>
      </c>
      <c r="G586" s="564">
        <v>8.0</v>
      </c>
      <c r="H586" s="564">
        <v>0.0</v>
      </c>
      <c r="I586" s="423"/>
      <c r="J586" s="423"/>
      <c r="K586" s="423"/>
      <c r="L586" s="423"/>
      <c r="M586" s="423"/>
      <c r="N586" s="423"/>
      <c r="O586" s="423"/>
      <c r="P586" s="423"/>
      <c r="Q586" s="423"/>
      <c r="R586" s="423"/>
      <c r="S586" s="423"/>
      <c r="T586" s="423"/>
      <c r="U586" s="423"/>
      <c r="V586" s="423"/>
      <c r="W586" s="423"/>
      <c r="X586" s="423"/>
      <c r="Y586" s="423"/>
      <c r="Z586" s="423"/>
    </row>
    <row r="587">
      <c r="A587" s="562">
        <v>585.0</v>
      </c>
      <c r="B587" s="563" t="s">
        <v>5666</v>
      </c>
      <c r="C587" s="563" t="s">
        <v>5648</v>
      </c>
      <c r="D587" s="562">
        <v>0.0</v>
      </c>
      <c r="E587" s="562">
        <v>0.0</v>
      </c>
      <c r="F587" s="562">
        <v>0.0</v>
      </c>
      <c r="G587" s="562">
        <v>8.0</v>
      </c>
      <c r="H587" s="562">
        <v>0.0</v>
      </c>
      <c r="I587" s="423"/>
      <c r="J587" s="423"/>
      <c r="K587" s="423"/>
      <c r="L587" s="423"/>
      <c r="M587" s="423"/>
      <c r="N587" s="423"/>
      <c r="O587" s="423"/>
      <c r="P587" s="423"/>
      <c r="Q587" s="423"/>
      <c r="R587" s="423"/>
      <c r="S587" s="423"/>
      <c r="T587" s="423"/>
      <c r="U587" s="423"/>
      <c r="V587" s="423"/>
      <c r="W587" s="423"/>
      <c r="X587" s="423"/>
      <c r="Y587" s="423"/>
      <c r="Z587" s="423"/>
    </row>
    <row r="588">
      <c r="A588" s="564">
        <v>586.0</v>
      </c>
      <c r="B588" s="565" t="s">
        <v>5667</v>
      </c>
      <c r="C588" s="565" t="s">
        <v>5648</v>
      </c>
      <c r="D588" s="564">
        <v>0.0</v>
      </c>
      <c r="E588" s="564">
        <v>0.0</v>
      </c>
      <c r="F588" s="564">
        <v>0.0</v>
      </c>
      <c r="G588" s="564">
        <v>8.0</v>
      </c>
      <c r="H588" s="564">
        <v>0.0</v>
      </c>
      <c r="I588" s="423"/>
      <c r="J588" s="423"/>
      <c r="K588" s="423"/>
      <c r="L588" s="423"/>
      <c r="M588" s="423"/>
      <c r="N588" s="423"/>
      <c r="O588" s="423"/>
      <c r="P588" s="423"/>
      <c r="Q588" s="423"/>
      <c r="R588" s="423"/>
      <c r="S588" s="423"/>
      <c r="T588" s="423"/>
      <c r="U588" s="423"/>
      <c r="V588" s="423"/>
      <c r="W588" s="423"/>
      <c r="X588" s="423"/>
      <c r="Y588" s="423"/>
      <c r="Z588" s="423"/>
    </row>
    <row r="589">
      <c r="A589" s="562">
        <v>587.0</v>
      </c>
      <c r="B589" s="563" t="s">
        <v>5668</v>
      </c>
      <c r="C589" s="563" t="s">
        <v>5648</v>
      </c>
      <c r="D589" s="562">
        <v>0.0</v>
      </c>
      <c r="E589" s="562">
        <v>0.0</v>
      </c>
      <c r="F589" s="562">
        <v>0.0</v>
      </c>
      <c r="G589" s="562">
        <v>8.0</v>
      </c>
      <c r="H589" s="562">
        <v>0.0</v>
      </c>
      <c r="I589" s="423"/>
      <c r="J589" s="423"/>
      <c r="K589" s="423"/>
      <c r="L589" s="423"/>
      <c r="M589" s="423"/>
      <c r="N589" s="423"/>
      <c r="O589" s="423"/>
      <c r="P589" s="423"/>
      <c r="Q589" s="423"/>
      <c r="R589" s="423"/>
      <c r="S589" s="423"/>
      <c r="T589" s="423"/>
      <c r="U589" s="423"/>
      <c r="V589" s="423"/>
      <c r="W589" s="423"/>
      <c r="X589" s="423"/>
      <c r="Y589" s="423"/>
      <c r="Z589" s="423"/>
    </row>
    <row r="590">
      <c r="A590" s="564">
        <v>588.0</v>
      </c>
      <c r="B590" s="565" t="s">
        <v>5669</v>
      </c>
      <c r="C590" s="565" t="s">
        <v>5648</v>
      </c>
      <c r="D590" s="564">
        <v>0.0</v>
      </c>
      <c r="E590" s="564">
        <v>0.0</v>
      </c>
      <c r="F590" s="564">
        <v>0.0</v>
      </c>
      <c r="G590" s="564">
        <v>8.0</v>
      </c>
      <c r="H590" s="564">
        <v>0.0</v>
      </c>
      <c r="I590" s="423"/>
      <c r="J590" s="423"/>
      <c r="K590" s="423"/>
      <c r="L590" s="423"/>
      <c r="M590" s="423"/>
      <c r="N590" s="423"/>
      <c r="O590" s="423"/>
      <c r="P590" s="423"/>
      <c r="Q590" s="423"/>
      <c r="R590" s="423"/>
      <c r="S590" s="423"/>
      <c r="T590" s="423"/>
      <c r="U590" s="423"/>
      <c r="V590" s="423"/>
      <c r="W590" s="423"/>
      <c r="X590" s="423"/>
      <c r="Y590" s="423"/>
      <c r="Z590" s="423"/>
    </row>
    <row r="591">
      <c r="A591" s="562">
        <v>589.0</v>
      </c>
      <c r="B591" s="563" t="s">
        <v>5670</v>
      </c>
      <c r="C591" s="563" t="s">
        <v>5648</v>
      </c>
      <c r="D591" s="562">
        <v>0.0</v>
      </c>
      <c r="E591" s="562">
        <v>0.0</v>
      </c>
      <c r="F591" s="562">
        <v>0.0</v>
      </c>
      <c r="G591" s="562">
        <v>8.0</v>
      </c>
      <c r="H591" s="562">
        <v>0.0</v>
      </c>
      <c r="I591" s="423"/>
      <c r="J591" s="423"/>
      <c r="K591" s="423"/>
      <c r="L591" s="423"/>
      <c r="M591" s="423"/>
      <c r="N591" s="423"/>
      <c r="O591" s="423"/>
      <c r="P591" s="423"/>
      <c r="Q591" s="423"/>
      <c r="R591" s="423"/>
      <c r="S591" s="423"/>
      <c r="T591" s="423"/>
      <c r="U591" s="423"/>
      <c r="V591" s="423"/>
      <c r="W591" s="423"/>
      <c r="X591" s="423"/>
      <c r="Y591" s="423"/>
      <c r="Z591" s="423"/>
    </row>
    <row r="592">
      <c r="A592" s="564">
        <v>590.0</v>
      </c>
      <c r="B592" s="565" t="s">
        <v>5671</v>
      </c>
      <c r="C592" s="565" t="s">
        <v>5648</v>
      </c>
      <c r="D592" s="564">
        <v>2.0</v>
      </c>
      <c r="E592" s="564">
        <v>0.0</v>
      </c>
      <c r="F592" s="564">
        <v>0.0</v>
      </c>
      <c r="G592" s="564">
        <v>6.0</v>
      </c>
      <c r="H592" s="564">
        <v>0.0</v>
      </c>
      <c r="I592" s="423"/>
      <c r="J592" s="423"/>
      <c r="K592" s="423"/>
      <c r="L592" s="423"/>
      <c r="M592" s="423"/>
      <c r="N592" s="423"/>
      <c r="O592" s="423"/>
      <c r="P592" s="423"/>
      <c r="Q592" s="423"/>
      <c r="R592" s="423"/>
      <c r="S592" s="423"/>
      <c r="T592" s="423"/>
      <c r="U592" s="423"/>
      <c r="V592" s="423"/>
      <c r="W592" s="423"/>
      <c r="X592" s="423"/>
      <c r="Y592" s="423"/>
      <c r="Z592" s="423"/>
    </row>
    <row r="593">
      <c r="A593" s="562">
        <v>591.0</v>
      </c>
      <c r="B593" s="563" t="s">
        <v>5672</v>
      </c>
      <c r="C593" s="563" t="s">
        <v>5648</v>
      </c>
      <c r="D593" s="562">
        <v>0.0</v>
      </c>
      <c r="E593" s="562">
        <v>0.0</v>
      </c>
      <c r="F593" s="562">
        <v>0.0</v>
      </c>
      <c r="G593" s="562">
        <v>8.0</v>
      </c>
      <c r="H593" s="562">
        <v>0.0</v>
      </c>
      <c r="I593" s="423"/>
      <c r="J593" s="423"/>
      <c r="K593" s="423"/>
      <c r="L593" s="423"/>
      <c r="M593" s="423"/>
      <c r="N593" s="423"/>
      <c r="O593" s="423"/>
      <c r="P593" s="423"/>
      <c r="Q593" s="423"/>
      <c r="R593" s="423"/>
      <c r="S593" s="423"/>
      <c r="T593" s="423"/>
      <c r="U593" s="423"/>
      <c r="V593" s="423"/>
      <c r="W593" s="423"/>
      <c r="X593" s="423"/>
      <c r="Y593" s="423"/>
      <c r="Z593" s="423"/>
    </row>
    <row r="594">
      <c r="A594" s="564">
        <v>592.0</v>
      </c>
      <c r="B594" s="565" t="s">
        <v>5673</v>
      </c>
      <c r="C594" s="565" t="s">
        <v>5648</v>
      </c>
      <c r="D594" s="564">
        <v>0.0</v>
      </c>
      <c r="E594" s="564">
        <v>0.0</v>
      </c>
      <c r="F594" s="564">
        <v>0.0</v>
      </c>
      <c r="G594" s="564">
        <v>8.0</v>
      </c>
      <c r="H594" s="564">
        <v>0.0</v>
      </c>
      <c r="I594" s="423"/>
      <c r="J594" s="423"/>
      <c r="K594" s="423"/>
      <c r="L594" s="423"/>
      <c r="M594" s="423"/>
      <c r="N594" s="423"/>
      <c r="O594" s="423"/>
      <c r="P594" s="423"/>
      <c r="Q594" s="423"/>
      <c r="R594" s="423"/>
      <c r="S594" s="423"/>
      <c r="T594" s="423"/>
      <c r="U594" s="423"/>
      <c r="V594" s="423"/>
      <c r="W594" s="423"/>
      <c r="X594" s="423"/>
      <c r="Y594" s="423"/>
      <c r="Z594" s="423"/>
    </row>
    <row r="595">
      <c r="A595" s="562">
        <v>593.0</v>
      </c>
      <c r="B595" s="563" t="s">
        <v>5674</v>
      </c>
      <c r="C595" s="563" t="s">
        <v>5648</v>
      </c>
      <c r="D595" s="562">
        <v>0.0</v>
      </c>
      <c r="E595" s="562">
        <v>0.0</v>
      </c>
      <c r="F595" s="562">
        <v>0.0</v>
      </c>
      <c r="G595" s="562">
        <v>8.0</v>
      </c>
      <c r="H595" s="562">
        <v>0.0</v>
      </c>
      <c r="I595" s="423"/>
      <c r="J595" s="423"/>
      <c r="K595" s="423"/>
      <c r="L595" s="423"/>
      <c r="M595" s="423"/>
      <c r="N595" s="423"/>
      <c r="O595" s="423"/>
      <c r="P595" s="423"/>
      <c r="Q595" s="423"/>
      <c r="R595" s="423"/>
      <c r="S595" s="423"/>
      <c r="T595" s="423"/>
      <c r="U595" s="423"/>
      <c r="V595" s="423"/>
      <c r="W595" s="423"/>
      <c r="X595" s="423"/>
      <c r="Y595" s="423"/>
      <c r="Z595" s="423"/>
    </row>
    <row r="596">
      <c r="A596" s="564">
        <v>594.0</v>
      </c>
      <c r="B596" s="565" t="s">
        <v>5675</v>
      </c>
      <c r="C596" s="565" t="s">
        <v>5648</v>
      </c>
      <c r="D596" s="564">
        <v>2.0</v>
      </c>
      <c r="E596" s="564">
        <v>0.0</v>
      </c>
      <c r="F596" s="564">
        <v>0.0</v>
      </c>
      <c r="G596" s="564">
        <v>6.0</v>
      </c>
      <c r="H596" s="564">
        <v>0.0</v>
      </c>
      <c r="I596" s="423"/>
      <c r="J596" s="423"/>
      <c r="K596" s="423"/>
      <c r="L596" s="423"/>
      <c r="M596" s="423"/>
      <c r="N596" s="423"/>
      <c r="O596" s="423"/>
      <c r="P596" s="423"/>
      <c r="Q596" s="423"/>
      <c r="R596" s="423"/>
      <c r="S596" s="423"/>
      <c r="T596" s="423"/>
      <c r="U596" s="423"/>
      <c r="V596" s="423"/>
      <c r="W596" s="423"/>
      <c r="X596" s="423"/>
      <c r="Y596" s="423"/>
      <c r="Z596" s="423"/>
    </row>
    <row r="597">
      <c r="A597" s="562">
        <v>595.0</v>
      </c>
      <c r="B597" s="563" t="s">
        <v>5676</v>
      </c>
      <c r="C597" s="563" t="s">
        <v>5648</v>
      </c>
      <c r="D597" s="562">
        <v>0.0</v>
      </c>
      <c r="E597" s="562">
        <v>0.0</v>
      </c>
      <c r="F597" s="562">
        <v>0.0</v>
      </c>
      <c r="G597" s="562">
        <v>8.0</v>
      </c>
      <c r="H597" s="562">
        <v>0.0</v>
      </c>
      <c r="I597" s="423"/>
      <c r="J597" s="423"/>
      <c r="K597" s="423"/>
      <c r="L597" s="423"/>
      <c r="M597" s="423"/>
      <c r="N597" s="423"/>
      <c r="O597" s="423"/>
      <c r="P597" s="423"/>
      <c r="Q597" s="423"/>
      <c r="R597" s="423"/>
      <c r="S597" s="423"/>
      <c r="T597" s="423"/>
      <c r="U597" s="423"/>
      <c r="V597" s="423"/>
      <c r="W597" s="423"/>
      <c r="X597" s="423"/>
      <c r="Y597" s="423"/>
      <c r="Z597" s="423"/>
    </row>
    <row r="598">
      <c r="A598" s="564">
        <v>596.0</v>
      </c>
      <c r="B598" s="565" t="s">
        <v>5677</v>
      </c>
      <c r="C598" s="565" t="s">
        <v>5648</v>
      </c>
      <c r="D598" s="564">
        <v>1.0</v>
      </c>
      <c r="E598" s="564">
        <v>0.0</v>
      </c>
      <c r="F598" s="564">
        <v>0.0</v>
      </c>
      <c r="G598" s="564">
        <v>6.0</v>
      </c>
      <c r="H598" s="564">
        <v>1.0</v>
      </c>
      <c r="I598" s="423"/>
      <c r="J598" s="423"/>
      <c r="K598" s="423"/>
      <c r="L598" s="423"/>
      <c r="M598" s="423"/>
      <c r="N598" s="423"/>
      <c r="O598" s="423"/>
      <c r="P598" s="423"/>
      <c r="Q598" s="423"/>
      <c r="R598" s="423"/>
      <c r="S598" s="423"/>
      <c r="T598" s="423"/>
      <c r="U598" s="423"/>
      <c r="V598" s="423"/>
      <c r="W598" s="423"/>
      <c r="X598" s="423"/>
      <c r="Y598" s="423"/>
      <c r="Z598" s="423"/>
    </row>
    <row r="599">
      <c r="A599" s="562">
        <v>597.0</v>
      </c>
      <c r="B599" s="563" t="s">
        <v>5678</v>
      </c>
      <c r="C599" s="563" t="s">
        <v>5648</v>
      </c>
      <c r="D599" s="562">
        <v>0.0</v>
      </c>
      <c r="E599" s="562">
        <v>0.0</v>
      </c>
      <c r="F599" s="562">
        <v>0.0</v>
      </c>
      <c r="G599" s="562">
        <v>8.0</v>
      </c>
      <c r="H599" s="562">
        <v>0.0</v>
      </c>
      <c r="I599" s="423"/>
      <c r="J599" s="423"/>
      <c r="K599" s="423"/>
      <c r="L599" s="423"/>
      <c r="M599" s="423"/>
      <c r="N599" s="423"/>
      <c r="O599" s="423"/>
      <c r="P599" s="423"/>
      <c r="Q599" s="423"/>
      <c r="R599" s="423"/>
      <c r="S599" s="423"/>
      <c r="T599" s="423"/>
      <c r="U599" s="423"/>
      <c r="V599" s="423"/>
      <c r="W599" s="423"/>
      <c r="X599" s="423"/>
      <c r="Y599" s="423"/>
      <c r="Z599" s="423"/>
    </row>
    <row r="600">
      <c r="A600" s="564">
        <v>598.0</v>
      </c>
      <c r="B600" s="565" t="s">
        <v>5679</v>
      </c>
      <c r="C600" s="565" t="s">
        <v>5648</v>
      </c>
      <c r="D600" s="564">
        <v>0.0</v>
      </c>
      <c r="E600" s="564">
        <v>0.0</v>
      </c>
      <c r="F600" s="564">
        <v>0.0</v>
      </c>
      <c r="G600" s="564">
        <v>8.0</v>
      </c>
      <c r="H600" s="564">
        <v>0.0</v>
      </c>
      <c r="I600" s="423"/>
      <c r="J600" s="423"/>
      <c r="K600" s="423"/>
      <c r="L600" s="423"/>
      <c r="M600" s="423"/>
      <c r="N600" s="423"/>
      <c r="O600" s="423"/>
      <c r="P600" s="423"/>
      <c r="Q600" s="423"/>
      <c r="R600" s="423"/>
      <c r="S600" s="423"/>
      <c r="T600" s="423"/>
      <c r="U600" s="423"/>
      <c r="V600" s="423"/>
      <c r="W600" s="423"/>
      <c r="X600" s="423"/>
      <c r="Y600" s="423"/>
      <c r="Z600" s="423"/>
    </row>
    <row r="601">
      <c r="A601" s="562">
        <v>599.0</v>
      </c>
      <c r="B601" s="563" t="s">
        <v>5680</v>
      </c>
      <c r="C601" s="563" t="s">
        <v>5648</v>
      </c>
      <c r="D601" s="562">
        <v>2.0</v>
      </c>
      <c r="E601" s="562">
        <v>0.0</v>
      </c>
      <c r="F601" s="562">
        <v>0.0</v>
      </c>
      <c r="G601" s="562">
        <v>6.0</v>
      </c>
      <c r="H601" s="562">
        <v>0.0</v>
      </c>
      <c r="I601" s="423"/>
      <c r="J601" s="423"/>
      <c r="K601" s="423"/>
      <c r="L601" s="423"/>
      <c r="M601" s="423"/>
      <c r="N601" s="423"/>
      <c r="O601" s="423"/>
      <c r="P601" s="423"/>
      <c r="Q601" s="423"/>
      <c r="R601" s="423"/>
      <c r="S601" s="423"/>
      <c r="T601" s="423"/>
      <c r="U601" s="423"/>
      <c r="V601" s="423"/>
      <c r="W601" s="423"/>
      <c r="X601" s="423"/>
      <c r="Y601" s="423"/>
      <c r="Z601" s="423"/>
    </row>
    <row r="602">
      <c r="A602" s="564">
        <v>600.0</v>
      </c>
      <c r="B602" s="565" t="s">
        <v>5681</v>
      </c>
      <c r="C602" s="565" t="s">
        <v>5648</v>
      </c>
      <c r="D602" s="564">
        <v>1.0</v>
      </c>
      <c r="E602" s="564">
        <v>0.0</v>
      </c>
      <c r="F602" s="564">
        <v>0.0</v>
      </c>
      <c r="G602" s="564">
        <v>7.0</v>
      </c>
      <c r="H602" s="564">
        <v>0.0</v>
      </c>
      <c r="I602" s="423"/>
      <c r="J602" s="423"/>
      <c r="K602" s="423"/>
      <c r="L602" s="423"/>
      <c r="M602" s="423"/>
      <c r="N602" s="423"/>
      <c r="O602" s="423"/>
      <c r="P602" s="423"/>
      <c r="Q602" s="423"/>
      <c r="R602" s="423"/>
      <c r="S602" s="423"/>
      <c r="T602" s="423"/>
      <c r="U602" s="423"/>
      <c r="V602" s="423"/>
      <c r="W602" s="423"/>
      <c r="X602" s="423"/>
      <c r="Y602" s="423"/>
      <c r="Z602" s="423"/>
    </row>
    <row r="603">
      <c r="A603" s="562">
        <v>601.0</v>
      </c>
      <c r="B603" s="563" t="s">
        <v>5682</v>
      </c>
      <c r="C603" s="563" t="s">
        <v>5648</v>
      </c>
      <c r="D603" s="562">
        <v>0.0</v>
      </c>
      <c r="E603" s="562">
        <v>0.0</v>
      </c>
      <c r="F603" s="562">
        <v>0.0</v>
      </c>
      <c r="G603" s="562">
        <v>8.0</v>
      </c>
      <c r="H603" s="562">
        <v>0.0</v>
      </c>
      <c r="I603" s="423"/>
      <c r="J603" s="423"/>
      <c r="K603" s="423"/>
      <c r="L603" s="423"/>
      <c r="M603" s="423"/>
      <c r="N603" s="423"/>
      <c r="O603" s="423"/>
      <c r="P603" s="423"/>
      <c r="Q603" s="423"/>
      <c r="R603" s="423"/>
      <c r="S603" s="423"/>
      <c r="T603" s="423"/>
      <c r="U603" s="423"/>
      <c r="V603" s="423"/>
      <c r="W603" s="423"/>
      <c r="X603" s="423"/>
      <c r="Y603" s="423"/>
      <c r="Z603" s="423"/>
    </row>
    <row r="604">
      <c r="A604" s="564">
        <v>602.0</v>
      </c>
      <c r="B604" s="565" t="s">
        <v>5683</v>
      </c>
      <c r="C604" s="565" t="s">
        <v>5684</v>
      </c>
      <c r="D604" s="564">
        <v>0.0</v>
      </c>
      <c r="E604" s="564">
        <v>0.0</v>
      </c>
      <c r="F604" s="564">
        <v>0.0</v>
      </c>
      <c r="G604" s="564">
        <v>8.0</v>
      </c>
      <c r="H604" s="564">
        <v>0.0</v>
      </c>
      <c r="I604" s="423"/>
      <c r="J604" s="423"/>
      <c r="K604" s="423"/>
      <c r="L604" s="423"/>
      <c r="M604" s="423"/>
      <c r="N604" s="423"/>
      <c r="O604" s="423"/>
      <c r="P604" s="423"/>
      <c r="Q604" s="423"/>
      <c r="R604" s="423"/>
      <c r="S604" s="423"/>
      <c r="T604" s="423"/>
      <c r="U604" s="423"/>
      <c r="V604" s="423"/>
      <c r="W604" s="423"/>
      <c r="X604" s="423"/>
      <c r="Y604" s="423"/>
      <c r="Z604" s="423"/>
    </row>
    <row r="605">
      <c r="A605" s="562">
        <v>603.0</v>
      </c>
      <c r="B605" s="563" t="s">
        <v>5685</v>
      </c>
      <c r="C605" s="563" t="s">
        <v>5684</v>
      </c>
      <c r="D605" s="562">
        <v>0.0</v>
      </c>
      <c r="E605" s="562">
        <v>0.0</v>
      </c>
      <c r="F605" s="562">
        <v>0.0</v>
      </c>
      <c r="G605" s="562">
        <v>8.0</v>
      </c>
      <c r="H605" s="562">
        <v>0.0</v>
      </c>
      <c r="I605" s="423"/>
      <c r="J605" s="423"/>
      <c r="K605" s="423"/>
      <c r="L605" s="423"/>
      <c r="M605" s="423"/>
      <c r="N605" s="423"/>
      <c r="O605" s="423"/>
      <c r="P605" s="423"/>
      <c r="Q605" s="423"/>
      <c r="R605" s="423"/>
      <c r="S605" s="423"/>
      <c r="T605" s="423"/>
      <c r="U605" s="423"/>
      <c r="V605" s="423"/>
      <c r="W605" s="423"/>
      <c r="X605" s="423"/>
      <c r="Y605" s="423"/>
      <c r="Z605" s="423"/>
    </row>
    <row r="606">
      <c r="A606" s="564">
        <v>604.0</v>
      </c>
      <c r="B606" s="565" t="s">
        <v>5686</v>
      </c>
      <c r="C606" s="565" t="s">
        <v>5684</v>
      </c>
      <c r="D606" s="564">
        <v>0.0</v>
      </c>
      <c r="E606" s="564">
        <v>0.0</v>
      </c>
      <c r="F606" s="564">
        <v>0.0</v>
      </c>
      <c r="G606" s="564">
        <v>8.0</v>
      </c>
      <c r="H606" s="564">
        <v>0.0</v>
      </c>
      <c r="I606" s="423"/>
      <c r="J606" s="423"/>
      <c r="K606" s="423"/>
      <c r="L606" s="423"/>
      <c r="M606" s="423"/>
      <c r="N606" s="423"/>
      <c r="O606" s="423"/>
      <c r="P606" s="423"/>
      <c r="Q606" s="423"/>
      <c r="R606" s="423"/>
      <c r="S606" s="423"/>
      <c r="T606" s="423"/>
      <c r="U606" s="423"/>
      <c r="V606" s="423"/>
      <c r="W606" s="423"/>
      <c r="X606" s="423"/>
      <c r="Y606" s="423"/>
      <c r="Z606" s="423"/>
    </row>
    <row r="607">
      <c r="A607" s="562">
        <v>605.0</v>
      </c>
      <c r="B607" s="563" t="s">
        <v>5687</v>
      </c>
      <c r="C607" s="563" t="s">
        <v>5684</v>
      </c>
      <c r="D607" s="562">
        <v>0.0</v>
      </c>
      <c r="E607" s="562">
        <v>0.0</v>
      </c>
      <c r="F607" s="562">
        <v>0.0</v>
      </c>
      <c r="G607" s="562">
        <v>8.0</v>
      </c>
      <c r="H607" s="562">
        <v>0.0</v>
      </c>
      <c r="I607" s="423"/>
      <c r="J607" s="423"/>
      <c r="K607" s="423"/>
      <c r="L607" s="423"/>
      <c r="M607" s="423"/>
      <c r="N607" s="423"/>
      <c r="O607" s="423"/>
      <c r="P607" s="423"/>
      <c r="Q607" s="423"/>
      <c r="R607" s="423"/>
      <c r="S607" s="423"/>
      <c r="T607" s="423"/>
      <c r="U607" s="423"/>
      <c r="V607" s="423"/>
      <c r="W607" s="423"/>
      <c r="X607" s="423"/>
      <c r="Y607" s="423"/>
      <c r="Z607" s="423"/>
    </row>
    <row r="608">
      <c r="A608" s="564">
        <v>606.0</v>
      </c>
      <c r="B608" s="565" t="s">
        <v>5688</v>
      </c>
      <c r="C608" s="565" t="s">
        <v>5684</v>
      </c>
      <c r="D608" s="564">
        <v>0.0</v>
      </c>
      <c r="E608" s="564">
        <v>0.0</v>
      </c>
      <c r="F608" s="564">
        <v>0.0</v>
      </c>
      <c r="G608" s="564">
        <v>8.0</v>
      </c>
      <c r="H608" s="564">
        <v>0.0</v>
      </c>
      <c r="I608" s="423"/>
      <c r="J608" s="423"/>
      <c r="K608" s="423"/>
      <c r="L608" s="423"/>
      <c r="M608" s="423"/>
      <c r="N608" s="423"/>
      <c r="O608" s="423"/>
      <c r="P608" s="423"/>
      <c r="Q608" s="423"/>
      <c r="R608" s="423"/>
      <c r="S608" s="423"/>
      <c r="T608" s="423"/>
      <c r="U608" s="423"/>
      <c r="V608" s="423"/>
      <c r="W608" s="423"/>
      <c r="X608" s="423"/>
      <c r="Y608" s="423"/>
      <c r="Z608" s="423"/>
    </row>
    <row r="609">
      <c r="A609" s="562">
        <v>607.0</v>
      </c>
      <c r="B609" s="563" t="s">
        <v>5689</v>
      </c>
      <c r="C609" s="563" t="s">
        <v>5684</v>
      </c>
      <c r="D609" s="562">
        <v>2.0</v>
      </c>
      <c r="E609" s="562">
        <v>0.0</v>
      </c>
      <c r="F609" s="562">
        <v>0.0</v>
      </c>
      <c r="G609" s="562">
        <v>6.0</v>
      </c>
      <c r="H609" s="562">
        <v>0.0</v>
      </c>
      <c r="I609" s="423"/>
      <c r="J609" s="423"/>
      <c r="K609" s="423"/>
      <c r="L609" s="423"/>
      <c r="M609" s="423"/>
      <c r="N609" s="423"/>
      <c r="O609" s="423"/>
      <c r="P609" s="423"/>
      <c r="Q609" s="423"/>
      <c r="R609" s="423"/>
      <c r="S609" s="423"/>
      <c r="T609" s="423"/>
      <c r="U609" s="423"/>
      <c r="V609" s="423"/>
      <c r="W609" s="423"/>
      <c r="X609" s="423"/>
      <c r="Y609" s="423"/>
      <c r="Z609" s="423"/>
    </row>
    <row r="610">
      <c r="A610" s="564">
        <v>608.0</v>
      </c>
      <c r="B610" s="565" t="s">
        <v>5690</v>
      </c>
      <c r="C610" s="565" t="s">
        <v>5684</v>
      </c>
      <c r="D610" s="564">
        <v>2.0</v>
      </c>
      <c r="E610" s="564">
        <v>0.0</v>
      </c>
      <c r="F610" s="564">
        <v>0.0</v>
      </c>
      <c r="G610" s="564">
        <v>6.0</v>
      </c>
      <c r="H610" s="564">
        <v>0.0</v>
      </c>
      <c r="I610" s="423"/>
      <c r="J610" s="423"/>
      <c r="K610" s="423"/>
      <c r="L610" s="423"/>
      <c r="M610" s="423"/>
      <c r="N610" s="423"/>
      <c r="O610" s="423"/>
      <c r="P610" s="423"/>
      <c r="Q610" s="423"/>
      <c r="R610" s="423"/>
      <c r="S610" s="423"/>
      <c r="T610" s="423"/>
      <c r="U610" s="423"/>
      <c r="V610" s="423"/>
      <c r="W610" s="423"/>
      <c r="X610" s="423"/>
      <c r="Y610" s="423"/>
      <c r="Z610" s="423"/>
    </row>
    <row r="611">
      <c r="A611" s="562">
        <v>609.0</v>
      </c>
      <c r="B611" s="563" t="s">
        <v>5691</v>
      </c>
      <c r="C611" s="563" t="s">
        <v>5684</v>
      </c>
      <c r="D611" s="562">
        <v>0.0</v>
      </c>
      <c r="E611" s="562">
        <v>0.0</v>
      </c>
      <c r="F611" s="562">
        <v>0.0</v>
      </c>
      <c r="G611" s="562">
        <v>8.0</v>
      </c>
      <c r="H611" s="562">
        <v>0.0</v>
      </c>
      <c r="I611" s="423"/>
      <c r="J611" s="423"/>
      <c r="K611" s="423"/>
      <c r="L611" s="423"/>
      <c r="M611" s="423"/>
      <c r="N611" s="423"/>
      <c r="O611" s="423"/>
      <c r="P611" s="423"/>
      <c r="Q611" s="423"/>
      <c r="R611" s="423"/>
      <c r="S611" s="423"/>
      <c r="T611" s="423"/>
      <c r="U611" s="423"/>
      <c r="V611" s="423"/>
      <c r="W611" s="423"/>
      <c r="X611" s="423"/>
      <c r="Y611" s="423"/>
      <c r="Z611" s="423"/>
    </row>
    <row r="612">
      <c r="A612" s="564">
        <v>610.0</v>
      </c>
      <c r="B612" s="565" t="s">
        <v>5692</v>
      </c>
      <c r="C612" s="565" t="s">
        <v>5684</v>
      </c>
      <c r="D612" s="564">
        <v>0.0</v>
      </c>
      <c r="E612" s="564">
        <v>0.0</v>
      </c>
      <c r="F612" s="564">
        <v>0.0</v>
      </c>
      <c r="G612" s="564">
        <v>8.0</v>
      </c>
      <c r="H612" s="564">
        <v>0.0</v>
      </c>
      <c r="I612" s="423"/>
      <c r="J612" s="423"/>
      <c r="K612" s="423"/>
      <c r="L612" s="423"/>
      <c r="M612" s="423"/>
      <c r="N612" s="423"/>
      <c r="O612" s="423"/>
      <c r="P612" s="423"/>
      <c r="Q612" s="423"/>
      <c r="R612" s="423"/>
      <c r="S612" s="423"/>
      <c r="T612" s="423"/>
      <c r="U612" s="423"/>
      <c r="V612" s="423"/>
      <c r="W612" s="423"/>
      <c r="X612" s="423"/>
      <c r="Y612" s="423"/>
      <c r="Z612" s="423"/>
    </row>
    <row r="613">
      <c r="A613" s="562">
        <v>611.0</v>
      </c>
      <c r="B613" s="563" t="s">
        <v>5693</v>
      </c>
      <c r="C613" s="563" t="s">
        <v>5684</v>
      </c>
      <c r="D613" s="562">
        <v>0.0</v>
      </c>
      <c r="E613" s="562">
        <v>0.0</v>
      </c>
      <c r="F613" s="562">
        <v>0.0</v>
      </c>
      <c r="G613" s="562">
        <v>8.0</v>
      </c>
      <c r="H613" s="562">
        <v>0.0</v>
      </c>
      <c r="I613" s="423"/>
      <c r="J613" s="423"/>
      <c r="K613" s="423"/>
      <c r="L613" s="423"/>
      <c r="M613" s="423"/>
      <c r="N613" s="423"/>
      <c r="O613" s="423"/>
      <c r="P613" s="423"/>
      <c r="Q613" s="423"/>
      <c r="R613" s="423"/>
      <c r="S613" s="423"/>
      <c r="T613" s="423"/>
      <c r="U613" s="423"/>
      <c r="V613" s="423"/>
      <c r="W613" s="423"/>
      <c r="X613" s="423"/>
      <c r="Y613" s="423"/>
      <c r="Z613" s="423"/>
    </row>
    <row r="614">
      <c r="A614" s="564">
        <v>612.0</v>
      </c>
      <c r="B614" s="565" t="s">
        <v>5694</v>
      </c>
      <c r="C614" s="565" t="s">
        <v>5684</v>
      </c>
      <c r="D614" s="564">
        <v>1.0</v>
      </c>
      <c r="E614" s="564">
        <v>0.0</v>
      </c>
      <c r="F614" s="564">
        <v>0.0</v>
      </c>
      <c r="G614" s="564">
        <v>7.0</v>
      </c>
      <c r="H614" s="564">
        <v>0.0</v>
      </c>
      <c r="I614" s="423"/>
      <c r="J614" s="423"/>
      <c r="K614" s="423"/>
      <c r="L614" s="423"/>
      <c r="M614" s="423"/>
      <c r="N614" s="423"/>
      <c r="O614" s="423"/>
      <c r="P614" s="423"/>
      <c r="Q614" s="423"/>
      <c r="R614" s="423"/>
      <c r="S614" s="423"/>
      <c r="T614" s="423"/>
      <c r="U614" s="423"/>
      <c r="V614" s="423"/>
      <c r="W614" s="423"/>
      <c r="X614" s="423"/>
      <c r="Y614" s="423"/>
      <c r="Z614" s="423"/>
    </row>
    <row r="615">
      <c r="A615" s="562">
        <v>613.0</v>
      </c>
      <c r="B615" s="563" t="s">
        <v>5695</v>
      </c>
      <c r="C615" s="563" t="s">
        <v>5684</v>
      </c>
      <c r="D615" s="562">
        <v>0.0</v>
      </c>
      <c r="E615" s="562">
        <v>0.0</v>
      </c>
      <c r="F615" s="562">
        <v>0.0</v>
      </c>
      <c r="G615" s="562">
        <v>8.0</v>
      </c>
      <c r="H615" s="562">
        <v>0.0</v>
      </c>
      <c r="I615" s="423"/>
      <c r="J615" s="423"/>
      <c r="K615" s="423"/>
      <c r="L615" s="423"/>
      <c r="M615" s="423"/>
      <c r="N615" s="423"/>
      <c r="O615" s="423"/>
      <c r="P615" s="423"/>
      <c r="Q615" s="423"/>
      <c r="R615" s="423"/>
      <c r="S615" s="423"/>
      <c r="T615" s="423"/>
      <c r="U615" s="423"/>
      <c r="V615" s="423"/>
      <c r="W615" s="423"/>
      <c r="X615" s="423"/>
      <c r="Y615" s="423"/>
      <c r="Z615" s="423"/>
    </row>
    <row r="616">
      <c r="A616" s="564">
        <v>614.0</v>
      </c>
      <c r="B616" s="565" t="s">
        <v>5696</v>
      </c>
      <c r="C616" s="565" t="s">
        <v>5684</v>
      </c>
      <c r="D616" s="564">
        <v>0.0</v>
      </c>
      <c r="E616" s="564">
        <v>0.0</v>
      </c>
      <c r="F616" s="564">
        <v>0.0</v>
      </c>
      <c r="G616" s="564">
        <v>8.0</v>
      </c>
      <c r="H616" s="564">
        <v>0.0</v>
      </c>
      <c r="I616" s="423"/>
      <c r="J616" s="423"/>
      <c r="K616" s="423"/>
      <c r="L616" s="423"/>
      <c r="M616" s="423"/>
      <c r="N616" s="423"/>
      <c r="O616" s="423"/>
      <c r="P616" s="423"/>
      <c r="Q616" s="423"/>
      <c r="R616" s="423"/>
      <c r="S616" s="423"/>
      <c r="T616" s="423"/>
      <c r="U616" s="423"/>
      <c r="V616" s="423"/>
      <c r="W616" s="423"/>
      <c r="X616" s="423"/>
      <c r="Y616" s="423"/>
      <c r="Z616" s="423"/>
    </row>
    <row r="617">
      <c r="A617" s="562">
        <v>615.0</v>
      </c>
      <c r="B617" s="563" t="s">
        <v>5697</v>
      </c>
      <c r="C617" s="563" t="s">
        <v>5684</v>
      </c>
      <c r="D617" s="562">
        <v>0.0</v>
      </c>
      <c r="E617" s="562">
        <v>0.0</v>
      </c>
      <c r="F617" s="562">
        <v>0.0</v>
      </c>
      <c r="G617" s="562">
        <v>8.0</v>
      </c>
      <c r="H617" s="562">
        <v>0.0</v>
      </c>
      <c r="I617" s="423"/>
      <c r="J617" s="423"/>
      <c r="K617" s="423"/>
      <c r="L617" s="423"/>
      <c r="M617" s="423"/>
      <c r="N617" s="423"/>
      <c r="O617" s="423"/>
      <c r="P617" s="423"/>
      <c r="Q617" s="423"/>
      <c r="R617" s="423"/>
      <c r="S617" s="423"/>
      <c r="T617" s="423"/>
      <c r="U617" s="423"/>
      <c r="V617" s="423"/>
      <c r="W617" s="423"/>
      <c r="X617" s="423"/>
      <c r="Y617" s="423"/>
      <c r="Z617" s="423"/>
    </row>
    <row r="618">
      <c r="A618" s="564">
        <v>616.0</v>
      </c>
      <c r="B618" s="565" t="s">
        <v>5698</v>
      </c>
      <c r="C618" s="565" t="s">
        <v>5684</v>
      </c>
      <c r="D618" s="564">
        <v>0.0</v>
      </c>
      <c r="E618" s="564">
        <v>0.0</v>
      </c>
      <c r="F618" s="564">
        <v>0.0</v>
      </c>
      <c r="G618" s="564">
        <v>8.0</v>
      </c>
      <c r="H618" s="564">
        <v>0.0</v>
      </c>
      <c r="I618" s="423"/>
      <c r="J618" s="423"/>
      <c r="K618" s="423"/>
      <c r="L618" s="423"/>
      <c r="M618" s="423"/>
      <c r="N618" s="423"/>
      <c r="O618" s="423"/>
      <c r="P618" s="423"/>
      <c r="Q618" s="423"/>
      <c r="R618" s="423"/>
      <c r="S618" s="423"/>
      <c r="T618" s="423"/>
      <c r="U618" s="423"/>
      <c r="V618" s="423"/>
      <c r="W618" s="423"/>
      <c r="X618" s="423"/>
      <c r="Y618" s="423"/>
      <c r="Z618" s="423"/>
    </row>
    <row r="619">
      <c r="A619" s="562">
        <v>617.0</v>
      </c>
      <c r="B619" s="563" t="s">
        <v>5699</v>
      </c>
      <c r="C619" s="563" t="s">
        <v>5684</v>
      </c>
      <c r="D619" s="562">
        <v>0.0</v>
      </c>
      <c r="E619" s="562">
        <v>0.0</v>
      </c>
      <c r="F619" s="562">
        <v>0.0</v>
      </c>
      <c r="G619" s="562">
        <v>8.0</v>
      </c>
      <c r="H619" s="562">
        <v>0.0</v>
      </c>
      <c r="I619" s="423"/>
      <c r="J619" s="423"/>
      <c r="K619" s="423"/>
      <c r="L619" s="423"/>
      <c r="M619" s="423"/>
      <c r="N619" s="423"/>
      <c r="O619" s="423"/>
      <c r="P619" s="423"/>
      <c r="Q619" s="423"/>
      <c r="R619" s="423"/>
      <c r="S619" s="423"/>
      <c r="T619" s="423"/>
      <c r="U619" s="423"/>
      <c r="V619" s="423"/>
      <c r="W619" s="423"/>
      <c r="X619" s="423"/>
      <c r="Y619" s="423"/>
      <c r="Z619" s="423"/>
    </row>
    <row r="620">
      <c r="A620" s="564">
        <v>618.0</v>
      </c>
      <c r="B620" s="565" t="s">
        <v>5700</v>
      </c>
      <c r="C620" s="565" t="s">
        <v>5684</v>
      </c>
      <c r="D620" s="564">
        <v>0.0</v>
      </c>
      <c r="E620" s="564">
        <v>0.0</v>
      </c>
      <c r="F620" s="564">
        <v>0.0</v>
      </c>
      <c r="G620" s="564">
        <v>8.0</v>
      </c>
      <c r="H620" s="564">
        <v>0.0</v>
      </c>
      <c r="I620" s="423"/>
      <c r="J620" s="423"/>
      <c r="K620" s="423"/>
      <c r="L620" s="423"/>
      <c r="M620" s="423"/>
      <c r="N620" s="423"/>
      <c r="O620" s="423"/>
      <c r="P620" s="423"/>
      <c r="Q620" s="423"/>
      <c r="R620" s="423"/>
      <c r="S620" s="423"/>
      <c r="T620" s="423"/>
      <c r="U620" s="423"/>
      <c r="V620" s="423"/>
      <c r="W620" s="423"/>
      <c r="X620" s="423"/>
      <c r="Y620" s="423"/>
      <c r="Z620" s="423"/>
    </row>
    <row r="621">
      <c r="A621" s="562">
        <v>619.0</v>
      </c>
      <c r="B621" s="563" t="s">
        <v>5701</v>
      </c>
      <c r="C621" s="563" t="s">
        <v>5684</v>
      </c>
      <c r="D621" s="562">
        <v>0.0</v>
      </c>
      <c r="E621" s="562">
        <v>0.0</v>
      </c>
      <c r="F621" s="562">
        <v>0.0</v>
      </c>
      <c r="G621" s="562">
        <v>8.0</v>
      </c>
      <c r="H621" s="562">
        <v>0.0</v>
      </c>
      <c r="I621" s="423"/>
      <c r="J621" s="423"/>
      <c r="K621" s="423"/>
      <c r="L621" s="423"/>
      <c r="M621" s="423"/>
      <c r="N621" s="423"/>
      <c r="O621" s="423"/>
      <c r="P621" s="423"/>
      <c r="Q621" s="423"/>
      <c r="R621" s="423"/>
      <c r="S621" s="423"/>
      <c r="T621" s="423"/>
      <c r="U621" s="423"/>
      <c r="V621" s="423"/>
      <c r="W621" s="423"/>
      <c r="X621" s="423"/>
      <c r="Y621" s="423"/>
      <c r="Z621" s="423"/>
    </row>
    <row r="622">
      <c r="A622" s="564">
        <v>620.0</v>
      </c>
      <c r="B622" s="565" t="s">
        <v>5702</v>
      </c>
      <c r="C622" s="565" t="s">
        <v>5684</v>
      </c>
      <c r="D622" s="564">
        <v>1.0</v>
      </c>
      <c r="E622" s="564">
        <v>0.0</v>
      </c>
      <c r="F622" s="564">
        <v>0.0</v>
      </c>
      <c r="G622" s="564">
        <v>7.0</v>
      </c>
      <c r="H622" s="564">
        <v>0.0</v>
      </c>
      <c r="I622" s="423"/>
      <c r="J622" s="423"/>
      <c r="K622" s="423"/>
      <c r="L622" s="423"/>
      <c r="M622" s="423"/>
      <c r="N622" s="423"/>
      <c r="O622" s="423"/>
      <c r="P622" s="423"/>
      <c r="Q622" s="423"/>
      <c r="R622" s="423"/>
      <c r="S622" s="423"/>
      <c r="T622" s="423"/>
      <c r="U622" s="423"/>
      <c r="V622" s="423"/>
      <c r="W622" s="423"/>
      <c r="X622" s="423"/>
      <c r="Y622" s="423"/>
      <c r="Z622" s="423"/>
    </row>
    <row r="623">
      <c r="A623" s="562">
        <v>621.0</v>
      </c>
      <c r="B623" s="563" t="s">
        <v>5703</v>
      </c>
      <c r="C623" s="563" t="s">
        <v>5684</v>
      </c>
      <c r="D623" s="562">
        <v>0.0</v>
      </c>
      <c r="E623" s="562">
        <v>0.0</v>
      </c>
      <c r="F623" s="562">
        <v>0.0</v>
      </c>
      <c r="G623" s="562">
        <v>8.0</v>
      </c>
      <c r="H623" s="562">
        <v>0.0</v>
      </c>
      <c r="I623" s="423"/>
      <c r="J623" s="423"/>
      <c r="K623" s="423"/>
      <c r="L623" s="423"/>
      <c r="M623" s="423"/>
      <c r="N623" s="423"/>
      <c r="O623" s="423"/>
      <c r="P623" s="423"/>
      <c r="Q623" s="423"/>
      <c r="R623" s="423"/>
      <c r="S623" s="423"/>
      <c r="T623" s="423"/>
      <c r="U623" s="423"/>
      <c r="V623" s="423"/>
      <c r="W623" s="423"/>
      <c r="X623" s="423"/>
      <c r="Y623" s="423"/>
      <c r="Z623" s="423"/>
    </row>
    <row r="624">
      <c r="A624" s="564">
        <v>622.0</v>
      </c>
      <c r="B624" s="565" t="s">
        <v>5704</v>
      </c>
      <c r="C624" s="565" t="s">
        <v>5684</v>
      </c>
      <c r="D624" s="564">
        <v>1.0</v>
      </c>
      <c r="E624" s="564">
        <v>0.0</v>
      </c>
      <c r="F624" s="564">
        <v>0.0</v>
      </c>
      <c r="G624" s="564">
        <v>7.0</v>
      </c>
      <c r="H624" s="564">
        <v>0.0</v>
      </c>
      <c r="I624" s="423"/>
      <c r="J624" s="423"/>
      <c r="K624" s="423"/>
      <c r="L624" s="423"/>
      <c r="M624" s="423"/>
      <c r="N624" s="423"/>
      <c r="O624" s="423"/>
      <c r="P624" s="423"/>
      <c r="Q624" s="423"/>
      <c r="R624" s="423"/>
      <c r="S624" s="423"/>
      <c r="T624" s="423"/>
      <c r="U624" s="423"/>
      <c r="V624" s="423"/>
      <c r="W624" s="423"/>
      <c r="X624" s="423"/>
      <c r="Y624" s="423"/>
      <c r="Z624" s="423"/>
    </row>
    <row r="625">
      <c r="A625" s="562">
        <v>623.0</v>
      </c>
      <c r="B625" s="563" t="s">
        <v>5705</v>
      </c>
      <c r="C625" s="563" t="s">
        <v>5684</v>
      </c>
      <c r="D625" s="562">
        <v>0.0</v>
      </c>
      <c r="E625" s="562">
        <v>0.0</v>
      </c>
      <c r="F625" s="562">
        <v>0.0</v>
      </c>
      <c r="G625" s="562">
        <v>8.0</v>
      </c>
      <c r="H625" s="562">
        <v>0.0</v>
      </c>
      <c r="I625" s="423"/>
      <c r="J625" s="423"/>
      <c r="K625" s="423"/>
      <c r="L625" s="423"/>
      <c r="M625" s="423"/>
      <c r="N625" s="423"/>
      <c r="O625" s="423"/>
      <c r="P625" s="423"/>
      <c r="Q625" s="423"/>
      <c r="R625" s="423"/>
      <c r="S625" s="423"/>
      <c r="T625" s="423"/>
      <c r="U625" s="423"/>
      <c r="V625" s="423"/>
      <c r="W625" s="423"/>
      <c r="X625" s="423"/>
      <c r="Y625" s="423"/>
      <c r="Z625" s="423"/>
    </row>
    <row r="626">
      <c r="A626" s="564">
        <v>624.0</v>
      </c>
      <c r="B626" s="565" t="s">
        <v>5706</v>
      </c>
      <c r="C626" s="565" t="s">
        <v>5684</v>
      </c>
      <c r="D626" s="564">
        <v>1.0</v>
      </c>
      <c r="E626" s="564">
        <v>0.0</v>
      </c>
      <c r="F626" s="564">
        <v>0.0</v>
      </c>
      <c r="G626" s="564">
        <v>7.0</v>
      </c>
      <c r="H626" s="564">
        <v>0.0</v>
      </c>
      <c r="I626" s="423"/>
      <c r="J626" s="423"/>
      <c r="K626" s="423"/>
      <c r="L626" s="423"/>
      <c r="M626" s="423"/>
      <c r="N626" s="423"/>
      <c r="O626" s="423"/>
      <c r="P626" s="423"/>
      <c r="Q626" s="423"/>
      <c r="R626" s="423"/>
      <c r="S626" s="423"/>
      <c r="T626" s="423"/>
      <c r="U626" s="423"/>
      <c r="V626" s="423"/>
      <c r="W626" s="423"/>
      <c r="X626" s="423"/>
      <c r="Y626" s="423"/>
      <c r="Z626" s="423"/>
    </row>
    <row r="627">
      <c r="A627" s="562">
        <v>625.0</v>
      </c>
      <c r="B627" s="563" t="s">
        <v>5707</v>
      </c>
      <c r="C627" s="563" t="s">
        <v>5684</v>
      </c>
      <c r="D627" s="562">
        <v>2.0</v>
      </c>
      <c r="E627" s="562">
        <v>0.0</v>
      </c>
      <c r="F627" s="562">
        <v>0.0</v>
      </c>
      <c r="G627" s="562">
        <v>6.0</v>
      </c>
      <c r="H627" s="562">
        <v>0.0</v>
      </c>
      <c r="I627" s="423"/>
      <c r="J627" s="423"/>
      <c r="K627" s="423"/>
      <c r="L627" s="423"/>
      <c r="M627" s="423"/>
      <c r="N627" s="423"/>
      <c r="O627" s="423"/>
      <c r="P627" s="423"/>
      <c r="Q627" s="423"/>
      <c r="R627" s="423"/>
      <c r="S627" s="423"/>
      <c r="T627" s="423"/>
      <c r="U627" s="423"/>
      <c r="V627" s="423"/>
      <c r="W627" s="423"/>
      <c r="X627" s="423"/>
      <c r="Y627" s="423"/>
      <c r="Z627" s="423"/>
    </row>
    <row r="628">
      <c r="A628" s="564">
        <v>626.0</v>
      </c>
      <c r="B628" s="565" t="s">
        <v>5708</v>
      </c>
      <c r="C628" s="565" t="s">
        <v>5684</v>
      </c>
      <c r="D628" s="564">
        <v>0.0</v>
      </c>
      <c r="E628" s="564">
        <v>0.0</v>
      </c>
      <c r="F628" s="564">
        <v>0.0</v>
      </c>
      <c r="G628" s="564">
        <v>8.0</v>
      </c>
      <c r="H628" s="564">
        <v>0.0</v>
      </c>
      <c r="I628" s="423"/>
      <c r="J628" s="423"/>
      <c r="K628" s="423"/>
      <c r="L628" s="423"/>
      <c r="M628" s="423"/>
      <c r="N628" s="423"/>
      <c r="O628" s="423"/>
      <c r="P628" s="423"/>
      <c r="Q628" s="423"/>
      <c r="R628" s="423"/>
      <c r="S628" s="423"/>
      <c r="T628" s="423"/>
      <c r="U628" s="423"/>
      <c r="V628" s="423"/>
      <c r="W628" s="423"/>
      <c r="X628" s="423"/>
      <c r="Y628" s="423"/>
      <c r="Z628" s="423"/>
    </row>
    <row r="629">
      <c r="A629" s="562">
        <v>627.0</v>
      </c>
      <c r="B629" s="563" t="s">
        <v>5709</v>
      </c>
      <c r="C629" s="563" t="s">
        <v>5684</v>
      </c>
      <c r="D629" s="562">
        <v>0.0</v>
      </c>
      <c r="E629" s="562">
        <v>0.0</v>
      </c>
      <c r="F629" s="562">
        <v>0.0</v>
      </c>
      <c r="G629" s="562">
        <v>8.0</v>
      </c>
      <c r="H629" s="562">
        <v>0.0</v>
      </c>
      <c r="I629" s="423"/>
      <c r="J629" s="423"/>
      <c r="K629" s="423"/>
      <c r="L629" s="423"/>
      <c r="M629" s="423"/>
      <c r="N629" s="423"/>
      <c r="O629" s="423"/>
      <c r="P629" s="423"/>
      <c r="Q629" s="423"/>
      <c r="R629" s="423"/>
      <c r="S629" s="423"/>
      <c r="T629" s="423"/>
      <c r="U629" s="423"/>
      <c r="V629" s="423"/>
      <c r="W629" s="423"/>
      <c r="X629" s="423"/>
      <c r="Y629" s="423"/>
      <c r="Z629" s="423"/>
    </row>
    <row r="630">
      <c r="A630" s="564">
        <v>628.0</v>
      </c>
      <c r="B630" s="565" t="s">
        <v>5710</v>
      </c>
      <c r="C630" s="565" t="s">
        <v>5684</v>
      </c>
      <c r="D630" s="564">
        <v>1.0</v>
      </c>
      <c r="E630" s="564">
        <v>0.0</v>
      </c>
      <c r="F630" s="564">
        <v>0.0</v>
      </c>
      <c r="G630" s="564">
        <v>7.0</v>
      </c>
      <c r="H630" s="564">
        <v>0.0</v>
      </c>
      <c r="I630" s="423"/>
      <c r="J630" s="423"/>
      <c r="K630" s="423"/>
      <c r="L630" s="423"/>
      <c r="M630" s="423"/>
      <c r="N630" s="423"/>
      <c r="O630" s="423"/>
      <c r="P630" s="423"/>
      <c r="Q630" s="423"/>
      <c r="R630" s="423"/>
      <c r="S630" s="423"/>
      <c r="T630" s="423"/>
      <c r="U630" s="423"/>
      <c r="V630" s="423"/>
      <c r="W630" s="423"/>
      <c r="X630" s="423"/>
      <c r="Y630" s="423"/>
      <c r="Z630" s="423"/>
    </row>
    <row r="631">
      <c r="A631" s="562">
        <v>629.0</v>
      </c>
      <c r="B631" s="563" t="s">
        <v>5711</v>
      </c>
      <c r="C631" s="563" t="s">
        <v>5684</v>
      </c>
      <c r="D631" s="562">
        <v>0.0</v>
      </c>
      <c r="E631" s="562">
        <v>0.0</v>
      </c>
      <c r="F631" s="562">
        <v>0.0</v>
      </c>
      <c r="G631" s="562">
        <v>8.0</v>
      </c>
      <c r="H631" s="562">
        <v>0.0</v>
      </c>
      <c r="I631" s="423"/>
      <c r="J631" s="423"/>
      <c r="K631" s="423"/>
      <c r="L631" s="423"/>
      <c r="M631" s="423"/>
      <c r="N631" s="423"/>
      <c r="O631" s="423"/>
      <c r="P631" s="423"/>
      <c r="Q631" s="423"/>
      <c r="R631" s="423"/>
      <c r="S631" s="423"/>
      <c r="T631" s="423"/>
      <c r="U631" s="423"/>
      <c r="V631" s="423"/>
      <c r="W631" s="423"/>
      <c r="X631" s="423"/>
      <c r="Y631" s="423"/>
      <c r="Z631" s="423"/>
    </row>
    <row r="632">
      <c r="A632" s="564">
        <v>630.0</v>
      </c>
      <c r="B632" s="565" t="s">
        <v>5712</v>
      </c>
      <c r="C632" s="565" t="s">
        <v>5684</v>
      </c>
      <c r="D632" s="564">
        <v>3.0</v>
      </c>
      <c r="E632" s="564">
        <v>0.0</v>
      </c>
      <c r="F632" s="564">
        <v>0.0</v>
      </c>
      <c r="G632" s="564">
        <v>5.0</v>
      </c>
      <c r="H632" s="564">
        <v>0.0</v>
      </c>
      <c r="I632" s="423"/>
      <c r="J632" s="423"/>
      <c r="K632" s="423"/>
      <c r="L632" s="423"/>
      <c r="M632" s="423"/>
      <c r="N632" s="423"/>
      <c r="O632" s="423"/>
      <c r="P632" s="423"/>
      <c r="Q632" s="423"/>
      <c r="R632" s="423"/>
      <c r="S632" s="423"/>
      <c r="T632" s="423"/>
      <c r="U632" s="423"/>
      <c r="V632" s="423"/>
      <c r="W632" s="423"/>
      <c r="X632" s="423"/>
      <c r="Y632" s="423"/>
      <c r="Z632" s="423"/>
    </row>
    <row r="633">
      <c r="A633" s="562">
        <v>631.0</v>
      </c>
      <c r="B633" s="563" t="s">
        <v>5713</v>
      </c>
      <c r="C633" s="563" t="s">
        <v>5684</v>
      </c>
      <c r="D633" s="562">
        <v>0.0</v>
      </c>
      <c r="E633" s="562">
        <v>0.0</v>
      </c>
      <c r="F633" s="562">
        <v>0.0</v>
      </c>
      <c r="G633" s="562">
        <v>8.0</v>
      </c>
      <c r="H633" s="562">
        <v>0.0</v>
      </c>
      <c r="I633" s="423"/>
      <c r="J633" s="423"/>
      <c r="K633" s="423"/>
      <c r="L633" s="423"/>
      <c r="M633" s="423"/>
      <c r="N633" s="423"/>
      <c r="O633" s="423"/>
      <c r="P633" s="423"/>
      <c r="Q633" s="423"/>
      <c r="R633" s="423"/>
      <c r="S633" s="423"/>
      <c r="T633" s="423"/>
      <c r="U633" s="423"/>
      <c r="V633" s="423"/>
      <c r="W633" s="423"/>
      <c r="X633" s="423"/>
      <c r="Y633" s="423"/>
      <c r="Z633" s="423"/>
    </row>
    <row r="634">
      <c r="A634" s="564">
        <v>632.0</v>
      </c>
      <c r="B634" s="565" t="s">
        <v>5714</v>
      </c>
      <c r="C634" s="565" t="s">
        <v>5684</v>
      </c>
      <c r="D634" s="564">
        <v>0.0</v>
      </c>
      <c r="E634" s="564">
        <v>0.0</v>
      </c>
      <c r="F634" s="564">
        <v>0.0</v>
      </c>
      <c r="G634" s="564">
        <v>8.0</v>
      </c>
      <c r="H634" s="564">
        <v>0.0</v>
      </c>
      <c r="I634" s="423"/>
      <c r="J634" s="423"/>
      <c r="K634" s="423"/>
      <c r="L634" s="423"/>
      <c r="M634" s="423"/>
      <c r="N634" s="423"/>
      <c r="O634" s="423"/>
      <c r="P634" s="423"/>
      <c r="Q634" s="423"/>
      <c r="R634" s="423"/>
      <c r="S634" s="423"/>
      <c r="T634" s="423"/>
      <c r="U634" s="423"/>
      <c r="V634" s="423"/>
      <c r="W634" s="423"/>
      <c r="X634" s="423"/>
      <c r="Y634" s="423"/>
      <c r="Z634" s="423"/>
    </row>
    <row r="635">
      <c r="A635" s="562">
        <v>633.0</v>
      </c>
      <c r="B635" s="563" t="s">
        <v>5715</v>
      </c>
      <c r="C635" s="563" t="s">
        <v>5684</v>
      </c>
      <c r="D635" s="562">
        <v>0.0</v>
      </c>
      <c r="E635" s="562">
        <v>0.0</v>
      </c>
      <c r="F635" s="562">
        <v>0.0</v>
      </c>
      <c r="G635" s="562">
        <v>8.0</v>
      </c>
      <c r="H635" s="562">
        <v>0.0</v>
      </c>
      <c r="I635" s="423"/>
      <c r="J635" s="423"/>
      <c r="K635" s="423"/>
      <c r="L635" s="423"/>
      <c r="M635" s="423"/>
      <c r="N635" s="423"/>
      <c r="O635" s="423"/>
      <c r="P635" s="423"/>
      <c r="Q635" s="423"/>
      <c r="R635" s="423"/>
      <c r="S635" s="423"/>
      <c r="T635" s="423"/>
      <c r="U635" s="423"/>
      <c r="V635" s="423"/>
      <c r="W635" s="423"/>
      <c r="X635" s="423"/>
      <c r="Y635" s="423"/>
      <c r="Z635" s="423"/>
    </row>
    <row r="636">
      <c r="A636" s="564">
        <v>634.0</v>
      </c>
      <c r="B636" s="565" t="s">
        <v>5716</v>
      </c>
      <c r="C636" s="565" t="s">
        <v>5684</v>
      </c>
      <c r="D636" s="564">
        <v>0.0</v>
      </c>
      <c r="E636" s="564">
        <v>0.0</v>
      </c>
      <c r="F636" s="564">
        <v>0.0</v>
      </c>
      <c r="G636" s="564">
        <v>8.0</v>
      </c>
      <c r="H636" s="564">
        <v>0.0</v>
      </c>
      <c r="I636" s="423"/>
      <c r="J636" s="423"/>
      <c r="K636" s="423"/>
      <c r="L636" s="423"/>
      <c r="M636" s="423"/>
      <c r="N636" s="423"/>
      <c r="O636" s="423"/>
      <c r="P636" s="423"/>
      <c r="Q636" s="423"/>
      <c r="R636" s="423"/>
      <c r="S636" s="423"/>
      <c r="T636" s="423"/>
      <c r="U636" s="423"/>
      <c r="V636" s="423"/>
      <c r="W636" s="423"/>
      <c r="X636" s="423"/>
      <c r="Y636" s="423"/>
      <c r="Z636" s="423"/>
    </row>
    <row r="637">
      <c r="A637" s="562">
        <v>635.0</v>
      </c>
      <c r="B637" s="563" t="s">
        <v>5717</v>
      </c>
      <c r="C637" s="563" t="s">
        <v>5684</v>
      </c>
      <c r="D637" s="562">
        <v>2.0</v>
      </c>
      <c r="E637" s="562">
        <v>0.0</v>
      </c>
      <c r="F637" s="562">
        <v>0.0</v>
      </c>
      <c r="G637" s="562">
        <v>6.0</v>
      </c>
      <c r="H637" s="562">
        <v>0.0</v>
      </c>
      <c r="I637" s="423"/>
      <c r="J637" s="423"/>
      <c r="K637" s="423"/>
      <c r="L637" s="423"/>
      <c r="M637" s="423"/>
      <c r="N637" s="423"/>
      <c r="O637" s="423"/>
      <c r="P637" s="423"/>
      <c r="Q637" s="423"/>
      <c r="R637" s="423"/>
      <c r="S637" s="423"/>
      <c r="T637" s="423"/>
      <c r="U637" s="423"/>
      <c r="V637" s="423"/>
      <c r="W637" s="423"/>
      <c r="X637" s="423"/>
      <c r="Y637" s="423"/>
      <c r="Z637" s="423"/>
    </row>
    <row r="638">
      <c r="A638" s="564">
        <v>636.0</v>
      </c>
      <c r="B638" s="565" t="s">
        <v>5718</v>
      </c>
      <c r="C638" s="565" t="s">
        <v>5684</v>
      </c>
      <c r="D638" s="564">
        <v>0.0</v>
      </c>
      <c r="E638" s="564">
        <v>0.0</v>
      </c>
      <c r="F638" s="564">
        <v>0.0</v>
      </c>
      <c r="G638" s="564">
        <v>8.0</v>
      </c>
      <c r="H638" s="564">
        <v>0.0</v>
      </c>
      <c r="I638" s="423"/>
      <c r="J638" s="423"/>
      <c r="K638" s="423"/>
      <c r="L638" s="423"/>
      <c r="M638" s="423"/>
      <c r="N638" s="423"/>
      <c r="O638" s="423"/>
      <c r="P638" s="423"/>
      <c r="Q638" s="423"/>
      <c r="R638" s="423"/>
      <c r="S638" s="423"/>
      <c r="T638" s="423"/>
      <c r="U638" s="423"/>
      <c r="V638" s="423"/>
      <c r="W638" s="423"/>
      <c r="X638" s="423"/>
      <c r="Y638" s="423"/>
      <c r="Z638" s="423"/>
    </row>
    <row r="639">
      <c r="A639" s="562">
        <v>637.0</v>
      </c>
      <c r="B639" s="563" t="s">
        <v>5719</v>
      </c>
      <c r="C639" s="563" t="s">
        <v>5684</v>
      </c>
      <c r="D639" s="562">
        <v>0.0</v>
      </c>
      <c r="E639" s="562">
        <v>0.0</v>
      </c>
      <c r="F639" s="562">
        <v>0.0</v>
      </c>
      <c r="G639" s="562">
        <v>8.0</v>
      </c>
      <c r="H639" s="562">
        <v>0.0</v>
      </c>
      <c r="I639" s="423"/>
      <c r="J639" s="423"/>
      <c r="K639" s="423"/>
      <c r="L639" s="423"/>
      <c r="M639" s="423"/>
      <c r="N639" s="423"/>
      <c r="O639" s="423"/>
      <c r="P639" s="423"/>
      <c r="Q639" s="423"/>
      <c r="R639" s="423"/>
      <c r="S639" s="423"/>
      <c r="T639" s="423"/>
      <c r="U639" s="423"/>
      <c r="V639" s="423"/>
      <c r="W639" s="423"/>
      <c r="X639" s="423"/>
      <c r="Y639" s="423"/>
      <c r="Z639" s="423"/>
    </row>
    <row r="640">
      <c r="A640" s="564">
        <v>638.0</v>
      </c>
      <c r="B640" s="565" t="s">
        <v>5720</v>
      </c>
      <c r="C640" s="565" t="s">
        <v>5721</v>
      </c>
      <c r="D640" s="564">
        <v>0.0</v>
      </c>
      <c r="E640" s="564">
        <v>0.0</v>
      </c>
      <c r="F640" s="564">
        <v>0.0</v>
      </c>
      <c r="G640" s="564">
        <v>8.0</v>
      </c>
      <c r="H640" s="564">
        <v>0.0</v>
      </c>
      <c r="I640" s="423"/>
      <c r="J640" s="423"/>
      <c r="K640" s="423"/>
      <c r="L640" s="423"/>
      <c r="M640" s="423"/>
      <c r="N640" s="423"/>
      <c r="O640" s="423"/>
      <c r="P640" s="423"/>
      <c r="Q640" s="423"/>
      <c r="R640" s="423"/>
      <c r="S640" s="423"/>
      <c r="T640" s="423"/>
      <c r="U640" s="423"/>
      <c r="V640" s="423"/>
      <c r="W640" s="423"/>
      <c r="X640" s="423"/>
      <c r="Y640" s="423"/>
      <c r="Z640" s="423"/>
    </row>
    <row r="641">
      <c r="A641" s="562">
        <v>639.0</v>
      </c>
      <c r="B641" s="563" t="s">
        <v>5722</v>
      </c>
      <c r="C641" s="563" t="s">
        <v>5721</v>
      </c>
      <c r="D641" s="562">
        <v>1.0</v>
      </c>
      <c r="E641" s="562">
        <v>0.0</v>
      </c>
      <c r="F641" s="562">
        <v>0.0</v>
      </c>
      <c r="G641" s="562">
        <v>7.0</v>
      </c>
      <c r="H641" s="562">
        <v>0.0</v>
      </c>
      <c r="I641" s="423"/>
      <c r="J641" s="423"/>
      <c r="K641" s="423"/>
      <c r="L641" s="423"/>
      <c r="M641" s="423"/>
      <c r="N641" s="423"/>
      <c r="O641" s="423"/>
      <c r="P641" s="423"/>
      <c r="Q641" s="423"/>
      <c r="R641" s="423"/>
      <c r="S641" s="423"/>
      <c r="T641" s="423"/>
      <c r="U641" s="423"/>
      <c r="V641" s="423"/>
      <c r="W641" s="423"/>
      <c r="X641" s="423"/>
      <c r="Y641" s="423"/>
      <c r="Z641" s="423"/>
    </row>
    <row r="642">
      <c r="A642" s="564">
        <v>640.0</v>
      </c>
      <c r="B642" s="565" t="s">
        <v>5723</v>
      </c>
      <c r="C642" s="565" t="s">
        <v>5721</v>
      </c>
      <c r="D642" s="564">
        <v>0.0</v>
      </c>
      <c r="E642" s="564">
        <v>0.0</v>
      </c>
      <c r="F642" s="564">
        <v>0.0</v>
      </c>
      <c r="G642" s="564">
        <v>8.0</v>
      </c>
      <c r="H642" s="564">
        <v>0.0</v>
      </c>
      <c r="I642" s="423"/>
      <c r="J642" s="423"/>
      <c r="K642" s="423"/>
      <c r="L642" s="423"/>
      <c r="M642" s="423"/>
      <c r="N642" s="423"/>
      <c r="O642" s="423"/>
      <c r="P642" s="423"/>
      <c r="Q642" s="423"/>
      <c r="R642" s="423"/>
      <c r="S642" s="423"/>
      <c r="T642" s="423"/>
      <c r="U642" s="423"/>
      <c r="V642" s="423"/>
      <c r="W642" s="423"/>
      <c r="X642" s="423"/>
      <c r="Y642" s="423"/>
      <c r="Z642" s="423"/>
    </row>
    <row r="643">
      <c r="A643" s="562">
        <v>641.0</v>
      </c>
      <c r="B643" s="563" t="s">
        <v>5724</v>
      </c>
      <c r="C643" s="563" t="s">
        <v>5721</v>
      </c>
      <c r="D643" s="562">
        <v>0.0</v>
      </c>
      <c r="E643" s="562">
        <v>0.0</v>
      </c>
      <c r="F643" s="562">
        <v>0.0</v>
      </c>
      <c r="G643" s="562">
        <v>8.0</v>
      </c>
      <c r="H643" s="562">
        <v>0.0</v>
      </c>
      <c r="I643" s="423"/>
      <c r="J643" s="423"/>
      <c r="K643" s="423"/>
      <c r="L643" s="423"/>
      <c r="M643" s="423"/>
      <c r="N643" s="423"/>
      <c r="O643" s="423"/>
      <c r="P643" s="423"/>
      <c r="Q643" s="423"/>
      <c r="R643" s="423"/>
      <c r="S643" s="423"/>
      <c r="T643" s="423"/>
      <c r="U643" s="423"/>
      <c r="V643" s="423"/>
      <c r="W643" s="423"/>
      <c r="X643" s="423"/>
      <c r="Y643" s="423"/>
      <c r="Z643" s="423"/>
    </row>
    <row r="644">
      <c r="A644" s="564">
        <v>642.0</v>
      </c>
      <c r="B644" s="565" t="s">
        <v>5725</v>
      </c>
      <c r="C644" s="565" t="s">
        <v>5721</v>
      </c>
      <c r="D644" s="564">
        <v>0.0</v>
      </c>
      <c r="E644" s="564">
        <v>0.0</v>
      </c>
      <c r="F644" s="564">
        <v>0.0</v>
      </c>
      <c r="G644" s="564">
        <v>8.0</v>
      </c>
      <c r="H644" s="564">
        <v>0.0</v>
      </c>
      <c r="I644" s="423"/>
      <c r="J644" s="423"/>
      <c r="K644" s="423"/>
      <c r="L644" s="423"/>
      <c r="M644" s="423"/>
      <c r="N644" s="423"/>
      <c r="O644" s="423"/>
      <c r="P644" s="423"/>
      <c r="Q644" s="423"/>
      <c r="R644" s="423"/>
      <c r="S644" s="423"/>
      <c r="T644" s="423"/>
      <c r="U644" s="423"/>
      <c r="V644" s="423"/>
      <c r="W644" s="423"/>
      <c r="X644" s="423"/>
      <c r="Y644" s="423"/>
      <c r="Z644" s="423"/>
    </row>
    <row r="645">
      <c r="A645" s="562">
        <v>643.0</v>
      </c>
      <c r="B645" s="563" t="s">
        <v>5726</v>
      </c>
      <c r="C645" s="563" t="s">
        <v>5721</v>
      </c>
      <c r="D645" s="562">
        <v>0.0</v>
      </c>
      <c r="E645" s="562">
        <v>0.0</v>
      </c>
      <c r="F645" s="562">
        <v>0.0</v>
      </c>
      <c r="G645" s="562">
        <v>8.0</v>
      </c>
      <c r="H645" s="562">
        <v>0.0</v>
      </c>
      <c r="I645" s="423"/>
      <c r="J645" s="423"/>
      <c r="K645" s="423"/>
      <c r="L645" s="423"/>
      <c r="M645" s="423"/>
      <c r="N645" s="423"/>
      <c r="O645" s="423"/>
      <c r="P645" s="423"/>
      <c r="Q645" s="423"/>
      <c r="R645" s="423"/>
      <c r="S645" s="423"/>
      <c r="T645" s="423"/>
      <c r="U645" s="423"/>
      <c r="V645" s="423"/>
      <c r="W645" s="423"/>
      <c r="X645" s="423"/>
      <c r="Y645" s="423"/>
      <c r="Z645" s="423"/>
    </row>
    <row r="646">
      <c r="A646" s="564">
        <v>644.0</v>
      </c>
      <c r="B646" s="565" t="s">
        <v>5727</v>
      </c>
      <c r="C646" s="565" t="s">
        <v>5721</v>
      </c>
      <c r="D646" s="564">
        <v>0.0</v>
      </c>
      <c r="E646" s="564">
        <v>0.0</v>
      </c>
      <c r="F646" s="564">
        <v>0.0</v>
      </c>
      <c r="G646" s="564">
        <v>8.0</v>
      </c>
      <c r="H646" s="564">
        <v>0.0</v>
      </c>
      <c r="I646" s="423"/>
      <c r="J646" s="423"/>
      <c r="K646" s="423"/>
      <c r="L646" s="423"/>
      <c r="M646" s="423"/>
      <c r="N646" s="423"/>
      <c r="O646" s="423"/>
      <c r="P646" s="423"/>
      <c r="Q646" s="423"/>
      <c r="R646" s="423"/>
      <c r="S646" s="423"/>
      <c r="T646" s="423"/>
      <c r="U646" s="423"/>
      <c r="V646" s="423"/>
      <c r="W646" s="423"/>
      <c r="X646" s="423"/>
      <c r="Y646" s="423"/>
      <c r="Z646" s="423"/>
    </row>
    <row r="647">
      <c r="A647" s="562">
        <v>645.0</v>
      </c>
      <c r="B647" s="563" t="s">
        <v>5728</v>
      </c>
      <c r="C647" s="563" t="s">
        <v>5721</v>
      </c>
      <c r="D647" s="562">
        <v>0.0</v>
      </c>
      <c r="E647" s="562">
        <v>0.0</v>
      </c>
      <c r="F647" s="562">
        <v>0.0</v>
      </c>
      <c r="G647" s="562">
        <v>8.0</v>
      </c>
      <c r="H647" s="562">
        <v>0.0</v>
      </c>
      <c r="I647" s="423"/>
      <c r="J647" s="423"/>
      <c r="K647" s="423"/>
      <c r="L647" s="423"/>
      <c r="M647" s="423"/>
      <c r="N647" s="423"/>
      <c r="O647" s="423"/>
      <c r="P647" s="423"/>
      <c r="Q647" s="423"/>
      <c r="R647" s="423"/>
      <c r="S647" s="423"/>
      <c r="T647" s="423"/>
      <c r="U647" s="423"/>
      <c r="V647" s="423"/>
      <c r="W647" s="423"/>
      <c r="X647" s="423"/>
      <c r="Y647" s="423"/>
      <c r="Z647" s="423"/>
    </row>
    <row r="648">
      <c r="A648" s="564">
        <v>646.0</v>
      </c>
      <c r="B648" s="565" t="s">
        <v>5729</v>
      </c>
      <c r="C648" s="565" t="s">
        <v>5721</v>
      </c>
      <c r="D648" s="564">
        <v>0.0</v>
      </c>
      <c r="E648" s="564">
        <v>0.0</v>
      </c>
      <c r="F648" s="564">
        <v>0.0</v>
      </c>
      <c r="G648" s="564">
        <v>8.0</v>
      </c>
      <c r="H648" s="564">
        <v>0.0</v>
      </c>
      <c r="I648" s="423"/>
      <c r="J648" s="423"/>
      <c r="K648" s="423"/>
      <c r="L648" s="423"/>
      <c r="M648" s="423"/>
      <c r="N648" s="423"/>
      <c r="O648" s="423"/>
      <c r="P648" s="423"/>
      <c r="Q648" s="423"/>
      <c r="R648" s="423"/>
      <c r="S648" s="423"/>
      <c r="T648" s="423"/>
      <c r="U648" s="423"/>
      <c r="V648" s="423"/>
      <c r="W648" s="423"/>
      <c r="X648" s="423"/>
      <c r="Y648" s="423"/>
      <c r="Z648" s="423"/>
    </row>
    <row r="649">
      <c r="A649" s="562">
        <v>647.0</v>
      </c>
      <c r="B649" s="563" t="s">
        <v>5730</v>
      </c>
      <c r="C649" s="563" t="s">
        <v>5721</v>
      </c>
      <c r="D649" s="562">
        <v>2.0</v>
      </c>
      <c r="E649" s="562">
        <v>0.0</v>
      </c>
      <c r="F649" s="562">
        <v>0.0</v>
      </c>
      <c r="G649" s="562">
        <v>6.0</v>
      </c>
      <c r="H649" s="562">
        <v>0.0</v>
      </c>
      <c r="I649" s="423"/>
      <c r="J649" s="423"/>
      <c r="K649" s="423"/>
      <c r="L649" s="423"/>
      <c r="M649" s="423"/>
      <c r="N649" s="423"/>
      <c r="O649" s="423"/>
      <c r="P649" s="423"/>
      <c r="Q649" s="423"/>
      <c r="R649" s="423"/>
      <c r="S649" s="423"/>
      <c r="T649" s="423"/>
      <c r="U649" s="423"/>
      <c r="V649" s="423"/>
      <c r="W649" s="423"/>
      <c r="X649" s="423"/>
      <c r="Y649" s="423"/>
      <c r="Z649" s="423"/>
    </row>
    <row r="650">
      <c r="A650" s="564">
        <v>648.0</v>
      </c>
      <c r="B650" s="565" t="s">
        <v>5731</v>
      </c>
      <c r="C650" s="565" t="s">
        <v>5721</v>
      </c>
      <c r="D650" s="564">
        <v>0.0</v>
      </c>
      <c r="E650" s="564">
        <v>0.0</v>
      </c>
      <c r="F650" s="564">
        <v>0.0</v>
      </c>
      <c r="G650" s="564">
        <v>8.0</v>
      </c>
      <c r="H650" s="564">
        <v>0.0</v>
      </c>
      <c r="I650" s="423"/>
      <c r="J650" s="423"/>
      <c r="K650" s="423"/>
      <c r="L650" s="423"/>
      <c r="M650" s="423"/>
      <c r="N650" s="423"/>
      <c r="O650" s="423"/>
      <c r="P650" s="423"/>
      <c r="Q650" s="423"/>
      <c r="R650" s="423"/>
      <c r="S650" s="423"/>
      <c r="T650" s="423"/>
      <c r="U650" s="423"/>
      <c r="V650" s="423"/>
      <c r="W650" s="423"/>
      <c r="X650" s="423"/>
      <c r="Y650" s="423"/>
      <c r="Z650" s="423"/>
    </row>
    <row r="651">
      <c r="A651" s="562">
        <v>649.0</v>
      </c>
      <c r="B651" s="563" t="s">
        <v>5732</v>
      </c>
      <c r="C651" s="563" t="s">
        <v>5721</v>
      </c>
      <c r="D651" s="562">
        <v>0.0</v>
      </c>
      <c r="E651" s="562">
        <v>0.0</v>
      </c>
      <c r="F651" s="562">
        <v>0.0</v>
      </c>
      <c r="G651" s="562">
        <v>8.0</v>
      </c>
      <c r="H651" s="562">
        <v>0.0</v>
      </c>
      <c r="I651" s="423"/>
      <c r="J651" s="423"/>
      <c r="K651" s="423"/>
      <c r="L651" s="423"/>
      <c r="M651" s="423"/>
      <c r="N651" s="423"/>
      <c r="O651" s="423"/>
      <c r="P651" s="423"/>
      <c r="Q651" s="423"/>
      <c r="R651" s="423"/>
      <c r="S651" s="423"/>
      <c r="T651" s="423"/>
      <c r="U651" s="423"/>
      <c r="V651" s="423"/>
      <c r="W651" s="423"/>
      <c r="X651" s="423"/>
      <c r="Y651" s="423"/>
      <c r="Z651" s="423"/>
    </row>
    <row r="652">
      <c r="A652" s="564">
        <v>650.0</v>
      </c>
      <c r="B652" s="565" t="s">
        <v>5733</v>
      </c>
      <c r="C652" s="565" t="s">
        <v>5721</v>
      </c>
      <c r="D652" s="564">
        <v>0.0</v>
      </c>
      <c r="E652" s="564">
        <v>0.0</v>
      </c>
      <c r="F652" s="564">
        <v>0.0</v>
      </c>
      <c r="G652" s="564">
        <v>8.0</v>
      </c>
      <c r="H652" s="564">
        <v>0.0</v>
      </c>
      <c r="I652" s="423"/>
      <c r="J652" s="423"/>
      <c r="K652" s="423"/>
      <c r="L652" s="423"/>
      <c r="M652" s="423"/>
      <c r="N652" s="423"/>
      <c r="O652" s="423"/>
      <c r="P652" s="423"/>
      <c r="Q652" s="423"/>
      <c r="R652" s="423"/>
      <c r="S652" s="423"/>
      <c r="T652" s="423"/>
      <c r="U652" s="423"/>
      <c r="V652" s="423"/>
      <c r="W652" s="423"/>
      <c r="X652" s="423"/>
      <c r="Y652" s="423"/>
      <c r="Z652" s="423"/>
    </row>
    <row r="653">
      <c r="A653" s="562">
        <v>651.0</v>
      </c>
      <c r="B653" s="563" t="s">
        <v>5734</v>
      </c>
      <c r="C653" s="563" t="s">
        <v>5721</v>
      </c>
      <c r="D653" s="562">
        <v>0.0</v>
      </c>
      <c r="E653" s="562">
        <v>0.0</v>
      </c>
      <c r="F653" s="562">
        <v>0.0</v>
      </c>
      <c r="G653" s="562">
        <v>8.0</v>
      </c>
      <c r="H653" s="562">
        <v>0.0</v>
      </c>
      <c r="I653" s="423"/>
      <c r="J653" s="423"/>
      <c r="K653" s="423"/>
      <c r="L653" s="423"/>
      <c r="M653" s="423"/>
      <c r="N653" s="423"/>
      <c r="O653" s="423"/>
      <c r="P653" s="423"/>
      <c r="Q653" s="423"/>
      <c r="R653" s="423"/>
      <c r="S653" s="423"/>
      <c r="T653" s="423"/>
      <c r="U653" s="423"/>
      <c r="V653" s="423"/>
      <c r="W653" s="423"/>
      <c r="X653" s="423"/>
      <c r="Y653" s="423"/>
      <c r="Z653" s="423"/>
    </row>
    <row r="654">
      <c r="A654" s="564">
        <v>652.0</v>
      </c>
      <c r="B654" s="565" t="s">
        <v>5735</v>
      </c>
      <c r="C654" s="565" t="s">
        <v>5721</v>
      </c>
      <c r="D654" s="564">
        <v>0.0</v>
      </c>
      <c r="E654" s="564">
        <v>0.0</v>
      </c>
      <c r="F654" s="564">
        <v>0.0</v>
      </c>
      <c r="G654" s="564">
        <v>8.0</v>
      </c>
      <c r="H654" s="564">
        <v>0.0</v>
      </c>
      <c r="I654" s="423"/>
      <c r="J654" s="423"/>
      <c r="K654" s="423"/>
      <c r="L654" s="423"/>
      <c r="M654" s="423"/>
      <c r="N654" s="423"/>
      <c r="O654" s="423"/>
      <c r="P654" s="423"/>
      <c r="Q654" s="423"/>
      <c r="R654" s="423"/>
      <c r="S654" s="423"/>
      <c r="T654" s="423"/>
      <c r="U654" s="423"/>
      <c r="V654" s="423"/>
      <c r="W654" s="423"/>
      <c r="X654" s="423"/>
      <c r="Y654" s="423"/>
      <c r="Z654" s="423"/>
    </row>
    <row r="655">
      <c r="A655" s="562">
        <v>653.0</v>
      </c>
      <c r="B655" s="563" t="s">
        <v>5736</v>
      </c>
      <c r="C655" s="563" t="s">
        <v>5721</v>
      </c>
      <c r="D655" s="562">
        <v>0.0</v>
      </c>
      <c r="E655" s="562">
        <v>0.0</v>
      </c>
      <c r="F655" s="562">
        <v>0.0</v>
      </c>
      <c r="G655" s="562">
        <v>8.0</v>
      </c>
      <c r="H655" s="562">
        <v>0.0</v>
      </c>
      <c r="I655" s="423"/>
      <c r="J655" s="423"/>
      <c r="K655" s="423"/>
      <c r="L655" s="423"/>
      <c r="M655" s="423"/>
      <c r="N655" s="423"/>
      <c r="O655" s="423"/>
      <c r="P655" s="423"/>
      <c r="Q655" s="423"/>
      <c r="R655" s="423"/>
      <c r="S655" s="423"/>
      <c r="T655" s="423"/>
      <c r="U655" s="423"/>
      <c r="V655" s="423"/>
      <c r="W655" s="423"/>
      <c r="X655" s="423"/>
      <c r="Y655" s="423"/>
      <c r="Z655" s="423"/>
    </row>
    <row r="656">
      <c r="A656" s="564">
        <v>654.0</v>
      </c>
      <c r="B656" s="565" t="s">
        <v>5737</v>
      </c>
      <c r="C656" s="565" t="s">
        <v>5721</v>
      </c>
      <c r="D656" s="564">
        <v>3.0</v>
      </c>
      <c r="E656" s="564">
        <v>0.0</v>
      </c>
      <c r="F656" s="564">
        <v>0.0</v>
      </c>
      <c r="G656" s="564">
        <v>5.0</v>
      </c>
      <c r="H656" s="564">
        <v>0.0</v>
      </c>
      <c r="I656" s="423"/>
      <c r="J656" s="423"/>
      <c r="K656" s="423"/>
      <c r="L656" s="423"/>
      <c r="M656" s="423"/>
      <c r="N656" s="423"/>
      <c r="O656" s="423"/>
      <c r="P656" s="423"/>
      <c r="Q656" s="423"/>
      <c r="R656" s="423"/>
      <c r="S656" s="423"/>
      <c r="T656" s="423"/>
      <c r="U656" s="423"/>
      <c r="V656" s="423"/>
      <c r="W656" s="423"/>
      <c r="X656" s="423"/>
      <c r="Y656" s="423"/>
      <c r="Z656" s="423"/>
    </row>
    <row r="657">
      <c r="A657" s="562">
        <v>655.0</v>
      </c>
      <c r="B657" s="563" t="s">
        <v>5738</v>
      </c>
      <c r="C657" s="563" t="s">
        <v>5721</v>
      </c>
      <c r="D657" s="562">
        <v>0.0</v>
      </c>
      <c r="E657" s="562">
        <v>0.0</v>
      </c>
      <c r="F657" s="562">
        <v>0.0</v>
      </c>
      <c r="G657" s="562">
        <v>8.0</v>
      </c>
      <c r="H657" s="562">
        <v>0.0</v>
      </c>
      <c r="I657" s="423"/>
      <c r="J657" s="423"/>
      <c r="K657" s="423"/>
      <c r="L657" s="423"/>
      <c r="M657" s="423"/>
      <c r="N657" s="423"/>
      <c r="O657" s="423"/>
      <c r="P657" s="423"/>
      <c r="Q657" s="423"/>
      <c r="R657" s="423"/>
      <c r="S657" s="423"/>
      <c r="T657" s="423"/>
      <c r="U657" s="423"/>
      <c r="V657" s="423"/>
      <c r="W657" s="423"/>
      <c r="X657" s="423"/>
      <c r="Y657" s="423"/>
      <c r="Z657" s="423"/>
    </row>
    <row r="658">
      <c r="A658" s="564">
        <v>656.0</v>
      </c>
      <c r="B658" s="565" t="s">
        <v>5739</v>
      </c>
      <c r="C658" s="565" t="s">
        <v>5721</v>
      </c>
      <c r="D658" s="564">
        <v>0.0</v>
      </c>
      <c r="E658" s="564">
        <v>0.0</v>
      </c>
      <c r="F658" s="564">
        <v>0.0</v>
      </c>
      <c r="G658" s="564">
        <v>8.0</v>
      </c>
      <c r="H658" s="564">
        <v>0.0</v>
      </c>
      <c r="I658" s="423"/>
      <c r="J658" s="423"/>
      <c r="K658" s="423"/>
      <c r="L658" s="423"/>
      <c r="M658" s="423"/>
      <c r="N658" s="423"/>
      <c r="O658" s="423"/>
      <c r="P658" s="423"/>
      <c r="Q658" s="423"/>
      <c r="R658" s="423"/>
      <c r="S658" s="423"/>
      <c r="T658" s="423"/>
      <c r="U658" s="423"/>
      <c r="V658" s="423"/>
      <c r="W658" s="423"/>
      <c r="X658" s="423"/>
      <c r="Y658" s="423"/>
      <c r="Z658" s="423"/>
    </row>
    <row r="659">
      <c r="A659" s="562">
        <v>657.0</v>
      </c>
      <c r="B659" s="563" t="s">
        <v>5740</v>
      </c>
      <c r="C659" s="563" t="s">
        <v>5721</v>
      </c>
      <c r="D659" s="562">
        <v>0.0</v>
      </c>
      <c r="E659" s="562">
        <v>0.0</v>
      </c>
      <c r="F659" s="562">
        <v>0.0</v>
      </c>
      <c r="G659" s="562">
        <v>8.0</v>
      </c>
      <c r="H659" s="562">
        <v>0.0</v>
      </c>
      <c r="I659" s="423"/>
      <c r="J659" s="423"/>
      <c r="K659" s="423"/>
      <c r="L659" s="423"/>
      <c r="M659" s="423"/>
      <c r="N659" s="423"/>
      <c r="O659" s="423"/>
      <c r="P659" s="423"/>
      <c r="Q659" s="423"/>
      <c r="R659" s="423"/>
      <c r="S659" s="423"/>
      <c r="T659" s="423"/>
      <c r="U659" s="423"/>
      <c r="V659" s="423"/>
      <c r="W659" s="423"/>
      <c r="X659" s="423"/>
      <c r="Y659" s="423"/>
      <c r="Z659" s="423"/>
    </row>
    <row r="660">
      <c r="A660" s="564">
        <v>658.0</v>
      </c>
      <c r="B660" s="565" t="s">
        <v>5741</v>
      </c>
      <c r="C660" s="565" t="s">
        <v>5721</v>
      </c>
      <c r="D660" s="564">
        <v>0.0</v>
      </c>
      <c r="E660" s="564">
        <v>0.0</v>
      </c>
      <c r="F660" s="564">
        <v>0.0</v>
      </c>
      <c r="G660" s="564">
        <v>8.0</v>
      </c>
      <c r="H660" s="564">
        <v>0.0</v>
      </c>
      <c r="I660" s="423"/>
      <c r="J660" s="423"/>
      <c r="K660" s="423"/>
      <c r="L660" s="423"/>
      <c r="M660" s="423"/>
      <c r="N660" s="423"/>
      <c r="O660" s="423"/>
      <c r="P660" s="423"/>
      <c r="Q660" s="423"/>
      <c r="R660" s="423"/>
      <c r="S660" s="423"/>
      <c r="T660" s="423"/>
      <c r="U660" s="423"/>
      <c r="V660" s="423"/>
      <c r="W660" s="423"/>
      <c r="X660" s="423"/>
      <c r="Y660" s="423"/>
      <c r="Z660" s="423"/>
    </row>
    <row r="661">
      <c r="A661" s="562">
        <v>659.0</v>
      </c>
      <c r="B661" s="563" t="s">
        <v>5742</v>
      </c>
      <c r="C661" s="563" t="s">
        <v>5721</v>
      </c>
      <c r="D661" s="562">
        <v>0.0</v>
      </c>
      <c r="E661" s="562">
        <v>0.0</v>
      </c>
      <c r="F661" s="562">
        <v>0.0</v>
      </c>
      <c r="G661" s="562">
        <v>8.0</v>
      </c>
      <c r="H661" s="562">
        <v>0.0</v>
      </c>
      <c r="I661" s="423"/>
      <c r="J661" s="423"/>
      <c r="K661" s="423"/>
      <c r="L661" s="423"/>
      <c r="M661" s="423"/>
      <c r="N661" s="423"/>
      <c r="O661" s="423"/>
      <c r="P661" s="423"/>
      <c r="Q661" s="423"/>
      <c r="R661" s="423"/>
      <c r="S661" s="423"/>
      <c r="T661" s="423"/>
      <c r="U661" s="423"/>
      <c r="V661" s="423"/>
      <c r="W661" s="423"/>
      <c r="X661" s="423"/>
      <c r="Y661" s="423"/>
      <c r="Z661" s="423"/>
    </row>
    <row r="662">
      <c r="A662" s="564">
        <v>660.0</v>
      </c>
      <c r="B662" s="565" t="s">
        <v>5743</v>
      </c>
      <c r="C662" s="565" t="s">
        <v>5721</v>
      </c>
      <c r="D662" s="564">
        <v>3.0</v>
      </c>
      <c r="E662" s="564">
        <v>0.0</v>
      </c>
      <c r="F662" s="564">
        <v>0.0</v>
      </c>
      <c r="G662" s="564">
        <v>5.0</v>
      </c>
      <c r="H662" s="564">
        <v>0.0</v>
      </c>
      <c r="I662" s="423"/>
      <c r="J662" s="423"/>
      <c r="K662" s="423"/>
      <c r="L662" s="423"/>
      <c r="M662" s="423"/>
      <c r="N662" s="423"/>
      <c r="O662" s="423"/>
      <c r="P662" s="423"/>
      <c r="Q662" s="423"/>
      <c r="R662" s="423"/>
      <c r="S662" s="423"/>
      <c r="T662" s="423"/>
      <c r="U662" s="423"/>
      <c r="V662" s="423"/>
      <c r="W662" s="423"/>
      <c r="X662" s="423"/>
      <c r="Y662" s="423"/>
      <c r="Z662" s="423"/>
    </row>
    <row r="663">
      <c r="A663" s="562">
        <v>661.0</v>
      </c>
      <c r="B663" s="563" t="s">
        <v>5744</v>
      </c>
      <c r="C663" s="563" t="s">
        <v>5721</v>
      </c>
      <c r="D663" s="562">
        <v>0.0</v>
      </c>
      <c r="E663" s="562">
        <v>0.0</v>
      </c>
      <c r="F663" s="562">
        <v>0.0</v>
      </c>
      <c r="G663" s="562">
        <v>8.0</v>
      </c>
      <c r="H663" s="562">
        <v>0.0</v>
      </c>
      <c r="I663" s="423"/>
      <c r="J663" s="423"/>
      <c r="K663" s="423"/>
      <c r="L663" s="423"/>
      <c r="M663" s="423"/>
      <c r="N663" s="423"/>
      <c r="O663" s="423"/>
      <c r="P663" s="423"/>
      <c r="Q663" s="423"/>
      <c r="R663" s="423"/>
      <c r="S663" s="423"/>
      <c r="T663" s="423"/>
      <c r="U663" s="423"/>
      <c r="V663" s="423"/>
      <c r="W663" s="423"/>
      <c r="X663" s="423"/>
      <c r="Y663" s="423"/>
      <c r="Z663" s="423"/>
    </row>
    <row r="664">
      <c r="A664" s="564">
        <v>662.0</v>
      </c>
      <c r="B664" s="565" t="s">
        <v>5745</v>
      </c>
      <c r="C664" s="565" t="s">
        <v>5721</v>
      </c>
      <c r="D664" s="564">
        <v>0.0</v>
      </c>
      <c r="E664" s="564">
        <v>0.0</v>
      </c>
      <c r="F664" s="564">
        <v>0.0</v>
      </c>
      <c r="G664" s="564">
        <v>8.0</v>
      </c>
      <c r="H664" s="564">
        <v>0.0</v>
      </c>
      <c r="I664" s="423"/>
      <c r="J664" s="423"/>
      <c r="K664" s="423"/>
      <c r="L664" s="423"/>
      <c r="M664" s="423"/>
      <c r="N664" s="423"/>
      <c r="O664" s="423"/>
      <c r="P664" s="423"/>
      <c r="Q664" s="423"/>
      <c r="R664" s="423"/>
      <c r="S664" s="423"/>
      <c r="T664" s="423"/>
      <c r="U664" s="423"/>
      <c r="V664" s="423"/>
      <c r="W664" s="423"/>
      <c r="X664" s="423"/>
      <c r="Y664" s="423"/>
      <c r="Z664" s="423"/>
    </row>
    <row r="665">
      <c r="A665" s="562">
        <v>663.0</v>
      </c>
      <c r="B665" s="563" t="s">
        <v>5746</v>
      </c>
      <c r="C665" s="563" t="s">
        <v>5721</v>
      </c>
      <c r="D665" s="562">
        <v>0.0</v>
      </c>
      <c r="E665" s="562">
        <v>0.0</v>
      </c>
      <c r="F665" s="562">
        <v>0.0</v>
      </c>
      <c r="G665" s="562">
        <v>8.0</v>
      </c>
      <c r="H665" s="562">
        <v>0.0</v>
      </c>
      <c r="I665" s="423"/>
      <c r="J665" s="423"/>
      <c r="K665" s="423"/>
      <c r="L665" s="423"/>
      <c r="M665" s="423"/>
      <c r="N665" s="423"/>
      <c r="O665" s="423"/>
      <c r="P665" s="423"/>
      <c r="Q665" s="423"/>
      <c r="R665" s="423"/>
      <c r="S665" s="423"/>
      <c r="T665" s="423"/>
      <c r="U665" s="423"/>
      <c r="V665" s="423"/>
      <c r="W665" s="423"/>
      <c r="X665" s="423"/>
      <c r="Y665" s="423"/>
      <c r="Z665" s="423"/>
    </row>
    <row r="666">
      <c r="A666" s="564">
        <v>664.0</v>
      </c>
      <c r="B666" s="565" t="s">
        <v>5747</v>
      </c>
      <c r="C666" s="565" t="s">
        <v>5721</v>
      </c>
      <c r="D666" s="564">
        <v>0.0</v>
      </c>
      <c r="E666" s="564">
        <v>0.0</v>
      </c>
      <c r="F666" s="564">
        <v>0.0</v>
      </c>
      <c r="G666" s="564">
        <v>8.0</v>
      </c>
      <c r="H666" s="564">
        <v>0.0</v>
      </c>
      <c r="I666" s="423"/>
      <c r="J666" s="423"/>
      <c r="K666" s="423"/>
      <c r="L666" s="423"/>
      <c r="M666" s="423"/>
      <c r="N666" s="423"/>
      <c r="O666" s="423"/>
      <c r="P666" s="423"/>
      <c r="Q666" s="423"/>
      <c r="R666" s="423"/>
      <c r="S666" s="423"/>
      <c r="T666" s="423"/>
      <c r="U666" s="423"/>
      <c r="V666" s="423"/>
      <c r="W666" s="423"/>
      <c r="X666" s="423"/>
      <c r="Y666" s="423"/>
      <c r="Z666" s="423"/>
    </row>
    <row r="667">
      <c r="A667" s="562">
        <v>665.0</v>
      </c>
      <c r="B667" s="563" t="s">
        <v>5748</v>
      </c>
      <c r="C667" s="563" t="s">
        <v>5721</v>
      </c>
      <c r="D667" s="562">
        <v>0.0</v>
      </c>
      <c r="E667" s="562">
        <v>0.0</v>
      </c>
      <c r="F667" s="562">
        <v>0.0</v>
      </c>
      <c r="G667" s="562">
        <v>8.0</v>
      </c>
      <c r="H667" s="562">
        <v>0.0</v>
      </c>
      <c r="I667" s="423"/>
      <c r="J667" s="423"/>
      <c r="K667" s="423"/>
      <c r="L667" s="423"/>
      <c r="M667" s="423"/>
      <c r="N667" s="423"/>
      <c r="O667" s="423"/>
      <c r="P667" s="423"/>
      <c r="Q667" s="423"/>
      <c r="R667" s="423"/>
      <c r="S667" s="423"/>
      <c r="T667" s="423"/>
      <c r="U667" s="423"/>
      <c r="V667" s="423"/>
      <c r="W667" s="423"/>
      <c r="X667" s="423"/>
      <c r="Y667" s="423"/>
      <c r="Z667" s="423"/>
    </row>
    <row r="668">
      <c r="A668" s="564">
        <v>666.0</v>
      </c>
      <c r="B668" s="565" t="s">
        <v>5749</v>
      </c>
      <c r="C668" s="565" t="s">
        <v>5721</v>
      </c>
      <c r="D668" s="564">
        <v>2.0</v>
      </c>
      <c r="E668" s="564">
        <v>0.0</v>
      </c>
      <c r="F668" s="564">
        <v>0.0</v>
      </c>
      <c r="G668" s="564">
        <v>6.0</v>
      </c>
      <c r="H668" s="564">
        <v>0.0</v>
      </c>
      <c r="I668" s="423"/>
      <c r="J668" s="423"/>
      <c r="K668" s="423"/>
      <c r="L668" s="423"/>
      <c r="M668" s="423"/>
      <c r="N668" s="423"/>
      <c r="O668" s="423"/>
      <c r="P668" s="423"/>
      <c r="Q668" s="423"/>
      <c r="R668" s="423"/>
      <c r="S668" s="423"/>
      <c r="T668" s="423"/>
      <c r="U668" s="423"/>
      <c r="V668" s="423"/>
      <c r="W668" s="423"/>
      <c r="X668" s="423"/>
      <c r="Y668" s="423"/>
      <c r="Z668" s="423"/>
    </row>
    <row r="669">
      <c r="A669" s="562">
        <v>667.0</v>
      </c>
      <c r="B669" s="563" t="s">
        <v>5750</v>
      </c>
      <c r="C669" s="563" t="s">
        <v>5721</v>
      </c>
      <c r="D669" s="562">
        <v>0.0</v>
      </c>
      <c r="E669" s="562">
        <v>0.0</v>
      </c>
      <c r="F669" s="562">
        <v>0.0</v>
      </c>
      <c r="G669" s="562">
        <v>8.0</v>
      </c>
      <c r="H669" s="562">
        <v>0.0</v>
      </c>
      <c r="I669" s="423"/>
      <c r="J669" s="423"/>
      <c r="K669" s="423"/>
      <c r="L669" s="423"/>
      <c r="M669" s="423"/>
      <c r="N669" s="423"/>
      <c r="O669" s="423"/>
      <c r="P669" s="423"/>
      <c r="Q669" s="423"/>
      <c r="R669" s="423"/>
      <c r="S669" s="423"/>
      <c r="T669" s="423"/>
      <c r="U669" s="423"/>
      <c r="V669" s="423"/>
      <c r="W669" s="423"/>
      <c r="X669" s="423"/>
      <c r="Y669" s="423"/>
      <c r="Z669" s="423"/>
    </row>
    <row r="670">
      <c r="A670" s="564">
        <v>668.0</v>
      </c>
      <c r="B670" s="565" t="s">
        <v>5751</v>
      </c>
      <c r="C670" s="565" t="s">
        <v>5721</v>
      </c>
      <c r="D670" s="564">
        <v>0.0</v>
      </c>
      <c r="E670" s="564">
        <v>0.0</v>
      </c>
      <c r="F670" s="564">
        <v>0.0</v>
      </c>
      <c r="G670" s="564">
        <v>8.0</v>
      </c>
      <c r="H670" s="564">
        <v>0.0</v>
      </c>
      <c r="I670" s="423"/>
      <c r="J670" s="423"/>
      <c r="K670" s="423"/>
      <c r="L670" s="423"/>
      <c r="M670" s="423"/>
      <c r="N670" s="423"/>
      <c r="O670" s="423"/>
      <c r="P670" s="423"/>
      <c r="Q670" s="423"/>
      <c r="R670" s="423"/>
      <c r="S670" s="423"/>
      <c r="T670" s="423"/>
      <c r="U670" s="423"/>
      <c r="V670" s="423"/>
      <c r="W670" s="423"/>
      <c r="X670" s="423"/>
      <c r="Y670" s="423"/>
      <c r="Z670" s="423"/>
    </row>
    <row r="671">
      <c r="A671" s="562">
        <v>669.0</v>
      </c>
      <c r="B671" s="563" t="s">
        <v>5752</v>
      </c>
      <c r="C671" s="563" t="s">
        <v>5721</v>
      </c>
      <c r="D671" s="562">
        <v>0.0</v>
      </c>
      <c r="E671" s="562">
        <v>0.0</v>
      </c>
      <c r="F671" s="562">
        <v>0.0</v>
      </c>
      <c r="G671" s="562">
        <v>8.0</v>
      </c>
      <c r="H671" s="562">
        <v>0.0</v>
      </c>
      <c r="I671" s="423"/>
      <c r="J671" s="423"/>
      <c r="K671" s="423"/>
      <c r="L671" s="423"/>
      <c r="M671" s="423"/>
      <c r="N671" s="423"/>
      <c r="O671" s="423"/>
      <c r="P671" s="423"/>
      <c r="Q671" s="423"/>
      <c r="R671" s="423"/>
      <c r="S671" s="423"/>
      <c r="T671" s="423"/>
      <c r="U671" s="423"/>
      <c r="V671" s="423"/>
      <c r="W671" s="423"/>
      <c r="X671" s="423"/>
      <c r="Y671" s="423"/>
      <c r="Z671" s="423"/>
    </row>
    <row r="672">
      <c r="A672" s="564">
        <v>670.0</v>
      </c>
      <c r="B672" s="565" t="s">
        <v>5753</v>
      </c>
      <c r="C672" s="565" t="s">
        <v>5721</v>
      </c>
      <c r="D672" s="564">
        <v>0.0</v>
      </c>
      <c r="E672" s="564">
        <v>0.0</v>
      </c>
      <c r="F672" s="564">
        <v>0.0</v>
      </c>
      <c r="G672" s="564">
        <v>8.0</v>
      </c>
      <c r="H672" s="564">
        <v>0.0</v>
      </c>
      <c r="I672" s="423"/>
      <c r="J672" s="423"/>
      <c r="K672" s="423"/>
      <c r="L672" s="423"/>
      <c r="M672" s="423"/>
      <c r="N672" s="423"/>
      <c r="O672" s="423"/>
      <c r="P672" s="423"/>
      <c r="Q672" s="423"/>
      <c r="R672" s="423"/>
      <c r="S672" s="423"/>
      <c r="T672" s="423"/>
      <c r="U672" s="423"/>
      <c r="V672" s="423"/>
      <c r="W672" s="423"/>
      <c r="X672" s="423"/>
      <c r="Y672" s="423"/>
      <c r="Z672" s="423"/>
    </row>
    <row r="673">
      <c r="A673" s="562">
        <v>671.0</v>
      </c>
      <c r="B673" s="563" t="s">
        <v>5754</v>
      </c>
      <c r="C673" s="563" t="s">
        <v>5721</v>
      </c>
      <c r="D673" s="562">
        <v>0.0</v>
      </c>
      <c r="E673" s="562">
        <v>0.0</v>
      </c>
      <c r="F673" s="562">
        <v>0.0</v>
      </c>
      <c r="G673" s="562">
        <v>8.0</v>
      </c>
      <c r="H673" s="562">
        <v>0.0</v>
      </c>
      <c r="I673" s="423"/>
      <c r="J673" s="423"/>
      <c r="K673" s="423"/>
      <c r="L673" s="423"/>
      <c r="M673" s="423"/>
      <c r="N673" s="423"/>
      <c r="O673" s="423"/>
      <c r="P673" s="423"/>
      <c r="Q673" s="423"/>
      <c r="R673" s="423"/>
      <c r="S673" s="423"/>
      <c r="T673" s="423"/>
      <c r="U673" s="423"/>
      <c r="V673" s="423"/>
      <c r="W673" s="423"/>
      <c r="X673" s="423"/>
      <c r="Y673" s="423"/>
      <c r="Z673" s="423"/>
    </row>
    <row r="674">
      <c r="A674" s="564">
        <v>672.0</v>
      </c>
      <c r="B674" s="565" t="s">
        <v>5755</v>
      </c>
      <c r="C674" s="565" t="s">
        <v>5721</v>
      </c>
      <c r="D674" s="564">
        <v>0.0</v>
      </c>
      <c r="E674" s="564">
        <v>0.0</v>
      </c>
      <c r="F674" s="564">
        <v>0.0</v>
      </c>
      <c r="G674" s="564">
        <v>8.0</v>
      </c>
      <c r="H674" s="564">
        <v>0.0</v>
      </c>
      <c r="I674" s="423"/>
      <c r="J674" s="423"/>
      <c r="K674" s="423"/>
      <c r="L674" s="423"/>
      <c r="M674" s="423"/>
      <c r="N674" s="423"/>
      <c r="O674" s="423"/>
      <c r="P674" s="423"/>
      <c r="Q674" s="423"/>
      <c r="R674" s="423"/>
      <c r="S674" s="423"/>
      <c r="T674" s="423"/>
      <c r="U674" s="423"/>
      <c r="V674" s="423"/>
      <c r="W674" s="423"/>
      <c r="X674" s="423"/>
      <c r="Y674" s="423"/>
      <c r="Z674" s="423"/>
    </row>
    <row r="675">
      <c r="A675" s="562">
        <v>673.0</v>
      </c>
      <c r="B675" s="563" t="s">
        <v>5756</v>
      </c>
      <c r="C675" s="563" t="s">
        <v>5721</v>
      </c>
      <c r="D675" s="562">
        <v>2.0</v>
      </c>
      <c r="E675" s="562">
        <v>0.0</v>
      </c>
      <c r="F675" s="562">
        <v>0.0</v>
      </c>
      <c r="G675" s="562">
        <v>6.0</v>
      </c>
      <c r="H675" s="562">
        <v>0.0</v>
      </c>
      <c r="I675" s="423"/>
      <c r="J675" s="423"/>
      <c r="K675" s="423"/>
      <c r="L675" s="423"/>
      <c r="M675" s="423"/>
      <c r="N675" s="423"/>
      <c r="O675" s="423"/>
      <c r="P675" s="423"/>
      <c r="Q675" s="423"/>
      <c r="R675" s="423"/>
      <c r="S675" s="423"/>
      <c r="T675" s="423"/>
      <c r="U675" s="423"/>
      <c r="V675" s="423"/>
      <c r="W675" s="423"/>
      <c r="X675" s="423"/>
      <c r="Y675" s="423"/>
      <c r="Z675" s="423"/>
    </row>
    <row r="676">
      <c r="A676" s="564">
        <v>674.0</v>
      </c>
      <c r="B676" s="565" t="s">
        <v>5757</v>
      </c>
      <c r="C676" s="565" t="s">
        <v>5758</v>
      </c>
      <c r="D676" s="564">
        <v>0.0</v>
      </c>
      <c r="E676" s="564">
        <v>0.0</v>
      </c>
      <c r="F676" s="564">
        <v>0.0</v>
      </c>
      <c r="G676" s="564">
        <v>8.0</v>
      </c>
      <c r="H676" s="564">
        <v>0.0</v>
      </c>
      <c r="I676" s="423"/>
      <c r="J676" s="423"/>
      <c r="K676" s="423"/>
      <c r="L676" s="423"/>
      <c r="M676" s="423"/>
      <c r="N676" s="423"/>
      <c r="O676" s="423"/>
      <c r="P676" s="423"/>
      <c r="Q676" s="423"/>
      <c r="R676" s="423"/>
      <c r="S676" s="423"/>
      <c r="T676" s="423"/>
      <c r="U676" s="423"/>
      <c r="V676" s="423"/>
      <c r="W676" s="423"/>
      <c r="X676" s="423"/>
      <c r="Y676" s="423"/>
      <c r="Z676" s="423"/>
    </row>
    <row r="677">
      <c r="A677" s="562">
        <v>675.0</v>
      </c>
      <c r="B677" s="563" t="s">
        <v>5759</v>
      </c>
      <c r="C677" s="563" t="s">
        <v>5758</v>
      </c>
      <c r="D677" s="562">
        <v>0.0</v>
      </c>
      <c r="E677" s="562">
        <v>0.0</v>
      </c>
      <c r="F677" s="562">
        <v>0.0</v>
      </c>
      <c r="G677" s="562">
        <v>8.0</v>
      </c>
      <c r="H677" s="562">
        <v>0.0</v>
      </c>
      <c r="I677" s="423"/>
      <c r="J677" s="423"/>
      <c r="K677" s="423"/>
      <c r="L677" s="423"/>
      <c r="M677" s="423"/>
      <c r="N677" s="423"/>
      <c r="O677" s="423"/>
      <c r="P677" s="423"/>
      <c r="Q677" s="423"/>
      <c r="R677" s="423"/>
      <c r="S677" s="423"/>
      <c r="T677" s="423"/>
      <c r="U677" s="423"/>
      <c r="V677" s="423"/>
      <c r="W677" s="423"/>
      <c r="X677" s="423"/>
      <c r="Y677" s="423"/>
      <c r="Z677" s="423"/>
    </row>
    <row r="678">
      <c r="A678" s="564">
        <v>676.0</v>
      </c>
      <c r="B678" s="565" t="s">
        <v>5760</v>
      </c>
      <c r="C678" s="565" t="s">
        <v>5758</v>
      </c>
      <c r="D678" s="564">
        <v>0.0</v>
      </c>
      <c r="E678" s="564">
        <v>0.0</v>
      </c>
      <c r="F678" s="564">
        <v>0.0</v>
      </c>
      <c r="G678" s="564">
        <v>8.0</v>
      </c>
      <c r="H678" s="564">
        <v>0.0</v>
      </c>
      <c r="I678" s="423"/>
      <c r="J678" s="423"/>
      <c r="K678" s="423"/>
      <c r="L678" s="423"/>
      <c r="M678" s="423"/>
      <c r="N678" s="423"/>
      <c r="O678" s="423"/>
      <c r="P678" s="423"/>
      <c r="Q678" s="423"/>
      <c r="R678" s="423"/>
      <c r="S678" s="423"/>
      <c r="T678" s="423"/>
      <c r="U678" s="423"/>
      <c r="V678" s="423"/>
      <c r="W678" s="423"/>
      <c r="X678" s="423"/>
      <c r="Y678" s="423"/>
      <c r="Z678" s="423"/>
    </row>
    <row r="679">
      <c r="A679" s="562">
        <v>677.0</v>
      </c>
      <c r="B679" s="563" t="s">
        <v>5761</v>
      </c>
      <c r="C679" s="563" t="s">
        <v>5758</v>
      </c>
      <c r="D679" s="562">
        <v>1.0</v>
      </c>
      <c r="E679" s="562">
        <v>0.0</v>
      </c>
      <c r="F679" s="562">
        <v>0.0</v>
      </c>
      <c r="G679" s="562">
        <v>7.0</v>
      </c>
      <c r="H679" s="562">
        <v>0.0</v>
      </c>
      <c r="I679" s="423"/>
      <c r="J679" s="423"/>
      <c r="K679" s="423"/>
      <c r="L679" s="423"/>
      <c r="M679" s="423"/>
      <c r="N679" s="423"/>
      <c r="O679" s="423"/>
      <c r="P679" s="423"/>
      <c r="Q679" s="423"/>
      <c r="R679" s="423"/>
      <c r="S679" s="423"/>
      <c r="T679" s="423"/>
      <c r="U679" s="423"/>
      <c r="V679" s="423"/>
      <c r="W679" s="423"/>
      <c r="X679" s="423"/>
      <c r="Y679" s="423"/>
      <c r="Z679" s="423"/>
    </row>
    <row r="680">
      <c r="A680" s="564">
        <v>678.0</v>
      </c>
      <c r="B680" s="565" t="s">
        <v>5762</v>
      </c>
      <c r="C680" s="565" t="s">
        <v>5758</v>
      </c>
      <c r="D680" s="564">
        <v>0.0</v>
      </c>
      <c r="E680" s="564">
        <v>0.0</v>
      </c>
      <c r="F680" s="564">
        <v>0.0</v>
      </c>
      <c r="G680" s="564">
        <v>8.0</v>
      </c>
      <c r="H680" s="564">
        <v>0.0</v>
      </c>
      <c r="I680" s="423"/>
      <c r="J680" s="423"/>
      <c r="K680" s="423"/>
      <c r="L680" s="423"/>
      <c r="M680" s="423"/>
      <c r="N680" s="423"/>
      <c r="O680" s="423"/>
      <c r="P680" s="423"/>
      <c r="Q680" s="423"/>
      <c r="R680" s="423"/>
      <c r="S680" s="423"/>
      <c r="T680" s="423"/>
      <c r="U680" s="423"/>
      <c r="V680" s="423"/>
      <c r="W680" s="423"/>
      <c r="X680" s="423"/>
      <c r="Y680" s="423"/>
      <c r="Z680" s="423"/>
    </row>
    <row r="681">
      <c r="A681" s="562">
        <v>679.0</v>
      </c>
      <c r="B681" s="563" t="s">
        <v>5763</v>
      </c>
      <c r="C681" s="563" t="s">
        <v>5758</v>
      </c>
      <c r="D681" s="562">
        <v>0.0</v>
      </c>
      <c r="E681" s="562">
        <v>0.0</v>
      </c>
      <c r="F681" s="562">
        <v>0.0</v>
      </c>
      <c r="G681" s="562">
        <v>8.0</v>
      </c>
      <c r="H681" s="562">
        <v>0.0</v>
      </c>
      <c r="I681" s="423"/>
      <c r="J681" s="423"/>
      <c r="K681" s="423"/>
      <c r="L681" s="423"/>
      <c r="M681" s="423"/>
      <c r="N681" s="423"/>
      <c r="O681" s="423"/>
      <c r="P681" s="423"/>
      <c r="Q681" s="423"/>
      <c r="R681" s="423"/>
      <c r="S681" s="423"/>
      <c r="T681" s="423"/>
      <c r="U681" s="423"/>
      <c r="V681" s="423"/>
      <c r="W681" s="423"/>
      <c r="X681" s="423"/>
      <c r="Y681" s="423"/>
      <c r="Z681" s="423"/>
    </row>
    <row r="682">
      <c r="A682" s="564">
        <v>680.0</v>
      </c>
      <c r="B682" s="565" t="s">
        <v>5764</v>
      </c>
      <c r="C682" s="565" t="s">
        <v>5758</v>
      </c>
      <c r="D682" s="564">
        <v>0.0</v>
      </c>
      <c r="E682" s="564">
        <v>0.0</v>
      </c>
      <c r="F682" s="564">
        <v>0.0</v>
      </c>
      <c r="G682" s="564">
        <v>8.0</v>
      </c>
      <c r="H682" s="564">
        <v>0.0</v>
      </c>
      <c r="I682" s="423"/>
      <c r="J682" s="423"/>
      <c r="K682" s="423"/>
      <c r="L682" s="423"/>
      <c r="M682" s="423"/>
      <c r="N682" s="423"/>
      <c r="O682" s="423"/>
      <c r="P682" s="423"/>
      <c r="Q682" s="423"/>
      <c r="R682" s="423"/>
      <c r="S682" s="423"/>
      <c r="T682" s="423"/>
      <c r="U682" s="423"/>
      <c r="V682" s="423"/>
      <c r="W682" s="423"/>
      <c r="X682" s="423"/>
      <c r="Y682" s="423"/>
      <c r="Z682" s="423"/>
    </row>
    <row r="683">
      <c r="A683" s="562">
        <v>681.0</v>
      </c>
      <c r="B683" s="563" t="s">
        <v>5765</v>
      </c>
      <c r="C683" s="563" t="s">
        <v>5758</v>
      </c>
      <c r="D683" s="562">
        <v>0.0</v>
      </c>
      <c r="E683" s="562">
        <v>0.0</v>
      </c>
      <c r="F683" s="562">
        <v>0.0</v>
      </c>
      <c r="G683" s="562">
        <v>8.0</v>
      </c>
      <c r="H683" s="562">
        <v>0.0</v>
      </c>
      <c r="I683" s="423"/>
      <c r="J683" s="423"/>
      <c r="K683" s="423"/>
      <c r="L683" s="423"/>
      <c r="M683" s="423"/>
      <c r="N683" s="423"/>
      <c r="O683" s="423"/>
      <c r="P683" s="423"/>
      <c r="Q683" s="423"/>
      <c r="R683" s="423"/>
      <c r="S683" s="423"/>
      <c r="T683" s="423"/>
      <c r="U683" s="423"/>
      <c r="V683" s="423"/>
      <c r="W683" s="423"/>
      <c r="X683" s="423"/>
      <c r="Y683" s="423"/>
      <c r="Z683" s="423"/>
    </row>
    <row r="684">
      <c r="A684" s="564">
        <v>682.0</v>
      </c>
      <c r="B684" s="565" t="s">
        <v>5766</v>
      </c>
      <c r="C684" s="565" t="s">
        <v>5758</v>
      </c>
      <c r="D684" s="564">
        <v>0.0</v>
      </c>
      <c r="E684" s="564">
        <v>0.0</v>
      </c>
      <c r="F684" s="564">
        <v>0.0</v>
      </c>
      <c r="G684" s="564">
        <v>8.0</v>
      </c>
      <c r="H684" s="564">
        <v>0.0</v>
      </c>
      <c r="I684" s="423"/>
      <c r="J684" s="423"/>
      <c r="K684" s="423"/>
      <c r="L684" s="423"/>
      <c r="M684" s="423"/>
      <c r="N684" s="423"/>
      <c r="O684" s="423"/>
      <c r="P684" s="423"/>
      <c r="Q684" s="423"/>
      <c r="R684" s="423"/>
      <c r="S684" s="423"/>
      <c r="T684" s="423"/>
      <c r="U684" s="423"/>
      <c r="V684" s="423"/>
      <c r="W684" s="423"/>
      <c r="X684" s="423"/>
      <c r="Y684" s="423"/>
      <c r="Z684" s="423"/>
    </row>
    <row r="685">
      <c r="A685" s="562">
        <v>683.0</v>
      </c>
      <c r="B685" s="563" t="s">
        <v>5767</v>
      </c>
      <c r="C685" s="563" t="s">
        <v>5758</v>
      </c>
      <c r="D685" s="562">
        <v>0.0</v>
      </c>
      <c r="E685" s="562">
        <v>0.0</v>
      </c>
      <c r="F685" s="562">
        <v>0.0</v>
      </c>
      <c r="G685" s="562">
        <v>8.0</v>
      </c>
      <c r="H685" s="562">
        <v>0.0</v>
      </c>
      <c r="I685" s="423"/>
      <c r="J685" s="423"/>
      <c r="K685" s="423"/>
      <c r="L685" s="423"/>
      <c r="M685" s="423"/>
      <c r="N685" s="423"/>
      <c r="O685" s="423"/>
      <c r="P685" s="423"/>
      <c r="Q685" s="423"/>
      <c r="R685" s="423"/>
      <c r="S685" s="423"/>
      <c r="T685" s="423"/>
      <c r="U685" s="423"/>
      <c r="V685" s="423"/>
      <c r="W685" s="423"/>
      <c r="X685" s="423"/>
      <c r="Y685" s="423"/>
      <c r="Z685" s="423"/>
    </row>
    <row r="686">
      <c r="A686" s="564">
        <v>684.0</v>
      </c>
      <c r="B686" s="565" t="s">
        <v>5768</v>
      </c>
      <c r="C686" s="565" t="s">
        <v>5758</v>
      </c>
      <c r="D686" s="564">
        <v>3.0</v>
      </c>
      <c r="E686" s="564">
        <v>0.0</v>
      </c>
      <c r="F686" s="564">
        <v>0.0</v>
      </c>
      <c r="G686" s="564">
        <v>5.0</v>
      </c>
      <c r="H686" s="564">
        <v>0.0</v>
      </c>
      <c r="I686" s="423"/>
      <c r="J686" s="423"/>
      <c r="K686" s="423"/>
      <c r="L686" s="423"/>
      <c r="M686" s="423"/>
      <c r="N686" s="423"/>
      <c r="O686" s="423"/>
      <c r="P686" s="423"/>
      <c r="Q686" s="423"/>
      <c r="R686" s="423"/>
      <c r="S686" s="423"/>
      <c r="T686" s="423"/>
      <c r="U686" s="423"/>
      <c r="V686" s="423"/>
      <c r="W686" s="423"/>
      <c r="X686" s="423"/>
      <c r="Y686" s="423"/>
      <c r="Z686" s="423"/>
    </row>
    <row r="687">
      <c r="A687" s="562">
        <v>685.0</v>
      </c>
      <c r="B687" s="563" t="s">
        <v>5769</v>
      </c>
      <c r="C687" s="563" t="s">
        <v>5758</v>
      </c>
      <c r="D687" s="562">
        <v>0.0</v>
      </c>
      <c r="E687" s="562">
        <v>0.0</v>
      </c>
      <c r="F687" s="562">
        <v>0.0</v>
      </c>
      <c r="G687" s="562">
        <v>8.0</v>
      </c>
      <c r="H687" s="562">
        <v>0.0</v>
      </c>
      <c r="I687" s="423"/>
      <c r="J687" s="423"/>
      <c r="K687" s="423"/>
      <c r="L687" s="423"/>
      <c r="M687" s="423"/>
      <c r="N687" s="423"/>
      <c r="O687" s="423"/>
      <c r="P687" s="423"/>
      <c r="Q687" s="423"/>
      <c r="R687" s="423"/>
      <c r="S687" s="423"/>
      <c r="T687" s="423"/>
      <c r="U687" s="423"/>
      <c r="V687" s="423"/>
      <c r="W687" s="423"/>
      <c r="X687" s="423"/>
      <c r="Y687" s="423"/>
      <c r="Z687" s="423"/>
    </row>
    <row r="688">
      <c r="A688" s="564">
        <v>686.0</v>
      </c>
      <c r="B688" s="565" t="s">
        <v>5770</v>
      </c>
      <c r="C688" s="565" t="s">
        <v>5758</v>
      </c>
      <c r="D688" s="564">
        <v>0.0</v>
      </c>
      <c r="E688" s="564">
        <v>0.0</v>
      </c>
      <c r="F688" s="564">
        <v>0.0</v>
      </c>
      <c r="G688" s="564">
        <v>8.0</v>
      </c>
      <c r="H688" s="564">
        <v>0.0</v>
      </c>
      <c r="I688" s="423"/>
      <c r="J688" s="423"/>
      <c r="K688" s="423"/>
      <c r="L688" s="423"/>
      <c r="M688" s="423"/>
      <c r="N688" s="423"/>
      <c r="O688" s="423"/>
      <c r="P688" s="423"/>
      <c r="Q688" s="423"/>
      <c r="R688" s="423"/>
      <c r="S688" s="423"/>
      <c r="T688" s="423"/>
      <c r="U688" s="423"/>
      <c r="V688" s="423"/>
      <c r="W688" s="423"/>
      <c r="X688" s="423"/>
      <c r="Y688" s="423"/>
      <c r="Z688" s="423"/>
    </row>
    <row r="689">
      <c r="A689" s="562">
        <v>687.0</v>
      </c>
      <c r="B689" s="563" t="s">
        <v>5771</v>
      </c>
      <c r="C689" s="563" t="s">
        <v>5758</v>
      </c>
      <c r="D689" s="562">
        <v>0.0</v>
      </c>
      <c r="E689" s="562">
        <v>0.0</v>
      </c>
      <c r="F689" s="562">
        <v>0.0</v>
      </c>
      <c r="G689" s="562">
        <v>8.0</v>
      </c>
      <c r="H689" s="562">
        <v>0.0</v>
      </c>
      <c r="I689" s="423"/>
      <c r="J689" s="423"/>
      <c r="K689" s="423"/>
      <c r="L689" s="423"/>
      <c r="M689" s="423"/>
      <c r="N689" s="423"/>
      <c r="O689" s="423"/>
      <c r="P689" s="423"/>
      <c r="Q689" s="423"/>
      <c r="R689" s="423"/>
      <c r="S689" s="423"/>
      <c r="T689" s="423"/>
      <c r="U689" s="423"/>
      <c r="V689" s="423"/>
      <c r="W689" s="423"/>
      <c r="X689" s="423"/>
      <c r="Y689" s="423"/>
      <c r="Z689" s="423"/>
    </row>
    <row r="690">
      <c r="A690" s="564">
        <v>688.0</v>
      </c>
      <c r="B690" s="565" t="s">
        <v>5772</v>
      </c>
      <c r="C690" s="565" t="s">
        <v>5758</v>
      </c>
      <c r="D690" s="564">
        <v>0.0</v>
      </c>
      <c r="E690" s="564">
        <v>0.0</v>
      </c>
      <c r="F690" s="564">
        <v>0.0</v>
      </c>
      <c r="G690" s="564">
        <v>8.0</v>
      </c>
      <c r="H690" s="564">
        <v>0.0</v>
      </c>
      <c r="I690" s="423"/>
      <c r="J690" s="423"/>
      <c r="K690" s="423"/>
      <c r="L690" s="423"/>
      <c r="M690" s="423"/>
      <c r="N690" s="423"/>
      <c r="O690" s="423"/>
      <c r="P690" s="423"/>
      <c r="Q690" s="423"/>
      <c r="R690" s="423"/>
      <c r="S690" s="423"/>
      <c r="T690" s="423"/>
      <c r="U690" s="423"/>
      <c r="V690" s="423"/>
      <c r="W690" s="423"/>
      <c r="X690" s="423"/>
      <c r="Y690" s="423"/>
      <c r="Z690" s="423"/>
    </row>
    <row r="691">
      <c r="A691" s="562">
        <v>689.0</v>
      </c>
      <c r="B691" s="563" t="s">
        <v>5773</v>
      </c>
      <c r="C691" s="563" t="s">
        <v>5758</v>
      </c>
      <c r="D691" s="562">
        <v>0.0</v>
      </c>
      <c r="E691" s="562">
        <v>0.0</v>
      </c>
      <c r="F691" s="562">
        <v>0.0</v>
      </c>
      <c r="G691" s="562">
        <v>8.0</v>
      </c>
      <c r="H691" s="562">
        <v>0.0</v>
      </c>
      <c r="I691" s="423"/>
      <c r="J691" s="423"/>
      <c r="K691" s="423"/>
      <c r="L691" s="423"/>
      <c r="M691" s="423"/>
      <c r="N691" s="423"/>
      <c r="O691" s="423"/>
      <c r="P691" s="423"/>
      <c r="Q691" s="423"/>
      <c r="R691" s="423"/>
      <c r="S691" s="423"/>
      <c r="T691" s="423"/>
      <c r="U691" s="423"/>
      <c r="V691" s="423"/>
      <c r="W691" s="423"/>
      <c r="X691" s="423"/>
      <c r="Y691" s="423"/>
      <c r="Z691" s="423"/>
    </row>
    <row r="692">
      <c r="A692" s="564">
        <v>690.0</v>
      </c>
      <c r="B692" s="565" t="s">
        <v>5774</v>
      </c>
      <c r="C692" s="565" t="s">
        <v>5758</v>
      </c>
      <c r="D692" s="564">
        <v>0.0</v>
      </c>
      <c r="E692" s="564">
        <v>0.0</v>
      </c>
      <c r="F692" s="564">
        <v>0.0</v>
      </c>
      <c r="G692" s="564">
        <v>8.0</v>
      </c>
      <c r="H692" s="564">
        <v>0.0</v>
      </c>
      <c r="I692" s="423"/>
      <c r="J692" s="423"/>
      <c r="K692" s="423"/>
      <c r="L692" s="423"/>
      <c r="M692" s="423"/>
      <c r="N692" s="423"/>
      <c r="O692" s="423"/>
      <c r="P692" s="423"/>
      <c r="Q692" s="423"/>
      <c r="R692" s="423"/>
      <c r="S692" s="423"/>
      <c r="T692" s="423"/>
      <c r="U692" s="423"/>
      <c r="V692" s="423"/>
      <c r="W692" s="423"/>
      <c r="X692" s="423"/>
      <c r="Y692" s="423"/>
      <c r="Z692" s="423"/>
    </row>
    <row r="693">
      <c r="A693" s="562">
        <v>691.0</v>
      </c>
      <c r="B693" s="563" t="s">
        <v>5775</v>
      </c>
      <c r="C693" s="563" t="s">
        <v>5758</v>
      </c>
      <c r="D693" s="562">
        <v>0.0</v>
      </c>
      <c r="E693" s="562">
        <v>0.0</v>
      </c>
      <c r="F693" s="562">
        <v>0.0</v>
      </c>
      <c r="G693" s="562">
        <v>8.0</v>
      </c>
      <c r="H693" s="562">
        <v>0.0</v>
      </c>
      <c r="I693" s="423"/>
      <c r="J693" s="423"/>
      <c r="K693" s="423"/>
      <c r="L693" s="423"/>
      <c r="M693" s="423"/>
      <c r="N693" s="423"/>
      <c r="O693" s="423"/>
      <c r="P693" s="423"/>
      <c r="Q693" s="423"/>
      <c r="R693" s="423"/>
      <c r="S693" s="423"/>
      <c r="T693" s="423"/>
      <c r="U693" s="423"/>
      <c r="V693" s="423"/>
      <c r="W693" s="423"/>
      <c r="X693" s="423"/>
      <c r="Y693" s="423"/>
      <c r="Z693" s="423"/>
    </row>
    <row r="694">
      <c r="A694" s="564">
        <v>692.0</v>
      </c>
      <c r="B694" s="565" t="s">
        <v>5776</v>
      </c>
      <c r="C694" s="565" t="s">
        <v>5758</v>
      </c>
      <c r="D694" s="564">
        <v>0.0</v>
      </c>
      <c r="E694" s="564">
        <v>0.0</v>
      </c>
      <c r="F694" s="564">
        <v>0.0</v>
      </c>
      <c r="G694" s="564">
        <v>8.0</v>
      </c>
      <c r="H694" s="564">
        <v>0.0</v>
      </c>
      <c r="I694" s="423"/>
      <c r="J694" s="423"/>
      <c r="K694" s="423"/>
      <c r="L694" s="423"/>
      <c r="M694" s="423"/>
      <c r="N694" s="423"/>
      <c r="O694" s="423"/>
      <c r="P694" s="423"/>
      <c r="Q694" s="423"/>
      <c r="R694" s="423"/>
      <c r="S694" s="423"/>
      <c r="T694" s="423"/>
      <c r="U694" s="423"/>
      <c r="V694" s="423"/>
      <c r="W694" s="423"/>
      <c r="X694" s="423"/>
      <c r="Y694" s="423"/>
      <c r="Z694" s="423"/>
    </row>
    <row r="695">
      <c r="A695" s="562">
        <v>693.0</v>
      </c>
      <c r="B695" s="563" t="s">
        <v>5777</v>
      </c>
      <c r="C695" s="563" t="s">
        <v>5758</v>
      </c>
      <c r="D695" s="562">
        <v>0.0</v>
      </c>
      <c r="E695" s="562">
        <v>0.0</v>
      </c>
      <c r="F695" s="562">
        <v>0.0</v>
      </c>
      <c r="G695" s="562">
        <v>8.0</v>
      </c>
      <c r="H695" s="562">
        <v>0.0</v>
      </c>
      <c r="I695" s="423"/>
      <c r="J695" s="423"/>
      <c r="K695" s="423"/>
      <c r="L695" s="423"/>
      <c r="M695" s="423"/>
      <c r="N695" s="423"/>
      <c r="O695" s="423"/>
      <c r="P695" s="423"/>
      <c r="Q695" s="423"/>
      <c r="R695" s="423"/>
      <c r="S695" s="423"/>
      <c r="T695" s="423"/>
      <c r="U695" s="423"/>
      <c r="V695" s="423"/>
      <c r="W695" s="423"/>
      <c r="X695" s="423"/>
      <c r="Y695" s="423"/>
      <c r="Z695" s="423"/>
    </row>
    <row r="696">
      <c r="A696" s="564">
        <v>694.0</v>
      </c>
      <c r="B696" s="565" t="s">
        <v>5778</v>
      </c>
      <c r="C696" s="565" t="s">
        <v>5758</v>
      </c>
      <c r="D696" s="564">
        <v>0.0</v>
      </c>
      <c r="E696" s="564">
        <v>0.0</v>
      </c>
      <c r="F696" s="564">
        <v>0.0</v>
      </c>
      <c r="G696" s="564">
        <v>8.0</v>
      </c>
      <c r="H696" s="564">
        <v>0.0</v>
      </c>
      <c r="I696" s="423"/>
      <c r="J696" s="423"/>
      <c r="K696" s="423"/>
      <c r="L696" s="423"/>
      <c r="M696" s="423"/>
      <c r="N696" s="423"/>
      <c r="O696" s="423"/>
      <c r="P696" s="423"/>
      <c r="Q696" s="423"/>
      <c r="R696" s="423"/>
      <c r="S696" s="423"/>
      <c r="T696" s="423"/>
      <c r="U696" s="423"/>
      <c r="V696" s="423"/>
      <c r="W696" s="423"/>
      <c r="X696" s="423"/>
      <c r="Y696" s="423"/>
      <c r="Z696" s="423"/>
    </row>
    <row r="697">
      <c r="A697" s="562">
        <v>695.0</v>
      </c>
      <c r="B697" s="563" t="s">
        <v>5779</v>
      </c>
      <c r="C697" s="563" t="s">
        <v>5758</v>
      </c>
      <c r="D697" s="562">
        <v>0.0</v>
      </c>
      <c r="E697" s="562">
        <v>0.0</v>
      </c>
      <c r="F697" s="562">
        <v>0.0</v>
      </c>
      <c r="G697" s="562">
        <v>8.0</v>
      </c>
      <c r="H697" s="562">
        <v>0.0</v>
      </c>
      <c r="I697" s="423"/>
      <c r="J697" s="423"/>
      <c r="K697" s="423"/>
      <c r="L697" s="423"/>
      <c r="M697" s="423"/>
      <c r="N697" s="423"/>
      <c r="O697" s="423"/>
      <c r="P697" s="423"/>
      <c r="Q697" s="423"/>
      <c r="R697" s="423"/>
      <c r="S697" s="423"/>
      <c r="T697" s="423"/>
      <c r="U697" s="423"/>
      <c r="V697" s="423"/>
      <c r="W697" s="423"/>
      <c r="X697" s="423"/>
      <c r="Y697" s="423"/>
      <c r="Z697" s="423"/>
    </row>
    <row r="698">
      <c r="A698" s="564">
        <v>696.0</v>
      </c>
      <c r="B698" s="565" t="s">
        <v>5780</v>
      </c>
      <c r="C698" s="565" t="s">
        <v>5758</v>
      </c>
      <c r="D698" s="564">
        <v>0.0</v>
      </c>
      <c r="E698" s="564">
        <v>0.0</v>
      </c>
      <c r="F698" s="564">
        <v>0.0</v>
      </c>
      <c r="G698" s="564">
        <v>8.0</v>
      </c>
      <c r="H698" s="564">
        <v>0.0</v>
      </c>
      <c r="I698" s="423"/>
      <c r="J698" s="423"/>
      <c r="K698" s="423"/>
      <c r="L698" s="423"/>
      <c r="M698" s="423"/>
      <c r="N698" s="423"/>
      <c r="O698" s="423"/>
      <c r="P698" s="423"/>
      <c r="Q698" s="423"/>
      <c r="R698" s="423"/>
      <c r="S698" s="423"/>
      <c r="T698" s="423"/>
      <c r="U698" s="423"/>
      <c r="V698" s="423"/>
      <c r="W698" s="423"/>
      <c r="X698" s="423"/>
      <c r="Y698" s="423"/>
      <c r="Z698" s="423"/>
    </row>
    <row r="699">
      <c r="A699" s="562">
        <v>697.0</v>
      </c>
      <c r="B699" s="563" t="s">
        <v>5781</v>
      </c>
      <c r="C699" s="563" t="s">
        <v>5758</v>
      </c>
      <c r="D699" s="562">
        <v>0.0</v>
      </c>
      <c r="E699" s="562">
        <v>0.0</v>
      </c>
      <c r="F699" s="562">
        <v>0.0</v>
      </c>
      <c r="G699" s="562">
        <v>8.0</v>
      </c>
      <c r="H699" s="562">
        <v>0.0</v>
      </c>
      <c r="I699" s="423"/>
      <c r="J699" s="423"/>
      <c r="K699" s="423"/>
      <c r="L699" s="423"/>
      <c r="M699" s="423"/>
      <c r="N699" s="423"/>
      <c r="O699" s="423"/>
      <c r="P699" s="423"/>
      <c r="Q699" s="423"/>
      <c r="R699" s="423"/>
      <c r="S699" s="423"/>
      <c r="T699" s="423"/>
      <c r="U699" s="423"/>
      <c r="V699" s="423"/>
      <c r="W699" s="423"/>
      <c r="X699" s="423"/>
      <c r="Y699" s="423"/>
      <c r="Z699" s="423"/>
    </row>
    <row r="700">
      <c r="A700" s="564">
        <v>698.0</v>
      </c>
      <c r="B700" s="565" t="s">
        <v>5782</v>
      </c>
      <c r="C700" s="565" t="s">
        <v>5758</v>
      </c>
      <c r="D700" s="564">
        <v>0.0</v>
      </c>
      <c r="E700" s="564">
        <v>0.0</v>
      </c>
      <c r="F700" s="564">
        <v>0.0</v>
      </c>
      <c r="G700" s="564">
        <v>8.0</v>
      </c>
      <c r="H700" s="564">
        <v>0.0</v>
      </c>
      <c r="I700" s="423"/>
      <c r="J700" s="423"/>
      <c r="K700" s="423"/>
      <c r="L700" s="423"/>
      <c r="M700" s="423"/>
      <c r="N700" s="423"/>
      <c r="O700" s="423"/>
      <c r="P700" s="423"/>
      <c r="Q700" s="423"/>
      <c r="R700" s="423"/>
      <c r="S700" s="423"/>
      <c r="T700" s="423"/>
      <c r="U700" s="423"/>
      <c r="V700" s="423"/>
      <c r="W700" s="423"/>
      <c r="X700" s="423"/>
      <c r="Y700" s="423"/>
      <c r="Z700" s="423"/>
    </row>
    <row r="701">
      <c r="A701" s="562">
        <v>699.0</v>
      </c>
      <c r="B701" s="563" t="s">
        <v>5783</v>
      </c>
      <c r="C701" s="563" t="s">
        <v>5758</v>
      </c>
      <c r="D701" s="562">
        <v>0.0</v>
      </c>
      <c r="E701" s="562">
        <v>0.0</v>
      </c>
      <c r="F701" s="562">
        <v>0.0</v>
      </c>
      <c r="G701" s="562">
        <v>8.0</v>
      </c>
      <c r="H701" s="562">
        <v>0.0</v>
      </c>
      <c r="I701" s="423"/>
      <c r="J701" s="423"/>
      <c r="K701" s="423"/>
      <c r="L701" s="423"/>
      <c r="M701" s="423"/>
      <c r="N701" s="423"/>
      <c r="O701" s="423"/>
      <c r="P701" s="423"/>
      <c r="Q701" s="423"/>
      <c r="R701" s="423"/>
      <c r="S701" s="423"/>
      <c r="T701" s="423"/>
      <c r="U701" s="423"/>
      <c r="V701" s="423"/>
      <c r="W701" s="423"/>
      <c r="X701" s="423"/>
      <c r="Y701" s="423"/>
      <c r="Z701" s="423"/>
    </row>
    <row r="702">
      <c r="A702" s="564">
        <v>700.0</v>
      </c>
      <c r="B702" s="565" t="s">
        <v>5784</v>
      </c>
      <c r="C702" s="565" t="s">
        <v>5758</v>
      </c>
      <c r="D702" s="564">
        <v>2.0</v>
      </c>
      <c r="E702" s="564">
        <v>0.0</v>
      </c>
      <c r="F702" s="564">
        <v>0.0</v>
      </c>
      <c r="G702" s="564">
        <v>6.0</v>
      </c>
      <c r="H702" s="564">
        <v>0.0</v>
      </c>
      <c r="I702" s="423"/>
      <c r="J702" s="423"/>
      <c r="K702" s="423"/>
      <c r="L702" s="423"/>
      <c r="M702" s="423"/>
      <c r="N702" s="423"/>
      <c r="O702" s="423"/>
      <c r="P702" s="423"/>
      <c r="Q702" s="423"/>
      <c r="R702" s="423"/>
      <c r="S702" s="423"/>
      <c r="T702" s="423"/>
      <c r="U702" s="423"/>
      <c r="V702" s="423"/>
      <c r="W702" s="423"/>
      <c r="X702" s="423"/>
      <c r="Y702" s="423"/>
      <c r="Z702" s="423"/>
    </row>
    <row r="703">
      <c r="A703" s="562">
        <v>701.0</v>
      </c>
      <c r="B703" s="563" t="s">
        <v>5785</v>
      </c>
      <c r="C703" s="563" t="s">
        <v>5758</v>
      </c>
      <c r="D703" s="562">
        <v>0.0</v>
      </c>
      <c r="E703" s="562">
        <v>0.0</v>
      </c>
      <c r="F703" s="562">
        <v>0.0</v>
      </c>
      <c r="G703" s="562">
        <v>8.0</v>
      </c>
      <c r="H703" s="562">
        <v>0.0</v>
      </c>
      <c r="I703" s="423"/>
      <c r="J703" s="423"/>
      <c r="K703" s="423"/>
      <c r="L703" s="423"/>
      <c r="M703" s="423"/>
      <c r="N703" s="423"/>
      <c r="O703" s="423"/>
      <c r="P703" s="423"/>
      <c r="Q703" s="423"/>
      <c r="R703" s="423"/>
      <c r="S703" s="423"/>
      <c r="T703" s="423"/>
      <c r="U703" s="423"/>
      <c r="V703" s="423"/>
      <c r="W703" s="423"/>
      <c r="X703" s="423"/>
      <c r="Y703" s="423"/>
      <c r="Z703" s="423"/>
    </row>
    <row r="704">
      <c r="A704" s="564">
        <v>702.0</v>
      </c>
      <c r="B704" s="565" t="s">
        <v>5786</v>
      </c>
      <c r="C704" s="565" t="s">
        <v>5758</v>
      </c>
      <c r="D704" s="564">
        <v>0.0</v>
      </c>
      <c r="E704" s="564">
        <v>0.0</v>
      </c>
      <c r="F704" s="564">
        <v>0.0</v>
      </c>
      <c r="G704" s="564">
        <v>8.0</v>
      </c>
      <c r="H704" s="564">
        <v>0.0</v>
      </c>
      <c r="I704" s="423"/>
      <c r="J704" s="423"/>
      <c r="K704" s="423"/>
      <c r="L704" s="423"/>
      <c r="M704" s="423"/>
      <c r="N704" s="423"/>
      <c r="O704" s="423"/>
      <c r="P704" s="423"/>
      <c r="Q704" s="423"/>
      <c r="R704" s="423"/>
      <c r="S704" s="423"/>
      <c r="T704" s="423"/>
      <c r="U704" s="423"/>
      <c r="V704" s="423"/>
      <c r="W704" s="423"/>
      <c r="X704" s="423"/>
      <c r="Y704" s="423"/>
      <c r="Z704" s="423"/>
    </row>
    <row r="705">
      <c r="A705" s="562">
        <v>703.0</v>
      </c>
      <c r="B705" s="563" t="s">
        <v>5787</v>
      </c>
      <c r="C705" s="563" t="s">
        <v>5758</v>
      </c>
      <c r="D705" s="562">
        <v>1.0</v>
      </c>
      <c r="E705" s="562">
        <v>0.0</v>
      </c>
      <c r="F705" s="562">
        <v>0.0</v>
      </c>
      <c r="G705" s="562">
        <v>7.0</v>
      </c>
      <c r="H705" s="562">
        <v>0.0</v>
      </c>
      <c r="I705" s="423"/>
      <c r="J705" s="423"/>
      <c r="K705" s="423"/>
      <c r="L705" s="423"/>
      <c r="M705" s="423"/>
      <c r="N705" s="423"/>
      <c r="O705" s="423"/>
      <c r="P705" s="423"/>
      <c r="Q705" s="423"/>
      <c r="R705" s="423"/>
      <c r="S705" s="423"/>
      <c r="T705" s="423"/>
      <c r="U705" s="423"/>
      <c r="V705" s="423"/>
      <c r="W705" s="423"/>
      <c r="X705" s="423"/>
      <c r="Y705" s="423"/>
      <c r="Z705" s="423"/>
    </row>
    <row r="706">
      <c r="A706" s="564">
        <v>704.0</v>
      </c>
      <c r="B706" s="565" t="s">
        <v>5788</v>
      </c>
      <c r="C706" s="565" t="s">
        <v>5758</v>
      </c>
      <c r="D706" s="564">
        <v>1.0</v>
      </c>
      <c r="E706" s="564">
        <v>0.0</v>
      </c>
      <c r="F706" s="564">
        <v>0.0</v>
      </c>
      <c r="G706" s="564">
        <v>7.0</v>
      </c>
      <c r="H706" s="564">
        <v>0.0</v>
      </c>
      <c r="I706" s="423"/>
      <c r="J706" s="423"/>
      <c r="K706" s="423"/>
      <c r="L706" s="423"/>
      <c r="M706" s="423"/>
      <c r="N706" s="423"/>
      <c r="O706" s="423"/>
      <c r="P706" s="423"/>
      <c r="Q706" s="423"/>
      <c r="R706" s="423"/>
      <c r="S706" s="423"/>
      <c r="T706" s="423"/>
      <c r="U706" s="423"/>
      <c r="V706" s="423"/>
      <c r="W706" s="423"/>
      <c r="X706" s="423"/>
      <c r="Y706" s="423"/>
      <c r="Z706" s="423"/>
    </row>
    <row r="707">
      <c r="A707" s="562">
        <v>705.0</v>
      </c>
      <c r="B707" s="563" t="s">
        <v>5789</v>
      </c>
      <c r="C707" s="563" t="s">
        <v>5758</v>
      </c>
      <c r="D707" s="562">
        <v>0.0</v>
      </c>
      <c r="E707" s="562">
        <v>0.0</v>
      </c>
      <c r="F707" s="562">
        <v>0.0</v>
      </c>
      <c r="G707" s="562">
        <v>8.0</v>
      </c>
      <c r="H707" s="562">
        <v>0.0</v>
      </c>
      <c r="I707" s="423"/>
      <c r="J707" s="423"/>
      <c r="K707" s="423"/>
      <c r="L707" s="423"/>
      <c r="M707" s="423"/>
      <c r="N707" s="423"/>
      <c r="O707" s="423"/>
      <c r="P707" s="423"/>
      <c r="Q707" s="423"/>
      <c r="R707" s="423"/>
      <c r="S707" s="423"/>
      <c r="T707" s="423"/>
      <c r="U707" s="423"/>
      <c r="V707" s="423"/>
      <c r="W707" s="423"/>
      <c r="X707" s="423"/>
      <c r="Y707" s="423"/>
      <c r="Z707" s="423"/>
    </row>
    <row r="708">
      <c r="A708" s="564">
        <v>706.0</v>
      </c>
      <c r="B708" s="565" t="s">
        <v>5790</v>
      </c>
      <c r="C708" s="565" t="s">
        <v>5758</v>
      </c>
      <c r="D708" s="564">
        <v>0.0</v>
      </c>
      <c r="E708" s="564">
        <v>0.0</v>
      </c>
      <c r="F708" s="564">
        <v>0.0</v>
      </c>
      <c r="G708" s="564">
        <v>8.0</v>
      </c>
      <c r="H708" s="564">
        <v>0.0</v>
      </c>
      <c r="I708" s="423"/>
      <c r="J708" s="423"/>
      <c r="K708" s="423"/>
      <c r="L708" s="423"/>
      <c r="M708" s="423"/>
      <c r="N708" s="423"/>
      <c r="O708" s="423"/>
      <c r="P708" s="423"/>
      <c r="Q708" s="423"/>
      <c r="R708" s="423"/>
      <c r="S708" s="423"/>
      <c r="T708" s="423"/>
      <c r="U708" s="423"/>
      <c r="V708" s="423"/>
      <c r="W708" s="423"/>
      <c r="X708" s="423"/>
      <c r="Y708" s="423"/>
      <c r="Z708" s="423"/>
    </row>
    <row r="709">
      <c r="A709" s="562">
        <v>707.0</v>
      </c>
      <c r="B709" s="563" t="s">
        <v>5791</v>
      </c>
      <c r="C709" s="563" t="s">
        <v>5758</v>
      </c>
      <c r="D709" s="562">
        <v>0.0</v>
      </c>
      <c r="E709" s="562">
        <v>0.0</v>
      </c>
      <c r="F709" s="562">
        <v>0.0</v>
      </c>
      <c r="G709" s="562">
        <v>8.0</v>
      </c>
      <c r="H709" s="562">
        <v>0.0</v>
      </c>
      <c r="I709" s="423"/>
      <c r="J709" s="423"/>
      <c r="K709" s="423"/>
      <c r="L709" s="423"/>
      <c r="M709" s="423"/>
      <c r="N709" s="423"/>
      <c r="O709" s="423"/>
      <c r="P709" s="423"/>
      <c r="Q709" s="423"/>
      <c r="R709" s="423"/>
      <c r="S709" s="423"/>
      <c r="T709" s="423"/>
      <c r="U709" s="423"/>
      <c r="V709" s="423"/>
      <c r="W709" s="423"/>
      <c r="X709" s="423"/>
      <c r="Y709" s="423"/>
      <c r="Z709" s="423"/>
    </row>
    <row r="710">
      <c r="A710" s="564">
        <v>708.0</v>
      </c>
      <c r="B710" s="565" t="s">
        <v>5792</v>
      </c>
      <c r="C710" s="565" t="s">
        <v>5758</v>
      </c>
      <c r="D710" s="564">
        <v>0.0</v>
      </c>
      <c r="E710" s="564">
        <v>0.0</v>
      </c>
      <c r="F710" s="564">
        <v>0.0</v>
      </c>
      <c r="G710" s="564">
        <v>8.0</v>
      </c>
      <c r="H710" s="564">
        <v>0.0</v>
      </c>
      <c r="I710" s="423"/>
      <c r="J710" s="423"/>
      <c r="K710" s="423"/>
      <c r="L710" s="423"/>
      <c r="M710" s="423"/>
      <c r="N710" s="423"/>
      <c r="O710" s="423"/>
      <c r="P710" s="423"/>
      <c r="Q710" s="423"/>
      <c r="R710" s="423"/>
      <c r="S710" s="423"/>
      <c r="T710" s="423"/>
      <c r="U710" s="423"/>
      <c r="V710" s="423"/>
      <c r="W710" s="423"/>
      <c r="X710" s="423"/>
      <c r="Y710" s="423"/>
      <c r="Z710" s="423"/>
    </row>
    <row r="711">
      <c r="A711" s="562">
        <v>709.0</v>
      </c>
      <c r="B711" s="563" t="s">
        <v>5793</v>
      </c>
      <c r="C711" s="563" t="s">
        <v>5758</v>
      </c>
      <c r="D711" s="562">
        <v>0.0</v>
      </c>
      <c r="E711" s="562">
        <v>0.0</v>
      </c>
      <c r="F711" s="562">
        <v>0.0</v>
      </c>
      <c r="G711" s="562">
        <v>8.0</v>
      </c>
      <c r="H711" s="562">
        <v>0.0</v>
      </c>
      <c r="I711" s="423"/>
      <c r="J711" s="423"/>
      <c r="K711" s="423"/>
      <c r="L711" s="423"/>
      <c r="M711" s="423"/>
      <c r="N711" s="423"/>
      <c r="O711" s="423"/>
      <c r="P711" s="423"/>
      <c r="Q711" s="423"/>
      <c r="R711" s="423"/>
      <c r="S711" s="423"/>
      <c r="T711" s="423"/>
      <c r="U711" s="423"/>
      <c r="V711" s="423"/>
      <c r="W711" s="423"/>
      <c r="X711" s="423"/>
      <c r="Y711" s="423"/>
      <c r="Z711" s="423"/>
    </row>
    <row r="712">
      <c r="A712" s="564">
        <v>710.0</v>
      </c>
      <c r="B712" s="565" t="s">
        <v>5794</v>
      </c>
      <c r="C712" s="565" t="s">
        <v>5795</v>
      </c>
      <c r="D712" s="564">
        <v>0.0</v>
      </c>
      <c r="E712" s="564">
        <v>0.0</v>
      </c>
      <c r="F712" s="564">
        <v>0.0</v>
      </c>
      <c r="G712" s="564">
        <v>8.0</v>
      </c>
      <c r="H712" s="564">
        <v>0.0</v>
      </c>
      <c r="I712" s="423"/>
      <c r="J712" s="423"/>
      <c r="K712" s="423"/>
      <c r="L712" s="423"/>
      <c r="M712" s="423"/>
      <c r="N712" s="423"/>
      <c r="O712" s="423"/>
      <c r="P712" s="423"/>
      <c r="Q712" s="423"/>
      <c r="R712" s="423"/>
      <c r="S712" s="423"/>
      <c r="T712" s="423"/>
      <c r="U712" s="423"/>
      <c r="V712" s="423"/>
      <c r="W712" s="423"/>
      <c r="X712" s="423"/>
      <c r="Y712" s="423"/>
      <c r="Z712" s="423"/>
    </row>
    <row r="713">
      <c r="A713" s="562">
        <v>711.0</v>
      </c>
      <c r="B713" s="563" t="s">
        <v>5796</v>
      </c>
      <c r="C713" s="563" t="s">
        <v>5795</v>
      </c>
      <c r="D713" s="562">
        <v>0.0</v>
      </c>
      <c r="E713" s="562">
        <v>0.0</v>
      </c>
      <c r="F713" s="562">
        <v>0.0</v>
      </c>
      <c r="G713" s="562">
        <v>8.0</v>
      </c>
      <c r="H713" s="562">
        <v>0.0</v>
      </c>
      <c r="I713" s="423"/>
      <c r="J713" s="423"/>
      <c r="K713" s="423"/>
      <c r="L713" s="423"/>
      <c r="M713" s="423"/>
      <c r="N713" s="423"/>
      <c r="O713" s="423"/>
      <c r="P713" s="423"/>
      <c r="Q713" s="423"/>
      <c r="R713" s="423"/>
      <c r="S713" s="423"/>
      <c r="T713" s="423"/>
      <c r="U713" s="423"/>
      <c r="V713" s="423"/>
      <c r="W713" s="423"/>
      <c r="X713" s="423"/>
      <c r="Y713" s="423"/>
      <c r="Z713" s="423"/>
    </row>
    <row r="714">
      <c r="A714" s="564">
        <v>712.0</v>
      </c>
      <c r="B714" s="565" t="s">
        <v>5797</v>
      </c>
      <c r="C714" s="565" t="s">
        <v>5795</v>
      </c>
      <c r="D714" s="564">
        <v>0.0</v>
      </c>
      <c r="E714" s="564">
        <v>0.0</v>
      </c>
      <c r="F714" s="564">
        <v>0.0</v>
      </c>
      <c r="G714" s="564">
        <v>8.0</v>
      </c>
      <c r="H714" s="564">
        <v>0.0</v>
      </c>
      <c r="I714" s="423"/>
      <c r="J714" s="423"/>
      <c r="K714" s="423"/>
      <c r="L714" s="423"/>
      <c r="M714" s="423"/>
      <c r="N714" s="423"/>
      <c r="O714" s="423"/>
      <c r="P714" s="423"/>
      <c r="Q714" s="423"/>
      <c r="R714" s="423"/>
      <c r="S714" s="423"/>
      <c r="T714" s="423"/>
      <c r="U714" s="423"/>
      <c r="V714" s="423"/>
      <c r="W714" s="423"/>
      <c r="X714" s="423"/>
      <c r="Y714" s="423"/>
      <c r="Z714" s="423"/>
    </row>
    <row r="715">
      <c r="A715" s="562">
        <v>713.0</v>
      </c>
      <c r="B715" s="563" t="s">
        <v>5798</v>
      </c>
      <c r="C715" s="563" t="s">
        <v>5795</v>
      </c>
      <c r="D715" s="562">
        <v>0.0</v>
      </c>
      <c r="E715" s="562">
        <v>0.0</v>
      </c>
      <c r="F715" s="562">
        <v>0.0</v>
      </c>
      <c r="G715" s="562">
        <v>8.0</v>
      </c>
      <c r="H715" s="562">
        <v>0.0</v>
      </c>
      <c r="I715" s="423"/>
      <c r="J715" s="423"/>
      <c r="K715" s="423"/>
      <c r="L715" s="423"/>
      <c r="M715" s="423"/>
      <c r="N715" s="423"/>
      <c r="O715" s="423"/>
      <c r="P715" s="423"/>
      <c r="Q715" s="423"/>
      <c r="R715" s="423"/>
      <c r="S715" s="423"/>
      <c r="T715" s="423"/>
      <c r="U715" s="423"/>
      <c r="V715" s="423"/>
      <c r="W715" s="423"/>
      <c r="X715" s="423"/>
      <c r="Y715" s="423"/>
      <c r="Z715" s="423"/>
    </row>
    <row r="716">
      <c r="A716" s="564">
        <v>714.0</v>
      </c>
      <c r="B716" s="565" t="s">
        <v>5799</v>
      </c>
      <c r="C716" s="565" t="s">
        <v>5795</v>
      </c>
      <c r="D716" s="564">
        <v>0.0</v>
      </c>
      <c r="E716" s="564">
        <v>0.0</v>
      </c>
      <c r="F716" s="564">
        <v>0.0</v>
      </c>
      <c r="G716" s="564">
        <v>8.0</v>
      </c>
      <c r="H716" s="564">
        <v>0.0</v>
      </c>
      <c r="I716" s="423"/>
      <c r="J716" s="423"/>
      <c r="K716" s="423"/>
      <c r="L716" s="423"/>
      <c r="M716" s="423"/>
      <c r="N716" s="423"/>
      <c r="O716" s="423"/>
      <c r="P716" s="423"/>
      <c r="Q716" s="423"/>
      <c r="R716" s="423"/>
      <c r="S716" s="423"/>
      <c r="T716" s="423"/>
      <c r="U716" s="423"/>
      <c r="V716" s="423"/>
      <c r="W716" s="423"/>
      <c r="X716" s="423"/>
      <c r="Y716" s="423"/>
      <c r="Z716" s="423"/>
    </row>
    <row r="717">
      <c r="A717" s="562">
        <v>715.0</v>
      </c>
      <c r="B717" s="563" t="s">
        <v>5800</v>
      </c>
      <c r="C717" s="563" t="s">
        <v>5795</v>
      </c>
      <c r="D717" s="562">
        <v>0.0</v>
      </c>
      <c r="E717" s="562">
        <v>0.0</v>
      </c>
      <c r="F717" s="562">
        <v>0.0</v>
      </c>
      <c r="G717" s="562">
        <v>8.0</v>
      </c>
      <c r="H717" s="562">
        <v>0.0</v>
      </c>
      <c r="I717" s="423"/>
      <c r="J717" s="423"/>
      <c r="K717" s="423"/>
      <c r="L717" s="423"/>
      <c r="M717" s="423"/>
      <c r="N717" s="423"/>
      <c r="O717" s="423"/>
      <c r="P717" s="423"/>
      <c r="Q717" s="423"/>
      <c r="R717" s="423"/>
      <c r="S717" s="423"/>
      <c r="T717" s="423"/>
      <c r="U717" s="423"/>
      <c r="V717" s="423"/>
      <c r="W717" s="423"/>
      <c r="X717" s="423"/>
      <c r="Y717" s="423"/>
      <c r="Z717" s="423"/>
    </row>
    <row r="718">
      <c r="A718" s="564">
        <v>716.0</v>
      </c>
      <c r="B718" s="565" t="s">
        <v>5801</v>
      </c>
      <c r="C718" s="565" t="s">
        <v>5795</v>
      </c>
      <c r="D718" s="564">
        <v>0.0</v>
      </c>
      <c r="E718" s="564">
        <v>0.0</v>
      </c>
      <c r="F718" s="564">
        <v>0.0</v>
      </c>
      <c r="G718" s="564">
        <v>8.0</v>
      </c>
      <c r="H718" s="564">
        <v>0.0</v>
      </c>
      <c r="I718" s="423"/>
      <c r="J718" s="423"/>
      <c r="K718" s="423"/>
      <c r="L718" s="423"/>
      <c r="M718" s="423"/>
      <c r="N718" s="423"/>
      <c r="O718" s="423"/>
      <c r="P718" s="423"/>
      <c r="Q718" s="423"/>
      <c r="R718" s="423"/>
      <c r="S718" s="423"/>
      <c r="T718" s="423"/>
      <c r="U718" s="423"/>
      <c r="V718" s="423"/>
      <c r="W718" s="423"/>
      <c r="X718" s="423"/>
      <c r="Y718" s="423"/>
      <c r="Z718" s="423"/>
    </row>
    <row r="719">
      <c r="A719" s="562">
        <v>717.0</v>
      </c>
      <c r="B719" s="563" t="s">
        <v>5802</v>
      </c>
      <c r="C719" s="563" t="s">
        <v>5795</v>
      </c>
      <c r="D719" s="562">
        <v>0.0</v>
      </c>
      <c r="E719" s="562">
        <v>0.0</v>
      </c>
      <c r="F719" s="562">
        <v>0.0</v>
      </c>
      <c r="G719" s="562">
        <v>8.0</v>
      </c>
      <c r="H719" s="562">
        <v>0.0</v>
      </c>
      <c r="I719" s="423"/>
      <c r="J719" s="423"/>
      <c r="K719" s="423"/>
      <c r="L719" s="423"/>
      <c r="M719" s="423"/>
      <c r="N719" s="423"/>
      <c r="O719" s="423"/>
      <c r="P719" s="423"/>
      <c r="Q719" s="423"/>
      <c r="R719" s="423"/>
      <c r="S719" s="423"/>
      <c r="T719" s="423"/>
      <c r="U719" s="423"/>
      <c r="V719" s="423"/>
      <c r="W719" s="423"/>
      <c r="X719" s="423"/>
      <c r="Y719" s="423"/>
      <c r="Z719" s="423"/>
    </row>
    <row r="720">
      <c r="A720" s="564">
        <v>718.0</v>
      </c>
      <c r="B720" s="565" t="s">
        <v>5803</v>
      </c>
      <c r="C720" s="565" t="s">
        <v>5795</v>
      </c>
      <c r="D720" s="564">
        <v>0.0</v>
      </c>
      <c r="E720" s="564">
        <v>0.0</v>
      </c>
      <c r="F720" s="564">
        <v>0.0</v>
      </c>
      <c r="G720" s="564">
        <v>8.0</v>
      </c>
      <c r="H720" s="564">
        <v>0.0</v>
      </c>
      <c r="I720" s="423"/>
      <c r="J720" s="423"/>
      <c r="K720" s="423"/>
      <c r="L720" s="423"/>
      <c r="M720" s="423"/>
      <c r="N720" s="423"/>
      <c r="O720" s="423"/>
      <c r="P720" s="423"/>
      <c r="Q720" s="423"/>
      <c r="R720" s="423"/>
      <c r="S720" s="423"/>
      <c r="T720" s="423"/>
      <c r="U720" s="423"/>
      <c r="V720" s="423"/>
      <c r="W720" s="423"/>
      <c r="X720" s="423"/>
      <c r="Y720" s="423"/>
      <c r="Z720" s="423"/>
    </row>
    <row r="721">
      <c r="A721" s="562">
        <v>719.0</v>
      </c>
      <c r="B721" s="563" t="s">
        <v>5804</v>
      </c>
      <c r="C721" s="563" t="s">
        <v>5795</v>
      </c>
      <c r="D721" s="562">
        <v>1.0</v>
      </c>
      <c r="E721" s="562">
        <v>0.0</v>
      </c>
      <c r="F721" s="562">
        <v>0.0</v>
      </c>
      <c r="G721" s="562">
        <v>7.0</v>
      </c>
      <c r="H721" s="562">
        <v>0.0</v>
      </c>
      <c r="I721" s="423"/>
      <c r="J721" s="423"/>
      <c r="K721" s="423"/>
      <c r="L721" s="423"/>
      <c r="M721" s="423"/>
      <c r="N721" s="423"/>
      <c r="O721" s="423"/>
      <c r="P721" s="423"/>
      <c r="Q721" s="423"/>
      <c r="R721" s="423"/>
      <c r="S721" s="423"/>
      <c r="T721" s="423"/>
      <c r="U721" s="423"/>
      <c r="V721" s="423"/>
      <c r="W721" s="423"/>
      <c r="X721" s="423"/>
      <c r="Y721" s="423"/>
      <c r="Z721" s="423"/>
    </row>
    <row r="722">
      <c r="A722" s="564">
        <v>720.0</v>
      </c>
      <c r="B722" s="565" t="s">
        <v>5805</v>
      </c>
      <c r="C722" s="565" t="s">
        <v>5795</v>
      </c>
      <c r="D722" s="564">
        <v>0.0</v>
      </c>
      <c r="E722" s="564">
        <v>0.0</v>
      </c>
      <c r="F722" s="564">
        <v>0.0</v>
      </c>
      <c r="G722" s="564">
        <v>8.0</v>
      </c>
      <c r="H722" s="564">
        <v>0.0</v>
      </c>
      <c r="I722" s="423"/>
      <c r="J722" s="423"/>
      <c r="K722" s="423"/>
      <c r="L722" s="423"/>
      <c r="M722" s="423"/>
      <c r="N722" s="423"/>
      <c r="O722" s="423"/>
      <c r="P722" s="423"/>
      <c r="Q722" s="423"/>
      <c r="R722" s="423"/>
      <c r="S722" s="423"/>
      <c r="T722" s="423"/>
      <c r="U722" s="423"/>
      <c r="V722" s="423"/>
      <c r="W722" s="423"/>
      <c r="X722" s="423"/>
      <c r="Y722" s="423"/>
      <c r="Z722" s="423"/>
    </row>
    <row r="723">
      <c r="A723" s="562">
        <v>721.0</v>
      </c>
      <c r="B723" s="563" t="s">
        <v>5806</v>
      </c>
      <c r="C723" s="563" t="s">
        <v>5795</v>
      </c>
      <c r="D723" s="562">
        <v>0.0</v>
      </c>
      <c r="E723" s="562">
        <v>0.0</v>
      </c>
      <c r="F723" s="562">
        <v>0.0</v>
      </c>
      <c r="G723" s="562">
        <v>8.0</v>
      </c>
      <c r="H723" s="562">
        <v>0.0</v>
      </c>
      <c r="I723" s="423"/>
      <c r="J723" s="423"/>
      <c r="K723" s="423"/>
      <c r="L723" s="423"/>
      <c r="M723" s="423"/>
      <c r="N723" s="423"/>
      <c r="O723" s="423"/>
      <c r="P723" s="423"/>
      <c r="Q723" s="423"/>
      <c r="R723" s="423"/>
      <c r="S723" s="423"/>
      <c r="T723" s="423"/>
      <c r="U723" s="423"/>
      <c r="V723" s="423"/>
      <c r="W723" s="423"/>
      <c r="X723" s="423"/>
      <c r="Y723" s="423"/>
      <c r="Z723" s="423"/>
    </row>
    <row r="724">
      <c r="A724" s="564">
        <v>722.0</v>
      </c>
      <c r="B724" s="565" t="s">
        <v>5807</v>
      </c>
      <c r="C724" s="565" t="s">
        <v>5795</v>
      </c>
      <c r="D724" s="564">
        <v>0.0</v>
      </c>
      <c r="E724" s="564">
        <v>0.0</v>
      </c>
      <c r="F724" s="564">
        <v>0.0</v>
      </c>
      <c r="G724" s="564">
        <v>8.0</v>
      </c>
      <c r="H724" s="564">
        <v>0.0</v>
      </c>
      <c r="I724" s="423"/>
      <c r="J724" s="423"/>
      <c r="K724" s="423"/>
      <c r="L724" s="423"/>
      <c r="M724" s="423"/>
      <c r="N724" s="423"/>
      <c r="O724" s="423"/>
      <c r="P724" s="423"/>
      <c r="Q724" s="423"/>
      <c r="R724" s="423"/>
      <c r="S724" s="423"/>
      <c r="T724" s="423"/>
      <c r="U724" s="423"/>
      <c r="V724" s="423"/>
      <c r="W724" s="423"/>
      <c r="X724" s="423"/>
      <c r="Y724" s="423"/>
      <c r="Z724" s="423"/>
    </row>
    <row r="725">
      <c r="A725" s="562">
        <v>723.0</v>
      </c>
      <c r="B725" s="563" t="s">
        <v>5808</v>
      </c>
      <c r="C725" s="563" t="s">
        <v>5795</v>
      </c>
      <c r="D725" s="562">
        <v>0.0</v>
      </c>
      <c r="E725" s="562">
        <v>0.0</v>
      </c>
      <c r="F725" s="562">
        <v>0.0</v>
      </c>
      <c r="G725" s="562">
        <v>8.0</v>
      </c>
      <c r="H725" s="562">
        <v>0.0</v>
      </c>
      <c r="I725" s="423"/>
      <c r="J725" s="423"/>
      <c r="K725" s="423"/>
      <c r="L725" s="423"/>
      <c r="M725" s="423"/>
      <c r="N725" s="423"/>
      <c r="O725" s="423"/>
      <c r="P725" s="423"/>
      <c r="Q725" s="423"/>
      <c r="R725" s="423"/>
      <c r="S725" s="423"/>
      <c r="T725" s="423"/>
      <c r="U725" s="423"/>
      <c r="V725" s="423"/>
      <c r="W725" s="423"/>
      <c r="X725" s="423"/>
      <c r="Y725" s="423"/>
      <c r="Z725" s="423"/>
    </row>
    <row r="726">
      <c r="A726" s="564">
        <v>724.0</v>
      </c>
      <c r="B726" s="565" t="s">
        <v>5809</v>
      </c>
      <c r="C726" s="565" t="s">
        <v>5795</v>
      </c>
      <c r="D726" s="564">
        <v>1.0</v>
      </c>
      <c r="E726" s="564">
        <v>0.0</v>
      </c>
      <c r="F726" s="564">
        <v>0.0</v>
      </c>
      <c r="G726" s="564">
        <v>7.0</v>
      </c>
      <c r="H726" s="564">
        <v>0.0</v>
      </c>
      <c r="I726" s="423"/>
      <c r="J726" s="423"/>
      <c r="K726" s="423"/>
      <c r="L726" s="423"/>
      <c r="M726" s="423"/>
      <c r="N726" s="423"/>
      <c r="O726" s="423"/>
      <c r="P726" s="423"/>
      <c r="Q726" s="423"/>
      <c r="R726" s="423"/>
      <c r="S726" s="423"/>
      <c r="T726" s="423"/>
      <c r="U726" s="423"/>
      <c r="V726" s="423"/>
      <c r="W726" s="423"/>
      <c r="X726" s="423"/>
      <c r="Y726" s="423"/>
      <c r="Z726" s="423"/>
    </row>
    <row r="727">
      <c r="A727" s="562">
        <v>725.0</v>
      </c>
      <c r="B727" s="563" t="s">
        <v>5810</v>
      </c>
      <c r="C727" s="563" t="s">
        <v>5795</v>
      </c>
      <c r="D727" s="562">
        <v>0.0</v>
      </c>
      <c r="E727" s="562">
        <v>0.0</v>
      </c>
      <c r="F727" s="562">
        <v>0.0</v>
      </c>
      <c r="G727" s="562">
        <v>8.0</v>
      </c>
      <c r="H727" s="562">
        <v>0.0</v>
      </c>
      <c r="I727" s="423"/>
      <c r="J727" s="423"/>
      <c r="K727" s="423"/>
      <c r="L727" s="423"/>
      <c r="M727" s="423"/>
      <c r="N727" s="423"/>
      <c r="O727" s="423"/>
      <c r="P727" s="423"/>
      <c r="Q727" s="423"/>
      <c r="R727" s="423"/>
      <c r="S727" s="423"/>
      <c r="T727" s="423"/>
      <c r="U727" s="423"/>
      <c r="V727" s="423"/>
      <c r="W727" s="423"/>
      <c r="X727" s="423"/>
      <c r="Y727" s="423"/>
      <c r="Z727" s="423"/>
    </row>
    <row r="728">
      <c r="A728" s="564">
        <v>726.0</v>
      </c>
      <c r="B728" s="565" t="s">
        <v>5811</v>
      </c>
      <c r="C728" s="565" t="s">
        <v>5795</v>
      </c>
      <c r="D728" s="564">
        <v>0.0</v>
      </c>
      <c r="E728" s="564">
        <v>0.0</v>
      </c>
      <c r="F728" s="564">
        <v>0.0</v>
      </c>
      <c r="G728" s="564">
        <v>8.0</v>
      </c>
      <c r="H728" s="564">
        <v>0.0</v>
      </c>
      <c r="I728" s="423"/>
      <c r="J728" s="423"/>
      <c r="K728" s="423"/>
      <c r="L728" s="423"/>
      <c r="M728" s="423"/>
      <c r="N728" s="423"/>
      <c r="O728" s="423"/>
      <c r="P728" s="423"/>
      <c r="Q728" s="423"/>
      <c r="R728" s="423"/>
      <c r="S728" s="423"/>
      <c r="T728" s="423"/>
      <c r="U728" s="423"/>
      <c r="V728" s="423"/>
      <c r="W728" s="423"/>
      <c r="X728" s="423"/>
      <c r="Y728" s="423"/>
      <c r="Z728" s="423"/>
    </row>
    <row r="729">
      <c r="A729" s="562">
        <v>727.0</v>
      </c>
      <c r="B729" s="563" t="s">
        <v>5812</v>
      </c>
      <c r="C729" s="563" t="s">
        <v>5795</v>
      </c>
      <c r="D729" s="562">
        <v>0.0</v>
      </c>
      <c r="E729" s="562">
        <v>0.0</v>
      </c>
      <c r="F729" s="562">
        <v>0.0</v>
      </c>
      <c r="G729" s="562">
        <v>8.0</v>
      </c>
      <c r="H729" s="562">
        <v>0.0</v>
      </c>
      <c r="I729" s="423"/>
      <c r="J729" s="423"/>
      <c r="K729" s="423"/>
      <c r="L729" s="423"/>
      <c r="M729" s="423"/>
      <c r="N729" s="423"/>
      <c r="O729" s="423"/>
      <c r="P729" s="423"/>
      <c r="Q729" s="423"/>
      <c r="R729" s="423"/>
      <c r="S729" s="423"/>
      <c r="T729" s="423"/>
      <c r="U729" s="423"/>
      <c r="V729" s="423"/>
      <c r="W729" s="423"/>
      <c r="X729" s="423"/>
      <c r="Y729" s="423"/>
      <c r="Z729" s="423"/>
    </row>
    <row r="730">
      <c r="A730" s="564">
        <v>728.0</v>
      </c>
      <c r="B730" s="565" t="s">
        <v>5813</v>
      </c>
      <c r="C730" s="565" t="s">
        <v>5795</v>
      </c>
      <c r="D730" s="564">
        <v>3.0</v>
      </c>
      <c r="E730" s="564">
        <v>0.0</v>
      </c>
      <c r="F730" s="564">
        <v>0.0</v>
      </c>
      <c r="G730" s="564">
        <v>5.0</v>
      </c>
      <c r="H730" s="564">
        <v>0.0</v>
      </c>
      <c r="I730" s="423"/>
      <c r="J730" s="423"/>
      <c r="K730" s="423"/>
      <c r="L730" s="423"/>
      <c r="M730" s="423"/>
      <c r="N730" s="423"/>
      <c r="O730" s="423"/>
      <c r="P730" s="423"/>
      <c r="Q730" s="423"/>
      <c r="R730" s="423"/>
      <c r="S730" s="423"/>
      <c r="T730" s="423"/>
      <c r="U730" s="423"/>
      <c r="V730" s="423"/>
      <c r="W730" s="423"/>
      <c r="X730" s="423"/>
      <c r="Y730" s="423"/>
      <c r="Z730" s="423"/>
    </row>
    <row r="731">
      <c r="A731" s="562">
        <v>729.0</v>
      </c>
      <c r="B731" s="563" t="s">
        <v>5814</v>
      </c>
      <c r="C731" s="563" t="s">
        <v>5795</v>
      </c>
      <c r="D731" s="562">
        <v>0.0</v>
      </c>
      <c r="E731" s="562">
        <v>0.0</v>
      </c>
      <c r="F731" s="562">
        <v>0.0</v>
      </c>
      <c r="G731" s="562">
        <v>8.0</v>
      </c>
      <c r="H731" s="562">
        <v>0.0</v>
      </c>
      <c r="I731" s="423"/>
      <c r="J731" s="423"/>
      <c r="K731" s="423"/>
      <c r="L731" s="423"/>
      <c r="M731" s="423"/>
      <c r="N731" s="423"/>
      <c r="O731" s="423"/>
      <c r="P731" s="423"/>
      <c r="Q731" s="423"/>
      <c r="R731" s="423"/>
      <c r="S731" s="423"/>
      <c r="T731" s="423"/>
      <c r="U731" s="423"/>
      <c r="V731" s="423"/>
      <c r="W731" s="423"/>
      <c r="X731" s="423"/>
      <c r="Y731" s="423"/>
      <c r="Z731" s="423"/>
    </row>
    <row r="732">
      <c r="A732" s="564">
        <v>730.0</v>
      </c>
      <c r="B732" s="565" t="s">
        <v>5815</v>
      </c>
      <c r="C732" s="565" t="s">
        <v>5795</v>
      </c>
      <c r="D732" s="564">
        <v>0.0</v>
      </c>
      <c r="E732" s="564">
        <v>0.0</v>
      </c>
      <c r="F732" s="564">
        <v>0.0</v>
      </c>
      <c r="G732" s="564">
        <v>8.0</v>
      </c>
      <c r="H732" s="564">
        <v>0.0</v>
      </c>
      <c r="I732" s="423"/>
      <c r="J732" s="423"/>
      <c r="K732" s="423"/>
      <c r="L732" s="423"/>
      <c r="M732" s="423"/>
      <c r="N732" s="423"/>
      <c r="O732" s="423"/>
      <c r="P732" s="423"/>
      <c r="Q732" s="423"/>
      <c r="R732" s="423"/>
      <c r="S732" s="423"/>
      <c r="T732" s="423"/>
      <c r="U732" s="423"/>
      <c r="V732" s="423"/>
      <c r="W732" s="423"/>
      <c r="X732" s="423"/>
      <c r="Y732" s="423"/>
      <c r="Z732" s="423"/>
    </row>
    <row r="733">
      <c r="A733" s="562">
        <v>731.0</v>
      </c>
      <c r="B733" s="563" t="s">
        <v>5816</v>
      </c>
      <c r="C733" s="563" t="s">
        <v>5795</v>
      </c>
      <c r="D733" s="562">
        <v>0.0</v>
      </c>
      <c r="E733" s="562">
        <v>0.0</v>
      </c>
      <c r="F733" s="562">
        <v>0.0</v>
      </c>
      <c r="G733" s="562">
        <v>8.0</v>
      </c>
      <c r="H733" s="562">
        <v>0.0</v>
      </c>
      <c r="I733" s="423"/>
      <c r="J733" s="423"/>
      <c r="K733" s="423"/>
      <c r="L733" s="423"/>
      <c r="M733" s="423"/>
      <c r="N733" s="423"/>
      <c r="O733" s="423"/>
      <c r="P733" s="423"/>
      <c r="Q733" s="423"/>
      <c r="R733" s="423"/>
      <c r="S733" s="423"/>
      <c r="T733" s="423"/>
      <c r="U733" s="423"/>
      <c r="V733" s="423"/>
      <c r="W733" s="423"/>
      <c r="X733" s="423"/>
      <c r="Y733" s="423"/>
      <c r="Z733" s="423"/>
    </row>
    <row r="734">
      <c r="A734" s="564">
        <v>732.0</v>
      </c>
      <c r="B734" s="565" t="s">
        <v>5817</v>
      </c>
      <c r="C734" s="565" t="s">
        <v>5795</v>
      </c>
      <c r="D734" s="564">
        <v>0.0</v>
      </c>
      <c r="E734" s="564">
        <v>0.0</v>
      </c>
      <c r="F734" s="564">
        <v>0.0</v>
      </c>
      <c r="G734" s="564">
        <v>8.0</v>
      </c>
      <c r="H734" s="564">
        <v>0.0</v>
      </c>
      <c r="I734" s="423"/>
      <c r="J734" s="423"/>
      <c r="K734" s="423"/>
      <c r="L734" s="423"/>
      <c r="M734" s="423"/>
      <c r="N734" s="423"/>
      <c r="O734" s="423"/>
      <c r="P734" s="423"/>
      <c r="Q734" s="423"/>
      <c r="R734" s="423"/>
      <c r="S734" s="423"/>
      <c r="T734" s="423"/>
      <c r="U734" s="423"/>
      <c r="V734" s="423"/>
      <c r="W734" s="423"/>
      <c r="X734" s="423"/>
      <c r="Y734" s="423"/>
      <c r="Z734" s="423"/>
    </row>
    <row r="735">
      <c r="A735" s="562">
        <v>733.0</v>
      </c>
      <c r="B735" s="563" t="s">
        <v>5818</v>
      </c>
      <c r="C735" s="563" t="s">
        <v>5795</v>
      </c>
      <c r="D735" s="562">
        <v>0.0</v>
      </c>
      <c r="E735" s="562">
        <v>0.0</v>
      </c>
      <c r="F735" s="562">
        <v>0.0</v>
      </c>
      <c r="G735" s="562">
        <v>8.0</v>
      </c>
      <c r="H735" s="562">
        <v>0.0</v>
      </c>
      <c r="I735" s="423"/>
      <c r="J735" s="423"/>
      <c r="K735" s="423"/>
      <c r="L735" s="423"/>
      <c r="M735" s="423"/>
      <c r="N735" s="423"/>
      <c r="O735" s="423"/>
      <c r="P735" s="423"/>
      <c r="Q735" s="423"/>
      <c r="R735" s="423"/>
      <c r="S735" s="423"/>
      <c r="T735" s="423"/>
      <c r="U735" s="423"/>
      <c r="V735" s="423"/>
      <c r="W735" s="423"/>
      <c r="X735" s="423"/>
      <c r="Y735" s="423"/>
      <c r="Z735" s="423"/>
    </row>
    <row r="736">
      <c r="A736" s="564">
        <v>734.0</v>
      </c>
      <c r="B736" s="565" t="s">
        <v>5819</v>
      </c>
      <c r="C736" s="565" t="s">
        <v>5795</v>
      </c>
      <c r="D736" s="564">
        <v>2.0</v>
      </c>
      <c r="E736" s="564">
        <v>0.0</v>
      </c>
      <c r="F736" s="564">
        <v>0.0</v>
      </c>
      <c r="G736" s="564">
        <v>6.0</v>
      </c>
      <c r="H736" s="564">
        <v>0.0</v>
      </c>
      <c r="I736" s="423"/>
      <c r="J736" s="423"/>
      <c r="K736" s="423"/>
      <c r="L736" s="423"/>
      <c r="M736" s="423"/>
      <c r="N736" s="423"/>
      <c r="O736" s="423"/>
      <c r="P736" s="423"/>
      <c r="Q736" s="423"/>
      <c r="R736" s="423"/>
      <c r="S736" s="423"/>
      <c r="T736" s="423"/>
      <c r="U736" s="423"/>
      <c r="V736" s="423"/>
      <c r="W736" s="423"/>
      <c r="X736" s="423"/>
      <c r="Y736" s="423"/>
      <c r="Z736" s="423"/>
    </row>
    <row r="737">
      <c r="A737" s="562">
        <v>735.0</v>
      </c>
      <c r="B737" s="563" t="s">
        <v>5820</v>
      </c>
      <c r="C737" s="563" t="s">
        <v>5795</v>
      </c>
      <c r="D737" s="562">
        <v>0.0</v>
      </c>
      <c r="E737" s="562">
        <v>0.0</v>
      </c>
      <c r="F737" s="562">
        <v>0.0</v>
      </c>
      <c r="G737" s="562">
        <v>8.0</v>
      </c>
      <c r="H737" s="562">
        <v>0.0</v>
      </c>
      <c r="I737" s="423"/>
      <c r="J737" s="423"/>
      <c r="K737" s="423"/>
      <c r="L737" s="423"/>
      <c r="M737" s="423"/>
      <c r="N737" s="423"/>
      <c r="O737" s="423"/>
      <c r="P737" s="423"/>
      <c r="Q737" s="423"/>
      <c r="R737" s="423"/>
      <c r="S737" s="423"/>
      <c r="T737" s="423"/>
      <c r="U737" s="423"/>
      <c r="V737" s="423"/>
      <c r="W737" s="423"/>
      <c r="X737" s="423"/>
      <c r="Y737" s="423"/>
      <c r="Z737" s="423"/>
    </row>
    <row r="738">
      <c r="A738" s="564">
        <v>736.0</v>
      </c>
      <c r="B738" s="565" t="s">
        <v>5821</v>
      </c>
      <c r="C738" s="565" t="s">
        <v>5795</v>
      </c>
      <c r="D738" s="564">
        <v>0.0</v>
      </c>
      <c r="E738" s="564">
        <v>0.0</v>
      </c>
      <c r="F738" s="564">
        <v>0.0</v>
      </c>
      <c r="G738" s="564">
        <v>8.0</v>
      </c>
      <c r="H738" s="564">
        <v>0.0</v>
      </c>
      <c r="I738" s="423"/>
      <c r="J738" s="423"/>
      <c r="K738" s="423"/>
      <c r="L738" s="423"/>
      <c r="M738" s="423"/>
      <c r="N738" s="423"/>
      <c r="O738" s="423"/>
      <c r="P738" s="423"/>
      <c r="Q738" s="423"/>
      <c r="R738" s="423"/>
      <c r="S738" s="423"/>
      <c r="T738" s="423"/>
      <c r="U738" s="423"/>
      <c r="V738" s="423"/>
      <c r="W738" s="423"/>
      <c r="X738" s="423"/>
      <c r="Y738" s="423"/>
      <c r="Z738" s="423"/>
    </row>
    <row r="739">
      <c r="A739" s="562">
        <v>737.0</v>
      </c>
      <c r="B739" s="563" t="s">
        <v>5822</v>
      </c>
      <c r="C739" s="563" t="s">
        <v>5795</v>
      </c>
      <c r="D739" s="562">
        <v>0.0</v>
      </c>
      <c r="E739" s="562">
        <v>0.0</v>
      </c>
      <c r="F739" s="562">
        <v>0.0</v>
      </c>
      <c r="G739" s="562">
        <v>8.0</v>
      </c>
      <c r="H739" s="562">
        <v>0.0</v>
      </c>
      <c r="I739" s="423"/>
      <c r="J739" s="423"/>
      <c r="K739" s="423"/>
      <c r="L739" s="423"/>
      <c r="M739" s="423"/>
      <c r="N739" s="423"/>
      <c r="O739" s="423"/>
      <c r="P739" s="423"/>
      <c r="Q739" s="423"/>
      <c r="R739" s="423"/>
      <c r="S739" s="423"/>
      <c r="T739" s="423"/>
      <c r="U739" s="423"/>
      <c r="V739" s="423"/>
      <c r="W739" s="423"/>
      <c r="X739" s="423"/>
      <c r="Y739" s="423"/>
      <c r="Z739" s="423"/>
    </row>
    <row r="740">
      <c r="A740" s="564">
        <v>738.0</v>
      </c>
      <c r="B740" s="565" t="s">
        <v>5823</v>
      </c>
      <c r="C740" s="565" t="s">
        <v>5795</v>
      </c>
      <c r="D740" s="564">
        <v>0.0</v>
      </c>
      <c r="E740" s="564">
        <v>0.0</v>
      </c>
      <c r="F740" s="564">
        <v>0.0</v>
      </c>
      <c r="G740" s="564">
        <v>8.0</v>
      </c>
      <c r="H740" s="564">
        <v>0.0</v>
      </c>
      <c r="I740" s="423"/>
      <c r="J740" s="423"/>
      <c r="K740" s="423"/>
      <c r="L740" s="423"/>
      <c r="M740" s="423"/>
      <c r="N740" s="423"/>
      <c r="O740" s="423"/>
      <c r="P740" s="423"/>
      <c r="Q740" s="423"/>
      <c r="R740" s="423"/>
      <c r="S740" s="423"/>
      <c r="T740" s="423"/>
      <c r="U740" s="423"/>
      <c r="V740" s="423"/>
      <c r="W740" s="423"/>
      <c r="X740" s="423"/>
      <c r="Y740" s="423"/>
      <c r="Z740" s="423"/>
    </row>
    <row r="741">
      <c r="A741" s="562">
        <v>739.0</v>
      </c>
      <c r="B741" s="563" t="s">
        <v>5824</v>
      </c>
      <c r="C741" s="563" t="s">
        <v>5795</v>
      </c>
      <c r="D741" s="562">
        <v>0.0</v>
      </c>
      <c r="E741" s="562">
        <v>0.0</v>
      </c>
      <c r="F741" s="562">
        <v>0.0</v>
      </c>
      <c r="G741" s="562">
        <v>8.0</v>
      </c>
      <c r="H741" s="562">
        <v>0.0</v>
      </c>
      <c r="I741" s="423"/>
      <c r="J741" s="423"/>
      <c r="K741" s="423"/>
      <c r="L741" s="423"/>
      <c r="M741" s="423"/>
      <c r="N741" s="423"/>
      <c r="O741" s="423"/>
      <c r="P741" s="423"/>
      <c r="Q741" s="423"/>
      <c r="R741" s="423"/>
      <c r="S741" s="423"/>
      <c r="T741" s="423"/>
      <c r="U741" s="423"/>
      <c r="V741" s="423"/>
      <c r="W741" s="423"/>
      <c r="X741" s="423"/>
      <c r="Y741" s="423"/>
      <c r="Z741" s="423"/>
    </row>
    <row r="742">
      <c r="A742" s="564">
        <v>740.0</v>
      </c>
      <c r="B742" s="565" t="s">
        <v>5825</v>
      </c>
      <c r="C742" s="565" t="s">
        <v>5795</v>
      </c>
      <c r="D742" s="564">
        <v>1.0</v>
      </c>
      <c r="E742" s="564">
        <v>0.0</v>
      </c>
      <c r="F742" s="564">
        <v>0.0</v>
      </c>
      <c r="G742" s="564">
        <v>7.0</v>
      </c>
      <c r="H742" s="564">
        <v>0.0</v>
      </c>
      <c r="I742" s="423"/>
      <c r="J742" s="423"/>
      <c r="K742" s="423"/>
      <c r="L742" s="423"/>
      <c r="M742" s="423"/>
      <c r="N742" s="423"/>
      <c r="O742" s="423"/>
      <c r="P742" s="423"/>
      <c r="Q742" s="423"/>
      <c r="R742" s="423"/>
      <c r="S742" s="423"/>
      <c r="T742" s="423"/>
      <c r="U742" s="423"/>
      <c r="V742" s="423"/>
      <c r="W742" s="423"/>
      <c r="X742" s="423"/>
      <c r="Y742" s="423"/>
      <c r="Z742" s="423"/>
    </row>
    <row r="743">
      <c r="A743" s="562">
        <v>741.0</v>
      </c>
      <c r="B743" s="563" t="s">
        <v>5826</v>
      </c>
      <c r="C743" s="563" t="s">
        <v>5795</v>
      </c>
      <c r="D743" s="562">
        <v>0.0</v>
      </c>
      <c r="E743" s="562">
        <v>0.0</v>
      </c>
      <c r="F743" s="562">
        <v>0.0</v>
      </c>
      <c r="G743" s="562">
        <v>8.0</v>
      </c>
      <c r="H743" s="562">
        <v>0.0</v>
      </c>
      <c r="I743" s="423"/>
      <c r="J743" s="423"/>
      <c r="K743" s="423"/>
      <c r="L743" s="423"/>
      <c r="M743" s="423"/>
      <c r="N743" s="423"/>
      <c r="O743" s="423"/>
      <c r="P743" s="423"/>
      <c r="Q743" s="423"/>
      <c r="R743" s="423"/>
      <c r="S743" s="423"/>
      <c r="T743" s="423"/>
      <c r="U743" s="423"/>
      <c r="V743" s="423"/>
      <c r="W743" s="423"/>
      <c r="X743" s="423"/>
      <c r="Y743" s="423"/>
      <c r="Z743" s="423"/>
    </row>
    <row r="744">
      <c r="A744" s="564">
        <v>742.0</v>
      </c>
      <c r="B744" s="565" t="s">
        <v>5827</v>
      </c>
      <c r="C744" s="565" t="s">
        <v>5795</v>
      </c>
      <c r="D744" s="564">
        <v>1.0</v>
      </c>
      <c r="E744" s="564">
        <v>0.0</v>
      </c>
      <c r="F744" s="564">
        <v>0.0</v>
      </c>
      <c r="G744" s="564">
        <v>7.0</v>
      </c>
      <c r="H744" s="564">
        <v>0.0</v>
      </c>
      <c r="I744" s="423"/>
      <c r="J744" s="423"/>
      <c r="K744" s="423"/>
      <c r="L744" s="423"/>
      <c r="M744" s="423"/>
      <c r="N744" s="423"/>
      <c r="O744" s="423"/>
      <c r="P744" s="423"/>
      <c r="Q744" s="423"/>
      <c r="R744" s="423"/>
      <c r="S744" s="423"/>
      <c r="T744" s="423"/>
      <c r="U744" s="423"/>
      <c r="V744" s="423"/>
      <c r="W744" s="423"/>
      <c r="X744" s="423"/>
      <c r="Y744" s="423"/>
      <c r="Z744" s="423"/>
    </row>
    <row r="745">
      <c r="A745" s="562">
        <v>743.0</v>
      </c>
      <c r="B745" s="563" t="s">
        <v>5828</v>
      </c>
      <c r="C745" s="563" t="s">
        <v>5795</v>
      </c>
      <c r="D745" s="562">
        <v>0.0</v>
      </c>
      <c r="E745" s="562">
        <v>0.0</v>
      </c>
      <c r="F745" s="562">
        <v>0.0</v>
      </c>
      <c r="G745" s="562">
        <v>8.0</v>
      </c>
      <c r="H745" s="562">
        <v>0.0</v>
      </c>
      <c r="I745" s="423"/>
      <c r="J745" s="423"/>
      <c r="K745" s="423"/>
      <c r="L745" s="423"/>
      <c r="M745" s="423"/>
      <c r="N745" s="423"/>
      <c r="O745" s="423"/>
      <c r="P745" s="423"/>
      <c r="Q745" s="423"/>
      <c r="R745" s="423"/>
      <c r="S745" s="423"/>
      <c r="T745" s="423"/>
      <c r="U745" s="423"/>
      <c r="V745" s="423"/>
      <c r="W745" s="423"/>
      <c r="X745" s="423"/>
      <c r="Y745" s="423"/>
      <c r="Z745" s="423"/>
    </row>
    <row r="746">
      <c r="A746" s="564">
        <v>744.0</v>
      </c>
      <c r="B746" s="565" t="s">
        <v>5829</v>
      </c>
      <c r="C746" s="565" t="s">
        <v>5795</v>
      </c>
      <c r="D746" s="564">
        <v>0.0</v>
      </c>
      <c r="E746" s="564">
        <v>0.0</v>
      </c>
      <c r="F746" s="564">
        <v>0.0</v>
      </c>
      <c r="G746" s="564">
        <v>8.0</v>
      </c>
      <c r="H746" s="564">
        <v>0.0</v>
      </c>
      <c r="I746" s="423"/>
      <c r="J746" s="423"/>
      <c r="K746" s="423"/>
      <c r="L746" s="423"/>
      <c r="M746" s="423"/>
      <c r="N746" s="423"/>
      <c r="O746" s="423"/>
      <c r="P746" s="423"/>
      <c r="Q746" s="423"/>
      <c r="R746" s="423"/>
      <c r="S746" s="423"/>
      <c r="T746" s="423"/>
      <c r="U746" s="423"/>
      <c r="V746" s="423"/>
      <c r="W746" s="423"/>
      <c r="X746" s="423"/>
      <c r="Y746" s="423"/>
      <c r="Z746" s="423"/>
    </row>
    <row r="747">
      <c r="A747" s="562">
        <v>745.0</v>
      </c>
      <c r="B747" s="563" t="s">
        <v>5830</v>
      </c>
      <c r="C747" s="563" t="s">
        <v>5795</v>
      </c>
      <c r="D747" s="562">
        <v>0.0</v>
      </c>
      <c r="E747" s="562">
        <v>0.0</v>
      </c>
      <c r="F747" s="562">
        <v>0.0</v>
      </c>
      <c r="G747" s="562">
        <v>8.0</v>
      </c>
      <c r="H747" s="562">
        <v>0.0</v>
      </c>
      <c r="I747" s="423"/>
      <c r="J747" s="423"/>
      <c r="K747" s="423"/>
      <c r="L747" s="423"/>
      <c r="M747" s="423"/>
      <c r="N747" s="423"/>
      <c r="O747" s="423"/>
      <c r="P747" s="423"/>
      <c r="Q747" s="423"/>
      <c r="R747" s="423"/>
      <c r="S747" s="423"/>
      <c r="T747" s="423"/>
      <c r="U747" s="423"/>
      <c r="V747" s="423"/>
      <c r="W747" s="423"/>
      <c r="X747" s="423"/>
      <c r="Y747" s="423"/>
      <c r="Z747" s="423"/>
    </row>
    <row r="748">
      <c r="A748" s="564">
        <v>746.0</v>
      </c>
      <c r="B748" s="565" t="s">
        <v>5831</v>
      </c>
      <c r="C748" s="565" t="s">
        <v>5832</v>
      </c>
      <c r="D748" s="564">
        <v>0.0</v>
      </c>
      <c r="E748" s="564">
        <v>0.0</v>
      </c>
      <c r="F748" s="564">
        <v>0.0</v>
      </c>
      <c r="G748" s="564">
        <v>8.0</v>
      </c>
      <c r="H748" s="564">
        <v>0.0</v>
      </c>
      <c r="I748" s="423"/>
      <c r="J748" s="423"/>
      <c r="K748" s="423"/>
      <c r="L748" s="423"/>
      <c r="M748" s="423"/>
      <c r="N748" s="423"/>
      <c r="O748" s="423"/>
      <c r="P748" s="423"/>
      <c r="Q748" s="423"/>
      <c r="R748" s="423"/>
      <c r="S748" s="423"/>
      <c r="T748" s="423"/>
      <c r="U748" s="423"/>
      <c r="V748" s="423"/>
      <c r="W748" s="423"/>
      <c r="X748" s="423"/>
      <c r="Y748" s="423"/>
      <c r="Z748" s="423"/>
    </row>
    <row r="749">
      <c r="A749" s="562">
        <v>747.0</v>
      </c>
      <c r="B749" s="563" t="s">
        <v>5833</v>
      </c>
      <c r="C749" s="563" t="s">
        <v>5832</v>
      </c>
      <c r="D749" s="562">
        <v>2.0</v>
      </c>
      <c r="E749" s="562">
        <v>0.0</v>
      </c>
      <c r="F749" s="562">
        <v>0.0</v>
      </c>
      <c r="G749" s="562">
        <v>6.0</v>
      </c>
      <c r="H749" s="562">
        <v>0.0</v>
      </c>
      <c r="I749" s="423"/>
      <c r="J749" s="423"/>
      <c r="K749" s="423"/>
      <c r="L749" s="423"/>
      <c r="M749" s="423"/>
      <c r="N749" s="423"/>
      <c r="O749" s="423"/>
      <c r="P749" s="423"/>
      <c r="Q749" s="423"/>
      <c r="R749" s="423"/>
      <c r="S749" s="423"/>
      <c r="T749" s="423"/>
      <c r="U749" s="423"/>
      <c r="V749" s="423"/>
      <c r="W749" s="423"/>
      <c r="X749" s="423"/>
      <c r="Y749" s="423"/>
      <c r="Z749" s="423"/>
    </row>
    <row r="750">
      <c r="A750" s="564">
        <v>748.0</v>
      </c>
      <c r="B750" s="565" t="s">
        <v>5834</v>
      </c>
      <c r="C750" s="565" t="s">
        <v>5832</v>
      </c>
      <c r="D750" s="564">
        <v>0.0</v>
      </c>
      <c r="E750" s="564">
        <v>0.0</v>
      </c>
      <c r="F750" s="564">
        <v>0.0</v>
      </c>
      <c r="G750" s="564">
        <v>8.0</v>
      </c>
      <c r="H750" s="564">
        <v>0.0</v>
      </c>
      <c r="I750" s="423"/>
      <c r="J750" s="423"/>
      <c r="K750" s="423"/>
      <c r="L750" s="423"/>
      <c r="M750" s="423"/>
      <c r="N750" s="423"/>
      <c r="O750" s="423"/>
      <c r="P750" s="423"/>
      <c r="Q750" s="423"/>
      <c r="R750" s="423"/>
      <c r="S750" s="423"/>
      <c r="T750" s="423"/>
      <c r="U750" s="423"/>
      <c r="V750" s="423"/>
      <c r="W750" s="423"/>
      <c r="X750" s="423"/>
      <c r="Y750" s="423"/>
      <c r="Z750" s="423"/>
    </row>
    <row r="751">
      <c r="A751" s="562">
        <v>749.0</v>
      </c>
      <c r="B751" s="563" t="s">
        <v>5835</v>
      </c>
      <c r="C751" s="563" t="s">
        <v>5832</v>
      </c>
      <c r="D751" s="562">
        <v>0.0</v>
      </c>
      <c r="E751" s="562">
        <v>0.0</v>
      </c>
      <c r="F751" s="562">
        <v>0.0</v>
      </c>
      <c r="G751" s="562">
        <v>8.0</v>
      </c>
      <c r="H751" s="562">
        <v>0.0</v>
      </c>
      <c r="I751" s="423"/>
      <c r="J751" s="423"/>
      <c r="K751" s="423"/>
      <c r="L751" s="423"/>
      <c r="M751" s="423"/>
      <c r="N751" s="423"/>
      <c r="O751" s="423"/>
      <c r="P751" s="423"/>
      <c r="Q751" s="423"/>
      <c r="R751" s="423"/>
      <c r="S751" s="423"/>
      <c r="T751" s="423"/>
      <c r="U751" s="423"/>
      <c r="V751" s="423"/>
      <c r="W751" s="423"/>
      <c r="X751" s="423"/>
      <c r="Y751" s="423"/>
      <c r="Z751" s="423"/>
    </row>
    <row r="752">
      <c r="A752" s="564">
        <v>750.0</v>
      </c>
      <c r="B752" s="565" t="s">
        <v>5836</v>
      </c>
      <c r="C752" s="565" t="s">
        <v>5832</v>
      </c>
      <c r="D752" s="564">
        <v>0.0</v>
      </c>
      <c r="E752" s="564">
        <v>0.0</v>
      </c>
      <c r="F752" s="564">
        <v>0.0</v>
      </c>
      <c r="G752" s="564">
        <v>8.0</v>
      </c>
      <c r="H752" s="564">
        <v>0.0</v>
      </c>
      <c r="I752" s="423"/>
      <c r="J752" s="423"/>
      <c r="K752" s="423"/>
      <c r="L752" s="423"/>
      <c r="M752" s="423"/>
      <c r="N752" s="423"/>
      <c r="O752" s="423"/>
      <c r="P752" s="423"/>
      <c r="Q752" s="423"/>
      <c r="R752" s="423"/>
      <c r="S752" s="423"/>
      <c r="T752" s="423"/>
      <c r="U752" s="423"/>
      <c r="V752" s="423"/>
      <c r="W752" s="423"/>
      <c r="X752" s="423"/>
      <c r="Y752" s="423"/>
      <c r="Z752" s="423"/>
    </row>
    <row r="753">
      <c r="A753" s="562">
        <v>751.0</v>
      </c>
      <c r="B753" s="563" t="s">
        <v>5837</v>
      </c>
      <c r="C753" s="563" t="s">
        <v>5832</v>
      </c>
      <c r="D753" s="562">
        <v>2.0</v>
      </c>
      <c r="E753" s="562">
        <v>0.0</v>
      </c>
      <c r="F753" s="562">
        <v>0.0</v>
      </c>
      <c r="G753" s="562">
        <v>6.0</v>
      </c>
      <c r="H753" s="562">
        <v>0.0</v>
      </c>
      <c r="I753" s="423"/>
      <c r="J753" s="423"/>
      <c r="K753" s="423"/>
      <c r="L753" s="423"/>
      <c r="M753" s="423"/>
      <c r="N753" s="423"/>
      <c r="O753" s="423"/>
      <c r="P753" s="423"/>
      <c r="Q753" s="423"/>
      <c r="R753" s="423"/>
      <c r="S753" s="423"/>
      <c r="T753" s="423"/>
      <c r="U753" s="423"/>
      <c r="V753" s="423"/>
      <c r="W753" s="423"/>
      <c r="X753" s="423"/>
      <c r="Y753" s="423"/>
      <c r="Z753" s="423"/>
    </row>
    <row r="754">
      <c r="A754" s="564">
        <v>752.0</v>
      </c>
      <c r="B754" s="565" t="s">
        <v>5838</v>
      </c>
      <c r="C754" s="565" t="s">
        <v>5832</v>
      </c>
      <c r="D754" s="564">
        <v>2.0</v>
      </c>
      <c r="E754" s="564">
        <v>0.0</v>
      </c>
      <c r="F754" s="564">
        <v>0.0</v>
      </c>
      <c r="G754" s="564">
        <v>6.0</v>
      </c>
      <c r="H754" s="564">
        <v>0.0</v>
      </c>
      <c r="I754" s="423"/>
      <c r="J754" s="423"/>
      <c r="K754" s="423"/>
      <c r="L754" s="423"/>
      <c r="M754" s="423"/>
      <c r="N754" s="423"/>
      <c r="O754" s="423"/>
      <c r="P754" s="423"/>
      <c r="Q754" s="423"/>
      <c r="R754" s="423"/>
      <c r="S754" s="423"/>
      <c r="T754" s="423"/>
      <c r="U754" s="423"/>
      <c r="V754" s="423"/>
      <c r="W754" s="423"/>
      <c r="X754" s="423"/>
      <c r="Y754" s="423"/>
      <c r="Z754" s="423"/>
    </row>
    <row r="755">
      <c r="A755" s="562">
        <v>753.0</v>
      </c>
      <c r="B755" s="563" t="s">
        <v>5839</v>
      </c>
      <c r="C755" s="563" t="s">
        <v>5832</v>
      </c>
      <c r="D755" s="562">
        <v>0.0</v>
      </c>
      <c r="E755" s="562">
        <v>0.0</v>
      </c>
      <c r="F755" s="562">
        <v>0.0</v>
      </c>
      <c r="G755" s="562">
        <v>8.0</v>
      </c>
      <c r="H755" s="562">
        <v>0.0</v>
      </c>
      <c r="I755" s="423"/>
      <c r="J755" s="423"/>
      <c r="K755" s="423"/>
      <c r="L755" s="423"/>
      <c r="M755" s="423"/>
      <c r="N755" s="423"/>
      <c r="O755" s="423"/>
      <c r="P755" s="423"/>
      <c r="Q755" s="423"/>
      <c r="R755" s="423"/>
      <c r="S755" s="423"/>
      <c r="T755" s="423"/>
      <c r="U755" s="423"/>
      <c r="V755" s="423"/>
      <c r="W755" s="423"/>
      <c r="X755" s="423"/>
      <c r="Y755" s="423"/>
      <c r="Z755" s="423"/>
    </row>
    <row r="756">
      <c r="A756" s="564">
        <v>754.0</v>
      </c>
      <c r="B756" s="565" t="s">
        <v>5840</v>
      </c>
      <c r="C756" s="565" t="s">
        <v>5832</v>
      </c>
      <c r="D756" s="564">
        <v>0.0</v>
      </c>
      <c r="E756" s="564">
        <v>0.0</v>
      </c>
      <c r="F756" s="564">
        <v>0.0</v>
      </c>
      <c r="G756" s="564">
        <v>8.0</v>
      </c>
      <c r="H756" s="564">
        <v>0.0</v>
      </c>
      <c r="I756" s="423"/>
      <c r="J756" s="423"/>
      <c r="K756" s="423"/>
      <c r="L756" s="423"/>
      <c r="M756" s="423"/>
      <c r="N756" s="423"/>
      <c r="O756" s="423"/>
      <c r="P756" s="423"/>
      <c r="Q756" s="423"/>
      <c r="R756" s="423"/>
      <c r="S756" s="423"/>
      <c r="T756" s="423"/>
      <c r="U756" s="423"/>
      <c r="V756" s="423"/>
      <c r="W756" s="423"/>
      <c r="X756" s="423"/>
      <c r="Y756" s="423"/>
      <c r="Z756" s="423"/>
    </row>
    <row r="757">
      <c r="A757" s="562">
        <v>755.0</v>
      </c>
      <c r="B757" s="563" t="s">
        <v>5841</v>
      </c>
      <c r="C757" s="563" t="s">
        <v>5832</v>
      </c>
      <c r="D757" s="562">
        <v>0.0</v>
      </c>
      <c r="E757" s="562">
        <v>0.0</v>
      </c>
      <c r="F757" s="562">
        <v>0.0</v>
      </c>
      <c r="G757" s="562">
        <v>8.0</v>
      </c>
      <c r="H757" s="562">
        <v>0.0</v>
      </c>
      <c r="I757" s="423"/>
      <c r="J757" s="423"/>
      <c r="K757" s="423"/>
      <c r="L757" s="423"/>
      <c r="M757" s="423"/>
      <c r="N757" s="423"/>
      <c r="O757" s="423"/>
      <c r="P757" s="423"/>
      <c r="Q757" s="423"/>
      <c r="R757" s="423"/>
      <c r="S757" s="423"/>
      <c r="T757" s="423"/>
      <c r="U757" s="423"/>
      <c r="V757" s="423"/>
      <c r="W757" s="423"/>
      <c r="X757" s="423"/>
      <c r="Y757" s="423"/>
      <c r="Z757" s="423"/>
    </row>
    <row r="758">
      <c r="A758" s="564">
        <v>756.0</v>
      </c>
      <c r="B758" s="565" t="s">
        <v>5842</v>
      </c>
      <c r="C758" s="565" t="s">
        <v>5832</v>
      </c>
      <c r="D758" s="564">
        <v>0.0</v>
      </c>
      <c r="E758" s="564">
        <v>0.0</v>
      </c>
      <c r="F758" s="564">
        <v>0.0</v>
      </c>
      <c r="G758" s="564">
        <v>8.0</v>
      </c>
      <c r="H758" s="564">
        <v>0.0</v>
      </c>
      <c r="I758" s="423"/>
      <c r="J758" s="423"/>
      <c r="K758" s="423"/>
      <c r="L758" s="423"/>
      <c r="M758" s="423"/>
      <c r="N758" s="423"/>
      <c r="O758" s="423"/>
      <c r="P758" s="423"/>
      <c r="Q758" s="423"/>
      <c r="R758" s="423"/>
      <c r="S758" s="423"/>
      <c r="T758" s="423"/>
      <c r="U758" s="423"/>
      <c r="V758" s="423"/>
      <c r="W758" s="423"/>
      <c r="X758" s="423"/>
      <c r="Y758" s="423"/>
      <c r="Z758" s="423"/>
    </row>
    <row r="759">
      <c r="A759" s="562">
        <v>757.0</v>
      </c>
      <c r="B759" s="563" t="s">
        <v>5843</v>
      </c>
      <c r="C759" s="563" t="s">
        <v>5832</v>
      </c>
      <c r="D759" s="562">
        <v>0.0</v>
      </c>
      <c r="E759" s="562">
        <v>0.0</v>
      </c>
      <c r="F759" s="562">
        <v>0.0</v>
      </c>
      <c r="G759" s="562">
        <v>8.0</v>
      </c>
      <c r="H759" s="562">
        <v>0.0</v>
      </c>
      <c r="I759" s="423"/>
      <c r="J759" s="423"/>
      <c r="K759" s="423"/>
      <c r="L759" s="423"/>
      <c r="M759" s="423"/>
      <c r="N759" s="423"/>
      <c r="O759" s="423"/>
      <c r="P759" s="423"/>
      <c r="Q759" s="423"/>
      <c r="R759" s="423"/>
      <c r="S759" s="423"/>
      <c r="T759" s="423"/>
      <c r="U759" s="423"/>
      <c r="V759" s="423"/>
      <c r="W759" s="423"/>
      <c r="X759" s="423"/>
      <c r="Y759" s="423"/>
      <c r="Z759" s="423"/>
    </row>
    <row r="760">
      <c r="A760" s="564">
        <v>758.0</v>
      </c>
      <c r="B760" s="565" t="s">
        <v>5844</v>
      </c>
      <c r="C760" s="565" t="s">
        <v>5832</v>
      </c>
      <c r="D760" s="564">
        <v>0.0</v>
      </c>
      <c r="E760" s="564">
        <v>0.0</v>
      </c>
      <c r="F760" s="564">
        <v>0.0</v>
      </c>
      <c r="G760" s="564">
        <v>8.0</v>
      </c>
      <c r="H760" s="564">
        <v>0.0</v>
      </c>
      <c r="I760" s="423"/>
      <c r="J760" s="423"/>
      <c r="K760" s="423"/>
      <c r="L760" s="423"/>
      <c r="M760" s="423"/>
      <c r="N760" s="423"/>
      <c r="O760" s="423"/>
      <c r="P760" s="423"/>
      <c r="Q760" s="423"/>
      <c r="R760" s="423"/>
      <c r="S760" s="423"/>
      <c r="T760" s="423"/>
      <c r="U760" s="423"/>
      <c r="V760" s="423"/>
      <c r="W760" s="423"/>
      <c r="X760" s="423"/>
      <c r="Y760" s="423"/>
      <c r="Z760" s="423"/>
    </row>
    <row r="761">
      <c r="A761" s="562">
        <v>759.0</v>
      </c>
      <c r="B761" s="563" t="s">
        <v>5845</v>
      </c>
      <c r="C761" s="563" t="s">
        <v>5832</v>
      </c>
      <c r="D761" s="562">
        <v>0.0</v>
      </c>
      <c r="E761" s="562">
        <v>0.0</v>
      </c>
      <c r="F761" s="562">
        <v>0.0</v>
      </c>
      <c r="G761" s="562">
        <v>8.0</v>
      </c>
      <c r="H761" s="562">
        <v>0.0</v>
      </c>
      <c r="I761" s="423"/>
      <c r="J761" s="423"/>
      <c r="K761" s="423"/>
      <c r="L761" s="423"/>
      <c r="M761" s="423"/>
      <c r="N761" s="423"/>
      <c r="O761" s="423"/>
      <c r="P761" s="423"/>
      <c r="Q761" s="423"/>
      <c r="R761" s="423"/>
      <c r="S761" s="423"/>
      <c r="T761" s="423"/>
      <c r="U761" s="423"/>
      <c r="V761" s="423"/>
      <c r="W761" s="423"/>
      <c r="X761" s="423"/>
      <c r="Y761" s="423"/>
      <c r="Z761" s="423"/>
    </row>
    <row r="762">
      <c r="A762" s="564">
        <v>760.0</v>
      </c>
      <c r="B762" s="565" t="s">
        <v>5846</v>
      </c>
      <c r="C762" s="565" t="s">
        <v>5832</v>
      </c>
      <c r="D762" s="564">
        <v>0.0</v>
      </c>
      <c r="E762" s="564">
        <v>0.0</v>
      </c>
      <c r="F762" s="564">
        <v>0.0</v>
      </c>
      <c r="G762" s="564">
        <v>8.0</v>
      </c>
      <c r="H762" s="564">
        <v>0.0</v>
      </c>
      <c r="I762" s="423"/>
      <c r="J762" s="423"/>
      <c r="K762" s="423"/>
      <c r="L762" s="423"/>
      <c r="M762" s="423"/>
      <c r="N762" s="423"/>
      <c r="O762" s="423"/>
      <c r="P762" s="423"/>
      <c r="Q762" s="423"/>
      <c r="R762" s="423"/>
      <c r="S762" s="423"/>
      <c r="T762" s="423"/>
      <c r="U762" s="423"/>
      <c r="V762" s="423"/>
      <c r="W762" s="423"/>
      <c r="X762" s="423"/>
      <c r="Y762" s="423"/>
      <c r="Z762" s="423"/>
    </row>
    <row r="763">
      <c r="A763" s="562">
        <v>761.0</v>
      </c>
      <c r="B763" s="563" t="s">
        <v>5847</v>
      </c>
      <c r="C763" s="563" t="s">
        <v>5832</v>
      </c>
      <c r="D763" s="562">
        <v>0.0</v>
      </c>
      <c r="E763" s="562">
        <v>0.0</v>
      </c>
      <c r="F763" s="562">
        <v>0.0</v>
      </c>
      <c r="G763" s="562">
        <v>8.0</v>
      </c>
      <c r="H763" s="562">
        <v>0.0</v>
      </c>
      <c r="I763" s="423"/>
      <c r="J763" s="423"/>
      <c r="K763" s="423"/>
      <c r="L763" s="423"/>
      <c r="M763" s="423"/>
      <c r="N763" s="423"/>
      <c r="O763" s="423"/>
      <c r="P763" s="423"/>
      <c r="Q763" s="423"/>
      <c r="R763" s="423"/>
      <c r="S763" s="423"/>
      <c r="T763" s="423"/>
      <c r="U763" s="423"/>
      <c r="V763" s="423"/>
      <c r="W763" s="423"/>
      <c r="X763" s="423"/>
      <c r="Y763" s="423"/>
      <c r="Z763" s="423"/>
    </row>
    <row r="764">
      <c r="A764" s="564">
        <v>762.0</v>
      </c>
      <c r="B764" s="565" t="s">
        <v>5848</v>
      </c>
      <c r="C764" s="565" t="s">
        <v>5832</v>
      </c>
      <c r="D764" s="564">
        <v>0.0</v>
      </c>
      <c r="E764" s="564">
        <v>0.0</v>
      </c>
      <c r="F764" s="564">
        <v>0.0</v>
      </c>
      <c r="G764" s="564">
        <v>8.0</v>
      </c>
      <c r="H764" s="564">
        <v>0.0</v>
      </c>
      <c r="I764" s="423"/>
      <c r="J764" s="423"/>
      <c r="K764" s="423"/>
      <c r="L764" s="423"/>
      <c r="M764" s="423"/>
      <c r="N764" s="423"/>
      <c r="O764" s="423"/>
      <c r="P764" s="423"/>
      <c r="Q764" s="423"/>
      <c r="R764" s="423"/>
      <c r="S764" s="423"/>
      <c r="T764" s="423"/>
      <c r="U764" s="423"/>
      <c r="V764" s="423"/>
      <c r="W764" s="423"/>
      <c r="X764" s="423"/>
      <c r="Y764" s="423"/>
      <c r="Z764" s="423"/>
    </row>
    <row r="765">
      <c r="A765" s="562">
        <v>763.0</v>
      </c>
      <c r="B765" s="563" t="s">
        <v>5849</v>
      </c>
      <c r="C765" s="563" t="s">
        <v>5832</v>
      </c>
      <c r="D765" s="562">
        <v>1.0</v>
      </c>
      <c r="E765" s="562">
        <v>0.0</v>
      </c>
      <c r="F765" s="562">
        <v>0.0</v>
      </c>
      <c r="G765" s="562">
        <v>7.0</v>
      </c>
      <c r="H765" s="562">
        <v>0.0</v>
      </c>
      <c r="I765" s="423"/>
      <c r="J765" s="423"/>
      <c r="K765" s="423"/>
      <c r="L765" s="423"/>
      <c r="M765" s="423"/>
      <c r="N765" s="423"/>
      <c r="O765" s="423"/>
      <c r="P765" s="423"/>
      <c r="Q765" s="423"/>
      <c r="R765" s="423"/>
      <c r="S765" s="423"/>
      <c r="T765" s="423"/>
      <c r="U765" s="423"/>
      <c r="V765" s="423"/>
      <c r="W765" s="423"/>
      <c r="X765" s="423"/>
      <c r="Y765" s="423"/>
      <c r="Z765" s="423"/>
    </row>
    <row r="766">
      <c r="A766" s="564">
        <v>764.0</v>
      </c>
      <c r="B766" s="565" t="s">
        <v>5850</v>
      </c>
      <c r="C766" s="565" t="s">
        <v>5832</v>
      </c>
      <c r="D766" s="564">
        <v>0.0</v>
      </c>
      <c r="E766" s="564">
        <v>0.0</v>
      </c>
      <c r="F766" s="564">
        <v>0.0</v>
      </c>
      <c r="G766" s="564">
        <v>8.0</v>
      </c>
      <c r="H766" s="564">
        <v>0.0</v>
      </c>
      <c r="I766" s="423"/>
      <c r="J766" s="423"/>
      <c r="K766" s="423"/>
      <c r="L766" s="423"/>
      <c r="M766" s="423"/>
      <c r="N766" s="423"/>
      <c r="O766" s="423"/>
      <c r="P766" s="423"/>
      <c r="Q766" s="423"/>
      <c r="R766" s="423"/>
      <c r="S766" s="423"/>
      <c r="T766" s="423"/>
      <c r="U766" s="423"/>
      <c r="V766" s="423"/>
      <c r="W766" s="423"/>
      <c r="X766" s="423"/>
      <c r="Y766" s="423"/>
      <c r="Z766" s="423"/>
    </row>
    <row r="767">
      <c r="A767" s="562">
        <v>765.0</v>
      </c>
      <c r="B767" s="563" t="s">
        <v>5851</v>
      </c>
      <c r="C767" s="563" t="s">
        <v>5832</v>
      </c>
      <c r="D767" s="562">
        <v>0.0</v>
      </c>
      <c r="E767" s="562">
        <v>0.0</v>
      </c>
      <c r="F767" s="562">
        <v>4.0</v>
      </c>
      <c r="G767" s="562">
        <v>4.0</v>
      </c>
      <c r="H767" s="562">
        <v>0.0</v>
      </c>
      <c r="I767" s="423"/>
      <c r="J767" s="423"/>
      <c r="K767" s="423"/>
      <c r="L767" s="423"/>
      <c r="M767" s="423"/>
      <c r="N767" s="423"/>
      <c r="O767" s="423"/>
      <c r="P767" s="423"/>
      <c r="Q767" s="423"/>
      <c r="R767" s="423"/>
      <c r="S767" s="423"/>
      <c r="T767" s="423"/>
      <c r="U767" s="423"/>
      <c r="V767" s="423"/>
      <c r="W767" s="423"/>
      <c r="X767" s="423"/>
      <c r="Y767" s="423"/>
      <c r="Z767" s="423"/>
    </row>
    <row r="768">
      <c r="A768" s="564">
        <v>766.0</v>
      </c>
      <c r="B768" s="565" t="s">
        <v>5852</v>
      </c>
      <c r="C768" s="565" t="s">
        <v>5832</v>
      </c>
      <c r="D768" s="564">
        <v>0.0</v>
      </c>
      <c r="E768" s="564">
        <v>0.0</v>
      </c>
      <c r="F768" s="564">
        <v>0.0</v>
      </c>
      <c r="G768" s="564">
        <v>8.0</v>
      </c>
      <c r="H768" s="564">
        <v>0.0</v>
      </c>
      <c r="I768" s="423"/>
      <c r="J768" s="423"/>
      <c r="K768" s="423"/>
      <c r="L768" s="423"/>
      <c r="M768" s="423"/>
      <c r="N768" s="423"/>
      <c r="O768" s="423"/>
      <c r="P768" s="423"/>
      <c r="Q768" s="423"/>
      <c r="R768" s="423"/>
      <c r="S768" s="423"/>
      <c r="T768" s="423"/>
      <c r="U768" s="423"/>
      <c r="V768" s="423"/>
      <c r="W768" s="423"/>
      <c r="X768" s="423"/>
      <c r="Y768" s="423"/>
      <c r="Z768" s="423"/>
    </row>
    <row r="769">
      <c r="A769" s="562">
        <v>767.0</v>
      </c>
      <c r="B769" s="563" t="s">
        <v>5853</v>
      </c>
      <c r="C769" s="563" t="s">
        <v>5832</v>
      </c>
      <c r="D769" s="562">
        <v>2.0</v>
      </c>
      <c r="E769" s="562">
        <v>0.0</v>
      </c>
      <c r="F769" s="562">
        <v>2.0</v>
      </c>
      <c r="G769" s="562">
        <v>4.0</v>
      </c>
      <c r="H769" s="562">
        <v>0.0</v>
      </c>
      <c r="I769" s="423"/>
      <c r="J769" s="423"/>
      <c r="K769" s="423"/>
      <c r="L769" s="423"/>
      <c r="M769" s="423"/>
      <c r="N769" s="423"/>
      <c r="O769" s="423"/>
      <c r="P769" s="423"/>
      <c r="Q769" s="423"/>
      <c r="R769" s="423"/>
      <c r="S769" s="423"/>
      <c r="T769" s="423"/>
      <c r="U769" s="423"/>
      <c r="V769" s="423"/>
      <c r="W769" s="423"/>
      <c r="X769" s="423"/>
      <c r="Y769" s="423"/>
      <c r="Z769" s="423"/>
    </row>
    <row r="770">
      <c r="A770" s="564">
        <v>768.0</v>
      </c>
      <c r="B770" s="565" t="s">
        <v>5854</v>
      </c>
      <c r="C770" s="565" t="s">
        <v>5832</v>
      </c>
      <c r="D770" s="564">
        <v>0.0</v>
      </c>
      <c r="E770" s="564">
        <v>0.0</v>
      </c>
      <c r="F770" s="564">
        <v>0.0</v>
      </c>
      <c r="G770" s="564">
        <v>8.0</v>
      </c>
      <c r="H770" s="564">
        <v>0.0</v>
      </c>
      <c r="I770" s="423"/>
      <c r="J770" s="423"/>
      <c r="K770" s="423"/>
      <c r="L770" s="423"/>
      <c r="M770" s="423"/>
      <c r="N770" s="423"/>
      <c r="O770" s="423"/>
      <c r="P770" s="423"/>
      <c r="Q770" s="423"/>
      <c r="R770" s="423"/>
      <c r="S770" s="423"/>
      <c r="T770" s="423"/>
      <c r="U770" s="423"/>
      <c r="V770" s="423"/>
      <c r="W770" s="423"/>
      <c r="X770" s="423"/>
      <c r="Y770" s="423"/>
      <c r="Z770" s="423"/>
    </row>
    <row r="771">
      <c r="A771" s="562">
        <v>769.0</v>
      </c>
      <c r="B771" s="563" t="s">
        <v>5855</v>
      </c>
      <c r="C771" s="563" t="s">
        <v>5832</v>
      </c>
      <c r="D771" s="562">
        <v>2.0</v>
      </c>
      <c r="E771" s="562">
        <v>0.0</v>
      </c>
      <c r="F771" s="562">
        <v>0.0</v>
      </c>
      <c r="G771" s="562">
        <v>6.0</v>
      </c>
      <c r="H771" s="562">
        <v>0.0</v>
      </c>
      <c r="I771" s="423"/>
      <c r="J771" s="423"/>
      <c r="K771" s="423"/>
      <c r="L771" s="423"/>
      <c r="M771" s="423"/>
      <c r="N771" s="423"/>
      <c r="O771" s="423"/>
      <c r="P771" s="423"/>
      <c r="Q771" s="423"/>
      <c r="R771" s="423"/>
      <c r="S771" s="423"/>
      <c r="T771" s="423"/>
      <c r="U771" s="423"/>
      <c r="V771" s="423"/>
      <c r="W771" s="423"/>
      <c r="X771" s="423"/>
      <c r="Y771" s="423"/>
      <c r="Z771" s="423"/>
    </row>
    <row r="772">
      <c r="A772" s="564">
        <v>770.0</v>
      </c>
      <c r="B772" s="565" t="s">
        <v>5856</v>
      </c>
      <c r="C772" s="565" t="s">
        <v>5832</v>
      </c>
      <c r="D772" s="564">
        <v>0.0</v>
      </c>
      <c r="E772" s="564">
        <v>0.0</v>
      </c>
      <c r="F772" s="564">
        <v>0.0</v>
      </c>
      <c r="G772" s="564">
        <v>8.0</v>
      </c>
      <c r="H772" s="564">
        <v>0.0</v>
      </c>
      <c r="I772" s="423"/>
      <c r="J772" s="423"/>
      <c r="K772" s="423"/>
      <c r="L772" s="423"/>
      <c r="M772" s="423"/>
      <c r="N772" s="423"/>
      <c r="O772" s="423"/>
      <c r="P772" s="423"/>
      <c r="Q772" s="423"/>
      <c r="R772" s="423"/>
      <c r="S772" s="423"/>
      <c r="T772" s="423"/>
      <c r="U772" s="423"/>
      <c r="V772" s="423"/>
      <c r="W772" s="423"/>
      <c r="X772" s="423"/>
      <c r="Y772" s="423"/>
      <c r="Z772" s="423"/>
    </row>
    <row r="773">
      <c r="A773" s="562">
        <v>771.0</v>
      </c>
      <c r="B773" s="563" t="s">
        <v>5857</v>
      </c>
      <c r="C773" s="563" t="s">
        <v>5832</v>
      </c>
      <c r="D773" s="562">
        <v>0.0</v>
      </c>
      <c r="E773" s="562">
        <v>0.0</v>
      </c>
      <c r="F773" s="562">
        <v>0.0</v>
      </c>
      <c r="G773" s="562">
        <v>8.0</v>
      </c>
      <c r="H773" s="562">
        <v>0.0</v>
      </c>
      <c r="I773" s="423"/>
      <c r="J773" s="423"/>
      <c r="K773" s="423"/>
      <c r="L773" s="423"/>
      <c r="M773" s="423"/>
      <c r="N773" s="423"/>
      <c r="O773" s="423"/>
      <c r="P773" s="423"/>
      <c r="Q773" s="423"/>
      <c r="R773" s="423"/>
      <c r="S773" s="423"/>
      <c r="T773" s="423"/>
      <c r="U773" s="423"/>
      <c r="V773" s="423"/>
      <c r="W773" s="423"/>
      <c r="X773" s="423"/>
      <c r="Y773" s="423"/>
      <c r="Z773" s="423"/>
    </row>
    <row r="774">
      <c r="A774" s="564">
        <v>772.0</v>
      </c>
      <c r="B774" s="565" t="s">
        <v>5858</v>
      </c>
      <c r="C774" s="565" t="s">
        <v>5832</v>
      </c>
      <c r="D774" s="564">
        <v>0.0</v>
      </c>
      <c r="E774" s="564">
        <v>0.0</v>
      </c>
      <c r="F774" s="564">
        <v>0.0</v>
      </c>
      <c r="G774" s="564">
        <v>8.0</v>
      </c>
      <c r="H774" s="564">
        <v>0.0</v>
      </c>
      <c r="I774" s="423"/>
      <c r="J774" s="423"/>
      <c r="K774" s="423"/>
      <c r="L774" s="423"/>
      <c r="M774" s="423"/>
      <c r="N774" s="423"/>
      <c r="O774" s="423"/>
      <c r="P774" s="423"/>
      <c r="Q774" s="423"/>
      <c r="R774" s="423"/>
      <c r="S774" s="423"/>
      <c r="T774" s="423"/>
      <c r="U774" s="423"/>
      <c r="V774" s="423"/>
      <c r="W774" s="423"/>
      <c r="X774" s="423"/>
      <c r="Y774" s="423"/>
      <c r="Z774" s="423"/>
    </row>
    <row r="775">
      <c r="A775" s="562">
        <v>773.0</v>
      </c>
      <c r="B775" s="563" t="s">
        <v>5859</v>
      </c>
      <c r="C775" s="563" t="s">
        <v>5832</v>
      </c>
      <c r="D775" s="562">
        <v>2.0</v>
      </c>
      <c r="E775" s="562">
        <v>0.0</v>
      </c>
      <c r="F775" s="562">
        <v>0.0</v>
      </c>
      <c r="G775" s="562">
        <v>6.0</v>
      </c>
      <c r="H775" s="562">
        <v>0.0</v>
      </c>
      <c r="I775" s="423"/>
      <c r="J775" s="423"/>
      <c r="K775" s="423"/>
      <c r="L775" s="423"/>
      <c r="M775" s="423"/>
      <c r="N775" s="423"/>
      <c r="O775" s="423"/>
      <c r="P775" s="423"/>
      <c r="Q775" s="423"/>
      <c r="R775" s="423"/>
      <c r="S775" s="423"/>
      <c r="T775" s="423"/>
      <c r="U775" s="423"/>
      <c r="V775" s="423"/>
      <c r="W775" s="423"/>
      <c r="X775" s="423"/>
      <c r="Y775" s="423"/>
      <c r="Z775" s="423"/>
    </row>
    <row r="776">
      <c r="A776" s="564">
        <v>774.0</v>
      </c>
      <c r="B776" s="565" t="s">
        <v>5860</v>
      </c>
      <c r="C776" s="565" t="s">
        <v>5832</v>
      </c>
      <c r="D776" s="564">
        <v>0.0</v>
      </c>
      <c r="E776" s="564">
        <v>0.0</v>
      </c>
      <c r="F776" s="564">
        <v>0.0</v>
      </c>
      <c r="G776" s="564">
        <v>8.0</v>
      </c>
      <c r="H776" s="564">
        <v>0.0</v>
      </c>
      <c r="I776" s="423"/>
      <c r="J776" s="423"/>
      <c r="K776" s="423"/>
      <c r="L776" s="423"/>
      <c r="M776" s="423"/>
      <c r="N776" s="423"/>
      <c r="O776" s="423"/>
      <c r="P776" s="423"/>
      <c r="Q776" s="423"/>
      <c r="R776" s="423"/>
      <c r="S776" s="423"/>
      <c r="T776" s="423"/>
      <c r="U776" s="423"/>
      <c r="V776" s="423"/>
      <c r="W776" s="423"/>
      <c r="X776" s="423"/>
      <c r="Y776" s="423"/>
      <c r="Z776" s="423"/>
    </row>
    <row r="777">
      <c r="A777" s="562">
        <v>775.0</v>
      </c>
      <c r="B777" s="563" t="s">
        <v>5861</v>
      </c>
      <c r="C777" s="563" t="s">
        <v>5832</v>
      </c>
      <c r="D777" s="562">
        <v>0.0</v>
      </c>
      <c r="E777" s="562">
        <v>0.0</v>
      </c>
      <c r="F777" s="562">
        <v>0.0</v>
      </c>
      <c r="G777" s="562">
        <v>8.0</v>
      </c>
      <c r="H777" s="562">
        <v>0.0</v>
      </c>
      <c r="I777" s="423"/>
      <c r="J777" s="423"/>
      <c r="K777" s="423"/>
      <c r="L777" s="423"/>
      <c r="M777" s="423"/>
      <c r="N777" s="423"/>
      <c r="O777" s="423"/>
      <c r="P777" s="423"/>
      <c r="Q777" s="423"/>
      <c r="R777" s="423"/>
      <c r="S777" s="423"/>
      <c r="T777" s="423"/>
      <c r="U777" s="423"/>
      <c r="V777" s="423"/>
      <c r="W777" s="423"/>
      <c r="X777" s="423"/>
      <c r="Y777" s="423"/>
      <c r="Z777" s="423"/>
    </row>
    <row r="778">
      <c r="A778" s="564">
        <v>776.0</v>
      </c>
      <c r="B778" s="565" t="s">
        <v>5862</v>
      </c>
      <c r="C778" s="565" t="s">
        <v>5832</v>
      </c>
      <c r="D778" s="564">
        <v>1.0</v>
      </c>
      <c r="E778" s="564">
        <v>0.0</v>
      </c>
      <c r="F778" s="564">
        <v>0.0</v>
      </c>
      <c r="G778" s="564">
        <v>7.0</v>
      </c>
      <c r="H778" s="564">
        <v>0.0</v>
      </c>
      <c r="I778" s="423"/>
      <c r="J778" s="423"/>
      <c r="K778" s="423"/>
      <c r="L778" s="423"/>
      <c r="M778" s="423"/>
      <c r="N778" s="423"/>
      <c r="O778" s="423"/>
      <c r="P778" s="423"/>
      <c r="Q778" s="423"/>
      <c r="R778" s="423"/>
      <c r="S778" s="423"/>
      <c r="T778" s="423"/>
      <c r="U778" s="423"/>
      <c r="V778" s="423"/>
      <c r="W778" s="423"/>
      <c r="X778" s="423"/>
      <c r="Y778" s="423"/>
      <c r="Z778" s="423"/>
    </row>
    <row r="779">
      <c r="A779" s="562">
        <v>777.0</v>
      </c>
      <c r="B779" s="563" t="s">
        <v>5863</v>
      </c>
      <c r="C779" s="563" t="s">
        <v>5832</v>
      </c>
      <c r="D779" s="562">
        <v>0.0</v>
      </c>
      <c r="E779" s="562">
        <v>0.0</v>
      </c>
      <c r="F779" s="562">
        <v>0.0</v>
      </c>
      <c r="G779" s="562">
        <v>8.0</v>
      </c>
      <c r="H779" s="562">
        <v>0.0</v>
      </c>
      <c r="I779" s="423"/>
      <c r="J779" s="423"/>
      <c r="K779" s="423"/>
      <c r="L779" s="423"/>
      <c r="M779" s="423"/>
      <c r="N779" s="423"/>
      <c r="O779" s="423"/>
      <c r="P779" s="423"/>
      <c r="Q779" s="423"/>
      <c r="R779" s="423"/>
      <c r="S779" s="423"/>
      <c r="T779" s="423"/>
      <c r="U779" s="423"/>
      <c r="V779" s="423"/>
      <c r="W779" s="423"/>
      <c r="X779" s="423"/>
      <c r="Y779" s="423"/>
      <c r="Z779" s="423"/>
    </row>
    <row r="780">
      <c r="A780" s="564">
        <v>778.0</v>
      </c>
      <c r="B780" s="565" t="s">
        <v>5864</v>
      </c>
      <c r="C780" s="565" t="s">
        <v>5832</v>
      </c>
      <c r="D780" s="564">
        <v>2.0</v>
      </c>
      <c r="E780" s="564">
        <v>0.0</v>
      </c>
      <c r="F780" s="564">
        <v>0.0</v>
      </c>
      <c r="G780" s="564">
        <v>6.0</v>
      </c>
      <c r="H780" s="564">
        <v>0.0</v>
      </c>
      <c r="I780" s="423"/>
      <c r="J780" s="423"/>
      <c r="K780" s="423"/>
      <c r="L780" s="423"/>
      <c r="M780" s="423"/>
      <c r="N780" s="423"/>
      <c r="O780" s="423"/>
      <c r="P780" s="423"/>
      <c r="Q780" s="423"/>
      <c r="R780" s="423"/>
      <c r="S780" s="423"/>
      <c r="T780" s="423"/>
      <c r="U780" s="423"/>
      <c r="V780" s="423"/>
      <c r="W780" s="423"/>
      <c r="X780" s="423"/>
      <c r="Y780" s="423"/>
      <c r="Z780" s="423"/>
    </row>
    <row r="781">
      <c r="A781" s="562">
        <v>779.0</v>
      </c>
      <c r="B781" s="563" t="s">
        <v>5865</v>
      </c>
      <c r="C781" s="563" t="s">
        <v>5832</v>
      </c>
      <c r="D781" s="562">
        <v>0.0</v>
      </c>
      <c r="E781" s="562">
        <v>0.0</v>
      </c>
      <c r="F781" s="562">
        <v>0.0</v>
      </c>
      <c r="G781" s="562">
        <v>8.0</v>
      </c>
      <c r="H781" s="562">
        <v>0.0</v>
      </c>
      <c r="I781" s="423"/>
      <c r="J781" s="423"/>
      <c r="K781" s="423"/>
      <c r="L781" s="423"/>
      <c r="M781" s="423"/>
      <c r="N781" s="423"/>
      <c r="O781" s="423"/>
      <c r="P781" s="423"/>
      <c r="Q781" s="423"/>
      <c r="R781" s="423"/>
      <c r="S781" s="423"/>
      <c r="T781" s="423"/>
      <c r="U781" s="423"/>
      <c r="V781" s="423"/>
      <c r="W781" s="423"/>
      <c r="X781" s="423"/>
      <c r="Y781" s="423"/>
      <c r="Z781" s="423"/>
    </row>
    <row r="782">
      <c r="A782" s="564">
        <v>780.0</v>
      </c>
      <c r="B782" s="565" t="s">
        <v>5866</v>
      </c>
      <c r="C782" s="565" t="s">
        <v>5832</v>
      </c>
      <c r="D782" s="564">
        <v>0.0</v>
      </c>
      <c r="E782" s="564">
        <v>0.0</v>
      </c>
      <c r="F782" s="564">
        <v>0.0</v>
      </c>
      <c r="G782" s="564">
        <v>8.0</v>
      </c>
      <c r="H782" s="564">
        <v>0.0</v>
      </c>
      <c r="I782" s="423"/>
      <c r="J782" s="423"/>
      <c r="K782" s="423"/>
      <c r="L782" s="423"/>
      <c r="M782" s="423"/>
      <c r="N782" s="423"/>
      <c r="O782" s="423"/>
      <c r="P782" s="423"/>
      <c r="Q782" s="423"/>
      <c r="R782" s="423"/>
      <c r="S782" s="423"/>
      <c r="T782" s="423"/>
      <c r="U782" s="423"/>
      <c r="V782" s="423"/>
      <c r="W782" s="423"/>
      <c r="X782" s="423"/>
      <c r="Y782" s="423"/>
      <c r="Z782" s="423"/>
    </row>
    <row r="783">
      <c r="A783" s="562">
        <v>781.0</v>
      </c>
      <c r="B783" s="563" t="s">
        <v>5867</v>
      </c>
      <c r="C783" s="563" t="s">
        <v>5832</v>
      </c>
      <c r="D783" s="562">
        <v>0.0</v>
      </c>
      <c r="E783" s="562">
        <v>0.0</v>
      </c>
      <c r="F783" s="562">
        <v>0.0</v>
      </c>
      <c r="G783" s="562">
        <v>8.0</v>
      </c>
      <c r="H783" s="562">
        <v>0.0</v>
      </c>
      <c r="I783" s="423"/>
      <c r="J783" s="423"/>
      <c r="K783" s="423"/>
      <c r="L783" s="423"/>
      <c r="M783" s="423"/>
      <c r="N783" s="423"/>
      <c r="O783" s="423"/>
      <c r="P783" s="423"/>
      <c r="Q783" s="423"/>
      <c r="R783" s="423"/>
      <c r="S783" s="423"/>
      <c r="T783" s="423"/>
      <c r="U783" s="423"/>
      <c r="V783" s="423"/>
      <c r="W783" s="423"/>
      <c r="X783" s="423"/>
      <c r="Y783" s="423"/>
      <c r="Z783" s="423"/>
    </row>
    <row r="784">
      <c r="A784" s="564">
        <v>782.0</v>
      </c>
      <c r="B784" s="565" t="s">
        <v>5868</v>
      </c>
      <c r="C784" s="565" t="s">
        <v>5869</v>
      </c>
      <c r="D784" s="564">
        <v>0.0</v>
      </c>
      <c r="E784" s="564">
        <v>0.0</v>
      </c>
      <c r="F784" s="564">
        <v>0.0</v>
      </c>
      <c r="G784" s="564">
        <v>8.0</v>
      </c>
      <c r="H784" s="564">
        <v>0.0</v>
      </c>
      <c r="I784" s="423"/>
      <c r="J784" s="423"/>
      <c r="K784" s="423"/>
      <c r="L784" s="423"/>
      <c r="M784" s="423"/>
      <c r="N784" s="423"/>
      <c r="O784" s="423"/>
      <c r="P784" s="423"/>
      <c r="Q784" s="423"/>
      <c r="R784" s="423"/>
      <c r="S784" s="423"/>
      <c r="T784" s="423"/>
      <c r="U784" s="423"/>
      <c r="V784" s="423"/>
      <c r="W784" s="423"/>
      <c r="X784" s="423"/>
      <c r="Y784" s="423"/>
      <c r="Z784" s="423"/>
    </row>
    <row r="785">
      <c r="A785" s="562">
        <v>783.0</v>
      </c>
      <c r="B785" s="563" t="s">
        <v>5870</v>
      </c>
      <c r="C785" s="563" t="s">
        <v>5869</v>
      </c>
      <c r="D785" s="562">
        <v>0.0</v>
      </c>
      <c r="E785" s="562">
        <v>0.0</v>
      </c>
      <c r="F785" s="562">
        <v>0.0</v>
      </c>
      <c r="G785" s="562">
        <v>8.0</v>
      </c>
      <c r="H785" s="562">
        <v>0.0</v>
      </c>
      <c r="I785" s="423"/>
      <c r="J785" s="423"/>
      <c r="K785" s="423"/>
      <c r="L785" s="423"/>
      <c r="M785" s="423"/>
      <c r="N785" s="423"/>
      <c r="O785" s="423"/>
      <c r="P785" s="423"/>
      <c r="Q785" s="423"/>
      <c r="R785" s="423"/>
      <c r="S785" s="423"/>
      <c r="T785" s="423"/>
      <c r="U785" s="423"/>
      <c r="V785" s="423"/>
      <c r="W785" s="423"/>
      <c r="X785" s="423"/>
      <c r="Y785" s="423"/>
      <c r="Z785" s="423"/>
    </row>
    <row r="786">
      <c r="A786" s="564">
        <v>784.0</v>
      </c>
      <c r="B786" s="565" t="s">
        <v>5871</v>
      </c>
      <c r="C786" s="565" t="s">
        <v>5869</v>
      </c>
      <c r="D786" s="564">
        <v>2.0</v>
      </c>
      <c r="E786" s="564">
        <v>0.0</v>
      </c>
      <c r="F786" s="564">
        <v>0.0</v>
      </c>
      <c r="G786" s="564">
        <v>6.0</v>
      </c>
      <c r="H786" s="564">
        <v>0.0</v>
      </c>
      <c r="I786" s="423"/>
      <c r="J786" s="423"/>
      <c r="K786" s="423"/>
      <c r="L786" s="423"/>
      <c r="M786" s="423"/>
      <c r="N786" s="423"/>
      <c r="O786" s="423"/>
      <c r="P786" s="423"/>
      <c r="Q786" s="423"/>
      <c r="R786" s="423"/>
      <c r="S786" s="423"/>
      <c r="T786" s="423"/>
      <c r="U786" s="423"/>
      <c r="V786" s="423"/>
      <c r="W786" s="423"/>
      <c r="X786" s="423"/>
      <c r="Y786" s="423"/>
      <c r="Z786" s="423"/>
    </row>
    <row r="787">
      <c r="A787" s="562">
        <v>785.0</v>
      </c>
      <c r="B787" s="563" t="s">
        <v>5872</v>
      </c>
      <c r="C787" s="563" t="s">
        <v>5869</v>
      </c>
      <c r="D787" s="562">
        <v>0.0</v>
      </c>
      <c r="E787" s="562">
        <v>0.0</v>
      </c>
      <c r="F787" s="562">
        <v>0.0</v>
      </c>
      <c r="G787" s="562">
        <v>8.0</v>
      </c>
      <c r="H787" s="562">
        <v>0.0</v>
      </c>
      <c r="I787" s="423"/>
      <c r="J787" s="423"/>
      <c r="K787" s="423"/>
      <c r="L787" s="423"/>
      <c r="M787" s="423"/>
      <c r="N787" s="423"/>
      <c r="O787" s="423"/>
      <c r="P787" s="423"/>
      <c r="Q787" s="423"/>
      <c r="R787" s="423"/>
      <c r="S787" s="423"/>
      <c r="T787" s="423"/>
      <c r="U787" s="423"/>
      <c r="V787" s="423"/>
      <c r="W787" s="423"/>
      <c r="X787" s="423"/>
      <c r="Y787" s="423"/>
      <c r="Z787" s="423"/>
    </row>
    <row r="788">
      <c r="A788" s="564">
        <v>786.0</v>
      </c>
      <c r="B788" s="565" t="s">
        <v>5873</v>
      </c>
      <c r="C788" s="565" t="s">
        <v>5869</v>
      </c>
      <c r="D788" s="564">
        <v>0.0</v>
      </c>
      <c r="E788" s="564">
        <v>0.0</v>
      </c>
      <c r="F788" s="564">
        <v>0.0</v>
      </c>
      <c r="G788" s="564">
        <v>8.0</v>
      </c>
      <c r="H788" s="564">
        <v>0.0</v>
      </c>
      <c r="I788" s="423"/>
      <c r="J788" s="423"/>
      <c r="K788" s="423"/>
      <c r="L788" s="423"/>
      <c r="M788" s="423"/>
      <c r="N788" s="423"/>
      <c r="O788" s="423"/>
      <c r="P788" s="423"/>
      <c r="Q788" s="423"/>
      <c r="R788" s="423"/>
      <c r="S788" s="423"/>
      <c r="T788" s="423"/>
      <c r="U788" s="423"/>
      <c r="V788" s="423"/>
      <c r="W788" s="423"/>
      <c r="X788" s="423"/>
      <c r="Y788" s="423"/>
      <c r="Z788" s="423"/>
    </row>
    <row r="789">
      <c r="A789" s="562">
        <v>787.0</v>
      </c>
      <c r="B789" s="563" t="s">
        <v>5874</v>
      </c>
      <c r="C789" s="563" t="s">
        <v>5869</v>
      </c>
      <c r="D789" s="562">
        <v>0.0</v>
      </c>
      <c r="E789" s="562">
        <v>0.0</v>
      </c>
      <c r="F789" s="562">
        <v>0.0</v>
      </c>
      <c r="G789" s="562">
        <v>8.0</v>
      </c>
      <c r="H789" s="562">
        <v>0.0</v>
      </c>
      <c r="I789" s="423"/>
      <c r="J789" s="423"/>
      <c r="K789" s="423"/>
      <c r="L789" s="423"/>
      <c r="M789" s="423"/>
      <c r="N789" s="423"/>
      <c r="O789" s="423"/>
      <c r="P789" s="423"/>
      <c r="Q789" s="423"/>
      <c r="R789" s="423"/>
      <c r="S789" s="423"/>
      <c r="T789" s="423"/>
      <c r="U789" s="423"/>
      <c r="V789" s="423"/>
      <c r="W789" s="423"/>
      <c r="X789" s="423"/>
      <c r="Y789" s="423"/>
      <c r="Z789" s="423"/>
    </row>
    <row r="790">
      <c r="A790" s="564">
        <v>788.0</v>
      </c>
      <c r="B790" s="565" t="s">
        <v>5875</v>
      </c>
      <c r="C790" s="565" t="s">
        <v>5869</v>
      </c>
      <c r="D790" s="564">
        <v>0.0</v>
      </c>
      <c r="E790" s="564">
        <v>0.0</v>
      </c>
      <c r="F790" s="564">
        <v>0.0</v>
      </c>
      <c r="G790" s="564">
        <v>8.0</v>
      </c>
      <c r="H790" s="564">
        <v>0.0</v>
      </c>
      <c r="I790" s="423"/>
      <c r="J790" s="423"/>
      <c r="K790" s="423"/>
      <c r="L790" s="423"/>
      <c r="M790" s="423"/>
      <c r="N790" s="423"/>
      <c r="O790" s="423"/>
      <c r="P790" s="423"/>
      <c r="Q790" s="423"/>
      <c r="R790" s="423"/>
      <c r="S790" s="423"/>
      <c r="T790" s="423"/>
      <c r="U790" s="423"/>
      <c r="V790" s="423"/>
      <c r="W790" s="423"/>
      <c r="X790" s="423"/>
      <c r="Y790" s="423"/>
      <c r="Z790" s="423"/>
    </row>
    <row r="791">
      <c r="A791" s="562">
        <v>789.0</v>
      </c>
      <c r="B791" s="563" t="s">
        <v>5876</v>
      </c>
      <c r="C791" s="563" t="s">
        <v>5869</v>
      </c>
      <c r="D791" s="562">
        <v>0.0</v>
      </c>
      <c r="E791" s="562">
        <v>0.0</v>
      </c>
      <c r="F791" s="562">
        <v>0.0</v>
      </c>
      <c r="G791" s="562">
        <v>8.0</v>
      </c>
      <c r="H791" s="562">
        <v>0.0</v>
      </c>
      <c r="I791" s="423"/>
      <c r="J791" s="423"/>
      <c r="K791" s="423"/>
      <c r="L791" s="423"/>
      <c r="M791" s="423"/>
      <c r="N791" s="423"/>
      <c r="O791" s="423"/>
      <c r="P791" s="423"/>
      <c r="Q791" s="423"/>
      <c r="R791" s="423"/>
      <c r="S791" s="423"/>
      <c r="T791" s="423"/>
      <c r="U791" s="423"/>
      <c r="V791" s="423"/>
      <c r="W791" s="423"/>
      <c r="X791" s="423"/>
      <c r="Y791" s="423"/>
      <c r="Z791" s="423"/>
    </row>
    <row r="792">
      <c r="A792" s="564">
        <v>790.0</v>
      </c>
      <c r="B792" s="565" t="s">
        <v>5877</v>
      </c>
      <c r="C792" s="565" t="s">
        <v>5869</v>
      </c>
      <c r="D792" s="564">
        <v>2.0</v>
      </c>
      <c r="E792" s="564">
        <v>0.0</v>
      </c>
      <c r="F792" s="564">
        <v>0.0</v>
      </c>
      <c r="G792" s="564">
        <v>6.0</v>
      </c>
      <c r="H792" s="564">
        <v>0.0</v>
      </c>
      <c r="I792" s="423"/>
      <c r="J792" s="423"/>
      <c r="K792" s="423"/>
      <c r="L792" s="423"/>
      <c r="M792" s="423"/>
      <c r="N792" s="423"/>
      <c r="O792" s="423"/>
      <c r="P792" s="423"/>
      <c r="Q792" s="423"/>
      <c r="R792" s="423"/>
      <c r="S792" s="423"/>
      <c r="T792" s="423"/>
      <c r="U792" s="423"/>
      <c r="V792" s="423"/>
      <c r="W792" s="423"/>
      <c r="X792" s="423"/>
      <c r="Y792" s="423"/>
      <c r="Z792" s="423"/>
    </row>
    <row r="793">
      <c r="A793" s="562">
        <v>791.0</v>
      </c>
      <c r="B793" s="563" t="s">
        <v>5878</v>
      </c>
      <c r="C793" s="563" t="s">
        <v>5869</v>
      </c>
      <c r="D793" s="562">
        <v>0.0</v>
      </c>
      <c r="E793" s="562">
        <v>0.0</v>
      </c>
      <c r="F793" s="562">
        <v>0.0</v>
      </c>
      <c r="G793" s="562">
        <v>8.0</v>
      </c>
      <c r="H793" s="562">
        <v>0.0</v>
      </c>
      <c r="I793" s="423"/>
      <c r="J793" s="423"/>
      <c r="K793" s="423"/>
      <c r="L793" s="423"/>
      <c r="M793" s="423"/>
      <c r="N793" s="423"/>
      <c r="O793" s="423"/>
      <c r="P793" s="423"/>
      <c r="Q793" s="423"/>
      <c r="R793" s="423"/>
      <c r="S793" s="423"/>
      <c r="T793" s="423"/>
      <c r="U793" s="423"/>
      <c r="V793" s="423"/>
      <c r="W793" s="423"/>
      <c r="X793" s="423"/>
      <c r="Y793" s="423"/>
      <c r="Z793" s="423"/>
    </row>
    <row r="794">
      <c r="A794" s="564">
        <v>792.0</v>
      </c>
      <c r="B794" s="565" t="s">
        <v>5879</v>
      </c>
      <c r="C794" s="565" t="s">
        <v>5869</v>
      </c>
      <c r="D794" s="564">
        <v>3.0</v>
      </c>
      <c r="E794" s="564">
        <v>0.0</v>
      </c>
      <c r="F794" s="564">
        <v>0.0</v>
      </c>
      <c r="G794" s="564">
        <v>5.0</v>
      </c>
      <c r="H794" s="564">
        <v>0.0</v>
      </c>
      <c r="I794" s="423"/>
      <c r="J794" s="423"/>
      <c r="K794" s="423"/>
      <c r="L794" s="423"/>
      <c r="M794" s="423"/>
      <c r="N794" s="423"/>
      <c r="O794" s="423"/>
      <c r="P794" s="423"/>
      <c r="Q794" s="423"/>
      <c r="R794" s="423"/>
      <c r="S794" s="423"/>
      <c r="T794" s="423"/>
      <c r="U794" s="423"/>
      <c r="V794" s="423"/>
      <c r="W794" s="423"/>
      <c r="X794" s="423"/>
      <c r="Y794" s="423"/>
      <c r="Z794" s="423"/>
    </row>
    <row r="795">
      <c r="A795" s="562">
        <v>793.0</v>
      </c>
      <c r="B795" s="563" t="s">
        <v>5880</v>
      </c>
      <c r="C795" s="563" t="s">
        <v>5869</v>
      </c>
      <c r="D795" s="562">
        <v>0.0</v>
      </c>
      <c r="E795" s="562">
        <v>0.0</v>
      </c>
      <c r="F795" s="562">
        <v>0.0</v>
      </c>
      <c r="G795" s="562">
        <v>8.0</v>
      </c>
      <c r="H795" s="562">
        <v>0.0</v>
      </c>
      <c r="I795" s="423"/>
      <c r="J795" s="423"/>
      <c r="K795" s="423"/>
      <c r="L795" s="423"/>
      <c r="M795" s="423"/>
      <c r="N795" s="423"/>
      <c r="O795" s="423"/>
      <c r="P795" s="423"/>
      <c r="Q795" s="423"/>
      <c r="R795" s="423"/>
      <c r="S795" s="423"/>
      <c r="T795" s="423"/>
      <c r="U795" s="423"/>
      <c r="V795" s="423"/>
      <c r="W795" s="423"/>
      <c r="X795" s="423"/>
      <c r="Y795" s="423"/>
      <c r="Z795" s="423"/>
    </row>
    <row r="796">
      <c r="A796" s="564">
        <v>794.0</v>
      </c>
      <c r="B796" s="565" t="s">
        <v>5881</v>
      </c>
      <c r="C796" s="565" t="s">
        <v>5869</v>
      </c>
      <c r="D796" s="564">
        <v>0.0</v>
      </c>
      <c r="E796" s="564">
        <v>0.0</v>
      </c>
      <c r="F796" s="564">
        <v>0.0</v>
      </c>
      <c r="G796" s="564">
        <v>8.0</v>
      </c>
      <c r="H796" s="564">
        <v>0.0</v>
      </c>
      <c r="I796" s="423"/>
      <c r="J796" s="423"/>
      <c r="K796" s="423"/>
      <c r="L796" s="423"/>
      <c r="M796" s="423"/>
      <c r="N796" s="423"/>
      <c r="O796" s="423"/>
      <c r="P796" s="423"/>
      <c r="Q796" s="423"/>
      <c r="R796" s="423"/>
      <c r="S796" s="423"/>
      <c r="T796" s="423"/>
      <c r="U796" s="423"/>
      <c r="V796" s="423"/>
      <c r="W796" s="423"/>
      <c r="X796" s="423"/>
      <c r="Y796" s="423"/>
      <c r="Z796" s="423"/>
    </row>
    <row r="797">
      <c r="A797" s="562">
        <v>795.0</v>
      </c>
      <c r="B797" s="563" t="s">
        <v>5882</v>
      </c>
      <c r="C797" s="563" t="s">
        <v>5869</v>
      </c>
      <c r="D797" s="562">
        <v>0.0</v>
      </c>
      <c r="E797" s="562">
        <v>0.0</v>
      </c>
      <c r="F797" s="562">
        <v>0.0</v>
      </c>
      <c r="G797" s="562">
        <v>8.0</v>
      </c>
      <c r="H797" s="562">
        <v>0.0</v>
      </c>
      <c r="I797" s="423"/>
      <c r="J797" s="423"/>
      <c r="K797" s="423"/>
      <c r="L797" s="423"/>
      <c r="M797" s="423"/>
      <c r="N797" s="423"/>
      <c r="O797" s="423"/>
      <c r="P797" s="423"/>
      <c r="Q797" s="423"/>
      <c r="R797" s="423"/>
      <c r="S797" s="423"/>
      <c r="T797" s="423"/>
      <c r="U797" s="423"/>
      <c r="V797" s="423"/>
      <c r="W797" s="423"/>
      <c r="X797" s="423"/>
      <c r="Y797" s="423"/>
      <c r="Z797" s="423"/>
    </row>
    <row r="798">
      <c r="A798" s="564">
        <v>796.0</v>
      </c>
      <c r="B798" s="565" t="s">
        <v>5883</v>
      </c>
      <c r="C798" s="565" t="s">
        <v>5869</v>
      </c>
      <c r="D798" s="564">
        <v>0.0</v>
      </c>
      <c r="E798" s="564">
        <v>0.0</v>
      </c>
      <c r="F798" s="564">
        <v>0.0</v>
      </c>
      <c r="G798" s="564">
        <v>8.0</v>
      </c>
      <c r="H798" s="564">
        <v>0.0</v>
      </c>
      <c r="I798" s="423"/>
      <c r="J798" s="423"/>
      <c r="K798" s="423"/>
      <c r="L798" s="423"/>
      <c r="M798" s="423"/>
      <c r="N798" s="423"/>
      <c r="O798" s="423"/>
      <c r="P798" s="423"/>
      <c r="Q798" s="423"/>
      <c r="R798" s="423"/>
      <c r="S798" s="423"/>
      <c r="T798" s="423"/>
      <c r="U798" s="423"/>
      <c r="V798" s="423"/>
      <c r="W798" s="423"/>
      <c r="X798" s="423"/>
      <c r="Y798" s="423"/>
      <c r="Z798" s="423"/>
    </row>
    <row r="799">
      <c r="A799" s="562">
        <v>797.0</v>
      </c>
      <c r="B799" s="563" t="s">
        <v>5884</v>
      </c>
      <c r="C799" s="563" t="s">
        <v>5869</v>
      </c>
      <c r="D799" s="562">
        <v>0.0</v>
      </c>
      <c r="E799" s="562">
        <v>0.0</v>
      </c>
      <c r="F799" s="562">
        <v>0.0</v>
      </c>
      <c r="G799" s="562">
        <v>8.0</v>
      </c>
      <c r="H799" s="562">
        <v>0.0</v>
      </c>
      <c r="I799" s="423"/>
      <c r="J799" s="423"/>
      <c r="K799" s="423"/>
      <c r="L799" s="423"/>
      <c r="M799" s="423"/>
      <c r="N799" s="423"/>
      <c r="O799" s="423"/>
      <c r="P799" s="423"/>
      <c r="Q799" s="423"/>
      <c r="R799" s="423"/>
      <c r="S799" s="423"/>
      <c r="T799" s="423"/>
      <c r="U799" s="423"/>
      <c r="V799" s="423"/>
      <c r="W799" s="423"/>
      <c r="X799" s="423"/>
      <c r="Y799" s="423"/>
      <c r="Z799" s="423"/>
    </row>
    <row r="800">
      <c r="A800" s="564">
        <v>798.0</v>
      </c>
      <c r="B800" s="565" t="s">
        <v>5885</v>
      </c>
      <c r="C800" s="565" t="s">
        <v>5869</v>
      </c>
      <c r="D800" s="564">
        <v>2.0</v>
      </c>
      <c r="E800" s="564">
        <v>0.0</v>
      </c>
      <c r="F800" s="564">
        <v>0.0</v>
      </c>
      <c r="G800" s="564">
        <v>6.0</v>
      </c>
      <c r="H800" s="564">
        <v>0.0</v>
      </c>
      <c r="I800" s="423"/>
      <c r="J800" s="423"/>
      <c r="K800" s="423"/>
      <c r="L800" s="423"/>
      <c r="M800" s="423"/>
      <c r="N800" s="423"/>
      <c r="O800" s="423"/>
      <c r="P800" s="423"/>
      <c r="Q800" s="423"/>
      <c r="R800" s="423"/>
      <c r="S800" s="423"/>
      <c r="T800" s="423"/>
      <c r="U800" s="423"/>
      <c r="V800" s="423"/>
      <c r="W800" s="423"/>
      <c r="X800" s="423"/>
      <c r="Y800" s="423"/>
      <c r="Z800" s="423"/>
    </row>
    <row r="801">
      <c r="A801" s="562">
        <v>799.0</v>
      </c>
      <c r="B801" s="563" t="s">
        <v>5886</v>
      </c>
      <c r="C801" s="563" t="s">
        <v>5869</v>
      </c>
      <c r="D801" s="562">
        <v>2.0</v>
      </c>
      <c r="E801" s="562">
        <v>0.0</v>
      </c>
      <c r="F801" s="562">
        <v>0.0</v>
      </c>
      <c r="G801" s="562">
        <v>6.0</v>
      </c>
      <c r="H801" s="562">
        <v>0.0</v>
      </c>
      <c r="I801" s="423"/>
      <c r="J801" s="423"/>
      <c r="K801" s="423"/>
      <c r="L801" s="423"/>
      <c r="M801" s="423"/>
      <c r="N801" s="423"/>
      <c r="O801" s="423"/>
      <c r="P801" s="423"/>
      <c r="Q801" s="423"/>
      <c r="R801" s="423"/>
      <c r="S801" s="423"/>
      <c r="T801" s="423"/>
      <c r="U801" s="423"/>
      <c r="V801" s="423"/>
      <c r="W801" s="423"/>
      <c r="X801" s="423"/>
      <c r="Y801" s="423"/>
      <c r="Z801" s="423"/>
    </row>
    <row r="802">
      <c r="A802" s="564">
        <v>800.0</v>
      </c>
      <c r="B802" s="565" t="s">
        <v>5887</v>
      </c>
      <c r="C802" s="565" t="s">
        <v>5869</v>
      </c>
      <c r="D802" s="564">
        <v>0.0</v>
      </c>
      <c r="E802" s="564">
        <v>0.0</v>
      </c>
      <c r="F802" s="564">
        <v>0.0</v>
      </c>
      <c r="G802" s="564">
        <v>8.0</v>
      </c>
      <c r="H802" s="564">
        <v>0.0</v>
      </c>
      <c r="I802" s="423"/>
      <c r="J802" s="423"/>
      <c r="K802" s="423"/>
      <c r="L802" s="423"/>
      <c r="M802" s="423"/>
      <c r="N802" s="423"/>
      <c r="O802" s="423"/>
      <c r="P802" s="423"/>
      <c r="Q802" s="423"/>
      <c r="R802" s="423"/>
      <c r="S802" s="423"/>
      <c r="T802" s="423"/>
      <c r="U802" s="423"/>
      <c r="V802" s="423"/>
      <c r="W802" s="423"/>
      <c r="X802" s="423"/>
      <c r="Y802" s="423"/>
      <c r="Z802" s="423"/>
    </row>
    <row r="803">
      <c r="A803" s="562">
        <v>801.0</v>
      </c>
      <c r="B803" s="563" t="s">
        <v>5888</v>
      </c>
      <c r="C803" s="563" t="s">
        <v>5869</v>
      </c>
      <c r="D803" s="562">
        <v>0.0</v>
      </c>
      <c r="E803" s="562">
        <v>0.0</v>
      </c>
      <c r="F803" s="562">
        <v>0.0</v>
      </c>
      <c r="G803" s="562">
        <v>8.0</v>
      </c>
      <c r="H803" s="562">
        <v>0.0</v>
      </c>
      <c r="I803" s="423"/>
      <c r="J803" s="423"/>
      <c r="K803" s="423"/>
      <c r="L803" s="423"/>
      <c r="M803" s="423"/>
      <c r="N803" s="423"/>
      <c r="O803" s="423"/>
      <c r="P803" s="423"/>
      <c r="Q803" s="423"/>
      <c r="R803" s="423"/>
      <c r="S803" s="423"/>
      <c r="T803" s="423"/>
      <c r="U803" s="423"/>
      <c r="V803" s="423"/>
      <c r="W803" s="423"/>
      <c r="X803" s="423"/>
      <c r="Y803" s="423"/>
      <c r="Z803" s="423"/>
    </row>
    <row r="804">
      <c r="A804" s="564">
        <v>802.0</v>
      </c>
      <c r="B804" s="565" t="s">
        <v>5889</v>
      </c>
      <c r="C804" s="565" t="s">
        <v>5869</v>
      </c>
      <c r="D804" s="564">
        <v>2.0</v>
      </c>
      <c r="E804" s="564">
        <v>0.0</v>
      </c>
      <c r="F804" s="564">
        <v>1.0</v>
      </c>
      <c r="G804" s="564">
        <v>4.0</v>
      </c>
      <c r="H804" s="564">
        <v>1.0</v>
      </c>
      <c r="I804" s="423"/>
      <c r="J804" s="423"/>
      <c r="K804" s="423"/>
      <c r="L804" s="423"/>
      <c r="M804" s="423"/>
      <c r="N804" s="423"/>
      <c r="O804" s="423"/>
      <c r="P804" s="423"/>
      <c r="Q804" s="423"/>
      <c r="R804" s="423"/>
      <c r="S804" s="423"/>
      <c r="T804" s="423"/>
      <c r="U804" s="423"/>
      <c r="V804" s="423"/>
      <c r="W804" s="423"/>
      <c r="X804" s="423"/>
      <c r="Y804" s="423"/>
      <c r="Z804" s="423"/>
    </row>
    <row r="805">
      <c r="A805" s="562">
        <v>803.0</v>
      </c>
      <c r="B805" s="563" t="s">
        <v>5890</v>
      </c>
      <c r="C805" s="563" t="s">
        <v>5869</v>
      </c>
      <c r="D805" s="562">
        <v>0.0</v>
      </c>
      <c r="E805" s="562">
        <v>0.0</v>
      </c>
      <c r="F805" s="562">
        <v>0.0</v>
      </c>
      <c r="G805" s="562">
        <v>8.0</v>
      </c>
      <c r="H805" s="562">
        <v>0.0</v>
      </c>
      <c r="I805" s="423"/>
      <c r="J805" s="423"/>
      <c r="K805" s="423"/>
      <c r="L805" s="423"/>
      <c r="M805" s="423"/>
      <c r="N805" s="423"/>
      <c r="O805" s="423"/>
      <c r="P805" s="423"/>
      <c r="Q805" s="423"/>
      <c r="R805" s="423"/>
      <c r="S805" s="423"/>
      <c r="T805" s="423"/>
      <c r="U805" s="423"/>
      <c r="V805" s="423"/>
      <c r="W805" s="423"/>
      <c r="X805" s="423"/>
      <c r="Y805" s="423"/>
      <c r="Z805" s="423"/>
    </row>
    <row r="806">
      <c r="A806" s="564">
        <v>804.0</v>
      </c>
      <c r="B806" s="565" t="s">
        <v>5891</v>
      </c>
      <c r="C806" s="565" t="s">
        <v>5869</v>
      </c>
      <c r="D806" s="564">
        <v>0.0</v>
      </c>
      <c r="E806" s="564">
        <v>0.0</v>
      </c>
      <c r="F806" s="564">
        <v>0.0</v>
      </c>
      <c r="G806" s="564">
        <v>8.0</v>
      </c>
      <c r="H806" s="564">
        <v>0.0</v>
      </c>
      <c r="I806" s="423"/>
      <c r="J806" s="423"/>
      <c r="K806" s="423"/>
      <c r="L806" s="423"/>
      <c r="M806" s="423"/>
      <c r="N806" s="423"/>
      <c r="O806" s="423"/>
      <c r="P806" s="423"/>
      <c r="Q806" s="423"/>
      <c r="R806" s="423"/>
      <c r="S806" s="423"/>
      <c r="T806" s="423"/>
      <c r="U806" s="423"/>
      <c r="V806" s="423"/>
      <c r="W806" s="423"/>
      <c r="X806" s="423"/>
      <c r="Y806" s="423"/>
      <c r="Z806" s="423"/>
    </row>
    <row r="807">
      <c r="A807" s="562">
        <v>805.0</v>
      </c>
      <c r="B807" s="563" t="s">
        <v>5892</v>
      </c>
      <c r="C807" s="563" t="s">
        <v>5869</v>
      </c>
      <c r="D807" s="562">
        <v>0.0</v>
      </c>
      <c r="E807" s="562">
        <v>0.0</v>
      </c>
      <c r="F807" s="562">
        <v>0.0</v>
      </c>
      <c r="G807" s="562">
        <v>8.0</v>
      </c>
      <c r="H807" s="562">
        <v>0.0</v>
      </c>
      <c r="I807" s="423"/>
      <c r="J807" s="423"/>
      <c r="K807" s="423"/>
      <c r="L807" s="423"/>
      <c r="M807" s="423"/>
      <c r="N807" s="423"/>
      <c r="O807" s="423"/>
      <c r="P807" s="423"/>
      <c r="Q807" s="423"/>
      <c r="R807" s="423"/>
      <c r="S807" s="423"/>
      <c r="T807" s="423"/>
      <c r="U807" s="423"/>
      <c r="V807" s="423"/>
      <c r="W807" s="423"/>
      <c r="X807" s="423"/>
      <c r="Y807" s="423"/>
      <c r="Z807" s="423"/>
    </row>
    <row r="808">
      <c r="A808" s="564">
        <v>806.0</v>
      </c>
      <c r="B808" s="565" t="s">
        <v>5893</v>
      </c>
      <c r="C808" s="565" t="s">
        <v>5869</v>
      </c>
      <c r="D808" s="564">
        <v>0.0</v>
      </c>
      <c r="E808" s="564">
        <v>0.0</v>
      </c>
      <c r="F808" s="564">
        <v>0.0</v>
      </c>
      <c r="G808" s="564">
        <v>8.0</v>
      </c>
      <c r="H808" s="564">
        <v>0.0</v>
      </c>
      <c r="I808" s="423"/>
      <c r="J808" s="423"/>
      <c r="K808" s="423"/>
      <c r="L808" s="423"/>
      <c r="M808" s="423"/>
      <c r="N808" s="423"/>
      <c r="O808" s="423"/>
      <c r="P808" s="423"/>
      <c r="Q808" s="423"/>
      <c r="R808" s="423"/>
      <c r="S808" s="423"/>
      <c r="T808" s="423"/>
      <c r="U808" s="423"/>
      <c r="V808" s="423"/>
      <c r="W808" s="423"/>
      <c r="X808" s="423"/>
      <c r="Y808" s="423"/>
      <c r="Z808" s="423"/>
    </row>
    <row r="809">
      <c r="A809" s="562">
        <v>807.0</v>
      </c>
      <c r="B809" s="563" t="s">
        <v>5894</v>
      </c>
      <c r="C809" s="563" t="s">
        <v>5869</v>
      </c>
      <c r="D809" s="562">
        <v>0.0</v>
      </c>
      <c r="E809" s="562">
        <v>0.0</v>
      </c>
      <c r="F809" s="562">
        <v>0.0</v>
      </c>
      <c r="G809" s="562">
        <v>8.0</v>
      </c>
      <c r="H809" s="562">
        <v>0.0</v>
      </c>
      <c r="I809" s="423"/>
      <c r="J809" s="423"/>
      <c r="K809" s="423"/>
      <c r="L809" s="423"/>
      <c r="M809" s="423"/>
      <c r="N809" s="423"/>
      <c r="O809" s="423"/>
      <c r="P809" s="423"/>
      <c r="Q809" s="423"/>
      <c r="R809" s="423"/>
      <c r="S809" s="423"/>
      <c r="T809" s="423"/>
      <c r="U809" s="423"/>
      <c r="V809" s="423"/>
      <c r="W809" s="423"/>
      <c r="X809" s="423"/>
      <c r="Y809" s="423"/>
      <c r="Z809" s="423"/>
    </row>
    <row r="810">
      <c r="A810" s="564">
        <v>808.0</v>
      </c>
      <c r="B810" s="565" t="s">
        <v>5895</v>
      </c>
      <c r="C810" s="565" t="s">
        <v>5869</v>
      </c>
      <c r="D810" s="564">
        <v>0.0</v>
      </c>
      <c r="E810" s="564">
        <v>0.0</v>
      </c>
      <c r="F810" s="564">
        <v>0.0</v>
      </c>
      <c r="G810" s="564">
        <v>8.0</v>
      </c>
      <c r="H810" s="564">
        <v>0.0</v>
      </c>
      <c r="I810" s="423"/>
      <c r="J810" s="423"/>
      <c r="K810" s="423"/>
      <c r="L810" s="423"/>
      <c r="M810" s="423"/>
      <c r="N810" s="423"/>
      <c r="O810" s="423"/>
      <c r="P810" s="423"/>
      <c r="Q810" s="423"/>
      <c r="R810" s="423"/>
      <c r="S810" s="423"/>
      <c r="T810" s="423"/>
      <c r="U810" s="423"/>
      <c r="V810" s="423"/>
      <c r="W810" s="423"/>
      <c r="X810" s="423"/>
      <c r="Y810" s="423"/>
      <c r="Z810" s="423"/>
    </row>
    <row r="811">
      <c r="A811" s="562">
        <v>809.0</v>
      </c>
      <c r="B811" s="563" t="s">
        <v>5896</v>
      </c>
      <c r="C811" s="563" t="s">
        <v>5869</v>
      </c>
      <c r="D811" s="562">
        <v>3.0</v>
      </c>
      <c r="E811" s="562">
        <v>0.0</v>
      </c>
      <c r="F811" s="562">
        <v>0.0</v>
      </c>
      <c r="G811" s="562">
        <v>5.0</v>
      </c>
      <c r="H811" s="562">
        <v>0.0</v>
      </c>
      <c r="I811" s="423"/>
      <c r="J811" s="423"/>
      <c r="K811" s="423"/>
      <c r="L811" s="423"/>
      <c r="M811" s="423"/>
      <c r="N811" s="423"/>
      <c r="O811" s="423"/>
      <c r="P811" s="423"/>
      <c r="Q811" s="423"/>
      <c r="R811" s="423"/>
      <c r="S811" s="423"/>
      <c r="T811" s="423"/>
      <c r="U811" s="423"/>
      <c r="V811" s="423"/>
      <c r="W811" s="423"/>
      <c r="X811" s="423"/>
      <c r="Y811" s="423"/>
      <c r="Z811" s="423"/>
    </row>
    <row r="812">
      <c r="A812" s="564">
        <v>810.0</v>
      </c>
      <c r="B812" s="565" t="s">
        <v>5897</v>
      </c>
      <c r="C812" s="565" t="s">
        <v>5869</v>
      </c>
      <c r="D812" s="564">
        <v>0.0</v>
      </c>
      <c r="E812" s="564">
        <v>0.0</v>
      </c>
      <c r="F812" s="564">
        <v>0.0</v>
      </c>
      <c r="G812" s="564">
        <v>8.0</v>
      </c>
      <c r="H812" s="564">
        <v>0.0</v>
      </c>
      <c r="I812" s="423"/>
      <c r="J812" s="423"/>
      <c r="K812" s="423"/>
      <c r="L812" s="423"/>
      <c r="M812" s="423"/>
      <c r="N812" s="423"/>
      <c r="O812" s="423"/>
      <c r="P812" s="423"/>
      <c r="Q812" s="423"/>
      <c r="R812" s="423"/>
      <c r="S812" s="423"/>
      <c r="T812" s="423"/>
      <c r="U812" s="423"/>
      <c r="V812" s="423"/>
      <c r="W812" s="423"/>
      <c r="X812" s="423"/>
      <c r="Y812" s="423"/>
      <c r="Z812" s="423"/>
    </row>
    <row r="813">
      <c r="A813" s="562">
        <v>811.0</v>
      </c>
      <c r="B813" s="563" t="s">
        <v>5898</v>
      </c>
      <c r="C813" s="563" t="s">
        <v>5869</v>
      </c>
      <c r="D813" s="562">
        <v>0.0</v>
      </c>
      <c r="E813" s="562">
        <v>0.0</v>
      </c>
      <c r="F813" s="562">
        <v>0.0</v>
      </c>
      <c r="G813" s="562">
        <v>8.0</v>
      </c>
      <c r="H813" s="562">
        <v>0.0</v>
      </c>
      <c r="I813" s="423"/>
      <c r="J813" s="423"/>
      <c r="K813" s="423"/>
      <c r="L813" s="423"/>
      <c r="M813" s="423"/>
      <c r="N813" s="423"/>
      <c r="O813" s="423"/>
      <c r="P813" s="423"/>
      <c r="Q813" s="423"/>
      <c r="R813" s="423"/>
      <c r="S813" s="423"/>
      <c r="T813" s="423"/>
      <c r="U813" s="423"/>
      <c r="V813" s="423"/>
      <c r="W813" s="423"/>
      <c r="X813" s="423"/>
      <c r="Y813" s="423"/>
      <c r="Z813" s="423"/>
    </row>
    <row r="814">
      <c r="A814" s="564">
        <v>812.0</v>
      </c>
      <c r="B814" s="565" t="s">
        <v>5899</v>
      </c>
      <c r="C814" s="565" t="s">
        <v>5869</v>
      </c>
      <c r="D814" s="564">
        <v>0.0</v>
      </c>
      <c r="E814" s="564">
        <v>0.0</v>
      </c>
      <c r="F814" s="564">
        <v>0.0</v>
      </c>
      <c r="G814" s="564">
        <v>8.0</v>
      </c>
      <c r="H814" s="564">
        <v>0.0</v>
      </c>
      <c r="I814" s="423"/>
      <c r="J814" s="423"/>
      <c r="K814" s="423"/>
      <c r="L814" s="423"/>
      <c r="M814" s="423"/>
      <c r="N814" s="423"/>
      <c r="O814" s="423"/>
      <c r="P814" s="423"/>
      <c r="Q814" s="423"/>
      <c r="R814" s="423"/>
      <c r="S814" s="423"/>
      <c r="T814" s="423"/>
      <c r="U814" s="423"/>
      <c r="V814" s="423"/>
      <c r="W814" s="423"/>
      <c r="X814" s="423"/>
      <c r="Y814" s="423"/>
      <c r="Z814" s="423"/>
    </row>
    <row r="815">
      <c r="A815" s="562">
        <v>813.0</v>
      </c>
      <c r="B815" s="563" t="s">
        <v>5900</v>
      </c>
      <c r="C815" s="563" t="s">
        <v>5869</v>
      </c>
      <c r="D815" s="562">
        <v>0.0</v>
      </c>
      <c r="E815" s="562">
        <v>0.0</v>
      </c>
      <c r="F815" s="562">
        <v>0.0</v>
      </c>
      <c r="G815" s="562">
        <v>8.0</v>
      </c>
      <c r="H815" s="562">
        <v>0.0</v>
      </c>
      <c r="I815" s="423"/>
      <c r="J815" s="423"/>
      <c r="K815" s="423"/>
      <c r="L815" s="423"/>
      <c r="M815" s="423"/>
      <c r="N815" s="423"/>
      <c r="O815" s="423"/>
      <c r="P815" s="423"/>
      <c r="Q815" s="423"/>
      <c r="R815" s="423"/>
      <c r="S815" s="423"/>
      <c r="T815" s="423"/>
      <c r="U815" s="423"/>
      <c r="V815" s="423"/>
      <c r="W815" s="423"/>
      <c r="X815" s="423"/>
      <c r="Y815" s="423"/>
      <c r="Z815" s="423"/>
    </row>
    <row r="816">
      <c r="A816" s="564">
        <v>814.0</v>
      </c>
      <c r="B816" s="565" t="s">
        <v>5901</v>
      </c>
      <c r="C816" s="565" t="s">
        <v>5869</v>
      </c>
      <c r="D816" s="564">
        <v>0.0</v>
      </c>
      <c r="E816" s="564">
        <v>0.0</v>
      </c>
      <c r="F816" s="564">
        <v>0.0</v>
      </c>
      <c r="G816" s="564">
        <v>8.0</v>
      </c>
      <c r="H816" s="564">
        <v>0.0</v>
      </c>
      <c r="I816" s="423"/>
      <c r="J816" s="423"/>
      <c r="K816" s="423"/>
      <c r="L816" s="423"/>
      <c r="M816" s="423"/>
      <c r="N816" s="423"/>
      <c r="O816" s="423"/>
      <c r="P816" s="423"/>
      <c r="Q816" s="423"/>
      <c r="R816" s="423"/>
      <c r="S816" s="423"/>
      <c r="T816" s="423"/>
      <c r="U816" s="423"/>
      <c r="V816" s="423"/>
      <c r="W816" s="423"/>
      <c r="X816" s="423"/>
      <c r="Y816" s="423"/>
      <c r="Z816" s="423"/>
    </row>
    <row r="817">
      <c r="A817" s="562">
        <v>815.0</v>
      </c>
      <c r="B817" s="563" t="s">
        <v>5902</v>
      </c>
      <c r="C817" s="563" t="s">
        <v>5869</v>
      </c>
      <c r="D817" s="562">
        <v>1.0</v>
      </c>
      <c r="E817" s="562">
        <v>0.0</v>
      </c>
      <c r="F817" s="562">
        <v>0.0</v>
      </c>
      <c r="G817" s="562">
        <v>7.0</v>
      </c>
      <c r="H817" s="562">
        <v>0.0</v>
      </c>
      <c r="I817" s="423"/>
      <c r="J817" s="423"/>
      <c r="K817" s="423"/>
      <c r="L817" s="423"/>
      <c r="M817" s="423"/>
      <c r="N817" s="423"/>
      <c r="O817" s="423"/>
      <c r="P817" s="423"/>
      <c r="Q817" s="423"/>
      <c r="R817" s="423"/>
      <c r="S817" s="423"/>
      <c r="T817" s="423"/>
      <c r="U817" s="423"/>
      <c r="V817" s="423"/>
      <c r="W817" s="423"/>
      <c r="X817" s="423"/>
      <c r="Y817" s="423"/>
      <c r="Z817" s="423"/>
    </row>
    <row r="818">
      <c r="A818" s="564">
        <v>816.0</v>
      </c>
      <c r="B818" s="565" t="s">
        <v>5903</v>
      </c>
      <c r="C818" s="565" t="s">
        <v>5869</v>
      </c>
      <c r="D818" s="564">
        <v>2.0</v>
      </c>
      <c r="E818" s="564">
        <v>0.0</v>
      </c>
      <c r="F818" s="564">
        <v>0.0</v>
      </c>
      <c r="G818" s="564">
        <v>6.0</v>
      </c>
      <c r="H818" s="564">
        <v>0.0</v>
      </c>
      <c r="I818" s="423"/>
      <c r="J818" s="423"/>
      <c r="K818" s="423"/>
      <c r="L818" s="423"/>
      <c r="M818" s="423"/>
      <c r="N818" s="423"/>
      <c r="O818" s="423"/>
      <c r="P818" s="423"/>
      <c r="Q818" s="423"/>
      <c r="R818" s="423"/>
      <c r="S818" s="423"/>
      <c r="T818" s="423"/>
      <c r="U818" s="423"/>
      <c r="V818" s="423"/>
      <c r="W818" s="423"/>
      <c r="X818" s="423"/>
      <c r="Y818" s="423"/>
      <c r="Z818" s="423"/>
    </row>
    <row r="819">
      <c r="A819" s="562">
        <v>817.0</v>
      </c>
      <c r="B819" s="563" t="s">
        <v>5904</v>
      </c>
      <c r="C819" s="563" t="s">
        <v>5869</v>
      </c>
      <c r="D819" s="562">
        <v>0.0</v>
      </c>
      <c r="E819" s="562">
        <v>0.0</v>
      </c>
      <c r="F819" s="562">
        <v>0.0</v>
      </c>
      <c r="G819" s="562">
        <v>8.0</v>
      </c>
      <c r="H819" s="562">
        <v>0.0</v>
      </c>
      <c r="I819" s="423"/>
      <c r="J819" s="423"/>
      <c r="K819" s="423"/>
      <c r="L819" s="423"/>
      <c r="M819" s="423"/>
      <c r="N819" s="423"/>
      <c r="O819" s="423"/>
      <c r="P819" s="423"/>
      <c r="Q819" s="423"/>
      <c r="R819" s="423"/>
      <c r="S819" s="423"/>
      <c r="T819" s="423"/>
      <c r="U819" s="423"/>
      <c r="V819" s="423"/>
      <c r="W819" s="423"/>
      <c r="X819" s="423"/>
      <c r="Y819" s="423"/>
      <c r="Z819" s="423"/>
    </row>
    <row r="820">
      <c r="A820" s="564">
        <v>818.0</v>
      </c>
      <c r="B820" s="565" t="s">
        <v>5905</v>
      </c>
      <c r="C820" s="565" t="s">
        <v>5487</v>
      </c>
      <c r="D820" s="564">
        <v>0.0</v>
      </c>
      <c r="E820" s="564">
        <v>0.0</v>
      </c>
      <c r="F820" s="564">
        <v>0.0</v>
      </c>
      <c r="G820" s="564">
        <v>8.0</v>
      </c>
      <c r="H820" s="564">
        <v>0.0</v>
      </c>
      <c r="I820" s="423"/>
      <c r="J820" s="423"/>
      <c r="K820" s="423"/>
      <c r="L820" s="423"/>
      <c r="M820" s="423"/>
      <c r="N820" s="423"/>
      <c r="O820" s="423"/>
      <c r="P820" s="423"/>
      <c r="Q820" s="423"/>
      <c r="R820" s="423"/>
      <c r="S820" s="423"/>
      <c r="T820" s="423"/>
      <c r="U820" s="423"/>
      <c r="V820" s="423"/>
      <c r="W820" s="423"/>
      <c r="X820" s="423"/>
      <c r="Y820" s="423"/>
      <c r="Z820" s="423"/>
    </row>
    <row r="821">
      <c r="A821" s="562">
        <v>819.0</v>
      </c>
      <c r="B821" s="563" t="s">
        <v>5906</v>
      </c>
      <c r="C821" s="563" t="s">
        <v>5487</v>
      </c>
      <c r="D821" s="562">
        <v>0.0</v>
      </c>
      <c r="E821" s="562">
        <v>0.0</v>
      </c>
      <c r="F821" s="562">
        <v>0.0</v>
      </c>
      <c r="G821" s="562">
        <v>8.0</v>
      </c>
      <c r="H821" s="562">
        <v>0.0</v>
      </c>
      <c r="I821" s="423"/>
      <c r="J821" s="423"/>
      <c r="K821" s="423"/>
      <c r="L821" s="423"/>
      <c r="M821" s="423"/>
      <c r="N821" s="423"/>
      <c r="O821" s="423"/>
      <c r="P821" s="423"/>
      <c r="Q821" s="423"/>
      <c r="R821" s="423"/>
      <c r="S821" s="423"/>
      <c r="T821" s="423"/>
      <c r="U821" s="423"/>
      <c r="V821" s="423"/>
      <c r="W821" s="423"/>
      <c r="X821" s="423"/>
      <c r="Y821" s="423"/>
      <c r="Z821" s="423"/>
    </row>
    <row r="822">
      <c r="A822" s="564">
        <v>820.0</v>
      </c>
      <c r="B822" s="565" t="s">
        <v>5907</v>
      </c>
      <c r="C822" s="565" t="s">
        <v>5487</v>
      </c>
      <c r="D822" s="564">
        <v>0.0</v>
      </c>
      <c r="E822" s="564">
        <v>0.0</v>
      </c>
      <c r="F822" s="564">
        <v>0.0</v>
      </c>
      <c r="G822" s="564">
        <v>8.0</v>
      </c>
      <c r="H822" s="564">
        <v>0.0</v>
      </c>
      <c r="I822" s="423"/>
      <c r="J822" s="423"/>
      <c r="K822" s="423"/>
      <c r="L822" s="423"/>
      <c r="M822" s="423"/>
      <c r="N822" s="423"/>
      <c r="O822" s="423"/>
      <c r="P822" s="423"/>
      <c r="Q822" s="423"/>
      <c r="R822" s="423"/>
      <c r="S822" s="423"/>
      <c r="T822" s="423"/>
      <c r="U822" s="423"/>
      <c r="V822" s="423"/>
      <c r="W822" s="423"/>
      <c r="X822" s="423"/>
      <c r="Y822" s="423"/>
      <c r="Z822" s="423"/>
    </row>
    <row r="823">
      <c r="A823" s="562">
        <v>821.0</v>
      </c>
      <c r="B823" s="563" t="s">
        <v>5908</v>
      </c>
      <c r="C823" s="563" t="s">
        <v>5487</v>
      </c>
      <c r="D823" s="562">
        <v>0.0</v>
      </c>
      <c r="E823" s="562">
        <v>0.0</v>
      </c>
      <c r="F823" s="562">
        <v>0.0</v>
      </c>
      <c r="G823" s="562">
        <v>8.0</v>
      </c>
      <c r="H823" s="562">
        <v>0.0</v>
      </c>
      <c r="I823" s="423"/>
      <c r="J823" s="423"/>
      <c r="K823" s="423"/>
      <c r="L823" s="423"/>
      <c r="M823" s="423"/>
      <c r="N823" s="423"/>
      <c r="O823" s="423"/>
      <c r="P823" s="423"/>
      <c r="Q823" s="423"/>
      <c r="R823" s="423"/>
      <c r="S823" s="423"/>
      <c r="T823" s="423"/>
      <c r="U823" s="423"/>
      <c r="V823" s="423"/>
      <c r="W823" s="423"/>
      <c r="X823" s="423"/>
      <c r="Y823" s="423"/>
      <c r="Z823" s="423"/>
    </row>
    <row r="824">
      <c r="A824" s="564">
        <v>822.0</v>
      </c>
      <c r="B824" s="565" t="s">
        <v>5909</v>
      </c>
      <c r="C824" s="565" t="s">
        <v>5487</v>
      </c>
      <c r="D824" s="564">
        <v>0.0</v>
      </c>
      <c r="E824" s="564">
        <v>0.0</v>
      </c>
      <c r="F824" s="564">
        <v>0.0</v>
      </c>
      <c r="G824" s="564">
        <v>8.0</v>
      </c>
      <c r="H824" s="564">
        <v>0.0</v>
      </c>
      <c r="I824" s="423"/>
      <c r="J824" s="423"/>
      <c r="K824" s="423"/>
      <c r="L824" s="423"/>
      <c r="M824" s="423"/>
      <c r="N824" s="423"/>
      <c r="O824" s="423"/>
      <c r="P824" s="423"/>
      <c r="Q824" s="423"/>
      <c r="R824" s="423"/>
      <c r="S824" s="423"/>
      <c r="T824" s="423"/>
      <c r="U824" s="423"/>
      <c r="V824" s="423"/>
      <c r="W824" s="423"/>
      <c r="X824" s="423"/>
      <c r="Y824" s="423"/>
      <c r="Z824" s="423"/>
    </row>
    <row r="825">
      <c r="A825" s="562">
        <v>823.0</v>
      </c>
      <c r="B825" s="563" t="s">
        <v>5910</v>
      </c>
      <c r="C825" s="563" t="s">
        <v>5487</v>
      </c>
      <c r="D825" s="562">
        <v>0.0</v>
      </c>
      <c r="E825" s="562">
        <v>0.0</v>
      </c>
      <c r="F825" s="562">
        <v>0.0</v>
      </c>
      <c r="G825" s="562">
        <v>8.0</v>
      </c>
      <c r="H825" s="562">
        <v>0.0</v>
      </c>
      <c r="I825" s="423"/>
      <c r="J825" s="423"/>
      <c r="K825" s="423"/>
      <c r="L825" s="423"/>
      <c r="M825" s="423"/>
      <c r="N825" s="423"/>
      <c r="O825" s="423"/>
      <c r="P825" s="423"/>
      <c r="Q825" s="423"/>
      <c r="R825" s="423"/>
      <c r="S825" s="423"/>
      <c r="T825" s="423"/>
      <c r="U825" s="423"/>
      <c r="V825" s="423"/>
      <c r="W825" s="423"/>
      <c r="X825" s="423"/>
      <c r="Y825" s="423"/>
      <c r="Z825" s="423"/>
    </row>
    <row r="826">
      <c r="A826" s="564">
        <v>824.0</v>
      </c>
      <c r="B826" s="565" t="s">
        <v>5911</v>
      </c>
      <c r="C826" s="565" t="s">
        <v>5487</v>
      </c>
      <c r="D826" s="564">
        <v>3.0</v>
      </c>
      <c r="E826" s="564">
        <v>0.0</v>
      </c>
      <c r="F826" s="564">
        <v>0.0</v>
      </c>
      <c r="G826" s="564">
        <v>5.0</v>
      </c>
      <c r="H826" s="564">
        <v>0.0</v>
      </c>
      <c r="I826" s="423"/>
      <c r="J826" s="423"/>
      <c r="K826" s="423"/>
      <c r="L826" s="423"/>
      <c r="M826" s="423"/>
      <c r="N826" s="423"/>
      <c r="O826" s="423"/>
      <c r="P826" s="423"/>
      <c r="Q826" s="423"/>
      <c r="R826" s="423"/>
      <c r="S826" s="423"/>
      <c r="T826" s="423"/>
      <c r="U826" s="423"/>
      <c r="V826" s="423"/>
      <c r="W826" s="423"/>
      <c r="X826" s="423"/>
      <c r="Y826" s="423"/>
      <c r="Z826" s="423"/>
    </row>
    <row r="827">
      <c r="A827" s="562">
        <v>825.0</v>
      </c>
      <c r="B827" s="563" t="s">
        <v>5912</v>
      </c>
      <c r="C827" s="563" t="s">
        <v>5487</v>
      </c>
      <c r="D827" s="562">
        <v>0.0</v>
      </c>
      <c r="E827" s="562">
        <v>0.0</v>
      </c>
      <c r="F827" s="562">
        <v>0.0</v>
      </c>
      <c r="G827" s="562">
        <v>8.0</v>
      </c>
      <c r="H827" s="562">
        <v>0.0</v>
      </c>
      <c r="I827" s="423"/>
      <c r="J827" s="423"/>
      <c r="K827" s="423"/>
      <c r="L827" s="423"/>
      <c r="M827" s="423"/>
      <c r="N827" s="423"/>
      <c r="O827" s="423"/>
      <c r="P827" s="423"/>
      <c r="Q827" s="423"/>
      <c r="R827" s="423"/>
      <c r="S827" s="423"/>
      <c r="T827" s="423"/>
      <c r="U827" s="423"/>
      <c r="V827" s="423"/>
      <c r="W827" s="423"/>
      <c r="X827" s="423"/>
      <c r="Y827" s="423"/>
      <c r="Z827" s="423"/>
    </row>
    <row r="828">
      <c r="A828" s="564">
        <v>826.0</v>
      </c>
      <c r="B828" s="565" t="s">
        <v>5913</v>
      </c>
      <c r="C828" s="565" t="s">
        <v>5487</v>
      </c>
      <c r="D828" s="564">
        <v>0.0</v>
      </c>
      <c r="E828" s="564">
        <v>0.0</v>
      </c>
      <c r="F828" s="564">
        <v>0.0</v>
      </c>
      <c r="G828" s="564">
        <v>8.0</v>
      </c>
      <c r="H828" s="564">
        <v>0.0</v>
      </c>
      <c r="I828" s="423"/>
      <c r="J828" s="423"/>
      <c r="K828" s="423"/>
      <c r="L828" s="423"/>
      <c r="M828" s="423"/>
      <c r="N828" s="423"/>
      <c r="O828" s="423"/>
      <c r="P828" s="423"/>
      <c r="Q828" s="423"/>
      <c r="R828" s="423"/>
      <c r="S828" s="423"/>
      <c r="T828" s="423"/>
      <c r="U828" s="423"/>
      <c r="V828" s="423"/>
      <c r="W828" s="423"/>
      <c r="X828" s="423"/>
      <c r="Y828" s="423"/>
      <c r="Z828" s="423"/>
    </row>
    <row r="829">
      <c r="A829" s="562">
        <v>827.0</v>
      </c>
      <c r="B829" s="563" t="s">
        <v>5914</v>
      </c>
      <c r="C829" s="563" t="s">
        <v>5487</v>
      </c>
      <c r="D829" s="562">
        <v>2.0</v>
      </c>
      <c r="E829" s="562">
        <v>0.0</v>
      </c>
      <c r="F829" s="562">
        <v>0.0</v>
      </c>
      <c r="G829" s="562">
        <v>6.0</v>
      </c>
      <c r="H829" s="562">
        <v>0.0</v>
      </c>
      <c r="I829" s="423"/>
      <c r="J829" s="423"/>
      <c r="K829" s="423"/>
      <c r="L829" s="423"/>
      <c r="M829" s="423"/>
      <c r="N829" s="423"/>
      <c r="O829" s="423"/>
      <c r="P829" s="423"/>
      <c r="Q829" s="423"/>
      <c r="R829" s="423"/>
      <c r="S829" s="423"/>
      <c r="T829" s="423"/>
      <c r="U829" s="423"/>
      <c r="V829" s="423"/>
      <c r="W829" s="423"/>
      <c r="X829" s="423"/>
      <c r="Y829" s="423"/>
      <c r="Z829" s="423"/>
    </row>
    <row r="830">
      <c r="A830" s="564">
        <v>828.0</v>
      </c>
      <c r="B830" s="565" t="s">
        <v>5915</v>
      </c>
      <c r="C830" s="565" t="s">
        <v>5487</v>
      </c>
      <c r="D830" s="564">
        <v>0.0</v>
      </c>
      <c r="E830" s="564">
        <v>0.0</v>
      </c>
      <c r="F830" s="564">
        <v>0.0</v>
      </c>
      <c r="G830" s="564">
        <v>8.0</v>
      </c>
      <c r="H830" s="564">
        <v>0.0</v>
      </c>
      <c r="I830" s="423"/>
      <c r="J830" s="423"/>
      <c r="K830" s="423"/>
      <c r="L830" s="423"/>
      <c r="M830" s="423"/>
      <c r="N830" s="423"/>
      <c r="O830" s="423"/>
      <c r="P830" s="423"/>
      <c r="Q830" s="423"/>
      <c r="R830" s="423"/>
      <c r="S830" s="423"/>
      <c r="T830" s="423"/>
      <c r="U830" s="423"/>
      <c r="V830" s="423"/>
      <c r="W830" s="423"/>
      <c r="X830" s="423"/>
      <c r="Y830" s="423"/>
      <c r="Z830" s="423"/>
    </row>
    <row r="831">
      <c r="A831" s="562">
        <v>829.0</v>
      </c>
      <c r="B831" s="563" t="s">
        <v>5916</v>
      </c>
      <c r="C831" s="563" t="s">
        <v>5487</v>
      </c>
      <c r="D831" s="562">
        <v>1.0</v>
      </c>
      <c r="E831" s="562">
        <v>0.0</v>
      </c>
      <c r="F831" s="562">
        <v>0.0</v>
      </c>
      <c r="G831" s="562">
        <v>7.0</v>
      </c>
      <c r="H831" s="562">
        <v>0.0</v>
      </c>
      <c r="I831" s="423"/>
      <c r="J831" s="423"/>
      <c r="K831" s="423"/>
      <c r="L831" s="423"/>
      <c r="M831" s="423"/>
      <c r="N831" s="423"/>
      <c r="O831" s="423"/>
      <c r="P831" s="423"/>
      <c r="Q831" s="423"/>
      <c r="R831" s="423"/>
      <c r="S831" s="423"/>
      <c r="T831" s="423"/>
      <c r="U831" s="423"/>
      <c r="V831" s="423"/>
      <c r="W831" s="423"/>
      <c r="X831" s="423"/>
      <c r="Y831" s="423"/>
      <c r="Z831" s="423"/>
    </row>
    <row r="832">
      <c r="A832" s="564">
        <v>830.0</v>
      </c>
      <c r="B832" s="565" t="s">
        <v>5917</v>
      </c>
      <c r="C832" s="565" t="s">
        <v>5487</v>
      </c>
      <c r="D832" s="564">
        <v>0.0</v>
      </c>
      <c r="E832" s="564">
        <v>0.0</v>
      </c>
      <c r="F832" s="564">
        <v>0.0</v>
      </c>
      <c r="G832" s="564">
        <v>8.0</v>
      </c>
      <c r="H832" s="564">
        <v>0.0</v>
      </c>
      <c r="I832" s="423"/>
      <c r="J832" s="423"/>
      <c r="K832" s="423"/>
      <c r="L832" s="423"/>
      <c r="M832" s="423"/>
      <c r="N832" s="423"/>
      <c r="O832" s="423"/>
      <c r="P832" s="423"/>
      <c r="Q832" s="423"/>
      <c r="R832" s="423"/>
      <c r="S832" s="423"/>
      <c r="T832" s="423"/>
      <c r="U832" s="423"/>
      <c r="V832" s="423"/>
      <c r="W832" s="423"/>
      <c r="X832" s="423"/>
      <c r="Y832" s="423"/>
      <c r="Z832" s="423"/>
    </row>
    <row r="833">
      <c r="A833" s="562">
        <v>831.0</v>
      </c>
      <c r="B833" s="563" t="s">
        <v>5918</v>
      </c>
      <c r="C833" s="563" t="s">
        <v>5487</v>
      </c>
      <c r="D833" s="562">
        <v>0.0</v>
      </c>
      <c r="E833" s="562">
        <v>0.0</v>
      </c>
      <c r="F833" s="562">
        <v>0.0</v>
      </c>
      <c r="G833" s="562">
        <v>8.0</v>
      </c>
      <c r="H833" s="562">
        <v>0.0</v>
      </c>
      <c r="I833" s="423"/>
      <c r="J833" s="423"/>
      <c r="K833" s="423"/>
      <c r="L833" s="423"/>
      <c r="M833" s="423"/>
      <c r="N833" s="423"/>
      <c r="O833" s="423"/>
      <c r="P833" s="423"/>
      <c r="Q833" s="423"/>
      <c r="R833" s="423"/>
      <c r="S833" s="423"/>
      <c r="T833" s="423"/>
      <c r="U833" s="423"/>
      <c r="V833" s="423"/>
      <c r="W833" s="423"/>
      <c r="X833" s="423"/>
      <c r="Y833" s="423"/>
      <c r="Z833" s="423"/>
    </row>
    <row r="834">
      <c r="A834" s="564">
        <v>832.0</v>
      </c>
      <c r="B834" s="565" t="s">
        <v>5919</v>
      </c>
      <c r="C834" s="565" t="s">
        <v>5487</v>
      </c>
      <c r="D834" s="564">
        <v>0.0</v>
      </c>
      <c r="E834" s="564">
        <v>0.0</v>
      </c>
      <c r="F834" s="564">
        <v>0.0</v>
      </c>
      <c r="G834" s="564">
        <v>8.0</v>
      </c>
      <c r="H834" s="564">
        <v>0.0</v>
      </c>
      <c r="I834" s="423"/>
      <c r="J834" s="423"/>
      <c r="K834" s="423"/>
      <c r="L834" s="423"/>
      <c r="M834" s="423"/>
      <c r="N834" s="423"/>
      <c r="O834" s="423"/>
      <c r="P834" s="423"/>
      <c r="Q834" s="423"/>
      <c r="R834" s="423"/>
      <c r="S834" s="423"/>
      <c r="T834" s="423"/>
      <c r="U834" s="423"/>
      <c r="V834" s="423"/>
      <c r="W834" s="423"/>
      <c r="X834" s="423"/>
      <c r="Y834" s="423"/>
      <c r="Z834" s="423"/>
    </row>
    <row r="835">
      <c r="A835" s="562">
        <v>833.0</v>
      </c>
      <c r="B835" s="563" t="s">
        <v>5920</v>
      </c>
      <c r="C835" s="563" t="s">
        <v>5487</v>
      </c>
      <c r="D835" s="562">
        <v>1.0</v>
      </c>
      <c r="E835" s="562">
        <v>0.0</v>
      </c>
      <c r="F835" s="562">
        <v>0.0</v>
      </c>
      <c r="G835" s="562">
        <v>7.0</v>
      </c>
      <c r="H835" s="562">
        <v>0.0</v>
      </c>
      <c r="I835" s="423"/>
      <c r="J835" s="423"/>
      <c r="K835" s="423"/>
      <c r="L835" s="423"/>
      <c r="M835" s="423"/>
      <c r="N835" s="423"/>
      <c r="O835" s="423"/>
      <c r="P835" s="423"/>
      <c r="Q835" s="423"/>
      <c r="R835" s="423"/>
      <c r="S835" s="423"/>
      <c r="T835" s="423"/>
      <c r="U835" s="423"/>
      <c r="V835" s="423"/>
      <c r="W835" s="423"/>
      <c r="X835" s="423"/>
      <c r="Y835" s="423"/>
      <c r="Z835" s="423"/>
    </row>
    <row r="836">
      <c r="A836" s="564">
        <v>834.0</v>
      </c>
      <c r="B836" s="565" t="s">
        <v>5921</v>
      </c>
      <c r="C836" s="565" t="s">
        <v>5487</v>
      </c>
      <c r="D836" s="564">
        <v>0.0</v>
      </c>
      <c r="E836" s="564">
        <v>0.0</v>
      </c>
      <c r="F836" s="564">
        <v>0.0</v>
      </c>
      <c r="G836" s="564">
        <v>8.0</v>
      </c>
      <c r="H836" s="564">
        <v>0.0</v>
      </c>
      <c r="I836" s="423"/>
      <c r="J836" s="423"/>
      <c r="K836" s="423"/>
      <c r="L836" s="423"/>
      <c r="M836" s="423"/>
      <c r="N836" s="423"/>
      <c r="O836" s="423"/>
      <c r="P836" s="423"/>
      <c r="Q836" s="423"/>
      <c r="R836" s="423"/>
      <c r="S836" s="423"/>
      <c r="T836" s="423"/>
      <c r="U836" s="423"/>
      <c r="V836" s="423"/>
      <c r="W836" s="423"/>
      <c r="X836" s="423"/>
      <c r="Y836" s="423"/>
      <c r="Z836" s="423"/>
    </row>
    <row r="837">
      <c r="A837" s="562">
        <v>835.0</v>
      </c>
      <c r="B837" s="563" t="s">
        <v>5922</v>
      </c>
      <c r="C837" s="563" t="s">
        <v>5487</v>
      </c>
      <c r="D837" s="562">
        <v>1.0</v>
      </c>
      <c r="E837" s="562">
        <v>0.0</v>
      </c>
      <c r="F837" s="562">
        <v>0.0</v>
      </c>
      <c r="G837" s="562">
        <v>7.0</v>
      </c>
      <c r="H837" s="562">
        <v>0.0</v>
      </c>
      <c r="I837" s="423"/>
      <c r="J837" s="423"/>
      <c r="K837" s="423"/>
      <c r="L837" s="423"/>
      <c r="M837" s="423"/>
      <c r="N837" s="423"/>
      <c r="O837" s="423"/>
      <c r="P837" s="423"/>
      <c r="Q837" s="423"/>
      <c r="R837" s="423"/>
      <c r="S837" s="423"/>
      <c r="T837" s="423"/>
      <c r="U837" s="423"/>
      <c r="V837" s="423"/>
      <c r="W837" s="423"/>
      <c r="X837" s="423"/>
      <c r="Y837" s="423"/>
      <c r="Z837" s="423"/>
    </row>
    <row r="838">
      <c r="A838" s="564">
        <v>836.0</v>
      </c>
      <c r="B838" s="565" t="s">
        <v>5923</v>
      </c>
      <c r="C838" s="565" t="s">
        <v>5487</v>
      </c>
      <c r="D838" s="564">
        <v>0.0</v>
      </c>
      <c r="E838" s="564">
        <v>0.0</v>
      </c>
      <c r="F838" s="564">
        <v>0.0</v>
      </c>
      <c r="G838" s="564">
        <v>8.0</v>
      </c>
      <c r="H838" s="564">
        <v>0.0</v>
      </c>
      <c r="I838" s="423"/>
      <c r="J838" s="423"/>
      <c r="K838" s="423"/>
      <c r="L838" s="423"/>
      <c r="M838" s="423"/>
      <c r="N838" s="423"/>
      <c r="O838" s="423"/>
      <c r="P838" s="423"/>
      <c r="Q838" s="423"/>
      <c r="R838" s="423"/>
      <c r="S838" s="423"/>
      <c r="T838" s="423"/>
      <c r="U838" s="423"/>
      <c r="V838" s="423"/>
      <c r="W838" s="423"/>
      <c r="X838" s="423"/>
      <c r="Y838" s="423"/>
      <c r="Z838" s="423"/>
    </row>
    <row r="839">
      <c r="A839" s="562">
        <v>837.0</v>
      </c>
      <c r="B839" s="563" t="s">
        <v>5924</v>
      </c>
      <c r="C839" s="563" t="s">
        <v>5487</v>
      </c>
      <c r="D839" s="562">
        <v>0.0</v>
      </c>
      <c r="E839" s="562">
        <v>0.0</v>
      </c>
      <c r="F839" s="562">
        <v>0.0</v>
      </c>
      <c r="G839" s="562">
        <v>8.0</v>
      </c>
      <c r="H839" s="562">
        <v>0.0</v>
      </c>
      <c r="I839" s="423"/>
      <c r="J839" s="423"/>
      <c r="K839" s="423"/>
      <c r="L839" s="423"/>
      <c r="M839" s="423"/>
      <c r="N839" s="423"/>
      <c r="O839" s="423"/>
      <c r="P839" s="423"/>
      <c r="Q839" s="423"/>
      <c r="R839" s="423"/>
      <c r="S839" s="423"/>
      <c r="T839" s="423"/>
      <c r="U839" s="423"/>
      <c r="V839" s="423"/>
      <c r="W839" s="423"/>
      <c r="X839" s="423"/>
      <c r="Y839" s="423"/>
      <c r="Z839" s="423"/>
    </row>
    <row r="840">
      <c r="A840" s="564">
        <v>838.0</v>
      </c>
      <c r="B840" s="565" t="s">
        <v>5925</v>
      </c>
      <c r="C840" s="565" t="s">
        <v>5487</v>
      </c>
      <c r="D840" s="564">
        <v>0.0</v>
      </c>
      <c r="E840" s="564">
        <v>0.0</v>
      </c>
      <c r="F840" s="564">
        <v>0.0</v>
      </c>
      <c r="G840" s="564">
        <v>8.0</v>
      </c>
      <c r="H840" s="564">
        <v>0.0</v>
      </c>
      <c r="I840" s="423"/>
      <c r="J840" s="423"/>
      <c r="K840" s="423"/>
      <c r="L840" s="423"/>
      <c r="M840" s="423"/>
      <c r="N840" s="423"/>
      <c r="O840" s="423"/>
      <c r="P840" s="423"/>
      <c r="Q840" s="423"/>
      <c r="R840" s="423"/>
      <c r="S840" s="423"/>
      <c r="T840" s="423"/>
      <c r="U840" s="423"/>
      <c r="V840" s="423"/>
      <c r="W840" s="423"/>
      <c r="X840" s="423"/>
      <c r="Y840" s="423"/>
      <c r="Z840" s="423"/>
    </row>
    <row r="841">
      <c r="A841" s="562">
        <v>839.0</v>
      </c>
      <c r="B841" s="563" t="s">
        <v>5926</v>
      </c>
      <c r="C841" s="563" t="s">
        <v>5487</v>
      </c>
      <c r="D841" s="562">
        <v>0.0</v>
      </c>
      <c r="E841" s="562">
        <v>0.0</v>
      </c>
      <c r="F841" s="562">
        <v>0.0</v>
      </c>
      <c r="G841" s="562">
        <v>8.0</v>
      </c>
      <c r="H841" s="562">
        <v>0.0</v>
      </c>
      <c r="I841" s="423"/>
      <c r="J841" s="423"/>
      <c r="K841" s="423"/>
      <c r="L841" s="423"/>
      <c r="M841" s="423"/>
      <c r="N841" s="423"/>
      <c r="O841" s="423"/>
      <c r="P841" s="423"/>
      <c r="Q841" s="423"/>
      <c r="R841" s="423"/>
      <c r="S841" s="423"/>
      <c r="T841" s="423"/>
      <c r="U841" s="423"/>
      <c r="V841" s="423"/>
      <c r="W841" s="423"/>
      <c r="X841" s="423"/>
      <c r="Y841" s="423"/>
      <c r="Z841" s="423"/>
    </row>
    <row r="842">
      <c r="A842" s="564">
        <v>840.0</v>
      </c>
      <c r="B842" s="565" t="s">
        <v>5927</v>
      </c>
      <c r="C842" s="565" t="s">
        <v>5487</v>
      </c>
      <c r="D842" s="564">
        <v>0.0</v>
      </c>
      <c r="E842" s="564">
        <v>0.0</v>
      </c>
      <c r="F842" s="564">
        <v>1.0</v>
      </c>
      <c r="G842" s="564">
        <v>7.0</v>
      </c>
      <c r="H842" s="564">
        <v>0.0</v>
      </c>
      <c r="I842" s="423"/>
      <c r="J842" s="423"/>
      <c r="K842" s="423"/>
      <c r="L842" s="423"/>
      <c r="M842" s="423"/>
      <c r="N842" s="423"/>
      <c r="O842" s="423"/>
      <c r="P842" s="423"/>
      <c r="Q842" s="423"/>
      <c r="R842" s="423"/>
      <c r="S842" s="423"/>
      <c r="T842" s="423"/>
      <c r="U842" s="423"/>
      <c r="V842" s="423"/>
      <c r="W842" s="423"/>
      <c r="X842" s="423"/>
      <c r="Y842" s="423"/>
      <c r="Z842" s="423"/>
    </row>
    <row r="843">
      <c r="A843" s="562">
        <v>841.0</v>
      </c>
      <c r="B843" s="563" t="s">
        <v>5928</v>
      </c>
      <c r="C843" s="563" t="s">
        <v>5487</v>
      </c>
      <c r="D843" s="562">
        <v>0.0</v>
      </c>
      <c r="E843" s="562">
        <v>0.0</v>
      </c>
      <c r="F843" s="562">
        <v>0.0</v>
      </c>
      <c r="G843" s="562">
        <v>8.0</v>
      </c>
      <c r="H843" s="562">
        <v>0.0</v>
      </c>
      <c r="I843" s="423"/>
      <c r="J843" s="423"/>
      <c r="K843" s="423"/>
      <c r="L843" s="423"/>
      <c r="M843" s="423"/>
      <c r="N843" s="423"/>
      <c r="O843" s="423"/>
      <c r="P843" s="423"/>
      <c r="Q843" s="423"/>
      <c r="R843" s="423"/>
      <c r="S843" s="423"/>
      <c r="T843" s="423"/>
      <c r="U843" s="423"/>
      <c r="V843" s="423"/>
      <c r="W843" s="423"/>
      <c r="X843" s="423"/>
      <c r="Y843" s="423"/>
      <c r="Z843" s="423"/>
    </row>
    <row r="844">
      <c r="A844" s="564">
        <v>842.0</v>
      </c>
      <c r="B844" s="565" t="s">
        <v>5929</v>
      </c>
      <c r="C844" s="565" t="s">
        <v>5487</v>
      </c>
      <c r="D844" s="564">
        <v>0.0</v>
      </c>
      <c r="E844" s="564">
        <v>0.0</v>
      </c>
      <c r="F844" s="564">
        <v>0.0</v>
      </c>
      <c r="G844" s="564">
        <v>8.0</v>
      </c>
      <c r="H844" s="564">
        <v>0.0</v>
      </c>
      <c r="I844" s="423"/>
      <c r="J844" s="423"/>
      <c r="K844" s="423"/>
      <c r="L844" s="423"/>
      <c r="M844" s="423"/>
      <c r="N844" s="423"/>
      <c r="O844" s="423"/>
      <c r="P844" s="423"/>
      <c r="Q844" s="423"/>
      <c r="R844" s="423"/>
      <c r="S844" s="423"/>
      <c r="T844" s="423"/>
      <c r="U844" s="423"/>
      <c r="V844" s="423"/>
      <c r="W844" s="423"/>
      <c r="X844" s="423"/>
      <c r="Y844" s="423"/>
      <c r="Z844" s="423"/>
    </row>
    <row r="845">
      <c r="A845" s="562">
        <v>843.0</v>
      </c>
      <c r="B845" s="563" t="s">
        <v>5930</v>
      </c>
      <c r="C845" s="563" t="s">
        <v>5487</v>
      </c>
      <c r="D845" s="562">
        <v>2.0</v>
      </c>
      <c r="E845" s="562">
        <v>0.0</v>
      </c>
      <c r="F845" s="562">
        <v>0.0</v>
      </c>
      <c r="G845" s="562">
        <v>6.0</v>
      </c>
      <c r="H845" s="562">
        <v>0.0</v>
      </c>
      <c r="I845" s="423"/>
      <c r="J845" s="423"/>
      <c r="K845" s="423"/>
      <c r="L845" s="423"/>
      <c r="M845" s="423"/>
      <c r="N845" s="423"/>
      <c r="O845" s="423"/>
      <c r="P845" s="423"/>
      <c r="Q845" s="423"/>
      <c r="R845" s="423"/>
      <c r="S845" s="423"/>
      <c r="T845" s="423"/>
      <c r="U845" s="423"/>
      <c r="V845" s="423"/>
      <c r="W845" s="423"/>
      <c r="X845" s="423"/>
      <c r="Y845" s="423"/>
      <c r="Z845" s="423"/>
    </row>
    <row r="846">
      <c r="A846" s="564">
        <v>844.0</v>
      </c>
      <c r="B846" s="565" t="s">
        <v>5931</v>
      </c>
      <c r="C846" s="565" t="s">
        <v>5487</v>
      </c>
      <c r="D846" s="564">
        <v>0.0</v>
      </c>
      <c r="E846" s="564">
        <v>0.0</v>
      </c>
      <c r="F846" s="564">
        <v>0.0</v>
      </c>
      <c r="G846" s="564">
        <v>8.0</v>
      </c>
      <c r="H846" s="564">
        <v>0.0</v>
      </c>
      <c r="I846" s="423"/>
      <c r="J846" s="423"/>
      <c r="K846" s="423"/>
      <c r="L846" s="423"/>
      <c r="M846" s="423"/>
      <c r="N846" s="423"/>
      <c r="O846" s="423"/>
      <c r="P846" s="423"/>
      <c r="Q846" s="423"/>
      <c r="R846" s="423"/>
      <c r="S846" s="423"/>
      <c r="T846" s="423"/>
      <c r="U846" s="423"/>
      <c r="V846" s="423"/>
      <c r="W846" s="423"/>
      <c r="X846" s="423"/>
      <c r="Y846" s="423"/>
      <c r="Z846" s="423"/>
    </row>
    <row r="847">
      <c r="A847" s="562">
        <v>845.0</v>
      </c>
      <c r="B847" s="563" t="s">
        <v>5932</v>
      </c>
      <c r="C847" s="563" t="s">
        <v>5487</v>
      </c>
      <c r="D847" s="562">
        <v>0.0</v>
      </c>
      <c r="E847" s="562">
        <v>0.0</v>
      </c>
      <c r="F847" s="562">
        <v>0.0</v>
      </c>
      <c r="G847" s="562">
        <v>8.0</v>
      </c>
      <c r="H847" s="562">
        <v>0.0</v>
      </c>
      <c r="I847" s="423"/>
      <c r="J847" s="423"/>
      <c r="K847" s="423"/>
      <c r="L847" s="423"/>
      <c r="M847" s="423"/>
      <c r="N847" s="423"/>
      <c r="O847" s="423"/>
      <c r="P847" s="423"/>
      <c r="Q847" s="423"/>
      <c r="R847" s="423"/>
      <c r="S847" s="423"/>
      <c r="T847" s="423"/>
      <c r="U847" s="423"/>
      <c r="V847" s="423"/>
      <c r="W847" s="423"/>
      <c r="X847" s="423"/>
      <c r="Y847" s="423"/>
      <c r="Z847" s="423"/>
    </row>
    <row r="848">
      <c r="A848" s="564">
        <v>846.0</v>
      </c>
      <c r="B848" s="565" t="s">
        <v>5933</v>
      </c>
      <c r="C848" s="565" t="s">
        <v>5487</v>
      </c>
      <c r="D848" s="564">
        <v>0.0</v>
      </c>
      <c r="E848" s="564">
        <v>0.0</v>
      </c>
      <c r="F848" s="564">
        <v>0.0</v>
      </c>
      <c r="G848" s="564">
        <v>8.0</v>
      </c>
      <c r="H848" s="564">
        <v>0.0</v>
      </c>
      <c r="I848" s="423"/>
      <c r="J848" s="423"/>
      <c r="K848" s="423"/>
      <c r="L848" s="423"/>
      <c r="M848" s="423"/>
      <c r="N848" s="423"/>
      <c r="O848" s="423"/>
      <c r="P848" s="423"/>
      <c r="Q848" s="423"/>
      <c r="R848" s="423"/>
      <c r="S848" s="423"/>
      <c r="T848" s="423"/>
      <c r="U848" s="423"/>
      <c r="V848" s="423"/>
      <c r="W848" s="423"/>
      <c r="X848" s="423"/>
      <c r="Y848" s="423"/>
      <c r="Z848" s="423"/>
    </row>
    <row r="849">
      <c r="A849" s="562">
        <v>847.0</v>
      </c>
      <c r="B849" s="563" t="s">
        <v>5934</v>
      </c>
      <c r="C849" s="563" t="s">
        <v>5487</v>
      </c>
      <c r="D849" s="562">
        <v>0.0</v>
      </c>
      <c r="E849" s="562">
        <v>0.0</v>
      </c>
      <c r="F849" s="562">
        <v>0.0</v>
      </c>
      <c r="G849" s="562">
        <v>8.0</v>
      </c>
      <c r="H849" s="562">
        <v>0.0</v>
      </c>
      <c r="I849" s="423"/>
      <c r="J849" s="423"/>
      <c r="K849" s="423"/>
      <c r="L849" s="423"/>
      <c r="M849" s="423"/>
      <c r="N849" s="423"/>
      <c r="O849" s="423"/>
      <c r="P849" s="423"/>
      <c r="Q849" s="423"/>
      <c r="R849" s="423"/>
      <c r="S849" s="423"/>
      <c r="T849" s="423"/>
      <c r="U849" s="423"/>
      <c r="V849" s="423"/>
      <c r="W849" s="423"/>
      <c r="X849" s="423"/>
      <c r="Y849" s="423"/>
      <c r="Z849" s="423"/>
    </row>
    <row r="850">
      <c r="A850" s="564">
        <v>848.0</v>
      </c>
      <c r="B850" s="565" t="s">
        <v>5935</v>
      </c>
      <c r="C850" s="565" t="s">
        <v>5487</v>
      </c>
      <c r="D850" s="564">
        <v>0.0</v>
      </c>
      <c r="E850" s="564">
        <v>0.0</v>
      </c>
      <c r="F850" s="564">
        <v>0.0</v>
      </c>
      <c r="G850" s="564">
        <v>8.0</v>
      </c>
      <c r="H850" s="564">
        <v>0.0</v>
      </c>
      <c r="I850" s="423"/>
      <c r="J850" s="423"/>
      <c r="K850" s="423"/>
      <c r="L850" s="423"/>
      <c r="M850" s="423"/>
      <c r="N850" s="423"/>
      <c r="O850" s="423"/>
      <c r="P850" s="423"/>
      <c r="Q850" s="423"/>
      <c r="R850" s="423"/>
      <c r="S850" s="423"/>
      <c r="T850" s="423"/>
      <c r="U850" s="423"/>
      <c r="V850" s="423"/>
      <c r="W850" s="423"/>
      <c r="X850" s="423"/>
      <c r="Y850" s="423"/>
      <c r="Z850" s="423"/>
    </row>
    <row r="851">
      <c r="A851" s="562">
        <v>849.0</v>
      </c>
      <c r="B851" s="563" t="s">
        <v>5936</v>
      </c>
      <c r="C851" s="563" t="s">
        <v>5487</v>
      </c>
      <c r="D851" s="562">
        <v>0.0</v>
      </c>
      <c r="E851" s="562">
        <v>0.0</v>
      </c>
      <c r="F851" s="562">
        <v>0.0</v>
      </c>
      <c r="G851" s="562">
        <v>8.0</v>
      </c>
      <c r="H851" s="562">
        <v>0.0</v>
      </c>
      <c r="I851" s="423"/>
      <c r="J851" s="423"/>
      <c r="K851" s="423"/>
      <c r="L851" s="423"/>
      <c r="M851" s="423"/>
      <c r="N851" s="423"/>
      <c r="O851" s="423"/>
      <c r="P851" s="423"/>
      <c r="Q851" s="423"/>
      <c r="R851" s="423"/>
      <c r="S851" s="423"/>
      <c r="T851" s="423"/>
      <c r="U851" s="423"/>
      <c r="V851" s="423"/>
      <c r="W851" s="423"/>
      <c r="X851" s="423"/>
      <c r="Y851" s="423"/>
      <c r="Z851" s="423"/>
    </row>
    <row r="852">
      <c r="A852" s="564">
        <v>850.0</v>
      </c>
      <c r="B852" s="565" t="s">
        <v>5937</v>
      </c>
      <c r="C852" s="565" t="s">
        <v>5487</v>
      </c>
      <c r="D852" s="564">
        <v>0.0</v>
      </c>
      <c r="E852" s="564">
        <v>0.0</v>
      </c>
      <c r="F852" s="564">
        <v>0.0</v>
      </c>
      <c r="G852" s="564">
        <v>8.0</v>
      </c>
      <c r="H852" s="564">
        <v>0.0</v>
      </c>
      <c r="I852" s="423"/>
      <c r="J852" s="423"/>
      <c r="K852" s="423"/>
      <c r="L852" s="423"/>
      <c r="M852" s="423"/>
      <c r="N852" s="423"/>
      <c r="O852" s="423"/>
      <c r="P852" s="423"/>
      <c r="Q852" s="423"/>
      <c r="R852" s="423"/>
      <c r="S852" s="423"/>
      <c r="T852" s="423"/>
      <c r="U852" s="423"/>
      <c r="V852" s="423"/>
      <c r="W852" s="423"/>
      <c r="X852" s="423"/>
      <c r="Y852" s="423"/>
      <c r="Z852" s="423"/>
    </row>
    <row r="853">
      <c r="A853" s="562">
        <v>851.0</v>
      </c>
      <c r="B853" s="563" t="s">
        <v>5938</v>
      </c>
      <c r="C853" s="563" t="s">
        <v>5487</v>
      </c>
      <c r="D853" s="562">
        <v>0.0</v>
      </c>
      <c r="E853" s="562">
        <v>0.0</v>
      </c>
      <c r="F853" s="562">
        <v>0.0</v>
      </c>
      <c r="G853" s="562">
        <v>8.0</v>
      </c>
      <c r="H853" s="562">
        <v>0.0</v>
      </c>
      <c r="I853" s="423"/>
      <c r="J853" s="423"/>
      <c r="K853" s="423"/>
      <c r="L853" s="423"/>
      <c r="M853" s="423"/>
      <c r="N853" s="423"/>
      <c r="O853" s="423"/>
      <c r="P853" s="423"/>
      <c r="Q853" s="423"/>
      <c r="R853" s="423"/>
      <c r="S853" s="423"/>
      <c r="T853" s="423"/>
      <c r="U853" s="423"/>
      <c r="V853" s="423"/>
      <c r="W853" s="423"/>
      <c r="X853" s="423"/>
      <c r="Y853" s="423"/>
      <c r="Z853" s="423"/>
    </row>
    <row r="854">
      <c r="A854" s="564">
        <v>852.0</v>
      </c>
      <c r="B854" s="565" t="s">
        <v>5939</v>
      </c>
      <c r="C854" s="565" t="s">
        <v>5487</v>
      </c>
      <c r="D854" s="564">
        <v>0.0</v>
      </c>
      <c r="E854" s="564">
        <v>0.0</v>
      </c>
      <c r="F854" s="564">
        <v>0.0</v>
      </c>
      <c r="G854" s="564">
        <v>8.0</v>
      </c>
      <c r="H854" s="564">
        <v>0.0</v>
      </c>
      <c r="I854" s="423"/>
      <c r="J854" s="423"/>
      <c r="K854" s="423"/>
      <c r="L854" s="423"/>
      <c r="M854" s="423"/>
      <c r="N854" s="423"/>
      <c r="O854" s="423"/>
      <c r="P854" s="423"/>
      <c r="Q854" s="423"/>
      <c r="R854" s="423"/>
      <c r="S854" s="423"/>
      <c r="T854" s="423"/>
      <c r="U854" s="423"/>
      <c r="V854" s="423"/>
      <c r="W854" s="423"/>
      <c r="X854" s="423"/>
      <c r="Y854" s="423"/>
      <c r="Z854" s="423"/>
    </row>
    <row r="855">
      <c r="A855" s="562">
        <v>853.0</v>
      </c>
      <c r="B855" s="563" t="s">
        <v>5940</v>
      </c>
      <c r="C855" s="563" t="s">
        <v>5487</v>
      </c>
      <c r="D855" s="562">
        <v>0.0</v>
      </c>
      <c r="E855" s="562">
        <v>0.0</v>
      </c>
      <c r="F855" s="562">
        <v>0.0</v>
      </c>
      <c r="G855" s="562">
        <v>8.0</v>
      </c>
      <c r="H855" s="562">
        <v>0.0</v>
      </c>
      <c r="I855" s="423"/>
      <c r="J855" s="423"/>
      <c r="K855" s="423"/>
      <c r="L855" s="423"/>
      <c r="M855" s="423"/>
      <c r="N855" s="423"/>
      <c r="O855" s="423"/>
      <c r="P855" s="423"/>
      <c r="Q855" s="423"/>
      <c r="R855" s="423"/>
      <c r="S855" s="423"/>
      <c r="T855" s="423"/>
      <c r="U855" s="423"/>
      <c r="V855" s="423"/>
      <c r="W855" s="423"/>
      <c r="X855" s="423"/>
      <c r="Y855" s="423"/>
      <c r="Z855" s="423"/>
    </row>
    <row r="856">
      <c r="A856" s="564">
        <v>854.0</v>
      </c>
      <c r="B856" s="565" t="s">
        <v>5941</v>
      </c>
      <c r="C856" s="565" t="s">
        <v>5942</v>
      </c>
      <c r="D856" s="564">
        <v>0.0</v>
      </c>
      <c r="E856" s="564">
        <v>0.0</v>
      </c>
      <c r="F856" s="564">
        <v>0.0</v>
      </c>
      <c r="G856" s="564">
        <v>8.0</v>
      </c>
      <c r="H856" s="564">
        <v>0.0</v>
      </c>
      <c r="I856" s="423"/>
      <c r="J856" s="423"/>
      <c r="K856" s="423"/>
      <c r="L856" s="423"/>
      <c r="M856" s="423"/>
      <c r="N856" s="423"/>
      <c r="O856" s="423"/>
      <c r="P856" s="423"/>
      <c r="Q856" s="423"/>
      <c r="R856" s="423"/>
      <c r="S856" s="423"/>
      <c r="T856" s="423"/>
      <c r="U856" s="423"/>
      <c r="V856" s="423"/>
      <c r="W856" s="423"/>
      <c r="X856" s="423"/>
      <c r="Y856" s="423"/>
      <c r="Z856" s="423"/>
    </row>
    <row r="857">
      <c r="A857" s="562">
        <v>855.0</v>
      </c>
      <c r="B857" s="563" t="s">
        <v>5943</v>
      </c>
      <c r="C857" s="563" t="s">
        <v>5942</v>
      </c>
      <c r="D857" s="562">
        <v>0.0</v>
      </c>
      <c r="E857" s="562">
        <v>0.0</v>
      </c>
      <c r="F857" s="562">
        <v>0.0</v>
      </c>
      <c r="G857" s="562">
        <v>8.0</v>
      </c>
      <c r="H857" s="562">
        <v>0.0</v>
      </c>
      <c r="I857" s="423"/>
      <c r="J857" s="423"/>
      <c r="K857" s="423"/>
      <c r="L857" s="423"/>
      <c r="M857" s="423"/>
      <c r="N857" s="423"/>
      <c r="O857" s="423"/>
      <c r="P857" s="423"/>
      <c r="Q857" s="423"/>
      <c r="R857" s="423"/>
      <c r="S857" s="423"/>
      <c r="T857" s="423"/>
      <c r="U857" s="423"/>
      <c r="V857" s="423"/>
      <c r="W857" s="423"/>
      <c r="X857" s="423"/>
      <c r="Y857" s="423"/>
      <c r="Z857" s="423"/>
    </row>
    <row r="858">
      <c r="A858" s="564">
        <v>856.0</v>
      </c>
      <c r="B858" s="565" t="s">
        <v>5944</v>
      </c>
      <c r="C858" s="565" t="s">
        <v>5942</v>
      </c>
      <c r="D858" s="564">
        <v>0.0</v>
      </c>
      <c r="E858" s="564">
        <v>0.0</v>
      </c>
      <c r="F858" s="564">
        <v>0.0</v>
      </c>
      <c r="G858" s="564">
        <v>8.0</v>
      </c>
      <c r="H858" s="564">
        <v>0.0</v>
      </c>
      <c r="I858" s="423"/>
      <c r="J858" s="423"/>
      <c r="K858" s="423"/>
      <c r="L858" s="423"/>
      <c r="M858" s="423"/>
      <c r="N858" s="423"/>
      <c r="O858" s="423"/>
      <c r="P858" s="423"/>
      <c r="Q858" s="423"/>
      <c r="R858" s="423"/>
      <c r="S858" s="423"/>
      <c r="T858" s="423"/>
      <c r="U858" s="423"/>
      <c r="V858" s="423"/>
      <c r="W858" s="423"/>
      <c r="X858" s="423"/>
      <c r="Y858" s="423"/>
      <c r="Z858" s="423"/>
    </row>
    <row r="859">
      <c r="A859" s="562">
        <v>857.0</v>
      </c>
      <c r="B859" s="563" t="s">
        <v>5945</v>
      </c>
      <c r="C859" s="563" t="s">
        <v>5942</v>
      </c>
      <c r="D859" s="562">
        <v>0.0</v>
      </c>
      <c r="E859" s="562">
        <v>0.0</v>
      </c>
      <c r="F859" s="562">
        <v>0.0</v>
      </c>
      <c r="G859" s="562">
        <v>8.0</v>
      </c>
      <c r="H859" s="562">
        <v>0.0</v>
      </c>
      <c r="I859" s="423"/>
      <c r="J859" s="423"/>
      <c r="K859" s="423"/>
      <c r="L859" s="423"/>
      <c r="M859" s="423"/>
      <c r="N859" s="423"/>
      <c r="O859" s="423"/>
      <c r="P859" s="423"/>
      <c r="Q859" s="423"/>
      <c r="R859" s="423"/>
      <c r="S859" s="423"/>
      <c r="T859" s="423"/>
      <c r="U859" s="423"/>
      <c r="V859" s="423"/>
      <c r="W859" s="423"/>
      <c r="X859" s="423"/>
      <c r="Y859" s="423"/>
      <c r="Z859" s="423"/>
    </row>
    <row r="860">
      <c r="A860" s="564">
        <v>858.0</v>
      </c>
      <c r="B860" s="565" t="s">
        <v>5946</v>
      </c>
      <c r="C860" s="565" t="s">
        <v>5942</v>
      </c>
      <c r="D860" s="564">
        <v>0.0</v>
      </c>
      <c r="E860" s="564">
        <v>0.0</v>
      </c>
      <c r="F860" s="564">
        <v>0.0</v>
      </c>
      <c r="G860" s="564">
        <v>8.0</v>
      </c>
      <c r="H860" s="564">
        <v>0.0</v>
      </c>
      <c r="I860" s="423"/>
      <c r="J860" s="423"/>
      <c r="K860" s="423"/>
      <c r="L860" s="423"/>
      <c r="M860" s="423"/>
      <c r="N860" s="423"/>
      <c r="O860" s="423"/>
      <c r="P860" s="423"/>
      <c r="Q860" s="423"/>
      <c r="R860" s="423"/>
      <c r="S860" s="423"/>
      <c r="T860" s="423"/>
      <c r="U860" s="423"/>
      <c r="V860" s="423"/>
      <c r="W860" s="423"/>
      <c r="X860" s="423"/>
      <c r="Y860" s="423"/>
      <c r="Z860" s="423"/>
    </row>
    <row r="861">
      <c r="A861" s="562">
        <v>859.0</v>
      </c>
      <c r="B861" s="563" t="s">
        <v>5947</v>
      </c>
      <c r="C861" s="563" t="s">
        <v>5942</v>
      </c>
      <c r="D861" s="562">
        <v>0.0</v>
      </c>
      <c r="E861" s="562">
        <v>0.0</v>
      </c>
      <c r="F861" s="562">
        <v>0.0</v>
      </c>
      <c r="G861" s="562">
        <v>8.0</v>
      </c>
      <c r="H861" s="562">
        <v>0.0</v>
      </c>
      <c r="I861" s="423"/>
      <c r="J861" s="423"/>
      <c r="K861" s="423"/>
      <c r="L861" s="423"/>
      <c r="M861" s="423"/>
      <c r="N861" s="423"/>
      <c r="O861" s="423"/>
      <c r="P861" s="423"/>
      <c r="Q861" s="423"/>
      <c r="R861" s="423"/>
      <c r="S861" s="423"/>
      <c r="T861" s="423"/>
      <c r="U861" s="423"/>
      <c r="V861" s="423"/>
      <c r="W861" s="423"/>
      <c r="X861" s="423"/>
      <c r="Y861" s="423"/>
      <c r="Z861" s="423"/>
    </row>
    <row r="862">
      <c r="A862" s="564">
        <v>860.0</v>
      </c>
      <c r="B862" s="565" t="s">
        <v>5948</v>
      </c>
      <c r="C862" s="565" t="s">
        <v>5942</v>
      </c>
      <c r="D862" s="564">
        <v>1.0</v>
      </c>
      <c r="E862" s="564">
        <v>0.0</v>
      </c>
      <c r="F862" s="564">
        <v>0.0</v>
      </c>
      <c r="G862" s="564">
        <v>7.0</v>
      </c>
      <c r="H862" s="564">
        <v>0.0</v>
      </c>
      <c r="I862" s="423"/>
      <c r="J862" s="423"/>
      <c r="K862" s="423"/>
      <c r="L862" s="423"/>
      <c r="M862" s="423"/>
      <c r="N862" s="423"/>
      <c r="O862" s="423"/>
      <c r="P862" s="423"/>
      <c r="Q862" s="423"/>
      <c r="R862" s="423"/>
      <c r="S862" s="423"/>
      <c r="T862" s="423"/>
      <c r="U862" s="423"/>
      <c r="V862" s="423"/>
      <c r="W862" s="423"/>
      <c r="X862" s="423"/>
      <c r="Y862" s="423"/>
      <c r="Z862" s="423"/>
    </row>
    <row r="863">
      <c r="A863" s="562">
        <v>861.0</v>
      </c>
      <c r="B863" s="563" t="s">
        <v>5949</v>
      </c>
      <c r="C863" s="563" t="s">
        <v>5942</v>
      </c>
      <c r="D863" s="562">
        <v>0.0</v>
      </c>
      <c r="E863" s="562">
        <v>0.0</v>
      </c>
      <c r="F863" s="562">
        <v>0.0</v>
      </c>
      <c r="G863" s="562">
        <v>8.0</v>
      </c>
      <c r="H863" s="562">
        <v>0.0</v>
      </c>
      <c r="I863" s="423"/>
      <c r="J863" s="423"/>
      <c r="K863" s="423"/>
      <c r="L863" s="423"/>
      <c r="M863" s="423"/>
      <c r="N863" s="423"/>
      <c r="O863" s="423"/>
      <c r="P863" s="423"/>
      <c r="Q863" s="423"/>
      <c r="R863" s="423"/>
      <c r="S863" s="423"/>
      <c r="T863" s="423"/>
      <c r="U863" s="423"/>
      <c r="V863" s="423"/>
      <c r="W863" s="423"/>
      <c r="X863" s="423"/>
      <c r="Y863" s="423"/>
      <c r="Z863" s="423"/>
    </row>
    <row r="864">
      <c r="A864" s="564">
        <v>862.0</v>
      </c>
      <c r="B864" s="565" t="s">
        <v>5950</v>
      </c>
      <c r="C864" s="565" t="s">
        <v>5942</v>
      </c>
      <c r="D864" s="564">
        <v>0.0</v>
      </c>
      <c r="E864" s="564">
        <v>0.0</v>
      </c>
      <c r="F864" s="564">
        <v>0.0</v>
      </c>
      <c r="G864" s="564">
        <v>8.0</v>
      </c>
      <c r="H864" s="564">
        <v>0.0</v>
      </c>
      <c r="I864" s="423"/>
      <c r="J864" s="423"/>
      <c r="K864" s="423"/>
      <c r="L864" s="423"/>
      <c r="M864" s="423"/>
      <c r="N864" s="423"/>
      <c r="O864" s="423"/>
      <c r="P864" s="423"/>
      <c r="Q864" s="423"/>
      <c r="R864" s="423"/>
      <c r="S864" s="423"/>
      <c r="T864" s="423"/>
      <c r="U864" s="423"/>
      <c r="V864" s="423"/>
      <c r="W864" s="423"/>
      <c r="X864" s="423"/>
      <c r="Y864" s="423"/>
      <c r="Z864" s="423"/>
    </row>
    <row r="865">
      <c r="A865" s="562">
        <v>863.0</v>
      </c>
      <c r="B865" s="563" t="s">
        <v>5951</v>
      </c>
      <c r="C865" s="563" t="s">
        <v>5942</v>
      </c>
      <c r="D865" s="562">
        <v>0.0</v>
      </c>
      <c r="E865" s="562">
        <v>0.0</v>
      </c>
      <c r="F865" s="562">
        <v>0.0</v>
      </c>
      <c r="G865" s="562">
        <v>8.0</v>
      </c>
      <c r="H865" s="562">
        <v>0.0</v>
      </c>
      <c r="I865" s="423"/>
      <c r="J865" s="423"/>
      <c r="K865" s="423"/>
      <c r="L865" s="423"/>
      <c r="M865" s="423"/>
      <c r="N865" s="423"/>
      <c r="O865" s="423"/>
      <c r="P865" s="423"/>
      <c r="Q865" s="423"/>
      <c r="R865" s="423"/>
      <c r="S865" s="423"/>
      <c r="T865" s="423"/>
      <c r="U865" s="423"/>
      <c r="V865" s="423"/>
      <c r="W865" s="423"/>
      <c r="X865" s="423"/>
      <c r="Y865" s="423"/>
      <c r="Z865" s="423"/>
    </row>
    <row r="866">
      <c r="A866" s="564">
        <v>864.0</v>
      </c>
      <c r="B866" s="565" t="s">
        <v>5952</v>
      </c>
      <c r="C866" s="565" t="s">
        <v>5942</v>
      </c>
      <c r="D866" s="564">
        <v>0.0</v>
      </c>
      <c r="E866" s="564">
        <v>0.0</v>
      </c>
      <c r="F866" s="564">
        <v>0.0</v>
      </c>
      <c r="G866" s="564">
        <v>8.0</v>
      </c>
      <c r="H866" s="564">
        <v>0.0</v>
      </c>
      <c r="I866" s="423"/>
      <c r="J866" s="423"/>
      <c r="K866" s="423"/>
      <c r="L866" s="423"/>
      <c r="M866" s="423"/>
      <c r="N866" s="423"/>
      <c r="O866" s="423"/>
      <c r="P866" s="423"/>
      <c r="Q866" s="423"/>
      <c r="R866" s="423"/>
      <c r="S866" s="423"/>
      <c r="T866" s="423"/>
      <c r="U866" s="423"/>
      <c r="V866" s="423"/>
      <c r="W866" s="423"/>
      <c r="X866" s="423"/>
      <c r="Y866" s="423"/>
      <c r="Z866" s="423"/>
    </row>
    <row r="867">
      <c r="A867" s="562">
        <v>865.0</v>
      </c>
      <c r="B867" s="563" t="s">
        <v>5953</v>
      </c>
      <c r="C867" s="563" t="s">
        <v>5942</v>
      </c>
      <c r="D867" s="562">
        <v>0.0</v>
      </c>
      <c r="E867" s="562">
        <v>0.0</v>
      </c>
      <c r="F867" s="562">
        <v>0.0</v>
      </c>
      <c r="G867" s="562">
        <v>8.0</v>
      </c>
      <c r="H867" s="562">
        <v>0.0</v>
      </c>
      <c r="I867" s="423"/>
      <c r="J867" s="423"/>
      <c r="K867" s="423"/>
      <c r="L867" s="423"/>
      <c r="M867" s="423"/>
      <c r="N867" s="423"/>
      <c r="O867" s="423"/>
      <c r="P867" s="423"/>
      <c r="Q867" s="423"/>
      <c r="R867" s="423"/>
      <c r="S867" s="423"/>
      <c r="T867" s="423"/>
      <c r="U867" s="423"/>
      <c r="V867" s="423"/>
      <c r="W867" s="423"/>
      <c r="X867" s="423"/>
      <c r="Y867" s="423"/>
      <c r="Z867" s="423"/>
    </row>
    <row r="868">
      <c r="A868" s="564">
        <v>866.0</v>
      </c>
      <c r="B868" s="565" t="s">
        <v>5954</v>
      </c>
      <c r="C868" s="565" t="s">
        <v>5942</v>
      </c>
      <c r="D868" s="564">
        <v>0.0</v>
      </c>
      <c r="E868" s="564">
        <v>0.0</v>
      </c>
      <c r="F868" s="564">
        <v>0.0</v>
      </c>
      <c r="G868" s="564">
        <v>8.0</v>
      </c>
      <c r="H868" s="564">
        <v>0.0</v>
      </c>
      <c r="I868" s="423"/>
      <c r="J868" s="423"/>
      <c r="K868" s="423"/>
      <c r="L868" s="423"/>
      <c r="M868" s="423"/>
      <c r="N868" s="423"/>
      <c r="O868" s="423"/>
      <c r="P868" s="423"/>
      <c r="Q868" s="423"/>
      <c r="R868" s="423"/>
      <c r="S868" s="423"/>
      <c r="T868" s="423"/>
      <c r="U868" s="423"/>
      <c r="V868" s="423"/>
      <c r="W868" s="423"/>
      <c r="X868" s="423"/>
      <c r="Y868" s="423"/>
      <c r="Z868" s="423"/>
    </row>
    <row r="869">
      <c r="A869" s="562">
        <v>867.0</v>
      </c>
      <c r="B869" s="563" t="s">
        <v>5955</v>
      </c>
      <c r="C869" s="563" t="s">
        <v>5942</v>
      </c>
      <c r="D869" s="562">
        <v>0.0</v>
      </c>
      <c r="E869" s="562">
        <v>0.0</v>
      </c>
      <c r="F869" s="562">
        <v>0.0</v>
      </c>
      <c r="G869" s="562">
        <v>8.0</v>
      </c>
      <c r="H869" s="562">
        <v>0.0</v>
      </c>
      <c r="I869" s="423"/>
      <c r="J869" s="423"/>
      <c r="K869" s="423"/>
      <c r="L869" s="423"/>
      <c r="M869" s="423"/>
      <c r="N869" s="423"/>
      <c r="O869" s="423"/>
      <c r="P869" s="423"/>
      <c r="Q869" s="423"/>
      <c r="R869" s="423"/>
      <c r="S869" s="423"/>
      <c r="T869" s="423"/>
      <c r="U869" s="423"/>
      <c r="V869" s="423"/>
      <c r="W869" s="423"/>
      <c r="X869" s="423"/>
      <c r="Y869" s="423"/>
      <c r="Z869" s="423"/>
    </row>
    <row r="870">
      <c r="A870" s="564">
        <v>868.0</v>
      </c>
      <c r="B870" s="565" t="s">
        <v>5956</v>
      </c>
      <c r="C870" s="565" t="s">
        <v>5942</v>
      </c>
      <c r="D870" s="564">
        <v>2.0</v>
      </c>
      <c r="E870" s="564">
        <v>0.0</v>
      </c>
      <c r="F870" s="564">
        <v>0.0</v>
      </c>
      <c r="G870" s="564">
        <v>6.0</v>
      </c>
      <c r="H870" s="564">
        <v>0.0</v>
      </c>
      <c r="I870" s="423"/>
      <c r="J870" s="423"/>
      <c r="K870" s="423"/>
      <c r="L870" s="423"/>
      <c r="M870" s="423"/>
      <c r="N870" s="423"/>
      <c r="O870" s="423"/>
      <c r="P870" s="423"/>
      <c r="Q870" s="423"/>
      <c r="R870" s="423"/>
      <c r="S870" s="423"/>
      <c r="T870" s="423"/>
      <c r="U870" s="423"/>
      <c r="V870" s="423"/>
      <c r="W870" s="423"/>
      <c r="X870" s="423"/>
      <c r="Y870" s="423"/>
      <c r="Z870" s="423"/>
    </row>
    <row r="871">
      <c r="A871" s="562">
        <v>869.0</v>
      </c>
      <c r="B871" s="563" t="s">
        <v>5957</v>
      </c>
      <c r="C871" s="563" t="s">
        <v>5942</v>
      </c>
      <c r="D871" s="562">
        <v>2.0</v>
      </c>
      <c r="E871" s="562">
        <v>0.0</v>
      </c>
      <c r="F871" s="562">
        <v>0.0</v>
      </c>
      <c r="G871" s="562">
        <v>6.0</v>
      </c>
      <c r="H871" s="562">
        <v>0.0</v>
      </c>
      <c r="I871" s="423"/>
      <c r="J871" s="423"/>
      <c r="K871" s="423"/>
      <c r="L871" s="423"/>
      <c r="M871" s="423"/>
      <c r="N871" s="423"/>
      <c r="O871" s="423"/>
      <c r="P871" s="423"/>
      <c r="Q871" s="423"/>
      <c r="R871" s="423"/>
      <c r="S871" s="423"/>
      <c r="T871" s="423"/>
      <c r="U871" s="423"/>
      <c r="V871" s="423"/>
      <c r="W871" s="423"/>
      <c r="X871" s="423"/>
      <c r="Y871" s="423"/>
      <c r="Z871" s="423"/>
    </row>
    <row r="872">
      <c r="A872" s="564">
        <v>870.0</v>
      </c>
      <c r="B872" s="565" t="s">
        <v>5958</v>
      </c>
      <c r="C872" s="565" t="s">
        <v>5942</v>
      </c>
      <c r="D872" s="564">
        <v>0.0</v>
      </c>
      <c r="E872" s="564">
        <v>0.0</v>
      </c>
      <c r="F872" s="564">
        <v>0.0</v>
      </c>
      <c r="G872" s="564">
        <v>8.0</v>
      </c>
      <c r="H872" s="564">
        <v>0.0</v>
      </c>
      <c r="I872" s="423"/>
      <c r="J872" s="423"/>
      <c r="K872" s="423"/>
      <c r="L872" s="423"/>
      <c r="M872" s="423"/>
      <c r="N872" s="423"/>
      <c r="O872" s="423"/>
      <c r="P872" s="423"/>
      <c r="Q872" s="423"/>
      <c r="R872" s="423"/>
      <c r="S872" s="423"/>
      <c r="T872" s="423"/>
      <c r="U872" s="423"/>
      <c r="V872" s="423"/>
      <c r="W872" s="423"/>
      <c r="X872" s="423"/>
      <c r="Y872" s="423"/>
      <c r="Z872" s="423"/>
    </row>
    <row r="873">
      <c r="A873" s="562">
        <v>871.0</v>
      </c>
      <c r="B873" s="563" t="s">
        <v>5959</v>
      </c>
      <c r="C873" s="563" t="s">
        <v>5942</v>
      </c>
      <c r="D873" s="562">
        <v>0.0</v>
      </c>
      <c r="E873" s="562">
        <v>0.0</v>
      </c>
      <c r="F873" s="562">
        <v>0.0</v>
      </c>
      <c r="G873" s="562">
        <v>8.0</v>
      </c>
      <c r="H873" s="562">
        <v>0.0</v>
      </c>
      <c r="I873" s="423"/>
      <c r="J873" s="423"/>
      <c r="K873" s="423"/>
      <c r="L873" s="423"/>
      <c r="M873" s="423"/>
      <c r="N873" s="423"/>
      <c r="O873" s="423"/>
      <c r="P873" s="423"/>
      <c r="Q873" s="423"/>
      <c r="R873" s="423"/>
      <c r="S873" s="423"/>
      <c r="T873" s="423"/>
      <c r="U873" s="423"/>
      <c r="V873" s="423"/>
      <c r="W873" s="423"/>
      <c r="X873" s="423"/>
      <c r="Y873" s="423"/>
      <c r="Z873" s="423"/>
    </row>
    <row r="874">
      <c r="A874" s="564">
        <v>872.0</v>
      </c>
      <c r="B874" s="565" t="s">
        <v>5960</v>
      </c>
      <c r="C874" s="565" t="s">
        <v>5942</v>
      </c>
      <c r="D874" s="564">
        <v>0.0</v>
      </c>
      <c r="E874" s="564">
        <v>0.0</v>
      </c>
      <c r="F874" s="564">
        <v>0.0</v>
      </c>
      <c r="G874" s="564">
        <v>8.0</v>
      </c>
      <c r="H874" s="564">
        <v>0.0</v>
      </c>
      <c r="I874" s="423"/>
      <c r="J874" s="423"/>
      <c r="K874" s="423"/>
      <c r="L874" s="423"/>
      <c r="M874" s="423"/>
      <c r="N874" s="423"/>
      <c r="O874" s="423"/>
      <c r="P874" s="423"/>
      <c r="Q874" s="423"/>
      <c r="R874" s="423"/>
      <c r="S874" s="423"/>
      <c r="T874" s="423"/>
      <c r="U874" s="423"/>
      <c r="V874" s="423"/>
      <c r="W874" s="423"/>
      <c r="X874" s="423"/>
      <c r="Y874" s="423"/>
      <c r="Z874" s="423"/>
    </row>
    <row r="875">
      <c r="A875" s="562">
        <v>873.0</v>
      </c>
      <c r="B875" s="563" t="s">
        <v>5961</v>
      </c>
      <c r="C875" s="563" t="s">
        <v>5942</v>
      </c>
      <c r="D875" s="562">
        <v>0.0</v>
      </c>
      <c r="E875" s="562">
        <v>0.0</v>
      </c>
      <c r="F875" s="562">
        <v>0.0</v>
      </c>
      <c r="G875" s="562">
        <v>8.0</v>
      </c>
      <c r="H875" s="562">
        <v>0.0</v>
      </c>
      <c r="I875" s="423"/>
      <c r="J875" s="423"/>
      <c r="K875" s="423"/>
      <c r="L875" s="423"/>
      <c r="M875" s="423"/>
      <c r="N875" s="423"/>
      <c r="O875" s="423"/>
      <c r="P875" s="423"/>
      <c r="Q875" s="423"/>
      <c r="R875" s="423"/>
      <c r="S875" s="423"/>
      <c r="T875" s="423"/>
      <c r="U875" s="423"/>
      <c r="V875" s="423"/>
      <c r="W875" s="423"/>
      <c r="X875" s="423"/>
      <c r="Y875" s="423"/>
      <c r="Z875" s="423"/>
    </row>
    <row r="876">
      <c r="A876" s="564">
        <v>874.0</v>
      </c>
      <c r="B876" s="565" t="s">
        <v>5962</v>
      </c>
      <c r="C876" s="565" t="s">
        <v>5942</v>
      </c>
      <c r="D876" s="564">
        <v>0.0</v>
      </c>
      <c r="E876" s="564">
        <v>0.0</v>
      </c>
      <c r="F876" s="564">
        <v>0.0</v>
      </c>
      <c r="G876" s="564">
        <v>8.0</v>
      </c>
      <c r="H876" s="564">
        <v>0.0</v>
      </c>
      <c r="I876" s="423"/>
      <c r="J876" s="423"/>
      <c r="K876" s="423"/>
      <c r="L876" s="423"/>
      <c r="M876" s="423"/>
      <c r="N876" s="423"/>
      <c r="O876" s="423"/>
      <c r="P876" s="423"/>
      <c r="Q876" s="423"/>
      <c r="R876" s="423"/>
      <c r="S876" s="423"/>
      <c r="T876" s="423"/>
      <c r="U876" s="423"/>
      <c r="V876" s="423"/>
      <c r="W876" s="423"/>
      <c r="X876" s="423"/>
      <c r="Y876" s="423"/>
      <c r="Z876" s="423"/>
    </row>
    <row r="877">
      <c r="A877" s="562">
        <v>875.0</v>
      </c>
      <c r="B877" s="563" t="s">
        <v>5963</v>
      </c>
      <c r="C877" s="563" t="s">
        <v>5942</v>
      </c>
      <c r="D877" s="562">
        <v>0.0</v>
      </c>
      <c r="E877" s="562">
        <v>0.0</v>
      </c>
      <c r="F877" s="562">
        <v>0.0</v>
      </c>
      <c r="G877" s="562">
        <v>8.0</v>
      </c>
      <c r="H877" s="562">
        <v>0.0</v>
      </c>
      <c r="I877" s="423"/>
      <c r="J877" s="423"/>
      <c r="K877" s="423"/>
      <c r="L877" s="423"/>
      <c r="M877" s="423"/>
      <c r="N877" s="423"/>
      <c r="O877" s="423"/>
      <c r="P877" s="423"/>
      <c r="Q877" s="423"/>
      <c r="R877" s="423"/>
      <c r="S877" s="423"/>
      <c r="T877" s="423"/>
      <c r="U877" s="423"/>
      <c r="V877" s="423"/>
      <c r="W877" s="423"/>
      <c r="X877" s="423"/>
      <c r="Y877" s="423"/>
      <c r="Z877" s="423"/>
    </row>
    <row r="878">
      <c r="A878" s="564">
        <v>876.0</v>
      </c>
      <c r="B878" s="565" t="s">
        <v>5964</v>
      </c>
      <c r="C878" s="565" t="s">
        <v>5942</v>
      </c>
      <c r="D878" s="564">
        <v>0.0</v>
      </c>
      <c r="E878" s="564">
        <v>0.0</v>
      </c>
      <c r="F878" s="564">
        <v>0.0</v>
      </c>
      <c r="G878" s="564">
        <v>8.0</v>
      </c>
      <c r="H878" s="564">
        <v>0.0</v>
      </c>
      <c r="I878" s="423"/>
      <c r="J878" s="423"/>
      <c r="K878" s="423"/>
      <c r="L878" s="423"/>
      <c r="M878" s="423"/>
      <c r="N878" s="423"/>
      <c r="O878" s="423"/>
      <c r="P878" s="423"/>
      <c r="Q878" s="423"/>
      <c r="R878" s="423"/>
      <c r="S878" s="423"/>
      <c r="T878" s="423"/>
      <c r="U878" s="423"/>
      <c r="V878" s="423"/>
      <c r="W878" s="423"/>
      <c r="X878" s="423"/>
      <c r="Y878" s="423"/>
      <c r="Z878" s="423"/>
    </row>
    <row r="879">
      <c r="A879" s="562">
        <v>877.0</v>
      </c>
      <c r="B879" s="563" t="s">
        <v>5965</v>
      </c>
      <c r="C879" s="563" t="s">
        <v>5942</v>
      </c>
      <c r="D879" s="562">
        <v>0.0</v>
      </c>
      <c r="E879" s="562">
        <v>0.0</v>
      </c>
      <c r="F879" s="562">
        <v>0.0</v>
      </c>
      <c r="G879" s="562">
        <v>8.0</v>
      </c>
      <c r="H879" s="562">
        <v>0.0</v>
      </c>
      <c r="I879" s="423"/>
      <c r="J879" s="423"/>
      <c r="K879" s="423"/>
      <c r="L879" s="423"/>
      <c r="M879" s="423"/>
      <c r="N879" s="423"/>
      <c r="O879" s="423"/>
      <c r="P879" s="423"/>
      <c r="Q879" s="423"/>
      <c r="R879" s="423"/>
      <c r="S879" s="423"/>
      <c r="T879" s="423"/>
      <c r="U879" s="423"/>
      <c r="V879" s="423"/>
      <c r="W879" s="423"/>
      <c r="X879" s="423"/>
      <c r="Y879" s="423"/>
      <c r="Z879" s="423"/>
    </row>
    <row r="880">
      <c r="A880" s="564">
        <v>878.0</v>
      </c>
      <c r="B880" s="565" t="s">
        <v>5966</v>
      </c>
      <c r="C880" s="565" t="s">
        <v>5942</v>
      </c>
      <c r="D880" s="564">
        <v>0.0</v>
      </c>
      <c r="E880" s="564">
        <v>0.0</v>
      </c>
      <c r="F880" s="564">
        <v>0.0</v>
      </c>
      <c r="G880" s="564">
        <v>8.0</v>
      </c>
      <c r="H880" s="564">
        <v>0.0</v>
      </c>
      <c r="I880" s="423"/>
      <c r="J880" s="423"/>
      <c r="K880" s="423"/>
      <c r="L880" s="423"/>
      <c r="M880" s="423"/>
      <c r="N880" s="423"/>
      <c r="O880" s="423"/>
      <c r="P880" s="423"/>
      <c r="Q880" s="423"/>
      <c r="R880" s="423"/>
      <c r="S880" s="423"/>
      <c r="T880" s="423"/>
      <c r="U880" s="423"/>
      <c r="V880" s="423"/>
      <c r="W880" s="423"/>
      <c r="X880" s="423"/>
      <c r="Y880" s="423"/>
      <c r="Z880" s="423"/>
    </row>
    <row r="881">
      <c r="A881" s="562">
        <v>879.0</v>
      </c>
      <c r="B881" s="563" t="s">
        <v>5967</v>
      </c>
      <c r="C881" s="563" t="s">
        <v>5942</v>
      </c>
      <c r="D881" s="562">
        <v>0.0</v>
      </c>
      <c r="E881" s="562">
        <v>0.0</v>
      </c>
      <c r="F881" s="562">
        <v>0.0</v>
      </c>
      <c r="G881" s="562">
        <v>8.0</v>
      </c>
      <c r="H881" s="562">
        <v>0.0</v>
      </c>
      <c r="I881" s="423"/>
      <c r="J881" s="423"/>
      <c r="K881" s="423"/>
      <c r="L881" s="423"/>
      <c r="M881" s="423"/>
      <c r="N881" s="423"/>
      <c r="O881" s="423"/>
      <c r="P881" s="423"/>
      <c r="Q881" s="423"/>
      <c r="R881" s="423"/>
      <c r="S881" s="423"/>
      <c r="T881" s="423"/>
      <c r="U881" s="423"/>
      <c r="V881" s="423"/>
      <c r="W881" s="423"/>
      <c r="X881" s="423"/>
      <c r="Y881" s="423"/>
      <c r="Z881" s="423"/>
    </row>
    <row r="882">
      <c r="A882" s="564">
        <v>880.0</v>
      </c>
      <c r="B882" s="565" t="s">
        <v>5968</v>
      </c>
      <c r="C882" s="565" t="s">
        <v>5942</v>
      </c>
      <c r="D882" s="564">
        <v>2.0</v>
      </c>
      <c r="E882" s="564">
        <v>0.0</v>
      </c>
      <c r="F882" s="564">
        <v>0.0</v>
      </c>
      <c r="G882" s="564">
        <v>6.0</v>
      </c>
      <c r="H882" s="564">
        <v>0.0</v>
      </c>
      <c r="I882" s="423"/>
      <c r="J882" s="423"/>
      <c r="K882" s="423"/>
      <c r="L882" s="423"/>
      <c r="M882" s="423"/>
      <c r="N882" s="423"/>
      <c r="O882" s="423"/>
      <c r="P882" s="423"/>
      <c r="Q882" s="423"/>
      <c r="R882" s="423"/>
      <c r="S882" s="423"/>
      <c r="T882" s="423"/>
      <c r="U882" s="423"/>
      <c r="V882" s="423"/>
      <c r="W882" s="423"/>
      <c r="X882" s="423"/>
      <c r="Y882" s="423"/>
      <c r="Z882" s="423"/>
    </row>
    <row r="883">
      <c r="A883" s="562">
        <v>881.0</v>
      </c>
      <c r="B883" s="563" t="s">
        <v>5969</v>
      </c>
      <c r="C883" s="563" t="s">
        <v>5942</v>
      </c>
      <c r="D883" s="562">
        <v>0.0</v>
      </c>
      <c r="E883" s="562">
        <v>0.0</v>
      </c>
      <c r="F883" s="562">
        <v>0.0</v>
      </c>
      <c r="G883" s="562">
        <v>8.0</v>
      </c>
      <c r="H883" s="562">
        <v>0.0</v>
      </c>
      <c r="I883" s="423"/>
      <c r="J883" s="423"/>
      <c r="K883" s="423"/>
      <c r="L883" s="423"/>
      <c r="M883" s="423"/>
      <c r="N883" s="423"/>
      <c r="O883" s="423"/>
      <c r="P883" s="423"/>
      <c r="Q883" s="423"/>
      <c r="R883" s="423"/>
      <c r="S883" s="423"/>
      <c r="T883" s="423"/>
      <c r="U883" s="423"/>
      <c r="V883" s="423"/>
      <c r="W883" s="423"/>
      <c r="X883" s="423"/>
      <c r="Y883" s="423"/>
      <c r="Z883" s="423"/>
    </row>
    <row r="884">
      <c r="A884" s="564">
        <v>882.0</v>
      </c>
      <c r="B884" s="565" t="s">
        <v>5970</v>
      </c>
      <c r="C884" s="565" t="s">
        <v>5942</v>
      </c>
      <c r="D884" s="564">
        <v>0.0</v>
      </c>
      <c r="E884" s="564">
        <v>0.0</v>
      </c>
      <c r="F884" s="564">
        <v>0.0</v>
      </c>
      <c r="G884" s="564">
        <v>8.0</v>
      </c>
      <c r="H884" s="564">
        <v>0.0</v>
      </c>
      <c r="I884" s="423"/>
      <c r="J884" s="423"/>
      <c r="K884" s="423"/>
      <c r="L884" s="423"/>
      <c r="M884" s="423"/>
      <c r="N884" s="423"/>
      <c r="O884" s="423"/>
      <c r="P884" s="423"/>
      <c r="Q884" s="423"/>
      <c r="R884" s="423"/>
      <c r="S884" s="423"/>
      <c r="T884" s="423"/>
      <c r="U884" s="423"/>
      <c r="V884" s="423"/>
      <c r="W884" s="423"/>
      <c r="X884" s="423"/>
      <c r="Y884" s="423"/>
      <c r="Z884" s="423"/>
    </row>
    <row r="885">
      <c r="A885" s="562">
        <v>883.0</v>
      </c>
      <c r="B885" s="563" t="s">
        <v>5971</v>
      </c>
      <c r="C885" s="563" t="s">
        <v>5942</v>
      </c>
      <c r="D885" s="562">
        <v>0.0</v>
      </c>
      <c r="E885" s="562">
        <v>0.0</v>
      </c>
      <c r="F885" s="562">
        <v>0.0</v>
      </c>
      <c r="G885" s="562">
        <v>8.0</v>
      </c>
      <c r="H885" s="562">
        <v>0.0</v>
      </c>
      <c r="I885" s="423"/>
      <c r="J885" s="423"/>
      <c r="K885" s="423"/>
      <c r="L885" s="423"/>
      <c r="M885" s="423"/>
      <c r="N885" s="423"/>
      <c r="O885" s="423"/>
      <c r="P885" s="423"/>
      <c r="Q885" s="423"/>
      <c r="R885" s="423"/>
      <c r="S885" s="423"/>
      <c r="T885" s="423"/>
      <c r="U885" s="423"/>
      <c r="V885" s="423"/>
      <c r="W885" s="423"/>
      <c r="X885" s="423"/>
      <c r="Y885" s="423"/>
      <c r="Z885" s="423"/>
    </row>
    <row r="886">
      <c r="A886" s="564">
        <v>884.0</v>
      </c>
      <c r="B886" s="565" t="s">
        <v>5972</v>
      </c>
      <c r="C886" s="565" t="s">
        <v>5942</v>
      </c>
      <c r="D886" s="564">
        <v>0.0</v>
      </c>
      <c r="E886" s="564">
        <v>0.0</v>
      </c>
      <c r="F886" s="564">
        <v>0.0</v>
      </c>
      <c r="G886" s="564">
        <v>8.0</v>
      </c>
      <c r="H886" s="564">
        <v>0.0</v>
      </c>
      <c r="I886" s="423"/>
      <c r="J886" s="423"/>
      <c r="K886" s="423"/>
      <c r="L886" s="423"/>
      <c r="M886" s="423"/>
      <c r="N886" s="423"/>
      <c r="O886" s="423"/>
      <c r="P886" s="423"/>
      <c r="Q886" s="423"/>
      <c r="R886" s="423"/>
      <c r="S886" s="423"/>
      <c r="T886" s="423"/>
      <c r="U886" s="423"/>
      <c r="V886" s="423"/>
      <c r="W886" s="423"/>
      <c r="X886" s="423"/>
      <c r="Y886" s="423"/>
      <c r="Z886" s="423"/>
    </row>
    <row r="887">
      <c r="A887" s="562">
        <v>885.0</v>
      </c>
      <c r="B887" s="563" t="s">
        <v>5973</v>
      </c>
      <c r="C887" s="563" t="s">
        <v>5942</v>
      </c>
      <c r="D887" s="562">
        <v>2.0</v>
      </c>
      <c r="E887" s="562">
        <v>0.0</v>
      </c>
      <c r="F887" s="562">
        <v>0.0</v>
      </c>
      <c r="G887" s="562">
        <v>6.0</v>
      </c>
      <c r="H887" s="562">
        <v>0.0</v>
      </c>
      <c r="I887" s="423"/>
      <c r="J887" s="423"/>
      <c r="K887" s="423"/>
      <c r="L887" s="423"/>
      <c r="M887" s="423"/>
      <c r="N887" s="423"/>
      <c r="O887" s="423"/>
      <c r="P887" s="423"/>
      <c r="Q887" s="423"/>
      <c r="R887" s="423"/>
      <c r="S887" s="423"/>
      <c r="T887" s="423"/>
      <c r="U887" s="423"/>
      <c r="V887" s="423"/>
      <c r="W887" s="423"/>
      <c r="X887" s="423"/>
      <c r="Y887" s="423"/>
      <c r="Z887" s="423"/>
    </row>
    <row r="888">
      <c r="A888" s="564">
        <v>886.0</v>
      </c>
      <c r="B888" s="565" t="s">
        <v>5974</v>
      </c>
      <c r="C888" s="565" t="s">
        <v>5942</v>
      </c>
      <c r="D888" s="564">
        <v>0.0</v>
      </c>
      <c r="E888" s="564">
        <v>0.0</v>
      </c>
      <c r="F888" s="564">
        <v>0.0</v>
      </c>
      <c r="G888" s="564">
        <v>8.0</v>
      </c>
      <c r="H888" s="564">
        <v>0.0</v>
      </c>
      <c r="I888" s="423"/>
      <c r="J888" s="423"/>
      <c r="K888" s="423"/>
      <c r="L888" s="423"/>
      <c r="M888" s="423"/>
      <c r="N888" s="423"/>
      <c r="O888" s="423"/>
      <c r="P888" s="423"/>
      <c r="Q888" s="423"/>
      <c r="R888" s="423"/>
      <c r="S888" s="423"/>
      <c r="T888" s="423"/>
      <c r="U888" s="423"/>
      <c r="V888" s="423"/>
      <c r="W888" s="423"/>
      <c r="X888" s="423"/>
      <c r="Y888" s="423"/>
      <c r="Z888" s="423"/>
    </row>
    <row r="889">
      <c r="A889" s="562">
        <v>887.0</v>
      </c>
      <c r="B889" s="563" t="s">
        <v>5975</v>
      </c>
      <c r="C889" s="563" t="s">
        <v>5942</v>
      </c>
      <c r="D889" s="562">
        <v>0.0</v>
      </c>
      <c r="E889" s="562">
        <v>0.0</v>
      </c>
      <c r="F889" s="562">
        <v>0.0</v>
      </c>
      <c r="G889" s="562">
        <v>8.0</v>
      </c>
      <c r="H889" s="562">
        <v>0.0</v>
      </c>
      <c r="I889" s="423"/>
      <c r="J889" s="423"/>
      <c r="K889" s="423"/>
      <c r="L889" s="423"/>
      <c r="M889" s="423"/>
      <c r="N889" s="423"/>
      <c r="O889" s="423"/>
      <c r="P889" s="423"/>
      <c r="Q889" s="423"/>
      <c r="R889" s="423"/>
      <c r="S889" s="423"/>
      <c r="T889" s="423"/>
      <c r="U889" s="423"/>
      <c r="V889" s="423"/>
      <c r="W889" s="423"/>
      <c r="X889" s="423"/>
      <c r="Y889" s="423"/>
      <c r="Z889" s="423"/>
    </row>
    <row r="890">
      <c r="A890" s="564">
        <v>888.0</v>
      </c>
      <c r="B890" s="565" t="s">
        <v>5976</v>
      </c>
      <c r="C890" s="565" t="s">
        <v>5942</v>
      </c>
      <c r="D890" s="564">
        <v>4.0</v>
      </c>
      <c r="E890" s="564">
        <v>0.0</v>
      </c>
      <c r="F890" s="564">
        <v>0.0</v>
      </c>
      <c r="G890" s="564">
        <v>4.0</v>
      </c>
      <c r="H890" s="564">
        <v>0.0</v>
      </c>
      <c r="I890" s="423"/>
      <c r="J890" s="423"/>
      <c r="K890" s="423"/>
      <c r="L890" s="423"/>
      <c r="M890" s="423"/>
      <c r="N890" s="423"/>
      <c r="O890" s="423"/>
      <c r="P890" s="423"/>
      <c r="Q890" s="423"/>
      <c r="R890" s="423"/>
      <c r="S890" s="423"/>
      <c r="T890" s="423"/>
      <c r="U890" s="423"/>
      <c r="V890" s="423"/>
      <c r="W890" s="423"/>
      <c r="X890" s="423"/>
      <c r="Y890" s="423"/>
      <c r="Z890" s="423"/>
    </row>
    <row r="891">
      <c r="A891" s="562">
        <v>889.0</v>
      </c>
      <c r="B891" s="563" t="s">
        <v>5977</v>
      </c>
      <c r="C891" s="563" t="s">
        <v>5942</v>
      </c>
      <c r="D891" s="562">
        <v>0.0</v>
      </c>
      <c r="E891" s="562">
        <v>0.0</v>
      </c>
      <c r="F891" s="562">
        <v>0.0</v>
      </c>
      <c r="G891" s="562">
        <v>8.0</v>
      </c>
      <c r="H891" s="562">
        <v>0.0</v>
      </c>
      <c r="I891" s="423"/>
      <c r="J891" s="423"/>
      <c r="K891" s="423"/>
      <c r="L891" s="423"/>
      <c r="M891" s="423"/>
      <c r="N891" s="423"/>
      <c r="O891" s="423"/>
      <c r="P891" s="423"/>
      <c r="Q891" s="423"/>
      <c r="R891" s="423"/>
      <c r="S891" s="423"/>
      <c r="T891" s="423"/>
      <c r="U891" s="423"/>
      <c r="V891" s="423"/>
      <c r="W891" s="423"/>
      <c r="X891" s="423"/>
      <c r="Y891" s="423"/>
      <c r="Z891" s="423"/>
    </row>
    <row r="892">
      <c r="A892" s="564">
        <v>890.0</v>
      </c>
      <c r="B892" s="565" t="s">
        <v>5978</v>
      </c>
      <c r="C892" s="565" t="s">
        <v>5979</v>
      </c>
      <c r="D892" s="564">
        <v>0.0</v>
      </c>
      <c r="E892" s="564">
        <v>0.0</v>
      </c>
      <c r="F892" s="564">
        <v>0.0</v>
      </c>
      <c r="G892" s="564">
        <v>8.0</v>
      </c>
      <c r="H892" s="564">
        <v>0.0</v>
      </c>
      <c r="I892" s="423"/>
      <c r="J892" s="423"/>
      <c r="K892" s="423"/>
      <c r="L892" s="423"/>
      <c r="M892" s="423"/>
      <c r="N892" s="423"/>
      <c r="O892" s="423"/>
      <c r="P892" s="423"/>
      <c r="Q892" s="423"/>
      <c r="R892" s="423"/>
      <c r="S892" s="423"/>
      <c r="T892" s="423"/>
      <c r="U892" s="423"/>
      <c r="V892" s="423"/>
      <c r="W892" s="423"/>
      <c r="X892" s="423"/>
      <c r="Y892" s="423"/>
      <c r="Z892" s="423"/>
    </row>
    <row r="893">
      <c r="A893" s="562">
        <v>891.0</v>
      </c>
      <c r="B893" s="563" t="s">
        <v>5980</v>
      </c>
      <c r="C893" s="563" t="s">
        <v>5979</v>
      </c>
      <c r="D893" s="562">
        <v>0.0</v>
      </c>
      <c r="E893" s="562">
        <v>0.0</v>
      </c>
      <c r="F893" s="562">
        <v>0.0</v>
      </c>
      <c r="G893" s="562">
        <v>8.0</v>
      </c>
      <c r="H893" s="562">
        <v>0.0</v>
      </c>
      <c r="I893" s="423"/>
      <c r="J893" s="423"/>
      <c r="K893" s="423"/>
      <c r="L893" s="423"/>
      <c r="M893" s="423"/>
      <c r="N893" s="423"/>
      <c r="O893" s="423"/>
      <c r="P893" s="423"/>
      <c r="Q893" s="423"/>
      <c r="R893" s="423"/>
      <c r="S893" s="423"/>
      <c r="T893" s="423"/>
      <c r="U893" s="423"/>
      <c r="V893" s="423"/>
      <c r="W893" s="423"/>
      <c r="X893" s="423"/>
      <c r="Y893" s="423"/>
      <c r="Z893" s="423"/>
    </row>
    <row r="894">
      <c r="A894" s="564">
        <v>892.0</v>
      </c>
      <c r="B894" s="565" t="s">
        <v>5981</v>
      </c>
      <c r="C894" s="565" t="s">
        <v>5979</v>
      </c>
      <c r="D894" s="564">
        <v>2.0</v>
      </c>
      <c r="E894" s="564">
        <v>0.0</v>
      </c>
      <c r="F894" s="564">
        <v>0.0</v>
      </c>
      <c r="G894" s="564">
        <v>6.0</v>
      </c>
      <c r="H894" s="564">
        <v>0.0</v>
      </c>
      <c r="I894" s="423"/>
      <c r="J894" s="423"/>
      <c r="K894" s="423"/>
      <c r="L894" s="423"/>
      <c r="M894" s="423"/>
      <c r="N894" s="423"/>
      <c r="O894" s="423"/>
      <c r="P894" s="423"/>
      <c r="Q894" s="423"/>
      <c r="R894" s="423"/>
      <c r="S894" s="423"/>
      <c r="T894" s="423"/>
      <c r="U894" s="423"/>
      <c r="V894" s="423"/>
      <c r="W894" s="423"/>
      <c r="X894" s="423"/>
      <c r="Y894" s="423"/>
      <c r="Z894" s="423"/>
    </row>
    <row r="895">
      <c r="A895" s="562">
        <v>893.0</v>
      </c>
      <c r="B895" s="563" t="s">
        <v>5982</v>
      </c>
      <c r="C895" s="563" t="s">
        <v>5979</v>
      </c>
      <c r="D895" s="562">
        <v>0.0</v>
      </c>
      <c r="E895" s="562">
        <v>0.0</v>
      </c>
      <c r="F895" s="562">
        <v>0.0</v>
      </c>
      <c r="G895" s="562">
        <v>8.0</v>
      </c>
      <c r="H895" s="562">
        <v>0.0</v>
      </c>
      <c r="I895" s="423"/>
      <c r="J895" s="423"/>
      <c r="K895" s="423"/>
      <c r="L895" s="423"/>
      <c r="M895" s="423"/>
      <c r="N895" s="423"/>
      <c r="O895" s="423"/>
      <c r="P895" s="423"/>
      <c r="Q895" s="423"/>
      <c r="R895" s="423"/>
      <c r="S895" s="423"/>
      <c r="T895" s="423"/>
      <c r="U895" s="423"/>
      <c r="V895" s="423"/>
      <c r="W895" s="423"/>
      <c r="X895" s="423"/>
      <c r="Y895" s="423"/>
      <c r="Z895" s="423"/>
    </row>
    <row r="896">
      <c r="A896" s="564">
        <v>894.0</v>
      </c>
      <c r="B896" s="565" t="s">
        <v>5983</v>
      </c>
      <c r="C896" s="565" t="s">
        <v>5979</v>
      </c>
      <c r="D896" s="564">
        <v>2.0</v>
      </c>
      <c r="E896" s="564">
        <v>0.0</v>
      </c>
      <c r="F896" s="564">
        <v>1.0</v>
      </c>
      <c r="G896" s="564">
        <v>5.0</v>
      </c>
      <c r="H896" s="564">
        <v>0.0</v>
      </c>
      <c r="I896" s="423"/>
      <c r="J896" s="423"/>
      <c r="K896" s="423"/>
      <c r="L896" s="423"/>
      <c r="M896" s="423"/>
      <c r="N896" s="423"/>
      <c r="O896" s="423"/>
      <c r="P896" s="423"/>
      <c r="Q896" s="423"/>
      <c r="R896" s="423"/>
      <c r="S896" s="423"/>
      <c r="T896" s="423"/>
      <c r="U896" s="423"/>
      <c r="V896" s="423"/>
      <c r="W896" s="423"/>
      <c r="X896" s="423"/>
      <c r="Y896" s="423"/>
      <c r="Z896" s="423"/>
    </row>
    <row r="897">
      <c r="A897" s="562">
        <v>895.0</v>
      </c>
      <c r="B897" s="563" t="s">
        <v>5984</v>
      </c>
      <c r="C897" s="563" t="s">
        <v>5979</v>
      </c>
      <c r="D897" s="562">
        <v>0.0</v>
      </c>
      <c r="E897" s="562">
        <v>0.0</v>
      </c>
      <c r="F897" s="562">
        <v>0.0</v>
      </c>
      <c r="G897" s="562">
        <v>8.0</v>
      </c>
      <c r="H897" s="562">
        <v>0.0</v>
      </c>
      <c r="I897" s="423"/>
      <c r="J897" s="423"/>
      <c r="K897" s="423"/>
      <c r="L897" s="423"/>
      <c r="M897" s="423"/>
      <c r="N897" s="423"/>
      <c r="O897" s="423"/>
      <c r="P897" s="423"/>
      <c r="Q897" s="423"/>
      <c r="R897" s="423"/>
      <c r="S897" s="423"/>
      <c r="T897" s="423"/>
      <c r="U897" s="423"/>
      <c r="V897" s="423"/>
      <c r="W897" s="423"/>
      <c r="X897" s="423"/>
      <c r="Y897" s="423"/>
      <c r="Z897" s="423"/>
    </row>
    <row r="898">
      <c r="A898" s="564">
        <v>896.0</v>
      </c>
      <c r="B898" s="565" t="s">
        <v>5985</v>
      </c>
      <c r="C898" s="565" t="s">
        <v>5979</v>
      </c>
      <c r="D898" s="564">
        <v>0.0</v>
      </c>
      <c r="E898" s="564">
        <v>0.0</v>
      </c>
      <c r="F898" s="564">
        <v>0.0</v>
      </c>
      <c r="G898" s="564">
        <v>8.0</v>
      </c>
      <c r="H898" s="564">
        <v>0.0</v>
      </c>
      <c r="I898" s="423"/>
      <c r="J898" s="423"/>
      <c r="K898" s="423"/>
      <c r="L898" s="423"/>
      <c r="M898" s="423"/>
      <c r="N898" s="423"/>
      <c r="O898" s="423"/>
      <c r="P898" s="423"/>
      <c r="Q898" s="423"/>
      <c r="R898" s="423"/>
      <c r="S898" s="423"/>
      <c r="T898" s="423"/>
      <c r="U898" s="423"/>
      <c r="V898" s="423"/>
      <c r="W898" s="423"/>
      <c r="X898" s="423"/>
      <c r="Y898" s="423"/>
      <c r="Z898" s="423"/>
    </row>
    <row r="899">
      <c r="A899" s="562">
        <v>897.0</v>
      </c>
      <c r="B899" s="563" t="s">
        <v>5986</v>
      </c>
      <c r="C899" s="563" t="s">
        <v>5979</v>
      </c>
      <c r="D899" s="562">
        <v>0.0</v>
      </c>
      <c r="E899" s="562">
        <v>0.0</v>
      </c>
      <c r="F899" s="562">
        <v>0.0</v>
      </c>
      <c r="G899" s="562">
        <v>8.0</v>
      </c>
      <c r="H899" s="562">
        <v>0.0</v>
      </c>
      <c r="I899" s="423"/>
      <c r="J899" s="423"/>
      <c r="K899" s="423"/>
      <c r="L899" s="423"/>
      <c r="M899" s="423"/>
      <c r="N899" s="423"/>
      <c r="O899" s="423"/>
      <c r="P899" s="423"/>
      <c r="Q899" s="423"/>
      <c r="R899" s="423"/>
      <c r="S899" s="423"/>
      <c r="T899" s="423"/>
      <c r="U899" s="423"/>
      <c r="V899" s="423"/>
      <c r="W899" s="423"/>
      <c r="X899" s="423"/>
      <c r="Y899" s="423"/>
      <c r="Z899" s="423"/>
    </row>
    <row r="900">
      <c r="A900" s="564">
        <v>898.0</v>
      </c>
      <c r="B900" s="565" t="s">
        <v>5987</v>
      </c>
      <c r="C900" s="565" t="s">
        <v>5979</v>
      </c>
      <c r="D900" s="564">
        <v>0.0</v>
      </c>
      <c r="E900" s="564">
        <v>0.0</v>
      </c>
      <c r="F900" s="564">
        <v>0.0</v>
      </c>
      <c r="G900" s="564">
        <v>8.0</v>
      </c>
      <c r="H900" s="564">
        <v>0.0</v>
      </c>
      <c r="I900" s="423"/>
      <c r="J900" s="423"/>
      <c r="K900" s="423"/>
      <c r="L900" s="423"/>
      <c r="M900" s="423"/>
      <c r="N900" s="423"/>
      <c r="O900" s="423"/>
      <c r="P900" s="423"/>
      <c r="Q900" s="423"/>
      <c r="R900" s="423"/>
      <c r="S900" s="423"/>
      <c r="T900" s="423"/>
      <c r="U900" s="423"/>
      <c r="V900" s="423"/>
      <c r="W900" s="423"/>
      <c r="X900" s="423"/>
      <c r="Y900" s="423"/>
      <c r="Z900" s="423"/>
    </row>
    <row r="901">
      <c r="A901" s="562">
        <v>899.0</v>
      </c>
      <c r="B901" s="563" t="s">
        <v>5988</v>
      </c>
      <c r="C901" s="563" t="s">
        <v>5979</v>
      </c>
      <c r="D901" s="562">
        <v>0.0</v>
      </c>
      <c r="E901" s="562">
        <v>0.0</v>
      </c>
      <c r="F901" s="562">
        <v>0.0</v>
      </c>
      <c r="G901" s="562">
        <v>8.0</v>
      </c>
      <c r="H901" s="562">
        <v>0.0</v>
      </c>
      <c r="I901" s="423"/>
      <c r="J901" s="423"/>
      <c r="K901" s="423"/>
      <c r="L901" s="423"/>
      <c r="M901" s="423"/>
      <c r="N901" s="423"/>
      <c r="O901" s="423"/>
      <c r="P901" s="423"/>
      <c r="Q901" s="423"/>
      <c r="R901" s="423"/>
      <c r="S901" s="423"/>
      <c r="T901" s="423"/>
      <c r="U901" s="423"/>
      <c r="V901" s="423"/>
      <c r="W901" s="423"/>
      <c r="X901" s="423"/>
      <c r="Y901" s="423"/>
      <c r="Z901" s="423"/>
    </row>
    <row r="902">
      <c r="A902" s="564">
        <v>900.0</v>
      </c>
      <c r="B902" s="565" t="s">
        <v>5989</v>
      </c>
      <c r="C902" s="565" t="s">
        <v>5979</v>
      </c>
      <c r="D902" s="564">
        <v>0.0</v>
      </c>
      <c r="E902" s="564">
        <v>0.0</v>
      </c>
      <c r="F902" s="564">
        <v>0.0</v>
      </c>
      <c r="G902" s="564">
        <v>8.0</v>
      </c>
      <c r="H902" s="564">
        <v>0.0</v>
      </c>
      <c r="I902" s="423"/>
      <c r="J902" s="423"/>
      <c r="K902" s="423"/>
      <c r="L902" s="423"/>
      <c r="M902" s="423"/>
      <c r="N902" s="423"/>
      <c r="O902" s="423"/>
      <c r="P902" s="423"/>
      <c r="Q902" s="423"/>
      <c r="R902" s="423"/>
      <c r="S902" s="423"/>
      <c r="T902" s="423"/>
      <c r="U902" s="423"/>
      <c r="V902" s="423"/>
      <c r="W902" s="423"/>
      <c r="X902" s="423"/>
      <c r="Y902" s="423"/>
      <c r="Z902" s="423"/>
    </row>
    <row r="903">
      <c r="A903" s="562">
        <v>901.0</v>
      </c>
      <c r="B903" s="563" t="s">
        <v>5990</v>
      </c>
      <c r="C903" s="563" t="s">
        <v>5979</v>
      </c>
      <c r="D903" s="562">
        <v>0.0</v>
      </c>
      <c r="E903" s="562">
        <v>0.0</v>
      </c>
      <c r="F903" s="562">
        <v>0.0</v>
      </c>
      <c r="G903" s="562">
        <v>8.0</v>
      </c>
      <c r="H903" s="562">
        <v>0.0</v>
      </c>
      <c r="I903" s="423"/>
      <c r="J903" s="423"/>
      <c r="K903" s="423"/>
      <c r="L903" s="423"/>
      <c r="M903" s="423"/>
      <c r="N903" s="423"/>
      <c r="O903" s="423"/>
      <c r="P903" s="423"/>
      <c r="Q903" s="423"/>
      <c r="R903" s="423"/>
      <c r="S903" s="423"/>
      <c r="T903" s="423"/>
      <c r="U903" s="423"/>
      <c r="V903" s="423"/>
      <c r="W903" s="423"/>
      <c r="X903" s="423"/>
      <c r="Y903" s="423"/>
      <c r="Z903" s="423"/>
    </row>
    <row r="904">
      <c r="A904" s="564">
        <v>902.0</v>
      </c>
      <c r="B904" s="565" t="s">
        <v>5991</v>
      </c>
      <c r="C904" s="565" t="s">
        <v>5979</v>
      </c>
      <c r="D904" s="564">
        <v>1.0</v>
      </c>
      <c r="E904" s="564">
        <v>0.0</v>
      </c>
      <c r="F904" s="564">
        <v>0.0</v>
      </c>
      <c r="G904" s="564">
        <v>7.0</v>
      </c>
      <c r="H904" s="564">
        <v>0.0</v>
      </c>
      <c r="I904" s="423"/>
      <c r="J904" s="423"/>
      <c r="K904" s="423"/>
      <c r="L904" s="423"/>
      <c r="M904" s="423"/>
      <c r="N904" s="423"/>
      <c r="O904" s="423"/>
      <c r="P904" s="423"/>
      <c r="Q904" s="423"/>
      <c r="R904" s="423"/>
      <c r="S904" s="423"/>
      <c r="T904" s="423"/>
      <c r="U904" s="423"/>
      <c r="V904" s="423"/>
      <c r="W904" s="423"/>
      <c r="X904" s="423"/>
      <c r="Y904" s="423"/>
      <c r="Z904" s="423"/>
    </row>
    <row r="905">
      <c r="A905" s="562">
        <v>903.0</v>
      </c>
      <c r="B905" s="563" t="s">
        <v>5992</v>
      </c>
      <c r="C905" s="563" t="s">
        <v>5979</v>
      </c>
      <c r="D905" s="562">
        <v>1.0</v>
      </c>
      <c r="E905" s="562">
        <v>0.0</v>
      </c>
      <c r="F905" s="562">
        <v>0.0</v>
      </c>
      <c r="G905" s="562">
        <v>7.0</v>
      </c>
      <c r="H905" s="562">
        <v>0.0</v>
      </c>
      <c r="I905" s="423"/>
      <c r="J905" s="423"/>
      <c r="K905" s="423"/>
      <c r="L905" s="423"/>
      <c r="M905" s="423"/>
      <c r="N905" s="423"/>
      <c r="O905" s="423"/>
      <c r="P905" s="423"/>
      <c r="Q905" s="423"/>
      <c r="R905" s="423"/>
      <c r="S905" s="423"/>
      <c r="T905" s="423"/>
      <c r="U905" s="423"/>
      <c r="V905" s="423"/>
      <c r="W905" s="423"/>
      <c r="X905" s="423"/>
      <c r="Y905" s="423"/>
      <c r="Z905" s="423"/>
    </row>
    <row r="906">
      <c r="A906" s="564">
        <v>904.0</v>
      </c>
      <c r="B906" s="565" t="s">
        <v>5993</v>
      </c>
      <c r="C906" s="565" t="s">
        <v>5979</v>
      </c>
      <c r="D906" s="564">
        <v>0.0</v>
      </c>
      <c r="E906" s="564">
        <v>0.0</v>
      </c>
      <c r="F906" s="564">
        <v>0.0</v>
      </c>
      <c r="G906" s="564">
        <v>8.0</v>
      </c>
      <c r="H906" s="564">
        <v>0.0</v>
      </c>
      <c r="I906" s="423"/>
      <c r="J906" s="423"/>
      <c r="K906" s="423"/>
      <c r="L906" s="423"/>
      <c r="M906" s="423"/>
      <c r="N906" s="423"/>
      <c r="O906" s="423"/>
      <c r="P906" s="423"/>
      <c r="Q906" s="423"/>
      <c r="R906" s="423"/>
      <c r="S906" s="423"/>
      <c r="T906" s="423"/>
      <c r="U906" s="423"/>
      <c r="V906" s="423"/>
      <c r="W906" s="423"/>
      <c r="X906" s="423"/>
      <c r="Y906" s="423"/>
      <c r="Z906" s="423"/>
    </row>
    <row r="907">
      <c r="A907" s="562">
        <v>905.0</v>
      </c>
      <c r="B907" s="563" t="s">
        <v>5994</v>
      </c>
      <c r="C907" s="563" t="s">
        <v>5979</v>
      </c>
      <c r="D907" s="562">
        <v>3.0</v>
      </c>
      <c r="E907" s="562">
        <v>0.0</v>
      </c>
      <c r="F907" s="562">
        <v>1.0</v>
      </c>
      <c r="G907" s="562">
        <v>4.0</v>
      </c>
      <c r="H907" s="562">
        <v>0.0</v>
      </c>
      <c r="I907" s="423"/>
      <c r="J907" s="423"/>
      <c r="K907" s="423"/>
      <c r="L907" s="423"/>
      <c r="M907" s="423"/>
      <c r="N907" s="423"/>
      <c r="O907" s="423"/>
      <c r="P907" s="423"/>
      <c r="Q907" s="423"/>
      <c r="R907" s="423"/>
      <c r="S907" s="423"/>
      <c r="T907" s="423"/>
      <c r="U907" s="423"/>
      <c r="V907" s="423"/>
      <c r="W907" s="423"/>
      <c r="X907" s="423"/>
      <c r="Y907" s="423"/>
      <c r="Z907" s="423"/>
    </row>
    <row r="908">
      <c r="A908" s="564">
        <v>906.0</v>
      </c>
      <c r="B908" s="565" t="s">
        <v>5995</v>
      </c>
      <c r="C908" s="565" t="s">
        <v>5979</v>
      </c>
      <c r="D908" s="564">
        <v>0.0</v>
      </c>
      <c r="E908" s="564">
        <v>0.0</v>
      </c>
      <c r="F908" s="564">
        <v>0.0</v>
      </c>
      <c r="G908" s="564">
        <v>8.0</v>
      </c>
      <c r="H908" s="564">
        <v>0.0</v>
      </c>
      <c r="I908" s="423"/>
      <c r="J908" s="423"/>
      <c r="K908" s="423"/>
      <c r="L908" s="423"/>
      <c r="M908" s="423"/>
      <c r="N908" s="423"/>
      <c r="O908" s="423"/>
      <c r="P908" s="423"/>
      <c r="Q908" s="423"/>
      <c r="R908" s="423"/>
      <c r="S908" s="423"/>
      <c r="T908" s="423"/>
      <c r="U908" s="423"/>
      <c r="V908" s="423"/>
      <c r="W908" s="423"/>
      <c r="X908" s="423"/>
      <c r="Y908" s="423"/>
      <c r="Z908" s="423"/>
    </row>
    <row r="909">
      <c r="A909" s="562">
        <v>907.0</v>
      </c>
      <c r="B909" s="563" t="s">
        <v>5996</v>
      </c>
      <c r="C909" s="563" t="s">
        <v>5979</v>
      </c>
      <c r="D909" s="562">
        <v>0.0</v>
      </c>
      <c r="E909" s="562">
        <v>0.0</v>
      </c>
      <c r="F909" s="562">
        <v>0.0</v>
      </c>
      <c r="G909" s="562">
        <v>8.0</v>
      </c>
      <c r="H909" s="562">
        <v>0.0</v>
      </c>
      <c r="I909" s="423"/>
      <c r="J909" s="423"/>
      <c r="K909" s="423"/>
      <c r="L909" s="423"/>
      <c r="M909" s="423"/>
      <c r="N909" s="423"/>
      <c r="O909" s="423"/>
      <c r="P909" s="423"/>
      <c r="Q909" s="423"/>
      <c r="R909" s="423"/>
      <c r="S909" s="423"/>
      <c r="T909" s="423"/>
      <c r="U909" s="423"/>
      <c r="V909" s="423"/>
      <c r="W909" s="423"/>
      <c r="X909" s="423"/>
      <c r="Y909" s="423"/>
      <c r="Z909" s="423"/>
    </row>
    <row r="910">
      <c r="A910" s="564">
        <v>908.0</v>
      </c>
      <c r="B910" s="565" t="s">
        <v>5997</v>
      </c>
      <c r="C910" s="565" t="s">
        <v>5979</v>
      </c>
      <c r="D910" s="564">
        <v>0.0</v>
      </c>
      <c r="E910" s="564">
        <v>0.0</v>
      </c>
      <c r="F910" s="564">
        <v>0.0</v>
      </c>
      <c r="G910" s="564">
        <v>8.0</v>
      </c>
      <c r="H910" s="564">
        <v>0.0</v>
      </c>
      <c r="I910" s="423"/>
      <c r="J910" s="423"/>
      <c r="K910" s="423"/>
      <c r="L910" s="423"/>
      <c r="M910" s="423"/>
      <c r="N910" s="423"/>
      <c r="O910" s="423"/>
      <c r="P910" s="423"/>
      <c r="Q910" s="423"/>
      <c r="R910" s="423"/>
      <c r="S910" s="423"/>
      <c r="T910" s="423"/>
      <c r="U910" s="423"/>
      <c r="V910" s="423"/>
      <c r="W910" s="423"/>
      <c r="X910" s="423"/>
      <c r="Y910" s="423"/>
      <c r="Z910" s="423"/>
    </row>
    <row r="911">
      <c r="A911" s="562">
        <v>909.0</v>
      </c>
      <c r="B911" s="563" t="s">
        <v>5998</v>
      </c>
      <c r="C911" s="563" t="s">
        <v>5979</v>
      </c>
      <c r="D911" s="562">
        <v>0.0</v>
      </c>
      <c r="E911" s="562">
        <v>0.0</v>
      </c>
      <c r="F911" s="562">
        <v>0.0</v>
      </c>
      <c r="G911" s="562">
        <v>8.0</v>
      </c>
      <c r="H911" s="562">
        <v>0.0</v>
      </c>
      <c r="I911" s="423"/>
      <c r="J911" s="423"/>
      <c r="K911" s="423"/>
      <c r="L911" s="423"/>
      <c r="M911" s="423"/>
      <c r="N911" s="423"/>
      <c r="O911" s="423"/>
      <c r="P911" s="423"/>
      <c r="Q911" s="423"/>
      <c r="R911" s="423"/>
      <c r="S911" s="423"/>
      <c r="T911" s="423"/>
      <c r="U911" s="423"/>
      <c r="V911" s="423"/>
      <c r="W911" s="423"/>
      <c r="X911" s="423"/>
      <c r="Y911" s="423"/>
      <c r="Z911" s="423"/>
    </row>
    <row r="912">
      <c r="A912" s="564">
        <v>910.0</v>
      </c>
      <c r="B912" s="565" t="s">
        <v>5999</v>
      </c>
      <c r="C912" s="565" t="s">
        <v>5979</v>
      </c>
      <c r="D912" s="564">
        <v>0.0</v>
      </c>
      <c r="E912" s="564">
        <v>0.0</v>
      </c>
      <c r="F912" s="564">
        <v>0.0</v>
      </c>
      <c r="G912" s="564">
        <v>8.0</v>
      </c>
      <c r="H912" s="564">
        <v>0.0</v>
      </c>
      <c r="I912" s="423"/>
      <c r="J912" s="423"/>
      <c r="K912" s="423"/>
      <c r="L912" s="423"/>
      <c r="M912" s="423"/>
      <c r="N912" s="423"/>
      <c r="O912" s="423"/>
      <c r="P912" s="423"/>
      <c r="Q912" s="423"/>
      <c r="R912" s="423"/>
      <c r="S912" s="423"/>
      <c r="T912" s="423"/>
      <c r="U912" s="423"/>
      <c r="V912" s="423"/>
      <c r="W912" s="423"/>
      <c r="X912" s="423"/>
      <c r="Y912" s="423"/>
      <c r="Z912" s="423"/>
    </row>
    <row r="913">
      <c r="A913" s="562">
        <v>911.0</v>
      </c>
      <c r="B913" s="563" t="s">
        <v>6000</v>
      </c>
      <c r="C913" s="563" t="s">
        <v>5979</v>
      </c>
      <c r="D913" s="562">
        <v>0.0</v>
      </c>
      <c r="E913" s="562">
        <v>0.0</v>
      </c>
      <c r="F913" s="562">
        <v>0.0</v>
      </c>
      <c r="G913" s="562">
        <v>8.0</v>
      </c>
      <c r="H913" s="562">
        <v>0.0</v>
      </c>
      <c r="I913" s="423"/>
      <c r="J913" s="423"/>
      <c r="K913" s="423"/>
      <c r="L913" s="423"/>
      <c r="M913" s="423"/>
      <c r="N913" s="423"/>
      <c r="O913" s="423"/>
      <c r="P913" s="423"/>
      <c r="Q913" s="423"/>
      <c r="R913" s="423"/>
      <c r="S913" s="423"/>
      <c r="T913" s="423"/>
      <c r="U913" s="423"/>
      <c r="V913" s="423"/>
      <c r="W913" s="423"/>
      <c r="X913" s="423"/>
      <c r="Y913" s="423"/>
      <c r="Z913" s="423"/>
    </row>
    <row r="914">
      <c r="A914" s="564">
        <v>912.0</v>
      </c>
      <c r="B914" s="565" t="s">
        <v>6001</v>
      </c>
      <c r="C914" s="565" t="s">
        <v>5979</v>
      </c>
      <c r="D914" s="564">
        <v>0.0</v>
      </c>
      <c r="E914" s="564">
        <v>0.0</v>
      </c>
      <c r="F914" s="564">
        <v>0.0</v>
      </c>
      <c r="G914" s="564">
        <v>8.0</v>
      </c>
      <c r="H914" s="564">
        <v>0.0</v>
      </c>
      <c r="I914" s="423"/>
      <c r="J914" s="423"/>
      <c r="K914" s="423"/>
      <c r="L914" s="423"/>
      <c r="M914" s="423"/>
      <c r="N914" s="423"/>
      <c r="O914" s="423"/>
      <c r="P914" s="423"/>
      <c r="Q914" s="423"/>
      <c r="R914" s="423"/>
      <c r="S914" s="423"/>
      <c r="T914" s="423"/>
      <c r="U914" s="423"/>
      <c r="V914" s="423"/>
      <c r="W914" s="423"/>
      <c r="X914" s="423"/>
      <c r="Y914" s="423"/>
      <c r="Z914" s="423"/>
    </row>
    <row r="915">
      <c r="A915" s="562">
        <v>913.0</v>
      </c>
      <c r="B915" s="563" t="s">
        <v>6002</v>
      </c>
      <c r="C915" s="563" t="s">
        <v>5979</v>
      </c>
      <c r="D915" s="562">
        <v>2.0</v>
      </c>
      <c r="E915" s="562">
        <v>0.0</v>
      </c>
      <c r="F915" s="562">
        <v>0.0</v>
      </c>
      <c r="G915" s="562">
        <v>6.0</v>
      </c>
      <c r="H915" s="562">
        <v>0.0</v>
      </c>
      <c r="I915" s="423"/>
      <c r="J915" s="423"/>
      <c r="K915" s="423"/>
      <c r="L915" s="423"/>
      <c r="M915" s="423"/>
      <c r="N915" s="423"/>
      <c r="O915" s="423"/>
      <c r="P915" s="423"/>
      <c r="Q915" s="423"/>
      <c r="R915" s="423"/>
      <c r="S915" s="423"/>
      <c r="T915" s="423"/>
      <c r="U915" s="423"/>
      <c r="V915" s="423"/>
      <c r="W915" s="423"/>
      <c r="X915" s="423"/>
      <c r="Y915" s="423"/>
      <c r="Z915" s="423"/>
    </row>
    <row r="916">
      <c r="A916" s="564">
        <v>914.0</v>
      </c>
      <c r="B916" s="565" t="s">
        <v>6003</v>
      </c>
      <c r="C916" s="565" t="s">
        <v>5979</v>
      </c>
      <c r="D916" s="564">
        <v>0.0</v>
      </c>
      <c r="E916" s="564">
        <v>0.0</v>
      </c>
      <c r="F916" s="564">
        <v>0.0</v>
      </c>
      <c r="G916" s="564">
        <v>8.0</v>
      </c>
      <c r="H916" s="564">
        <v>0.0</v>
      </c>
      <c r="I916" s="423"/>
      <c r="J916" s="423"/>
      <c r="K916" s="423"/>
      <c r="L916" s="423"/>
      <c r="M916" s="423"/>
      <c r="N916" s="423"/>
      <c r="O916" s="423"/>
      <c r="P916" s="423"/>
      <c r="Q916" s="423"/>
      <c r="R916" s="423"/>
      <c r="S916" s="423"/>
      <c r="T916" s="423"/>
      <c r="U916" s="423"/>
      <c r="V916" s="423"/>
      <c r="W916" s="423"/>
      <c r="X916" s="423"/>
      <c r="Y916" s="423"/>
      <c r="Z916" s="423"/>
    </row>
    <row r="917">
      <c r="A917" s="562">
        <v>915.0</v>
      </c>
      <c r="B917" s="563" t="s">
        <v>6004</v>
      </c>
      <c r="C917" s="563" t="s">
        <v>5979</v>
      </c>
      <c r="D917" s="562">
        <v>0.0</v>
      </c>
      <c r="E917" s="562">
        <v>0.0</v>
      </c>
      <c r="F917" s="562">
        <v>0.0</v>
      </c>
      <c r="G917" s="562">
        <v>8.0</v>
      </c>
      <c r="H917" s="562">
        <v>0.0</v>
      </c>
      <c r="I917" s="423"/>
      <c r="J917" s="423"/>
      <c r="K917" s="423"/>
      <c r="L917" s="423"/>
      <c r="M917" s="423"/>
      <c r="N917" s="423"/>
      <c r="O917" s="423"/>
      <c r="P917" s="423"/>
      <c r="Q917" s="423"/>
      <c r="R917" s="423"/>
      <c r="S917" s="423"/>
      <c r="T917" s="423"/>
      <c r="U917" s="423"/>
      <c r="V917" s="423"/>
      <c r="W917" s="423"/>
      <c r="X917" s="423"/>
      <c r="Y917" s="423"/>
      <c r="Z917" s="423"/>
    </row>
    <row r="918">
      <c r="A918" s="564">
        <v>916.0</v>
      </c>
      <c r="B918" s="565" t="s">
        <v>6005</v>
      </c>
      <c r="C918" s="565" t="s">
        <v>5979</v>
      </c>
      <c r="D918" s="564">
        <v>0.0</v>
      </c>
      <c r="E918" s="564">
        <v>0.0</v>
      </c>
      <c r="F918" s="564">
        <v>0.0</v>
      </c>
      <c r="G918" s="564">
        <v>8.0</v>
      </c>
      <c r="H918" s="564">
        <v>0.0</v>
      </c>
      <c r="I918" s="423"/>
      <c r="J918" s="423"/>
      <c r="K918" s="423"/>
      <c r="L918" s="423"/>
      <c r="M918" s="423"/>
      <c r="N918" s="423"/>
      <c r="O918" s="423"/>
      <c r="P918" s="423"/>
      <c r="Q918" s="423"/>
      <c r="R918" s="423"/>
      <c r="S918" s="423"/>
      <c r="T918" s="423"/>
      <c r="U918" s="423"/>
      <c r="V918" s="423"/>
      <c r="W918" s="423"/>
      <c r="X918" s="423"/>
      <c r="Y918" s="423"/>
      <c r="Z918" s="423"/>
    </row>
    <row r="919">
      <c r="A919" s="562">
        <v>917.0</v>
      </c>
      <c r="B919" s="563" t="s">
        <v>6006</v>
      </c>
      <c r="C919" s="563" t="s">
        <v>5979</v>
      </c>
      <c r="D919" s="562">
        <v>0.0</v>
      </c>
      <c r="E919" s="562">
        <v>0.0</v>
      </c>
      <c r="F919" s="562">
        <v>0.0</v>
      </c>
      <c r="G919" s="562">
        <v>8.0</v>
      </c>
      <c r="H919" s="562">
        <v>0.0</v>
      </c>
      <c r="I919" s="423"/>
      <c r="J919" s="423"/>
      <c r="K919" s="423"/>
      <c r="L919" s="423"/>
      <c r="M919" s="423"/>
      <c r="N919" s="423"/>
      <c r="O919" s="423"/>
      <c r="P919" s="423"/>
      <c r="Q919" s="423"/>
      <c r="R919" s="423"/>
      <c r="S919" s="423"/>
      <c r="T919" s="423"/>
      <c r="U919" s="423"/>
      <c r="V919" s="423"/>
      <c r="W919" s="423"/>
      <c r="X919" s="423"/>
      <c r="Y919" s="423"/>
      <c r="Z919" s="423"/>
    </row>
    <row r="920">
      <c r="A920" s="564">
        <v>918.0</v>
      </c>
      <c r="B920" s="565" t="s">
        <v>6007</v>
      </c>
      <c r="C920" s="565" t="s">
        <v>5979</v>
      </c>
      <c r="D920" s="564">
        <v>0.0</v>
      </c>
      <c r="E920" s="564">
        <v>0.0</v>
      </c>
      <c r="F920" s="564">
        <v>0.0</v>
      </c>
      <c r="G920" s="564">
        <v>8.0</v>
      </c>
      <c r="H920" s="564">
        <v>0.0</v>
      </c>
      <c r="I920" s="423"/>
      <c r="J920" s="423"/>
      <c r="K920" s="423"/>
      <c r="L920" s="423"/>
      <c r="M920" s="423"/>
      <c r="N920" s="423"/>
      <c r="O920" s="423"/>
      <c r="P920" s="423"/>
      <c r="Q920" s="423"/>
      <c r="R920" s="423"/>
      <c r="S920" s="423"/>
      <c r="T920" s="423"/>
      <c r="U920" s="423"/>
      <c r="V920" s="423"/>
      <c r="W920" s="423"/>
      <c r="X920" s="423"/>
      <c r="Y920" s="423"/>
      <c r="Z920" s="423"/>
    </row>
    <row r="921">
      <c r="A921" s="562">
        <v>919.0</v>
      </c>
      <c r="B921" s="563" t="s">
        <v>6008</v>
      </c>
      <c r="C921" s="563" t="s">
        <v>5979</v>
      </c>
      <c r="D921" s="562">
        <v>0.0</v>
      </c>
      <c r="E921" s="562">
        <v>0.0</v>
      </c>
      <c r="F921" s="562">
        <v>0.0</v>
      </c>
      <c r="G921" s="562">
        <v>8.0</v>
      </c>
      <c r="H921" s="562">
        <v>0.0</v>
      </c>
      <c r="I921" s="423"/>
      <c r="J921" s="423"/>
      <c r="K921" s="423"/>
      <c r="L921" s="423"/>
      <c r="M921" s="423"/>
      <c r="N921" s="423"/>
      <c r="O921" s="423"/>
      <c r="P921" s="423"/>
      <c r="Q921" s="423"/>
      <c r="R921" s="423"/>
      <c r="S921" s="423"/>
      <c r="T921" s="423"/>
      <c r="U921" s="423"/>
      <c r="V921" s="423"/>
      <c r="W921" s="423"/>
      <c r="X921" s="423"/>
      <c r="Y921" s="423"/>
      <c r="Z921" s="423"/>
    </row>
    <row r="922">
      <c r="A922" s="564">
        <v>920.0</v>
      </c>
      <c r="B922" s="565" t="s">
        <v>6009</v>
      </c>
      <c r="C922" s="565" t="s">
        <v>5979</v>
      </c>
      <c r="D922" s="564">
        <v>0.0</v>
      </c>
      <c r="E922" s="564">
        <v>0.0</v>
      </c>
      <c r="F922" s="564">
        <v>0.0</v>
      </c>
      <c r="G922" s="564">
        <v>8.0</v>
      </c>
      <c r="H922" s="564">
        <v>0.0</v>
      </c>
      <c r="I922" s="423"/>
      <c r="J922" s="423"/>
      <c r="K922" s="423"/>
      <c r="L922" s="423"/>
      <c r="M922" s="423"/>
      <c r="N922" s="423"/>
      <c r="O922" s="423"/>
      <c r="P922" s="423"/>
      <c r="Q922" s="423"/>
      <c r="R922" s="423"/>
      <c r="S922" s="423"/>
      <c r="T922" s="423"/>
      <c r="U922" s="423"/>
      <c r="V922" s="423"/>
      <c r="W922" s="423"/>
      <c r="X922" s="423"/>
      <c r="Y922" s="423"/>
      <c r="Z922" s="423"/>
    </row>
    <row r="923">
      <c r="A923" s="562">
        <v>921.0</v>
      </c>
      <c r="B923" s="563" t="s">
        <v>6010</v>
      </c>
      <c r="C923" s="563" t="s">
        <v>5979</v>
      </c>
      <c r="D923" s="562">
        <v>0.0</v>
      </c>
      <c r="E923" s="562">
        <v>0.0</v>
      </c>
      <c r="F923" s="562">
        <v>0.0</v>
      </c>
      <c r="G923" s="562">
        <v>8.0</v>
      </c>
      <c r="H923" s="562">
        <v>0.0</v>
      </c>
      <c r="I923" s="423"/>
      <c r="J923" s="423"/>
      <c r="K923" s="423"/>
      <c r="L923" s="423"/>
      <c r="M923" s="423"/>
      <c r="N923" s="423"/>
      <c r="O923" s="423"/>
      <c r="P923" s="423"/>
      <c r="Q923" s="423"/>
      <c r="R923" s="423"/>
      <c r="S923" s="423"/>
      <c r="T923" s="423"/>
      <c r="U923" s="423"/>
      <c r="V923" s="423"/>
      <c r="W923" s="423"/>
      <c r="X923" s="423"/>
      <c r="Y923" s="423"/>
      <c r="Z923" s="423"/>
    </row>
    <row r="924">
      <c r="A924" s="564">
        <v>922.0</v>
      </c>
      <c r="B924" s="565" t="s">
        <v>6011</v>
      </c>
      <c r="C924" s="565" t="s">
        <v>5979</v>
      </c>
      <c r="D924" s="564">
        <v>0.0</v>
      </c>
      <c r="E924" s="564">
        <v>0.0</v>
      </c>
      <c r="F924" s="564">
        <v>0.0</v>
      </c>
      <c r="G924" s="564">
        <v>8.0</v>
      </c>
      <c r="H924" s="564">
        <v>0.0</v>
      </c>
      <c r="I924" s="423"/>
      <c r="J924" s="423"/>
      <c r="K924" s="423"/>
      <c r="L924" s="423"/>
      <c r="M924" s="423"/>
      <c r="N924" s="423"/>
      <c r="O924" s="423"/>
      <c r="P924" s="423"/>
      <c r="Q924" s="423"/>
      <c r="R924" s="423"/>
      <c r="S924" s="423"/>
      <c r="T924" s="423"/>
      <c r="U924" s="423"/>
      <c r="V924" s="423"/>
      <c r="W924" s="423"/>
      <c r="X924" s="423"/>
      <c r="Y924" s="423"/>
      <c r="Z924" s="423"/>
    </row>
    <row r="925">
      <c r="A925" s="562">
        <v>923.0</v>
      </c>
      <c r="B925" s="563" t="s">
        <v>6012</v>
      </c>
      <c r="C925" s="563" t="s">
        <v>5979</v>
      </c>
      <c r="D925" s="562">
        <v>0.0</v>
      </c>
      <c r="E925" s="562">
        <v>0.0</v>
      </c>
      <c r="F925" s="562">
        <v>0.0</v>
      </c>
      <c r="G925" s="562">
        <v>8.0</v>
      </c>
      <c r="H925" s="562">
        <v>0.0</v>
      </c>
      <c r="I925" s="423"/>
      <c r="J925" s="423"/>
      <c r="K925" s="423"/>
      <c r="L925" s="423"/>
      <c r="M925" s="423"/>
      <c r="N925" s="423"/>
      <c r="O925" s="423"/>
      <c r="P925" s="423"/>
      <c r="Q925" s="423"/>
      <c r="R925" s="423"/>
      <c r="S925" s="423"/>
      <c r="T925" s="423"/>
      <c r="U925" s="423"/>
      <c r="V925" s="423"/>
      <c r="W925" s="423"/>
      <c r="X925" s="423"/>
      <c r="Y925" s="423"/>
      <c r="Z925" s="423"/>
    </row>
    <row r="926">
      <c r="A926" s="564">
        <v>924.0</v>
      </c>
      <c r="B926" s="565" t="s">
        <v>6013</v>
      </c>
      <c r="C926" s="565" t="s">
        <v>5979</v>
      </c>
      <c r="D926" s="564">
        <v>0.0</v>
      </c>
      <c r="E926" s="564">
        <v>0.0</v>
      </c>
      <c r="F926" s="564">
        <v>0.0</v>
      </c>
      <c r="G926" s="564">
        <v>8.0</v>
      </c>
      <c r="H926" s="564">
        <v>0.0</v>
      </c>
      <c r="I926" s="423"/>
      <c r="J926" s="423"/>
      <c r="K926" s="423"/>
      <c r="L926" s="423"/>
      <c r="M926" s="423"/>
      <c r="N926" s="423"/>
      <c r="O926" s="423"/>
      <c r="P926" s="423"/>
      <c r="Q926" s="423"/>
      <c r="R926" s="423"/>
      <c r="S926" s="423"/>
      <c r="T926" s="423"/>
      <c r="U926" s="423"/>
      <c r="V926" s="423"/>
      <c r="W926" s="423"/>
      <c r="X926" s="423"/>
      <c r="Y926" s="423"/>
      <c r="Z926" s="423"/>
    </row>
    <row r="927">
      <c r="A927" s="562">
        <v>925.0</v>
      </c>
      <c r="B927" s="563" t="s">
        <v>6014</v>
      </c>
      <c r="C927" s="563" t="s">
        <v>5979</v>
      </c>
      <c r="D927" s="562">
        <v>0.0</v>
      </c>
      <c r="E927" s="562">
        <v>0.0</v>
      </c>
      <c r="F927" s="562">
        <v>0.0</v>
      </c>
      <c r="G927" s="562">
        <v>8.0</v>
      </c>
      <c r="H927" s="562">
        <v>0.0</v>
      </c>
      <c r="I927" s="423"/>
      <c r="J927" s="423"/>
      <c r="K927" s="423"/>
      <c r="L927" s="423"/>
      <c r="M927" s="423"/>
      <c r="N927" s="423"/>
      <c r="O927" s="423"/>
      <c r="P927" s="423"/>
      <c r="Q927" s="423"/>
      <c r="R927" s="423"/>
      <c r="S927" s="423"/>
      <c r="T927" s="423"/>
      <c r="U927" s="423"/>
      <c r="V927" s="423"/>
      <c r="W927" s="423"/>
      <c r="X927" s="423"/>
      <c r="Y927" s="423"/>
      <c r="Z927" s="423"/>
    </row>
    <row r="928">
      <c r="A928" s="564">
        <v>926.0</v>
      </c>
      <c r="B928" s="565" t="s">
        <v>6015</v>
      </c>
      <c r="C928" s="565" t="s">
        <v>6016</v>
      </c>
      <c r="D928" s="564">
        <v>0.0</v>
      </c>
      <c r="E928" s="564">
        <v>0.0</v>
      </c>
      <c r="F928" s="564">
        <v>0.0</v>
      </c>
      <c r="G928" s="564">
        <v>8.0</v>
      </c>
      <c r="H928" s="564">
        <v>0.0</v>
      </c>
      <c r="I928" s="423"/>
      <c r="J928" s="423"/>
      <c r="K928" s="423"/>
      <c r="L928" s="423"/>
      <c r="M928" s="423"/>
      <c r="N928" s="423"/>
      <c r="O928" s="423"/>
      <c r="P928" s="423"/>
      <c r="Q928" s="423"/>
      <c r="R928" s="423"/>
      <c r="S928" s="423"/>
      <c r="T928" s="423"/>
      <c r="U928" s="423"/>
      <c r="V928" s="423"/>
      <c r="W928" s="423"/>
      <c r="X928" s="423"/>
      <c r="Y928" s="423"/>
      <c r="Z928" s="423"/>
    </row>
    <row r="929">
      <c r="A929" s="562">
        <v>927.0</v>
      </c>
      <c r="B929" s="563" t="s">
        <v>6017</v>
      </c>
      <c r="C929" s="563" t="s">
        <v>6016</v>
      </c>
      <c r="D929" s="562">
        <v>0.0</v>
      </c>
      <c r="E929" s="562">
        <v>0.0</v>
      </c>
      <c r="F929" s="562">
        <v>0.0</v>
      </c>
      <c r="G929" s="562">
        <v>8.0</v>
      </c>
      <c r="H929" s="562">
        <v>0.0</v>
      </c>
      <c r="I929" s="423"/>
      <c r="J929" s="423"/>
      <c r="K929" s="423"/>
      <c r="L929" s="423"/>
      <c r="M929" s="423"/>
      <c r="N929" s="423"/>
      <c r="O929" s="423"/>
      <c r="P929" s="423"/>
      <c r="Q929" s="423"/>
      <c r="R929" s="423"/>
      <c r="S929" s="423"/>
      <c r="T929" s="423"/>
      <c r="U929" s="423"/>
      <c r="V929" s="423"/>
      <c r="W929" s="423"/>
      <c r="X929" s="423"/>
      <c r="Y929" s="423"/>
      <c r="Z929" s="423"/>
    </row>
    <row r="930">
      <c r="A930" s="564">
        <v>928.0</v>
      </c>
      <c r="B930" s="565" t="s">
        <v>6018</v>
      </c>
      <c r="C930" s="565" t="s">
        <v>6016</v>
      </c>
      <c r="D930" s="564">
        <v>0.0</v>
      </c>
      <c r="E930" s="564">
        <v>0.0</v>
      </c>
      <c r="F930" s="564">
        <v>0.0</v>
      </c>
      <c r="G930" s="564">
        <v>8.0</v>
      </c>
      <c r="H930" s="564">
        <v>0.0</v>
      </c>
      <c r="I930" s="423"/>
      <c r="J930" s="423"/>
      <c r="K930" s="423"/>
      <c r="L930" s="423"/>
      <c r="M930" s="423"/>
      <c r="N930" s="423"/>
      <c r="O930" s="423"/>
      <c r="P930" s="423"/>
      <c r="Q930" s="423"/>
      <c r="R930" s="423"/>
      <c r="S930" s="423"/>
      <c r="T930" s="423"/>
      <c r="U930" s="423"/>
      <c r="V930" s="423"/>
      <c r="W930" s="423"/>
      <c r="X930" s="423"/>
      <c r="Y930" s="423"/>
      <c r="Z930" s="423"/>
    </row>
    <row r="931">
      <c r="A931" s="562">
        <v>929.0</v>
      </c>
      <c r="B931" s="563" t="s">
        <v>6019</v>
      </c>
      <c r="C931" s="563" t="s">
        <v>6016</v>
      </c>
      <c r="D931" s="562">
        <v>1.0</v>
      </c>
      <c r="E931" s="562">
        <v>0.0</v>
      </c>
      <c r="F931" s="562">
        <v>0.0</v>
      </c>
      <c r="G931" s="562">
        <v>7.0</v>
      </c>
      <c r="H931" s="562">
        <v>0.0</v>
      </c>
      <c r="I931" s="423"/>
      <c r="J931" s="423"/>
      <c r="K931" s="423"/>
      <c r="L931" s="423"/>
      <c r="M931" s="423"/>
      <c r="N931" s="423"/>
      <c r="O931" s="423"/>
      <c r="P931" s="423"/>
      <c r="Q931" s="423"/>
      <c r="R931" s="423"/>
      <c r="S931" s="423"/>
      <c r="T931" s="423"/>
      <c r="U931" s="423"/>
      <c r="V931" s="423"/>
      <c r="W931" s="423"/>
      <c r="X931" s="423"/>
      <c r="Y931" s="423"/>
      <c r="Z931" s="423"/>
    </row>
    <row r="932">
      <c r="A932" s="564">
        <v>930.0</v>
      </c>
      <c r="B932" s="565" t="s">
        <v>6020</v>
      </c>
      <c r="C932" s="565" t="s">
        <v>6016</v>
      </c>
      <c r="D932" s="564">
        <v>0.0</v>
      </c>
      <c r="E932" s="564">
        <v>0.0</v>
      </c>
      <c r="F932" s="564">
        <v>0.0</v>
      </c>
      <c r="G932" s="564">
        <v>8.0</v>
      </c>
      <c r="H932" s="564">
        <v>0.0</v>
      </c>
      <c r="I932" s="423"/>
      <c r="J932" s="423"/>
      <c r="K932" s="423"/>
      <c r="L932" s="423"/>
      <c r="M932" s="423"/>
      <c r="N932" s="423"/>
      <c r="O932" s="423"/>
      <c r="P932" s="423"/>
      <c r="Q932" s="423"/>
      <c r="R932" s="423"/>
      <c r="S932" s="423"/>
      <c r="T932" s="423"/>
      <c r="U932" s="423"/>
      <c r="V932" s="423"/>
      <c r="W932" s="423"/>
      <c r="X932" s="423"/>
      <c r="Y932" s="423"/>
      <c r="Z932" s="423"/>
    </row>
    <row r="933">
      <c r="A933" s="562">
        <v>931.0</v>
      </c>
      <c r="B933" s="563" t="s">
        <v>6021</v>
      </c>
      <c r="C933" s="563" t="s">
        <v>6016</v>
      </c>
      <c r="D933" s="562">
        <v>0.0</v>
      </c>
      <c r="E933" s="562">
        <v>0.0</v>
      </c>
      <c r="F933" s="562">
        <v>0.0</v>
      </c>
      <c r="G933" s="562">
        <v>8.0</v>
      </c>
      <c r="H933" s="562">
        <v>0.0</v>
      </c>
      <c r="I933" s="423"/>
      <c r="J933" s="423"/>
      <c r="K933" s="423"/>
      <c r="L933" s="423"/>
      <c r="M933" s="423"/>
      <c r="N933" s="423"/>
      <c r="O933" s="423"/>
      <c r="P933" s="423"/>
      <c r="Q933" s="423"/>
      <c r="R933" s="423"/>
      <c r="S933" s="423"/>
      <c r="T933" s="423"/>
      <c r="U933" s="423"/>
      <c r="V933" s="423"/>
      <c r="W933" s="423"/>
      <c r="X933" s="423"/>
      <c r="Y933" s="423"/>
      <c r="Z933" s="423"/>
    </row>
    <row r="934">
      <c r="A934" s="564">
        <v>932.0</v>
      </c>
      <c r="B934" s="565" t="s">
        <v>6022</v>
      </c>
      <c r="C934" s="565" t="s">
        <v>6016</v>
      </c>
      <c r="D934" s="564">
        <v>0.0</v>
      </c>
      <c r="E934" s="564">
        <v>0.0</v>
      </c>
      <c r="F934" s="564">
        <v>0.0</v>
      </c>
      <c r="G934" s="564">
        <v>8.0</v>
      </c>
      <c r="H934" s="564">
        <v>0.0</v>
      </c>
      <c r="I934" s="423"/>
      <c r="J934" s="423"/>
      <c r="K934" s="423"/>
      <c r="L934" s="423"/>
      <c r="M934" s="423"/>
      <c r="N934" s="423"/>
      <c r="O934" s="423"/>
      <c r="P934" s="423"/>
      <c r="Q934" s="423"/>
      <c r="R934" s="423"/>
      <c r="S934" s="423"/>
      <c r="T934" s="423"/>
      <c r="U934" s="423"/>
      <c r="V934" s="423"/>
      <c r="W934" s="423"/>
      <c r="X934" s="423"/>
      <c r="Y934" s="423"/>
      <c r="Z934" s="423"/>
    </row>
    <row r="935">
      <c r="A935" s="562">
        <v>933.0</v>
      </c>
      <c r="B935" s="563" t="s">
        <v>6023</v>
      </c>
      <c r="C935" s="563" t="s">
        <v>6016</v>
      </c>
      <c r="D935" s="562">
        <v>0.0</v>
      </c>
      <c r="E935" s="562">
        <v>0.0</v>
      </c>
      <c r="F935" s="562">
        <v>0.0</v>
      </c>
      <c r="G935" s="562">
        <v>8.0</v>
      </c>
      <c r="H935" s="562">
        <v>0.0</v>
      </c>
      <c r="I935" s="423"/>
      <c r="J935" s="423"/>
      <c r="K935" s="423"/>
      <c r="L935" s="423"/>
      <c r="M935" s="423"/>
      <c r="N935" s="423"/>
      <c r="O935" s="423"/>
      <c r="P935" s="423"/>
      <c r="Q935" s="423"/>
      <c r="R935" s="423"/>
      <c r="S935" s="423"/>
      <c r="T935" s="423"/>
      <c r="U935" s="423"/>
      <c r="V935" s="423"/>
      <c r="W935" s="423"/>
      <c r="X935" s="423"/>
      <c r="Y935" s="423"/>
      <c r="Z935" s="423"/>
    </row>
    <row r="936">
      <c r="A936" s="564">
        <v>934.0</v>
      </c>
      <c r="B936" s="565" t="s">
        <v>6024</v>
      </c>
      <c r="C936" s="565" t="s">
        <v>6016</v>
      </c>
      <c r="D936" s="564">
        <v>0.0</v>
      </c>
      <c r="E936" s="564">
        <v>0.0</v>
      </c>
      <c r="F936" s="564">
        <v>0.0</v>
      </c>
      <c r="G936" s="564">
        <v>8.0</v>
      </c>
      <c r="H936" s="564">
        <v>0.0</v>
      </c>
      <c r="I936" s="423"/>
      <c r="J936" s="423"/>
      <c r="K936" s="423"/>
      <c r="L936" s="423"/>
      <c r="M936" s="423"/>
      <c r="N936" s="423"/>
      <c r="O936" s="423"/>
      <c r="P936" s="423"/>
      <c r="Q936" s="423"/>
      <c r="R936" s="423"/>
      <c r="S936" s="423"/>
      <c r="T936" s="423"/>
      <c r="U936" s="423"/>
      <c r="V936" s="423"/>
      <c r="W936" s="423"/>
      <c r="X936" s="423"/>
      <c r="Y936" s="423"/>
      <c r="Z936" s="423"/>
    </row>
    <row r="937">
      <c r="A937" s="562">
        <v>935.0</v>
      </c>
      <c r="B937" s="563" t="s">
        <v>6025</v>
      </c>
      <c r="C937" s="563" t="s">
        <v>6016</v>
      </c>
      <c r="D937" s="562">
        <v>0.0</v>
      </c>
      <c r="E937" s="562">
        <v>0.0</v>
      </c>
      <c r="F937" s="562">
        <v>0.0</v>
      </c>
      <c r="G937" s="562">
        <v>8.0</v>
      </c>
      <c r="H937" s="562">
        <v>0.0</v>
      </c>
      <c r="I937" s="423"/>
      <c r="J937" s="423"/>
      <c r="K937" s="423"/>
      <c r="L937" s="423"/>
      <c r="M937" s="423"/>
      <c r="N937" s="423"/>
      <c r="O937" s="423"/>
      <c r="P937" s="423"/>
      <c r="Q937" s="423"/>
      <c r="R937" s="423"/>
      <c r="S937" s="423"/>
      <c r="T937" s="423"/>
      <c r="U937" s="423"/>
      <c r="V937" s="423"/>
      <c r="W937" s="423"/>
      <c r="X937" s="423"/>
      <c r="Y937" s="423"/>
      <c r="Z937" s="423"/>
    </row>
    <row r="938">
      <c r="A938" s="564">
        <v>936.0</v>
      </c>
      <c r="B938" s="565" t="s">
        <v>6026</v>
      </c>
      <c r="C938" s="565" t="s">
        <v>6016</v>
      </c>
      <c r="D938" s="564">
        <v>0.0</v>
      </c>
      <c r="E938" s="564">
        <v>0.0</v>
      </c>
      <c r="F938" s="564">
        <v>0.0</v>
      </c>
      <c r="G938" s="564">
        <v>8.0</v>
      </c>
      <c r="H938" s="564">
        <v>0.0</v>
      </c>
      <c r="I938" s="423"/>
      <c r="J938" s="423"/>
      <c r="K938" s="423"/>
      <c r="L938" s="423"/>
      <c r="M938" s="423"/>
      <c r="N938" s="423"/>
      <c r="O938" s="423"/>
      <c r="P938" s="423"/>
      <c r="Q938" s="423"/>
      <c r="R938" s="423"/>
      <c r="S938" s="423"/>
      <c r="T938" s="423"/>
      <c r="U938" s="423"/>
      <c r="V938" s="423"/>
      <c r="W938" s="423"/>
      <c r="X938" s="423"/>
      <c r="Y938" s="423"/>
      <c r="Z938" s="423"/>
    </row>
    <row r="939">
      <c r="A939" s="562">
        <v>937.0</v>
      </c>
      <c r="B939" s="563" t="s">
        <v>6027</v>
      </c>
      <c r="C939" s="563" t="s">
        <v>6016</v>
      </c>
      <c r="D939" s="562">
        <v>0.0</v>
      </c>
      <c r="E939" s="562">
        <v>0.0</v>
      </c>
      <c r="F939" s="562">
        <v>0.0</v>
      </c>
      <c r="G939" s="562">
        <v>8.0</v>
      </c>
      <c r="H939" s="562">
        <v>0.0</v>
      </c>
      <c r="I939" s="423"/>
      <c r="J939" s="423"/>
      <c r="K939" s="423"/>
      <c r="L939" s="423"/>
      <c r="M939" s="423"/>
      <c r="N939" s="423"/>
      <c r="O939" s="423"/>
      <c r="P939" s="423"/>
      <c r="Q939" s="423"/>
      <c r="R939" s="423"/>
      <c r="S939" s="423"/>
      <c r="T939" s="423"/>
      <c r="U939" s="423"/>
      <c r="V939" s="423"/>
      <c r="W939" s="423"/>
      <c r="X939" s="423"/>
      <c r="Y939" s="423"/>
      <c r="Z939" s="423"/>
    </row>
    <row r="940">
      <c r="A940" s="564">
        <v>938.0</v>
      </c>
      <c r="B940" s="565" t="s">
        <v>6028</v>
      </c>
      <c r="C940" s="565" t="s">
        <v>6016</v>
      </c>
      <c r="D940" s="564">
        <v>0.0</v>
      </c>
      <c r="E940" s="564">
        <v>0.0</v>
      </c>
      <c r="F940" s="564">
        <v>0.0</v>
      </c>
      <c r="G940" s="564">
        <v>8.0</v>
      </c>
      <c r="H940" s="564">
        <v>0.0</v>
      </c>
      <c r="I940" s="423"/>
      <c r="J940" s="423"/>
      <c r="K940" s="423"/>
      <c r="L940" s="423"/>
      <c r="M940" s="423"/>
      <c r="N940" s="423"/>
      <c r="O940" s="423"/>
      <c r="P940" s="423"/>
      <c r="Q940" s="423"/>
      <c r="R940" s="423"/>
      <c r="S940" s="423"/>
      <c r="T940" s="423"/>
      <c r="U940" s="423"/>
      <c r="V940" s="423"/>
      <c r="W940" s="423"/>
      <c r="X940" s="423"/>
      <c r="Y940" s="423"/>
      <c r="Z940" s="423"/>
    </row>
    <row r="941">
      <c r="A941" s="562">
        <v>939.0</v>
      </c>
      <c r="B941" s="563" t="s">
        <v>6029</v>
      </c>
      <c r="C941" s="563" t="s">
        <v>6016</v>
      </c>
      <c r="D941" s="562">
        <v>0.0</v>
      </c>
      <c r="E941" s="562">
        <v>0.0</v>
      </c>
      <c r="F941" s="562">
        <v>0.0</v>
      </c>
      <c r="G941" s="562">
        <v>8.0</v>
      </c>
      <c r="H941" s="562">
        <v>0.0</v>
      </c>
      <c r="I941" s="423"/>
      <c r="J941" s="423"/>
      <c r="K941" s="423"/>
      <c r="L941" s="423"/>
      <c r="M941" s="423"/>
      <c r="N941" s="423"/>
      <c r="O941" s="423"/>
      <c r="P941" s="423"/>
      <c r="Q941" s="423"/>
      <c r="R941" s="423"/>
      <c r="S941" s="423"/>
      <c r="T941" s="423"/>
      <c r="U941" s="423"/>
      <c r="V941" s="423"/>
      <c r="W941" s="423"/>
      <c r="X941" s="423"/>
      <c r="Y941" s="423"/>
      <c r="Z941" s="423"/>
    </row>
    <row r="942">
      <c r="A942" s="564">
        <v>940.0</v>
      </c>
      <c r="B942" s="565" t="s">
        <v>6030</v>
      </c>
      <c r="C942" s="565" t="s">
        <v>6016</v>
      </c>
      <c r="D942" s="564">
        <v>0.0</v>
      </c>
      <c r="E942" s="564">
        <v>0.0</v>
      </c>
      <c r="F942" s="564">
        <v>0.0</v>
      </c>
      <c r="G942" s="564">
        <v>8.0</v>
      </c>
      <c r="H942" s="564">
        <v>0.0</v>
      </c>
      <c r="I942" s="423"/>
      <c r="J942" s="423"/>
      <c r="K942" s="423"/>
      <c r="L942" s="423"/>
      <c r="M942" s="423"/>
      <c r="N942" s="423"/>
      <c r="O942" s="423"/>
      <c r="P942" s="423"/>
      <c r="Q942" s="423"/>
      <c r="R942" s="423"/>
      <c r="S942" s="423"/>
      <c r="T942" s="423"/>
      <c r="U942" s="423"/>
      <c r="V942" s="423"/>
      <c r="W942" s="423"/>
      <c r="X942" s="423"/>
      <c r="Y942" s="423"/>
      <c r="Z942" s="423"/>
    </row>
    <row r="943">
      <c r="A943" s="562">
        <v>941.0</v>
      </c>
      <c r="B943" s="563" t="s">
        <v>6031</v>
      </c>
      <c r="C943" s="563" t="s">
        <v>6016</v>
      </c>
      <c r="D943" s="562">
        <v>0.0</v>
      </c>
      <c r="E943" s="562">
        <v>0.0</v>
      </c>
      <c r="F943" s="562">
        <v>0.0</v>
      </c>
      <c r="G943" s="562">
        <v>8.0</v>
      </c>
      <c r="H943" s="562">
        <v>0.0</v>
      </c>
      <c r="I943" s="423"/>
      <c r="J943" s="423"/>
      <c r="K943" s="423"/>
      <c r="L943" s="423"/>
      <c r="M943" s="423"/>
      <c r="N943" s="423"/>
      <c r="O943" s="423"/>
      <c r="P943" s="423"/>
      <c r="Q943" s="423"/>
      <c r="R943" s="423"/>
      <c r="S943" s="423"/>
      <c r="T943" s="423"/>
      <c r="U943" s="423"/>
      <c r="V943" s="423"/>
      <c r="W943" s="423"/>
      <c r="X943" s="423"/>
      <c r="Y943" s="423"/>
      <c r="Z943" s="423"/>
    </row>
    <row r="944">
      <c r="A944" s="564">
        <v>942.0</v>
      </c>
      <c r="B944" s="565" t="s">
        <v>6032</v>
      </c>
      <c r="C944" s="565" t="s">
        <v>6016</v>
      </c>
      <c r="D944" s="564">
        <v>3.0</v>
      </c>
      <c r="E944" s="564">
        <v>0.0</v>
      </c>
      <c r="F944" s="564">
        <v>0.0</v>
      </c>
      <c r="G944" s="564">
        <v>5.0</v>
      </c>
      <c r="H944" s="564">
        <v>0.0</v>
      </c>
      <c r="I944" s="423"/>
      <c r="J944" s="423"/>
      <c r="K944" s="423"/>
      <c r="L944" s="423"/>
      <c r="M944" s="423"/>
      <c r="N944" s="423"/>
      <c r="O944" s="423"/>
      <c r="P944" s="423"/>
      <c r="Q944" s="423"/>
      <c r="R944" s="423"/>
      <c r="S944" s="423"/>
      <c r="T944" s="423"/>
      <c r="U944" s="423"/>
      <c r="V944" s="423"/>
      <c r="W944" s="423"/>
      <c r="X944" s="423"/>
      <c r="Y944" s="423"/>
      <c r="Z944" s="423"/>
    </row>
    <row r="945">
      <c r="A945" s="562">
        <v>943.0</v>
      </c>
      <c r="B945" s="563" t="s">
        <v>6033</v>
      </c>
      <c r="C945" s="563" t="s">
        <v>6016</v>
      </c>
      <c r="D945" s="562">
        <v>0.0</v>
      </c>
      <c r="E945" s="562">
        <v>0.0</v>
      </c>
      <c r="F945" s="562">
        <v>0.0</v>
      </c>
      <c r="G945" s="562">
        <v>8.0</v>
      </c>
      <c r="H945" s="562">
        <v>0.0</v>
      </c>
      <c r="I945" s="423"/>
      <c r="J945" s="423"/>
      <c r="K945" s="423"/>
      <c r="L945" s="423"/>
      <c r="M945" s="423"/>
      <c r="N945" s="423"/>
      <c r="O945" s="423"/>
      <c r="P945" s="423"/>
      <c r="Q945" s="423"/>
      <c r="R945" s="423"/>
      <c r="S945" s="423"/>
      <c r="T945" s="423"/>
      <c r="U945" s="423"/>
      <c r="V945" s="423"/>
      <c r="W945" s="423"/>
      <c r="X945" s="423"/>
      <c r="Y945" s="423"/>
      <c r="Z945" s="423"/>
    </row>
    <row r="946">
      <c r="A946" s="564">
        <v>944.0</v>
      </c>
      <c r="B946" s="565" t="s">
        <v>6034</v>
      </c>
      <c r="C946" s="565" t="s">
        <v>6016</v>
      </c>
      <c r="D946" s="564">
        <v>0.0</v>
      </c>
      <c r="E946" s="564">
        <v>0.0</v>
      </c>
      <c r="F946" s="564">
        <v>0.0</v>
      </c>
      <c r="G946" s="564">
        <v>8.0</v>
      </c>
      <c r="H946" s="564">
        <v>0.0</v>
      </c>
      <c r="I946" s="423"/>
      <c r="J946" s="423"/>
      <c r="K946" s="423"/>
      <c r="L946" s="423"/>
      <c r="M946" s="423"/>
      <c r="N946" s="423"/>
      <c r="O946" s="423"/>
      <c r="P946" s="423"/>
      <c r="Q946" s="423"/>
      <c r="R946" s="423"/>
      <c r="S946" s="423"/>
      <c r="T946" s="423"/>
      <c r="U946" s="423"/>
      <c r="V946" s="423"/>
      <c r="W946" s="423"/>
      <c r="X946" s="423"/>
      <c r="Y946" s="423"/>
      <c r="Z946" s="423"/>
    </row>
    <row r="947">
      <c r="A947" s="562">
        <v>945.0</v>
      </c>
      <c r="B947" s="563" t="s">
        <v>6035</v>
      </c>
      <c r="C947" s="563" t="s">
        <v>6016</v>
      </c>
      <c r="D947" s="562">
        <v>0.0</v>
      </c>
      <c r="E947" s="562">
        <v>0.0</v>
      </c>
      <c r="F947" s="562">
        <v>0.0</v>
      </c>
      <c r="G947" s="562">
        <v>8.0</v>
      </c>
      <c r="H947" s="562">
        <v>0.0</v>
      </c>
      <c r="I947" s="423"/>
      <c r="J947" s="423"/>
      <c r="K947" s="423"/>
      <c r="L947" s="423"/>
      <c r="M947" s="423"/>
      <c r="N947" s="423"/>
      <c r="O947" s="423"/>
      <c r="P947" s="423"/>
      <c r="Q947" s="423"/>
      <c r="R947" s="423"/>
      <c r="S947" s="423"/>
      <c r="T947" s="423"/>
      <c r="U947" s="423"/>
      <c r="V947" s="423"/>
      <c r="W947" s="423"/>
      <c r="X947" s="423"/>
      <c r="Y947" s="423"/>
      <c r="Z947" s="423"/>
    </row>
    <row r="948">
      <c r="A948" s="564">
        <v>946.0</v>
      </c>
      <c r="B948" s="565" t="s">
        <v>6036</v>
      </c>
      <c r="C948" s="565" t="s">
        <v>6016</v>
      </c>
      <c r="D948" s="564">
        <v>0.0</v>
      </c>
      <c r="E948" s="564">
        <v>0.0</v>
      </c>
      <c r="F948" s="564">
        <v>0.0</v>
      </c>
      <c r="G948" s="564">
        <v>8.0</v>
      </c>
      <c r="H948" s="564">
        <v>0.0</v>
      </c>
      <c r="I948" s="423"/>
      <c r="J948" s="423"/>
      <c r="K948" s="423"/>
      <c r="L948" s="423"/>
      <c r="M948" s="423"/>
      <c r="N948" s="423"/>
      <c r="O948" s="423"/>
      <c r="P948" s="423"/>
      <c r="Q948" s="423"/>
      <c r="R948" s="423"/>
      <c r="S948" s="423"/>
      <c r="T948" s="423"/>
      <c r="U948" s="423"/>
      <c r="V948" s="423"/>
      <c r="W948" s="423"/>
      <c r="X948" s="423"/>
      <c r="Y948" s="423"/>
      <c r="Z948" s="423"/>
    </row>
    <row r="949">
      <c r="A949" s="562">
        <v>947.0</v>
      </c>
      <c r="B949" s="563" t="s">
        <v>6037</v>
      </c>
      <c r="C949" s="563" t="s">
        <v>6016</v>
      </c>
      <c r="D949" s="562">
        <v>0.0</v>
      </c>
      <c r="E949" s="562">
        <v>0.0</v>
      </c>
      <c r="F949" s="562">
        <v>0.0</v>
      </c>
      <c r="G949" s="562">
        <v>8.0</v>
      </c>
      <c r="H949" s="562">
        <v>0.0</v>
      </c>
      <c r="I949" s="423"/>
      <c r="J949" s="423"/>
      <c r="K949" s="423"/>
      <c r="L949" s="423"/>
      <c r="M949" s="423"/>
      <c r="N949" s="423"/>
      <c r="O949" s="423"/>
      <c r="P949" s="423"/>
      <c r="Q949" s="423"/>
      <c r="R949" s="423"/>
      <c r="S949" s="423"/>
      <c r="T949" s="423"/>
      <c r="U949" s="423"/>
      <c r="V949" s="423"/>
      <c r="W949" s="423"/>
      <c r="X949" s="423"/>
      <c r="Y949" s="423"/>
      <c r="Z949" s="423"/>
    </row>
    <row r="950">
      <c r="A950" s="564">
        <v>948.0</v>
      </c>
      <c r="B950" s="565" t="s">
        <v>6038</v>
      </c>
      <c r="C950" s="565" t="s">
        <v>6016</v>
      </c>
      <c r="D950" s="564">
        <v>0.0</v>
      </c>
      <c r="E950" s="564">
        <v>0.0</v>
      </c>
      <c r="F950" s="564">
        <v>0.0</v>
      </c>
      <c r="G950" s="564">
        <v>8.0</v>
      </c>
      <c r="H950" s="564">
        <v>0.0</v>
      </c>
      <c r="I950" s="423"/>
      <c r="J950" s="423"/>
      <c r="K950" s="423"/>
      <c r="L950" s="423"/>
      <c r="M950" s="423"/>
      <c r="N950" s="423"/>
      <c r="O950" s="423"/>
      <c r="P950" s="423"/>
      <c r="Q950" s="423"/>
      <c r="R950" s="423"/>
      <c r="S950" s="423"/>
      <c r="T950" s="423"/>
      <c r="U950" s="423"/>
      <c r="V950" s="423"/>
      <c r="W950" s="423"/>
      <c r="X950" s="423"/>
      <c r="Y950" s="423"/>
      <c r="Z950" s="423"/>
    </row>
    <row r="951">
      <c r="A951" s="562">
        <v>949.0</v>
      </c>
      <c r="B951" s="563" t="s">
        <v>6039</v>
      </c>
      <c r="C951" s="563" t="s">
        <v>6016</v>
      </c>
      <c r="D951" s="562">
        <v>0.0</v>
      </c>
      <c r="E951" s="562">
        <v>0.0</v>
      </c>
      <c r="F951" s="562">
        <v>0.0</v>
      </c>
      <c r="G951" s="562">
        <v>8.0</v>
      </c>
      <c r="H951" s="562">
        <v>0.0</v>
      </c>
      <c r="I951" s="423"/>
      <c r="J951" s="423"/>
      <c r="K951" s="423"/>
      <c r="L951" s="423"/>
      <c r="M951" s="423"/>
      <c r="N951" s="423"/>
      <c r="O951" s="423"/>
      <c r="P951" s="423"/>
      <c r="Q951" s="423"/>
      <c r="R951" s="423"/>
      <c r="S951" s="423"/>
      <c r="T951" s="423"/>
      <c r="U951" s="423"/>
      <c r="V951" s="423"/>
      <c r="W951" s="423"/>
      <c r="X951" s="423"/>
      <c r="Y951" s="423"/>
      <c r="Z951" s="423"/>
    </row>
    <row r="952">
      <c r="A952" s="564">
        <v>950.0</v>
      </c>
      <c r="B952" s="565" t="s">
        <v>6040</v>
      </c>
      <c r="C952" s="565" t="s">
        <v>6016</v>
      </c>
      <c r="D952" s="564">
        <v>0.0</v>
      </c>
      <c r="E952" s="564">
        <v>0.0</v>
      </c>
      <c r="F952" s="564">
        <v>0.0</v>
      </c>
      <c r="G952" s="564">
        <v>8.0</v>
      </c>
      <c r="H952" s="564">
        <v>0.0</v>
      </c>
      <c r="I952" s="423"/>
      <c r="J952" s="423"/>
      <c r="K952" s="423"/>
      <c r="L952" s="423"/>
      <c r="M952" s="423"/>
      <c r="N952" s="423"/>
      <c r="O952" s="423"/>
      <c r="P952" s="423"/>
      <c r="Q952" s="423"/>
      <c r="R952" s="423"/>
      <c r="S952" s="423"/>
      <c r="T952" s="423"/>
      <c r="U952" s="423"/>
      <c r="V952" s="423"/>
      <c r="W952" s="423"/>
      <c r="X952" s="423"/>
      <c r="Y952" s="423"/>
      <c r="Z952" s="423"/>
    </row>
    <row r="953">
      <c r="A953" s="562">
        <v>951.0</v>
      </c>
      <c r="B953" s="563" t="s">
        <v>6041</v>
      </c>
      <c r="C953" s="563" t="s">
        <v>6016</v>
      </c>
      <c r="D953" s="562">
        <v>0.0</v>
      </c>
      <c r="E953" s="562">
        <v>0.0</v>
      </c>
      <c r="F953" s="562">
        <v>0.0</v>
      </c>
      <c r="G953" s="562">
        <v>8.0</v>
      </c>
      <c r="H953" s="562">
        <v>0.0</v>
      </c>
      <c r="I953" s="423"/>
      <c r="J953" s="423"/>
      <c r="K953" s="423"/>
      <c r="L953" s="423"/>
      <c r="M953" s="423"/>
      <c r="N953" s="423"/>
      <c r="O953" s="423"/>
      <c r="P953" s="423"/>
      <c r="Q953" s="423"/>
      <c r="R953" s="423"/>
      <c r="S953" s="423"/>
      <c r="T953" s="423"/>
      <c r="U953" s="423"/>
      <c r="V953" s="423"/>
      <c r="W953" s="423"/>
      <c r="X953" s="423"/>
      <c r="Y953" s="423"/>
      <c r="Z953" s="423"/>
    </row>
    <row r="954">
      <c r="A954" s="564">
        <v>952.0</v>
      </c>
      <c r="B954" s="565" t="s">
        <v>6042</v>
      </c>
      <c r="C954" s="565" t="s">
        <v>6016</v>
      </c>
      <c r="D954" s="564">
        <v>0.0</v>
      </c>
      <c r="E954" s="564">
        <v>0.0</v>
      </c>
      <c r="F954" s="564">
        <v>0.0</v>
      </c>
      <c r="G954" s="564">
        <v>8.0</v>
      </c>
      <c r="H954" s="564">
        <v>0.0</v>
      </c>
      <c r="I954" s="423"/>
      <c r="J954" s="423"/>
      <c r="K954" s="423"/>
      <c r="L954" s="423"/>
      <c r="M954" s="423"/>
      <c r="N954" s="423"/>
      <c r="O954" s="423"/>
      <c r="P954" s="423"/>
      <c r="Q954" s="423"/>
      <c r="R954" s="423"/>
      <c r="S954" s="423"/>
      <c r="T954" s="423"/>
      <c r="U954" s="423"/>
      <c r="V954" s="423"/>
      <c r="W954" s="423"/>
      <c r="X954" s="423"/>
      <c r="Y954" s="423"/>
      <c r="Z954" s="423"/>
    </row>
    <row r="955">
      <c r="A955" s="562">
        <v>953.0</v>
      </c>
      <c r="B955" s="563" t="s">
        <v>6043</v>
      </c>
      <c r="C955" s="563" t="s">
        <v>6016</v>
      </c>
      <c r="D955" s="562">
        <v>0.0</v>
      </c>
      <c r="E955" s="562">
        <v>0.0</v>
      </c>
      <c r="F955" s="562">
        <v>0.0</v>
      </c>
      <c r="G955" s="562">
        <v>8.0</v>
      </c>
      <c r="H955" s="562">
        <v>0.0</v>
      </c>
      <c r="I955" s="423"/>
      <c r="J955" s="423"/>
      <c r="K955" s="423"/>
      <c r="L955" s="423"/>
      <c r="M955" s="423"/>
      <c r="N955" s="423"/>
      <c r="O955" s="423"/>
      <c r="P955" s="423"/>
      <c r="Q955" s="423"/>
      <c r="R955" s="423"/>
      <c r="S955" s="423"/>
      <c r="T955" s="423"/>
      <c r="U955" s="423"/>
      <c r="V955" s="423"/>
      <c r="W955" s="423"/>
      <c r="X955" s="423"/>
      <c r="Y955" s="423"/>
      <c r="Z955" s="423"/>
    </row>
    <row r="956">
      <c r="A956" s="564">
        <v>954.0</v>
      </c>
      <c r="B956" s="565" t="s">
        <v>6044</v>
      </c>
      <c r="C956" s="565" t="s">
        <v>6016</v>
      </c>
      <c r="D956" s="564">
        <v>0.0</v>
      </c>
      <c r="E956" s="564">
        <v>0.0</v>
      </c>
      <c r="F956" s="564">
        <v>0.0</v>
      </c>
      <c r="G956" s="564">
        <v>8.0</v>
      </c>
      <c r="H956" s="564">
        <v>0.0</v>
      </c>
      <c r="I956" s="423"/>
      <c r="J956" s="423"/>
      <c r="K956" s="423"/>
      <c r="L956" s="423"/>
      <c r="M956" s="423"/>
      <c r="N956" s="423"/>
      <c r="O956" s="423"/>
      <c r="P956" s="423"/>
      <c r="Q956" s="423"/>
      <c r="R956" s="423"/>
      <c r="S956" s="423"/>
      <c r="T956" s="423"/>
      <c r="U956" s="423"/>
      <c r="V956" s="423"/>
      <c r="W956" s="423"/>
      <c r="X956" s="423"/>
      <c r="Y956" s="423"/>
      <c r="Z956" s="423"/>
    </row>
    <row r="957">
      <c r="A957" s="562">
        <v>955.0</v>
      </c>
      <c r="B957" s="563" t="s">
        <v>6045</v>
      </c>
      <c r="C957" s="563" t="s">
        <v>6016</v>
      </c>
      <c r="D957" s="562">
        <v>0.0</v>
      </c>
      <c r="E957" s="562">
        <v>0.0</v>
      </c>
      <c r="F957" s="562">
        <v>0.0</v>
      </c>
      <c r="G957" s="562">
        <v>8.0</v>
      </c>
      <c r="H957" s="562">
        <v>0.0</v>
      </c>
      <c r="I957" s="423"/>
      <c r="J957" s="423"/>
      <c r="K957" s="423"/>
      <c r="L957" s="423"/>
      <c r="M957" s="423"/>
      <c r="N957" s="423"/>
      <c r="O957" s="423"/>
      <c r="P957" s="423"/>
      <c r="Q957" s="423"/>
      <c r="R957" s="423"/>
      <c r="S957" s="423"/>
      <c r="T957" s="423"/>
      <c r="U957" s="423"/>
      <c r="V957" s="423"/>
      <c r="W957" s="423"/>
      <c r="X957" s="423"/>
      <c r="Y957" s="423"/>
      <c r="Z957" s="423"/>
    </row>
    <row r="958">
      <c r="A958" s="564">
        <v>956.0</v>
      </c>
      <c r="B958" s="565" t="s">
        <v>6046</v>
      </c>
      <c r="C958" s="565" t="s">
        <v>6016</v>
      </c>
      <c r="D958" s="564">
        <v>0.0</v>
      </c>
      <c r="E958" s="564">
        <v>0.0</v>
      </c>
      <c r="F958" s="564">
        <v>0.0</v>
      </c>
      <c r="G958" s="564">
        <v>8.0</v>
      </c>
      <c r="H958" s="564">
        <v>0.0</v>
      </c>
      <c r="I958" s="423"/>
      <c r="J958" s="423"/>
      <c r="K958" s="423"/>
      <c r="L958" s="423"/>
      <c r="M958" s="423"/>
      <c r="N958" s="423"/>
      <c r="O958" s="423"/>
      <c r="P958" s="423"/>
      <c r="Q958" s="423"/>
      <c r="R958" s="423"/>
      <c r="S958" s="423"/>
      <c r="T958" s="423"/>
      <c r="U958" s="423"/>
      <c r="V958" s="423"/>
      <c r="W958" s="423"/>
      <c r="X958" s="423"/>
      <c r="Y958" s="423"/>
      <c r="Z958" s="423"/>
    </row>
    <row r="959">
      <c r="A959" s="562">
        <v>957.0</v>
      </c>
      <c r="B959" s="563" t="s">
        <v>6047</v>
      </c>
      <c r="C959" s="563" t="s">
        <v>6016</v>
      </c>
      <c r="D959" s="562">
        <v>0.0</v>
      </c>
      <c r="E959" s="562">
        <v>0.0</v>
      </c>
      <c r="F959" s="562">
        <v>0.0</v>
      </c>
      <c r="G959" s="562">
        <v>8.0</v>
      </c>
      <c r="H959" s="562">
        <v>0.0</v>
      </c>
      <c r="I959" s="423"/>
      <c r="J959" s="423"/>
      <c r="K959" s="423"/>
      <c r="L959" s="423"/>
      <c r="M959" s="423"/>
      <c r="N959" s="423"/>
      <c r="O959" s="423"/>
      <c r="P959" s="423"/>
      <c r="Q959" s="423"/>
      <c r="R959" s="423"/>
      <c r="S959" s="423"/>
      <c r="T959" s="423"/>
      <c r="U959" s="423"/>
      <c r="V959" s="423"/>
      <c r="W959" s="423"/>
      <c r="X959" s="423"/>
      <c r="Y959" s="423"/>
      <c r="Z959" s="423"/>
    </row>
    <row r="960">
      <c r="A960" s="564">
        <v>958.0</v>
      </c>
      <c r="B960" s="565" t="s">
        <v>6048</v>
      </c>
      <c r="C960" s="565" t="s">
        <v>6016</v>
      </c>
      <c r="D960" s="564">
        <v>0.0</v>
      </c>
      <c r="E960" s="564">
        <v>0.0</v>
      </c>
      <c r="F960" s="564">
        <v>0.0</v>
      </c>
      <c r="G960" s="564">
        <v>8.0</v>
      </c>
      <c r="H960" s="564">
        <v>0.0</v>
      </c>
      <c r="I960" s="423"/>
      <c r="J960" s="423"/>
      <c r="K960" s="423"/>
      <c r="L960" s="423"/>
      <c r="M960" s="423"/>
      <c r="N960" s="423"/>
      <c r="O960" s="423"/>
      <c r="P960" s="423"/>
      <c r="Q960" s="423"/>
      <c r="R960" s="423"/>
      <c r="S960" s="423"/>
      <c r="T960" s="423"/>
      <c r="U960" s="423"/>
      <c r="V960" s="423"/>
      <c r="W960" s="423"/>
      <c r="X960" s="423"/>
      <c r="Y960" s="423"/>
      <c r="Z960" s="423"/>
    </row>
    <row r="961">
      <c r="A961" s="562">
        <v>959.0</v>
      </c>
      <c r="B961" s="563" t="s">
        <v>6049</v>
      </c>
      <c r="C961" s="563" t="s">
        <v>6016</v>
      </c>
      <c r="D961" s="562">
        <v>0.0</v>
      </c>
      <c r="E961" s="562">
        <v>0.0</v>
      </c>
      <c r="F961" s="562">
        <v>0.0</v>
      </c>
      <c r="G961" s="562">
        <v>8.0</v>
      </c>
      <c r="H961" s="562">
        <v>0.0</v>
      </c>
      <c r="I961" s="423"/>
      <c r="J961" s="423"/>
      <c r="K961" s="423"/>
      <c r="L961" s="423"/>
      <c r="M961" s="423"/>
      <c r="N961" s="423"/>
      <c r="O961" s="423"/>
      <c r="P961" s="423"/>
      <c r="Q961" s="423"/>
      <c r="R961" s="423"/>
      <c r="S961" s="423"/>
      <c r="T961" s="423"/>
      <c r="U961" s="423"/>
      <c r="V961" s="423"/>
      <c r="W961" s="423"/>
      <c r="X961" s="423"/>
      <c r="Y961" s="423"/>
      <c r="Z961" s="423"/>
    </row>
    <row r="962">
      <c r="A962" s="564">
        <v>960.0</v>
      </c>
      <c r="B962" s="565" t="s">
        <v>6050</v>
      </c>
      <c r="C962" s="565" t="s">
        <v>6016</v>
      </c>
      <c r="D962" s="564">
        <v>0.0</v>
      </c>
      <c r="E962" s="564">
        <v>0.0</v>
      </c>
      <c r="F962" s="564">
        <v>0.0</v>
      </c>
      <c r="G962" s="564">
        <v>8.0</v>
      </c>
      <c r="H962" s="564">
        <v>0.0</v>
      </c>
      <c r="I962" s="423"/>
      <c r="J962" s="423"/>
      <c r="K962" s="423"/>
      <c r="L962" s="423"/>
      <c r="M962" s="423"/>
      <c r="N962" s="423"/>
      <c r="O962" s="423"/>
      <c r="P962" s="423"/>
      <c r="Q962" s="423"/>
      <c r="R962" s="423"/>
      <c r="S962" s="423"/>
      <c r="T962" s="423"/>
      <c r="U962" s="423"/>
      <c r="V962" s="423"/>
      <c r="W962" s="423"/>
      <c r="X962" s="423"/>
      <c r="Y962" s="423"/>
      <c r="Z962" s="423"/>
    </row>
    <row r="963">
      <c r="A963" s="562">
        <v>961.0</v>
      </c>
      <c r="B963" s="563" t="s">
        <v>6051</v>
      </c>
      <c r="C963" s="563" t="s">
        <v>6016</v>
      </c>
      <c r="D963" s="562">
        <v>0.0</v>
      </c>
      <c r="E963" s="562">
        <v>0.0</v>
      </c>
      <c r="F963" s="562">
        <v>0.0</v>
      </c>
      <c r="G963" s="562">
        <v>8.0</v>
      </c>
      <c r="H963" s="562">
        <v>0.0</v>
      </c>
      <c r="I963" s="423"/>
      <c r="J963" s="423"/>
      <c r="K963" s="423"/>
      <c r="L963" s="423"/>
      <c r="M963" s="423"/>
      <c r="N963" s="423"/>
      <c r="O963" s="423"/>
      <c r="P963" s="423"/>
      <c r="Q963" s="423"/>
      <c r="R963" s="423"/>
      <c r="S963" s="423"/>
      <c r="T963" s="423"/>
      <c r="U963" s="423"/>
      <c r="V963" s="423"/>
      <c r="W963" s="423"/>
      <c r="X963" s="423"/>
      <c r="Y963" s="423"/>
      <c r="Z963" s="423"/>
    </row>
    <row r="964">
      <c r="A964" s="564">
        <v>962.0</v>
      </c>
      <c r="B964" s="565" t="s">
        <v>6052</v>
      </c>
      <c r="C964" s="565" t="s">
        <v>5423</v>
      </c>
      <c r="D964" s="564">
        <v>0.0</v>
      </c>
      <c r="E964" s="564">
        <v>0.0</v>
      </c>
      <c r="F964" s="564">
        <v>0.0</v>
      </c>
      <c r="G964" s="564">
        <v>8.0</v>
      </c>
      <c r="H964" s="564">
        <v>0.0</v>
      </c>
      <c r="I964" s="423"/>
      <c r="J964" s="423"/>
      <c r="K964" s="423"/>
      <c r="L964" s="423"/>
      <c r="M964" s="423"/>
      <c r="N964" s="423"/>
      <c r="O964" s="423"/>
      <c r="P964" s="423"/>
      <c r="Q964" s="423"/>
      <c r="R964" s="423"/>
      <c r="S964" s="423"/>
      <c r="T964" s="423"/>
      <c r="U964" s="423"/>
      <c r="V964" s="423"/>
      <c r="W964" s="423"/>
      <c r="X964" s="423"/>
      <c r="Y964" s="423"/>
      <c r="Z964" s="423"/>
    </row>
    <row r="965">
      <c r="A965" s="562">
        <v>963.0</v>
      </c>
      <c r="B965" s="563" t="s">
        <v>6053</v>
      </c>
      <c r="C965" s="563" t="s">
        <v>5423</v>
      </c>
      <c r="D965" s="562">
        <v>0.0</v>
      </c>
      <c r="E965" s="562">
        <v>0.0</v>
      </c>
      <c r="F965" s="562">
        <v>0.0</v>
      </c>
      <c r="G965" s="562">
        <v>8.0</v>
      </c>
      <c r="H965" s="562">
        <v>0.0</v>
      </c>
      <c r="I965" s="423"/>
      <c r="J965" s="423"/>
      <c r="K965" s="423"/>
      <c r="L965" s="423"/>
      <c r="M965" s="423"/>
      <c r="N965" s="423"/>
      <c r="O965" s="423"/>
      <c r="P965" s="423"/>
      <c r="Q965" s="423"/>
      <c r="R965" s="423"/>
      <c r="S965" s="423"/>
      <c r="T965" s="423"/>
      <c r="U965" s="423"/>
      <c r="V965" s="423"/>
      <c r="W965" s="423"/>
      <c r="X965" s="423"/>
      <c r="Y965" s="423"/>
      <c r="Z965" s="423"/>
    </row>
    <row r="966">
      <c r="A966" s="564">
        <v>964.0</v>
      </c>
      <c r="B966" s="565" t="s">
        <v>6054</v>
      </c>
      <c r="C966" s="565" t="s">
        <v>5423</v>
      </c>
      <c r="D966" s="564">
        <v>0.0</v>
      </c>
      <c r="E966" s="564">
        <v>0.0</v>
      </c>
      <c r="F966" s="564">
        <v>0.0</v>
      </c>
      <c r="G966" s="564">
        <v>8.0</v>
      </c>
      <c r="H966" s="564">
        <v>0.0</v>
      </c>
      <c r="I966" s="423"/>
      <c r="J966" s="423"/>
      <c r="K966" s="423"/>
      <c r="L966" s="423"/>
      <c r="M966" s="423"/>
      <c r="N966" s="423"/>
      <c r="O966" s="423"/>
      <c r="P966" s="423"/>
      <c r="Q966" s="423"/>
      <c r="R966" s="423"/>
      <c r="S966" s="423"/>
      <c r="T966" s="423"/>
      <c r="U966" s="423"/>
      <c r="V966" s="423"/>
      <c r="W966" s="423"/>
      <c r="X966" s="423"/>
      <c r="Y966" s="423"/>
      <c r="Z966" s="423"/>
    </row>
    <row r="967">
      <c r="A967" s="562">
        <v>965.0</v>
      </c>
      <c r="B967" s="563" t="s">
        <v>6055</v>
      </c>
      <c r="C967" s="563" t="s">
        <v>5423</v>
      </c>
      <c r="D967" s="562">
        <v>0.0</v>
      </c>
      <c r="E967" s="562">
        <v>0.0</v>
      </c>
      <c r="F967" s="562">
        <v>0.0</v>
      </c>
      <c r="G967" s="562">
        <v>8.0</v>
      </c>
      <c r="H967" s="562">
        <v>0.0</v>
      </c>
      <c r="I967" s="423"/>
      <c r="J967" s="423"/>
      <c r="K967" s="423"/>
      <c r="L967" s="423"/>
      <c r="M967" s="423"/>
      <c r="N967" s="423"/>
      <c r="O967" s="423"/>
      <c r="P967" s="423"/>
      <c r="Q967" s="423"/>
      <c r="R967" s="423"/>
      <c r="S967" s="423"/>
      <c r="T967" s="423"/>
      <c r="U967" s="423"/>
      <c r="V967" s="423"/>
      <c r="W967" s="423"/>
      <c r="X967" s="423"/>
      <c r="Y967" s="423"/>
      <c r="Z967" s="423"/>
    </row>
    <row r="968">
      <c r="A968" s="564">
        <v>966.0</v>
      </c>
      <c r="B968" s="565" t="s">
        <v>6056</v>
      </c>
      <c r="C968" s="565" t="s">
        <v>5423</v>
      </c>
      <c r="D968" s="564">
        <v>0.0</v>
      </c>
      <c r="E968" s="564">
        <v>0.0</v>
      </c>
      <c r="F968" s="564">
        <v>0.0</v>
      </c>
      <c r="G968" s="564">
        <v>8.0</v>
      </c>
      <c r="H968" s="564">
        <v>0.0</v>
      </c>
      <c r="I968" s="423"/>
      <c r="J968" s="423"/>
      <c r="K968" s="423"/>
      <c r="L968" s="423"/>
      <c r="M968" s="423"/>
      <c r="N968" s="423"/>
      <c r="O968" s="423"/>
      <c r="P968" s="423"/>
      <c r="Q968" s="423"/>
      <c r="R968" s="423"/>
      <c r="S968" s="423"/>
      <c r="T968" s="423"/>
      <c r="U968" s="423"/>
      <c r="V968" s="423"/>
      <c r="W968" s="423"/>
      <c r="X968" s="423"/>
      <c r="Y968" s="423"/>
      <c r="Z968" s="423"/>
    </row>
    <row r="969">
      <c r="A969" s="562">
        <v>967.0</v>
      </c>
      <c r="B969" s="563" t="s">
        <v>6057</v>
      </c>
      <c r="C969" s="563" t="s">
        <v>5423</v>
      </c>
      <c r="D969" s="562">
        <v>0.0</v>
      </c>
      <c r="E969" s="562">
        <v>0.0</v>
      </c>
      <c r="F969" s="562">
        <v>0.0</v>
      </c>
      <c r="G969" s="562">
        <v>8.0</v>
      </c>
      <c r="H969" s="562">
        <v>0.0</v>
      </c>
      <c r="I969" s="423"/>
      <c r="J969" s="423"/>
      <c r="K969" s="423"/>
      <c r="L969" s="423"/>
      <c r="M969" s="423"/>
      <c r="N969" s="423"/>
      <c r="O969" s="423"/>
      <c r="P969" s="423"/>
      <c r="Q969" s="423"/>
      <c r="R969" s="423"/>
      <c r="S969" s="423"/>
      <c r="T969" s="423"/>
      <c r="U969" s="423"/>
      <c r="V969" s="423"/>
      <c r="W969" s="423"/>
      <c r="X969" s="423"/>
      <c r="Y969" s="423"/>
      <c r="Z969" s="423"/>
    </row>
    <row r="970">
      <c r="A970" s="564">
        <v>968.0</v>
      </c>
      <c r="B970" s="565" t="s">
        <v>6058</v>
      </c>
      <c r="C970" s="565" t="s">
        <v>5423</v>
      </c>
      <c r="D970" s="564">
        <v>0.0</v>
      </c>
      <c r="E970" s="564">
        <v>0.0</v>
      </c>
      <c r="F970" s="564">
        <v>0.0</v>
      </c>
      <c r="G970" s="564">
        <v>8.0</v>
      </c>
      <c r="H970" s="564">
        <v>0.0</v>
      </c>
      <c r="I970" s="423"/>
      <c r="J970" s="423"/>
      <c r="K970" s="423"/>
      <c r="L970" s="423"/>
      <c r="M970" s="423"/>
      <c r="N970" s="423"/>
      <c r="O970" s="423"/>
      <c r="P970" s="423"/>
      <c r="Q970" s="423"/>
      <c r="R970" s="423"/>
      <c r="S970" s="423"/>
      <c r="T970" s="423"/>
      <c r="U970" s="423"/>
      <c r="V970" s="423"/>
      <c r="W970" s="423"/>
      <c r="X970" s="423"/>
      <c r="Y970" s="423"/>
      <c r="Z970" s="423"/>
    </row>
    <row r="971">
      <c r="A971" s="562">
        <v>969.0</v>
      </c>
      <c r="B971" s="563" t="s">
        <v>6059</v>
      </c>
      <c r="C971" s="563" t="s">
        <v>5423</v>
      </c>
      <c r="D971" s="562">
        <v>1.0</v>
      </c>
      <c r="E971" s="562">
        <v>0.0</v>
      </c>
      <c r="F971" s="562">
        <v>0.0</v>
      </c>
      <c r="G971" s="562">
        <v>7.0</v>
      </c>
      <c r="H971" s="562">
        <v>0.0</v>
      </c>
      <c r="I971" s="423"/>
      <c r="J971" s="423"/>
      <c r="K971" s="423"/>
      <c r="L971" s="423"/>
      <c r="M971" s="423"/>
      <c r="N971" s="423"/>
      <c r="O971" s="423"/>
      <c r="P971" s="423"/>
      <c r="Q971" s="423"/>
      <c r="R971" s="423"/>
      <c r="S971" s="423"/>
      <c r="T971" s="423"/>
      <c r="U971" s="423"/>
      <c r="V971" s="423"/>
      <c r="W971" s="423"/>
      <c r="X971" s="423"/>
      <c r="Y971" s="423"/>
      <c r="Z971" s="423"/>
    </row>
    <row r="972">
      <c r="A972" s="564">
        <v>970.0</v>
      </c>
      <c r="B972" s="565" t="s">
        <v>6060</v>
      </c>
      <c r="C972" s="565" t="s">
        <v>5423</v>
      </c>
      <c r="D972" s="564">
        <v>0.0</v>
      </c>
      <c r="E972" s="564">
        <v>0.0</v>
      </c>
      <c r="F972" s="564">
        <v>0.0</v>
      </c>
      <c r="G972" s="564">
        <v>8.0</v>
      </c>
      <c r="H972" s="564">
        <v>0.0</v>
      </c>
      <c r="I972" s="423"/>
      <c r="J972" s="423"/>
      <c r="K972" s="423"/>
      <c r="L972" s="423"/>
      <c r="M972" s="423"/>
      <c r="N972" s="423"/>
      <c r="O972" s="423"/>
      <c r="P972" s="423"/>
      <c r="Q972" s="423"/>
      <c r="R972" s="423"/>
      <c r="S972" s="423"/>
      <c r="T972" s="423"/>
      <c r="U972" s="423"/>
      <c r="V972" s="423"/>
      <c r="W972" s="423"/>
      <c r="X972" s="423"/>
      <c r="Y972" s="423"/>
      <c r="Z972" s="423"/>
    </row>
    <row r="973">
      <c r="A973" s="562">
        <v>971.0</v>
      </c>
      <c r="B973" s="563" t="s">
        <v>6061</v>
      </c>
      <c r="C973" s="563" t="s">
        <v>5423</v>
      </c>
      <c r="D973" s="562">
        <v>0.0</v>
      </c>
      <c r="E973" s="562">
        <v>0.0</v>
      </c>
      <c r="F973" s="562">
        <v>0.0</v>
      </c>
      <c r="G973" s="562">
        <v>8.0</v>
      </c>
      <c r="H973" s="562">
        <v>0.0</v>
      </c>
      <c r="I973" s="423"/>
      <c r="J973" s="423"/>
      <c r="K973" s="423"/>
      <c r="L973" s="423"/>
      <c r="M973" s="423"/>
      <c r="N973" s="423"/>
      <c r="O973" s="423"/>
      <c r="P973" s="423"/>
      <c r="Q973" s="423"/>
      <c r="R973" s="423"/>
      <c r="S973" s="423"/>
      <c r="T973" s="423"/>
      <c r="U973" s="423"/>
      <c r="V973" s="423"/>
      <c r="W973" s="423"/>
      <c r="X973" s="423"/>
      <c r="Y973" s="423"/>
      <c r="Z973" s="423"/>
    </row>
    <row r="974">
      <c r="A974" s="564">
        <v>972.0</v>
      </c>
      <c r="B974" s="565" t="s">
        <v>6062</v>
      </c>
      <c r="C974" s="565" t="s">
        <v>5423</v>
      </c>
      <c r="D974" s="564">
        <v>0.0</v>
      </c>
      <c r="E974" s="564">
        <v>0.0</v>
      </c>
      <c r="F974" s="564">
        <v>0.0</v>
      </c>
      <c r="G974" s="564">
        <v>8.0</v>
      </c>
      <c r="H974" s="564">
        <v>0.0</v>
      </c>
      <c r="I974" s="423"/>
      <c r="J974" s="423"/>
      <c r="K974" s="423"/>
      <c r="L974" s="423"/>
      <c r="M974" s="423"/>
      <c r="N974" s="423"/>
      <c r="O974" s="423"/>
      <c r="P974" s="423"/>
      <c r="Q974" s="423"/>
      <c r="R974" s="423"/>
      <c r="S974" s="423"/>
      <c r="T974" s="423"/>
      <c r="U974" s="423"/>
      <c r="V974" s="423"/>
      <c r="W974" s="423"/>
      <c r="X974" s="423"/>
      <c r="Y974" s="423"/>
      <c r="Z974" s="423"/>
    </row>
    <row r="975">
      <c r="A975" s="562">
        <v>973.0</v>
      </c>
      <c r="B975" s="563" t="s">
        <v>6063</v>
      </c>
      <c r="C975" s="563" t="s">
        <v>5423</v>
      </c>
      <c r="D975" s="562">
        <v>0.0</v>
      </c>
      <c r="E975" s="562">
        <v>0.0</v>
      </c>
      <c r="F975" s="562">
        <v>0.0</v>
      </c>
      <c r="G975" s="562">
        <v>8.0</v>
      </c>
      <c r="H975" s="562">
        <v>0.0</v>
      </c>
      <c r="I975" s="423"/>
      <c r="J975" s="423"/>
      <c r="K975" s="423"/>
      <c r="L975" s="423"/>
      <c r="M975" s="423"/>
      <c r="N975" s="423"/>
      <c r="O975" s="423"/>
      <c r="P975" s="423"/>
      <c r="Q975" s="423"/>
      <c r="R975" s="423"/>
      <c r="S975" s="423"/>
      <c r="T975" s="423"/>
      <c r="U975" s="423"/>
      <c r="V975" s="423"/>
      <c r="W975" s="423"/>
      <c r="X975" s="423"/>
      <c r="Y975" s="423"/>
      <c r="Z975" s="423"/>
    </row>
    <row r="976">
      <c r="A976" s="564">
        <v>974.0</v>
      </c>
      <c r="B976" s="565" t="s">
        <v>6064</v>
      </c>
      <c r="C976" s="565" t="s">
        <v>5423</v>
      </c>
      <c r="D976" s="564">
        <v>0.0</v>
      </c>
      <c r="E976" s="564">
        <v>0.0</v>
      </c>
      <c r="F976" s="564">
        <v>0.0</v>
      </c>
      <c r="G976" s="564">
        <v>8.0</v>
      </c>
      <c r="H976" s="564">
        <v>0.0</v>
      </c>
      <c r="I976" s="423"/>
      <c r="J976" s="423"/>
      <c r="K976" s="423"/>
      <c r="L976" s="423"/>
      <c r="M976" s="423"/>
      <c r="N976" s="423"/>
      <c r="O976" s="423"/>
      <c r="P976" s="423"/>
      <c r="Q976" s="423"/>
      <c r="R976" s="423"/>
      <c r="S976" s="423"/>
      <c r="T976" s="423"/>
      <c r="U976" s="423"/>
      <c r="V976" s="423"/>
      <c r="W976" s="423"/>
      <c r="X976" s="423"/>
      <c r="Y976" s="423"/>
      <c r="Z976" s="423"/>
    </row>
    <row r="977">
      <c r="A977" s="562">
        <v>975.0</v>
      </c>
      <c r="B977" s="563" t="s">
        <v>6065</v>
      </c>
      <c r="C977" s="563" t="s">
        <v>5423</v>
      </c>
      <c r="D977" s="562">
        <v>0.0</v>
      </c>
      <c r="E977" s="562">
        <v>0.0</v>
      </c>
      <c r="F977" s="562">
        <v>0.0</v>
      </c>
      <c r="G977" s="562">
        <v>8.0</v>
      </c>
      <c r="H977" s="562">
        <v>0.0</v>
      </c>
      <c r="I977" s="423"/>
      <c r="J977" s="423"/>
      <c r="K977" s="423"/>
      <c r="L977" s="423"/>
      <c r="M977" s="423"/>
      <c r="N977" s="423"/>
      <c r="O977" s="423"/>
      <c r="P977" s="423"/>
      <c r="Q977" s="423"/>
      <c r="R977" s="423"/>
      <c r="S977" s="423"/>
      <c r="T977" s="423"/>
      <c r="U977" s="423"/>
      <c r="V977" s="423"/>
      <c r="W977" s="423"/>
      <c r="X977" s="423"/>
      <c r="Y977" s="423"/>
      <c r="Z977" s="423"/>
    </row>
    <row r="978">
      <c r="A978" s="564">
        <v>976.0</v>
      </c>
      <c r="B978" s="565" t="s">
        <v>6066</v>
      </c>
      <c r="C978" s="565" t="s">
        <v>5423</v>
      </c>
      <c r="D978" s="564">
        <v>0.0</v>
      </c>
      <c r="E978" s="564">
        <v>0.0</v>
      </c>
      <c r="F978" s="564">
        <v>0.0</v>
      </c>
      <c r="G978" s="564">
        <v>8.0</v>
      </c>
      <c r="H978" s="564">
        <v>0.0</v>
      </c>
      <c r="I978" s="423"/>
      <c r="J978" s="423"/>
      <c r="K978" s="423"/>
      <c r="L978" s="423"/>
      <c r="M978" s="423"/>
      <c r="N978" s="423"/>
      <c r="O978" s="423"/>
      <c r="P978" s="423"/>
      <c r="Q978" s="423"/>
      <c r="R978" s="423"/>
      <c r="S978" s="423"/>
      <c r="T978" s="423"/>
      <c r="U978" s="423"/>
      <c r="V978" s="423"/>
      <c r="W978" s="423"/>
      <c r="X978" s="423"/>
      <c r="Y978" s="423"/>
      <c r="Z978" s="423"/>
    </row>
    <row r="979">
      <c r="A979" s="562">
        <v>977.0</v>
      </c>
      <c r="B979" s="563" t="s">
        <v>6067</v>
      </c>
      <c r="C979" s="563" t="s">
        <v>5423</v>
      </c>
      <c r="D979" s="562">
        <v>0.0</v>
      </c>
      <c r="E979" s="562">
        <v>0.0</v>
      </c>
      <c r="F979" s="562">
        <v>0.0</v>
      </c>
      <c r="G979" s="562">
        <v>8.0</v>
      </c>
      <c r="H979" s="562">
        <v>0.0</v>
      </c>
      <c r="I979" s="423"/>
      <c r="J979" s="423"/>
      <c r="K979" s="423"/>
      <c r="L979" s="423"/>
      <c r="M979" s="423"/>
      <c r="N979" s="423"/>
      <c r="O979" s="423"/>
      <c r="P979" s="423"/>
      <c r="Q979" s="423"/>
      <c r="R979" s="423"/>
      <c r="S979" s="423"/>
      <c r="T979" s="423"/>
      <c r="U979" s="423"/>
      <c r="V979" s="423"/>
      <c r="W979" s="423"/>
      <c r="X979" s="423"/>
      <c r="Y979" s="423"/>
      <c r="Z979" s="423"/>
    </row>
    <row r="980">
      <c r="A980" s="564">
        <v>978.0</v>
      </c>
      <c r="B980" s="565" t="s">
        <v>6068</v>
      </c>
      <c r="C980" s="565" t="s">
        <v>5423</v>
      </c>
      <c r="D980" s="564">
        <v>1.0</v>
      </c>
      <c r="E980" s="564">
        <v>0.0</v>
      </c>
      <c r="F980" s="564">
        <v>0.0</v>
      </c>
      <c r="G980" s="564">
        <v>7.0</v>
      </c>
      <c r="H980" s="564">
        <v>0.0</v>
      </c>
      <c r="I980" s="423"/>
      <c r="J980" s="423"/>
      <c r="K980" s="423"/>
      <c r="L980" s="423"/>
      <c r="M980" s="423"/>
      <c r="N980" s="423"/>
      <c r="O980" s="423"/>
      <c r="P980" s="423"/>
      <c r="Q980" s="423"/>
      <c r="R980" s="423"/>
      <c r="S980" s="423"/>
      <c r="T980" s="423"/>
      <c r="U980" s="423"/>
      <c r="V980" s="423"/>
      <c r="W980" s="423"/>
      <c r="X980" s="423"/>
      <c r="Y980" s="423"/>
      <c r="Z980" s="423"/>
    </row>
    <row r="981">
      <c r="A981" s="562">
        <v>979.0</v>
      </c>
      <c r="B981" s="563" t="s">
        <v>6069</v>
      </c>
      <c r="C981" s="563" t="s">
        <v>5423</v>
      </c>
      <c r="D981" s="562">
        <v>0.0</v>
      </c>
      <c r="E981" s="562">
        <v>0.0</v>
      </c>
      <c r="F981" s="562">
        <v>0.0</v>
      </c>
      <c r="G981" s="562">
        <v>8.0</v>
      </c>
      <c r="H981" s="562">
        <v>0.0</v>
      </c>
      <c r="I981" s="423"/>
      <c r="J981" s="423"/>
      <c r="K981" s="423"/>
      <c r="L981" s="423"/>
      <c r="M981" s="423"/>
      <c r="N981" s="423"/>
      <c r="O981" s="423"/>
      <c r="P981" s="423"/>
      <c r="Q981" s="423"/>
      <c r="R981" s="423"/>
      <c r="S981" s="423"/>
      <c r="T981" s="423"/>
      <c r="U981" s="423"/>
      <c r="V981" s="423"/>
      <c r="W981" s="423"/>
      <c r="X981" s="423"/>
      <c r="Y981" s="423"/>
      <c r="Z981" s="423"/>
    </row>
    <row r="982">
      <c r="A982" s="564">
        <v>980.0</v>
      </c>
      <c r="B982" s="565" t="s">
        <v>6070</v>
      </c>
      <c r="C982" s="565" t="s">
        <v>5423</v>
      </c>
      <c r="D982" s="564">
        <v>0.0</v>
      </c>
      <c r="E982" s="564">
        <v>0.0</v>
      </c>
      <c r="F982" s="564">
        <v>0.0</v>
      </c>
      <c r="G982" s="564">
        <v>8.0</v>
      </c>
      <c r="H982" s="564">
        <v>0.0</v>
      </c>
      <c r="I982" s="423"/>
      <c r="J982" s="423"/>
      <c r="K982" s="423"/>
      <c r="L982" s="423"/>
      <c r="M982" s="423"/>
      <c r="N982" s="423"/>
      <c r="O982" s="423"/>
      <c r="P982" s="423"/>
      <c r="Q982" s="423"/>
      <c r="R982" s="423"/>
      <c r="S982" s="423"/>
      <c r="T982" s="423"/>
      <c r="U982" s="423"/>
      <c r="V982" s="423"/>
      <c r="W982" s="423"/>
      <c r="X982" s="423"/>
      <c r="Y982" s="423"/>
      <c r="Z982" s="423"/>
    </row>
    <row r="983">
      <c r="A983" s="562">
        <v>981.0</v>
      </c>
      <c r="B983" s="563" t="s">
        <v>6071</v>
      </c>
      <c r="C983" s="563" t="s">
        <v>5423</v>
      </c>
      <c r="D983" s="562">
        <v>1.0</v>
      </c>
      <c r="E983" s="562">
        <v>0.0</v>
      </c>
      <c r="F983" s="562">
        <v>0.0</v>
      </c>
      <c r="G983" s="562">
        <v>7.0</v>
      </c>
      <c r="H983" s="562">
        <v>0.0</v>
      </c>
      <c r="I983" s="423"/>
      <c r="J983" s="423"/>
      <c r="K983" s="423"/>
      <c r="L983" s="423"/>
      <c r="M983" s="423"/>
      <c r="N983" s="423"/>
      <c r="O983" s="423"/>
      <c r="P983" s="423"/>
      <c r="Q983" s="423"/>
      <c r="R983" s="423"/>
      <c r="S983" s="423"/>
      <c r="T983" s="423"/>
      <c r="U983" s="423"/>
      <c r="V983" s="423"/>
      <c r="W983" s="423"/>
      <c r="X983" s="423"/>
      <c r="Y983" s="423"/>
      <c r="Z983" s="423"/>
    </row>
    <row r="984">
      <c r="A984" s="564">
        <v>982.0</v>
      </c>
      <c r="B984" s="565" t="s">
        <v>6072</v>
      </c>
      <c r="C984" s="565" t="s">
        <v>5423</v>
      </c>
      <c r="D984" s="564">
        <v>0.0</v>
      </c>
      <c r="E984" s="564">
        <v>0.0</v>
      </c>
      <c r="F984" s="564">
        <v>0.0</v>
      </c>
      <c r="G984" s="564">
        <v>8.0</v>
      </c>
      <c r="H984" s="564">
        <v>0.0</v>
      </c>
      <c r="I984" s="423"/>
      <c r="J984" s="423"/>
      <c r="K984" s="423"/>
      <c r="L984" s="423"/>
      <c r="M984" s="423"/>
      <c r="N984" s="423"/>
      <c r="O984" s="423"/>
      <c r="P984" s="423"/>
      <c r="Q984" s="423"/>
      <c r="R984" s="423"/>
      <c r="S984" s="423"/>
      <c r="T984" s="423"/>
      <c r="U984" s="423"/>
      <c r="V984" s="423"/>
      <c r="W984" s="423"/>
      <c r="X984" s="423"/>
      <c r="Y984" s="423"/>
      <c r="Z984" s="423"/>
    </row>
    <row r="985">
      <c r="A985" s="562">
        <v>983.0</v>
      </c>
      <c r="B985" s="563" t="s">
        <v>6073</v>
      </c>
      <c r="C985" s="563" t="s">
        <v>5423</v>
      </c>
      <c r="D985" s="562">
        <v>0.0</v>
      </c>
      <c r="E985" s="562">
        <v>0.0</v>
      </c>
      <c r="F985" s="562">
        <v>0.0</v>
      </c>
      <c r="G985" s="562">
        <v>8.0</v>
      </c>
      <c r="H985" s="562">
        <v>0.0</v>
      </c>
      <c r="I985" s="423"/>
      <c r="J985" s="423"/>
      <c r="K985" s="423"/>
      <c r="L985" s="423"/>
      <c r="M985" s="423"/>
      <c r="N985" s="423"/>
      <c r="O985" s="423"/>
      <c r="P985" s="423"/>
      <c r="Q985" s="423"/>
      <c r="R985" s="423"/>
      <c r="S985" s="423"/>
      <c r="T985" s="423"/>
      <c r="U985" s="423"/>
      <c r="V985" s="423"/>
      <c r="W985" s="423"/>
      <c r="X985" s="423"/>
      <c r="Y985" s="423"/>
      <c r="Z985" s="423"/>
    </row>
    <row r="986">
      <c r="A986" s="564">
        <v>984.0</v>
      </c>
      <c r="B986" s="565" t="s">
        <v>6074</v>
      </c>
      <c r="C986" s="565" t="s">
        <v>5423</v>
      </c>
      <c r="D986" s="564">
        <v>0.0</v>
      </c>
      <c r="E986" s="564">
        <v>0.0</v>
      </c>
      <c r="F986" s="564">
        <v>0.0</v>
      </c>
      <c r="G986" s="564">
        <v>8.0</v>
      </c>
      <c r="H986" s="564">
        <v>0.0</v>
      </c>
      <c r="I986" s="423"/>
      <c r="J986" s="423"/>
      <c r="K986" s="423"/>
      <c r="L986" s="423"/>
      <c r="M986" s="423"/>
      <c r="N986" s="423"/>
      <c r="O986" s="423"/>
      <c r="P986" s="423"/>
      <c r="Q986" s="423"/>
      <c r="R986" s="423"/>
      <c r="S986" s="423"/>
      <c r="T986" s="423"/>
      <c r="U986" s="423"/>
      <c r="V986" s="423"/>
      <c r="W986" s="423"/>
      <c r="X986" s="423"/>
      <c r="Y986" s="423"/>
      <c r="Z986" s="423"/>
    </row>
    <row r="987">
      <c r="A987" s="562">
        <v>985.0</v>
      </c>
      <c r="B987" s="563" t="s">
        <v>6075</v>
      </c>
      <c r="C987" s="563" t="s">
        <v>5423</v>
      </c>
      <c r="D987" s="562">
        <v>0.0</v>
      </c>
      <c r="E987" s="562">
        <v>0.0</v>
      </c>
      <c r="F987" s="562">
        <v>0.0</v>
      </c>
      <c r="G987" s="562">
        <v>8.0</v>
      </c>
      <c r="H987" s="562">
        <v>0.0</v>
      </c>
      <c r="I987" s="423"/>
      <c r="J987" s="423"/>
      <c r="K987" s="423"/>
      <c r="L987" s="423"/>
      <c r="M987" s="423"/>
      <c r="N987" s="423"/>
      <c r="O987" s="423"/>
      <c r="P987" s="423"/>
      <c r="Q987" s="423"/>
      <c r="R987" s="423"/>
      <c r="S987" s="423"/>
      <c r="T987" s="423"/>
      <c r="U987" s="423"/>
      <c r="V987" s="423"/>
      <c r="W987" s="423"/>
      <c r="X987" s="423"/>
      <c r="Y987" s="423"/>
      <c r="Z987" s="423"/>
    </row>
    <row r="988">
      <c r="A988" s="564">
        <v>986.0</v>
      </c>
      <c r="B988" s="565" t="s">
        <v>6076</v>
      </c>
      <c r="C988" s="565" t="s">
        <v>5423</v>
      </c>
      <c r="D988" s="564">
        <v>0.0</v>
      </c>
      <c r="E988" s="564">
        <v>0.0</v>
      </c>
      <c r="F988" s="564">
        <v>0.0</v>
      </c>
      <c r="G988" s="564">
        <v>8.0</v>
      </c>
      <c r="H988" s="564">
        <v>0.0</v>
      </c>
      <c r="I988" s="423"/>
      <c r="J988" s="423"/>
      <c r="K988" s="423"/>
      <c r="L988" s="423"/>
      <c r="M988" s="423"/>
      <c r="N988" s="423"/>
      <c r="O988" s="423"/>
      <c r="P988" s="423"/>
      <c r="Q988" s="423"/>
      <c r="R988" s="423"/>
      <c r="S988" s="423"/>
      <c r="T988" s="423"/>
      <c r="U988" s="423"/>
      <c r="V988" s="423"/>
      <c r="W988" s="423"/>
      <c r="X988" s="423"/>
      <c r="Y988" s="423"/>
      <c r="Z988" s="423"/>
    </row>
    <row r="989">
      <c r="A989" s="562">
        <v>987.0</v>
      </c>
      <c r="B989" s="563" t="s">
        <v>6077</v>
      </c>
      <c r="C989" s="563" t="s">
        <v>5423</v>
      </c>
      <c r="D989" s="562">
        <v>0.0</v>
      </c>
      <c r="E989" s="562">
        <v>0.0</v>
      </c>
      <c r="F989" s="562">
        <v>0.0</v>
      </c>
      <c r="G989" s="562">
        <v>8.0</v>
      </c>
      <c r="H989" s="562">
        <v>0.0</v>
      </c>
      <c r="I989" s="423"/>
      <c r="J989" s="423"/>
      <c r="K989" s="423"/>
      <c r="L989" s="423"/>
      <c r="M989" s="423"/>
      <c r="N989" s="423"/>
      <c r="O989" s="423"/>
      <c r="P989" s="423"/>
      <c r="Q989" s="423"/>
      <c r="R989" s="423"/>
      <c r="S989" s="423"/>
      <c r="T989" s="423"/>
      <c r="U989" s="423"/>
      <c r="V989" s="423"/>
      <c r="W989" s="423"/>
      <c r="X989" s="423"/>
      <c r="Y989" s="423"/>
      <c r="Z989" s="423"/>
    </row>
    <row r="990">
      <c r="A990" s="564">
        <v>988.0</v>
      </c>
      <c r="B990" s="565" t="s">
        <v>6078</v>
      </c>
      <c r="C990" s="565" t="s">
        <v>5423</v>
      </c>
      <c r="D990" s="564">
        <v>0.0</v>
      </c>
      <c r="E990" s="564">
        <v>0.0</v>
      </c>
      <c r="F990" s="564">
        <v>0.0</v>
      </c>
      <c r="G990" s="564">
        <v>8.0</v>
      </c>
      <c r="H990" s="564">
        <v>0.0</v>
      </c>
      <c r="I990" s="423"/>
      <c r="J990" s="423"/>
      <c r="K990" s="423"/>
      <c r="L990" s="423"/>
      <c r="M990" s="423"/>
      <c r="N990" s="423"/>
      <c r="O990" s="423"/>
      <c r="P990" s="423"/>
      <c r="Q990" s="423"/>
      <c r="R990" s="423"/>
      <c r="S990" s="423"/>
      <c r="T990" s="423"/>
      <c r="U990" s="423"/>
      <c r="V990" s="423"/>
      <c r="W990" s="423"/>
      <c r="X990" s="423"/>
      <c r="Y990" s="423"/>
      <c r="Z990" s="423"/>
    </row>
    <row r="991">
      <c r="A991" s="562">
        <v>989.0</v>
      </c>
      <c r="B991" s="563" t="s">
        <v>6079</v>
      </c>
      <c r="C991" s="563" t="s">
        <v>5423</v>
      </c>
      <c r="D991" s="562">
        <v>0.0</v>
      </c>
      <c r="E991" s="562">
        <v>0.0</v>
      </c>
      <c r="F991" s="562">
        <v>0.0</v>
      </c>
      <c r="G991" s="562">
        <v>8.0</v>
      </c>
      <c r="H991" s="562">
        <v>0.0</v>
      </c>
      <c r="I991" s="423"/>
      <c r="J991" s="423"/>
      <c r="K991" s="423"/>
      <c r="L991" s="423"/>
      <c r="M991" s="423"/>
      <c r="N991" s="423"/>
      <c r="O991" s="423"/>
      <c r="P991" s="423"/>
      <c r="Q991" s="423"/>
      <c r="R991" s="423"/>
      <c r="S991" s="423"/>
      <c r="T991" s="423"/>
      <c r="U991" s="423"/>
      <c r="V991" s="423"/>
      <c r="W991" s="423"/>
      <c r="X991" s="423"/>
      <c r="Y991" s="423"/>
      <c r="Z991" s="423"/>
    </row>
    <row r="992">
      <c r="A992" s="564">
        <v>990.0</v>
      </c>
      <c r="B992" s="565" t="s">
        <v>6080</v>
      </c>
      <c r="C992" s="565" t="s">
        <v>5423</v>
      </c>
      <c r="D992" s="564">
        <v>0.0</v>
      </c>
      <c r="E992" s="564">
        <v>0.0</v>
      </c>
      <c r="F992" s="564">
        <v>0.0</v>
      </c>
      <c r="G992" s="564">
        <v>8.0</v>
      </c>
      <c r="H992" s="564">
        <v>0.0</v>
      </c>
      <c r="I992" s="423"/>
      <c r="J992" s="423"/>
      <c r="K992" s="423"/>
      <c r="L992" s="423"/>
      <c r="M992" s="423"/>
      <c r="N992" s="423"/>
      <c r="O992" s="423"/>
      <c r="P992" s="423"/>
      <c r="Q992" s="423"/>
      <c r="R992" s="423"/>
      <c r="S992" s="423"/>
      <c r="T992" s="423"/>
      <c r="U992" s="423"/>
      <c r="V992" s="423"/>
      <c r="W992" s="423"/>
      <c r="X992" s="423"/>
      <c r="Y992" s="423"/>
      <c r="Z992" s="423"/>
    </row>
    <row r="993">
      <c r="A993" s="562">
        <v>991.0</v>
      </c>
      <c r="B993" s="563" t="s">
        <v>6081</v>
      </c>
      <c r="C993" s="563" t="s">
        <v>5423</v>
      </c>
      <c r="D993" s="562">
        <v>0.0</v>
      </c>
      <c r="E993" s="562">
        <v>0.0</v>
      </c>
      <c r="F993" s="562">
        <v>0.0</v>
      </c>
      <c r="G993" s="562">
        <v>8.0</v>
      </c>
      <c r="H993" s="562">
        <v>0.0</v>
      </c>
      <c r="I993" s="423"/>
      <c r="J993" s="423"/>
      <c r="K993" s="423"/>
      <c r="L993" s="423"/>
      <c r="M993" s="423"/>
      <c r="N993" s="423"/>
      <c r="O993" s="423"/>
      <c r="P993" s="423"/>
      <c r="Q993" s="423"/>
      <c r="R993" s="423"/>
      <c r="S993" s="423"/>
      <c r="T993" s="423"/>
      <c r="U993" s="423"/>
      <c r="V993" s="423"/>
      <c r="W993" s="423"/>
      <c r="X993" s="423"/>
      <c r="Y993" s="423"/>
      <c r="Z993" s="423"/>
    </row>
    <row r="994">
      <c r="A994" s="564">
        <v>992.0</v>
      </c>
      <c r="B994" s="565" t="s">
        <v>6082</v>
      </c>
      <c r="C994" s="565" t="s">
        <v>5423</v>
      </c>
      <c r="D994" s="564">
        <v>0.0</v>
      </c>
      <c r="E994" s="564">
        <v>0.0</v>
      </c>
      <c r="F994" s="564">
        <v>0.0</v>
      </c>
      <c r="G994" s="564">
        <v>8.0</v>
      </c>
      <c r="H994" s="564">
        <v>0.0</v>
      </c>
      <c r="I994" s="423"/>
      <c r="J994" s="423"/>
      <c r="K994" s="423"/>
      <c r="L994" s="423"/>
      <c r="M994" s="423"/>
      <c r="N994" s="423"/>
      <c r="O994" s="423"/>
      <c r="P994" s="423"/>
      <c r="Q994" s="423"/>
      <c r="R994" s="423"/>
      <c r="S994" s="423"/>
      <c r="T994" s="423"/>
      <c r="U994" s="423"/>
      <c r="V994" s="423"/>
      <c r="W994" s="423"/>
      <c r="X994" s="423"/>
      <c r="Y994" s="423"/>
      <c r="Z994" s="423"/>
    </row>
    <row r="995">
      <c r="A995" s="562">
        <v>993.0</v>
      </c>
      <c r="B995" s="563" t="s">
        <v>6083</v>
      </c>
      <c r="C995" s="563" t="s">
        <v>5423</v>
      </c>
      <c r="D995" s="562">
        <v>0.0</v>
      </c>
      <c r="E995" s="562">
        <v>0.0</v>
      </c>
      <c r="F995" s="562">
        <v>0.0</v>
      </c>
      <c r="G995" s="562">
        <v>8.0</v>
      </c>
      <c r="H995" s="562">
        <v>0.0</v>
      </c>
      <c r="I995" s="423"/>
      <c r="J995" s="423"/>
      <c r="K995" s="423"/>
      <c r="L995" s="423"/>
      <c r="M995" s="423"/>
      <c r="N995" s="423"/>
      <c r="O995" s="423"/>
      <c r="P995" s="423"/>
      <c r="Q995" s="423"/>
      <c r="R995" s="423"/>
      <c r="S995" s="423"/>
      <c r="T995" s="423"/>
      <c r="U995" s="423"/>
      <c r="V995" s="423"/>
      <c r="W995" s="423"/>
      <c r="X995" s="423"/>
      <c r="Y995" s="423"/>
      <c r="Z995" s="423"/>
    </row>
    <row r="996">
      <c r="A996" s="564">
        <v>994.0</v>
      </c>
      <c r="B996" s="565" t="s">
        <v>6084</v>
      </c>
      <c r="C996" s="565" t="s">
        <v>5423</v>
      </c>
      <c r="D996" s="564">
        <v>0.0</v>
      </c>
      <c r="E996" s="564">
        <v>0.0</v>
      </c>
      <c r="F996" s="564">
        <v>0.0</v>
      </c>
      <c r="G996" s="564">
        <v>8.0</v>
      </c>
      <c r="H996" s="564">
        <v>0.0</v>
      </c>
      <c r="I996" s="423"/>
      <c r="J996" s="423"/>
      <c r="K996" s="423"/>
      <c r="L996" s="423"/>
      <c r="M996" s="423"/>
      <c r="N996" s="423"/>
      <c r="O996" s="423"/>
      <c r="P996" s="423"/>
      <c r="Q996" s="423"/>
      <c r="R996" s="423"/>
      <c r="S996" s="423"/>
      <c r="T996" s="423"/>
      <c r="U996" s="423"/>
      <c r="V996" s="423"/>
      <c r="W996" s="423"/>
      <c r="X996" s="423"/>
      <c r="Y996" s="423"/>
      <c r="Z996" s="423"/>
    </row>
    <row r="997">
      <c r="A997" s="562">
        <v>995.0</v>
      </c>
      <c r="B997" s="563" t="s">
        <v>6085</v>
      </c>
      <c r="C997" s="563" t="s">
        <v>5423</v>
      </c>
      <c r="D997" s="562">
        <v>0.0</v>
      </c>
      <c r="E997" s="562">
        <v>0.0</v>
      </c>
      <c r="F997" s="562">
        <v>0.0</v>
      </c>
      <c r="G997" s="562">
        <v>8.0</v>
      </c>
      <c r="H997" s="562">
        <v>0.0</v>
      </c>
      <c r="I997" s="423"/>
      <c r="J997" s="423"/>
      <c r="K997" s="423"/>
      <c r="L997" s="423"/>
      <c r="M997" s="423"/>
      <c r="N997" s="423"/>
      <c r="O997" s="423"/>
      <c r="P997" s="423"/>
      <c r="Q997" s="423"/>
      <c r="R997" s="423"/>
      <c r="S997" s="423"/>
      <c r="T997" s="423"/>
      <c r="U997" s="423"/>
      <c r="V997" s="423"/>
      <c r="W997" s="423"/>
      <c r="X997" s="423"/>
      <c r="Y997" s="423"/>
      <c r="Z997" s="423"/>
    </row>
    <row r="998">
      <c r="A998" s="564">
        <v>996.0</v>
      </c>
      <c r="B998" s="565" t="s">
        <v>6086</v>
      </c>
      <c r="C998" s="565" t="s">
        <v>5423</v>
      </c>
      <c r="D998" s="564">
        <v>0.0</v>
      </c>
      <c r="E998" s="564">
        <v>0.0</v>
      </c>
      <c r="F998" s="564">
        <v>0.0</v>
      </c>
      <c r="G998" s="564">
        <v>8.0</v>
      </c>
      <c r="H998" s="564">
        <v>0.0</v>
      </c>
      <c r="I998" s="423"/>
      <c r="J998" s="423"/>
      <c r="K998" s="423"/>
      <c r="L998" s="423"/>
      <c r="M998" s="423"/>
      <c r="N998" s="423"/>
      <c r="O998" s="423"/>
      <c r="P998" s="423"/>
      <c r="Q998" s="423"/>
      <c r="R998" s="423"/>
      <c r="S998" s="423"/>
      <c r="T998" s="423"/>
      <c r="U998" s="423"/>
      <c r="V998" s="423"/>
      <c r="W998" s="423"/>
      <c r="X998" s="423"/>
      <c r="Y998" s="423"/>
      <c r="Z998" s="423"/>
    </row>
    <row r="999">
      <c r="A999" s="562">
        <v>997.0</v>
      </c>
      <c r="B999" s="563" t="s">
        <v>6087</v>
      </c>
      <c r="C999" s="563" t="s">
        <v>5423</v>
      </c>
      <c r="D999" s="562">
        <v>1.0</v>
      </c>
      <c r="E999" s="562">
        <v>0.0</v>
      </c>
      <c r="F999" s="562">
        <v>0.0</v>
      </c>
      <c r="G999" s="562">
        <v>7.0</v>
      </c>
      <c r="H999" s="562">
        <v>0.0</v>
      </c>
      <c r="I999" s="423"/>
      <c r="J999" s="423"/>
      <c r="K999" s="423"/>
      <c r="L999" s="423"/>
      <c r="M999" s="423"/>
      <c r="N999" s="423"/>
      <c r="O999" s="423"/>
      <c r="P999" s="423"/>
      <c r="Q999" s="423"/>
      <c r="R999" s="423"/>
      <c r="S999" s="423"/>
      <c r="T999" s="423"/>
      <c r="U999" s="423"/>
      <c r="V999" s="423"/>
      <c r="W999" s="423"/>
      <c r="X999" s="423"/>
      <c r="Y999" s="423"/>
      <c r="Z999" s="423"/>
    </row>
    <row r="1000">
      <c r="A1000" s="564">
        <v>998.0</v>
      </c>
      <c r="B1000" s="565" t="s">
        <v>6088</v>
      </c>
      <c r="C1000" s="565" t="s">
        <v>6089</v>
      </c>
      <c r="D1000" s="564">
        <v>0.0</v>
      </c>
      <c r="E1000" s="564">
        <v>0.0</v>
      </c>
      <c r="F1000" s="564">
        <v>0.0</v>
      </c>
      <c r="G1000" s="564">
        <v>8.0</v>
      </c>
      <c r="H1000" s="564">
        <v>0.0</v>
      </c>
      <c r="I1000" s="423"/>
      <c r="J1000" s="423"/>
      <c r="K1000" s="423"/>
      <c r="L1000" s="423"/>
      <c r="M1000" s="423"/>
      <c r="N1000" s="423"/>
      <c r="O1000" s="423"/>
      <c r="P1000" s="423"/>
      <c r="Q1000" s="423"/>
      <c r="R1000" s="423"/>
      <c r="S1000" s="423"/>
      <c r="T1000" s="423"/>
      <c r="U1000" s="423"/>
      <c r="V1000" s="423"/>
      <c r="W1000" s="423"/>
      <c r="X1000" s="423"/>
      <c r="Y1000" s="423"/>
      <c r="Z1000" s="423"/>
    </row>
    <row r="1001">
      <c r="A1001" s="562">
        <v>999.0</v>
      </c>
      <c r="B1001" s="563" t="s">
        <v>6090</v>
      </c>
      <c r="C1001" s="563" t="s">
        <v>6089</v>
      </c>
      <c r="D1001" s="562">
        <v>0.0</v>
      </c>
      <c r="E1001" s="562">
        <v>0.0</v>
      </c>
      <c r="F1001" s="562">
        <v>0.0</v>
      </c>
      <c r="G1001" s="562">
        <v>8.0</v>
      </c>
      <c r="H1001" s="562">
        <v>0.0</v>
      </c>
      <c r="I1001" s="423"/>
      <c r="J1001" s="423"/>
      <c r="K1001" s="423"/>
      <c r="L1001" s="423"/>
      <c r="M1001" s="423"/>
      <c r="N1001" s="423"/>
      <c r="O1001" s="423"/>
      <c r="P1001" s="423"/>
      <c r="Q1001" s="423"/>
      <c r="R1001" s="423"/>
      <c r="S1001" s="423"/>
      <c r="T1001" s="423"/>
      <c r="U1001" s="423"/>
      <c r="V1001" s="423"/>
      <c r="W1001" s="423"/>
      <c r="X1001" s="423"/>
      <c r="Y1001" s="423"/>
      <c r="Z1001" s="423"/>
    </row>
    <row r="1002">
      <c r="A1002" s="564">
        <v>1000.0</v>
      </c>
      <c r="B1002" s="565" t="s">
        <v>6091</v>
      </c>
      <c r="C1002" s="565" t="s">
        <v>6089</v>
      </c>
      <c r="D1002" s="564">
        <v>0.0</v>
      </c>
      <c r="E1002" s="564">
        <v>0.0</v>
      </c>
      <c r="F1002" s="564">
        <v>0.0</v>
      </c>
      <c r="G1002" s="564">
        <v>8.0</v>
      </c>
      <c r="H1002" s="564">
        <v>0.0</v>
      </c>
      <c r="I1002" s="423"/>
      <c r="J1002" s="423"/>
      <c r="K1002" s="423"/>
      <c r="L1002" s="423"/>
      <c r="M1002" s="423"/>
      <c r="N1002" s="423"/>
      <c r="O1002" s="423"/>
      <c r="P1002" s="423"/>
      <c r="Q1002" s="423"/>
      <c r="R1002" s="423"/>
      <c r="S1002" s="423"/>
      <c r="T1002" s="423"/>
      <c r="U1002" s="423"/>
      <c r="V1002" s="423"/>
      <c r="W1002" s="423"/>
      <c r="X1002" s="423"/>
      <c r="Y1002" s="423"/>
      <c r="Z1002" s="423"/>
    </row>
    <row r="1003">
      <c r="A1003" s="562">
        <v>1001.0</v>
      </c>
      <c r="B1003" s="563" t="s">
        <v>6092</v>
      </c>
      <c r="C1003" s="563" t="s">
        <v>6089</v>
      </c>
      <c r="D1003" s="562">
        <v>1.0</v>
      </c>
      <c r="E1003" s="562">
        <v>0.0</v>
      </c>
      <c r="F1003" s="562">
        <v>0.0</v>
      </c>
      <c r="G1003" s="562">
        <v>7.0</v>
      </c>
      <c r="H1003" s="562">
        <v>0.0</v>
      </c>
      <c r="I1003" s="423"/>
      <c r="J1003" s="423"/>
      <c r="K1003" s="423"/>
      <c r="L1003" s="423"/>
      <c r="M1003" s="423"/>
      <c r="N1003" s="423"/>
      <c r="O1003" s="423"/>
      <c r="P1003" s="423"/>
      <c r="Q1003" s="423"/>
      <c r="R1003" s="423"/>
      <c r="S1003" s="423"/>
      <c r="T1003" s="423"/>
      <c r="U1003" s="423"/>
      <c r="V1003" s="423"/>
      <c r="W1003" s="423"/>
      <c r="X1003" s="423"/>
      <c r="Y1003" s="423"/>
      <c r="Z1003" s="423"/>
    </row>
    <row r="1004">
      <c r="A1004" s="564">
        <v>1002.0</v>
      </c>
      <c r="B1004" s="565" t="s">
        <v>6093</v>
      </c>
      <c r="C1004" s="565" t="s">
        <v>6089</v>
      </c>
      <c r="D1004" s="564">
        <v>0.0</v>
      </c>
      <c r="E1004" s="564">
        <v>0.0</v>
      </c>
      <c r="F1004" s="564">
        <v>0.0</v>
      </c>
      <c r="G1004" s="564">
        <v>8.0</v>
      </c>
      <c r="H1004" s="564">
        <v>0.0</v>
      </c>
      <c r="I1004" s="423"/>
      <c r="J1004" s="423"/>
      <c r="K1004" s="423"/>
      <c r="L1004" s="423"/>
      <c r="M1004" s="423"/>
      <c r="N1004" s="423"/>
      <c r="O1004" s="423"/>
      <c r="P1004" s="423"/>
      <c r="Q1004" s="423"/>
      <c r="R1004" s="423"/>
      <c r="S1004" s="423"/>
      <c r="T1004" s="423"/>
      <c r="U1004" s="423"/>
      <c r="V1004" s="423"/>
      <c r="W1004" s="423"/>
      <c r="X1004" s="423"/>
      <c r="Y1004" s="423"/>
      <c r="Z1004" s="423"/>
    </row>
    <row r="1005">
      <c r="A1005" s="562">
        <v>1003.0</v>
      </c>
      <c r="B1005" s="563" t="s">
        <v>6094</v>
      </c>
      <c r="C1005" s="563" t="s">
        <v>6089</v>
      </c>
      <c r="D1005" s="562">
        <v>0.0</v>
      </c>
      <c r="E1005" s="562">
        <v>0.0</v>
      </c>
      <c r="F1005" s="562">
        <v>0.0</v>
      </c>
      <c r="G1005" s="562">
        <v>8.0</v>
      </c>
      <c r="H1005" s="562">
        <v>0.0</v>
      </c>
      <c r="I1005" s="423"/>
      <c r="J1005" s="423"/>
      <c r="K1005" s="423"/>
      <c r="L1005" s="423"/>
      <c r="M1005" s="423"/>
      <c r="N1005" s="423"/>
      <c r="O1005" s="423"/>
      <c r="P1005" s="423"/>
      <c r="Q1005" s="423"/>
      <c r="R1005" s="423"/>
      <c r="S1005" s="423"/>
      <c r="T1005" s="423"/>
      <c r="U1005" s="423"/>
      <c r="V1005" s="423"/>
      <c r="W1005" s="423"/>
      <c r="X1005" s="423"/>
      <c r="Y1005" s="423"/>
      <c r="Z1005" s="423"/>
    </row>
    <row r="1006">
      <c r="A1006" s="564">
        <v>1004.0</v>
      </c>
      <c r="B1006" s="565" t="s">
        <v>6095</v>
      </c>
      <c r="C1006" s="565" t="s">
        <v>6089</v>
      </c>
      <c r="D1006" s="564">
        <v>0.0</v>
      </c>
      <c r="E1006" s="564">
        <v>0.0</v>
      </c>
      <c r="F1006" s="564">
        <v>0.0</v>
      </c>
      <c r="G1006" s="564">
        <v>8.0</v>
      </c>
      <c r="H1006" s="564">
        <v>0.0</v>
      </c>
      <c r="I1006" s="423"/>
      <c r="J1006" s="423"/>
      <c r="K1006" s="423"/>
      <c r="L1006" s="423"/>
      <c r="M1006" s="423"/>
      <c r="N1006" s="423"/>
      <c r="O1006" s="423"/>
      <c r="P1006" s="423"/>
      <c r="Q1006" s="423"/>
      <c r="R1006" s="423"/>
      <c r="S1006" s="423"/>
      <c r="T1006" s="423"/>
      <c r="U1006" s="423"/>
      <c r="V1006" s="423"/>
      <c r="W1006" s="423"/>
      <c r="X1006" s="423"/>
      <c r="Y1006" s="423"/>
      <c r="Z1006" s="423"/>
    </row>
    <row r="1007">
      <c r="A1007" s="562">
        <v>1005.0</v>
      </c>
      <c r="B1007" s="563" t="s">
        <v>6096</v>
      </c>
      <c r="C1007" s="563" t="s">
        <v>6089</v>
      </c>
      <c r="D1007" s="562">
        <v>0.0</v>
      </c>
      <c r="E1007" s="562">
        <v>0.0</v>
      </c>
      <c r="F1007" s="562">
        <v>0.0</v>
      </c>
      <c r="G1007" s="562">
        <v>8.0</v>
      </c>
      <c r="H1007" s="562">
        <v>0.0</v>
      </c>
      <c r="I1007" s="423"/>
      <c r="J1007" s="423"/>
      <c r="K1007" s="423"/>
      <c r="L1007" s="423"/>
      <c r="M1007" s="423"/>
      <c r="N1007" s="423"/>
      <c r="O1007" s="423"/>
      <c r="P1007" s="423"/>
      <c r="Q1007" s="423"/>
      <c r="R1007" s="423"/>
      <c r="S1007" s="423"/>
      <c r="T1007" s="423"/>
      <c r="U1007" s="423"/>
      <c r="V1007" s="423"/>
      <c r="W1007" s="423"/>
      <c r="X1007" s="423"/>
      <c r="Y1007" s="423"/>
      <c r="Z1007" s="423"/>
    </row>
    <row r="1008">
      <c r="A1008" s="564">
        <v>1006.0</v>
      </c>
      <c r="B1008" s="565" t="s">
        <v>6097</v>
      </c>
      <c r="C1008" s="565" t="s">
        <v>6089</v>
      </c>
      <c r="D1008" s="564">
        <v>0.0</v>
      </c>
      <c r="E1008" s="564">
        <v>0.0</v>
      </c>
      <c r="F1008" s="564">
        <v>0.0</v>
      </c>
      <c r="G1008" s="564">
        <v>8.0</v>
      </c>
      <c r="H1008" s="564">
        <v>0.0</v>
      </c>
      <c r="I1008" s="423"/>
      <c r="J1008" s="423"/>
      <c r="K1008" s="423"/>
      <c r="L1008" s="423"/>
      <c r="M1008" s="423"/>
      <c r="N1008" s="423"/>
      <c r="O1008" s="423"/>
      <c r="P1008" s="423"/>
      <c r="Q1008" s="423"/>
      <c r="R1008" s="423"/>
      <c r="S1008" s="423"/>
      <c r="T1008" s="423"/>
      <c r="U1008" s="423"/>
      <c r="V1008" s="423"/>
      <c r="W1008" s="423"/>
      <c r="X1008" s="423"/>
      <c r="Y1008" s="423"/>
      <c r="Z1008" s="423"/>
    </row>
    <row r="1009">
      <c r="A1009" s="562">
        <v>1007.0</v>
      </c>
      <c r="B1009" s="563" t="s">
        <v>6098</v>
      </c>
      <c r="C1009" s="563" t="s">
        <v>6089</v>
      </c>
      <c r="D1009" s="562">
        <v>0.0</v>
      </c>
      <c r="E1009" s="562">
        <v>0.0</v>
      </c>
      <c r="F1009" s="562">
        <v>0.0</v>
      </c>
      <c r="G1009" s="562">
        <v>8.0</v>
      </c>
      <c r="H1009" s="562">
        <v>0.0</v>
      </c>
      <c r="I1009" s="423"/>
      <c r="J1009" s="423"/>
      <c r="K1009" s="423"/>
      <c r="L1009" s="423"/>
      <c r="M1009" s="423"/>
      <c r="N1009" s="423"/>
      <c r="O1009" s="423"/>
      <c r="P1009" s="423"/>
      <c r="Q1009" s="423"/>
      <c r="R1009" s="423"/>
      <c r="S1009" s="423"/>
      <c r="T1009" s="423"/>
      <c r="U1009" s="423"/>
      <c r="V1009" s="423"/>
      <c r="W1009" s="423"/>
      <c r="X1009" s="423"/>
      <c r="Y1009" s="423"/>
      <c r="Z1009" s="423"/>
    </row>
    <row r="1010">
      <c r="A1010" s="564">
        <v>1008.0</v>
      </c>
      <c r="B1010" s="565" t="s">
        <v>6099</v>
      </c>
      <c r="C1010" s="565" t="s">
        <v>6089</v>
      </c>
      <c r="D1010" s="564">
        <v>0.0</v>
      </c>
      <c r="E1010" s="564">
        <v>0.0</v>
      </c>
      <c r="F1010" s="564">
        <v>0.0</v>
      </c>
      <c r="G1010" s="564">
        <v>8.0</v>
      </c>
      <c r="H1010" s="564">
        <v>0.0</v>
      </c>
      <c r="I1010" s="423"/>
      <c r="J1010" s="423"/>
      <c r="K1010" s="423"/>
      <c r="L1010" s="423"/>
      <c r="M1010" s="423"/>
      <c r="N1010" s="423"/>
      <c r="O1010" s="423"/>
      <c r="P1010" s="423"/>
      <c r="Q1010" s="423"/>
      <c r="R1010" s="423"/>
      <c r="S1010" s="423"/>
      <c r="T1010" s="423"/>
      <c r="U1010" s="423"/>
      <c r="V1010" s="423"/>
      <c r="W1010" s="423"/>
      <c r="X1010" s="423"/>
      <c r="Y1010" s="423"/>
      <c r="Z1010" s="423"/>
    </row>
    <row r="1011">
      <c r="A1011" s="562">
        <v>1009.0</v>
      </c>
      <c r="B1011" s="563" t="s">
        <v>6100</v>
      </c>
      <c r="C1011" s="563" t="s">
        <v>6089</v>
      </c>
      <c r="D1011" s="562">
        <v>0.0</v>
      </c>
      <c r="E1011" s="562">
        <v>0.0</v>
      </c>
      <c r="F1011" s="562">
        <v>0.0</v>
      </c>
      <c r="G1011" s="562">
        <v>8.0</v>
      </c>
      <c r="H1011" s="562">
        <v>0.0</v>
      </c>
      <c r="I1011" s="423"/>
      <c r="J1011" s="423"/>
      <c r="K1011" s="423"/>
      <c r="L1011" s="423"/>
      <c r="M1011" s="423"/>
      <c r="N1011" s="423"/>
      <c r="O1011" s="423"/>
      <c r="P1011" s="423"/>
      <c r="Q1011" s="423"/>
      <c r="R1011" s="423"/>
      <c r="S1011" s="423"/>
      <c r="T1011" s="423"/>
      <c r="U1011" s="423"/>
      <c r="V1011" s="423"/>
      <c r="W1011" s="423"/>
      <c r="X1011" s="423"/>
      <c r="Y1011" s="423"/>
      <c r="Z1011" s="423"/>
    </row>
    <row r="1012">
      <c r="A1012" s="564">
        <v>1010.0</v>
      </c>
      <c r="B1012" s="565" t="s">
        <v>6101</v>
      </c>
      <c r="C1012" s="565" t="s">
        <v>6089</v>
      </c>
      <c r="D1012" s="564">
        <v>0.0</v>
      </c>
      <c r="E1012" s="564">
        <v>0.0</v>
      </c>
      <c r="F1012" s="564">
        <v>0.0</v>
      </c>
      <c r="G1012" s="564">
        <v>8.0</v>
      </c>
      <c r="H1012" s="564">
        <v>0.0</v>
      </c>
      <c r="I1012" s="423"/>
      <c r="J1012" s="423"/>
      <c r="K1012" s="423"/>
      <c r="L1012" s="423"/>
      <c r="M1012" s="423"/>
      <c r="N1012" s="423"/>
      <c r="O1012" s="423"/>
      <c r="P1012" s="423"/>
      <c r="Q1012" s="423"/>
      <c r="R1012" s="423"/>
      <c r="S1012" s="423"/>
      <c r="T1012" s="423"/>
      <c r="U1012" s="423"/>
      <c r="V1012" s="423"/>
      <c r="W1012" s="423"/>
      <c r="X1012" s="423"/>
      <c r="Y1012" s="423"/>
      <c r="Z1012" s="423"/>
    </row>
    <row r="1013">
      <c r="A1013" s="562">
        <v>1011.0</v>
      </c>
      <c r="B1013" s="563" t="s">
        <v>6102</v>
      </c>
      <c r="C1013" s="563" t="s">
        <v>6089</v>
      </c>
      <c r="D1013" s="562">
        <v>0.0</v>
      </c>
      <c r="E1013" s="562">
        <v>0.0</v>
      </c>
      <c r="F1013" s="562">
        <v>0.0</v>
      </c>
      <c r="G1013" s="562">
        <v>8.0</v>
      </c>
      <c r="H1013" s="562">
        <v>0.0</v>
      </c>
      <c r="I1013" s="423"/>
      <c r="J1013" s="423"/>
      <c r="K1013" s="423"/>
      <c r="L1013" s="423"/>
      <c r="M1013" s="423"/>
      <c r="N1013" s="423"/>
      <c r="O1013" s="423"/>
      <c r="P1013" s="423"/>
      <c r="Q1013" s="423"/>
      <c r="R1013" s="423"/>
      <c r="S1013" s="423"/>
      <c r="T1013" s="423"/>
      <c r="U1013" s="423"/>
      <c r="V1013" s="423"/>
      <c r="W1013" s="423"/>
      <c r="X1013" s="423"/>
      <c r="Y1013" s="423"/>
      <c r="Z1013" s="423"/>
    </row>
    <row r="1014">
      <c r="A1014" s="564">
        <v>1012.0</v>
      </c>
      <c r="B1014" s="565" t="s">
        <v>6103</v>
      </c>
      <c r="C1014" s="565" t="s">
        <v>6089</v>
      </c>
      <c r="D1014" s="564">
        <v>0.0</v>
      </c>
      <c r="E1014" s="564">
        <v>0.0</v>
      </c>
      <c r="F1014" s="564">
        <v>0.0</v>
      </c>
      <c r="G1014" s="564">
        <v>8.0</v>
      </c>
      <c r="H1014" s="564">
        <v>0.0</v>
      </c>
      <c r="I1014" s="423"/>
      <c r="J1014" s="423"/>
      <c r="K1014" s="423"/>
      <c r="L1014" s="423"/>
      <c r="M1014" s="423"/>
      <c r="N1014" s="423"/>
      <c r="O1014" s="423"/>
      <c r="P1014" s="423"/>
      <c r="Q1014" s="423"/>
      <c r="R1014" s="423"/>
      <c r="S1014" s="423"/>
      <c r="T1014" s="423"/>
      <c r="U1014" s="423"/>
      <c r="V1014" s="423"/>
      <c r="W1014" s="423"/>
      <c r="X1014" s="423"/>
      <c r="Y1014" s="423"/>
      <c r="Z1014" s="423"/>
    </row>
    <row r="1015">
      <c r="A1015" s="562">
        <v>1013.0</v>
      </c>
      <c r="B1015" s="563" t="s">
        <v>6104</v>
      </c>
      <c r="C1015" s="563" t="s">
        <v>6089</v>
      </c>
      <c r="D1015" s="562">
        <v>0.0</v>
      </c>
      <c r="E1015" s="562">
        <v>0.0</v>
      </c>
      <c r="F1015" s="562">
        <v>0.0</v>
      </c>
      <c r="G1015" s="562">
        <v>8.0</v>
      </c>
      <c r="H1015" s="562">
        <v>0.0</v>
      </c>
      <c r="I1015" s="423"/>
      <c r="J1015" s="423"/>
      <c r="K1015" s="423"/>
      <c r="L1015" s="423"/>
      <c r="M1015" s="423"/>
      <c r="N1015" s="423"/>
      <c r="O1015" s="423"/>
      <c r="P1015" s="423"/>
      <c r="Q1015" s="423"/>
      <c r="R1015" s="423"/>
      <c r="S1015" s="423"/>
      <c r="T1015" s="423"/>
      <c r="U1015" s="423"/>
      <c r="V1015" s="423"/>
      <c r="W1015" s="423"/>
      <c r="X1015" s="423"/>
      <c r="Y1015" s="423"/>
      <c r="Z1015" s="423"/>
    </row>
    <row r="1016">
      <c r="A1016" s="564">
        <v>1014.0</v>
      </c>
      <c r="B1016" s="565" t="s">
        <v>6105</v>
      </c>
      <c r="C1016" s="565" t="s">
        <v>6089</v>
      </c>
      <c r="D1016" s="564">
        <v>0.0</v>
      </c>
      <c r="E1016" s="564">
        <v>0.0</v>
      </c>
      <c r="F1016" s="564">
        <v>0.0</v>
      </c>
      <c r="G1016" s="564">
        <v>8.0</v>
      </c>
      <c r="H1016" s="564">
        <v>0.0</v>
      </c>
      <c r="I1016" s="423"/>
      <c r="J1016" s="423"/>
      <c r="K1016" s="423"/>
      <c r="L1016" s="423"/>
      <c r="M1016" s="423"/>
      <c r="N1016" s="423"/>
      <c r="O1016" s="423"/>
      <c r="P1016" s="423"/>
      <c r="Q1016" s="423"/>
      <c r="R1016" s="423"/>
      <c r="S1016" s="423"/>
      <c r="T1016" s="423"/>
      <c r="U1016" s="423"/>
      <c r="V1016" s="423"/>
      <c r="W1016" s="423"/>
      <c r="X1016" s="423"/>
      <c r="Y1016" s="423"/>
      <c r="Z1016" s="423"/>
    </row>
    <row r="1017">
      <c r="A1017" s="562">
        <v>1015.0</v>
      </c>
      <c r="B1017" s="563" t="s">
        <v>6106</v>
      </c>
      <c r="C1017" s="563" t="s">
        <v>6089</v>
      </c>
      <c r="D1017" s="562">
        <v>0.0</v>
      </c>
      <c r="E1017" s="562">
        <v>0.0</v>
      </c>
      <c r="F1017" s="562">
        <v>0.0</v>
      </c>
      <c r="G1017" s="562">
        <v>8.0</v>
      </c>
      <c r="H1017" s="562">
        <v>0.0</v>
      </c>
      <c r="I1017" s="423"/>
      <c r="J1017" s="423"/>
      <c r="K1017" s="423"/>
      <c r="L1017" s="423"/>
      <c r="M1017" s="423"/>
      <c r="N1017" s="423"/>
      <c r="O1017" s="423"/>
      <c r="P1017" s="423"/>
      <c r="Q1017" s="423"/>
      <c r="R1017" s="423"/>
      <c r="S1017" s="423"/>
      <c r="T1017" s="423"/>
      <c r="U1017" s="423"/>
      <c r="V1017" s="423"/>
      <c r="W1017" s="423"/>
      <c r="X1017" s="423"/>
      <c r="Y1017" s="423"/>
      <c r="Z1017" s="423"/>
    </row>
    <row r="1018">
      <c r="A1018" s="564">
        <v>1016.0</v>
      </c>
      <c r="B1018" s="565" t="s">
        <v>6107</v>
      </c>
      <c r="C1018" s="565" t="s">
        <v>6089</v>
      </c>
      <c r="D1018" s="564">
        <v>0.0</v>
      </c>
      <c r="E1018" s="564">
        <v>0.0</v>
      </c>
      <c r="F1018" s="564">
        <v>0.0</v>
      </c>
      <c r="G1018" s="564">
        <v>8.0</v>
      </c>
      <c r="H1018" s="564">
        <v>0.0</v>
      </c>
      <c r="I1018" s="423"/>
      <c r="J1018" s="423"/>
      <c r="K1018" s="423"/>
      <c r="L1018" s="423"/>
      <c r="M1018" s="423"/>
      <c r="N1018" s="423"/>
      <c r="O1018" s="423"/>
      <c r="P1018" s="423"/>
      <c r="Q1018" s="423"/>
      <c r="R1018" s="423"/>
      <c r="S1018" s="423"/>
      <c r="T1018" s="423"/>
      <c r="U1018" s="423"/>
      <c r="V1018" s="423"/>
      <c r="W1018" s="423"/>
      <c r="X1018" s="423"/>
      <c r="Y1018" s="423"/>
      <c r="Z1018" s="423"/>
    </row>
    <row r="1019">
      <c r="A1019" s="562">
        <v>1017.0</v>
      </c>
      <c r="B1019" s="563" t="s">
        <v>6108</v>
      </c>
      <c r="C1019" s="563" t="s">
        <v>6089</v>
      </c>
      <c r="D1019" s="562">
        <v>0.0</v>
      </c>
      <c r="E1019" s="562">
        <v>0.0</v>
      </c>
      <c r="F1019" s="562">
        <v>0.0</v>
      </c>
      <c r="G1019" s="562">
        <v>8.0</v>
      </c>
      <c r="H1019" s="562">
        <v>0.0</v>
      </c>
      <c r="I1019" s="423"/>
      <c r="J1019" s="423"/>
      <c r="K1019" s="423"/>
      <c r="L1019" s="423"/>
      <c r="M1019" s="423"/>
      <c r="N1019" s="423"/>
      <c r="O1019" s="423"/>
      <c r="P1019" s="423"/>
      <c r="Q1019" s="423"/>
      <c r="R1019" s="423"/>
      <c r="S1019" s="423"/>
      <c r="T1019" s="423"/>
      <c r="U1019" s="423"/>
      <c r="V1019" s="423"/>
      <c r="W1019" s="423"/>
      <c r="X1019" s="423"/>
      <c r="Y1019" s="423"/>
      <c r="Z1019" s="423"/>
    </row>
    <row r="1020">
      <c r="A1020" s="564">
        <v>1018.0</v>
      </c>
      <c r="B1020" s="565" t="s">
        <v>6109</v>
      </c>
      <c r="C1020" s="565" t="s">
        <v>6089</v>
      </c>
      <c r="D1020" s="564">
        <v>0.0</v>
      </c>
      <c r="E1020" s="564">
        <v>0.0</v>
      </c>
      <c r="F1020" s="564">
        <v>0.0</v>
      </c>
      <c r="G1020" s="564">
        <v>8.0</v>
      </c>
      <c r="H1020" s="564">
        <v>0.0</v>
      </c>
      <c r="I1020" s="423"/>
      <c r="J1020" s="423"/>
      <c r="K1020" s="423"/>
      <c r="L1020" s="423"/>
      <c r="M1020" s="423"/>
      <c r="N1020" s="423"/>
      <c r="O1020" s="423"/>
      <c r="P1020" s="423"/>
      <c r="Q1020" s="423"/>
      <c r="R1020" s="423"/>
      <c r="S1020" s="423"/>
      <c r="T1020" s="423"/>
      <c r="U1020" s="423"/>
      <c r="V1020" s="423"/>
      <c r="W1020" s="423"/>
      <c r="X1020" s="423"/>
      <c r="Y1020" s="423"/>
      <c r="Z1020" s="423"/>
    </row>
    <row r="1021">
      <c r="A1021" s="562">
        <v>1019.0</v>
      </c>
      <c r="B1021" s="563" t="s">
        <v>6110</v>
      </c>
      <c r="C1021" s="563" t="s">
        <v>6089</v>
      </c>
      <c r="D1021" s="562">
        <v>0.0</v>
      </c>
      <c r="E1021" s="562">
        <v>0.0</v>
      </c>
      <c r="F1021" s="562">
        <v>0.0</v>
      </c>
      <c r="G1021" s="562">
        <v>8.0</v>
      </c>
      <c r="H1021" s="562">
        <v>0.0</v>
      </c>
      <c r="I1021" s="423"/>
      <c r="J1021" s="423"/>
      <c r="K1021" s="423"/>
      <c r="L1021" s="423"/>
      <c r="M1021" s="423"/>
      <c r="N1021" s="423"/>
      <c r="O1021" s="423"/>
      <c r="P1021" s="423"/>
      <c r="Q1021" s="423"/>
      <c r="R1021" s="423"/>
      <c r="S1021" s="423"/>
      <c r="T1021" s="423"/>
      <c r="U1021" s="423"/>
      <c r="V1021" s="423"/>
      <c r="W1021" s="423"/>
      <c r="X1021" s="423"/>
      <c r="Y1021" s="423"/>
      <c r="Z1021" s="423"/>
    </row>
    <row r="1022">
      <c r="A1022" s="564">
        <v>1020.0</v>
      </c>
      <c r="B1022" s="565" t="s">
        <v>6111</v>
      </c>
      <c r="C1022" s="565" t="s">
        <v>6089</v>
      </c>
      <c r="D1022" s="564">
        <v>0.0</v>
      </c>
      <c r="E1022" s="564">
        <v>0.0</v>
      </c>
      <c r="F1022" s="564">
        <v>0.0</v>
      </c>
      <c r="G1022" s="564">
        <v>8.0</v>
      </c>
      <c r="H1022" s="564">
        <v>0.0</v>
      </c>
      <c r="I1022" s="423"/>
      <c r="J1022" s="423"/>
      <c r="K1022" s="423"/>
      <c r="L1022" s="423"/>
      <c r="M1022" s="423"/>
      <c r="N1022" s="423"/>
      <c r="O1022" s="423"/>
      <c r="P1022" s="423"/>
      <c r="Q1022" s="423"/>
      <c r="R1022" s="423"/>
      <c r="S1022" s="423"/>
      <c r="T1022" s="423"/>
      <c r="U1022" s="423"/>
      <c r="V1022" s="423"/>
      <c r="W1022" s="423"/>
      <c r="X1022" s="423"/>
      <c r="Y1022" s="423"/>
      <c r="Z1022" s="423"/>
    </row>
    <row r="1023">
      <c r="A1023" s="562">
        <v>1021.0</v>
      </c>
      <c r="B1023" s="563" t="s">
        <v>6112</v>
      </c>
      <c r="C1023" s="563" t="s">
        <v>6089</v>
      </c>
      <c r="D1023" s="562">
        <v>0.0</v>
      </c>
      <c r="E1023" s="562">
        <v>0.0</v>
      </c>
      <c r="F1023" s="562">
        <v>0.0</v>
      </c>
      <c r="G1023" s="562">
        <v>8.0</v>
      </c>
      <c r="H1023" s="562">
        <v>0.0</v>
      </c>
      <c r="I1023" s="423"/>
      <c r="J1023" s="423"/>
      <c r="K1023" s="423"/>
      <c r="L1023" s="423"/>
      <c r="M1023" s="423"/>
      <c r="N1023" s="423"/>
      <c r="O1023" s="423"/>
      <c r="P1023" s="423"/>
      <c r="Q1023" s="423"/>
      <c r="R1023" s="423"/>
      <c r="S1023" s="423"/>
      <c r="T1023" s="423"/>
      <c r="U1023" s="423"/>
      <c r="V1023" s="423"/>
      <c r="W1023" s="423"/>
      <c r="X1023" s="423"/>
      <c r="Y1023" s="423"/>
      <c r="Z1023" s="423"/>
    </row>
    <row r="1024">
      <c r="A1024" s="564">
        <v>1022.0</v>
      </c>
      <c r="B1024" s="565" t="s">
        <v>6113</v>
      </c>
      <c r="C1024" s="565" t="s">
        <v>6089</v>
      </c>
      <c r="D1024" s="564">
        <v>0.0</v>
      </c>
      <c r="E1024" s="564">
        <v>0.0</v>
      </c>
      <c r="F1024" s="564">
        <v>0.0</v>
      </c>
      <c r="G1024" s="564">
        <v>8.0</v>
      </c>
      <c r="H1024" s="564">
        <v>0.0</v>
      </c>
      <c r="I1024" s="423"/>
      <c r="J1024" s="423"/>
      <c r="K1024" s="423"/>
      <c r="L1024" s="423"/>
      <c r="M1024" s="423"/>
      <c r="N1024" s="423"/>
      <c r="O1024" s="423"/>
      <c r="P1024" s="423"/>
      <c r="Q1024" s="423"/>
      <c r="R1024" s="423"/>
      <c r="S1024" s="423"/>
      <c r="T1024" s="423"/>
      <c r="U1024" s="423"/>
      <c r="V1024" s="423"/>
      <c r="W1024" s="423"/>
      <c r="X1024" s="423"/>
      <c r="Y1024" s="423"/>
      <c r="Z1024" s="423"/>
    </row>
    <row r="1025">
      <c r="A1025" s="562">
        <v>1023.0</v>
      </c>
      <c r="B1025" s="563" t="s">
        <v>6114</v>
      </c>
      <c r="C1025" s="563" t="s">
        <v>6089</v>
      </c>
      <c r="D1025" s="562">
        <v>0.0</v>
      </c>
      <c r="E1025" s="562">
        <v>0.0</v>
      </c>
      <c r="F1025" s="562">
        <v>0.0</v>
      </c>
      <c r="G1025" s="562">
        <v>8.0</v>
      </c>
      <c r="H1025" s="562">
        <v>0.0</v>
      </c>
      <c r="I1025" s="423"/>
      <c r="J1025" s="423"/>
      <c r="K1025" s="423"/>
      <c r="L1025" s="423"/>
      <c r="M1025" s="423"/>
      <c r="N1025" s="423"/>
      <c r="O1025" s="423"/>
      <c r="P1025" s="423"/>
      <c r="Q1025" s="423"/>
      <c r="R1025" s="423"/>
      <c r="S1025" s="423"/>
      <c r="T1025" s="423"/>
      <c r="U1025" s="423"/>
      <c r="V1025" s="423"/>
      <c r="W1025" s="423"/>
      <c r="X1025" s="423"/>
      <c r="Y1025" s="423"/>
      <c r="Z1025" s="423"/>
    </row>
    <row r="1026">
      <c r="A1026" s="564">
        <v>1024.0</v>
      </c>
      <c r="B1026" s="565" t="s">
        <v>6115</v>
      </c>
      <c r="C1026" s="565" t="s">
        <v>6089</v>
      </c>
      <c r="D1026" s="564">
        <v>0.0</v>
      </c>
      <c r="E1026" s="564">
        <v>0.0</v>
      </c>
      <c r="F1026" s="564">
        <v>0.0</v>
      </c>
      <c r="G1026" s="564">
        <v>8.0</v>
      </c>
      <c r="H1026" s="564">
        <v>0.0</v>
      </c>
      <c r="I1026" s="423"/>
      <c r="J1026" s="423"/>
      <c r="K1026" s="423"/>
      <c r="L1026" s="423"/>
      <c r="M1026" s="423"/>
      <c r="N1026" s="423"/>
      <c r="O1026" s="423"/>
      <c r="P1026" s="423"/>
      <c r="Q1026" s="423"/>
      <c r="R1026" s="423"/>
      <c r="S1026" s="423"/>
      <c r="T1026" s="423"/>
      <c r="U1026" s="423"/>
      <c r="V1026" s="423"/>
      <c r="W1026" s="423"/>
      <c r="X1026" s="423"/>
      <c r="Y1026" s="423"/>
      <c r="Z1026" s="423"/>
    </row>
    <row r="1027">
      <c r="A1027" s="562">
        <v>1025.0</v>
      </c>
      <c r="B1027" s="563" t="s">
        <v>6116</v>
      </c>
      <c r="C1027" s="563" t="s">
        <v>6089</v>
      </c>
      <c r="D1027" s="562">
        <v>0.0</v>
      </c>
      <c r="E1027" s="562">
        <v>0.0</v>
      </c>
      <c r="F1027" s="562">
        <v>0.0</v>
      </c>
      <c r="G1027" s="562">
        <v>8.0</v>
      </c>
      <c r="H1027" s="562">
        <v>0.0</v>
      </c>
      <c r="I1027" s="423"/>
      <c r="J1027" s="423"/>
      <c r="K1027" s="423"/>
      <c r="L1027" s="423"/>
      <c r="M1027" s="423"/>
      <c r="N1027" s="423"/>
      <c r="O1027" s="423"/>
      <c r="P1027" s="423"/>
      <c r="Q1027" s="423"/>
      <c r="R1027" s="423"/>
      <c r="S1027" s="423"/>
      <c r="T1027" s="423"/>
      <c r="U1027" s="423"/>
      <c r="V1027" s="423"/>
      <c r="W1027" s="423"/>
      <c r="X1027" s="423"/>
      <c r="Y1027" s="423"/>
      <c r="Z1027" s="423"/>
    </row>
    <row r="1028">
      <c r="A1028" s="564">
        <v>1026.0</v>
      </c>
      <c r="B1028" s="565" t="s">
        <v>6117</v>
      </c>
      <c r="C1028" s="565" t="s">
        <v>6089</v>
      </c>
      <c r="D1028" s="564">
        <v>2.0</v>
      </c>
      <c r="E1028" s="564">
        <v>0.0</v>
      </c>
      <c r="F1028" s="564">
        <v>0.0</v>
      </c>
      <c r="G1028" s="564">
        <v>6.0</v>
      </c>
      <c r="H1028" s="564">
        <v>0.0</v>
      </c>
      <c r="I1028" s="423"/>
      <c r="J1028" s="423"/>
      <c r="K1028" s="423"/>
      <c r="L1028" s="423"/>
      <c r="M1028" s="423"/>
      <c r="N1028" s="423"/>
      <c r="O1028" s="423"/>
      <c r="P1028" s="423"/>
      <c r="Q1028" s="423"/>
      <c r="R1028" s="423"/>
      <c r="S1028" s="423"/>
      <c r="T1028" s="423"/>
      <c r="U1028" s="423"/>
      <c r="V1028" s="423"/>
      <c r="W1028" s="423"/>
      <c r="X1028" s="423"/>
      <c r="Y1028" s="423"/>
      <c r="Z1028" s="423"/>
    </row>
    <row r="1029">
      <c r="A1029" s="562">
        <v>1027.0</v>
      </c>
      <c r="B1029" s="563" t="s">
        <v>6118</v>
      </c>
      <c r="C1029" s="563" t="s">
        <v>6089</v>
      </c>
      <c r="D1029" s="562">
        <v>0.0</v>
      </c>
      <c r="E1029" s="562">
        <v>0.0</v>
      </c>
      <c r="F1029" s="562">
        <v>0.0</v>
      </c>
      <c r="G1029" s="562">
        <v>8.0</v>
      </c>
      <c r="H1029" s="562">
        <v>0.0</v>
      </c>
      <c r="I1029" s="423"/>
      <c r="J1029" s="423"/>
      <c r="K1029" s="423"/>
      <c r="L1029" s="423"/>
      <c r="M1029" s="423"/>
      <c r="N1029" s="423"/>
      <c r="O1029" s="423"/>
      <c r="P1029" s="423"/>
      <c r="Q1029" s="423"/>
      <c r="R1029" s="423"/>
      <c r="S1029" s="423"/>
      <c r="T1029" s="423"/>
      <c r="U1029" s="423"/>
      <c r="V1029" s="423"/>
      <c r="W1029" s="423"/>
      <c r="X1029" s="423"/>
      <c r="Y1029" s="423"/>
      <c r="Z1029" s="423"/>
    </row>
    <row r="1030">
      <c r="A1030" s="564">
        <v>1028.0</v>
      </c>
      <c r="B1030" s="565" t="s">
        <v>6119</v>
      </c>
      <c r="C1030" s="565" t="s">
        <v>6089</v>
      </c>
      <c r="D1030" s="564">
        <v>0.0</v>
      </c>
      <c r="E1030" s="564">
        <v>0.0</v>
      </c>
      <c r="F1030" s="564">
        <v>0.0</v>
      </c>
      <c r="G1030" s="564">
        <v>8.0</v>
      </c>
      <c r="H1030" s="564">
        <v>0.0</v>
      </c>
      <c r="I1030" s="423"/>
      <c r="J1030" s="423"/>
      <c r="K1030" s="423"/>
      <c r="L1030" s="423"/>
      <c r="M1030" s="423"/>
      <c r="N1030" s="423"/>
      <c r="O1030" s="423"/>
      <c r="P1030" s="423"/>
      <c r="Q1030" s="423"/>
      <c r="R1030" s="423"/>
      <c r="S1030" s="423"/>
      <c r="T1030" s="423"/>
      <c r="U1030" s="423"/>
      <c r="V1030" s="423"/>
      <c r="W1030" s="423"/>
      <c r="X1030" s="423"/>
      <c r="Y1030" s="423"/>
      <c r="Z1030" s="423"/>
    </row>
    <row r="1031">
      <c r="A1031" s="562">
        <v>1029.0</v>
      </c>
      <c r="B1031" s="563" t="s">
        <v>6120</v>
      </c>
      <c r="C1031" s="563" t="s">
        <v>6089</v>
      </c>
      <c r="D1031" s="562">
        <v>0.0</v>
      </c>
      <c r="E1031" s="562">
        <v>0.0</v>
      </c>
      <c r="F1031" s="562">
        <v>0.0</v>
      </c>
      <c r="G1031" s="562">
        <v>8.0</v>
      </c>
      <c r="H1031" s="562">
        <v>0.0</v>
      </c>
      <c r="I1031" s="423"/>
      <c r="J1031" s="423"/>
      <c r="K1031" s="423"/>
      <c r="L1031" s="423"/>
      <c r="M1031" s="423"/>
      <c r="N1031" s="423"/>
      <c r="O1031" s="423"/>
      <c r="P1031" s="423"/>
      <c r="Q1031" s="423"/>
      <c r="R1031" s="423"/>
      <c r="S1031" s="423"/>
      <c r="T1031" s="423"/>
      <c r="U1031" s="423"/>
      <c r="V1031" s="423"/>
      <c r="W1031" s="423"/>
      <c r="X1031" s="423"/>
      <c r="Y1031" s="423"/>
      <c r="Z1031" s="423"/>
    </row>
    <row r="1032">
      <c r="A1032" s="564">
        <v>1030.0</v>
      </c>
      <c r="B1032" s="565" t="s">
        <v>6121</v>
      </c>
      <c r="C1032" s="565" t="s">
        <v>6089</v>
      </c>
      <c r="D1032" s="564">
        <v>0.0</v>
      </c>
      <c r="E1032" s="564">
        <v>0.0</v>
      </c>
      <c r="F1032" s="564">
        <v>0.0</v>
      </c>
      <c r="G1032" s="564">
        <v>8.0</v>
      </c>
      <c r="H1032" s="564">
        <v>0.0</v>
      </c>
      <c r="I1032" s="423"/>
      <c r="J1032" s="423"/>
      <c r="K1032" s="423"/>
      <c r="L1032" s="423"/>
      <c r="M1032" s="423"/>
      <c r="N1032" s="423"/>
      <c r="O1032" s="423"/>
      <c r="P1032" s="423"/>
      <c r="Q1032" s="423"/>
      <c r="R1032" s="423"/>
      <c r="S1032" s="423"/>
      <c r="T1032" s="423"/>
      <c r="U1032" s="423"/>
      <c r="V1032" s="423"/>
      <c r="W1032" s="423"/>
      <c r="X1032" s="423"/>
      <c r="Y1032" s="423"/>
      <c r="Z1032" s="423"/>
    </row>
    <row r="1033">
      <c r="A1033" s="562">
        <v>1031.0</v>
      </c>
      <c r="B1033" s="563" t="s">
        <v>6122</v>
      </c>
      <c r="C1033" s="563" t="s">
        <v>6089</v>
      </c>
      <c r="D1033" s="562">
        <v>0.0</v>
      </c>
      <c r="E1033" s="562">
        <v>0.0</v>
      </c>
      <c r="F1033" s="562">
        <v>0.0</v>
      </c>
      <c r="G1033" s="562">
        <v>8.0</v>
      </c>
      <c r="H1033" s="562">
        <v>0.0</v>
      </c>
      <c r="I1033" s="423"/>
      <c r="J1033" s="423"/>
      <c r="K1033" s="423"/>
      <c r="L1033" s="423"/>
      <c r="M1033" s="423"/>
      <c r="N1033" s="423"/>
      <c r="O1033" s="423"/>
      <c r="P1033" s="423"/>
      <c r="Q1033" s="423"/>
      <c r="R1033" s="423"/>
      <c r="S1033" s="423"/>
      <c r="T1033" s="423"/>
      <c r="U1033" s="423"/>
      <c r="V1033" s="423"/>
      <c r="W1033" s="423"/>
      <c r="X1033" s="423"/>
      <c r="Y1033" s="423"/>
      <c r="Z1033" s="423"/>
    </row>
    <row r="1034">
      <c r="A1034" s="564">
        <v>1032.0</v>
      </c>
      <c r="B1034" s="565" t="s">
        <v>6123</v>
      </c>
      <c r="C1034" s="565" t="s">
        <v>6089</v>
      </c>
      <c r="D1034" s="564">
        <v>0.0</v>
      </c>
      <c r="E1034" s="564">
        <v>0.0</v>
      </c>
      <c r="F1034" s="564">
        <v>0.0</v>
      </c>
      <c r="G1034" s="564">
        <v>8.0</v>
      </c>
      <c r="H1034" s="564">
        <v>0.0</v>
      </c>
      <c r="I1034" s="423"/>
      <c r="J1034" s="423"/>
      <c r="K1034" s="423"/>
      <c r="L1034" s="423"/>
      <c r="M1034" s="423"/>
      <c r="N1034" s="423"/>
      <c r="O1034" s="423"/>
      <c r="P1034" s="423"/>
      <c r="Q1034" s="423"/>
      <c r="R1034" s="423"/>
      <c r="S1034" s="423"/>
      <c r="T1034" s="423"/>
      <c r="U1034" s="423"/>
      <c r="V1034" s="423"/>
      <c r="W1034" s="423"/>
      <c r="X1034" s="423"/>
      <c r="Y1034" s="423"/>
      <c r="Z1034" s="423"/>
    </row>
    <row r="1035">
      <c r="A1035" s="562">
        <v>1033.0</v>
      </c>
      <c r="B1035" s="563" t="s">
        <v>6124</v>
      </c>
      <c r="C1035" s="563" t="s">
        <v>6089</v>
      </c>
      <c r="D1035" s="562">
        <v>0.0</v>
      </c>
      <c r="E1035" s="562">
        <v>0.0</v>
      </c>
      <c r="F1035" s="562">
        <v>0.0</v>
      </c>
      <c r="G1035" s="562">
        <v>8.0</v>
      </c>
      <c r="H1035" s="562">
        <v>0.0</v>
      </c>
      <c r="I1035" s="423"/>
      <c r="J1035" s="423"/>
      <c r="K1035" s="423"/>
      <c r="L1035" s="423"/>
      <c r="M1035" s="423"/>
      <c r="N1035" s="423"/>
      <c r="O1035" s="423"/>
      <c r="P1035" s="423"/>
      <c r="Q1035" s="423"/>
      <c r="R1035" s="423"/>
      <c r="S1035" s="423"/>
      <c r="T1035" s="423"/>
      <c r="U1035" s="423"/>
      <c r="V1035" s="423"/>
      <c r="W1035" s="423"/>
      <c r="X1035" s="423"/>
      <c r="Y1035" s="423"/>
      <c r="Z1035" s="423"/>
    </row>
    <row r="1036">
      <c r="A1036" s="564">
        <v>1034.0</v>
      </c>
      <c r="B1036" s="565" t="s">
        <v>6125</v>
      </c>
      <c r="C1036" s="565" t="s">
        <v>6126</v>
      </c>
      <c r="D1036" s="564">
        <v>0.0</v>
      </c>
      <c r="E1036" s="564">
        <v>0.0</v>
      </c>
      <c r="F1036" s="564">
        <v>0.0</v>
      </c>
      <c r="G1036" s="564">
        <v>8.0</v>
      </c>
      <c r="H1036" s="564">
        <v>0.0</v>
      </c>
      <c r="I1036" s="423"/>
      <c r="J1036" s="423"/>
      <c r="K1036" s="423"/>
      <c r="L1036" s="423"/>
      <c r="M1036" s="423"/>
      <c r="N1036" s="423"/>
      <c r="O1036" s="423"/>
      <c r="P1036" s="423"/>
      <c r="Q1036" s="423"/>
      <c r="R1036" s="423"/>
      <c r="S1036" s="423"/>
      <c r="T1036" s="423"/>
      <c r="U1036" s="423"/>
      <c r="V1036" s="423"/>
      <c r="W1036" s="423"/>
      <c r="X1036" s="423"/>
      <c r="Y1036" s="423"/>
      <c r="Z1036" s="423"/>
    </row>
    <row r="1037">
      <c r="A1037" s="562">
        <v>1035.0</v>
      </c>
      <c r="B1037" s="563" t="s">
        <v>6127</v>
      </c>
      <c r="C1037" s="563" t="s">
        <v>6126</v>
      </c>
      <c r="D1037" s="562">
        <v>0.0</v>
      </c>
      <c r="E1037" s="562">
        <v>0.0</v>
      </c>
      <c r="F1037" s="562">
        <v>0.0</v>
      </c>
      <c r="G1037" s="562">
        <v>8.0</v>
      </c>
      <c r="H1037" s="562">
        <v>0.0</v>
      </c>
      <c r="I1037" s="423"/>
      <c r="J1037" s="423"/>
      <c r="K1037" s="423"/>
      <c r="L1037" s="423"/>
      <c r="M1037" s="423"/>
      <c r="N1037" s="423"/>
      <c r="O1037" s="423"/>
      <c r="P1037" s="423"/>
      <c r="Q1037" s="423"/>
      <c r="R1037" s="423"/>
      <c r="S1037" s="423"/>
      <c r="T1037" s="423"/>
      <c r="U1037" s="423"/>
      <c r="V1037" s="423"/>
      <c r="W1037" s="423"/>
      <c r="X1037" s="423"/>
      <c r="Y1037" s="423"/>
      <c r="Z1037" s="423"/>
    </row>
    <row r="1038">
      <c r="A1038" s="564">
        <v>1036.0</v>
      </c>
      <c r="B1038" s="565" t="s">
        <v>6128</v>
      </c>
      <c r="C1038" s="565" t="s">
        <v>6126</v>
      </c>
      <c r="D1038" s="564">
        <v>0.0</v>
      </c>
      <c r="E1038" s="564">
        <v>0.0</v>
      </c>
      <c r="F1038" s="564">
        <v>0.0</v>
      </c>
      <c r="G1038" s="564">
        <v>8.0</v>
      </c>
      <c r="H1038" s="564">
        <v>0.0</v>
      </c>
      <c r="I1038" s="423"/>
      <c r="J1038" s="423"/>
      <c r="K1038" s="423"/>
      <c r="L1038" s="423"/>
      <c r="M1038" s="423"/>
      <c r="N1038" s="423"/>
      <c r="O1038" s="423"/>
      <c r="P1038" s="423"/>
      <c r="Q1038" s="423"/>
      <c r="R1038" s="423"/>
      <c r="S1038" s="423"/>
      <c r="T1038" s="423"/>
      <c r="U1038" s="423"/>
      <c r="V1038" s="423"/>
      <c r="W1038" s="423"/>
      <c r="X1038" s="423"/>
      <c r="Y1038" s="423"/>
      <c r="Z1038" s="423"/>
    </row>
    <row r="1039">
      <c r="A1039" s="562">
        <v>1037.0</v>
      </c>
      <c r="B1039" s="563" t="s">
        <v>6129</v>
      </c>
      <c r="C1039" s="563" t="s">
        <v>6126</v>
      </c>
      <c r="D1039" s="562">
        <v>0.0</v>
      </c>
      <c r="E1039" s="562">
        <v>0.0</v>
      </c>
      <c r="F1039" s="562">
        <v>0.0</v>
      </c>
      <c r="G1039" s="562">
        <v>8.0</v>
      </c>
      <c r="H1039" s="562">
        <v>0.0</v>
      </c>
      <c r="I1039" s="423"/>
      <c r="J1039" s="423"/>
      <c r="K1039" s="423"/>
      <c r="L1039" s="423"/>
      <c r="M1039" s="423"/>
      <c r="N1039" s="423"/>
      <c r="O1039" s="423"/>
      <c r="P1039" s="423"/>
      <c r="Q1039" s="423"/>
      <c r="R1039" s="423"/>
      <c r="S1039" s="423"/>
      <c r="T1039" s="423"/>
      <c r="U1039" s="423"/>
      <c r="V1039" s="423"/>
      <c r="W1039" s="423"/>
      <c r="X1039" s="423"/>
      <c r="Y1039" s="423"/>
      <c r="Z1039" s="423"/>
    </row>
    <row r="1040">
      <c r="A1040" s="564">
        <v>1038.0</v>
      </c>
      <c r="B1040" s="565" t="s">
        <v>6130</v>
      </c>
      <c r="C1040" s="565" t="s">
        <v>6126</v>
      </c>
      <c r="D1040" s="564">
        <v>0.0</v>
      </c>
      <c r="E1040" s="564">
        <v>0.0</v>
      </c>
      <c r="F1040" s="564">
        <v>0.0</v>
      </c>
      <c r="G1040" s="564">
        <v>8.0</v>
      </c>
      <c r="H1040" s="564">
        <v>0.0</v>
      </c>
      <c r="I1040" s="423"/>
      <c r="J1040" s="423"/>
      <c r="K1040" s="423"/>
      <c r="L1040" s="423"/>
      <c r="M1040" s="423"/>
      <c r="N1040" s="423"/>
      <c r="O1040" s="423"/>
      <c r="P1040" s="423"/>
      <c r="Q1040" s="423"/>
      <c r="R1040" s="423"/>
      <c r="S1040" s="423"/>
      <c r="T1040" s="423"/>
      <c r="U1040" s="423"/>
      <c r="V1040" s="423"/>
      <c r="W1040" s="423"/>
      <c r="X1040" s="423"/>
      <c r="Y1040" s="423"/>
      <c r="Z1040" s="423"/>
    </row>
    <row r="1041">
      <c r="A1041" s="562">
        <v>1039.0</v>
      </c>
      <c r="B1041" s="563" t="s">
        <v>6131</v>
      </c>
      <c r="C1041" s="563" t="s">
        <v>6126</v>
      </c>
      <c r="D1041" s="562">
        <v>0.0</v>
      </c>
      <c r="E1041" s="562">
        <v>0.0</v>
      </c>
      <c r="F1041" s="562">
        <v>0.0</v>
      </c>
      <c r="G1041" s="562">
        <v>8.0</v>
      </c>
      <c r="H1041" s="562">
        <v>0.0</v>
      </c>
      <c r="I1041" s="423"/>
      <c r="J1041" s="423"/>
      <c r="K1041" s="423"/>
      <c r="L1041" s="423"/>
      <c r="M1041" s="423"/>
      <c r="N1041" s="423"/>
      <c r="O1041" s="423"/>
      <c r="P1041" s="423"/>
      <c r="Q1041" s="423"/>
      <c r="R1041" s="423"/>
      <c r="S1041" s="423"/>
      <c r="T1041" s="423"/>
      <c r="U1041" s="423"/>
      <c r="V1041" s="423"/>
      <c r="W1041" s="423"/>
      <c r="X1041" s="423"/>
      <c r="Y1041" s="423"/>
      <c r="Z1041" s="423"/>
    </row>
    <row r="1042">
      <c r="A1042" s="564">
        <v>1040.0</v>
      </c>
      <c r="B1042" s="565" t="s">
        <v>6132</v>
      </c>
      <c r="C1042" s="565" t="s">
        <v>6133</v>
      </c>
      <c r="D1042" s="564">
        <v>1.0</v>
      </c>
      <c r="E1042" s="564">
        <v>0.0</v>
      </c>
      <c r="F1042" s="564">
        <v>0.0</v>
      </c>
      <c r="G1042" s="564">
        <v>7.0</v>
      </c>
      <c r="H1042" s="564">
        <v>0.0</v>
      </c>
      <c r="I1042" s="423"/>
      <c r="J1042" s="423"/>
      <c r="K1042" s="423"/>
      <c r="L1042" s="423"/>
      <c r="M1042" s="423"/>
      <c r="N1042" s="423"/>
      <c r="O1042" s="423"/>
      <c r="P1042" s="423"/>
      <c r="Q1042" s="423"/>
      <c r="R1042" s="423"/>
      <c r="S1042" s="423"/>
      <c r="T1042" s="423"/>
      <c r="U1042" s="423"/>
      <c r="V1042" s="423"/>
      <c r="W1042" s="423"/>
      <c r="X1042" s="423"/>
      <c r="Y1042" s="423"/>
      <c r="Z1042" s="423"/>
    </row>
    <row r="1043">
      <c r="A1043" s="562">
        <v>1041.0</v>
      </c>
      <c r="B1043" s="563" t="s">
        <v>6134</v>
      </c>
      <c r="C1043" s="563" t="s">
        <v>6126</v>
      </c>
      <c r="D1043" s="562">
        <v>0.0</v>
      </c>
      <c r="E1043" s="562">
        <v>0.0</v>
      </c>
      <c r="F1043" s="562">
        <v>0.0</v>
      </c>
      <c r="G1043" s="562">
        <v>8.0</v>
      </c>
      <c r="H1043" s="562">
        <v>0.0</v>
      </c>
      <c r="I1043" s="423"/>
      <c r="J1043" s="423"/>
      <c r="K1043" s="423"/>
      <c r="L1043" s="423"/>
      <c r="M1043" s="423"/>
      <c r="N1043" s="423"/>
      <c r="O1043" s="423"/>
      <c r="P1043" s="423"/>
      <c r="Q1043" s="423"/>
      <c r="R1043" s="423"/>
      <c r="S1043" s="423"/>
      <c r="T1043" s="423"/>
      <c r="U1043" s="423"/>
      <c r="V1043" s="423"/>
      <c r="W1043" s="423"/>
      <c r="X1043" s="423"/>
      <c r="Y1043" s="423"/>
      <c r="Z1043" s="423"/>
    </row>
    <row r="1044">
      <c r="A1044" s="564">
        <v>1042.0</v>
      </c>
      <c r="B1044" s="565" t="s">
        <v>6135</v>
      </c>
      <c r="C1044" s="565" t="s">
        <v>6126</v>
      </c>
      <c r="D1044" s="564">
        <v>0.0</v>
      </c>
      <c r="E1044" s="564">
        <v>0.0</v>
      </c>
      <c r="F1044" s="564">
        <v>0.0</v>
      </c>
      <c r="G1044" s="564">
        <v>8.0</v>
      </c>
      <c r="H1044" s="564">
        <v>0.0</v>
      </c>
      <c r="I1044" s="423"/>
      <c r="J1044" s="423"/>
      <c r="K1044" s="423"/>
      <c r="L1044" s="423"/>
      <c r="M1044" s="423"/>
      <c r="N1044" s="423"/>
      <c r="O1044" s="423"/>
      <c r="P1044" s="423"/>
      <c r="Q1044" s="423"/>
      <c r="R1044" s="423"/>
      <c r="S1044" s="423"/>
      <c r="T1044" s="423"/>
      <c r="U1044" s="423"/>
      <c r="V1044" s="423"/>
      <c r="W1044" s="423"/>
      <c r="X1044" s="423"/>
      <c r="Y1044" s="423"/>
      <c r="Z1044" s="423"/>
    </row>
    <row r="1045">
      <c r="A1045" s="562">
        <v>1043.0</v>
      </c>
      <c r="B1045" s="563" t="s">
        <v>6136</v>
      </c>
      <c r="C1045" s="563" t="s">
        <v>6126</v>
      </c>
      <c r="D1045" s="562">
        <v>0.0</v>
      </c>
      <c r="E1045" s="562">
        <v>0.0</v>
      </c>
      <c r="F1045" s="562">
        <v>0.0</v>
      </c>
      <c r="G1045" s="562">
        <v>8.0</v>
      </c>
      <c r="H1045" s="562">
        <v>0.0</v>
      </c>
      <c r="I1045" s="423"/>
      <c r="J1045" s="423"/>
      <c r="K1045" s="423"/>
      <c r="L1045" s="423"/>
      <c r="M1045" s="423"/>
      <c r="N1045" s="423"/>
      <c r="O1045" s="423"/>
      <c r="P1045" s="423"/>
      <c r="Q1045" s="423"/>
      <c r="R1045" s="423"/>
      <c r="S1045" s="423"/>
      <c r="T1045" s="423"/>
      <c r="U1045" s="423"/>
      <c r="V1045" s="423"/>
      <c r="W1045" s="423"/>
      <c r="X1045" s="423"/>
      <c r="Y1045" s="423"/>
      <c r="Z1045" s="423"/>
    </row>
    <row r="1046">
      <c r="A1046" s="564">
        <v>1044.0</v>
      </c>
      <c r="B1046" s="565" t="s">
        <v>6137</v>
      </c>
      <c r="C1046" s="565" t="s">
        <v>6126</v>
      </c>
      <c r="D1046" s="564">
        <v>0.0</v>
      </c>
      <c r="E1046" s="564">
        <v>0.0</v>
      </c>
      <c r="F1046" s="564">
        <v>0.0</v>
      </c>
      <c r="G1046" s="564">
        <v>8.0</v>
      </c>
      <c r="H1046" s="564">
        <v>0.0</v>
      </c>
      <c r="I1046" s="423"/>
      <c r="J1046" s="423"/>
      <c r="K1046" s="423"/>
      <c r="L1046" s="423"/>
      <c r="M1046" s="423"/>
      <c r="N1046" s="423"/>
      <c r="O1046" s="423"/>
      <c r="P1046" s="423"/>
      <c r="Q1046" s="423"/>
      <c r="R1046" s="423"/>
      <c r="S1046" s="423"/>
      <c r="T1046" s="423"/>
      <c r="U1046" s="423"/>
      <c r="V1046" s="423"/>
      <c r="W1046" s="423"/>
      <c r="X1046" s="423"/>
      <c r="Y1046" s="423"/>
      <c r="Z1046" s="423"/>
    </row>
    <row r="1047">
      <c r="A1047" s="562">
        <v>1045.0</v>
      </c>
      <c r="B1047" s="563" t="s">
        <v>6138</v>
      </c>
      <c r="C1047" s="563" t="s">
        <v>6126</v>
      </c>
      <c r="D1047" s="562">
        <v>0.0</v>
      </c>
      <c r="E1047" s="562">
        <v>0.0</v>
      </c>
      <c r="F1047" s="562">
        <v>0.0</v>
      </c>
      <c r="G1047" s="562">
        <v>8.0</v>
      </c>
      <c r="H1047" s="562">
        <v>0.0</v>
      </c>
      <c r="I1047" s="423"/>
      <c r="J1047" s="423"/>
      <c r="K1047" s="423"/>
      <c r="L1047" s="423"/>
      <c r="M1047" s="423"/>
      <c r="N1047" s="423"/>
      <c r="O1047" s="423"/>
      <c r="P1047" s="423"/>
      <c r="Q1047" s="423"/>
      <c r="R1047" s="423"/>
      <c r="S1047" s="423"/>
      <c r="T1047" s="423"/>
      <c r="U1047" s="423"/>
      <c r="V1047" s="423"/>
      <c r="W1047" s="423"/>
      <c r="X1047" s="423"/>
      <c r="Y1047" s="423"/>
      <c r="Z1047" s="423"/>
    </row>
    <row r="1048">
      <c r="A1048" s="564">
        <v>1046.0</v>
      </c>
      <c r="B1048" s="565" t="s">
        <v>6139</v>
      </c>
      <c r="C1048" s="565" t="s">
        <v>6126</v>
      </c>
      <c r="D1048" s="564">
        <v>0.0</v>
      </c>
      <c r="E1048" s="564">
        <v>0.0</v>
      </c>
      <c r="F1048" s="564">
        <v>0.0</v>
      </c>
      <c r="G1048" s="564">
        <v>8.0</v>
      </c>
      <c r="H1048" s="564">
        <v>0.0</v>
      </c>
      <c r="I1048" s="423"/>
      <c r="J1048" s="423"/>
      <c r="K1048" s="423"/>
      <c r="L1048" s="423"/>
      <c r="M1048" s="423"/>
      <c r="N1048" s="423"/>
      <c r="O1048" s="423"/>
      <c r="P1048" s="423"/>
      <c r="Q1048" s="423"/>
      <c r="R1048" s="423"/>
      <c r="S1048" s="423"/>
      <c r="T1048" s="423"/>
      <c r="U1048" s="423"/>
      <c r="V1048" s="423"/>
      <c r="W1048" s="423"/>
      <c r="X1048" s="423"/>
      <c r="Y1048" s="423"/>
      <c r="Z1048" s="423"/>
    </row>
    <row r="1049">
      <c r="A1049" s="562">
        <v>1047.0</v>
      </c>
      <c r="B1049" s="563" t="s">
        <v>6140</v>
      </c>
      <c r="C1049" s="563" t="s">
        <v>6126</v>
      </c>
      <c r="D1049" s="562">
        <v>0.0</v>
      </c>
      <c r="E1049" s="562">
        <v>0.0</v>
      </c>
      <c r="F1049" s="562">
        <v>0.0</v>
      </c>
      <c r="G1049" s="562">
        <v>8.0</v>
      </c>
      <c r="H1049" s="562">
        <v>0.0</v>
      </c>
      <c r="I1049" s="423"/>
      <c r="J1049" s="423"/>
      <c r="K1049" s="423"/>
      <c r="L1049" s="423"/>
      <c r="M1049" s="423"/>
      <c r="N1049" s="423"/>
      <c r="O1049" s="423"/>
      <c r="P1049" s="423"/>
      <c r="Q1049" s="423"/>
      <c r="R1049" s="423"/>
      <c r="S1049" s="423"/>
      <c r="T1049" s="423"/>
      <c r="U1049" s="423"/>
      <c r="V1049" s="423"/>
      <c r="W1049" s="423"/>
      <c r="X1049" s="423"/>
      <c r="Y1049" s="423"/>
      <c r="Z1049" s="423"/>
    </row>
    <row r="1050">
      <c r="A1050" s="564">
        <v>1048.0</v>
      </c>
      <c r="B1050" s="565" t="s">
        <v>6141</v>
      </c>
      <c r="C1050" s="565" t="s">
        <v>6126</v>
      </c>
      <c r="D1050" s="564">
        <v>0.0</v>
      </c>
      <c r="E1050" s="564">
        <v>0.0</v>
      </c>
      <c r="F1050" s="564">
        <v>0.0</v>
      </c>
      <c r="G1050" s="564">
        <v>8.0</v>
      </c>
      <c r="H1050" s="564">
        <v>0.0</v>
      </c>
      <c r="I1050" s="423"/>
      <c r="J1050" s="423"/>
      <c r="K1050" s="423"/>
      <c r="L1050" s="423"/>
      <c r="M1050" s="423"/>
      <c r="N1050" s="423"/>
      <c r="O1050" s="423"/>
      <c r="P1050" s="423"/>
      <c r="Q1050" s="423"/>
      <c r="R1050" s="423"/>
      <c r="S1050" s="423"/>
      <c r="T1050" s="423"/>
      <c r="U1050" s="423"/>
      <c r="V1050" s="423"/>
      <c r="W1050" s="423"/>
      <c r="X1050" s="423"/>
      <c r="Y1050" s="423"/>
      <c r="Z1050" s="423"/>
    </row>
    <row r="1051">
      <c r="A1051" s="562">
        <v>1049.0</v>
      </c>
      <c r="B1051" s="563" t="s">
        <v>6142</v>
      </c>
      <c r="C1051" s="563" t="s">
        <v>6126</v>
      </c>
      <c r="D1051" s="562">
        <v>0.0</v>
      </c>
      <c r="E1051" s="562">
        <v>0.0</v>
      </c>
      <c r="F1051" s="562">
        <v>0.0</v>
      </c>
      <c r="G1051" s="562">
        <v>8.0</v>
      </c>
      <c r="H1051" s="562">
        <v>0.0</v>
      </c>
      <c r="I1051" s="423"/>
      <c r="J1051" s="423"/>
      <c r="K1051" s="423"/>
      <c r="L1051" s="423"/>
      <c r="M1051" s="423"/>
      <c r="N1051" s="423"/>
      <c r="O1051" s="423"/>
      <c r="P1051" s="423"/>
      <c r="Q1051" s="423"/>
      <c r="R1051" s="423"/>
      <c r="S1051" s="423"/>
      <c r="T1051" s="423"/>
      <c r="U1051" s="423"/>
      <c r="V1051" s="423"/>
      <c r="W1051" s="423"/>
      <c r="X1051" s="423"/>
      <c r="Y1051" s="423"/>
      <c r="Z1051" s="423"/>
    </row>
    <row r="1052">
      <c r="A1052" s="564">
        <v>1050.0</v>
      </c>
      <c r="B1052" s="565" t="s">
        <v>6143</v>
      </c>
      <c r="C1052" s="565" t="s">
        <v>6126</v>
      </c>
      <c r="D1052" s="564">
        <v>0.0</v>
      </c>
      <c r="E1052" s="564">
        <v>0.0</v>
      </c>
      <c r="F1052" s="564">
        <v>0.0</v>
      </c>
      <c r="G1052" s="564">
        <v>8.0</v>
      </c>
      <c r="H1052" s="564">
        <v>0.0</v>
      </c>
      <c r="I1052" s="423"/>
      <c r="J1052" s="423"/>
      <c r="K1052" s="423"/>
      <c r="L1052" s="423"/>
      <c r="M1052" s="423"/>
      <c r="N1052" s="423"/>
      <c r="O1052" s="423"/>
      <c r="P1052" s="423"/>
      <c r="Q1052" s="423"/>
      <c r="R1052" s="423"/>
      <c r="S1052" s="423"/>
      <c r="T1052" s="423"/>
      <c r="U1052" s="423"/>
      <c r="V1052" s="423"/>
      <c r="W1052" s="423"/>
      <c r="X1052" s="423"/>
      <c r="Y1052" s="423"/>
      <c r="Z1052" s="423"/>
    </row>
    <row r="1053">
      <c r="A1053" s="562">
        <v>1051.0</v>
      </c>
      <c r="B1053" s="563" t="s">
        <v>6144</v>
      </c>
      <c r="C1053" s="563" t="s">
        <v>6126</v>
      </c>
      <c r="D1053" s="562">
        <v>0.0</v>
      </c>
      <c r="E1053" s="562">
        <v>0.0</v>
      </c>
      <c r="F1053" s="562">
        <v>0.0</v>
      </c>
      <c r="G1053" s="562">
        <v>8.0</v>
      </c>
      <c r="H1053" s="562">
        <v>0.0</v>
      </c>
      <c r="I1053" s="423"/>
      <c r="J1053" s="423"/>
      <c r="K1053" s="423"/>
      <c r="L1053" s="423"/>
      <c r="M1053" s="423"/>
      <c r="N1053" s="423"/>
      <c r="O1053" s="423"/>
      <c r="P1053" s="423"/>
      <c r="Q1053" s="423"/>
      <c r="R1053" s="423"/>
      <c r="S1053" s="423"/>
      <c r="T1053" s="423"/>
      <c r="U1053" s="423"/>
      <c r="V1053" s="423"/>
      <c r="W1053" s="423"/>
      <c r="X1053" s="423"/>
      <c r="Y1053" s="423"/>
      <c r="Z1053" s="423"/>
    </row>
    <row r="1054">
      <c r="A1054" s="564">
        <v>1052.0</v>
      </c>
      <c r="B1054" s="565" t="s">
        <v>6145</v>
      </c>
      <c r="C1054" s="565" t="s">
        <v>6126</v>
      </c>
      <c r="D1054" s="564">
        <v>0.0</v>
      </c>
      <c r="E1054" s="564">
        <v>0.0</v>
      </c>
      <c r="F1054" s="564">
        <v>0.0</v>
      </c>
      <c r="G1054" s="564">
        <v>8.0</v>
      </c>
      <c r="H1054" s="564">
        <v>0.0</v>
      </c>
      <c r="I1054" s="423"/>
      <c r="J1054" s="423"/>
      <c r="K1054" s="423"/>
      <c r="L1054" s="423"/>
      <c r="M1054" s="423"/>
      <c r="N1054" s="423"/>
      <c r="O1054" s="423"/>
      <c r="P1054" s="423"/>
      <c r="Q1054" s="423"/>
      <c r="R1054" s="423"/>
      <c r="S1054" s="423"/>
      <c r="T1054" s="423"/>
      <c r="U1054" s="423"/>
      <c r="V1054" s="423"/>
      <c r="W1054" s="423"/>
      <c r="X1054" s="423"/>
      <c r="Y1054" s="423"/>
      <c r="Z1054" s="423"/>
    </row>
    <row r="1055">
      <c r="A1055" s="562">
        <v>1053.0</v>
      </c>
      <c r="B1055" s="563" t="s">
        <v>6146</v>
      </c>
      <c r="C1055" s="563" t="s">
        <v>6126</v>
      </c>
      <c r="D1055" s="562">
        <v>0.0</v>
      </c>
      <c r="E1055" s="562">
        <v>0.0</v>
      </c>
      <c r="F1055" s="562">
        <v>0.0</v>
      </c>
      <c r="G1055" s="562">
        <v>8.0</v>
      </c>
      <c r="H1055" s="562">
        <v>0.0</v>
      </c>
      <c r="I1055" s="423"/>
      <c r="J1055" s="423"/>
      <c r="K1055" s="423"/>
      <c r="L1055" s="423"/>
      <c r="M1055" s="423"/>
      <c r="N1055" s="423"/>
      <c r="O1055" s="423"/>
      <c r="P1055" s="423"/>
      <c r="Q1055" s="423"/>
      <c r="R1055" s="423"/>
      <c r="S1055" s="423"/>
      <c r="T1055" s="423"/>
      <c r="U1055" s="423"/>
      <c r="V1055" s="423"/>
      <c r="W1055" s="423"/>
      <c r="X1055" s="423"/>
      <c r="Y1055" s="423"/>
      <c r="Z1055" s="423"/>
    </row>
    <row r="1056">
      <c r="A1056" s="564">
        <v>1054.0</v>
      </c>
      <c r="B1056" s="565" t="s">
        <v>6147</v>
      </c>
      <c r="C1056" s="565" t="s">
        <v>6126</v>
      </c>
      <c r="D1056" s="564">
        <v>0.0</v>
      </c>
      <c r="E1056" s="564">
        <v>0.0</v>
      </c>
      <c r="F1056" s="564">
        <v>0.0</v>
      </c>
      <c r="G1056" s="564">
        <v>8.0</v>
      </c>
      <c r="H1056" s="564">
        <v>0.0</v>
      </c>
      <c r="I1056" s="423"/>
      <c r="J1056" s="423"/>
      <c r="K1056" s="423"/>
      <c r="L1056" s="423"/>
      <c r="M1056" s="423"/>
      <c r="N1056" s="423"/>
      <c r="O1056" s="423"/>
      <c r="P1056" s="423"/>
      <c r="Q1056" s="423"/>
      <c r="R1056" s="423"/>
      <c r="S1056" s="423"/>
      <c r="T1056" s="423"/>
      <c r="U1056" s="423"/>
      <c r="V1056" s="423"/>
      <c r="W1056" s="423"/>
      <c r="X1056" s="423"/>
      <c r="Y1056" s="423"/>
      <c r="Z1056" s="423"/>
    </row>
    <row r="1057">
      <c r="A1057" s="562">
        <v>1055.0</v>
      </c>
      <c r="B1057" s="563" t="s">
        <v>6148</v>
      </c>
      <c r="C1057" s="563" t="s">
        <v>6126</v>
      </c>
      <c r="D1057" s="562">
        <v>0.0</v>
      </c>
      <c r="E1057" s="562">
        <v>0.0</v>
      </c>
      <c r="F1057" s="562">
        <v>0.0</v>
      </c>
      <c r="G1057" s="562">
        <v>8.0</v>
      </c>
      <c r="H1057" s="562">
        <v>0.0</v>
      </c>
      <c r="I1057" s="423"/>
      <c r="J1057" s="423"/>
      <c r="K1057" s="423"/>
      <c r="L1057" s="423"/>
      <c r="M1057" s="423"/>
      <c r="N1057" s="423"/>
      <c r="O1057" s="423"/>
      <c r="P1057" s="423"/>
      <c r="Q1057" s="423"/>
      <c r="R1057" s="423"/>
      <c r="S1057" s="423"/>
      <c r="T1057" s="423"/>
      <c r="U1057" s="423"/>
      <c r="V1057" s="423"/>
      <c r="W1057" s="423"/>
      <c r="X1057" s="423"/>
      <c r="Y1057" s="423"/>
      <c r="Z1057" s="423"/>
    </row>
    <row r="1058">
      <c r="A1058" s="564">
        <v>1056.0</v>
      </c>
      <c r="B1058" s="565" t="s">
        <v>6149</v>
      </c>
      <c r="C1058" s="565" t="s">
        <v>6126</v>
      </c>
      <c r="D1058" s="564">
        <v>0.0</v>
      </c>
      <c r="E1058" s="564">
        <v>0.0</v>
      </c>
      <c r="F1058" s="564">
        <v>0.0</v>
      </c>
      <c r="G1058" s="564">
        <v>8.0</v>
      </c>
      <c r="H1058" s="564">
        <v>0.0</v>
      </c>
      <c r="I1058" s="423"/>
      <c r="J1058" s="423"/>
      <c r="K1058" s="423"/>
      <c r="L1058" s="423"/>
      <c r="M1058" s="423"/>
      <c r="N1058" s="423"/>
      <c r="O1058" s="423"/>
      <c r="P1058" s="423"/>
      <c r="Q1058" s="423"/>
      <c r="R1058" s="423"/>
      <c r="S1058" s="423"/>
      <c r="T1058" s="423"/>
      <c r="U1058" s="423"/>
      <c r="V1058" s="423"/>
      <c r="W1058" s="423"/>
      <c r="X1058" s="423"/>
      <c r="Y1058" s="423"/>
      <c r="Z1058" s="423"/>
    </row>
    <row r="1059">
      <c r="A1059" s="562">
        <v>1057.0</v>
      </c>
      <c r="B1059" s="563" t="s">
        <v>6150</v>
      </c>
      <c r="C1059" s="563" t="s">
        <v>6126</v>
      </c>
      <c r="D1059" s="562">
        <v>0.0</v>
      </c>
      <c r="E1059" s="562">
        <v>0.0</v>
      </c>
      <c r="F1059" s="562">
        <v>0.0</v>
      </c>
      <c r="G1059" s="562">
        <v>8.0</v>
      </c>
      <c r="H1059" s="562">
        <v>0.0</v>
      </c>
      <c r="I1059" s="423"/>
      <c r="J1059" s="423"/>
      <c r="K1059" s="423"/>
      <c r="L1059" s="423"/>
      <c r="M1059" s="423"/>
      <c r="N1059" s="423"/>
      <c r="O1059" s="423"/>
      <c r="P1059" s="423"/>
      <c r="Q1059" s="423"/>
      <c r="R1059" s="423"/>
      <c r="S1059" s="423"/>
      <c r="T1059" s="423"/>
      <c r="U1059" s="423"/>
      <c r="V1059" s="423"/>
      <c r="W1059" s="423"/>
      <c r="X1059" s="423"/>
      <c r="Y1059" s="423"/>
      <c r="Z1059" s="423"/>
    </row>
    <row r="1060">
      <c r="A1060" s="564">
        <v>1058.0</v>
      </c>
      <c r="B1060" s="565" t="s">
        <v>6151</v>
      </c>
      <c r="C1060" s="565" t="s">
        <v>6126</v>
      </c>
      <c r="D1060" s="564">
        <v>0.0</v>
      </c>
      <c r="E1060" s="564">
        <v>0.0</v>
      </c>
      <c r="F1060" s="564">
        <v>0.0</v>
      </c>
      <c r="G1060" s="564">
        <v>8.0</v>
      </c>
      <c r="H1060" s="564">
        <v>0.0</v>
      </c>
      <c r="I1060" s="423"/>
      <c r="J1060" s="423"/>
      <c r="K1060" s="423"/>
      <c r="L1060" s="423"/>
      <c r="M1060" s="423"/>
      <c r="N1060" s="423"/>
      <c r="O1060" s="423"/>
      <c r="P1060" s="423"/>
      <c r="Q1060" s="423"/>
      <c r="R1060" s="423"/>
      <c r="S1060" s="423"/>
      <c r="T1060" s="423"/>
      <c r="U1060" s="423"/>
      <c r="V1060" s="423"/>
      <c r="W1060" s="423"/>
      <c r="X1060" s="423"/>
      <c r="Y1060" s="423"/>
      <c r="Z1060" s="423"/>
    </row>
    <row r="1061">
      <c r="A1061" s="562">
        <v>1059.0</v>
      </c>
      <c r="B1061" s="563" t="s">
        <v>6152</v>
      </c>
      <c r="C1061" s="563" t="s">
        <v>6126</v>
      </c>
      <c r="D1061" s="562">
        <v>0.0</v>
      </c>
      <c r="E1061" s="562">
        <v>0.0</v>
      </c>
      <c r="F1061" s="562">
        <v>0.0</v>
      </c>
      <c r="G1061" s="562">
        <v>8.0</v>
      </c>
      <c r="H1061" s="562">
        <v>0.0</v>
      </c>
      <c r="I1061" s="423"/>
      <c r="J1061" s="423"/>
      <c r="K1061" s="423"/>
      <c r="L1061" s="423"/>
      <c r="M1061" s="423"/>
      <c r="N1061" s="423"/>
      <c r="O1061" s="423"/>
      <c r="P1061" s="423"/>
      <c r="Q1061" s="423"/>
      <c r="R1061" s="423"/>
      <c r="S1061" s="423"/>
      <c r="T1061" s="423"/>
      <c r="U1061" s="423"/>
      <c r="V1061" s="423"/>
      <c r="W1061" s="423"/>
      <c r="X1061" s="423"/>
      <c r="Y1061" s="423"/>
      <c r="Z1061" s="423"/>
    </row>
    <row r="1062">
      <c r="A1062" s="564">
        <v>1060.0</v>
      </c>
      <c r="B1062" s="565" t="s">
        <v>6153</v>
      </c>
      <c r="C1062" s="565" t="s">
        <v>6126</v>
      </c>
      <c r="D1062" s="564">
        <v>0.0</v>
      </c>
      <c r="E1062" s="564">
        <v>0.0</v>
      </c>
      <c r="F1062" s="564">
        <v>0.0</v>
      </c>
      <c r="G1062" s="564">
        <v>8.0</v>
      </c>
      <c r="H1062" s="564">
        <v>0.0</v>
      </c>
      <c r="I1062" s="423"/>
      <c r="J1062" s="423"/>
      <c r="K1062" s="423"/>
      <c r="L1062" s="423"/>
      <c r="M1062" s="423"/>
      <c r="N1062" s="423"/>
      <c r="O1062" s="423"/>
      <c r="P1062" s="423"/>
      <c r="Q1062" s="423"/>
      <c r="R1062" s="423"/>
      <c r="S1062" s="423"/>
      <c r="T1062" s="423"/>
      <c r="U1062" s="423"/>
      <c r="V1062" s="423"/>
      <c r="W1062" s="423"/>
      <c r="X1062" s="423"/>
      <c r="Y1062" s="423"/>
      <c r="Z1062" s="423"/>
    </row>
    <row r="1063">
      <c r="A1063" s="562">
        <v>1061.0</v>
      </c>
      <c r="B1063" s="563" t="s">
        <v>6154</v>
      </c>
      <c r="C1063" s="563" t="s">
        <v>6126</v>
      </c>
      <c r="D1063" s="562">
        <v>0.0</v>
      </c>
      <c r="E1063" s="562">
        <v>0.0</v>
      </c>
      <c r="F1063" s="562">
        <v>0.0</v>
      </c>
      <c r="G1063" s="562">
        <v>8.0</v>
      </c>
      <c r="H1063" s="562">
        <v>0.0</v>
      </c>
      <c r="I1063" s="423"/>
      <c r="J1063" s="423"/>
      <c r="K1063" s="423"/>
      <c r="L1063" s="423"/>
      <c r="M1063" s="423"/>
      <c r="N1063" s="423"/>
      <c r="O1063" s="423"/>
      <c r="P1063" s="423"/>
      <c r="Q1063" s="423"/>
      <c r="R1063" s="423"/>
      <c r="S1063" s="423"/>
      <c r="T1063" s="423"/>
      <c r="U1063" s="423"/>
      <c r="V1063" s="423"/>
      <c r="W1063" s="423"/>
      <c r="X1063" s="423"/>
      <c r="Y1063" s="423"/>
      <c r="Z1063" s="423"/>
    </row>
    <row r="1064">
      <c r="A1064" s="564">
        <v>1062.0</v>
      </c>
      <c r="B1064" s="565" t="s">
        <v>6155</v>
      </c>
      <c r="C1064" s="565" t="s">
        <v>6126</v>
      </c>
      <c r="D1064" s="564">
        <v>0.0</v>
      </c>
      <c r="E1064" s="564">
        <v>0.0</v>
      </c>
      <c r="F1064" s="564">
        <v>0.0</v>
      </c>
      <c r="G1064" s="564">
        <v>8.0</v>
      </c>
      <c r="H1064" s="564">
        <v>0.0</v>
      </c>
      <c r="I1064" s="423"/>
      <c r="J1064" s="423"/>
      <c r="K1064" s="423"/>
      <c r="L1064" s="423"/>
      <c r="M1064" s="423"/>
      <c r="N1064" s="423"/>
      <c r="O1064" s="423"/>
      <c r="P1064" s="423"/>
      <c r="Q1064" s="423"/>
      <c r="R1064" s="423"/>
      <c r="S1064" s="423"/>
      <c r="T1064" s="423"/>
      <c r="U1064" s="423"/>
      <c r="V1064" s="423"/>
      <c r="W1064" s="423"/>
      <c r="X1064" s="423"/>
      <c r="Y1064" s="423"/>
      <c r="Z1064" s="423"/>
    </row>
    <row r="1065">
      <c r="A1065" s="562">
        <v>1063.0</v>
      </c>
      <c r="B1065" s="563" t="s">
        <v>6156</v>
      </c>
      <c r="C1065" s="563" t="s">
        <v>6126</v>
      </c>
      <c r="D1065" s="562">
        <v>0.0</v>
      </c>
      <c r="E1065" s="562">
        <v>0.0</v>
      </c>
      <c r="F1065" s="562">
        <v>0.0</v>
      </c>
      <c r="G1065" s="562">
        <v>8.0</v>
      </c>
      <c r="H1065" s="562">
        <v>0.0</v>
      </c>
      <c r="I1065" s="423"/>
      <c r="J1065" s="423"/>
      <c r="K1065" s="423"/>
      <c r="L1065" s="423"/>
      <c r="M1065" s="423"/>
      <c r="N1065" s="423"/>
      <c r="O1065" s="423"/>
      <c r="P1065" s="423"/>
      <c r="Q1065" s="423"/>
      <c r="R1065" s="423"/>
      <c r="S1065" s="423"/>
      <c r="T1065" s="423"/>
      <c r="U1065" s="423"/>
      <c r="V1065" s="423"/>
      <c r="W1065" s="423"/>
      <c r="X1065" s="423"/>
      <c r="Y1065" s="423"/>
      <c r="Z1065" s="423"/>
    </row>
    <row r="1066">
      <c r="A1066" s="564">
        <v>1064.0</v>
      </c>
      <c r="B1066" s="565" t="s">
        <v>6157</v>
      </c>
      <c r="C1066" s="565" t="s">
        <v>6126</v>
      </c>
      <c r="D1066" s="564">
        <v>0.0</v>
      </c>
      <c r="E1066" s="564">
        <v>0.0</v>
      </c>
      <c r="F1066" s="564">
        <v>0.0</v>
      </c>
      <c r="G1066" s="564">
        <v>8.0</v>
      </c>
      <c r="H1066" s="564">
        <v>0.0</v>
      </c>
      <c r="I1066" s="423"/>
      <c r="J1066" s="423"/>
      <c r="K1066" s="423"/>
      <c r="L1066" s="423"/>
      <c r="M1066" s="423"/>
      <c r="N1066" s="423"/>
      <c r="O1066" s="423"/>
      <c r="P1066" s="423"/>
      <c r="Q1066" s="423"/>
      <c r="R1066" s="423"/>
      <c r="S1066" s="423"/>
      <c r="T1066" s="423"/>
      <c r="U1066" s="423"/>
      <c r="V1066" s="423"/>
      <c r="W1066" s="423"/>
      <c r="X1066" s="423"/>
      <c r="Y1066" s="423"/>
      <c r="Z1066" s="423"/>
    </row>
    <row r="1067">
      <c r="A1067" s="562">
        <v>1065.0</v>
      </c>
      <c r="B1067" s="563" t="s">
        <v>6158</v>
      </c>
      <c r="C1067" s="563" t="s">
        <v>6126</v>
      </c>
      <c r="D1067" s="562">
        <v>0.0</v>
      </c>
      <c r="E1067" s="562">
        <v>0.0</v>
      </c>
      <c r="F1067" s="562">
        <v>0.0</v>
      </c>
      <c r="G1067" s="562">
        <v>8.0</v>
      </c>
      <c r="H1067" s="562">
        <v>0.0</v>
      </c>
      <c r="I1067" s="423"/>
      <c r="J1067" s="423"/>
      <c r="K1067" s="423"/>
      <c r="L1067" s="423"/>
      <c r="M1067" s="423"/>
      <c r="N1067" s="423"/>
      <c r="O1067" s="423"/>
      <c r="P1067" s="423"/>
      <c r="Q1067" s="423"/>
      <c r="R1067" s="423"/>
      <c r="S1067" s="423"/>
      <c r="T1067" s="423"/>
      <c r="U1067" s="423"/>
      <c r="V1067" s="423"/>
      <c r="W1067" s="423"/>
      <c r="X1067" s="423"/>
      <c r="Y1067" s="423"/>
      <c r="Z1067" s="423"/>
    </row>
    <row r="1068">
      <c r="A1068" s="564">
        <v>1066.0</v>
      </c>
      <c r="B1068" s="565" t="s">
        <v>6159</v>
      </c>
      <c r="C1068" s="565" t="s">
        <v>6126</v>
      </c>
      <c r="D1068" s="564">
        <v>0.0</v>
      </c>
      <c r="E1068" s="564">
        <v>0.0</v>
      </c>
      <c r="F1068" s="564">
        <v>0.0</v>
      </c>
      <c r="G1068" s="564">
        <v>8.0</v>
      </c>
      <c r="H1068" s="564">
        <v>0.0</v>
      </c>
      <c r="I1068" s="423"/>
      <c r="J1068" s="423"/>
      <c r="K1068" s="423"/>
      <c r="L1068" s="423"/>
      <c r="M1068" s="423"/>
      <c r="N1068" s="423"/>
      <c r="O1068" s="423"/>
      <c r="P1068" s="423"/>
      <c r="Q1068" s="423"/>
      <c r="R1068" s="423"/>
      <c r="S1068" s="423"/>
      <c r="T1068" s="423"/>
      <c r="U1068" s="423"/>
      <c r="V1068" s="423"/>
      <c r="W1068" s="423"/>
      <c r="X1068" s="423"/>
      <c r="Y1068" s="423"/>
      <c r="Z1068" s="423"/>
    </row>
    <row r="1069">
      <c r="A1069" s="562">
        <v>1067.0</v>
      </c>
      <c r="B1069" s="563" t="s">
        <v>6160</v>
      </c>
      <c r="C1069" s="563" t="s">
        <v>6126</v>
      </c>
      <c r="D1069" s="562">
        <v>0.0</v>
      </c>
      <c r="E1069" s="562">
        <v>0.0</v>
      </c>
      <c r="F1069" s="562">
        <v>0.0</v>
      </c>
      <c r="G1069" s="562">
        <v>8.0</v>
      </c>
      <c r="H1069" s="562">
        <v>0.0</v>
      </c>
      <c r="I1069" s="423"/>
      <c r="J1069" s="423"/>
      <c r="K1069" s="423"/>
      <c r="L1069" s="423"/>
      <c r="M1069" s="423"/>
      <c r="N1069" s="423"/>
      <c r="O1069" s="423"/>
      <c r="P1069" s="423"/>
      <c r="Q1069" s="423"/>
      <c r="R1069" s="423"/>
      <c r="S1069" s="423"/>
      <c r="T1069" s="423"/>
      <c r="U1069" s="423"/>
      <c r="V1069" s="423"/>
      <c r="W1069" s="423"/>
      <c r="X1069" s="423"/>
      <c r="Y1069" s="423"/>
      <c r="Z1069" s="423"/>
    </row>
    <row r="1070">
      <c r="A1070" s="564">
        <v>1068.0</v>
      </c>
      <c r="B1070" s="565" t="s">
        <v>6161</v>
      </c>
      <c r="C1070" s="565" t="s">
        <v>6126</v>
      </c>
      <c r="D1070" s="564">
        <v>0.0</v>
      </c>
      <c r="E1070" s="564">
        <v>0.0</v>
      </c>
      <c r="F1070" s="564">
        <v>0.0</v>
      </c>
      <c r="G1070" s="564">
        <v>8.0</v>
      </c>
      <c r="H1070" s="564">
        <v>0.0</v>
      </c>
      <c r="I1070" s="423"/>
      <c r="J1070" s="423"/>
      <c r="K1070" s="423"/>
      <c r="L1070" s="423"/>
      <c r="M1070" s="423"/>
      <c r="N1070" s="423"/>
      <c r="O1070" s="423"/>
      <c r="P1070" s="423"/>
      <c r="Q1070" s="423"/>
      <c r="R1070" s="423"/>
      <c r="S1070" s="423"/>
      <c r="T1070" s="423"/>
      <c r="U1070" s="423"/>
      <c r="V1070" s="423"/>
      <c r="W1070" s="423"/>
      <c r="X1070" s="423"/>
      <c r="Y1070" s="423"/>
      <c r="Z1070" s="423"/>
    </row>
    <row r="1071">
      <c r="A1071" s="562">
        <v>1069.0</v>
      </c>
      <c r="B1071" s="563" t="s">
        <v>6162</v>
      </c>
      <c r="C1071" s="563" t="s">
        <v>6163</v>
      </c>
      <c r="D1071" s="562">
        <v>0.0</v>
      </c>
      <c r="E1071" s="562">
        <v>0.0</v>
      </c>
      <c r="F1071" s="562">
        <v>0.0</v>
      </c>
      <c r="G1071" s="562">
        <v>8.0</v>
      </c>
      <c r="H1071" s="562">
        <v>0.0</v>
      </c>
      <c r="I1071" s="423"/>
      <c r="J1071" s="423"/>
      <c r="K1071" s="423"/>
      <c r="L1071" s="423"/>
      <c r="M1071" s="423"/>
      <c r="N1071" s="423"/>
      <c r="O1071" s="423"/>
      <c r="P1071" s="423"/>
      <c r="Q1071" s="423"/>
      <c r="R1071" s="423"/>
      <c r="S1071" s="423"/>
      <c r="T1071" s="423"/>
      <c r="U1071" s="423"/>
      <c r="V1071" s="423"/>
      <c r="W1071" s="423"/>
      <c r="X1071" s="423"/>
      <c r="Y1071" s="423"/>
      <c r="Z1071" s="423"/>
    </row>
    <row r="1072">
      <c r="A1072" s="564">
        <v>1070.0</v>
      </c>
      <c r="B1072" s="565" t="s">
        <v>6164</v>
      </c>
      <c r="C1072" s="565" t="s">
        <v>6163</v>
      </c>
      <c r="D1072" s="564">
        <v>0.0</v>
      </c>
      <c r="E1072" s="564">
        <v>0.0</v>
      </c>
      <c r="F1072" s="564">
        <v>0.0</v>
      </c>
      <c r="G1072" s="564">
        <v>8.0</v>
      </c>
      <c r="H1072" s="564">
        <v>0.0</v>
      </c>
      <c r="I1072" s="423"/>
      <c r="J1072" s="423"/>
      <c r="K1072" s="423"/>
      <c r="L1072" s="423"/>
      <c r="M1072" s="423"/>
      <c r="N1072" s="423"/>
      <c r="O1072" s="423"/>
      <c r="P1072" s="423"/>
      <c r="Q1072" s="423"/>
      <c r="R1072" s="423"/>
      <c r="S1072" s="423"/>
      <c r="T1072" s="423"/>
      <c r="U1072" s="423"/>
      <c r="V1072" s="423"/>
      <c r="W1072" s="423"/>
      <c r="X1072" s="423"/>
      <c r="Y1072" s="423"/>
      <c r="Z1072" s="423"/>
    </row>
    <row r="1073">
      <c r="A1073" s="562">
        <v>1071.0</v>
      </c>
      <c r="B1073" s="563" t="s">
        <v>6165</v>
      </c>
      <c r="C1073" s="563" t="s">
        <v>6163</v>
      </c>
      <c r="D1073" s="562">
        <v>0.0</v>
      </c>
      <c r="E1073" s="562">
        <v>0.0</v>
      </c>
      <c r="F1073" s="562">
        <v>0.0</v>
      </c>
      <c r="G1073" s="562">
        <v>8.0</v>
      </c>
      <c r="H1073" s="562">
        <v>0.0</v>
      </c>
      <c r="I1073" s="423"/>
      <c r="J1073" s="423"/>
      <c r="K1073" s="423"/>
      <c r="L1073" s="423"/>
      <c r="M1073" s="423"/>
      <c r="N1073" s="423"/>
      <c r="O1073" s="423"/>
      <c r="P1073" s="423"/>
      <c r="Q1073" s="423"/>
      <c r="R1073" s="423"/>
      <c r="S1073" s="423"/>
      <c r="T1073" s="423"/>
      <c r="U1073" s="423"/>
      <c r="V1073" s="423"/>
      <c r="W1073" s="423"/>
      <c r="X1073" s="423"/>
      <c r="Y1073" s="423"/>
      <c r="Z1073" s="423"/>
    </row>
    <row r="1074">
      <c r="A1074" s="564">
        <v>1072.0</v>
      </c>
      <c r="B1074" s="565" t="s">
        <v>6166</v>
      </c>
      <c r="C1074" s="565" t="s">
        <v>6163</v>
      </c>
      <c r="D1074" s="564">
        <v>0.0</v>
      </c>
      <c r="E1074" s="564">
        <v>0.0</v>
      </c>
      <c r="F1074" s="564">
        <v>0.0</v>
      </c>
      <c r="G1074" s="564">
        <v>8.0</v>
      </c>
      <c r="H1074" s="564">
        <v>0.0</v>
      </c>
      <c r="I1074" s="423"/>
      <c r="J1074" s="423"/>
      <c r="K1074" s="423"/>
      <c r="L1074" s="423"/>
      <c r="M1074" s="423"/>
      <c r="N1074" s="423"/>
      <c r="O1074" s="423"/>
      <c r="P1074" s="423"/>
      <c r="Q1074" s="423"/>
      <c r="R1074" s="423"/>
      <c r="S1074" s="423"/>
      <c r="T1074" s="423"/>
      <c r="U1074" s="423"/>
      <c r="V1074" s="423"/>
      <c r="W1074" s="423"/>
      <c r="X1074" s="423"/>
      <c r="Y1074" s="423"/>
      <c r="Z1074" s="423"/>
    </row>
    <row r="1075">
      <c r="A1075" s="562">
        <v>1073.0</v>
      </c>
      <c r="B1075" s="563" t="s">
        <v>6167</v>
      </c>
      <c r="C1075" s="563" t="s">
        <v>6163</v>
      </c>
      <c r="D1075" s="562">
        <v>0.0</v>
      </c>
      <c r="E1075" s="562">
        <v>0.0</v>
      </c>
      <c r="F1075" s="562">
        <v>0.0</v>
      </c>
      <c r="G1075" s="562">
        <v>8.0</v>
      </c>
      <c r="H1075" s="562">
        <v>0.0</v>
      </c>
      <c r="I1075" s="423"/>
      <c r="J1075" s="423"/>
      <c r="K1075" s="423"/>
      <c r="L1075" s="423"/>
      <c r="M1075" s="423"/>
      <c r="N1075" s="423"/>
      <c r="O1075" s="423"/>
      <c r="P1075" s="423"/>
      <c r="Q1075" s="423"/>
      <c r="R1075" s="423"/>
      <c r="S1075" s="423"/>
      <c r="T1075" s="423"/>
      <c r="U1075" s="423"/>
      <c r="V1075" s="423"/>
      <c r="W1075" s="423"/>
      <c r="X1075" s="423"/>
      <c r="Y1075" s="423"/>
      <c r="Z1075" s="423"/>
    </row>
    <row r="1076">
      <c r="A1076" s="564">
        <v>1074.0</v>
      </c>
      <c r="B1076" s="565" t="s">
        <v>6168</v>
      </c>
      <c r="C1076" s="565" t="s">
        <v>6163</v>
      </c>
      <c r="D1076" s="564">
        <v>0.0</v>
      </c>
      <c r="E1076" s="564">
        <v>0.0</v>
      </c>
      <c r="F1076" s="564">
        <v>0.0</v>
      </c>
      <c r="G1076" s="564">
        <v>8.0</v>
      </c>
      <c r="H1076" s="564">
        <v>0.0</v>
      </c>
      <c r="I1076" s="423"/>
      <c r="J1076" s="423"/>
      <c r="K1076" s="423"/>
      <c r="L1076" s="423"/>
      <c r="M1076" s="423"/>
      <c r="N1076" s="423"/>
      <c r="O1076" s="423"/>
      <c r="P1076" s="423"/>
      <c r="Q1076" s="423"/>
      <c r="R1076" s="423"/>
      <c r="S1076" s="423"/>
      <c r="T1076" s="423"/>
      <c r="U1076" s="423"/>
      <c r="V1076" s="423"/>
      <c r="W1076" s="423"/>
      <c r="X1076" s="423"/>
      <c r="Y1076" s="423"/>
      <c r="Z1076" s="423"/>
    </row>
    <row r="1077">
      <c r="A1077" s="562">
        <v>1075.0</v>
      </c>
      <c r="B1077" s="563" t="s">
        <v>6169</v>
      </c>
      <c r="C1077" s="563" t="s">
        <v>6163</v>
      </c>
      <c r="D1077" s="562">
        <v>0.0</v>
      </c>
      <c r="E1077" s="562">
        <v>0.0</v>
      </c>
      <c r="F1077" s="562">
        <v>0.0</v>
      </c>
      <c r="G1077" s="562">
        <v>8.0</v>
      </c>
      <c r="H1077" s="562">
        <v>0.0</v>
      </c>
      <c r="I1077" s="423"/>
      <c r="J1077" s="423"/>
      <c r="K1077" s="423"/>
      <c r="L1077" s="423"/>
      <c r="M1077" s="423"/>
      <c r="N1077" s="423"/>
      <c r="O1077" s="423"/>
      <c r="P1077" s="423"/>
      <c r="Q1077" s="423"/>
      <c r="R1077" s="423"/>
      <c r="S1077" s="423"/>
      <c r="T1077" s="423"/>
      <c r="U1077" s="423"/>
      <c r="V1077" s="423"/>
      <c r="W1077" s="423"/>
      <c r="X1077" s="423"/>
      <c r="Y1077" s="423"/>
      <c r="Z1077" s="423"/>
    </row>
    <row r="1078">
      <c r="A1078" s="564">
        <v>1076.0</v>
      </c>
      <c r="B1078" s="565" t="s">
        <v>6170</v>
      </c>
      <c r="C1078" s="565" t="s">
        <v>6163</v>
      </c>
      <c r="D1078" s="564">
        <v>0.0</v>
      </c>
      <c r="E1078" s="564">
        <v>0.0</v>
      </c>
      <c r="F1078" s="564">
        <v>0.0</v>
      </c>
      <c r="G1078" s="564">
        <v>8.0</v>
      </c>
      <c r="H1078" s="564">
        <v>0.0</v>
      </c>
      <c r="I1078" s="423"/>
      <c r="J1078" s="423"/>
      <c r="K1078" s="423"/>
      <c r="L1078" s="423"/>
      <c r="M1078" s="423"/>
      <c r="N1078" s="423"/>
      <c r="O1078" s="423"/>
      <c r="P1078" s="423"/>
      <c r="Q1078" s="423"/>
      <c r="R1078" s="423"/>
      <c r="S1078" s="423"/>
      <c r="T1078" s="423"/>
      <c r="U1078" s="423"/>
      <c r="V1078" s="423"/>
      <c r="W1078" s="423"/>
      <c r="X1078" s="423"/>
      <c r="Y1078" s="423"/>
      <c r="Z1078" s="423"/>
    </row>
    <row r="1079">
      <c r="A1079" s="562">
        <v>1077.0</v>
      </c>
      <c r="B1079" s="563" t="s">
        <v>6171</v>
      </c>
      <c r="C1079" s="563" t="s">
        <v>6163</v>
      </c>
      <c r="D1079" s="562">
        <v>0.0</v>
      </c>
      <c r="E1079" s="562">
        <v>0.0</v>
      </c>
      <c r="F1079" s="562">
        <v>0.0</v>
      </c>
      <c r="G1079" s="562">
        <v>8.0</v>
      </c>
      <c r="H1079" s="562">
        <v>0.0</v>
      </c>
      <c r="I1079" s="423"/>
      <c r="J1079" s="423"/>
      <c r="K1079" s="423"/>
      <c r="L1079" s="423"/>
      <c r="M1079" s="423"/>
      <c r="N1079" s="423"/>
      <c r="O1079" s="423"/>
      <c r="P1079" s="423"/>
      <c r="Q1079" s="423"/>
      <c r="R1079" s="423"/>
      <c r="S1079" s="423"/>
      <c r="T1079" s="423"/>
      <c r="U1079" s="423"/>
      <c r="V1079" s="423"/>
      <c r="W1079" s="423"/>
      <c r="X1079" s="423"/>
      <c r="Y1079" s="423"/>
      <c r="Z1079" s="423"/>
    </row>
    <row r="1080">
      <c r="A1080" s="564">
        <v>1078.0</v>
      </c>
      <c r="B1080" s="565" t="s">
        <v>6172</v>
      </c>
      <c r="C1080" s="565" t="s">
        <v>6163</v>
      </c>
      <c r="D1080" s="564">
        <v>0.0</v>
      </c>
      <c r="E1080" s="564">
        <v>0.0</v>
      </c>
      <c r="F1080" s="564">
        <v>0.0</v>
      </c>
      <c r="G1080" s="564">
        <v>8.0</v>
      </c>
      <c r="H1080" s="564">
        <v>0.0</v>
      </c>
      <c r="I1080" s="423"/>
      <c r="J1080" s="423"/>
      <c r="K1080" s="423"/>
      <c r="L1080" s="423"/>
      <c r="M1080" s="423"/>
      <c r="N1080" s="423"/>
      <c r="O1080" s="423"/>
      <c r="P1080" s="423"/>
      <c r="Q1080" s="423"/>
      <c r="R1080" s="423"/>
      <c r="S1080" s="423"/>
      <c r="T1080" s="423"/>
      <c r="U1080" s="423"/>
      <c r="V1080" s="423"/>
      <c r="W1080" s="423"/>
      <c r="X1080" s="423"/>
      <c r="Y1080" s="423"/>
      <c r="Z1080" s="423"/>
    </row>
    <row r="1081">
      <c r="A1081" s="562">
        <v>1079.0</v>
      </c>
      <c r="B1081" s="563" t="s">
        <v>6173</v>
      </c>
      <c r="C1081" s="563" t="s">
        <v>6163</v>
      </c>
      <c r="D1081" s="562">
        <v>0.0</v>
      </c>
      <c r="E1081" s="562">
        <v>0.0</v>
      </c>
      <c r="F1081" s="562">
        <v>0.0</v>
      </c>
      <c r="G1081" s="562">
        <v>8.0</v>
      </c>
      <c r="H1081" s="562">
        <v>0.0</v>
      </c>
      <c r="I1081" s="423"/>
      <c r="J1081" s="423"/>
      <c r="K1081" s="423"/>
      <c r="L1081" s="423"/>
      <c r="M1081" s="423"/>
      <c r="N1081" s="423"/>
      <c r="O1081" s="423"/>
      <c r="P1081" s="423"/>
      <c r="Q1081" s="423"/>
      <c r="R1081" s="423"/>
      <c r="S1081" s="423"/>
      <c r="T1081" s="423"/>
      <c r="U1081" s="423"/>
      <c r="V1081" s="423"/>
      <c r="W1081" s="423"/>
      <c r="X1081" s="423"/>
      <c r="Y1081" s="423"/>
      <c r="Z1081" s="423"/>
    </row>
    <row r="1082">
      <c r="A1082" s="564">
        <v>1080.0</v>
      </c>
      <c r="B1082" s="565" t="s">
        <v>6174</v>
      </c>
      <c r="C1082" s="565" t="s">
        <v>6163</v>
      </c>
      <c r="D1082" s="564">
        <v>0.0</v>
      </c>
      <c r="E1082" s="564">
        <v>0.0</v>
      </c>
      <c r="F1082" s="564">
        <v>0.0</v>
      </c>
      <c r="G1082" s="564">
        <v>8.0</v>
      </c>
      <c r="H1082" s="564">
        <v>0.0</v>
      </c>
      <c r="I1082" s="423"/>
      <c r="J1082" s="423"/>
      <c r="K1082" s="423"/>
      <c r="L1082" s="423"/>
      <c r="M1082" s="423"/>
      <c r="N1082" s="423"/>
      <c r="O1082" s="423"/>
      <c r="P1082" s="423"/>
      <c r="Q1082" s="423"/>
      <c r="R1082" s="423"/>
      <c r="S1082" s="423"/>
      <c r="T1082" s="423"/>
      <c r="U1082" s="423"/>
      <c r="V1082" s="423"/>
      <c r="W1082" s="423"/>
      <c r="X1082" s="423"/>
      <c r="Y1082" s="423"/>
      <c r="Z1082" s="423"/>
    </row>
    <row r="1083">
      <c r="A1083" s="562">
        <v>1081.0</v>
      </c>
      <c r="B1083" s="563" t="s">
        <v>6175</v>
      </c>
      <c r="C1083" s="563" t="s">
        <v>6163</v>
      </c>
      <c r="D1083" s="562">
        <v>0.0</v>
      </c>
      <c r="E1083" s="562">
        <v>0.0</v>
      </c>
      <c r="F1083" s="562">
        <v>0.0</v>
      </c>
      <c r="G1083" s="562">
        <v>8.0</v>
      </c>
      <c r="H1083" s="562">
        <v>0.0</v>
      </c>
      <c r="I1083" s="423"/>
      <c r="J1083" s="423"/>
      <c r="K1083" s="423"/>
      <c r="L1083" s="423"/>
      <c r="M1083" s="423"/>
      <c r="N1083" s="423"/>
      <c r="O1083" s="423"/>
      <c r="P1083" s="423"/>
      <c r="Q1083" s="423"/>
      <c r="R1083" s="423"/>
      <c r="S1083" s="423"/>
      <c r="T1083" s="423"/>
      <c r="U1083" s="423"/>
      <c r="V1083" s="423"/>
      <c r="W1083" s="423"/>
      <c r="X1083" s="423"/>
      <c r="Y1083" s="423"/>
      <c r="Z1083" s="423"/>
    </row>
    <row r="1084">
      <c r="A1084" s="564">
        <v>1082.0</v>
      </c>
      <c r="B1084" s="565" t="s">
        <v>6176</v>
      </c>
      <c r="C1084" s="565" t="s">
        <v>6163</v>
      </c>
      <c r="D1084" s="564">
        <v>1.0</v>
      </c>
      <c r="E1084" s="564">
        <v>0.0</v>
      </c>
      <c r="F1084" s="564">
        <v>0.0</v>
      </c>
      <c r="G1084" s="564">
        <v>7.0</v>
      </c>
      <c r="H1084" s="564">
        <v>0.0</v>
      </c>
      <c r="I1084" s="423"/>
      <c r="J1084" s="423"/>
      <c r="K1084" s="423"/>
      <c r="L1084" s="423"/>
      <c r="M1084" s="423"/>
      <c r="N1084" s="423"/>
      <c r="O1084" s="423"/>
      <c r="P1084" s="423"/>
      <c r="Q1084" s="423"/>
      <c r="R1084" s="423"/>
      <c r="S1084" s="423"/>
      <c r="T1084" s="423"/>
      <c r="U1084" s="423"/>
      <c r="V1084" s="423"/>
      <c r="W1084" s="423"/>
      <c r="X1084" s="423"/>
      <c r="Y1084" s="423"/>
      <c r="Z1084" s="423"/>
    </row>
    <row r="1085">
      <c r="A1085" s="562">
        <v>1083.0</v>
      </c>
      <c r="B1085" s="563" t="s">
        <v>6177</v>
      </c>
      <c r="C1085" s="563" t="s">
        <v>6163</v>
      </c>
      <c r="D1085" s="562">
        <v>0.0</v>
      </c>
      <c r="E1085" s="562">
        <v>0.0</v>
      </c>
      <c r="F1085" s="562">
        <v>0.0</v>
      </c>
      <c r="G1085" s="562">
        <v>8.0</v>
      </c>
      <c r="H1085" s="562">
        <v>0.0</v>
      </c>
      <c r="I1085" s="423"/>
      <c r="J1085" s="423"/>
      <c r="K1085" s="423"/>
      <c r="L1085" s="423"/>
      <c r="M1085" s="423"/>
      <c r="N1085" s="423"/>
      <c r="O1085" s="423"/>
      <c r="P1085" s="423"/>
      <c r="Q1085" s="423"/>
      <c r="R1085" s="423"/>
      <c r="S1085" s="423"/>
      <c r="T1085" s="423"/>
      <c r="U1085" s="423"/>
      <c r="V1085" s="423"/>
      <c r="W1085" s="423"/>
      <c r="X1085" s="423"/>
      <c r="Y1085" s="423"/>
      <c r="Z1085" s="423"/>
    </row>
    <row r="1086">
      <c r="A1086" s="564">
        <v>1084.0</v>
      </c>
      <c r="B1086" s="565" t="s">
        <v>6178</v>
      </c>
      <c r="C1086" s="565" t="s">
        <v>6163</v>
      </c>
      <c r="D1086" s="564">
        <v>0.0</v>
      </c>
      <c r="E1086" s="564">
        <v>0.0</v>
      </c>
      <c r="F1086" s="564">
        <v>0.0</v>
      </c>
      <c r="G1086" s="564">
        <v>8.0</v>
      </c>
      <c r="H1086" s="564">
        <v>0.0</v>
      </c>
      <c r="I1086" s="423"/>
      <c r="J1086" s="423"/>
      <c r="K1086" s="423"/>
      <c r="L1086" s="423"/>
      <c r="M1086" s="423"/>
      <c r="N1086" s="423"/>
      <c r="O1086" s="423"/>
      <c r="P1086" s="423"/>
      <c r="Q1086" s="423"/>
      <c r="R1086" s="423"/>
      <c r="S1086" s="423"/>
      <c r="T1086" s="423"/>
      <c r="U1086" s="423"/>
      <c r="V1086" s="423"/>
      <c r="W1086" s="423"/>
      <c r="X1086" s="423"/>
      <c r="Y1086" s="423"/>
      <c r="Z1086" s="423"/>
    </row>
    <row r="1087">
      <c r="A1087" s="562">
        <v>1085.0</v>
      </c>
      <c r="B1087" s="563" t="s">
        <v>6179</v>
      </c>
      <c r="C1087" s="563" t="s">
        <v>6163</v>
      </c>
      <c r="D1087" s="562">
        <v>1.0</v>
      </c>
      <c r="E1087" s="562">
        <v>0.0</v>
      </c>
      <c r="F1087" s="562">
        <v>0.0</v>
      </c>
      <c r="G1087" s="562">
        <v>7.0</v>
      </c>
      <c r="H1087" s="562">
        <v>0.0</v>
      </c>
      <c r="I1087" s="423"/>
      <c r="J1087" s="423"/>
      <c r="K1087" s="423"/>
      <c r="L1087" s="423"/>
      <c r="M1087" s="423"/>
      <c r="N1087" s="423"/>
      <c r="O1087" s="423"/>
      <c r="P1087" s="423"/>
      <c r="Q1087" s="423"/>
      <c r="R1087" s="423"/>
      <c r="S1087" s="423"/>
      <c r="T1087" s="423"/>
      <c r="U1087" s="423"/>
      <c r="V1087" s="423"/>
      <c r="W1087" s="423"/>
      <c r="X1087" s="423"/>
      <c r="Y1087" s="423"/>
      <c r="Z1087" s="423"/>
    </row>
    <row r="1088">
      <c r="A1088" s="564">
        <v>1086.0</v>
      </c>
      <c r="B1088" s="565" t="s">
        <v>6180</v>
      </c>
      <c r="C1088" s="565" t="s">
        <v>6163</v>
      </c>
      <c r="D1088" s="564">
        <v>0.0</v>
      </c>
      <c r="E1088" s="564">
        <v>0.0</v>
      </c>
      <c r="F1088" s="564">
        <v>0.0</v>
      </c>
      <c r="G1088" s="564">
        <v>8.0</v>
      </c>
      <c r="H1088" s="564">
        <v>0.0</v>
      </c>
      <c r="I1088" s="423"/>
      <c r="J1088" s="423"/>
      <c r="K1088" s="423"/>
      <c r="L1088" s="423"/>
      <c r="M1088" s="423"/>
      <c r="N1088" s="423"/>
      <c r="O1088" s="423"/>
      <c r="P1088" s="423"/>
      <c r="Q1088" s="423"/>
      <c r="R1088" s="423"/>
      <c r="S1088" s="423"/>
      <c r="T1088" s="423"/>
      <c r="U1088" s="423"/>
      <c r="V1088" s="423"/>
      <c r="W1088" s="423"/>
      <c r="X1088" s="423"/>
      <c r="Y1088" s="423"/>
      <c r="Z1088" s="423"/>
    </row>
    <row r="1089">
      <c r="A1089" s="562">
        <v>1087.0</v>
      </c>
      <c r="B1089" s="563" t="s">
        <v>6181</v>
      </c>
      <c r="C1089" s="563" t="s">
        <v>6163</v>
      </c>
      <c r="D1089" s="562">
        <v>0.0</v>
      </c>
      <c r="E1089" s="562">
        <v>0.0</v>
      </c>
      <c r="F1089" s="562">
        <v>0.0</v>
      </c>
      <c r="G1089" s="562">
        <v>8.0</v>
      </c>
      <c r="H1089" s="562">
        <v>0.0</v>
      </c>
      <c r="I1089" s="423"/>
      <c r="J1089" s="423"/>
      <c r="K1089" s="423"/>
      <c r="L1089" s="423"/>
      <c r="M1089" s="423"/>
      <c r="N1089" s="423"/>
      <c r="O1089" s="423"/>
      <c r="P1089" s="423"/>
      <c r="Q1089" s="423"/>
      <c r="R1089" s="423"/>
      <c r="S1089" s="423"/>
      <c r="T1089" s="423"/>
      <c r="U1089" s="423"/>
      <c r="V1089" s="423"/>
      <c r="W1089" s="423"/>
      <c r="X1089" s="423"/>
      <c r="Y1089" s="423"/>
      <c r="Z1089" s="423"/>
    </row>
    <row r="1090">
      <c r="A1090" s="564">
        <v>1088.0</v>
      </c>
      <c r="B1090" s="565" t="s">
        <v>6182</v>
      </c>
      <c r="C1090" s="565" t="s">
        <v>6163</v>
      </c>
      <c r="D1090" s="564">
        <v>0.0</v>
      </c>
      <c r="E1090" s="564">
        <v>0.0</v>
      </c>
      <c r="F1090" s="564">
        <v>0.0</v>
      </c>
      <c r="G1090" s="564">
        <v>8.0</v>
      </c>
      <c r="H1090" s="564">
        <v>0.0</v>
      </c>
      <c r="I1090" s="423"/>
      <c r="J1090" s="423"/>
      <c r="K1090" s="423"/>
      <c r="L1090" s="423"/>
      <c r="M1090" s="423"/>
      <c r="N1090" s="423"/>
      <c r="O1090" s="423"/>
      <c r="P1090" s="423"/>
      <c r="Q1090" s="423"/>
      <c r="R1090" s="423"/>
      <c r="S1090" s="423"/>
      <c r="T1090" s="423"/>
      <c r="U1090" s="423"/>
      <c r="V1090" s="423"/>
      <c r="W1090" s="423"/>
      <c r="X1090" s="423"/>
      <c r="Y1090" s="423"/>
      <c r="Z1090" s="423"/>
    </row>
    <row r="1091">
      <c r="A1091" s="562">
        <v>1089.0</v>
      </c>
      <c r="B1091" s="563" t="s">
        <v>6183</v>
      </c>
      <c r="C1091" s="563" t="s">
        <v>6163</v>
      </c>
      <c r="D1091" s="562">
        <v>0.0</v>
      </c>
      <c r="E1091" s="562">
        <v>0.0</v>
      </c>
      <c r="F1091" s="562">
        <v>0.0</v>
      </c>
      <c r="G1091" s="562">
        <v>8.0</v>
      </c>
      <c r="H1091" s="562">
        <v>0.0</v>
      </c>
      <c r="I1091" s="423"/>
      <c r="J1091" s="423"/>
      <c r="K1091" s="423"/>
      <c r="L1091" s="423"/>
      <c r="M1091" s="423"/>
      <c r="N1091" s="423"/>
      <c r="O1091" s="423"/>
      <c r="P1091" s="423"/>
      <c r="Q1091" s="423"/>
      <c r="R1091" s="423"/>
      <c r="S1091" s="423"/>
      <c r="T1091" s="423"/>
      <c r="U1091" s="423"/>
      <c r="V1091" s="423"/>
      <c r="W1091" s="423"/>
      <c r="X1091" s="423"/>
      <c r="Y1091" s="423"/>
      <c r="Z1091" s="423"/>
    </row>
    <row r="1092">
      <c r="A1092" s="564">
        <v>1090.0</v>
      </c>
      <c r="B1092" s="565" t="s">
        <v>6184</v>
      </c>
      <c r="C1092" s="565" t="s">
        <v>6163</v>
      </c>
      <c r="D1092" s="564">
        <v>0.0</v>
      </c>
      <c r="E1092" s="564">
        <v>0.0</v>
      </c>
      <c r="F1092" s="564">
        <v>0.0</v>
      </c>
      <c r="G1092" s="564">
        <v>8.0</v>
      </c>
      <c r="H1092" s="564">
        <v>0.0</v>
      </c>
      <c r="I1092" s="423"/>
      <c r="J1092" s="423"/>
      <c r="K1092" s="423"/>
      <c r="L1092" s="423"/>
      <c r="M1092" s="423"/>
      <c r="N1092" s="423"/>
      <c r="O1092" s="423"/>
      <c r="P1092" s="423"/>
      <c r="Q1092" s="423"/>
      <c r="R1092" s="423"/>
      <c r="S1092" s="423"/>
      <c r="T1092" s="423"/>
      <c r="U1092" s="423"/>
      <c r="V1092" s="423"/>
      <c r="W1092" s="423"/>
      <c r="X1092" s="423"/>
      <c r="Y1092" s="423"/>
      <c r="Z1092" s="423"/>
    </row>
    <row r="1093">
      <c r="A1093" s="562">
        <v>1091.0</v>
      </c>
      <c r="B1093" s="563" t="s">
        <v>6185</v>
      </c>
      <c r="C1093" s="563" t="s">
        <v>6163</v>
      </c>
      <c r="D1093" s="562">
        <v>0.0</v>
      </c>
      <c r="E1093" s="562">
        <v>0.0</v>
      </c>
      <c r="F1093" s="562">
        <v>0.0</v>
      </c>
      <c r="G1093" s="562">
        <v>8.0</v>
      </c>
      <c r="H1093" s="562">
        <v>0.0</v>
      </c>
      <c r="I1093" s="423"/>
      <c r="J1093" s="423"/>
      <c r="K1093" s="423"/>
      <c r="L1093" s="423"/>
      <c r="M1093" s="423"/>
      <c r="N1093" s="423"/>
      <c r="O1093" s="423"/>
      <c r="P1093" s="423"/>
      <c r="Q1093" s="423"/>
      <c r="R1093" s="423"/>
      <c r="S1093" s="423"/>
      <c r="T1093" s="423"/>
      <c r="U1093" s="423"/>
      <c r="V1093" s="423"/>
      <c r="W1093" s="423"/>
      <c r="X1093" s="423"/>
      <c r="Y1093" s="423"/>
      <c r="Z1093" s="423"/>
    </row>
    <row r="1094">
      <c r="A1094" s="564">
        <v>1092.0</v>
      </c>
      <c r="B1094" s="565" t="s">
        <v>6186</v>
      </c>
      <c r="C1094" s="565" t="s">
        <v>6163</v>
      </c>
      <c r="D1094" s="564">
        <v>0.0</v>
      </c>
      <c r="E1094" s="564">
        <v>0.0</v>
      </c>
      <c r="F1094" s="564">
        <v>0.0</v>
      </c>
      <c r="G1094" s="564">
        <v>8.0</v>
      </c>
      <c r="H1094" s="564">
        <v>0.0</v>
      </c>
      <c r="I1094" s="423"/>
      <c r="J1094" s="423"/>
      <c r="K1094" s="423"/>
      <c r="L1094" s="423"/>
      <c r="M1094" s="423"/>
      <c r="N1094" s="423"/>
      <c r="O1094" s="423"/>
      <c r="P1094" s="423"/>
      <c r="Q1094" s="423"/>
      <c r="R1094" s="423"/>
      <c r="S1094" s="423"/>
      <c r="T1094" s="423"/>
      <c r="U1094" s="423"/>
      <c r="V1094" s="423"/>
      <c r="W1094" s="423"/>
      <c r="X1094" s="423"/>
      <c r="Y1094" s="423"/>
      <c r="Z1094" s="423"/>
    </row>
    <row r="1095">
      <c r="A1095" s="562">
        <v>1093.0</v>
      </c>
      <c r="B1095" s="563" t="s">
        <v>6187</v>
      </c>
      <c r="C1095" s="563" t="s">
        <v>6163</v>
      </c>
      <c r="D1095" s="562">
        <v>0.0</v>
      </c>
      <c r="E1095" s="562">
        <v>0.0</v>
      </c>
      <c r="F1095" s="562">
        <v>0.0</v>
      </c>
      <c r="G1095" s="562">
        <v>8.0</v>
      </c>
      <c r="H1095" s="562">
        <v>0.0</v>
      </c>
      <c r="I1095" s="423"/>
      <c r="J1095" s="423"/>
      <c r="K1095" s="423"/>
      <c r="L1095" s="423"/>
      <c r="M1095" s="423"/>
      <c r="N1095" s="423"/>
      <c r="O1095" s="423"/>
      <c r="P1095" s="423"/>
      <c r="Q1095" s="423"/>
      <c r="R1095" s="423"/>
      <c r="S1095" s="423"/>
      <c r="T1095" s="423"/>
      <c r="U1095" s="423"/>
      <c r="V1095" s="423"/>
      <c r="W1095" s="423"/>
      <c r="X1095" s="423"/>
      <c r="Y1095" s="423"/>
      <c r="Z1095" s="423"/>
    </row>
    <row r="1096">
      <c r="A1096" s="564">
        <v>1094.0</v>
      </c>
      <c r="B1096" s="565" t="s">
        <v>6188</v>
      </c>
      <c r="C1096" s="565" t="s">
        <v>6163</v>
      </c>
      <c r="D1096" s="564">
        <v>0.0</v>
      </c>
      <c r="E1096" s="564">
        <v>0.0</v>
      </c>
      <c r="F1096" s="564">
        <v>0.0</v>
      </c>
      <c r="G1096" s="564">
        <v>8.0</v>
      </c>
      <c r="H1096" s="564">
        <v>0.0</v>
      </c>
      <c r="I1096" s="423"/>
      <c r="J1096" s="423"/>
      <c r="K1096" s="423"/>
      <c r="L1096" s="423"/>
      <c r="M1096" s="423"/>
      <c r="N1096" s="423"/>
      <c r="O1096" s="423"/>
      <c r="P1096" s="423"/>
      <c r="Q1096" s="423"/>
      <c r="R1096" s="423"/>
      <c r="S1096" s="423"/>
      <c r="T1096" s="423"/>
      <c r="U1096" s="423"/>
      <c r="V1096" s="423"/>
      <c r="W1096" s="423"/>
      <c r="X1096" s="423"/>
      <c r="Y1096" s="423"/>
      <c r="Z1096" s="423"/>
    </row>
    <row r="1097">
      <c r="A1097" s="562">
        <v>1095.0</v>
      </c>
      <c r="B1097" s="563" t="s">
        <v>6189</v>
      </c>
      <c r="C1097" s="563" t="s">
        <v>6163</v>
      </c>
      <c r="D1097" s="562">
        <v>0.0</v>
      </c>
      <c r="E1097" s="562">
        <v>0.0</v>
      </c>
      <c r="F1097" s="562">
        <v>0.0</v>
      </c>
      <c r="G1097" s="562">
        <v>8.0</v>
      </c>
      <c r="H1097" s="562">
        <v>0.0</v>
      </c>
      <c r="I1097" s="423"/>
      <c r="J1097" s="423"/>
      <c r="K1097" s="423"/>
      <c r="L1097" s="423"/>
      <c r="M1097" s="423"/>
      <c r="N1097" s="423"/>
      <c r="O1097" s="423"/>
      <c r="P1097" s="423"/>
      <c r="Q1097" s="423"/>
      <c r="R1097" s="423"/>
      <c r="S1097" s="423"/>
      <c r="T1097" s="423"/>
      <c r="U1097" s="423"/>
      <c r="V1097" s="423"/>
      <c r="W1097" s="423"/>
      <c r="X1097" s="423"/>
      <c r="Y1097" s="423"/>
      <c r="Z1097" s="423"/>
    </row>
    <row r="1098">
      <c r="A1098" s="564">
        <v>1096.0</v>
      </c>
      <c r="B1098" s="565" t="s">
        <v>6190</v>
      </c>
      <c r="C1098" s="565" t="s">
        <v>6163</v>
      </c>
      <c r="D1098" s="564">
        <v>0.0</v>
      </c>
      <c r="E1098" s="564">
        <v>0.0</v>
      </c>
      <c r="F1098" s="564">
        <v>0.0</v>
      </c>
      <c r="G1098" s="564">
        <v>8.0</v>
      </c>
      <c r="H1098" s="564">
        <v>0.0</v>
      </c>
      <c r="I1098" s="423"/>
      <c r="J1098" s="423"/>
      <c r="K1098" s="423"/>
      <c r="L1098" s="423"/>
      <c r="M1098" s="423"/>
      <c r="N1098" s="423"/>
      <c r="O1098" s="423"/>
      <c r="P1098" s="423"/>
      <c r="Q1098" s="423"/>
      <c r="R1098" s="423"/>
      <c r="S1098" s="423"/>
      <c r="T1098" s="423"/>
      <c r="U1098" s="423"/>
      <c r="V1098" s="423"/>
      <c r="W1098" s="423"/>
      <c r="X1098" s="423"/>
      <c r="Y1098" s="423"/>
      <c r="Z1098" s="423"/>
    </row>
    <row r="1099">
      <c r="A1099" s="562">
        <v>1097.0</v>
      </c>
      <c r="B1099" s="563" t="s">
        <v>6191</v>
      </c>
      <c r="C1099" s="563" t="s">
        <v>6163</v>
      </c>
      <c r="D1099" s="562">
        <v>0.0</v>
      </c>
      <c r="E1099" s="562">
        <v>0.0</v>
      </c>
      <c r="F1099" s="562">
        <v>0.0</v>
      </c>
      <c r="G1099" s="562">
        <v>8.0</v>
      </c>
      <c r="H1099" s="562">
        <v>0.0</v>
      </c>
      <c r="I1099" s="423"/>
      <c r="J1099" s="423"/>
      <c r="K1099" s="423"/>
      <c r="L1099" s="423"/>
      <c r="M1099" s="423"/>
      <c r="N1099" s="423"/>
      <c r="O1099" s="423"/>
      <c r="P1099" s="423"/>
      <c r="Q1099" s="423"/>
      <c r="R1099" s="423"/>
      <c r="S1099" s="423"/>
      <c r="T1099" s="423"/>
      <c r="U1099" s="423"/>
      <c r="V1099" s="423"/>
      <c r="W1099" s="423"/>
      <c r="X1099" s="423"/>
      <c r="Y1099" s="423"/>
      <c r="Z1099" s="423"/>
    </row>
    <row r="1100">
      <c r="A1100" s="564">
        <v>1098.0</v>
      </c>
      <c r="B1100" s="565" t="s">
        <v>6192</v>
      </c>
      <c r="C1100" s="565" t="s">
        <v>6163</v>
      </c>
      <c r="D1100" s="564">
        <v>0.0</v>
      </c>
      <c r="E1100" s="564">
        <v>0.0</v>
      </c>
      <c r="F1100" s="564">
        <v>0.0</v>
      </c>
      <c r="G1100" s="564">
        <v>8.0</v>
      </c>
      <c r="H1100" s="564">
        <v>0.0</v>
      </c>
      <c r="I1100" s="423"/>
      <c r="J1100" s="423"/>
      <c r="K1100" s="423"/>
      <c r="L1100" s="423"/>
      <c r="M1100" s="423"/>
      <c r="N1100" s="423"/>
      <c r="O1100" s="423"/>
      <c r="P1100" s="423"/>
      <c r="Q1100" s="423"/>
      <c r="R1100" s="423"/>
      <c r="S1100" s="423"/>
      <c r="T1100" s="423"/>
      <c r="U1100" s="423"/>
      <c r="V1100" s="423"/>
      <c r="W1100" s="423"/>
      <c r="X1100" s="423"/>
      <c r="Y1100" s="423"/>
      <c r="Z1100" s="423"/>
    </row>
    <row r="1101">
      <c r="A1101" s="562">
        <v>1099.0</v>
      </c>
      <c r="B1101" s="563" t="s">
        <v>6193</v>
      </c>
      <c r="C1101" s="563" t="s">
        <v>6163</v>
      </c>
      <c r="D1101" s="562">
        <v>0.0</v>
      </c>
      <c r="E1101" s="562">
        <v>0.0</v>
      </c>
      <c r="F1101" s="562">
        <v>0.0</v>
      </c>
      <c r="G1101" s="562">
        <v>8.0</v>
      </c>
      <c r="H1101" s="562">
        <v>0.0</v>
      </c>
      <c r="I1101" s="423"/>
      <c r="J1101" s="423"/>
      <c r="K1101" s="423"/>
      <c r="L1101" s="423"/>
      <c r="M1101" s="423"/>
      <c r="N1101" s="423"/>
      <c r="O1101" s="423"/>
      <c r="P1101" s="423"/>
      <c r="Q1101" s="423"/>
      <c r="R1101" s="423"/>
      <c r="S1101" s="423"/>
      <c r="T1101" s="423"/>
      <c r="U1101" s="423"/>
      <c r="V1101" s="423"/>
      <c r="W1101" s="423"/>
      <c r="X1101" s="423"/>
      <c r="Y1101" s="423"/>
      <c r="Z1101" s="423"/>
    </row>
    <row r="1102">
      <c r="A1102" s="564">
        <v>1100.0</v>
      </c>
      <c r="B1102" s="565" t="s">
        <v>6194</v>
      </c>
      <c r="C1102" s="565" t="s">
        <v>6163</v>
      </c>
      <c r="D1102" s="564">
        <v>0.0</v>
      </c>
      <c r="E1102" s="564">
        <v>0.0</v>
      </c>
      <c r="F1102" s="564">
        <v>0.0</v>
      </c>
      <c r="G1102" s="564">
        <v>8.0</v>
      </c>
      <c r="H1102" s="564">
        <v>0.0</v>
      </c>
      <c r="I1102" s="423"/>
      <c r="J1102" s="423"/>
      <c r="K1102" s="423"/>
      <c r="L1102" s="423"/>
      <c r="M1102" s="423"/>
      <c r="N1102" s="423"/>
      <c r="O1102" s="423"/>
      <c r="P1102" s="423"/>
      <c r="Q1102" s="423"/>
      <c r="R1102" s="423"/>
      <c r="S1102" s="423"/>
      <c r="T1102" s="423"/>
      <c r="U1102" s="423"/>
      <c r="V1102" s="423"/>
      <c r="W1102" s="423"/>
      <c r="X1102" s="423"/>
      <c r="Y1102" s="423"/>
      <c r="Z1102" s="423"/>
    </row>
    <row r="1103">
      <c r="A1103" s="562">
        <v>1101.0</v>
      </c>
      <c r="B1103" s="563" t="s">
        <v>6195</v>
      </c>
      <c r="C1103" s="563" t="s">
        <v>6163</v>
      </c>
      <c r="D1103" s="562">
        <v>0.0</v>
      </c>
      <c r="E1103" s="562">
        <v>0.0</v>
      </c>
      <c r="F1103" s="562">
        <v>0.0</v>
      </c>
      <c r="G1103" s="562">
        <v>8.0</v>
      </c>
      <c r="H1103" s="562">
        <v>0.0</v>
      </c>
      <c r="I1103" s="423"/>
      <c r="J1103" s="423"/>
      <c r="K1103" s="423"/>
      <c r="L1103" s="423"/>
      <c r="M1103" s="423"/>
      <c r="N1103" s="423"/>
      <c r="O1103" s="423"/>
      <c r="P1103" s="423"/>
      <c r="Q1103" s="423"/>
      <c r="R1103" s="423"/>
      <c r="S1103" s="423"/>
      <c r="T1103" s="423"/>
      <c r="U1103" s="423"/>
      <c r="V1103" s="423"/>
      <c r="W1103" s="423"/>
      <c r="X1103" s="423"/>
      <c r="Y1103" s="423"/>
      <c r="Z1103" s="423"/>
    </row>
    <row r="1104">
      <c r="A1104" s="564">
        <v>1102.0</v>
      </c>
      <c r="B1104" s="565" t="s">
        <v>6196</v>
      </c>
      <c r="C1104" s="565" t="s">
        <v>6163</v>
      </c>
      <c r="D1104" s="564">
        <v>0.0</v>
      </c>
      <c r="E1104" s="564">
        <v>0.0</v>
      </c>
      <c r="F1104" s="564">
        <v>0.0</v>
      </c>
      <c r="G1104" s="564">
        <v>8.0</v>
      </c>
      <c r="H1104" s="564">
        <v>0.0</v>
      </c>
      <c r="I1104" s="423"/>
      <c r="J1104" s="423"/>
      <c r="K1104" s="423"/>
      <c r="L1104" s="423"/>
      <c r="M1104" s="423"/>
      <c r="N1104" s="423"/>
      <c r="O1104" s="423"/>
      <c r="P1104" s="423"/>
      <c r="Q1104" s="423"/>
      <c r="R1104" s="423"/>
      <c r="S1104" s="423"/>
      <c r="T1104" s="423"/>
      <c r="U1104" s="423"/>
      <c r="V1104" s="423"/>
      <c r="W1104" s="423"/>
      <c r="X1104" s="423"/>
      <c r="Y1104" s="423"/>
      <c r="Z1104" s="423"/>
    </row>
    <row r="1105">
      <c r="A1105" s="562">
        <v>1103.0</v>
      </c>
      <c r="B1105" s="563" t="s">
        <v>6197</v>
      </c>
      <c r="C1105" s="563" t="s">
        <v>6163</v>
      </c>
      <c r="D1105" s="562">
        <v>0.0</v>
      </c>
      <c r="E1105" s="562">
        <v>0.0</v>
      </c>
      <c r="F1105" s="562">
        <v>0.0</v>
      </c>
      <c r="G1105" s="562">
        <v>8.0</v>
      </c>
      <c r="H1105" s="562">
        <v>0.0</v>
      </c>
      <c r="I1105" s="423"/>
      <c r="J1105" s="423"/>
      <c r="K1105" s="423"/>
      <c r="L1105" s="423"/>
      <c r="M1105" s="423"/>
      <c r="N1105" s="423"/>
      <c r="O1105" s="423"/>
      <c r="P1105" s="423"/>
      <c r="Q1105" s="423"/>
      <c r="R1105" s="423"/>
      <c r="S1105" s="423"/>
      <c r="T1105" s="423"/>
      <c r="U1105" s="423"/>
      <c r="V1105" s="423"/>
      <c r="W1105" s="423"/>
      <c r="X1105" s="423"/>
      <c r="Y1105" s="423"/>
      <c r="Z1105" s="423"/>
    </row>
    <row r="1106">
      <c r="A1106" s="564">
        <v>1104.0</v>
      </c>
      <c r="B1106" s="565" t="s">
        <v>6198</v>
      </c>
      <c r="C1106" s="565" t="s">
        <v>6199</v>
      </c>
      <c r="D1106" s="564">
        <v>0.0</v>
      </c>
      <c r="E1106" s="564">
        <v>0.0</v>
      </c>
      <c r="F1106" s="564">
        <v>0.0</v>
      </c>
      <c r="G1106" s="564">
        <v>8.0</v>
      </c>
      <c r="H1106" s="564">
        <v>0.0</v>
      </c>
      <c r="I1106" s="423"/>
      <c r="J1106" s="423"/>
      <c r="K1106" s="423"/>
      <c r="L1106" s="423"/>
      <c r="M1106" s="423"/>
      <c r="N1106" s="423"/>
      <c r="O1106" s="423"/>
      <c r="P1106" s="423"/>
      <c r="Q1106" s="423"/>
      <c r="R1106" s="423"/>
      <c r="S1106" s="423"/>
      <c r="T1106" s="423"/>
      <c r="U1106" s="423"/>
      <c r="V1106" s="423"/>
      <c r="W1106" s="423"/>
      <c r="X1106" s="423"/>
      <c r="Y1106" s="423"/>
      <c r="Z1106" s="423"/>
    </row>
    <row r="1107">
      <c r="A1107" s="562">
        <v>1105.0</v>
      </c>
      <c r="B1107" s="563" t="s">
        <v>6200</v>
      </c>
      <c r="C1107" s="563" t="s">
        <v>6199</v>
      </c>
      <c r="D1107" s="562">
        <v>0.0</v>
      </c>
      <c r="E1107" s="562">
        <v>0.0</v>
      </c>
      <c r="F1107" s="562">
        <v>0.0</v>
      </c>
      <c r="G1107" s="562">
        <v>8.0</v>
      </c>
      <c r="H1107" s="562">
        <v>0.0</v>
      </c>
      <c r="I1107" s="423"/>
      <c r="J1107" s="423"/>
      <c r="K1107" s="423"/>
      <c r="L1107" s="423"/>
      <c r="M1107" s="423"/>
      <c r="N1107" s="423"/>
      <c r="O1107" s="423"/>
      <c r="P1107" s="423"/>
      <c r="Q1107" s="423"/>
      <c r="R1107" s="423"/>
      <c r="S1107" s="423"/>
      <c r="T1107" s="423"/>
      <c r="U1107" s="423"/>
      <c r="V1107" s="423"/>
      <c r="W1107" s="423"/>
      <c r="X1107" s="423"/>
      <c r="Y1107" s="423"/>
      <c r="Z1107" s="423"/>
    </row>
    <row r="1108">
      <c r="A1108" s="564">
        <v>1106.0</v>
      </c>
      <c r="B1108" s="565" t="s">
        <v>6201</v>
      </c>
      <c r="C1108" s="565" t="s">
        <v>6199</v>
      </c>
      <c r="D1108" s="564">
        <v>0.0</v>
      </c>
      <c r="E1108" s="564">
        <v>0.0</v>
      </c>
      <c r="F1108" s="564">
        <v>0.0</v>
      </c>
      <c r="G1108" s="564">
        <v>8.0</v>
      </c>
      <c r="H1108" s="564">
        <v>0.0</v>
      </c>
      <c r="I1108" s="423"/>
      <c r="J1108" s="423"/>
      <c r="K1108" s="423"/>
      <c r="L1108" s="423"/>
      <c r="M1108" s="423"/>
      <c r="N1108" s="423"/>
      <c r="O1108" s="423"/>
      <c r="P1108" s="423"/>
      <c r="Q1108" s="423"/>
      <c r="R1108" s="423"/>
      <c r="S1108" s="423"/>
      <c r="T1108" s="423"/>
      <c r="U1108" s="423"/>
      <c r="V1108" s="423"/>
      <c r="W1108" s="423"/>
      <c r="X1108" s="423"/>
      <c r="Y1108" s="423"/>
      <c r="Z1108" s="423"/>
    </row>
    <row r="1109">
      <c r="A1109" s="562">
        <v>1107.0</v>
      </c>
      <c r="B1109" s="563" t="s">
        <v>6202</v>
      </c>
      <c r="C1109" s="563" t="s">
        <v>6199</v>
      </c>
      <c r="D1109" s="562">
        <v>0.0</v>
      </c>
      <c r="E1109" s="562">
        <v>0.0</v>
      </c>
      <c r="F1109" s="562">
        <v>0.0</v>
      </c>
      <c r="G1109" s="562">
        <v>8.0</v>
      </c>
      <c r="H1109" s="562">
        <v>0.0</v>
      </c>
      <c r="I1109" s="423"/>
      <c r="J1109" s="423"/>
      <c r="K1109" s="423"/>
      <c r="L1109" s="423"/>
      <c r="M1109" s="423"/>
      <c r="N1109" s="423"/>
      <c r="O1109" s="423"/>
      <c r="P1109" s="423"/>
      <c r="Q1109" s="423"/>
      <c r="R1109" s="423"/>
      <c r="S1109" s="423"/>
      <c r="T1109" s="423"/>
      <c r="U1109" s="423"/>
      <c r="V1109" s="423"/>
      <c r="W1109" s="423"/>
      <c r="X1109" s="423"/>
      <c r="Y1109" s="423"/>
      <c r="Z1109" s="423"/>
    </row>
    <row r="1110">
      <c r="A1110" s="564">
        <v>1108.0</v>
      </c>
      <c r="B1110" s="565" t="s">
        <v>6203</v>
      </c>
      <c r="C1110" s="565" t="s">
        <v>6199</v>
      </c>
      <c r="D1110" s="564">
        <v>0.0</v>
      </c>
      <c r="E1110" s="564">
        <v>0.0</v>
      </c>
      <c r="F1110" s="564">
        <v>0.0</v>
      </c>
      <c r="G1110" s="564">
        <v>8.0</v>
      </c>
      <c r="H1110" s="564">
        <v>0.0</v>
      </c>
      <c r="I1110" s="423"/>
      <c r="J1110" s="423"/>
      <c r="K1110" s="423"/>
      <c r="L1110" s="423"/>
      <c r="M1110" s="423"/>
      <c r="N1110" s="423"/>
      <c r="O1110" s="423"/>
      <c r="P1110" s="423"/>
      <c r="Q1110" s="423"/>
      <c r="R1110" s="423"/>
      <c r="S1110" s="423"/>
      <c r="T1110" s="423"/>
      <c r="U1110" s="423"/>
      <c r="V1110" s="423"/>
      <c r="W1110" s="423"/>
      <c r="X1110" s="423"/>
      <c r="Y1110" s="423"/>
      <c r="Z1110" s="423"/>
    </row>
    <row r="1111">
      <c r="A1111" s="562">
        <v>1109.0</v>
      </c>
      <c r="B1111" s="563" t="s">
        <v>6204</v>
      </c>
      <c r="C1111" s="563" t="s">
        <v>6199</v>
      </c>
      <c r="D1111" s="562">
        <v>0.0</v>
      </c>
      <c r="E1111" s="562">
        <v>0.0</v>
      </c>
      <c r="F1111" s="562">
        <v>0.0</v>
      </c>
      <c r="G1111" s="562">
        <v>8.0</v>
      </c>
      <c r="H1111" s="562">
        <v>0.0</v>
      </c>
      <c r="I1111" s="423"/>
      <c r="J1111" s="423"/>
      <c r="K1111" s="423"/>
      <c r="L1111" s="423"/>
      <c r="M1111" s="423"/>
      <c r="N1111" s="423"/>
      <c r="O1111" s="423"/>
      <c r="P1111" s="423"/>
      <c r="Q1111" s="423"/>
      <c r="R1111" s="423"/>
      <c r="S1111" s="423"/>
      <c r="T1111" s="423"/>
      <c r="U1111" s="423"/>
      <c r="V1111" s="423"/>
      <c r="W1111" s="423"/>
      <c r="X1111" s="423"/>
      <c r="Y1111" s="423"/>
      <c r="Z1111" s="423"/>
    </row>
    <row r="1112">
      <c r="A1112" s="564">
        <v>1110.0</v>
      </c>
      <c r="B1112" s="565" t="s">
        <v>6205</v>
      </c>
      <c r="C1112" s="565" t="s">
        <v>6199</v>
      </c>
      <c r="D1112" s="564">
        <v>0.0</v>
      </c>
      <c r="E1112" s="564">
        <v>0.0</v>
      </c>
      <c r="F1112" s="564">
        <v>0.0</v>
      </c>
      <c r="G1112" s="564">
        <v>8.0</v>
      </c>
      <c r="H1112" s="564">
        <v>0.0</v>
      </c>
      <c r="I1112" s="423"/>
      <c r="J1112" s="423"/>
      <c r="K1112" s="423"/>
      <c r="L1112" s="423"/>
      <c r="M1112" s="423"/>
      <c r="N1112" s="423"/>
      <c r="O1112" s="423"/>
      <c r="P1112" s="423"/>
      <c r="Q1112" s="423"/>
      <c r="R1112" s="423"/>
      <c r="S1112" s="423"/>
      <c r="T1112" s="423"/>
      <c r="U1112" s="423"/>
      <c r="V1112" s="423"/>
      <c r="W1112" s="423"/>
      <c r="X1112" s="423"/>
      <c r="Y1112" s="423"/>
      <c r="Z1112" s="423"/>
    </row>
    <row r="1113">
      <c r="A1113" s="562">
        <v>1111.0</v>
      </c>
      <c r="B1113" s="563" t="s">
        <v>6206</v>
      </c>
      <c r="C1113" s="563" t="s">
        <v>6199</v>
      </c>
      <c r="D1113" s="562">
        <v>0.0</v>
      </c>
      <c r="E1113" s="562">
        <v>0.0</v>
      </c>
      <c r="F1113" s="562">
        <v>0.0</v>
      </c>
      <c r="G1113" s="562">
        <v>8.0</v>
      </c>
      <c r="H1113" s="562">
        <v>0.0</v>
      </c>
      <c r="I1113" s="423"/>
      <c r="J1113" s="423"/>
      <c r="K1113" s="423"/>
      <c r="L1113" s="423"/>
      <c r="M1113" s="423"/>
      <c r="N1113" s="423"/>
      <c r="O1113" s="423"/>
      <c r="P1113" s="423"/>
      <c r="Q1113" s="423"/>
      <c r="R1113" s="423"/>
      <c r="S1113" s="423"/>
      <c r="T1113" s="423"/>
      <c r="U1113" s="423"/>
      <c r="V1113" s="423"/>
      <c r="W1113" s="423"/>
      <c r="X1113" s="423"/>
      <c r="Y1113" s="423"/>
      <c r="Z1113" s="423"/>
    </row>
    <row r="1114">
      <c r="A1114" s="564">
        <v>1112.0</v>
      </c>
      <c r="B1114" s="565" t="s">
        <v>6207</v>
      </c>
      <c r="C1114" s="565" t="s">
        <v>6199</v>
      </c>
      <c r="D1114" s="564">
        <v>0.0</v>
      </c>
      <c r="E1114" s="564">
        <v>0.0</v>
      </c>
      <c r="F1114" s="564">
        <v>0.0</v>
      </c>
      <c r="G1114" s="564">
        <v>8.0</v>
      </c>
      <c r="H1114" s="564">
        <v>0.0</v>
      </c>
      <c r="I1114" s="423"/>
      <c r="J1114" s="423"/>
      <c r="K1114" s="423"/>
      <c r="L1114" s="423"/>
      <c r="M1114" s="423"/>
      <c r="N1114" s="423"/>
      <c r="O1114" s="423"/>
      <c r="P1114" s="423"/>
      <c r="Q1114" s="423"/>
      <c r="R1114" s="423"/>
      <c r="S1114" s="423"/>
      <c r="T1114" s="423"/>
      <c r="U1114" s="423"/>
      <c r="V1114" s="423"/>
      <c r="W1114" s="423"/>
      <c r="X1114" s="423"/>
      <c r="Y1114" s="423"/>
      <c r="Z1114" s="423"/>
    </row>
    <row r="1115">
      <c r="A1115" s="562">
        <v>1113.0</v>
      </c>
      <c r="B1115" s="563" t="s">
        <v>6208</v>
      </c>
      <c r="C1115" s="563" t="s">
        <v>6199</v>
      </c>
      <c r="D1115" s="562">
        <v>0.0</v>
      </c>
      <c r="E1115" s="562">
        <v>0.0</v>
      </c>
      <c r="F1115" s="562">
        <v>0.0</v>
      </c>
      <c r="G1115" s="562">
        <v>8.0</v>
      </c>
      <c r="H1115" s="562">
        <v>0.0</v>
      </c>
      <c r="I1115" s="423"/>
      <c r="J1115" s="423"/>
      <c r="K1115" s="423"/>
      <c r="L1115" s="423"/>
      <c r="M1115" s="423"/>
      <c r="N1115" s="423"/>
      <c r="O1115" s="423"/>
      <c r="P1115" s="423"/>
      <c r="Q1115" s="423"/>
      <c r="R1115" s="423"/>
      <c r="S1115" s="423"/>
      <c r="T1115" s="423"/>
      <c r="U1115" s="423"/>
      <c r="V1115" s="423"/>
      <c r="W1115" s="423"/>
      <c r="X1115" s="423"/>
      <c r="Y1115" s="423"/>
      <c r="Z1115" s="423"/>
    </row>
    <row r="1116">
      <c r="A1116" s="564">
        <v>1114.0</v>
      </c>
      <c r="B1116" s="565" t="s">
        <v>6209</v>
      </c>
      <c r="C1116" s="565" t="s">
        <v>6199</v>
      </c>
      <c r="D1116" s="564">
        <v>0.0</v>
      </c>
      <c r="E1116" s="564">
        <v>0.0</v>
      </c>
      <c r="F1116" s="564">
        <v>0.0</v>
      </c>
      <c r="G1116" s="564">
        <v>8.0</v>
      </c>
      <c r="H1116" s="564">
        <v>0.0</v>
      </c>
      <c r="I1116" s="423"/>
      <c r="J1116" s="423"/>
      <c r="K1116" s="423"/>
      <c r="L1116" s="423"/>
      <c r="M1116" s="423"/>
      <c r="N1116" s="423"/>
      <c r="O1116" s="423"/>
      <c r="P1116" s="423"/>
      <c r="Q1116" s="423"/>
      <c r="R1116" s="423"/>
      <c r="S1116" s="423"/>
      <c r="T1116" s="423"/>
      <c r="U1116" s="423"/>
      <c r="V1116" s="423"/>
      <c r="W1116" s="423"/>
      <c r="X1116" s="423"/>
      <c r="Y1116" s="423"/>
      <c r="Z1116" s="423"/>
    </row>
    <row r="1117">
      <c r="A1117" s="562">
        <v>1115.0</v>
      </c>
      <c r="B1117" s="563" t="s">
        <v>6210</v>
      </c>
      <c r="C1117" s="563" t="s">
        <v>6199</v>
      </c>
      <c r="D1117" s="562">
        <v>0.0</v>
      </c>
      <c r="E1117" s="562">
        <v>0.0</v>
      </c>
      <c r="F1117" s="562">
        <v>0.0</v>
      </c>
      <c r="G1117" s="562">
        <v>8.0</v>
      </c>
      <c r="H1117" s="562">
        <v>0.0</v>
      </c>
      <c r="I1117" s="423"/>
      <c r="J1117" s="423"/>
      <c r="K1117" s="423"/>
      <c r="L1117" s="423"/>
      <c r="M1117" s="423"/>
      <c r="N1117" s="423"/>
      <c r="O1117" s="423"/>
      <c r="P1117" s="423"/>
      <c r="Q1117" s="423"/>
      <c r="R1117" s="423"/>
      <c r="S1117" s="423"/>
      <c r="T1117" s="423"/>
      <c r="U1117" s="423"/>
      <c r="V1117" s="423"/>
      <c r="W1117" s="423"/>
      <c r="X1117" s="423"/>
      <c r="Y1117" s="423"/>
      <c r="Z1117" s="423"/>
    </row>
    <row r="1118">
      <c r="A1118" s="564">
        <v>1116.0</v>
      </c>
      <c r="B1118" s="565" t="s">
        <v>6211</v>
      </c>
      <c r="C1118" s="565" t="s">
        <v>6199</v>
      </c>
      <c r="D1118" s="564">
        <v>0.0</v>
      </c>
      <c r="E1118" s="564">
        <v>0.0</v>
      </c>
      <c r="F1118" s="564">
        <v>0.0</v>
      </c>
      <c r="G1118" s="564">
        <v>8.0</v>
      </c>
      <c r="H1118" s="564">
        <v>0.0</v>
      </c>
      <c r="I1118" s="423"/>
      <c r="J1118" s="423"/>
      <c r="K1118" s="423"/>
      <c r="L1118" s="423"/>
      <c r="M1118" s="423"/>
      <c r="N1118" s="423"/>
      <c r="O1118" s="423"/>
      <c r="P1118" s="423"/>
      <c r="Q1118" s="423"/>
      <c r="R1118" s="423"/>
      <c r="S1118" s="423"/>
      <c r="T1118" s="423"/>
      <c r="U1118" s="423"/>
      <c r="V1118" s="423"/>
      <c r="W1118" s="423"/>
      <c r="X1118" s="423"/>
      <c r="Y1118" s="423"/>
      <c r="Z1118" s="423"/>
    </row>
    <row r="1119">
      <c r="A1119" s="562">
        <v>1117.0</v>
      </c>
      <c r="B1119" s="563" t="s">
        <v>6212</v>
      </c>
      <c r="C1119" s="563" t="s">
        <v>6199</v>
      </c>
      <c r="D1119" s="562">
        <v>0.0</v>
      </c>
      <c r="E1119" s="562">
        <v>0.0</v>
      </c>
      <c r="F1119" s="562">
        <v>0.0</v>
      </c>
      <c r="G1119" s="562">
        <v>8.0</v>
      </c>
      <c r="H1119" s="562">
        <v>0.0</v>
      </c>
      <c r="I1119" s="423"/>
      <c r="J1119" s="423"/>
      <c r="K1119" s="423"/>
      <c r="L1119" s="423"/>
      <c r="M1119" s="423"/>
      <c r="N1119" s="423"/>
      <c r="O1119" s="423"/>
      <c r="P1119" s="423"/>
      <c r="Q1119" s="423"/>
      <c r="R1119" s="423"/>
      <c r="S1119" s="423"/>
      <c r="T1119" s="423"/>
      <c r="U1119" s="423"/>
      <c r="V1119" s="423"/>
      <c r="W1119" s="423"/>
      <c r="X1119" s="423"/>
      <c r="Y1119" s="423"/>
      <c r="Z1119" s="423"/>
    </row>
    <row r="1120">
      <c r="A1120" s="564">
        <v>1118.0</v>
      </c>
      <c r="B1120" s="565" t="s">
        <v>6213</v>
      </c>
      <c r="C1120" s="565" t="s">
        <v>6199</v>
      </c>
      <c r="D1120" s="564">
        <v>0.0</v>
      </c>
      <c r="E1120" s="564">
        <v>0.0</v>
      </c>
      <c r="F1120" s="564">
        <v>0.0</v>
      </c>
      <c r="G1120" s="564">
        <v>8.0</v>
      </c>
      <c r="H1120" s="564">
        <v>0.0</v>
      </c>
      <c r="I1120" s="423"/>
      <c r="J1120" s="423"/>
      <c r="K1120" s="423"/>
      <c r="L1120" s="423"/>
      <c r="M1120" s="423"/>
      <c r="N1120" s="423"/>
      <c r="O1120" s="423"/>
      <c r="P1120" s="423"/>
      <c r="Q1120" s="423"/>
      <c r="R1120" s="423"/>
      <c r="S1120" s="423"/>
      <c r="T1120" s="423"/>
      <c r="U1120" s="423"/>
      <c r="V1120" s="423"/>
      <c r="W1120" s="423"/>
      <c r="X1120" s="423"/>
      <c r="Y1120" s="423"/>
      <c r="Z1120" s="423"/>
    </row>
    <row r="1121">
      <c r="A1121" s="562">
        <v>1119.0</v>
      </c>
      <c r="B1121" s="563" t="s">
        <v>6214</v>
      </c>
      <c r="C1121" s="563" t="s">
        <v>6199</v>
      </c>
      <c r="D1121" s="562">
        <v>0.0</v>
      </c>
      <c r="E1121" s="562">
        <v>0.0</v>
      </c>
      <c r="F1121" s="562">
        <v>0.0</v>
      </c>
      <c r="G1121" s="562">
        <v>8.0</v>
      </c>
      <c r="H1121" s="562">
        <v>0.0</v>
      </c>
      <c r="I1121" s="423"/>
      <c r="J1121" s="423"/>
      <c r="K1121" s="423"/>
      <c r="L1121" s="423"/>
      <c r="M1121" s="423"/>
      <c r="N1121" s="423"/>
      <c r="O1121" s="423"/>
      <c r="P1121" s="423"/>
      <c r="Q1121" s="423"/>
      <c r="R1121" s="423"/>
      <c r="S1121" s="423"/>
      <c r="T1121" s="423"/>
      <c r="U1121" s="423"/>
      <c r="V1121" s="423"/>
      <c r="W1121" s="423"/>
      <c r="X1121" s="423"/>
      <c r="Y1121" s="423"/>
      <c r="Z1121" s="423"/>
    </row>
    <row r="1122">
      <c r="A1122" s="564">
        <v>1120.0</v>
      </c>
      <c r="B1122" s="565" t="s">
        <v>6215</v>
      </c>
      <c r="C1122" s="565" t="s">
        <v>6199</v>
      </c>
      <c r="D1122" s="564">
        <v>0.0</v>
      </c>
      <c r="E1122" s="564">
        <v>0.0</v>
      </c>
      <c r="F1122" s="564">
        <v>0.0</v>
      </c>
      <c r="G1122" s="564">
        <v>8.0</v>
      </c>
      <c r="H1122" s="564">
        <v>0.0</v>
      </c>
      <c r="I1122" s="423"/>
      <c r="J1122" s="423"/>
      <c r="K1122" s="423"/>
      <c r="L1122" s="423"/>
      <c r="M1122" s="423"/>
      <c r="N1122" s="423"/>
      <c r="O1122" s="423"/>
      <c r="P1122" s="423"/>
      <c r="Q1122" s="423"/>
      <c r="R1122" s="423"/>
      <c r="S1122" s="423"/>
      <c r="T1122" s="423"/>
      <c r="U1122" s="423"/>
      <c r="V1122" s="423"/>
      <c r="W1122" s="423"/>
      <c r="X1122" s="423"/>
      <c r="Y1122" s="423"/>
      <c r="Z1122" s="423"/>
    </row>
    <row r="1123">
      <c r="A1123" s="562">
        <v>1121.0</v>
      </c>
      <c r="B1123" s="563" t="s">
        <v>6216</v>
      </c>
      <c r="C1123" s="563" t="s">
        <v>6199</v>
      </c>
      <c r="D1123" s="562">
        <v>0.0</v>
      </c>
      <c r="E1123" s="562">
        <v>0.0</v>
      </c>
      <c r="F1123" s="562">
        <v>0.0</v>
      </c>
      <c r="G1123" s="562">
        <v>8.0</v>
      </c>
      <c r="H1123" s="562">
        <v>0.0</v>
      </c>
      <c r="I1123" s="423"/>
      <c r="J1123" s="423"/>
      <c r="K1123" s="423"/>
      <c r="L1123" s="423"/>
      <c r="M1123" s="423"/>
      <c r="N1123" s="423"/>
      <c r="O1123" s="423"/>
      <c r="P1123" s="423"/>
      <c r="Q1123" s="423"/>
      <c r="R1123" s="423"/>
      <c r="S1123" s="423"/>
      <c r="T1123" s="423"/>
      <c r="U1123" s="423"/>
      <c r="V1123" s="423"/>
      <c r="W1123" s="423"/>
      <c r="X1123" s="423"/>
      <c r="Y1123" s="423"/>
      <c r="Z1123" s="423"/>
    </row>
    <row r="1124">
      <c r="A1124" s="564">
        <v>1122.0</v>
      </c>
      <c r="B1124" s="565" t="s">
        <v>6217</v>
      </c>
      <c r="C1124" s="565" t="s">
        <v>6199</v>
      </c>
      <c r="D1124" s="564">
        <v>0.0</v>
      </c>
      <c r="E1124" s="564">
        <v>0.0</v>
      </c>
      <c r="F1124" s="564">
        <v>0.0</v>
      </c>
      <c r="G1124" s="564">
        <v>8.0</v>
      </c>
      <c r="H1124" s="564">
        <v>0.0</v>
      </c>
      <c r="I1124" s="423"/>
      <c r="J1124" s="423"/>
      <c r="K1124" s="423"/>
      <c r="L1124" s="423"/>
      <c r="M1124" s="423"/>
      <c r="N1124" s="423"/>
      <c r="O1124" s="423"/>
      <c r="P1124" s="423"/>
      <c r="Q1124" s="423"/>
      <c r="R1124" s="423"/>
      <c r="S1124" s="423"/>
      <c r="T1124" s="423"/>
      <c r="U1124" s="423"/>
      <c r="V1124" s="423"/>
      <c r="W1124" s="423"/>
      <c r="X1124" s="423"/>
      <c r="Y1124" s="423"/>
      <c r="Z1124" s="423"/>
    </row>
    <row r="1125">
      <c r="A1125" s="562">
        <v>1123.0</v>
      </c>
      <c r="B1125" s="563" t="s">
        <v>6218</v>
      </c>
      <c r="C1125" s="563" t="s">
        <v>6199</v>
      </c>
      <c r="D1125" s="562">
        <v>0.0</v>
      </c>
      <c r="E1125" s="562">
        <v>0.0</v>
      </c>
      <c r="F1125" s="562">
        <v>0.0</v>
      </c>
      <c r="G1125" s="562">
        <v>8.0</v>
      </c>
      <c r="H1125" s="562">
        <v>0.0</v>
      </c>
      <c r="I1125" s="423"/>
      <c r="J1125" s="423"/>
      <c r="K1125" s="423"/>
      <c r="L1125" s="423"/>
      <c r="M1125" s="423"/>
      <c r="N1125" s="423"/>
      <c r="O1125" s="423"/>
      <c r="P1125" s="423"/>
      <c r="Q1125" s="423"/>
      <c r="R1125" s="423"/>
      <c r="S1125" s="423"/>
      <c r="T1125" s="423"/>
      <c r="U1125" s="423"/>
      <c r="V1125" s="423"/>
      <c r="W1125" s="423"/>
      <c r="X1125" s="423"/>
      <c r="Y1125" s="423"/>
      <c r="Z1125" s="423"/>
    </row>
    <row r="1126">
      <c r="A1126" s="564">
        <v>1124.0</v>
      </c>
      <c r="B1126" s="565" t="s">
        <v>6219</v>
      </c>
      <c r="C1126" s="565" t="s">
        <v>6199</v>
      </c>
      <c r="D1126" s="564">
        <v>0.0</v>
      </c>
      <c r="E1126" s="564">
        <v>0.0</v>
      </c>
      <c r="F1126" s="564">
        <v>0.0</v>
      </c>
      <c r="G1126" s="564">
        <v>8.0</v>
      </c>
      <c r="H1126" s="564">
        <v>0.0</v>
      </c>
      <c r="I1126" s="423"/>
      <c r="J1126" s="423"/>
      <c r="K1126" s="423"/>
      <c r="L1126" s="423"/>
      <c r="M1126" s="423"/>
      <c r="N1126" s="423"/>
      <c r="O1126" s="423"/>
      <c r="P1126" s="423"/>
      <c r="Q1126" s="423"/>
      <c r="R1126" s="423"/>
      <c r="S1126" s="423"/>
      <c r="T1126" s="423"/>
      <c r="U1126" s="423"/>
      <c r="V1126" s="423"/>
      <c r="W1126" s="423"/>
      <c r="X1126" s="423"/>
      <c r="Y1126" s="423"/>
      <c r="Z1126" s="423"/>
    </row>
    <row r="1127">
      <c r="A1127" s="562">
        <v>1125.0</v>
      </c>
      <c r="B1127" s="563" t="s">
        <v>6220</v>
      </c>
      <c r="C1127" s="563" t="s">
        <v>6199</v>
      </c>
      <c r="D1127" s="562">
        <v>0.0</v>
      </c>
      <c r="E1127" s="562">
        <v>0.0</v>
      </c>
      <c r="F1127" s="562">
        <v>0.0</v>
      </c>
      <c r="G1127" s="562">
        <v>8.0</v>
      </c>
      <c r="H1127" s="562">
        <v>0.0</v>
      </c>
      <c r="I1127" s="423"/>
      <c r="J1127" s="423"/>
      <c r="K1127" s="423"/>
      <c r="L1127" s="423"/>
      <c r="M1127" s="423"/>
      <c r="N1127" s="423"/>
      <c r="O1127" s="423"/>
      <c r="P1127" s="423"/>
      <c r="Q1127" s="423"/>
      <c r="R1127" s="423"/>
      <c r="S1127" s="423"/>
      <c r="T1127" s="423"/>
      <c r="U1127" s="423"/>
      <c r="V1127" s="423"/>
      <c r="W1127" s="423"/>
      <c r="X1127" s="423"/>
      <c r="Y1127" s="423"/>
      <c r="Z1127" s="423"/>
    </row>
    <row r="1128">
      <c r="A1128" s="564">
        <v>1126.0</v>
      </c>
      <c r="B1128" s="565" t="s">
        <v>6221</v>
      </c>
      <c r="C1128" s="565" t="s">
        <v>6199</v>
      </c>
      <c r="D1128" s="564">
        <v>0.0</v>
      </c>
      <c r="E1128" s="564">
        <v>0.0</v>
      </c>
      <c r="F1128" s="564">
        <v>0.0</v>
      </c>
      <c r="G1128" s="564">
        <v>8.0</v>
      </c>
      <c r="H1128" s="564">
        <v>0.0</v>
      </c>
      <c r="I1128" s="423"/>
      <c r="J1128" s="423"/>
      <c r="K1128" s="423"/>
      <c r="L1128" s="423"/>
      <c r="M1128" s="423"/>
      <c r="N1128" s="423"/>
      <c r="O1128" s="423"/>
      <c r="P1128" s="423"/>
      <c r="Q1128" s="423"/>
      <c r="R1128" s="423"/>
      <c r="S1128" s="423"/>
      <c r="T1128" s="423"/>
      <c r="U1128" s="423"/>
      <c r="V1128" s="423"/>
      <c r="W1128" s="423"/>
      <c r="X1128" s="423"/>
      <c r="Y1128" s="423"/>
      <c r="Z1128" s="423"/>
    </row>
    <row r="1129">
      <c r="A1129" s="562">
        <v>1127.0</v>
      </c>
      <c r="B1129" s="563" t="s">
        <v>6222</v>
      </c>
      <c r="C1129" s="563" t="s">
        <v>6199</v>
      </c>
      <c r="D1129" s="562">
        <v>0.0</v>
      </c>
      <c r="E1129" s="562">
        <v>0.0</v>
      </c>
      <c r="F1129" s="562">
        <v>0.0</v>
      </c>
      <c r="G1129" s="562">
        <v>8.0</v>
      </c>
      <c r="H1129" s="562">
        <v>0.0</v>
      </c>
      <c r="I1129" s="423"/>
      <c r="J1129" s="423"/>
      <c r="K1129" s="423"/>
      <c r="L1129" s="423"/>
      <c r="M1129" s="423"/>
      <c r="N1129" s="423"/>
      <c r="O1129" s="423"/>
      <c r="P1129" s="423"/>
      <c r="Q1129" s="423"/>
      <c r="R1129" s="423"/>
      <c r="S1129" s="423"/>
      <c r="T1129" s="423"/>
      <c r="U1129" s="423"/>
      <c r="V1129" s="423"/>
      <c r="W1129" s="423"/>
      <c r="X1129" s="423"/>
      <c r="Y1129" s="423"/>
      <c r="Z1129" s="423"/>
    </row>
    <row r="1130">
      <c r="A1130" s="564">
        <v>1128.0</v>
      </c>
      <c r="B1130" s="565" t="s">
        <v>6223</v>
      </c>
      <c r="C1130" s="565" t="s">
        <v>6199</v>
      </c>
      <c r="D1130" s="564">
        <v>0.0</v>
      </c>
      <c r="E1130" s="564">
        <v>0.0</v>
      </c>
      <c r="F1130" s="564">
        <v>0.0</v>
      </c>
      <c r="G1130" s="564">
        <v>8.0</v>
      </c>
      <c r="H1130" s="564">
        <v>0.0</v>
      </c>
      <c r="I1130" s="423"/>
      <c r="J1130" s="423"/>
      <c r="K1130" s="423"/>
      <c r="L1130" s="423"/>
      <c r="M1130" s="423"/>
      <c r="N1130" s="423"/>
      <c r="O1130" s="423"/>
      <c r="P1130" s="423"/>
      <c r="Q1130" s="423"/>
      <c r="R1130" s="423"/>
      <c r="S1130" s="423"/>
      <c r="T1130" s="423"/>
      <c r="U1130" s="423"/>
      <c r="V1130" s="423"/>
      <c r="W1130" s="423"/>
      <c r="X1130" s="423"/>
      <c r="Y1130" s="423"/>
      <c r="Z1130" s="423"/>
    </row>
    <row r="1131">
      <c r="A1131" s="562">
        <v>1129.0</v>
      </c>
      <c r="B1131" s="563" t="s">
        <v>6224</v>
      </c>
      <c r="C1131" s="563" t="s">
        <v>6199</v>
      </c>
      <c r="D1131" s="562">
        <v>0.0</v>
      </c>
      <c r="E1131" s="562">
        <v>0.0</v>
      </c>
      <c r="F1131" s="562">
        <v>0.0</v>
      </c>
      <c r="G1131" s="562">
        <v>8.0</v>
      </c>
      <c r="H1131" s="562">
        <v>0.0</v>
      </c>
      <c r="I1131" s="423"/>
      <c r="J1131" s="423"/>
      <c r="K1131" s="423"/>
      <c r="L1131" s="423"/>
      <c r="M1131" s="423"/>
      <c r="N1131" s="423"/>
      <c r="O1131" s="423"/>
      <c r="P1131" s="423"/>
      <c r="Q1131" s="423"/>
      <c r="R1131" s="423"/>
      <c r="S1131" s="423"/>
      <c r="T1131" s="423"/>
      <c r="U1131" s="423"/>
      <c r="V1131" s="423"/>
      <c r="W1131" s="423"/>
      <c r="X1131" s="423"/>
      <c r="Y1131" s="423"/>
      <c r="Z1131" s="423"/>
    </row>
    <row r="1132">
      <c r="A1132" s="564">
        <v>1130.0</v>
      </c>
      <c r="B1132" s="565" t="s">
        <v>6225</v>
      </c>
      <c r="C1132" s="565" t="s">
        <v>6199</v>
      </c>
      <c r="D1132" s="564">
        <v>0.0</v>
      </c>
      <c r="E1132" s="564">
        <v>0.0</v>
      </c>
      <c r="F1132" s="564">
        <v>0.0</v>
      </c>
      <c r="G1132" s="564">
        <v>8.0</v>
      </c>
      <c r="H1132" s="564">
        <v>0.0</v>
      </c>
      <c r="I1132" s="423"/>
      <c r="J1132" s="423"/>
      <c r="K1132" s="423"/>
      <c r="L1132" s="423"/>
      <c r="M1132" s="423"/>
      <c r="N1132" s="423"/>
      <c r="O1132" s="423"/>
      <c r="P1132" s="423"/>
      <c r="Q1132" s="423"/>
      <c r="R1132" s="423"/>
      <c r="S1132" s="423"/>
      <c r="T1132" s="423"/>
      <c r="U1132" s="423"/>
      <c r="V1132" s="423"/>
      <c r="W1132" s="423"/>
      <c r="X1132" s="423"/>
      <c r="Y1132" s="423"/>
      <c r="Z1132" s="423"/>
    </row>
    <row r="1133">
      <c r="A1133" s="562">
        <v>1131.0</v>
      </c>
      <c r="B1133" s="563" t="s">
        <v>6226</v>
      </c>
      <c r="C1133" s="563" t="s">
        <v>6199</v>
      </c>
      <c r="D1133" s="562">
        <v>0.0</v>
      </c>
      <c r="E1133" s="562">
        <v>0.0</v>
      </c>
      <c r="F1133" s="562">
        <v>0.0</v>
      </c>
      <c r="G1133" s="562">
        <v>8.0</v>
      </c>
      <c r="H1133" s="562">
        <v>0.0</v>
      </c>
      <c r="I1133" s="423"/>
      <c r="J1133" s="423"/>
      <c r="K1133" s="423"/>
      <c r="L1133" s="423"/>
      <c r="M1133" s="423"/>
      <c r="N1133" s="423"/>
      <c r="O1133" s="423"/>
      <c r="P1133" s="423"/>
      <c r="Q1133" s="423"/>
      <c r="R1133" s="423"/>
      <c r="S1133" s="423"/>
      <c r="T1133" s="423"/>
      <c r="U1133" s="423"/>
      <c r="V1133" s="423"/>
      <c r="W1133" s="423"/>
      <c r="X1133" s="423"/>
      <c r="Y1133" s="423"/>
      <c r="Z1133" s="423"/>
    </row>
    <row r="1134">
      <c r="A1134" s="564">
        <v>1132.0</v>
      </c>
      <c r="B1134" s="565" t="s">
        <v>6227</v>
      </c>
      <c r="C1134" s="565" t="s">
        <v>6199</v>
      </c>
      <c r="D1134" s="564">
        <v>0.0</v>
      </c>
      <c r="E1134" s="564">
        <v>0.0</v>
      </c>
      <c r="F1134" s="564">
        <v>0.0</v>
      </c>
      <c r="G1134" s="564">
        <v>8.0</v>
      </c>
      <c r="H1134" s="564">
        <v>0.0</v>
      </c>
      <c r="I1134" s="423"/>
      <c r="J1134" s="423"/>
      <c r="K1134" s="423"/>
      <c r="L1134" s="423"/>
      <c r="M1134" s="423"/>
      <c r="N1134" s="423"/>
      <c r="O1134" s="423"/>
      <c r="P1134" s="423"/>
      <c r="Q1134" s="423"/>
      <c r="R1134" s="423"/>
      <c r="S1134" s="423"/>
      <c r="T1134" s="423"/>
      <c r="U1134" s="423"/>
      <c r="V1134" s="423"/>
      <c r="W1134" s="423"/>
      <c r="X1134" s="423"/>
      <c r="Y1134" s="423"/>
      <c r="Z1134" s="423"/>
    </row>
    <row r="1135">
      <c r="A1135" s="562">
        <v>1133.0</v>
      </c>
      <c r="B1135" s="563" t="s">
        <v>6228</v>
      </c>
      <c r="C1135" s="563" t="s">
        <v>6199</v>
      </c>
      <c r="D1135" s="562">
        <v>0.0</v>
      </c>
      <c r="E1135" s="562">
        <v>0.0</v>
      </c>
      <c r="F1135" s="562">
        <v>0.0</v>
      </c>
      <c r="G1135" s="562">
        <v>8.0</v>
      </c>
      <c r="H1135" s="562">
        <v>0.0</v>
      </c>
      <c r="I1135" s="423"/>
      <c r="J1135" s="423"/>
      <c r="K1135" s="423"/>
      <c r="L1135" s="423"/>
      <c r="M1135" s="423"/>
      <c r="N1135" s="423"/>
      <c r="O1135" s="423"/>
      <c r="P1135" s="423"/>
      <c r="Q1135" s="423"/>
      <c r="R1135" s="423"/>
      <c r="S1135" s="423"/>
      <c r="T1135" s="423"/>
      <c r="U1135" s="423"/>
      <c r="V1135" s="423"/>
      <c r="W1135" s="423"/>
      <c r="X1135" s="423"/>
      <c r="Y1135" s="423"/>
      <c r="Z1135" s="423"/>
    </row>
    <row r="1136">
      <c r="A1136" s="564">
        <v>1134.0</v>
      </c>
      <c r="B1136" s="565" t="s">
        <v>6229</v>
      </c>
      <c r="C1136" s="565" t="s">
        <v>6199</v>
      </c>
      <c r="D1136" s="564">
        <v>0.0</v>
      </c>
      <c r="E1136" s="564">
        <v>0.0</v>
      </c>
      <c r="F1136" s="564">
        <v>0.0</v>
      </c>
      <c r="G1136" s="564">
        <v>8.0</v>
      </c>
      <c r="H1136" s="564">
        <v>0.0</v>
      </c>
      <c r="I1136" s="423"/>
      <c r="J1136" s="423"/>
      <c r="K1136" s="423"/>
      <c r="L1136" s="423"/>
      <c r="M1136" s="423"/>
      <c r="N1136" s="423"/>
      <c r="O1136" s="423"/>
      <c r="P1136" s="423"/>
      <c r="Q1136" s="423"/>
      <c r="R1136" s="423"/>
      <c r="S1136" s="423"/>
      <c r="T1136" s="423"/>
      <c r="U1136" s="423"/>
      <c r="V1136" s="423"/>
      <c r="W1136" s="423"/>
      <c r="X1136" s="423"/>
      <c r="Y1136" s="423"/>
      <c r="Z1136" s="423"/>
    </row>
    <row r="1137">
      <c r="A1137" s="562">
        <v>1135.0</v>
      </c>
      <c r="B1137" s="563" t="s">
        <v>6230</v>
      </c>
      <c r="C1137" s="563" t="s">
        <v>6199</v>
      </c>
      <c r="D1137" s="562">
        <v>0.0</v>
      </c>
      <c r="E1137" s="562">
        <v>0.0</v>
      </c>
      <c r="F1137" s="562">
        <v>0.0</v>
      </c>
      <c r="G1137" s="562">
        <v>8.0</v>
      </c>
      <c r="H1137" s="562">
        <v>0.0</v>
      </c>
      <c r="I1137" s="423"/>
      <c r="J1137" s="423"/>
      <c r="K1137" s="423"/>
      <c r="L1137" s="423"/>
      <c r="M1137" s="423"/>
      <c r="N1137" s="423"/>
      <c r="O1137" s="423"/>
      <c r="P1137" s="423"/>
      <c r="Q1137" s="423"/>
      <c r="R1137" s="423"/>
      <c r="S1137" s="423"/>
      <c r="T1137" s="423"/>
      <c r="U1137" s="423"/>
      <c r="V1137" s="423"/>
      <c r="W1137" s="423"/>
      <c r="X1137" s="423"/>
      <c r="Y1137" s="423"/>
      <c r="Z1137" s="423"/>
    </row>
    <row r="1138">
      <c r="A1138" s="564">
        <v>1136.0</v>
      </c>
      <c r="B1138" s="565" t="s">
        <v>6231</v>
      </c>
      <c r="C1138" s="565" t="s">
        <v>6199</v>
      </c>
      <c r="D1138" s="564">
        <v>0.0</v>
      </c>
      <c r="E1138" s="564">
        <v>0.0</v>
      </c>
      <c r="F1138" s="564">
        <v>0.0</v>
      </c>
      <c r="G1138" s="564">
        <v>8.0</v>
      </c>
      <c r="H1138" s="564">
        <v>0.0</v>
      </c>
      <c r="I1138" s="423"/>
      <c r="J1138" s="423"/>
      <c r="K1138" s="423"/>
      <c r="L1138" s="423"/>
      <c r="M1138" s="423"/>
      <c r="N1138" s="423"/>
      <c r="O1138" s="423"/>
      <c r="P1138" s="423"/>
      <c r="Q1138" s="423"/>
      <c r="R1138" s="423"/>
      <c r="S1138" s="423"/>
      <c r="T1138" s="423"/>
      <c r="U1138" s="423"/>
      <c r="V1138" s="423"/>
      <c r="W1138" s="423"/>
      <c r="X1138" s="423"/>
      <c r="Y1138" s="423"/>
      <c r="Z1138" s="423"/>
    </row>
    <row r="1139">
      <c r="A1139" s="562">
        <v>1137.0</v>
      </c>
      <c r="B1139" s="563" t="s">
        <v>6232</v>
      </c>
      <c r="C1139" s="563" t="s">
        <v>6199</v>
      </c>
      <c r="D1139" s="562">
        <v>0.0</v>
      </c>
      <c r="E1139" s="562">
        <v>0.0</v>
      </c>
      <c r="F1139" s="562">
        <v>0.0</v>
      </c>
      <c r="G1139" s="562">
        <v>8.0</v>
      </c>
      <c r="H1139" s="562">
        <v>0.0</v>
      </c>
      <c r="I1139" s="423"/>
      <c r="J1139" s="423"/>
      <c r="K1139" s="423"/>
      <c r="L1139" s="423"/>
      <c r="M1139" s="423"/>
      <c r="N1139" s="423"/>
      <c r="O1139" s="423"/>
      <c r="P1139" s="423"/>
      <c r="Q1139" s="423"/>
      <c r="R1139" s="423"/>
      <c r="S1139" s="423"/>
      <c r="T1139" s="423"/>
      <c r="U1139" s="423"/>
      <c r="V1139" s="423"/>
      <c r="W1139" s="423"/>
      <c r="X1139" s="423"/>
      <c r="Y1139" s="423"/>
      <c r="Z1139" s="423"/>
    </row>
    <row r="1140">
      <c r="A1140" s="564">
        <v>1138.0</v>
      </c>
      <c r="B1140" s="565" t="s">
        <v>6233</v>
      </c>
      <c r="C1140" s="565" t="s">
        <v>6199</v>
      </c>
      <c r="D1140" s="564">
        <v>0.0</v>
      </c>
      <c r="E1140" s="564">
        <v>0.0</v>
      </c>
      <c r="F1140" s="564">
        <v>0.0</v>
      </c>
      <c r="G1140" s="564">
        <v>8.0</v>
      </c>
      <c r="H1140" s="564">
        <v>0.0</v>
      </c>
      <c r="I1140" s="423"/>
      <c r="J1140" s="423"/>
      <c r="K1140" s="423"/>
      <c r="L1140" s="423"/>
      <c r="M1140" s="423"/>
      <c r="N1140" s="423"/>
      <c r="O1140" s="423"/>
      <c r="P1140" s="423"/>
      <c r="Q1140" s="423"/>
      <c r="R1140" s="423"/>
      <c r="S1140" s="423"/>
      <c r="T1140" s="423"/>
      <c r="U1140" s="423"/>
      <c r="V1140" s="423"/>
      <c r="W1140" s="423"/>
      <c r="X1140" s="423"/>
      <c r="Y1140" s="423"/>
      <c r="Z1140" s="423"/>
    </row>
    <row r="1141">
      <c r="A1141" s="562">
        <v>1139.0</v>
      </c>
      <c r="B1141" s="563" t="s">
        <v>6234</v>
      </c>
      <c r="C1141" s="563" t="s">
        <v>6235</v>
      </c>
      <c r="D1141" s="562">
        <v>0.0</v>
      </c>
      <c r="E1141" s="562">
        <v>0.0</v>
      </c>
      <c r="F1141" s="562">
        <v>0.0</v>
      </c>
      <c r="G1141" s="562">
        <v>8.0</v>
      </c>
      <c r="H1141" s="562">
        <v>0.0</v>
      </c>
      <c r="I1141" s="423"/>
      <c r="J1141" s="423"/>
      <c r="K1141" s="423"/>
      <c r="L1141" s="423"/>
      <c r="M1141" s="423"/>
      <c r="N1141" s="423"/>
      <c r="O1141" s="423"/>
      <c r="P1141" s="423"/>
      <c r="Q1141" s="423"/>
      <c r="R1141" s="423"/>
      <c r="S1141" s="423"/>
      <c r="T1141" s="423"/>
      <c r="U1141" s="423"/>
      <c r="V1141" s="423"/>
      <c r="W1141" s="423"/>
      <c r="X1141" s="423"/>
      <c r="Y1141" s="423"/>
      <c r="Z1141" s="423"/>
    </row>
    <row r="1142">
      <c r="A1142" s="564">
        <v>1140.0</v>
      </c>
      <c r="B1142" s="565" t="s">
        <v>6236</v>
      </c>
      <c r="C1142" s="565" t="s">
        <v>6235</v>
      </c>
      <c r="D1142" s="564">
        <v>0.0</v>
      </c>
      <c r="E1142" s="564">
        <v>0.0</v>
      </c>
      <c r="F1142" s="564">
        <v>0.0</v>
      </c>
      <c r="G1142" s="564">
        <v>8.0</v>
      </c>
      <c r="H1142" s="564">
        <v>0.0</v>
      </c>
      <c r="I1142" s="423"/>
      <c r="J1142" s="423"/>
      <c r="K1142" s="423"/>
      <c r="L1142" s="423"/>
      <c r="M1142" s="423"/>
      <c r="N1142" s="423"/>
      <c r="O1142" s="423"/>
      <c r="P1142" s="423"/>
      <c r="Q1142" s="423"/>
      <c r="R1142" s="423"/>
      <c r="S1142" s="423"/>
      <c r="T1142" s="423"/>
      <c r="U1142" s="423"/>
      <c r="V1142" s="423"/>
      <c r="W1142" s="423"/>
      <c r="X1142" s="423"/>
      <c r="Y1142" s="423"/>
      <c r="Z1142" s="423"/>
    </row>
    <row r="1143">
      <c r="A1143" s="562">
        <v>1141.0</v>
      </c>
      <c r="B1143" s="563" t="s">
        <v>6237</v>
      </c>
      <c r="C1143" s="563" t="s">
        <v>6235</v>
      </c>
      <c r="D1143" s="562">
        <v>0.0</v>
      </c>
      <c r="E1143" s="562">
        <v>0.0</v>
      </c>
      <c r="F1143" s="562">
        <v>0.0</v>
      </c>
      <c r="G1143" s="562">
        <v>8.0</v>
      </c>
      <c r="H1143" s="562">
        <v>0.0</v>
      </c>
      <c r="I1143" s="423"/>
      <c r="J1143" s="423"/>
      <c r="K1143" s="423"/>
      <c r="L1143" s="423"/>
      <c r="M1143" s="423"/>
      <c r="N1143" s="423"/>
      <c r="O1143" s="423"/>
      <c r="P1143" s="423"/>
      <c r="Q1143" s="423"/>
      <c r="R1143" s="423"/>
      <c r="S1143" s="423"/>
      <c r="T1143" s="423"/>
      <c r="U1143" s="423"/>
      <c r="V1143" s="423"/>
      <c r="W1143" s="423"/>
      <c r="X1143" s="423"/>
      <c r="Y1143" s="423"/>
      <c r="Z1143" s="423"/>
    </row>
    <row r="1144">
      <c r="A1144" s="564">
        <v>1142.0</v>
      </c>
      <c r="B1144" s="565" t="s">
        <v>6238</v>
      </c>
      <c r="C1144" s="565" t="s">
        <v>6235</v>
      </c>
      <c r="D1144" s="564">
        <v>0.0</v>
      </c>
      <c r="E1144" s="564">
        <v>0.0</v>
      </c>
      <c r="F1144" s="564">
        <v>0.0</v>
      </c>
      <c r="G1144" s="564">
        <v>8.0</v>
      </c>
      <c r="H1144" s="564">
        <v>0.0</v>
      </c>
      <c r="I1144" s="423"/>
      <c r="J1144" s="423"/>
      <c r="K1144" s="423"/>
      <c r="L1144" s="423"/>
      <c r="M1144" s="423"/>
      <c r="N1144" s="423"/>
      <c r="O1144" s="423"/>
      <c r="P1144" s="423"/>
      <c r="Q1144" s="423"/>
      <c r="R1144" s="423"/>
      <c r="S1144" s="423"/>
      <c r="T1144" s="423"/>
      <c r="U1144" s="423"/>
      <c r="V1144" s="423"/>
      <c r="W1144" s="423"/>
      <c r="X1144" s="423"/>
      <c r="Y1144" s="423"/>
      <c r="Z1144" s="423"/>
    </row>
    <row r="1145">
      <c r="A1145" s="562">
        <v>1143.0</v>
      </c>
      <c r="B1145" s="563" t="s">
        <v>6239</v>
      </c>
      <c r="C1145" s="563" t="s">
        <v>6235</v>
      </c>
      <c r="D1145" s="562">
        <v>0.0</v>
      </c>
      <c r="E1145" s="562">
        <v>0.0</v>
      </c>
      <c r="F1145" s="562">
        <v>0.0</v>
      </c>
      <c r="G1145" s="562">
        <v>8.0</v>
      </c>
      <c r="H1145" s="562">
        <v>0.0</v>
      </c>
      <c r="I1145" s="423"/>
      <c r="J1145" s="423"/>
      <c r="K1145" s="423"/>
      <c r="L1145" s="423"/>
      <c r="M1145" s="423"/>
      <c r="N1145" s="423"/>
      <c r="O1145" s="423"/>
      <c r="P1145" s="423"/>
      <c r="Q1145" s="423"/>
      <c r="R1145" s="423"/>
      <c r="S1145" s="423"/>
      <c r="T1145" s="423"/>
      <c r="U1145" s="423"/>
      <c r="V1145" s="423"/>
      <c r="W1145" s="423"/>
      <c r="X1145" s="423"/>
      <c r="Y1145" s="423"/>
      <c r="Z1145" s="423"/>
    </row>
    <row r="1146">
      <c r="A1146" s="564">
        <v>1144.0</v>
      </c>
      <c r="B1146" s="565" t="s">
        <v>6240</v>
      </c>
      <c r="C1146" s="565" t="s">
        <v>6235</v>
      </c>
      <c r="D1146" s="564">
        <v>0.0</v>
      </c>
      <c r="E1146" s="564">
        <v>0.0</v>
      </c>
      <c r="F1146" s="564">
        <v>0.0</v>
      </c>
      <c r="G1146" s="564">
        <v>8.0</v>
      </c>
      <c r="H1146" s="564">
        <v>0.0</v>
      </c>
      <c r="I1146" s="423"/>
      <c r="J1146" s="423"/>
      <c r="K1146" s="423"/>
      <c r="L1146" s="423"/>
      <c r="M1146" s="423"/>
      <c r="N1146" s="423"/>
      <c r="O1146" s="423"/>
      <c r="P1146" s="423"/>
      <c r="Q1146" s="423"/>
      <c r="R1146" s="423"/>
      <c r="S1146" s="423"/>
      <c r="T1146" s="423"/>
      <c r="U1146" s="423"/>
      <c r="V1146" s="423"/>
      <c r="W1146" s="423"/>
      <c r="X1146" s="423"/>
      <c r="Y1146" s="423"/>
      <c r="Z1146" s="423"/>
    </row>
    <row r="1147">
      <c r="A1147" s="562">
        <v>1145.0</v>
      </c>
      <c r="B1147" s="563" t="s">
        <v>6241</v>
      </c>
      <c r="C1147" s="563" t="s">
        <v>6235</v>
      </c>
      <c r="D1147" s="562">
        <v>0.0</v>
      </c>
      <c r="E1147" s="562">
        <v>0.0</v>
      </c>
      <c r="F1147" s="562">
        <v>0.0</v>
      </c>
      <c r="G1147" s="562">
        <v>8.0</v>
      </c>
      <c r="H1147" s="562">
        <v>0.0</v>
      </c>
      <c r="I1147" s="423"/>
      <c r="J1147" s="423"/>
      <c r="K1147" s="423"/>
      <c r="L1147" s="423"/>
      <c r="M1147" s="423"/>
      <c r="N1147" s="423"/>
      <c r="O1147" s="423"/>
      <c r="P1147" s="423"/>
      <c r="Q1147" s="423"/>
      <c r="R1147" s="423"/>
      <c r="S1147" s="423"/>
      <c r="T1147" s="423"/>
      <c r="U1147" s="423"/>
      <c r="V1147" s="423"/>
      <c r="W1147" s="423"/>
      <c r="X1147" s="423"/>
      <c r="Y1147" s="423"/>
      <c r="Z1147" s="423"/>
    </row>
    <row r="1148">
      <c r="A1148" s="564">
        <v>1146.0</v>
      </c>
      <c r="B1148" s="565" t="s">
        <v>6242</v>
      </c>
      <c r="C1148" s="565" t="s">
        <v>6235</v>
      </c>
      <c r="D1148" s="564">
        <v>0.0</v>
      </c>
      <c r="E1148" s="564">
        <v>0.0</v>
      </c>
      <c r="F1148" s="564">
        <v>0.0</v>
      </c>
      <c r="G1148" s="564">
        <v>8.0</v>
      </c>
      <c r="H1148" s="564">
        <v>0.0</v>
      </c>
      <c r="I1148" s="423"/>
      <c r="J1148" s="423"/>
      <c r="K1148" s="423"/>
      <c r="L1148" s="423"/>
      <c r="M1148" s="423"/>
      <c r="N1148" s="423"/>
      <c r="O1148" s="423"/>
      <c r="P1148" s="423"/>
      <c r="Q1148" s="423"/>
      <c r="R1148" s="423"/>
      <c r="S1148" s="423"/>
      <c r="T1148" s="423"/>
      <c r="U1148" s="423"/>
      <c r="V1148" s="423"/>
      <c r="W1148" s="423"/>
      <c r="X1148" s="423"/>
      <c r="Y1148" s="423"/>
      <c r="Z1148" s="423"/>
    </row>
    <row r="1149">
      <c r="A1149" s="562">
        <v>1147.0</v>
      </c>
      <c r="B1149" s="563" t="s">
        <v>6243</v>
      </c>
      <c r="C1149" s="563" t="s">
        <v>6235</v>
      </c>
      <c r="D1149" s="562">
        <v>0.0</v>
      </c>
      <c r="E1149" s="562">
        <v>0.0</v>
      </c>
      <c r="F1149" s="562">
        <v>0.0</v>
      </c>
      <c r="G1149" s="562">
        <v>8.0</v>
      </c>
      <c r="H1149" s="562">
        <v>0.0</v>
      </c>
      <c r="I1149" s="423"/>
      <c r="J1149" s="423"/>
      <c r="K1149" s="423"/>
      <c r="L1149" s="423"/>
      <c r="M1149" s="423"/>
      <c r="N1149" s="423"/>
      <c r="O1149" s="423"/>
      <c r="P1149" s="423"/>
      <c r="Q1149" s="423"/>
      <c r="R1149" s="423"/>
      <c r="S1149" s="423"/>
      <c r="T1149" s="423"/>
      <c r="U1149" s="423"/>
      <c r="V1149" s="423"/>
      <c r="W1149" s="423"/>
      <c r="X1149" s="423"/>
      <c r="Y1149" s="423"/>
      <c r="Z1149" s="423"/>
    </row>
    <row r="1150">
      <c r="A1150" s="564">
        <v>1148.0</v>
      </c>
      <c r="B1150" s="565" t="s">
        <v>6244</v>
      </c>
      <c r="C1150" s="565" t="s">
        <v>6235</v>
      </c>
      <c r="D1150" s="564">
        <v>0.0</v>
      </c>
      <c r="E1150" s="564">
        <v>0.0</v>
      </c>
      <c r="F1150" s="564">
        <v>0.0</v>
      </c>
      <c r="G1150" s="564">
        <v>8.0</v>
      </c>
      <c r="H1150" s="564">
        <v>0.0</v>
      </c>
      <c r="I1150" s="423"/>
      <c r="J1150" s="423"/>
      <c r="K1150" s="423"/>
      <c r="L1150" s="423"/>
      <c r="M1150" s="423"/>
      <c r="N1150" s="423"/>
      <c r="O1150" s="423"/>
      <c r="P1150" s="423"/>
      <c r="Q1150" s="423"/>
      <c r="R1150" s="423"/>
      <c r="S1150" s="423"/>
      <c r="T1150" s="423"/>
      <c r="U1150" s="423"/>
      <c r="V1150" s="423"/>
      <c r="W1150" s="423"/>
      <c r="X1150" s="423"/>
      <c r="Y1150" s="423"/>
      <c r="Z1150" s="423"/>
    </row>
    <row r="1151">
      <c r="A1151" s="562">
        <v>1149.0</v>
      </c>
      <c r="B1151" s="563" t="s">
        <v>6245</v>
      </c>
      <c r="C1151" s="563" t="s">
        <v>6235</v>
      </c>
      <c r="D1151" s="562">
        <v>0.0</v>
      </c>
      <c r="E1151" s="562">
        <v>0.0</v>
      </c>
      <c r="F1151" s="562">
        <v>0.0</v>
      </c>
      <c r="G1151" s="562">
        <v>8.0</v>
      </c>
      <c r="H1151" s="562">
        <v>0.0</v>
      </c>
      <c r="I1151" s="423"/>
      <c r="J1151" s="423"/>
      <c r="K1151" s="423"/>
      <c r="L1151" s="423"/>
      <c r="M1151" s="423"/>
      <c r="N1151" s="423"/>
      <c r="O1151" s="423"/>
      <c r="P1151" s="423"/>
      <c r="Q1151" s="423"/>
      <c r="R1151" s="423"/>
      <c r="S1151" s="423"/>
      <c r="T1151" s="423"/>
      <c r="U1151" s="423"/>
      <c r="V1151" s="423"/>
      <c r="W1151" s="423"/>
      <c r="X1151" s="423"/>
      <c r="Y1151" s="423"/>
      <c r="Z1151" s="423"/>
    </row>
    <row r="1152">
      <c r="A1152" s="564">
        <v>1150.0</v>
      </c>
      <c r="B1152" s="565" t="s">
        <v>6246</v>
      </c>
      <c r="C1152" s="565" t="s">
        <v>6235</v>
      </c>
      <c r="D1152" s="564">
        <v>0.0</v>
      </c>
      <c r="E1152" s="564">
        <v>0.0</v>
      </c>
      <c r="F1152" s="564">
        <v>0.0</v>
      </c>
      <c r="G1152" s="564">
        <v>8.0</v>
      </c>
      <c r="H1152" s="564">
        <v>0.0</v>
      </c>
      <c r="I1152" s="423"/>
      <c r="J1152" s="423"/>
      <c r="K1152" s="423"/>
      <c r="L1152" s="423"/>
      <c r="M1152" s="423"/>
      <c r="N1152" s="423"/>
      <c r="O1152" s="423"/>
      <c r="P1152" s="423"/>
      <c r="Q1152" s="423"/>
      <c r="R1152" s="423"/>
      <c r="S1152" s="423"/>
      <c r="T1152" s="423"/>
      <c r="U1152" s="423"/>
      <c r="V1152" s="423"/>
      <c r="W1152" s="423"/>
      <c r="X1152" s="423"/>
      <c r="Y1152" s="423"/>
      <c r="Z1152" s="423"/>
    </row>
    <row r="1153">
      <c r="A1153" s="562">
        <v>1151.0</v>
      </c>
      <c r="B1153" s="563" t="s">
        <v>6247</v>
      </c>
      <c r="C1153" s="563" t="s">
        <v>6235</v>
      </c>
      <c r="D1153" s="562">
        <v>0.0</v>
      </c>
      <c r="E1153" s="562">
        <v>0.0</v>
      </c>
      <c r="F1153" s="562">
        <v>0.0</v>
      </c>
      <c r="G1153" s="562">
        <v>8.0</v>
      </c>
      <c r="H1153" s="562">
        <v>0.0</v>
      </c>
      <c r="I1153" s="423"/>
      <c r="J1153" s="423"/>
      <c r="K1153" s="423"/>
      <c r="L1153" s="423"/>
      <c r="M1153" s="423"/>
      <c r="N1153" s="423"/>
      <c r="O1153" s="423"/>
      <c r="P1153" s="423"/>
      <c r="Q1153" s="423"/>
      <c r="R1153" s="423"/>
      <c r="S1153" s="423"/>
      <c r="T1153" s="423"/>
      <c r="U1153" s="423"/>
      <c r="V1153" s="423"/>
      <c r="W1153" s="423"/>
      <c r="X1153" s="423"/>
      <c r="Y1153" s="423"/>
      <c r="Z1153" s="423"/>
    </row>
    <row r="1154">
      <c r="A1154" s="564">
        <v>1152.0</v>
      </c>
      <c r="B1154" s="565" t="s">
        <v>6248</v>
      </c>
      <c r="C1154" s="565" t="s">
        <v>6235</v>
      </c>
      <c r="D1154" s="564">
        <v>0.0</v>
      </c>
      <c r="E1154" s="564">
        <v>0.0</v>
      </c>
      <c r="F1154" s="564">
        <v>0.0</v>
      </c>
      <c r="G1154" s="564">
        <v>8.0</v>
      </c>
      <c r="H1154" s="564">
        <v>0.0</v>
      </c>
      <c r="I1154" s="423"/>
      <c r="J1154" s="423"/>
      <c r="K1154" s="423"/>
      <c r="L1154" s="423"/>
      <c r="M1154" s="423"/>
      <c r="N1154" s="423"/>
      <c r="O1154" s="423"/>
      <c r="P1154" s="423"/>
      <c r="Q1154" s="423"/>
      <c r="R1154" s="423"/>
      <c r="S1154" s="423"/>
      <c r="T1154" s="423"/>
      <c r="U1154" s="423"/>
      <c r="V1154" s="423"/>
      <c r="W1154" s="423"/>
      <c r="X1154" s="423"/>
      <c r="Y1154" s="423"/>
      <c r="Z1154" s="423"/>
    </row>
    <row r="1155">
      <c r="A1155" s="562">
        <v>1153.0</v>
      </c>
      <c r="B1155" s="563" t="s">
        <v>6249</v>
      </c>
      <c r="C1155" s="563" t="s">
        <v>6235</v>
      </c>
      <c r="D1155" s="562">
        <v>0.0</v>
      </c>
      <c r="E1155" s="562">
        <v>0.0</v>
      </c>
      <c r="F1155" s="562">
        <v>0.0</v>
      </c>
      <c r="G1155" s="562">
        <v>8.0</v>
      </c>
      <c r="H1155" s="562">
        <v>0.0</v>
      </c>
      <c r="I1155" s="423"/>
      <c r="J1155" s="423"/>
      <c r="K1155" s="423"/>
      <c r="L1155" s="423"/>
      <c r="M1155" s="423"/>
      <c r="N1155" s="423"/>
      <c r="O1155" s="423"/>
      <c r="P1155" s="423"/>
      <c r="Q1155" s="423"/>
      <c r="R1155" s="423"/>
      <c r="S1155" s="423"/>
      <c r="T1155" s="423"/>
      <c r="U1155" s="423"/>
      <c r="V1155" s="423"/>
      <c r="W1155" s="423"/>
      <c r="X1155" s="423"/>
      <c r="Y1155" s="423"/>
      <c r="Z1155" s="423"/>
    </row>
    <row r="1156">
      <c r="A1156" s="564">
        <v>1154.0</v>
      </c>
      <c r="B1156" s="565" t="s">
        <v>6250</v>
      </c>
      <c r="C1156" s="565" t="s">
        <v>6235</v>
      </c>
      <c r="D1156" s="564">
        <v>0.0</v>
      </c>
      <c r="E1156" s="564">
        <v>0.0</v>
      </c>
      <c r="F1156" s="564">
        <v>0.0</v>
      </c>
      <c r="G1156" s="564">
        <v>8.0</v>
      </c>
      <c r="H1156" s="564">
        <v>0.0</v>
      </c>
      <c r="I1156" s="423"/>
      <c r="J1156" s="423"/>
      <c r="K1156" s="423"/>
      <c r="L1156" s="423"/>
      <c r="M1156" s="423"/>
      <c r="N1156" s="423"/>
      <c r="O1156" s="423"/>
      <c r="P1156" s="423"/>
      <c r="Q1156" s="423"/>
      <c r="R1156" s="423"/>
      <c r="S1156" s="423"/>
      <c r="T1156" s="423"/>
      <c r="U1156" s="423"/>
      <c r="V1156" s="423"/>
      <c r="W1156" s="423"/>
      <c r="X1156" s="423"/>
      <c r="Y1156" s="423"/>
      <c r="Z1156" s="423"/>
    </row>
    <row r="1157">
      <c r="A1157" s="562">
        <v>1155.0</v>
      </c>
      <c r="B1157" s="563" t="s">
        <v>6251</v>
      </c>
      <c r="C1157" s="563" t="s">
        <v>6235</v>
      </c>
      <c r="D1157" s="562">
        <v>0.0</v>
      </c>
      <c r="E1157" s="562">
        <v>0.0</v>
      </c>
      <c r="F1157" s="562">
        <v>0.0</v>
      </c>
      <c r="G1157" s="562">
        <v>8.0</v>
      </c>
      <c r="H1157" s="562">
        <v>0.0</v>
      </c>
      <c r="I1157" s="423"/>
      <c r="J1157" s="423"/>
      <c r="K1157" s="423"/>
      <c r="L1157" s="423"/>
      <c r="M1157" s="423"/>
      <c r="N1157" s="423"/>
      <c r="O1157" s="423"/>
      <c r="P1157" s="423"/>
      <c r="Q1157" s="423"/>
      <c r="R1157" s="423"/>
      <c r="S1157" s="423"/>
      <c r="T1157" s="423"/>
      <c r="U1157" s="423"/>
      <c r="V1157" s="423"/>
      <c r="W1157" s="423"/>
      <c r="X1157" s="423"/>
      <c r="Y1157" s="423"/>
      <c r="Z1157" s="423"/>
    </row>
    <row r="1158">
      <c r="A1158" s="564">
        <v>1156.0</v>
      </c>
      <c r="B1158" s="565" t="s">
        <v>6252</v>
      </c>
      <c r="C1158" s="565" t="s">
        <v>6235</v>
      </c>
      <c r="D1158" s="564">
        <v>0.0</v>
      </c>
      <c r="E1158" s="564">
        <v>0.0</v>
      </c>
      <c r="F1158" s="564">
        <v>0.0</v>
      </c>
      <c r="G1158" s="564">
        <v>8.0</v>
      </c>
      <c r="H1158" s="564">
        <v>0.0</v>
      </c>
      <c r="I1158" s="423"/>
      <c r="J1158" s="423"/>
      <c r="K1158" s="423"/>
      <c r="L1158" s="423"/>
      <c r="M1158" s="423"/>
      <c r="N1158" s="423"/>
      <c r="O1158" s="423"/>
      <c r="P1158" s="423"/>
      <c r="Q1158" s="423"/>
      <c r="R1158" s="423"/>
      <c r="S1158" s="423"/>
      <c r="T1158" s="423"/>
      <c r="U1158" s="423"/>
      <c r="V1158" s="423"/>
      <c r="W1158" s="423"/>
      <c r="X1158" s="423"/>
      <c r="Y1158" s="423"/>
      <c r="Z1158" s="423"/>
    </row>
    <row r="1159">
      <c r="A1159" s="562">
        <v>1157.0</v>
      </c>
      <c r="B1159" s="563" t="s">
        <v>6253</v>
      </c>
      <c r="C1159" s="563" t="s">
        <v>6235</v>
      </c>
      <c r="D1159" s="562">
        <v>0.0</v>
      </c>
      <c r="E1159" s="562">
        <v>0.0</v>
      </c>
      <c r="F1159" s="562">
        <v>0.0</v>
      </c>
      <c r="G1159" s="562">
        <v>8.0</v>
      </c>
      <c r="H1159" s="562">
        <v>0.0</v>
      </c>
      <c r="I1159" s="423"/>
      <c r="J1159" s="423"/>
      <c r="K1159" s="423"/>
      <c r="L1159" s="423"/>
      <c r="M1159" s="423"/>
      <c r="N1159" s="423"/>
      <c r="O1159" s="423"/>
      <c r="P1159" s="423"/>
      <c r="Q1159" s="423"/>
      <c r="R1159" s="423"/>
      <c r="S1159" s="423"/>
      <c r="T1159" s="423"/>
      <c r="U1159" s="423"/>
      <c r="V1159" s="423"/>
      <c r="W1159" s="423"/>
      <c r="X1159" s="423"/>
      <c r="Y1159" s="423"/>
      <c r="Z1159" s="423"/>
    </row>
    <row r="1160">
      <c r="A1160" s="564">
        <v>1158.0</v>
      </c>
      <c r="B1160" s="565" t="s">
        <v>6254</v>
      </c>
      <c r="C1160" s="565" t="s">
        <v>6235</v>
      </c>
      <c r="D1160" s="564">
        <v>0.0</v>
      </c>
      <c r="E1160" s="564">
        <v>0.0</v>
      </c>
      <c r="F1160" s="564">
        <v>0.0</v>
      </c>
      <c r="G1160" s="564">
        <v>8.0</v>
      </c>
      <c r="H1160" s="564">
        <v>0.0</v>
      </c>
      <c r="I1160" s="423"/>
      <c r="J1160" s="423"/>
      <c r="K1160" s="423"/>
      <c r="L1160" s="423"/>
      <c r="M1160" s="423"/>
      <c r="N1160" s="423"/>
      <c r="O1160" s="423"/>
      <c r="P1160" s="423"/>
      <c r="Q1160" s="423"/>
      <c r="R1160" s="423"/>
      <c r="S1160" s="423"/>
      <c r="T1160" s="423"/>
      <c r="U1160" s="423"/>
      <c r="V1160" s="423"/>
      <c r="W1160" s="423"/>
      <c r="X1160" s="423"/>
      <c r="Y1160" s="423"/>
      <c r="Z1160" s="423"/>
    </row>
    <row r="1161">
      <c r="A1161" s="562">
        <v>1159.0</v>
      </c>
      <c r="B1161" s="563" t="s">
        <v>6255</v>
      </c>
      <c r="C1161" s="563" t="s">
        <v>6235</v>
      </c>
      <c r="D1161" s="562">
        <v>0.0</v>
      </c>
      <c r="E1161" s="562">
        <v>0.0</v>
      </c>
      <c r="F1161" s="562">
        <v>0.0</v>
      </c>
      <c r="G1161" s="562">
        <v>8.0</v>
      </c>
      <c r="H1161" s="562">
        <v>0.0</v>
      </c>
      <c r="I1161" s="423"/>
      <c r="J1161" s="423"/>
      <c r="K1161" s="423"/>
      <c r="L1161" s="423"/>
      <c r="M1161" s="423"/>
      <c r="N1161" s="423"/>
      <c r="O1161" s="423"/>
      <c r="P1161" s="423"/>
      <c r="Q1161" s="423"/>
      <c r="R1161" s="423"/>
      <c r="S1161" s="423"/>
      <c r="T1161" s="423"/>
      <c r="U1161" s="423"/>
      <c r="V1161" s="423"/>
      <c r="W1161" s="423"/>
      <c r="X1161" s="423"/>
      <c r="Y1161" s="423"/>
      <c r="Z1161" s="423"/>
    </row>
    <row r="1162">
      <c r="A1162" s="564">
        <v>1160.0</v>
      </c>
      <c r="B1162" s="565" t="s">
        <v>6256</v>
      </c>
      <c r="C1162" s="565" t="s">
        <v>6235</v>
      </c>
      <c r="D1162" s="564">
        <v>0.0</v>
      </c>
      <c r="E1162" s="564">
        <v>0.0</v>
      </c>
      <c r="F1162" s="564">
        <v>0.0</v>
      </c>
      <c r="G1162" s="564">
        <v>8.0</v>
      </c>
      <c r="H1162" s="564">
        <v>0.0</v>
      </c>
      <c r="I1162" s="423"/>
      <c r="J1162" s="423"/>
      <c r="K1162" s="423"/>
      <c r="L1162" s="423"/>
      <c r="M1162" s="423"/>
      <c r="N1162" s="423"/>
      <c r="O1162" s="423"/>
      <c r="P1162" s="423"/>
      <c r="Q1162" s="423"/>
      <c r="R1162" s="423"/>
      <c r="S1162" s="423"/>
      <c r="T1162" s="423"/>
      <c r="U1162" s="423"/>
      <c r="V1162" s="423"/>
      <c r="W1162" s="423"/>
      <c r="X1162" s="423"/>
      <c r="Y1162" s="423"/>
      <c r="Z1162" s="423"/>
    </row>
    <row r="1163">
      <c r="A1163" s="562">
        <v>1161.0</v>
      </c>
      <c r="B1163" s="563" t="s">
        <v>6257</v>
      </c>
      <c r="C1163" s="563" t="s">
        <v>6235</v>
      </c>
      <c r="D1163" s="562">
        <v>0.0</v>
      </c>
      <c r="E1163" s="562">
        <v>0.0</v>
      </c>
      <c r="F1163" s="562">
        <v>0.0</v>
      </c>
      <c r="G1163" s="562">
        <v>8.0</v>
      </c>
      <c r="H1163" s="562">
        <v>0.0</v>
      </c>
      <c r="I1163" s="423"/>
      <c r="J1163" s="423"/>
      <c r="K1163" s="423"/>
      <c r="L1163" s="423"/>
      <c r="M1163" s="423"/>
      <c r="N1163" s="423"/>
      <c r="O1163" s="423"/>
      <c r="P1163" s="423"/>
      <c r="Q1163" s="423"/>
      <c r="R1163" s="423"/>
      <c r="S1163" s="423"/>
      <c r="T1163" s="423"/>
      <c r="U1163" s="423"/>
      <c r="V1163" s="423"/>
      <c r="W1163" s="423"/>
      <c r="X1163" s="423"/>
      <c r="Y1163" s="423"/>
      <c r="Z1163" s="423"/>
    </row>
    <row r="1164">
      <c r="A1164" s="564">
        <v>1162.0</v>
      </c>
      <c r="B1164" s="565" t="s">
        <v>6258</v>
      </c>
      <c r="C1164" s="565" t="s">
        <v>6235</v>
      </c>
      <c r="D1164" s="564">
        <v>0.0</v>
      </c>
      <c r="E1164" s="564">
        <v>0.0</v>
      </c>
      <c r="F1164" s="564">
        <v>0.0</v>
      </c>
      <c r="G1164" s="564">
        <v>8.0</v>
      </c>
      <c r="H1164" s="564">
        <v>0.0</v>
      </c>
      <c r="I1164" s="423"/>
      <c r="J1164" s="423"/>
      <c r="K1164" s="423"/>
      <c r="L1164" s="423"/>
      <c r="M1164" s="423"/>
      <c r="N1164" s="423"/>
      <c r="O1164" s="423"/>
      <c r="P1164" s="423"/>
      <c r="Q1164" s="423"/>
      <c r="R1164" s="423"/>
      <c r="S1164" s="423"/>
      <c r="T1164" s="423"/>
      <c r="U1164" s="423"/>
      <c r="V1164" s="423"/>
      <c r="W1164" s="423"/>
      <c r="X1164" s="423"/>
      <c r="Y1164" s="423"/>
      <c r="Z1164" s="423"/>
    </row>
    <row r="1165">
      <c r="A1165" s="562">
        <v>1163.0</v>
      </c>
      <c r="B1165" s="563" t="s">
        <v>6259</v>
      </c>
      <c r="C1165" s="563" t="s">
        <v>6235</v>
      </c>
      <c r="D1165" s="562">
        <v>0.0</v>
      </c>
      <c r="E1165" s="562">
        <v>0.0</v>
      </c>
      <c r="F1165" s="562">
        <v>0.0</v>
      </c>
      <c r="G1165" s="562">
        <v>8.0</v>
      </c>
      <c r="H1165" s="562">
        <v>0.0</v>
      </c>
      <c r="I1165" s="423"/>
      <c r="J1165" s="423"/>
      <c r="K1165" s="423"/>
      <c r="L1165" s="423"/>
      <c r="M1165" s="423"/>
      <c r="N1165" s="423"/>
      <c r="O1165" s="423"/>
      <c r="P1165" s="423"/>
      <c r="Q1165" s="423"/>
      <c r="R1165" s="423"/>
      <c r="S1165" s="423"/>
      <c r="T1165" s="423"/>
      <c r="U1165" s="423"/>
      <c r="V1165" s="423"/>
      <c r="W1165" s="423"/>
      <c r="X1165" s="423"/>
      <c r="Y1165" s="423"/>
      <c r="Z1165" s="423"/>
    </row>
    <row r="1166">
      <c r="A1166" s="564">
        <v>1164.0</v>
      </c>
      <c r="B1166" s="565" t="s">
        <v>6260</v>
      </c>
      <c r="C1166" s="565" t="s">
        <v>6235</v>
      </c>
      <c r="D1166" s="564">
        <v>0.0</v>
      </c>
      <c r="E1166" s="564">
        <v>0.0</v>
      </c>
      <c r="F1166" s="564">
        <v>0.0</v>
      </c>
      <c r="G1166" s="564">
        <v>8.0</v>
      </c>
      <c r="H1166" s="564">
        <v>0.0</v>
      </c>
      <c r="I1166" s="423"/>
      <c r="J1166" s="423"/>
      <c r="K1166" s="423"/>
      <c r="L1166" s="423"/>
      <c r="M1166" s="423"/>
      <c r="N1166" s="423"/>
      <c r="O1166" s="423"/>
      <c r="P1166" s="423"/>
      <c r="Q1166" s="423"/>
      <c r="R1166" s="423"/>
      <c r="S1166" s="423"/>
      <c r="T1166" s="423"/>
      <c r="U1166" s="423"/>
      <c r="V1166" s="423"/>
      <c r="W1166" s="423"/>
      <c r="X1166" s="423"/>
      <c r="Y1166" s="423"/>
      <c r="Z1166" s="423"/>
    </row>
    <row r="1167">
      <c r="A1167" s="562">
        <v>1165.0</v>
      </c>
      <c r="B1167" s="563" t="s">
        <v>6261</v>
      </c>
      <c r="C1167" s="563" t="s">
        <v>6235</v>
      </c>
      <c r="D1167" s="562">
        <v>0.0</v>
      </c>
      <c r="E1167" s="562">
        <v>0.0</v>
      </c>
      <c r="F1167" s="562">
        <v>0.0</v>
      </c>
      <c r="G1167" s="562">
        <v>8.0</v>
      </c>
      <c r="H1167" s="562">
        <v>0.0</v>
      </c>
      <c r="I1167" s="423"/>
      <c r="J1167" s="423"/>
      <c r="K1167" s="423"/>
      <c r="L1167" s="423"/>
      <c r="M1167" s="423"/>
      <c r="N1167" s="423"/>
      <c r="O1167" s="423"/>
      <c r="P1167" s="423"/>
      <c r="Q1167" s="423"/>
      <c r="R1167" s="423"/>
      <c r="S1167" s="423"/>
      <c r="T1167" s="423"/>
      <c r="U1167" s="423"/>
      <c r="V1167" s="423"/>
      <c r="W1167" s="423"/>
      <c r="X1167" s="423"/>
      <c r="Y1167" s="423"/>
      <c r="Z1167" s="423"/>
    </row>
    <row r="1168">
      <c r="A1168" s="564">
        <v>1166.0</v>
      </c>
      <c r="B1168" s="565" t="s">
        <v>6262</v>
      </c>
      <c r="C1168" s="565" t="s">
        <v>6235</v>
      </c>
      <c r="D1168" s="564">
        <v>0.0</v>
      </c>
      <c r="E1168" s="564">
        <v>0.0</v>
      </c>
      <c r="F1168" s="564">
        <v>0.0</v>
      </c>
      <c r="G1168" s="564">
        <v>8.0</v>
      </c>
      <c r="H1168" s="564">
        <v>0.0</v>
      </c>
      <c r="I1168" s="423"/>
      <c r="J1168" s="423"/>
      <c r="K1168" s="423"/>
      <c r="L1168" s="423"/>
      <c r="M1168" s="423"/>
      <c r="N1168" s="423"/>
      <c r="O1168" s="423"/>
      <c r="P1168" s="423"/>
      <c r="Q1168" s="423"/>
      <c r="R1168" s="423"/>
      <c r="S1168" s="423"/>
      <c r="T1168" s="423"/>
      <c r="U1168" s="423"/>
      <c r="V1168" s="423"/>
      <c r="W1168" s="423"/>
      <c r="X1168" s="423"/>
      <c r="Y1168" s="423"/>
      <c r="Z1168" s="423"/>
    </row>
    <row r="1169">
      <c r="A1169" s="562">
        <v>1167.0</v>
      </c>
      <c r="B1169" s="563" t="s">
        <v>6263</v>
      </c>
      <c r="C1169" s="563" t="s">
        <v>6235</v>
      </c>
      <c r="D1169" s="562">
        <v>0.0</v>
      </c>
      <c r="E1169" s="562">
        <v>0.0</v>
      </c>
      <c r="F1169" s="562">
        <v>0.0</v>
      </c>
      <c r="G1169" s="562">
        <v>8.0</v>
      </c>
      <c r="H1169" s="562">
        <v>0.0</v>
      </c>
      <c r="I1169" s="423"/>
      <c r="J1169" s="423"/>
      <c r="K1169" s="423"/>
      <c r="L1169" s="423"/>
      <c r="M1169" s="423"/>
      <c r="N1169" s="423"/>
      <c r="O1169" s="423"/>
      <c r="P1169" s="423"/>
      <c r="Q1169" s="423"/>
      <c r="R1169" s="423"/>
      <c r="S1169" s="423"/>
      <c r="T1169" s="423"/>
      <c r="U1169" s="423"/>
      <c r="V1169" s="423"/>
      <c r="W1169" s="423"/>
      <c r="X1169" s="423"/>
      <c r="Y1169" s="423"/>
      <c r="Z1169" s="423"/>
    </row>
    <row r="1170">
      <c r="A1170" s="564">
        <v>1168.0</v>
      </c>
      <c r="B1170" s="565" t="s">
        <v>6264</v>
      </c>
      <c r="C1170" s="565" t="s">
        <v>6235</v>
      </c>
      <c r="D1170" s="564">
        <v>0.0</v>
      </c>
      <c r="E1170" s="564">
        <v>0.0</v>
      </c>
      <c r="F1170" s="564">
        <v>0.0</v>
      </c>
      <c r="G1170" s="564">
        <v>8.0</v>
      </c>
      <c r="H1170" s="564">
        <v>0.0</v>
      </c>
      <c r="I1170" s="423"/>
      <c r="J1170" s="423"/>
      <c r="K1170" s="423"/>
      <c r="L1170" s="423"/>
      <c r="M1170" s="423"/>
      <c r="N1170" s="423"/>
      <c r="O1170" s="423"/>
      <c r="P1170" s="423"/>
      <c r="Q1170" s="423"/>
      <c r="R1170" s="423"/>
      <c r="S1170" s="423"/>
      <c r="T1170" s="423"/>
      <c r="U1170" s="423"/>
      <c r="V1170" s="423"/>
      <c r="W1170" s="423"/>
      <c r="X1170" s="423"/>
      <c r="Y1170" s="423"/>
      <c r="Z1170" s="423"/>
    </row>
    <row r="1171">
      <c r="A1171" s="562">
        <v>1169.0</v>
      </c>
      <c r="B1171" s="563" t="s">
        <v>6265</v>
      </c>
      <c r="C1171" s="563" t="s">
        <v>6235</v>
      </c>
      <c r="D1171" s="562">
        <v>0.0</v>
      </c>
      <c r="E1171" s="562">
        <v>0.0</v>
      </c>
      <c r="F1171" s="562">
        <v>0.0</v>
      </c>
      <c r="G1171" s="562">
        <v>8.0</v>
      </c>
      <c r="H1171" s="562">
        <v>0.0</v>
      </c>
      <c r="I1171" s="423"/>
      <c r="J1171" s="423"/>
      <c r="K1171" s="423"/>
      <c r="L1171" s="423"/>
      <c r="M1171" s="423"/>
      <c r="N1171" s="423"/>
      <c r="O1171" s="423"/>
      <c r="P1171" s="423"/>
      <c r="Q1171" s="423"/>
      <c r="R1171" s="423"/>
      <c r="S1171" s="423"/>
      <c r="T1171" s="423"/>
      <c r="U1171" s="423"/>
      <c r="V1171" s="423"/>
      <c r="W1171" s="423"/>
      <c r="X1171" s="423"/>
      <c r="Y1171" s="423"/>
      <c r="Z1171" s="423"/>
    </row>
    <row r="1172">
      <c r="A1172" s="564">
        <v>1170.0</v>
      </c>
      <c r="B1172" s="565" t="s">
        <v>6266</v>
      </c>
      <c r="C1172" s="565" t="s">
        <v>6235</v>
      </c>
      <c r="D1172" s="564">
        <v>0.0</v>
      </c>
      <c r="E1172" s="564">
        <v>0.0</v>
      </c>
      <c r="F1172" s="564">
        <v>0.0</v>
      </c>
      <c r="G1172" s="564">
        <v>8.0</v>
      </c>
      <c r="H1172" s="564">
        <v>0.0</v>
      </c>
      <c r="I1172" s="423"/>
      <c r="J1172" s="423"/>
      <c r="K1172" s="423"/>
      <c r="L1172" s="423"/>
      <c r="M1172" s="423"/>
      <c r="N1172" s="423"/>
      <c r="O1172" s="423"/>
      <c r="P1172" s="423"/>
      <c r="Q1172" s="423"/>
      <c r="R1172" s="423"/>
      <c r="S1172" s="423"/>
      <c r="T1172" s="423"/>
      <c r="U1172" s="423"/>
      <c r="V1172" s="423"/>
      <c r="W1172" s="423"/>
      <c r="X1172" s="423"/>
      <c r="Y1172" s="423"/>
      <c r="Z1172" s="423"/>
    </row>
    <row r="1173">
      <c r="A1173" s="562">
        <v>1171.0</v>
      </c>
      <c r="B1173" s="563" t="s">
        <v>6267</v>
      </c>
      <c r="C1173" s="563" t="s">
        <v>6235</v>
      </c>
      <c r="D1173" s="562">
        <v>0.0</v>
      </c>
      <c r="E1173" s="562">
        <v>0.0</v>
      </c>
      <c r="F1173" s="562">
        <v>0.0</v>
      </c>
      <c r="G1173" s="562">
        <v>8.0</v>
      </c>
      <c r="H1173" s="562">
        <v>0.0</v>
      </c>
      <c r="I1173" s="423"/>
      <c r="J1173" s="423"/>
      <c r="K1173" s="423"/>
      <c r="L1173" s="423"/>
      <c r="M1173" s="423"/>
      <c r="N1173" s="423"/>
      <c r="O1173" s="423"/>
      <c r="P1173" s="423"/>
      <c r="Q1173" s="423"/>
      <c r="R1173" s="423"/>
      <c r="S1173" s="423"/>
      <c r="T1173" s="423"/>
      <c r="U1173" s="423"/>
      <c r="V1173" s="423"/>
      <c r="W1173" s="423"/>
      <c r="X1173" s="423"/>
      <c r="Y1173" s="423"/>
      <c r="Z1173" s="423"/>
    </row>
    <row r="1174">
      <c r="A1174" s="564">
        <v>1172.0</v>
      </c>
      <c r="B1174" s="565" t="s">
        <v>6268</v>
      </c>
      <c r="C1174" s="565" t="s">
        <v>6235</v>
      </c>
      <c r="D1174" s="564">
        <v>0.0</v>
      </c>
      <c r="E1174" s="564">
        <v>0.0</v>
      </c>
      <c r="F1174" s="564">
        <v>0.0</v>
      </c>
      <c r="G1174" s="564">
        <v>8.0</v>
      </c>
      <c r="H1174" s="564">
        <v>0.0</v>
      </c>
      <c r="I1174" s="423"/>
      <c r="J1174" s="423"/>
      <c r="K1174" s="423"/>
      <c r="L1174" s="423"/>
      <c r="M1174" s="423"/>
      <c r="N1174" s="423"/>
      <c r="O1174" s="423"/>
      <c r="P1174" s="423"/>
      <c r="Q1174" s="423"/>
      <c r="R1174" s="423"/>
      <c r="S1174" s="423"/>
      <c r="T1174" s="423"/>
      <c r="U1174" s="423"/>
      <c r="V1174" s="423"/>
      <c r="W1174" s="423"/>
      <c r="X1174" s="423"/>
      <c r="Y1174" s="423"/>
      <c r="Z1174" s="423"/>
    </row>
    <row r="1175">
      <c r="A1175" s="562">
        <v>1173.0</v>
      </c>
      <c r="B1175" s="563" t="s">
        <v>6269</v>
      </c>
      <c r="C1175" s="563" t="s">
        <v>6235</v>
      </c>
      <c r="D1175" s="562">
        <v>0.0</v>
      </c>
      <c r="E1175" s="562">
        <v>0.0</v>
      </c>
      <c r="F1175" s="562">
        <v>0.0</v>
      </c>
      <c r="G1175" s="562">
        <v>8.0</v>
      </c>
      <c r="H1175" s="562">
        <v>0.0</v>
      </c>
      <c r="I1175" s="423"/>
      <c r="J1175" s="423"/>
      <c r="K1175" s="423"/>
      <c r="L1175" s="423"/>
      <c r="M1175" s="423"/>
      <c r="N1175" s="423"/>
      <c r="O1175" s="423"/>
      <c r="P1175" s="423"/>
      <c r="Q1175" s="423"/>
      <c r="R1175" s="423"/>
      <c r="S1175" s="423"/>
      <c r="T1175" s="423"/>
      <c r="U1175" s="423"/>
      <c r="V1175" s="423"/>
      <c r="W1175" s="423"/>
      <c r="X1175" s="423"/>
      <c r="Y1175" s="423"/>
      <c r="Z1175" s="423"/>
    </row>
    <row r="1176">
      <c r="A1176" s="564">
        <v>1174.0</v>
      </c>
      <c r="B1176" s="565" t="s">
        <v>6270</v>
      </c>
      <c r="C1176" s="565" t="s">
        <v>6235</v>
      </c>
      <c r="D1176" s="564">
        <v>0.0</v>
      </c>
      <c r="E1176" s="564">
        <v>0.0</v>
      </c>
      <c r="F1176" s="564">
        <v>0.0</v>
      </c>
      <c r="G1176" s="564">
        <v>8.0</v>
      </c>
      <c r="H1176" s="564">
        <v>0.0</v>
      </c>
      <c r="I1176" s="423"/>
      <c r="J1176" s="423"/>
      <c r="K1176" s="423"/>
      <c r="L1176" s="423"/>
      <c r="M1176" s="423"/>
      <c r="N1176" s="423"/>
      <c r="O1176" s="423"/>
      <c r="P1176" s="423"/>
      <c r="Q1176" s="423"/>
      <c r="R1176" s="423"/>
      <c r="S1176" s="423"/>
      <c r="T1176" s="423"/>
      <c r="U1176" s="423"/>
      <c r="V1176" s="423"/>
      <c r="W1176" s="423"/>
      <c r="X1176" s="423"/>
      <c r="Y1176" s="423"/>
      <c r="Z1176" s="423"/>
    </row>
    <row r="1177">
      <c r="A1177" s="562">
        <v>1175.0</v>
      </c>
      <c r="B1177" s="563" t="s">
        <v>6271</v>
      </c>
      <c r="C1177" s="563" t="s">
        <v>6272</v>
      </c>
      <c r="D1177" s="562">
        <v>0.0</v>
      </c>
      <c r="E1177" s="562">
        <v>0.0</v>
      </c>
      <c r="F1177" s="562">
        <v>0.0</v>
      </c>
      <c r="G1177" s="562">
        <v>8.0</v>
      </c>
      <c r="H1177" s="562">
        <v>0.0</v>
      </c>
      <c r="I1177" s="423"/>
      <c r="J1177" s="423"/>
      <c r="K1177" s="423"/>
      <c r="L1177" s="423"/>
      <c r="M1177" s="423"/>
      <c r="N1177" s="423"/>
      <c r="O1177" s="423"/>
      <c r="P1177" s="423"/>
      <c r="Q1177" s="423"/>
      <c r="R1177" s="423"/>
      <c r="S1177" s="423"/>
      <c r="T1177" s="423"/>
      <c r="U1177" s="423"/>
      <c r="V1177" s="423"/>
      <c r="W1177" s="423"/>
      <c r="X1177" s="423"/>
      <c r="Y1177" s="423"/>
      <c r="Z1177" s="423"/>
    </row>
    <row r="1178">
      <c r="A1178" s="564">
        <v>1176.0</v>
      </c>
      <c r="B1178" s="565" t="s">
        <v>6273</v>
      </c>
      <c r="C1178" s="565" t="s">
        <v>6272</v>
      </c>
      <c r="D1178" s="564">
        <v>0.0</v>
      </c>
      <c r="E1178" s="564">
        <v>0.0</v>
      </c>
      <c r="F1178" s="564">
        <v>0.0</v>
      </c>
      <c r="G1178" s="564">
        <v>8.0</v>
      </c>
      <c r="H1178" s="564">
        <v>0.0</v>
      </c>
      <c r="I1178" s="423"/>
      <c r="J1178" s="423"/>
      <c r="K1178" s="423"/>
      <c r="L1178" s="423"/>
      <c r="M1178" s="423"/>
      <c r="N1178" s="423"/>
      <c r="O1178" s="423"/>
      <c r="P1178" s="423"/>
      <c r="Q1178" s="423"/>
      <c r="R1178" s="423"/>
      <c r="S1178" s="423"/>
      <c r="T1178" s="423"/>
      <c r="U1178" s="423"/>
      <c r="V1178" s="423"/>
      <c r="W1178" s="423"/>
      <c r="X1178" s="423"/>
      <c r="Y1178" s="423"/>
      <c r="Z1178" s="423"/>
    </row>
    <row r="1179">
      <c r="A1179" s="562">
        <v>1177.0</v>
      </c>
      <c r="B1179" s="563" t="s">
        <v>6274</v>
      </c>
      <c r="C1179" s="563" t="s">
        <v>6272</v>
      </c>
      <c r="D1179" s="562">
        <v>0.0</v>
      </c>
      <c r="E1179" s="562">
        <v>0.0</v>
      </c>
      <c r="F1179" s="562">
        <v>0.0</v>
      </c>
      <c r="G1179" s="562">
        <v>8.0</v>
      </c>
      <c r="H1179" s="562">
        <v>0.0</v>
      </c>
      <c r="I1179" s="423"/>
      <c r="J1179" s="423"/>
      <c r="K1179" s="423"/>
      <c r="L1179" s="423"/>
      <c r="M1179" s="423"/>
      <c r="N1179" s="423"/>
      <c r="O1179" s="423"/>
      <c r="P1179" s="423"/>
      <c r="Q1179" s="423"/>
      <c r="R1179" s="423"/>
      <c r="S1179" s="423"/>
      <c r="T1179" s="423"/>
      <c r="U1179" s="423"/>
      <c r="V1179" s="423"/>
      <c r="W1179" s="423"/>
      <c r="X1179" s="423"/>
      <c r="Y1179" s="423"/>
      <c r="Z1179" s="423"/>
    </row>
    <row r="1180">
      <c r="A1180" s="564">
        <v>1178.0</v>
      </c>
      <c r="B1180" s="565" t="s">
        <v>6275</v>
      </c>
      <c r="C1180" s="565" t="s">
        <v>6272</v>
      </c>
      <c r="D1180" s="564">
        <v>0.0</v>
      </c>
      <c r="E1180" s="564">
        <v>0.0</v>
      </c>
      <c r="F1180" s="564">
        <v>0.0</v>
      </c>
      <c r="G1180" s="564">
        <v>8.0</v>
      </c>
      <c r="H1180" s="564">
        <v>0.0</v>
      </c>
      <c r="I1180" s="423"/>
      <c r="J1180" s="423"/>
      <c r="K1180" s="423"/>
      <c r="L1180" s="423"/>
      <c r="M1180" s="423"/>
      <c r="N1180" s="423"/>
      <c r="O1180" s="423"/>
      <c r="P1180" s="423"/>
      <c r="Q1180" s="423"/>
      <c r="R1180" s="423"/>
      <c r="S1180" s="423"/>
      <c r="T1180" s="423"/>
      <c r="U1180" s="423"/>
      <c r="V1180" s="423"/>
      <c r="W1180" s="423"/>
      <c r="X1180" s="423"/>
      <c r="Y1180" s="423"/>
      <c r="Z1180" s="423"/>
    </row>
    <row r="1181">
      <c r="A1181" s="562">
        <v>1179.0</v>
      </c>
      <c r="B1181" s="563" t="s">
        <v>6276</v>
      </c>
      <c r="C1181" s="563" t="s">
        <v>6272</v>
      </c>
      <c r="D1181" s="562">
        <v>0.0</v>
      </c>
      <c r="E1181" s="562">
        <v>0.0</v>
      </c>
      <c r="F1181" s="562">
        <v>0.0</v>
      </c>
      <c r="G1181" s="562">
        <v>8.0</v>
      </c>
      <c r="H1181" s="562">
        <v>0.0</v>
      </c>
      <c r="I1181" s="423"/>
      <c r="J1181" s="423"/>
      <c r="K1181" s="423"/>
      <c r="L1181" s="423"/>
      <c r="M1181" s="423"/>
      <c r="N1181" s="423"/>
      <c r="O1181" s="423"/>
      <c r="P1181" s="423"/>
      <c r="Q1181" s="423"/>
      <c r="R1181" s="423"/>
      <c r="S1181" s="423"/>
      <c r="T1181" s="423"/>
      <c r="U1181" s="423"/>
      <c r="V1181" s="423"/>
      <c r="W1181" s="423"/>
      <c r="X1181" s="423"/>
      <c r="Y1181" s="423"/>
      <c r="Z1181" s="423"/>
    </row>
    <row r="1182">
      <c r="A1182" s="564">
        <v>1180.0</v>
      </c>
      <c r="B1182" s="565" t="s">
        <v>6277</v>
      </c>
      <c r="C1182" s="565" t="s">
        <v>6272</v>
      </c>
      <c r="D1182" s="564">
        <v>0.0</v>
      </c>
      <c r="E1182" s="564">
        <v>0.0</v>
      </c>
      <c r="F1182" s="564">
        <v>0.0</v>
      </c>
      <c r="G1182" s="564">
        <v>8.0</v>
      </c>
      <c r="H1182" s="564">
        <v>0.0</v>
      </c>
      <c r="I1182" s="423"/>
      <c r="J1182" s="423"/>
      <c r="K1182" s="423"/>
      <c r="L1182" s="423"/>
      <c r="M1182" s="423"/>
      <c r="N1182" s="423"/>
      <c r="O1182" s="423"/>
      <c r="P1182" s="423"/>
      <c r="Q1182" s="423"/>
      <c r="R1182" s="423"/>
      <c r="S1182" s="423"/>
      <c r="T1182" s="423"/>
      <c r="U1182" s="423"/>
      <c r="V1182" s="423"/>
      <c r="W1182" s="423"/>
      <c r="X1182" s="423"/>
      <c r="Y1182" s="423"/>
      <c r="Z1182" s="423"/>
    </row>
    <row r="1183">
      <c r="A1183" s="562">
        <v>1181.0</v>
      </c>
      <c r="B1183" s="563" t="s">
        <v>6278</v>
      </c>
      <c r="C1183" s="563" t="s">
        <v>6272</v>
      </c>
      <c r="D1183" s="562">
        <v>0.0</v>
      </c>
      <c r="E1183" s="562">
        <v>0.0</v>
      </c>
      <c r="F1183" s="562">
        <v>0.0</v>
      </c>
      <c r="G1183" s="562">
        <v>8.0</v>
      </c>
      <c r="H1183" s="562">
        <v>0.0</v>
      </c>
      <c r="I1183" s="423"/>
      <c r="J1183" s="423"/>
      <c r="K1183" s="423"/>
      <c r="L1183" s="423"/>
      <c r="M1183" s="423"/>
      <c r="N1183" s="423"/>
      <c r="O1183" s="423"/>
      <c r="P1183" s="423"/>
      <c r="Q1183" s="423"/>
      <c r="R1183" s="423"/>
      <c r="S1183" s="423"/>
      <c r="T1183" s="423"/>
      <c r="U1183" s="423"/>
      <c r="V1183" s="423"/>
      <c r="W1183" s="423"/>
      <c r="X1183" s="423"/>
      <c r="Y1183" s="423"/>
      <c r="Z1183" s="423"/>
    </row>
    <row r="1184">
      <c r="A1184" s="564">
        <v>1182.0</v>
      </c>
      <c r="B1184" s="565" t="s">
        <v>6279</v>
      </c>
      <c r="C1184" s="565" t="s">
        <v>6272</v>
      </c>
      <c r="D1184" s="564">
        <v>0.0</v>
      </c>
      <c r="E1184" s="564">
        <v>0.0</v>
      </c>
      <c r="F1184" s="564">
        <v>0.0</v>
      </c>
      <c r="G1184" s="564">
        <v>8.0</v>
      </c>
      <c r="H1184" s="564">
        <v>0.0</v>
      </c>
      <c r="I1184" s="423"/>
      <c r="J1184" s="423"/>
      <c r="K1184" s="423"/>
      <c r="L1184" s="423"/>
      <c r="M1184" s="423"/>
      <c r="N1184" s="423"/>
      <c r="O1184" s="423"/>
      <c r="P1184" s="423"/>
      <c r="Q1184" s="423"/>
      <c r="R1184" s="423"/>
      <c r="S1184" s="423"/>
      <c r="T1184" s="423"/>
      <c r="U1184" s="423"/>
      <c r="V1184" s="423"/>
      <c r="W1184" s="423"/>
      <c r="X1184" s="423"/>
      <c r="Y1184" s="423"/>
      <c r="Z1184" s="423"/>
    </row>
    <row r="1185">
      <c r="A1185" s="562">
        <v>1183.0</v>
      </c>
      <c r="B1185" s="563" t="s">
        <v>6280</v>
      </c>
      <c r="C1185" s="563" t="s">
        <v>6272</v>
      </c>
      <c r="D1185" s="562">
        <v>0.0</v>
      </c>
      <c r="E1185" s="562">
        <v>0.0</v>
      </c>
      <c r="F1185" s="562">
        <v>0.0</v>
      </c>
      <c r="G1185" s="562">
        <v>8.0</v>
      </c>
      <c r="H1185" s="562">
        <v>0.0</v>
      </c>
      <c r="I1185" s="423"/>
      <c r="J1185" s="423"/>
      <c r="K1185" s="423"/>
      <c r="L1185" s="423"/>
      <c r="M1185" s="423"/>
      <c r="N1185" s="423"/>
      <c r="O1185" s="423"/>
      <c r="P1185" s="423"/>
      <c r="Q1185" s="423"/>
      <c r="R1185" s="423"/>
      <c r="S1185" s="423"/>
      <c r="T1185" s="423"/>
      <c r="U1185" s="423"/>
      <c r="V1185" s="423"/>
      <c r="W1185" s="423"/>
      <c r="X1185" s="423"/>
      <c r="Y1185" s="423"/>
      <c r="Z1185" s="423"/>
    </row>
    <row r="1186">
      <c r="A1186" s="564">
        <v>1184.0</v>
      </c>
      <c r="B1186" s="565" t="s">
        <v>6281</v>
      </c>
      <c r="C1186" s="565" t="s">
        <v>6272</v>
      </c>
      <c r="D1186" s="564">
        <v>0.0</v>
      </c>
      <c r="E1186" s="564">
        <v>0.0</v>
      </c>
      <c r="F1186" s="564">
        <v>0.0</v>
      </c>
      <c r="G1186" s="564">
        <v>8.0</v>
      </c>
      <c r="H1186" s="564">
        <v>0.0</v>
      </c>
      <c r="I1186" s="423"/>
      <c r="J1186" s="423"/>
      <c r="K1186" s="423"/>
      <c r="L1186" s="423"/>
      <c r="M1186" s="423"/>
      <c r="N1186" s="423"/>
      <c r="O1186" s="423"/>
      <c r="P1186" s="423"/>
      <c r="Q1186" s="423"/>
      <c r="R1186" s="423"/>
      <c r="S1186" s="423"/>
      <c r="T1186" s="423"/>
      <c r="U1186" s="423"/>
      <c r="V1186" s="423"/>
      <c r="W1186" s="423"/>
      <c r="X1186" s="423"/>
      <c r="Y1186" s="423"/>
      <c r="Z1186" s="423"/>
    </row>
    <row r="1187">
      <c r="A1187" s="562">
        <v>1185.0</v>
      </c>
      <c r="B1187" s="563" t="s">
        <v>6282</v>
      </c>
      <c r="C1187" s="563" t="s">
        <v>6272</v>
      </c>
      <c r="D1187" s="562">
        <v>0.0</v>
      </c>
      <c r="E1187" s="562">
        <v>0.0</v>
      </c>
      <c r="F1187" s="562">
        <v>0.0</v>
      </c>
      <c r="G1187" s="562">
        <v>8.0</v>
      </c>
      <c r="H1187" s="562">
        <v>0.0</v>
      </c>
      <c r="I1187" s="423"/>
      <c r="J1187" s="423"/>
      <c r="K1187" s="423"/>
      <c r="L1187" s="423"/>
      <c r="M1187" s="423"/>
      <c r="N1187" s="423"/>
      <c r="O1187" s="423"/>
      <c r="P1187" s="423"/>
      <c r="Q1187" s="423"/>
      <c r="R1187" s="423"/>
      <c r="S1187" s="423"/>
      <c r="T1187" s="423"/>
      <c r="U1187" s="423"/>
      <c r="V1187" s="423"/>
      <c r="W1187" s="423"/>
      <c r="X1187" s="423"/>
      <c r="Y1187" s="423"/>
      <c r="Z1187" s="423"/>
    </row>
    <row r="1188">
      <c r="A1188" s="564">
        <v>1186.0</v>
      </c>
      <c r="B1188" s="565" t="s">
        <v>6283</v>
      </c>
      <c r="C1188" s="565" t="s">
        <v>6272</v>
      </c>
      <c r="D1188" s="564">
        <v>0.0</v>
      </c>
      <c r="E1188" s="564">
        <v>0.0</v>
      </c>
      <c r="F1188" s="564">
        <v>0.0</v>
      </c>
      <c r="G1188" s="564">
        <v>8.0</v>
      </c>
      <c r="H1188" s="564">
        <v>0.0</v>
      </c>
      <c r="I1188" s="423"/>
      <c r="J1188" s="423"/>
      <c r="K1188" s="423"/>
      <c r="L1188" s="423"/>
      <c r="M1188" s="423"/>
      <c r="N1188" s="423"/>
      <c r="O1188" s="423"/>
      <c r="P1188" s="423"/>
      <c r="Q1188" s="423"/>
      <c r="R1188" s="423"/>
      <c r="S1188" s="423"/>
      <c r="T1188" s="423"/>
      <c r="U1188" s="423"/>
      <c r="V1188" s="423"/>
      <c r="W1188" s="423"/>
      <c r="X1188" s="423"/>
      <c r="Y1188" s="423"/>
      <c r="Z1188" s="423"/>
    </row>
    <row r="1189">
      <c r="A1189" s="562">
        <v>1187.0</v>
      </c>
      <c r="B1189" s="563" t="s">
        <v>6284</v>
      </c>
      <c r="C1189" s="563" t="s">
        <v>6272</v>
      </c>
      <c r="D1189" s="562">
        <v>0.0</v>
      </c>
      <c r="E1189" s="562">
        <v>0.0</v>
      </c>
      <c r="F1189" s="562">
        <v>0.0</v>
      </c>
      <c r="G1189" s="562">
        <v>8.0</v>
      </c>
      <c r="H1189" s="562">
        <v>0.0</v>
      </c>
      <c r="I1189" s="423"/>
      <c r="J1189" s="423"/>
      <c r="K1189" s="423"/>
      <c r="L1189" s="423"/>
      <c r="M1189" s="423"/>
      <c r="N1189" s="423"/>
      <c r="O1189" s="423"/>
      <c r="P1189" s="423"/>
      <c r="Q1189" s="423"/>
      <c r="R1189" s="423"/>
      <c r="S1189" s="423"/>
      <c r="T1189" s="423"/>
      <c r="U1189" s="423"/>
      <c r="V1189" s="423"/>
      <c r="W1189" s="423"/>
      <c r="X1189" s="423"/>
      <c r="Y1189" s="423"/>
      <c r="Z1189" s="423"/>
    </row>
    <row r="1190">
      <c r="A1190" s="564">
        <v>1188.0</v>
      </c>
      <c r="B1190" s="565" t="s">
        <v>6285</v>
      </c>
      <c r="C1190" s="565" t="s">
        <v>6272</v>
      </c>
      <c r="D1190" s="564">
        <v>0.0</v>
      </c>
      <c r="E1190" s="564">
        <v>0.0</v>
      </c>
      <c r="F1190" s="564">
        <v>0.0</v>
      </c>
      <c r="G1190" s="564">
        <v>8.0</v>
      </c>
      <c r="H1190" s="564">
        <v>0.0</v>
      </c>
      <c r="I1190" s="423"/>
      <c r="J1190" s="423"/>
      <c r="K1190" s="423"/>
      <c r="L1190" s="423"/>
      <c r="M1190" s="423"/>
      <c r="N1190" s="423"/>
      <c r="O1190" s="423"/>
      <c r="P1190" s="423"/>
      <c r="Q1190" s="423"/>
      <c r="R1190" s="423"/>
      <c r="S1190" s="423"/>
      <c r="T1190" s="423"/>
      <c r="U1190" s="423"/>
      <c r="V1190" s="423"/>
      <c r="W1190" s="423"/>
      <c r="X1190" s="423"/>
      <c r="Y1190" s="423"/>
      <c r="Z1190" s="423"/>
    </row>
    <row r="1191">
      <c r="A1191" s="562">
        <v>1189.0</v>
      </c>
      <c r="B1191" s="563" t="s">
        <v>6286</v>
      </c>
      <c r="C1191" s="563" t="s">
        <v>6272</v>
      </c>
      <c r="D1191" s="562">
        <v>0.0</v>
      </c>
      <c r="E1191" s="562">
        <v>0.0</v>
      </c>
      <c r="F1191" s="562">
        <v>0.0</v>
      </c>
      <c r="G1191" s="562">
        <v>8.0</v>
      </c>
      <c r="H1191" s="562">
        <v>0.0</v>
      </c>
      <c r="I1191" s="423"/>
      <c r="J1191" s="423"/>
      <c r="K1191" s="423"/>
      <c r="L1191" s="423"/>
      <c r="M1191" s="423"/>
      <c r="N1191" s="423"/>
      <c r="O1191" s="423"/>
      <c r="P1191" s="423"/>
      <c r="Q1191" s="423"/>
      <c r="R1191" s="423"/>
      <c r="S1191" s="423"/>
      <c r="T1191" s="423"/>
      <c r="U1191" s="423"/>
      <c r="V1191" s="423"/>
      <c r="W1191" s="423"/>
      <c r="X1191" s="423"/>
      <c r="Y1191" s="423"/>
      <c r="Z1191" s="423"/>
    </row>
    <row r="1192">
      <c r="A1192" s="564">
        <v>1190.0</v>
      </c>
      <c r="B1192" s="565" t="s">
        <v>6287</v>
      </c>
      <c r="C1192" s="565" t="s">
        <v>6272</v>
      </c>
      <c r="D1192" s="564">
        <v>0.0</v>
      </c>
      <c r="E1192" s="564">
        <v>0.0</v>
      </c>
      <c r="F1192" s="564">
        <v>0.0</v>
      </c>
      <c r="G1192" s="564">
        <v>8.0</v>
      </c>
      <c r="H1192" s="564">
        <v>0.0</v>
      </c>
      <c r="I1192" s="423"/>
      <c r="J1192" s="423"/>
      <c r="K1192" s="423"/>
      <c r="L1192" s="423"/>
      <c r="M1192" s="423"/>
      <c r="N1192" s="423"/>
      <c r="O1192" s="423"/>
      <c r="P1192" s="423"/>
      <c r="Q1192" s="423"/>
      <c r="R1192" s="423"/>
      <c r="S1192" s="423"/>
      <c r="T1192" s="423"/>
      <c r="U1192" s="423"/>
      <c r="V1192" s="423"/>
      <c r="W1192" s="423"/>
      <c r="X1192" s="423"/>
      <c r="Y1192" s="423"/>
      <c r="Z1192" s="423"/>
    </row>
    <row r="1193">
      <c r="A1193" s="562">
        <v>1191.0</v>
      </c>
      <c r="B1193" s="563" t="s">
        <v>6288</v>
      </c>
      <c r="C1193" s="563" t="s">
        <v>6272</v>
      </c>
      <c r="D1193" s="562">
        <v>0.0</v>
      </c>
      <c r="E1193" s="562">
        <v>0.0</v>
      </c>
      <c r="F1193" s="562">
        <v>0.0</v>
      </c>
      <c r="G1193" s="562">
        <v>8.0</v>
      </c>
      <c r="H1193" s="562">
        <v>0.0</v>
      </c>
      <c r="I1193" s="423"/>
      <c r="J1193" s="423"/>
      <c r="K1193" s="423"/>
      <c r="L1193" s="423"/>
      <c r="M1193" s="423"/>
      <c r="N1193" s="423"/>
      <c r="O1193" s="423"/>
      <c r="P1193" s="423"/>
      <c r="Q1193" s="423"/>
      <c r="R1193" s="423"/>
      <c r="S1193" s="423"/>
      <c r="T1193" s="423"/>
      <c r="U1193" s="423"/>
      <c r="V1193" s="423"/>
      <c r="W1193" s="423"/>
      <c r="X1193" s="423"/>
      <c r="Y1193" s="423"/>
      <c r="Z1193" s="423"/>
    </row>
    <row r="1194">
      <c r="A1194" s="564">
        <v>1192.0</v>
      </c>
      <c r="B1194" s="565" t="s">
        <v>6289</v>
      </c>
      <c r="C1194" s="565" t="s">
        <v>6272</v>
      </c>
      <c r="D1194" s="564">
        <v>0.0</v>
      </c>
      <c r="E1194" s="564">
        <v>0.0</v>
      </c>
      <c r="F1194" s="564">
        <v>0.0</v>
      </c>
      <c r="G1194" s="564">
        <v>8.0</v>
      </c>
      <c r="H1194" s="564">
        <v>0.0</v>
      </c>
      <c r="I1194" s="423"/>
      <c r="J1194" s="423"/>
      <c r="K1194" s="423"/>
      <c r="L1194" s="423"/>
      <c r="M1194" s="423"/>
      <c r="N1194" s="423"/>
      <c r="O1194" s="423"/>
      <c r="P1194" s="423"/>
      <c r="Q1194" s="423"/>
      <c r="R1194" s="423"/>
      <c r="S1194" s="423"/>
      <c r="T1194" s="423"/>
      <c r="U1194" s="423"/>
      <c r="V1194" s="423"/>
      <c r="W1194" s="423"/>
      <c r="X1194" s="423"/>
      <c r="Y1194" s="423"/>
      <c r="Z1194" s="423"/>
    </row>
    <row r="1195">
      <c r="A1195" s="562">
        <v>1193.0</v>
      </c>
      <c r="B1195" s="563" t="s">
        <v>6290</v>
      </c>
      <c r="C1195" s="563" t="s">
        <v>6272</v>
      </c>
      <c r="D1195" s="562">
        <v>0.0</v>
      </c>
      <c r="E1195" s="562">
        <v>0.0</v>
      </c>
      <c r="F1195" s="562">
        <v>0.0</v>
      </c>
      <c r="G1195" s="562">
        <v>8.0</v>
      </c>
      <c r="H1195" s="562">
        <v>0.0</v>
      </c>
      <c r="I1195" s="423"/>
      <c r="J1195" s="423"/>
      <c r="K1195" s="423"/>
      <c r="L1195" s="423"/>
      <c r="M1195" s="423"/>
      <c r="N1195" s="423"/>
      <c r="O1195" s="423"/>
      <c r="P1195" s="423"/>
      <c r="Q1195" s="423"/>
      <c r="R1195" s="423"/>
      <c r="S1195" s="423"/>
      <c r="T1195" s="423"/>
      <c r="U1195" s="423"/>
      <c r="V1195" s="423"/>
      <c r="W1195" s="423"/>
      <c r="X1195" s="423"/>
      <c r="Y1195" s="423"/>
      <c r="Z1195" s="423"/>
    </row>
    <row r="1196">
      <c r="A1196" s="564">
        <v>1194.0</v>
      </c>
      <c r="B1196" s="565" t="s">
        <v>6291</v>
      </c>
      <c r="C1196" s="565" t="s">
        <v>6272</v>
      </c>
      <c r="D1196" s="564">
        <v>0.0</v>
      </c>
      <c r="E1196" s="564">
        <v>0.0</v>
      </c>
      <c r="F1196" s="564">
        <v>0.0</v>
      </c>
      <c r="G1196" s="564">
        <v>8.0</v>
      </c>
      <c r="H1196" s="564">
        <v>0.0</v>
      </c>
      <c r="I1196" s="423"/>
      <c r="J1196" s="423"/>
      <c r="K1196" s="423"/>
      <c r="L1196" s="423"/>
      <c r="M1196" s="423"/>
      <c r="N1196" s="423"/>
      <c r="O1196" s="423"/>
      <c r="P1196" s="423"/>
      <c r="Q1196" s="423"/>
      <c r="R1196" s="423"/>
      <c r="S1196" s="423"/>
      <c r="T1196" s="423"/>
      <c r="U1196" s="423"/>
      <c r="V1196" s="423"/>
      <c r="W1196" s="423"/>
      <c r="X1196" s="423"/>
      <c r="Y1196" s="423"/>
      <c r="Z1196" s="423"/>
    </row>
    <row r="1197">
      <c r="A1197" s="562">
        <v>1195.0</v>
      </c>
      <c r="B1197" s="563" t="s">
        <v>6292</v>
      </c>
      <c r="C1197" s="563" t="s">
        <v>6272</v>
      </c>
      <c r="D1197" s="562">
        <v>0.0</v>
      </c>
      <c r="E1197" s="562">
        <v>0.0</v>
      </c>
      <c r="F1197" s="562">
        <v>0.0</v>
      </c>
      <c r="G1197" s="562">
        <v>8.0</v>
      </c>
      <c r="H1197" s="562">
        <v>0.0</v>
      </c>
      <c r="I1197" s="423"/>
      <c r="J1197" s="423"/>
      <c r="K1197" s="423"/>
      <c r="L1197" s="423"/>
      <c r="M1197" s="423"/>
      <c r="N1197" s="423"/>
      <c r="O1197" s="423"/>
      <c r="P1197" s="423"/>
      <c r="Q1197" s="423"/>
      <c r="R1197" s="423"/>
      <c r="S1197" s="423"/>
      <c r="T1197" s="423"/>
      <c r="U1197" s="423"/>
      <c r="V1197" s="423"/>
      <c r="W1197" s="423"/>
      <c r="X1197" s="423"/>
      <c r="Y1197" s="423"/>
      <c r="Z1197" s="423"/>
    </row>
    <row r="1198">
      <c r="A1198" s="564">
        <v>1196.0</v>
      </c>
      <c r="B1198" s="565" t="s">
        <v>6293</v>
      </c>
      <c r="C1198" s="565" t="s">
        <v>6272</v>
      </c>
      <c r="D1198" s="564">
        <v>0.0</v>
      </c>
      <c r="E1198" s="564">
        <v>0.0</v>
      </c>
      <c r="F1198" s="564">
        <v>0.0</v>
      </c>
      <c r="G1198" s="564">
        <v>8.0</v>
      </c>
      <c r="H1198" s="564">
        <v>0.0</v>
      </c>
      <c r="I1198" s="423"/>
      <c r="J1198" s="423"/>
      <c r="K1198" s="423"/>
      <c r="L1198" s="423"/>
      <c r="M1198" s="423"/>
      <c r="N1198" s="423"/>
      <c r="O1198" s="423"/>
      <c r="P1198" s="423"/>
      <c r="Q1198" s="423"/>
      <c r="R1198" s="423"/>
      <c r="S1198" s="423"/>
      <c r="T1198" s="423"/>
      <c r="U1198" s="423"/>
      <c r="V1198" s="423"/>
      <c r="W1198" s="423"/>
      <c r="X1198" s="423"/>
      <c r="Y1198" s="423"/>
      <c r="Z1198" s="423"/>
    </row>
    <row r="1199">
      <c r="A1199" s="562">
        <v>1197.0</v>
      </c>
      <c r="B1199" s="563" t="s">
        <v>6294</v>
      </c>
      <c r="C1199" s="563" t="s">
        <v>6272</v>
      </c>
      <c r="D1199" s="562">
        <v>0.0</v>
      </c>
      <c r="E1199" s="562">
        <v>0.0</v>
      </c>
      <c r="F1199" s="562">
        <v>0.0</v>
      </c>
      <c r="G1199" s="562">
        <v>8.0</v>
      </c>
      <c r="H1199" s="562">
        <v>0.0</v>
      </c>
      <c r="I1199" s="423"/>
      <c r="J1199" s="423"/>
      <c r="K1199" s="423"/>
      <c r="L1199" s="423"/>
      <c r="M1199" s="423"/>
      <c r="N1199" s="423"/>
      <c r="O1199" s="423"/>
      <c r="P1199" s="423"/>
      <c r="Q1199" s="423"/>
      <c r="R1199" s="423"/>
      <c r="S1199" s="423"/>
      <c r="T1199" s="423"/>
      <c r="U1199" s="423"/>
      <c r="V1199" s="423"/>
      <c r="W1199" s="423"/>
      <c r="X1199" s="423"/>
      <c r="Y1199" s="423"/>
      <c r="Z1199" s="423"/>
    </row>
    <row r="1200">
      <c r="A1200" s="564">
        <v>1198.0</v>
      </c>
      <c r="B1200" s="565" t="s">
        <v>6295</v>
      </c>
      <c r="C1200" s="565" t="s">
        <v>6272</v>
      </c>
      <c r="D1200" s="564">
        <v>0.0</v>
      </c>
      <c r="E1200" s="564">
        <v>0.0</v>
      </c>
      <c r="F1200" s="564">
        <v>0.0</v>
      </c>
      <c r="G1200" s="564">
        <v>8.0</v>
      </c>
      <c r="H1200" s="564">
        <v>0.0</v>
      </c>
      <c r="I1200" s="423"/>
      <c r="J1200" s="423"/>
      <c r="K1200" s="423"/>
      <c r="L1200" s="423"/>
      <c r="M1200" s="423"/>
      <c r="N1200" s="423"/>
      <c r="O1200" s="423"/>
      <c r="P1200" s="423"/>
      <c r="Q1200" s="423"/>
      <c r="R1200" s="423"/>
      <c r="S1200" s="423"/>
      <c r="T1200" s="423"/>
      <c r="U1200" s="423"/>
      <c r="V1200" s="423"/>
      <c r="W1200" s="423"/>
      <c r="X1200" s="423"/>
      <c r="Y1200" s="423"/>
      <c r="Z1200" s="423"/>
    </row>
    <row r="1201">
      <c r="A1201" s="562">
        <v>1199.0</v>
      </c>
      <c r="B1201" s="563" t="s">
        <v>6296</v>
      </c>
      <c r="C1201" s="563" t="s">
        <v>6272</v>
      </c>
      <c r="D1201" s="562">
        <v>0.0</v>
      </c>
      <c r="E1201" s="562">
        <v>0.0</v>
      </c>
      <c r="F1201" s="562">
        <v>0.0</v>
      </c>
      <c r="G1201" s="562">
        <v>8.0</v>
      </c>
      <c r="H1201" s="562">
        <v>0.0</v>
      </c>
      <c r="I1201" s="423"/>
      <c r="J1201" s="423"/>
      <c r="K1201" s="423"/>
      <c r="L1201" s="423"/>
      <c r="M1201" s="423"/>
      <c r="N1201" s="423"/>
      <c r="O1201" s="423"/>
      <c r="P1201" s="423"/>
      <c r="Q1201" s="423"/>
      <c r="R1201" s="423"/>
      <c r="S1201" s="423"/>
      <c r="T1201" s="423"/>
      <c r="U1201" s="423"/>
      <c r="V1201" s="423"/>
      <c r="W1201" s="423"/>
      <c r="X1201" s="423"/>
      <c r="Y1201" s="423"/>
      <c r="Z1201" s="423"/>
    </row>
    <row r="1202">
      <c r="A1202" s="564">
        <v>1200.0</v>
      </c>
      <c r="B1202" s="565" t="s">
        <v>6297</v>
      </c>
      <c r="C1202" s="565" t="s">
        <v>6272</v>
      </c>
      <c r="D1202" s="564">
        <v>0.0</v>
      </c>
      <c r="E1202" s="564">
        <v>0.0</v>
      </c>
      <c r="F1202" s="564">
        <v>0.0</v>
      </c>
      <c r="G1202" s="564">
        <v>8.0</v>
      </c>
      <c r="H1202" s="564">
        <v>0.0</v>
      </c>
      <c r="I1202" s="423"/>
      <c r="J1202" s="423"/>
      <c r="K1202" s="423"/>
      <c r="L1202" s="423"/>
      <c r="M1202" s="423"/>
      <c r="N1202" s="423"/>
      <c r="O1202" s="423"/>
      <c r="P1202" s="423"/>
      <c r="Q1202" s="423"/>
      <c r="R1202" s="423"/>
      <c r="S1202" s="423"/>
      <c r="T1202" s="423"/>
      <c r="U1202" s="423"/>
      <c r="V1202" s="423"/>
      <c r="W1202" s="423"/>
      <c r="X1202" s="423"/>
      <c r="Y1202" s="423"/>
      <c r="Z1202" s="423"/>
    </row>
    <row r="1203">
      <c r="A1203" s="562">
        <v>1201.0</v>
      </c>
      <c r="B1203" s="563" t="s">
        <v>6298</v>
      </c>
      <c r="C1203" s="563" t="s">
        <v>6272</v>
      </c>
      <c r="D1203" s="562">
        <v>0.0</v>
      </c>
      <c r="E1203" s="562">
        <v>0.0</v>
      </c>
      <c r="F1203" s="562">
        <v>0.0</v>
      </c>
      <c r="G1203" s="562">
        <v>8.0</v>
      </c>
      <c r="H1203" s="562">
        <v>0.0</v>
      </c>
      <c r="I1203" s="423"/>
      <c r="J1203" s="423"/>
      <c r="K1203" s="423"/>
      <c r="L1203" s="423"/>
      <c r="M1203" s="423"/>
      <c r="N1203" s="423"/>
      <c r="O1203" s="423"/>
      <c r="P1203" s="423"/>
      <c r="Q1203" s="423"/>
      <c r="R1203" s="423"/>
      <c r="S1203" s="423"/>
      <c r="T1203" s="423"/>
      <c r="U1203" s="423"/>
      <c r="V1203" s="423"/>
      <c r="W1203" s="423"/>
      <c r="X1203" s="423"/>
      <c r="Y1203" s="423"/>
      <c r="Z1203" s="423"/>
    </row>
    <row r="1204">
      <c r="A1204" s="564">
        <v>1202.0</v>
      </c>
      <c r="B1204" s="565" t="s">
        <v>6299</v>
      </c>
      <c r="C1204" s="565" t="s">
        <v>6272</v>
      </c>
      <c r="D1204" s="564">
        <v>0.0</v>
      </c>
      <c r="E1204" s="564">
        <v>0.0</v>
      </c>
      <c r="F1204" s="564">
        <v>0.0</v>
      </c>
      <c r="G1204" s="564">
        <v>8.0</v>
      </c>
      <c r="H1204" s="564">
        <v>0.0</v>
      </c>
      <c r="I1204" s="423"/>
      <c r="J1204" s="423"/>
      <c r="K1204" s="423"/>
      <c r="L1204" s="423"/>
      <c r="M1204" s="423"/>
      <c r="N1204" s="423"/>
      <c r="O1204" s="423"/>
      <c r="P1204" s="423"/>
      <c r="Q1204" s="423"/>
      <c r="R1204" s="423"/>
      <c r="S1204" s="423"/>
      <c r="T1204" s="423"/>
      <c r="U1204" s="423"/>
      <c r="V1204" s="423"/>
      <c r="W1204" s="423"/>
      <c r="X1204" s="423"/>
      <c r="Y1204" s="423"/>
      <c r="Z1204" s="423"/>
    </row>
    <row r="1205">
      <c r="A1205" s="562">
        <v>1203.0</v>
      </c>
      <c r="B1205" s="563" t="s">
        <v>6300</v>
      </c>
      <c r="C1205" s="563" t="s">
        <v>6272</v>
      </c>
      <c r="D1205" s="562">
        <v>0.0</v>
      </c>
      <c r="E1205" s="562">
        <v>0.0</v>
      </c>
      <c r="F1205" s="562">
        <v>0.0</v>
      </c>
      <c r="G1205" s="562">
        <v>8.0</v>
      </c>
      <c r="H1205" s="562">
        <v>0.0</v>
      </c>
      <c r="I1205" s="423"/>
      <c r="J1205" s="423"/>
      <c r="K1205" s="423"/>
      <c r="L1205" s="423"/>
      <c r="M1205" s="423"/>
      <c r="N1205" s="423"/>
      <c r="O1205" s="423"/>
      <c r="P1205" s="423"/>
      <c r="Q1205" s="423"/>
      <c r="R1205" s="423"/>
      <c r="S1205" s="423"/>
      <c r="T1205" s="423"/>
      <c r="U1205" s="423"/>
      <c r="V1205" s="423"/>
      <c r="W1205" s="423"/>
      <c r="X1205" s="423"/>
      <c r="Y1205" s="423"/>
      <c r="Z1205" s="423"/>
    </row>
    <row r="1206">
      <c r="A1206" s="564">
        <v>1204.0</v>
      </c>
      <c r="B1206" s="565" t="s">
        <v>6301</v>
      </c>
      <c r="C1206" s="565" t="s">
        <v>6272</v>
      </c>
      <c r="D1206" s="564">
        <v>0.0</v>
      </c>
      <c r="E1206" s="564">
        <v>0.0</v>
      </c>
      <c r="F1206" s="564">
        <v>0.0</v>
      </c>
      <c r="G1206" s="564">
        <v>8.0</v>
      </c>
      <c r="H1206" s="564">
        <v>0.0</v>
      </c>
      <c r="I1206" s="423"/>
      <c r="J1206" s="423"/>
      <c r="K1206" s="423"/>
      <c r="L1206" s="423"/>
      <c r="M1206" s="423"/>
      <c r="N1206" s="423"/>
      <c r="O1206" s="423"/>
      <c r="P1206" s="423"/>
      <c r="Q1206" s="423"/>
      <c r="R1206" s="423"/>
      <c r="S1206" s="423"/>
      <c r="T1206" s="423"/>
      <c r="U1206" s="423"/>
      <c r="V1206" s="423"/>
      <c r="W1206" s="423"/>
      <c r="X1206" s="423"/>
      <c r="Y1206" s="423"/>
      <c r="Z1206" s="423"/>
    </row>
    <row r="1207">
      <c r="A1207" s="562">
        <v>1205.0</v>
      </c>
      <c r="B1207" s="563" t="s">
        <v>6302</v>
      </c>
      <c r="C1207" s="563" t="s">
        <v>6272</v>
      </c>
      <c r="D1207" s="562">
        <v>0.0</v>
      </c>
      <c r="E1207" s="562">
        <v>0.0</v>
      </c>
      <c r="F1207" s="562">
        <v>0.0</v>
      </c>
      <c r="G1207" s="562">
        <v>8.0</v>
      </c>
      <c r="H1207" s="562">
        <v>0.0</v>
      </c>
      <c r="I1207" s="423"/>
      <c r="J1207" s="423"/>
      <c r="K1207" s="423"/>
      <c r="L1207" s="423"/>
      <c r="M1207" s="423"/>
      <c r="N1207" s="423"/>
      <c r="O1207" s="423"/>
      <c r="P1207" s="423"/>
      <c r="Q1207" s="423"/>
      <c r="R1207" s="423"/>
      <c r="S1207" s="423"/>
      <c r="T1207" s="423"/>
      <c r="U1207" s="423"/>
      <c r="V1207" s="423"/>
      <c r="W1207" s="423"/>
      <c r="X1207" s="423"/>
      <c r="Y1207" s="423"/>
      <c r="Z1207" s="423"/>
    </row>
    <row r="1208">
      <c r="A1208" s="564">
        <v>1206.0</v>
      </c>
      <c r="B1208" s="565" t="s">
        <v>6303</v>
      </c>
      <c r="C1208" s="565" t="s">
        <v>6272</v>
      </c>
      <c r="D1208" s="564">
        <v>0.0</v>
      </c>
      <c r="E1208" s="564">
        <v>0.0</v>
      </c>
      <c r="F1208" s="564">
        <v>0.0</v>
      </c>
      <c r="G1208" s="564">
        <v>8.0</v>
      </c>
      <c r="H1208" s="564">
        <v>0.0</v>
      </c>
      <c r="I1208" s="423"/>
      <c r="J1208" s="423"/>
      <c r="K1208" s="423"/>
      <c r="L1208" s="423"/>
      <c r="M1208" s="423"/>
      <c r="N1208" s="423"/>
      <c r="O1208" s="423"/>
      <c r="P1208" s="423"/>
      <c r="Q1208" s="423"/>
      <c r="R1208" s="423"/>
      <c r="S1208" s="423"/>
      <c r="T1208" s="423"/>
      <c r="U1208" s="423"/>
      <c r="V1208" s="423"/>
      <c r="W1208" s="423"/>
      <c r="X1208" s="423"/>
      <c r="Y1208" s="423"/>
      <c r="Z1208" s="423"/>
    </row>
    <row r="1209">
      <c r="A1209" s="562">
        <v>1207.0</v>
      </c>
      <c r="B1209" s="563" t="s">
        <v>6304</v>
      </c>
      <c r="C1209" s="563" t="s">
        <v>6272</v>
      </c>
      <c r="D1209" s="562">
        <v>0.0</v>
      </c>
      <c r="E1209" s="562">
        <v>0.0</v>
      </c>
      <c r="F1209" s="562">
        <v>0.0</v>
      </c>
      <c r="G1209" s="562">
        <v>8.0</v>
      </c>
      <c r="H1209" s="562">
        <v>0.0</v>
      </c>
      <c r="I1209" s="423"/>
      <c r="J1209" s="423"/>
      <c r="K1209" s="423"/>
      <c r="L1209" s="423"/>
      <c r="M1209" s="423"/>
      <c r="N1209" s="423"/>
      <c r="O1209" s="423"/>
      <c r="P1209" s="423"/>
      <c r="Q1209" s="423"/>
      <c r="R1209" s="423"/>
      <c r="S1209" s="423"/>
      <c r="T1209" s="423"/>
      <c r="U1209" s="423"/>
      <c r="V1209" s="423"/>
      <c r="W1209" s="423"/>
      <c r="X1209" s="423"/>
      <c r="Y1209" s="423"/>
      <c r="Z1209" s="423"/>
    </row>
    <row r="1210">
      <c r="A1210" s="564">
        <v>1208.0</v>
      </c>
      <c r="B1210" s="565" t="s">
        <v>6305</v>
      </c>
      <c r="C1210" s="565" t="s">
        <v>6272</v>
      </c>
      <c r="D1210" s="564">
        <v>0.0</v>
      </c>
      <c r="E1210" s="564">
        <v>0.0</v>
      </c>
      <c r="F1210" s="564">
        <v>0.0</v>
      </c>
      <c r="G1210" s="564">
        <v>8.0</v>
      </c>
      <c r="H1210" s="564">
        <v>0.0</v>
      </c>
      <c r="I1210" s="423"/>
      <c r="J1210" s="423"/>
      <c r="K1210" s="423"/>
      <c r="L1210" s="423"/>
      <c r="M1210" s="423"/>
      <c r="N1210" s="423"/>
      <c r="O1210" s="423"/>
      <c r="P1210" s="423"/>
      <c r="Q1210" s="423"/>
      <c r="R1210" s="423"/>
      <c r="S1210" s="423"/>
      <c r="T1210" s="423"/>
      <c r="U1210" s="423"/>
      <c r="V1210" s="423"/>
      <c r="W1210" s="423"/>
      <c r="X1210" s="423"/>
      <c r="Y1210" s="423"/>
      <c r="Z1210" s="423"/>
    </row>
    <row r="1211">
      <c r="A1211" s="562">
        <v>1209.0</v>
      </c>
      <c r="B1211" s="563" t="s">
        <v>6306</v>
      </c>
      <c r="C1211" s="563" t="s">
        <v>6272</v>
      </c>
      <c r="D1211" s="562">
        <v>0.0</v>
      </c>
      <c r="E1211" s="562">
        <v>0.0</v>
      </c>
      <c r="F1211" s="562">
        <v>0.0</v>
      </c>
      <c r="G1211" s="562">
        <v>8.0</v>
      </c>
      <c r="H1211" s="562">
        <v>0.0</v>
      </c>
      <c r="I1211" s="423"/>
      <c r="J1211" s="423"/>
      <c r="K1211" s="423"/>
      <c r="L1211" s="423"/>
      <c r="M1211" s="423"/>
      <c r="N1211" s="423"/>
      <c r="O1211" s="423"/>
      <c r="P1211" s="423"/>
      <c r="Q1211" s="423"/>
      <c r="R1211" s="423"/>
      <c r="S1211" s="423"/>
      <c r="T1211" s="423"/>
      <c r="U1211" s="423"/>
      <c r="V1211" s="423"/>
      <c r="W1211" s="423"/>
      <c r="X1211" s="423"/>
      <c r="Y1211" s="423"/>
      <c r="Z1211" s="423"/>
    </row>
    <row r="1212">
      <c r="A1212" s="564">
        <v>1210.0</v>
      </c>
      <c r="B1212" s="565" t="s">
        <v>6307</v>
      </c>
      <c r="C1212" s="565" t="s">
        <v>6272</v>
      </c>
      <c r="D1212" s="564">
        <v>0.0</v>
      </c>
      <c r="E1212" s="564">
        <v>0.0</v>
      </c>
      <c r="F1212" s="564">
        <v>0.0</v>
      </c>
      <c r="G1212" s="564">
        <v>8.0</v>
      </c>
      <c r="H1212" s="564">
        <v>0.0</v>
      </c>
      <c r="I1212" s="423"/>
      <c r="J1212" s="423"/>
      <c r="K1212" s="423"/>
      <c r="L1212" s="423"/>
      <c r="M1212" s="423"/>
      <c r="N1212" s="423"/>
      <c r="O1212" s="423"/>
      <c r="P1212" s="423"/>
      <c r="Q1212" s="423"/>
      <c r="R1212" s="423"/>
      <c r="S1212" s="423"/>
      <c r="T1212" s="423"/>
      <c r="U1212" s="423"/>
      <c r="V1212" s="423"/>
      <c r="W1212" s="423"/>
      <c r="X1212" s="423"/>
      <c r="Y1212" s="423"/>
      <c r="Z1212" s="423"/>
    </row>
    <row r="1213">
      <c r="A1213" s="562">
        <v>1211.0</v>
      </c>
      <c r="B1213" s="563" t="s">
        <v>6308</v>
      </c>
      <c r="C1213" s="563" t="s">
        <v>6309</v>
      </c>
      <c r="D1213" s="562">
        <v>0.0</v>
      </c>
      <c r="E1213" s="562">
        <v>0.0</v>
      </c>
      <c r="F1213" s="562">
        <v>0.0</v>
      </c>
      <c r="G1213" s="562">
        <v>8.0</v>
      </c>
      <c r="H1213" s="562">
        <v>0.0</v>
      </c>
      <c r="I1213" s="423"/>
      <c r="J1213" s="423"/>
      <c r="K1213" s="423"/>
      <c r="L1213" s="423"/>
      <c r="M1213" s="423"/>
      <c r="N1213" s="423"/>
      <c r="O1213" s="423"/>
      <c r="P1213" s="423"/>
      <c r="Q1213" s="423"/>
      <c r="R1213" s="423"/>
      <c r="S1213" s="423"/>
      <c r="T1213" s="423"/>
      <c r="U1213" s="423"/>
      <c r="V1213" s="423"/>
      <c r="W1213" s="423"/>
      <c r="X1213" s="423"/>
      <c r="Y1213" s="423"/>
      <c r="Z1213" s="423"/>
    </row>
    <row r="1214">
      <c r="A1214" s="564">
        <v>1212.0</v>
      </c>
      <c r="B1214" s="565" t="s">
        <v>6310</v>
      </c>
      <c r="C1214" s="565" t="s">
        <v>6309</v>
      </c>
      <c r="D1214" s="564">
        <v>0.0</v>
      </c>
      <c r="E1214" s="564">
        <v>0.0</v>
      </c>
      <c r="F1214" s="564">
        <v>0.0</v>
      </c>
      <c r="G1214" s="564">
        <v>8.0</v>
      </c>
      <c r="H1214" s="564">
        <v>0.0</v>
      </c>
      <c r="I1214" s="423"/>
      <c r="J1214" s="423"/>
      <c r="K1214" s="423"/>
      <c r="L1214" s="423"/>
      <c r="M1214" s="423"/>
      <c r="N1214" s="423"/>
      <c r="O1214" s="423"/>
      <c r="P1214" s="423"/>
      <c r="Q1214" s="423"/>
      <c r="R1214" s="423"/>
      <c r="S1214" s="423"/>
      <c r="T1214" s="423"/>
      <c r="U1214" s="423"/>
      <c r="V1214" s="423"/>
      <c r="W1214" s="423"/>
      <c r="X1214" s="423"/>
      <c r="Y1214" s="423"/>
      <c r="Z1214" s="423"/>
    </row>
    <row r="1215">
      <c r="A1215" s="562">
        <v>1213.0</v>
      </c>
      <c r="B1215" s="563" t="s">
        <v>6311</v>
      </c>
      <c r="C1215" s="563" t="s">
        <v>6309</v>
      </c>
      <c r="D1215" s="562">
        <v>0.0</v>
      </c>
      <c r="E1215" s="562">
        <v>0.0</v>
      </c>
      <c r="F1215" s="562">
        <v>0.0</v>
      </c>
      <c r="G1215" s="562">
        <v>8.0</v>
      </c>
      <c r="H1215" s="562">
        <v>0.0</v>
      </c>
      <c r="I1215" s="423"/>
      <c r="J1215" s="423"/>
      <c r="K1215" s="423"/>
      <c r="L1215" s="423"/>
      <c r="M1215" s="423"/>
      <c r="N1215" s="423"/>
      <c r="O1215" s="423"/>
      <c r="P1215" s="423"/>
      <c r="Q1215" s="423"/>
      <c r="R1215" s="423"/>
      <c r="S1215" s="423"/>
      <c r="T1215" s="423"/>
      <c r="U1215" s="423"/>
      <c r="V1215" s="423"/>
      <c r="W1215" s="423"/>
      <c r="X1215" s="423"/>
      <c r="Y1215" s="423"/>
      <c r="Z1215" s="423"/>
    </row>
    <row r="1216">
      <c r="A1216" s="564">
        <v>1214.0</v>
      </c>
      <c r="B1216" s="565" t="s">
        <v>6312</v>
      </c>
      <c r="C1216" s="565" t="s">
        <v>6309</v>
      </c>
      <c r="D1216" s="564">
        <v>0.0</v>
      </c>
      <c r="E1216" s="564">
        <v>0.0</v>
      </c>
      <c r="F1216" s="564">
        <v>0.0</v>
      </c>
      <c r="G1216" s="564">
        <v>8.0</v>
      </c>
      <c r="H1216" s="564">
        <v>0.0</v>
      </c>
      <c r="I1216" s="423"/>
      <c r="J1216" s="423"/>
      <c r="K1216" s="423"/>
      <c r="L1216" s="423"/>
      <c r="M1216" s="423"/>
      <c r="N1216" s="423"/>
      <c r="O1216" s="423"/>
      <c r="P1216" s="423"/>
      <c r="Q1216" s="423"/>
      <c r="R1216" s="423"/>
      <c r="S1216" s="423"/>
      <c r="T1216" s="423"/>
      <c r="U1216" s="423"/>
      <c r="V1216" s="423"/>
      <c r="W1216" s="423"/>
      <c r="X1216" s="423"/>
      <c r="Y1216" s="423"/>
      <c r="Z1216" s="423"/>
    </row>
    <row r="1217">
      <c r="A1217" s="562">
        <v>1215.0</v>
      </c>
      <c r="B1217" s="563" t="s">
        <v>6313</v>
      </c>
      <c r="C1217" s="563" t="s">
        <v>6309</v>
      </c>
      <c r="D1217" s="562">
        <v>0.0</v>
      </c>
      <c r="E1217" s="562">
        <v>0.0</v>
      </c>
      <c r="F1217" s="562">
        <v>0.0</v>
      </c>
      <c r="G1217" s="562">
        <v>8.0</v>
      </c>
      <c r="H1217" s="562">
        <v>0.0</v>
      </c>
      <c r="I1217" s="423"/>
      <c r="J1217" s="423"/>
      <c r="K1217" s="423"/>
      <c r="L1217" s="423"/>
      <c r="M1217" s="423"/>
      <c r="N1217" s="423"/>
      <c r="O1217" s="423"/>
      <c r="P1217" s="423"/>
      <c r="Q1217" s="423"/>
      <c r="R1217" s="423"/>
      <c r="S1217" s="423"/>
      <c r="T1217" s="423"/>
      <c r="U1217" s="423"/>
      <c r="V1217" s="423"/>
      <c r="W1217" s="423"/>
      <c r="X1217" s="423"/>
      <c r="Y1217" s="423"/>
      <c r="Z1217" s="423"/>
    </row>
    <row r="1218">
      <c r="A1218" s="564">
        <v>1216.0</v>
      </c>
      <c r="B1218" s="565" t="s">
        <v>6314</v>
      </c>
      <c r="C1218" s="565" t="s">
        <v>6309</v>
      </c>
      <c r="D1218" s="564">
        <v>0.0</v>
      </c>
      <c r="E1218" s="564">
        <v>0.0</v>
      </c>
      <c r="F1218" s="564">
        <v>0.0</v>
      </c>
      <c r="G1218" s="564">
        <v>8.0</v>
      </c>
      <c r="H1218" s="564">
        <v>0.0</v>
      </c>
      <c r="I1218" s="423"/>
      <c r="J1218" s="423"/>
      <c r="K1218" s="423"/>
      <c r="L1218" s="423"/>
      <c r="M1218" s="423"/>
      <c r="N1218" s="423"/>
      <c r="O1218" s="423"/>
      <c r="P1218" s="423"/>
      <c r="Q1218" s="423"/>
      <c r="R1218" s="423"/>
      <c r="S1218" s="423"/>
      <c r="T1218" s="423"/>
      <c r="U1218" s="423"/>
      <c r="V1218" s="423"/>
      <c r="W1218" s="423"/>
      <c r="X1218" s="423"/>
      <c r="Y1218" s="423"/>
      <c r="Z1218" s="423"/>
    </row>
    <row r="1219">
      <c r="A1219" s="562">
        <v>1217.0</v>
      </c>
      <c r="B1219" s="563" t="s">
        <v>6315</v>
      </c>
      <c r="C1219" s="563" t="s">
        <v>6309</v>
      </c>
      <c r="D1219" s="562">
        <v>0.0</v>
      </c>
      <c r="E1219" s="562">
        <v>0.0</v>
      </c>
      <c r="F1219" s="562">
        <v>0.0</v>
      </c>
      <c r="G1219" s="562">
        <v>8.0</v>
      </c>
      <c r="H1219" s="562">
        <v>0.0</v>
      </c>
      <c r="I1219" s="423"/>
      <c r="J1219" s="423"/>
      <c r="K1219" s="423"/>
      <c r="L1219" s="423"/>
      <c r="M1219" s="423"/>
      <c r="N1219" s="423"/>
      <c r="O1219" s="423"/>
      <c r="P1219" s="423"/>
      <c r="Q1219" s="423"/>
      <c r="R1219" s="423"/>
      <c r="S1219" s="423"/>
      <c r="T1219" s="423"/>
      <c r="U1219" s="423"/>
      <c r="V1219" s="423"/>
      <c r="W1219" s="423"/>
      <c r="X1219" s="423"/>
      <c r="Y1219" s="423"/>
      <c r="Z1219" s="423"/>
    </row>
    <row r="1220">
      <c r="A1220" s="564">
        <v>1218.0</v>
      </c>
      <c r="B1220" s="565" t="s">
        <v>6316</v>
      </c>
      <c r="C1220" s="565" t="s">
        <v>6309</v>
      </c>
      <c r="D1220" s="564">
        <v>0.0</v>
      </c>
      <c r="E1220" s="564">
        <v>0.0</v>
      </c>
      <c r="F1220" s="564">
        <v>0.0</v>
      </c>
      <c r="G1220" s="564">
        <v>8.0</v>
      </c>
      <c r="H1220" s="564">
        <v>0.0</v>
      </c>
      <c r="I1220" s="423"/>
      <c r="J1220" s="423"/>
      <c r="K1220" s="423"/>
      <c r="L1220" s="423"/>
      <c r="M1220" s="423"/>
      <c r="N1220" s="423"/>
      <c r="O1220" s="423"/>
      <c r="P1220" s="423"/>
      <c r="Q1220" s="423"/>
      <c r="R1220" s="423"/>
      <c r="S1220" s="423"/>
      <c r="T1220" s="423"/>
      <c r="U1220" s="423"/>
      <c r="V1220" s="423"/>
      <c r="W1220" s="423"/>
      <c r="X1220" s="423"/>
      <c r="Y1220" s="423"/>
      <c r="Z1220" s="423"/>
    </row>
    <row r="1221">
      <c r="A1221" s="562">
        <v>1219.0</v>
      </c>
      <c r="B1221" s="563" t="s">
        <v>6317</v>
      </c>
      <c r="C1221" s="563" t="s">
        <v>6309</v>
      </c>
      <c r="D1221" s="562">
        <v>0.0</v>
      </c>
      <c r="E1221" s="562">
        <v>0.0</v>
      </c>
      <c r="F1221" s="562">
        <v>0.0</v>
      </c>
      <c r="G1221" s="562">
        <v>8.0</v>
      </c>
      <c r="H1221" s="562">
        <v>0.0</v>
      </c>
      <c r="I1221" s="423"/>
      <c r="J1221" s="423"/>
      <c r="K1221" s="423"/>
      <c r="L1221" s="423"/>
      <c r="M1221" s="423"/>
      <c r="N1221" s="423"/>
      <c r="O1221" s="423"/>
      <c r="P1221" s="423"/>
      <c r="Q1221" s="423"/>
      <c r="R1221" s="423"/>
      <c r="S1221" s="423"/>
      <c r="T1221" s="423"/>
      <c r="U1221" s="423"/>
      <c r="V1221" s="423"/>
      <c r="W1221" s="423"/>
      <c r="X1221" s="423"/>
      <c r="Y1221" s="423"/>
      <c r="Z1221" s="423"/>
    </row>
    <row r="1222">
      <c r="A1222" s="564">
        <v>1220.0</v>
      </c>
      <c r="B1222" s="565" t="s">
        <v>6318</v>
      </c>
      <c r="C1222" s="565" t="s">
        <v>6309</v>
      </c>
      <c r="D1222" s="564">
        <v>0.0</v>
      </c>
      <c r="E1222" s="564">
        <v>0.0</v>
      </c>
      <c r="F1222" s="564">
        <v>0.0</v>
      </c>
      <c r="G1222" s="564">
        <v>8.0</v>
      </c>
      <c r="H1222" s="564">
        <v>0.0</v>
      </c>
      <c r="I1222" s="423"/>
      <c r="J1222" s="423"/>
      <c r="K1222" s="423"/>
      <c r="L1222" s="423"/>
      <c r="M1222" s="423"/>
      <c r="N1222" s="423"/>
      <c r="O1222" s="423"/>
      <c r="P1222" s="423"/>
      <c r="Q1222" s="423"/>
      <c r="R1222" s="423"/>
      <c r="S1222" s="423"/>
      <c r="T1222" s="423"/>
      <c r="U1222" s="423"/>
      <c r="V1222" s="423"/>
      <c r="W1222" s="423"/>
      <c r="X1222" s="423"/>
      <c r="Y1222" s="423"/>
      <c r="Z1222" s="423"/>
    </row>
    <row r="1223">
      <c r="A1223" s="562">
        <v>1221.0</v>
      </c>
      <c r="B1223" s="563" t="s">
        <v>6319</v>
      </c>
      <c r="C1223" s="563" t="s">
        <v>6309</v>
      </c>
      <c r="D1223" s="562">
        <v>0.0</v>
      </c>
      <c r="E1223" s="562">
        <v>0.0</v>
      </c>
      <c r="F1223" s="562">
        <v>0.0</v>
      </c>
      <c r="G1223" s="562">
        <v>8.0</v>
      </c>
      <c r="H1223" s="562">
        <v>0.0</v>
      </c>
      <c r="I1223" s="423"/>
      <c r="J1223" s="423"/>
      <c r="K1223" s="423"/>
      <c r="L1223" s="423"/>
      <c r="M1223" s="423"/>
      <c r="N1223" s="423"/>
      <c r="O1223" s="423"/>
      <c r="P1223" s="423"/>
      <c r="Q1223" s="423"/>
      <c r="R1223" s="423"/>
      <c r="S1223" s="423"/>
      <c r="T1223" s="423"/>
      <c r="U1223" s="423"/>
      <c r="V1223" s="423"/>
      <c r="W1223" s="423"/>
      <c r="X1223" s="423"/>
      <c r="Y1223" s="423"/>
      <c r="Z1223" s="423"/>
    </row>
    <row r="1224">
      <c r="A1224" s="564">
        <v>1222.0</v>
      </c>
      <c r="B1224" s="565" t="s">
        <v>6320</v>
      </c>
      <c r="C1224" s="565" t="s">
        <v>6309</v>
      </c>
      <c r="D1224" s="564">
        <v>0.0</v>
      </c>
      <c r="E1224" s="564">
        <v>0.0</v>
      </c>
      <c r="F1224" s="564">
        <v>0.0</v>
      </c>
      <c r="G1224" s="564">
        <v>8.0</v>
      </c>
      <c r="H1224" s="564">
        <v>0.0</v>
      </c>
      <c r="I1224" s="423"/>
      <c r="J1224" s="423"/>
      <c r="K1224" s="423"/>
      <c r="L1224" s="423"/>
      <c r="M1224" s="423"/>
      <c r="N1224" s="423"/>
      <c r="O1224" s="423"/>
      <c r="P1224" s="423"/>
      <c r="Q1224" s="423"/>
      <c r="R1224" s="423"/>
      <c r="S1224" s="423"/>
      <c r="T1224" s="423"/>
      <c r="U1224" s="423"/>
      <c r="V1224" s="423"/>
      <c r="W1224" s="423"/>
      <c r="X1224" s="423"/>
      <c r="Y1224" s="423"/>
      <c r="Z1224" s="423"/>
    </row>
    <row r="1225">
      <c r="A1225" s="562">
        <v>1223.0</v>
      </c>
      <c r="B1225" s="563" t="s">
        <v>6321</v>
      </c>
      <c r="C1225" s="563" t="s">
        <v>6309</v>
      </c>
      <c r="D1225" s="562">
        <v>0.0</v>
      </c>
      <c r="E1225" s="562">
        <v>0.0</v>
      </c>
      <c r="F1225" s="562">
        <v>0.0</v>
      </c>
      <c r="G1225" s="562">
        <v>8.0</v>
      </c>
      <c r="H1225" s="562">
        <v>0.0</v>
      </c>
      <c r="I1225" s="423"/>
      <c r="J1225" s="423"/>
      <c r="K1225" s="423"/>
      <c r="L1225" s="423"/>
      <c r="M1225" s="423"/>
      <c r="N1225" s="423"/>
      <c r="O1225" s="423"/>
      <c r="P1225" s="423"/>
      <c r="Q1225" s="423"/>
      <c r="R1225" s="423"/>
      <c r="S1225" s="423"/>
      <c r="T1225" s="423"/>
      <c r="U1225" s="423"/>
      <c r="V1225" s="423"/>
      <c r="W1225" s="423"/>
      <c r="X1225" s="423"/>
      <c r="Y1225" s="423"/>
      <c r="Z1225" s="423"/>
    </row>
    <row r="1226">
      <c r="A1226" s="564">
        <v>1224.0</v>
      </c>
      <c r="B1226" s="565" t="s">
        <v>6322</v>
      </c>
      <c r="C1226" s="565" t="s">
        <v>6309</v>
      </c>
      <c r="D1226" s="564">
        <v>0.0</v>
      </c>
      <c r="E1226" s="564">
        <v>0.0</v>
      </c>
      <c r="F1226" s="564">
        <v>0.0</v>
      </c>
      <c r="G1226" s="564">
        <v>8.0</v>
      </c>
      <c r="H1226" s="564">
        <v>0.0</v>
      </c>
      <c r="I1226" s="423"/>
      <c r="J1226" s="423"/>
      <c r="K1226" s="423"/>
      <c r="L1226" s="423"/>
      <c r="M1226" s="423"/>
      <c r="N1226" s="423"/>
      <c r="O1226" s="423"/>
      <c r="P1226" s="423"/>
      <c r="Q1226" s="423"/>
      <c r="R1226" s="423"/>
      <c r="S1226" s="423"/>
      <c r="T1226" s="423"/>
      <c r="U1226" s="423"/>
      <c r="V1226" s="423"/>
      <c r="W1226" s="423"/>
      <c r="X1226" s="423"/>
      <c r="Y1226" s="423"/>
      <c r="Z1226" s="423"/>
    </row>
    <row r="1227">
      <c r="A1227" s="562">
        <v>1225.0</v>
      </c>
      <c r="B1227" s="563" t="s">
        <v>6323</v>
      </c>
      <c r="C1227" s="563" t="s">
        <v>6309</v>
      </c>
      <c r="D1227" s="562">
        <v>0.0</v>
      </c>
      <c r="E1227" s="562">
        <v>0.0</v>
      </c>
      <c r="F1227" s="562">
        <v>0.0</v>
      </c>
      <c r="G1227" s="562">
        <v>8.0</v>
      </c>
      <c r="H1227" s="562">
        <v>0.0</v>
      </c>
      <c r="I1227" s="423"/>
      <c r="J1227" s="423"/>
      <c r="K1227" s="423"/>
      <c r="L1227" s="423"/>
      <c r="M1227" s="423"/>
      <c r="N1227" s="423"/>
      <c r="O1227" s="423"/>
      <c r="P1227" s="423"/>
      <c r="Q1227" s="423"/>
      <c r="R1227" s="423"/>
      <c r="S1227" s="423"/>
      <c r="T1227" s="423"/>
      <c r="U1227" s="423"/>
      <c r="V1227" s="423"/>
      <c r="W1227" s="423"/>
      <c r="X1227" s="423"/>
      <c r="Y1227" s="423"/>
      <c r="Z1227" s="423"/>
    </row>
    <row r="1228">
      <c r="A1228" s="564">
        <v>1226.0</v>
      </c>
      <c r="B1228" s="565" t="s">
        <v>6324</v>
      </c>
      <c r="C1228" s="565" t="s">
        <v>6309</v>
      </c>
      <c r="D1228" s="564">
        <v>0.0</v>
      </c>
      <c r="E1228" s="564">
        <v>0.0</v>
      </c>
      <c r="F1228" s="564">
        <v>0.0</v>
      </c>
      <c r="G1228" s="564">
        <v>8.0</v>
      </c>
      <c r="H1228" s="564">
        <v>0.0</v>
      </c>
      <c r="I1228" s="423"/>
      <c r="J1228" s="423"/>
      <c r="K1228" s="423"/>
      <c r="L1228" s="423"/>
      <c r="M1228" s="423"/>
      <c r="N1228" s="423"/>
      <c r="O1228" s="423"/>
      <c r="P1228" s="423"/>
      <c r="Q1228" s="423"/>
      <c r="R1228" s="423"/>
      <c r="S1228" s="423"/>
      <c r="T1228" s="423"/>
      <c r="U1228" s="423"/>
      <c r="V1228" s="423"/>
      <c r="W1228" s="423"/>
      <c r="X1228" s="423"/>
      <c r="Y1228" s="423"/>
      <c r="Z1228" s="423"/>
    </row>
    <row r="1229">
      <c r="A1229" s="562">
        <v>1227.0</v>
      </c>
      <c r="B1229" s="563" t="s">
        <v>6325</v>
      </c>
      <c r="C1229" s="563" t="s">
        <v>6309</v>
      </c>
      <c r="D1229" s="562">
        <v>0.0</v>
      </c>
      <c r="E1229" s="562">
        <v>0.0</v>
      </c>
      <c r="F1229" s="562">
        <v>0.0</v>
      </c>
      <c r="G1229" s="562">
        <v>8.0</v>
      </c>
      <c r="H1229" s="562">
        <v>0.0</v>
      </c>
      <c r="I1229" s="423"/>
      <c r="J1229" s="423"/>
      <c r="K1229" s="423"/>
      <c r="L1229" s="423"/>
      <c r="M1229" s="423"/>
      <c r="N1229" s="423"/>
      <c r="O1229" s="423"/>
      <c r="P1229" s="423"/>
      <c r="Q1229" s="423"/>
      <c r="R1229" s="423"/>
      <c r="S1229" s="423"/>
      <c r="T1229" s="423"/>
      <c r="U1229" s="423"/>
      <c r="V1229" s="423"/>
      <c r="W1229" s="423"/>
      <c r="X1229" s="423"/>
      <c r="Y1229" s="423"/>
      <c r="Z1229" s="423"/>
    </row>
    <row r="1230">
      <c r="A1230" s="564">
        <v>1228.0</v>
      </c>
      <c r="B1230" s="565" t="s">
        <v>6326</v>
      </c>
      <c r="C1230" s="565" t="s">
        <v>6309</v>
      </c>
      <c r="D1230" s="564">
        <v>0.0</v>
      </c>
      <c r="E1230" s="564">
        <v>0.0</v>
      </c>
      <c r="F1230" s="564">
        <v>0.0</v>
      </c>
      <c r="G1230" s="564">
        <v>8.0</v>
      </c>
      <c r="H1230" s="564">
        <v>0.0</v>
      </c>
      <c r="I1230" s="423"/>
      <c r="J1230" s="423"/>
      <c r="K1230" s="423"/>
      <c r="L1230" s="423"/>
      <c r="M1230" s="423"/>
      <c r="N1230" s="423"/>
      <c r="O1230" s="423"/>
      <c r="P1230" s="423"/>
      <c r="Q1230" s="423"/>
      <c r="R1230" s="423"/>
      <c r="S1230" s="423"/>
      <c r="T1230" s="423"/>
      <c r="U1230" s="423"/>
      <c r="V1230" s="423"/>
      <c r="W1230" s="423"/>
      <c r="X1230" s="423"/>
      <c r="Y1230" s="423"/>
      <c r="Z1230" s="423"/>
    </row>
    <row r="1231">
      <c r="A1231" s="562">
        <v>1229.0</v>
      </c>
      <c r="B1231" s="563" t="s">
        <v>6327</v>
      </c>
      <c r="C1231" s="563" t="s">
        <v>6309</v>
      </c>
      <c r="D1231" s="562">
        <v>0.0</v>
      </c>
      <c r="E1231" s="562">
        <v>0.0</v>
      </c>
      <c r="F1231" s="562">
        <v>0.0</v>
      </c>
      <c r="G1231" s="562">
        <v>8.0</v>
      </c>
      <c r="H1231" s="562">
        <v>0.0</v>
      </c>
      <c r="I1231" s="423"/>
      <c r="J1231" s="423"/>
      <c r="K1231" s="423"/>
      <c r="L1231" s="423"/>
      <c r="M1231" s="423"/>
      <c r="N1231" s="423"/>
      <c r="O1231" s="423"/>
      <c r="P1231" s="423"/>
      <c r="Q1231" s="423"/>
      <c r="R1231" s="423"/>
      <c r="S1231" s="423"/>
      <c r="T1231" s="423"/>
      <c r="U1231" s="423"/>
      <c r="V1231" s="423"/>
      <c r="W1231" s="423"/>
      <c r="X1231" s="423"/>
      <c r="Y1231" s="423"/>
      <c r="Z1231" s="423"/>
    </row>
    <row r="1232">
      <c r="A1232" s="564">
        <v>1230.0</v>
      </c>
      <c r="B1232" s="565" t="s">
        <v>6328</v>
      </c>
      <c r="C1232" s="565" t="s">
        <v>6309</v>
      </c>
      <c r="D1232" s="564">
        <v>0.0</v>
      </c>
      <c r="E1232" s="564">
        <v>0.0</v>
      </c>
      <c r="F1232" s="564">
        <v>0.0</v>
      </c>
      <c r="G1232" s="564">
        <v>8.0</v>
      </c>
      <c r="H1232" s="564">
        <v>0.0</v>
      </c>
      <c r="I1232" s="423"/>
      <c r="J1232" s="423"/>
      <c r="K1232" s="423"/>
      <c r="L1232" s="423"/>
      <c r="M1232" s="423"/>
      <c r="N1232" s="423"/>
      <c r="O1232" s="423"/>
      <c r="P1232" s="423"/>
      <c r="Q1232" s="423"/>
      <c r="R1232" s="423"/>
      <c r="S1232" s="423"/>
      <c r="T1232" s="423"/>
      <c r="U1232" s="423"/>
      <c r="V1232" s="423"/>
      <c r="W1232" s="423"/>
      <c r="X1232" s="423"/>
      <c r="Y1232" s="423"/>
      <c r="Z1232" s="423"/>
    </row>
    <row r="1233">
      <c r="A1233" s="562">
        <v>1231.0</v>
      </c>
      <c r="B1233" s="563" t="s">
        <v>6329</v>
      </c>
      <c r="C1233" s="563" t="s">
        <v>6309</v>
      </c>
      <c r="D1233" s="562">
        <v>0.0</v>
      </c>
      <c r="E1233" s="562">
        <v>0.0</v>
      </c>
      <c r="F1233" s="562">
        <v>0.0</v>
      </c>
      <c r="G1233" s="562">
        <v>8.0</v>
      </c>
      <c r="H1233" s="562">
        <v>0.0</v>
      </c>
      <c r="I1233" s="423"/>
      <c r="J1233" s="423"/>
      <c r="K1233" s="423"/>
      <c r="L1233" s="423"/>
      <c r="M1233" s="423"/>
      <c r="N1233" s="423"/>
      <c r="O1233" s="423"/>
      <c r="P1233" s="423"/>
      <c r="Q1233" s="423"/>
      <c r="R1233" s="423"/>
      <c r="S1233" s="423"/>
      <c r="T1233" s="423"/>
      <c r="U1233" s="423"/>
      <c r="V1233" s="423"/>
      <c r="W1233" s="423"/>
      <c r="X1233" s="423"/>
      <c r="Y1233" s="423"/>
      <c r="Z1233" s="423"/>
    </row>
    <row r="1234">
      <c r="A1234" s="564">
        <v>1232.0</v>
      </c>
      <c r="B1234" s="565" t="s">
        <v>6330</v>
      </c>
      <c r="C1234" s="565" t="s">
        <v>6309</v>
      </c>
      <c r="D1234" s="564">
        <v>0.0</v>
      </c>
      <c r="E1234" s="564">
        <v>0.0</v>
      </c>
      <c r="F1234" s="564">
        <v>0.0</v>
      </c>
      <c r="G1234" s="564">
        <v>8.0</v>
      </c>
      <c r="H1234" s="564">
        <v>0.0</v>
      </c>
      <c r="I1234" s="423"/>
      <c r="J1234" s="423"/>
      <c r="K1234" s="423"/>
      <c r="L1234" s="423"/>
      <c r="M1234" s="423"/>
      <c r="N1234" s="423"/>
      <c r="O1234" s="423"/>
      <c r="P1234" s="423"/>
      <c r="Q1234" s="423"/>
      <c r="R1234" s="423"/>
      <c r="S1234" s="423"/>
      <c r="T1234" s="423"/>
      <c r="U1234" s="423"/>
      <c r="V1234" s="423"/>
      <c r="W1234" s="423"/>
      <c r="X1234" s="423"/>
      <c r="Y1234" s="423"/>
      <c r="Z1234" s="423"/>
    </row>
    <row r="1235">
      <c r="A1235" s="562">
        <v>1233.0</v>
      </c>
      <c r="B1235" s="563" t="s">
        <v>6331</v>
      </c>
      <c r="C1235" s="563" t="s">
        <v>6309</v>
      </c>
      <c r="D1235" s="562">
        <v>0.0</v>
      </c>
      <c r="E1235" s="562">
        <v>0.0</v>
      </c>
      <c r="F1235" s="562">
        <v>0.0</v>
      </c>
      <c r="G1235" s="562">
        <v>8.0</v>
      </c>
      <c r="H1235" s="562">
        <v>0.0</v>
      </c>
      <c r="I1235" s="423"/>
      <c r="J1235" s="423"/>
      <c r="K1235" s="423"/>
      <c r="L1235" s="423"/>
      <c r="M1235" s="423"/>
      <c r="N1235" s="423"/>
      <c r="O1235" s="423"/>
      <c r="P1235" s="423"/>
      <c r="Q1235" s="423"/>
      <c r="R1235" s="423"/>
      <c r="S1235" s="423"/>
      <c r="T1235" s="423"/>
      <c r="U1235" s="423"/>
      <c r="V1235" s="423"/>
      <c r="W1235" s="423"/>
      <c r="X1235" s="423"/>
      <c r="Y1235" s="423"/>
      <c r="Z1235" s="423"/>
    </row>
    <row r="1236">
      <c r="A1236" s="564">
        <v>1234.0</v>
      </c>
      <c r="B1236" s="565" t="s">
        <v>6332</v>
      </c>
      <c r="C1236" s="565" t="s">
        <v>6309</v>
      </c>
      <c r="D1236" s="564">
        <v>0.0</v>
      </c>
      <c r="E1236" s="564">
        <v>0.0</v>
      </c>
      <c r="F1236" s="564">
        <v>0.0</v>
      </c>
      <c r="G1236" s="564">
        <v>8.0</v>
      </c>
      <c r="H1236" s="564">
        <v>0.0</v>
      </c>
      <c r="I1236" s="423"/>
      <c r="J1236" s="423"/>
      <c r="K1236" s="423"/>
      <c r="L1236" s="423"/>
      <c r="M1236" s="423"/>
      <c r="N1236" s="423"/>
      <c r="O1236" s="423"/>
      <c r="P1236" s="423"/>
      <c r="Q1236" s="423"/>
      <c r="R1236" s="423"/>
      <c r="S1236" s="423"/>
      <c r="T1236" s="423"/>
      <c r="U1236" s="423"/>
      <c r="V1236" s="423"/>
      <c r="W1236" s="423"/>
      <c r="X1236" s="423"/>
      <c r="Y1236" s="423"/>
      <c r="Z1236" s="423"/>
    </row>
    <row r="1237">
      <c r="A1237" s="562">
        <v>1235.0</v>
      </c>
      <c r="B1237" s="563" t="s">
        <v>6333</v>
      </c>
      <c r="C1237" s="563" t="s">
        <v>6309</v>
      </c>
      <c r="D1237" s="562">
        <v>0.0</v>
      </c>
      <c r="E1237" s="562">
        <v>0.0</v>
      </c>
      <c r="F1237" s="562">
        <v>0.0</v>
      </c>
      <c r="G1237" s="562">
        <v>8.0</v>
      </c>
      <c r="H1237" s="562">
        <v>0.0</v>
      </c>
      <c r="I1237" s="423"/>
      <c r="J1237" s="423"/>
      <c r="K1237" s="423"/>
      <c r="L1237" s="423"/>
      <c r="M1237" s="423"/>
      <c r="N1237" s="423"/>
      <c r="O1237" s="423"/>
      <c r="P1237" s="423"/>
      <c r="Q1237" s="423"/>
      <c r="R1237" s="423"/>
      <c r="S1237" s="423"/>
      <c r="T1237" s="423"/>
      <c r="U1237" s="423"/>
      <c r="V1237" s="423"/>
      <c r="W1237" s="423"/>
      <c r="X1237" s="423"/>
      <c r="Y1237" s="423"/>
      <c r="Z1237" s="423"/>
    </row>
    <row r="1238">
      <c r="A1238" s="564">
        <v>1236.0</v>
      </c>
      <c r="B1238" s="565" t="s">
        <v>6334</v>
      </c>
      <c r="C1238" s="565" t="s">
        <v>6309</v>
      </c>
      <c r="D1238" s="564">
        <v>0.0</v>
      </c>
      <c r="E1238" s="564">
        <v>0.0</v>
      </c>
      <c r="F1238" s="564">
        <v>0.0</v>
      </c>
      <c r="G1238" s="564">
        <v>8.0</v>
      </c>
      <c r="H1238" s="564">
        <v>0.0</v>
      </c>
      <c r="I1238" s="423"/>
      <c r="J1238" s="423"/>
      <c r="K1238" s="423"/>
      <c r="L1238" s="423"/>
      <c r="M1238" s="423"/>
      <c r="N1238" s="423"/>
      <c r="O1238" s="423"/>
      <c r="P1238" s="423"/>
      <c r="Q1238" s="423"/>
      <c r="R1238" s="423"/>
      <c r="S1238" s="423"/>
      <c r="T1238" s="423"/>
      <c r="U1238" s="423"/>
      <c r="V1238" s="423"/>
      <c r="W1238" s="423"/>
      <c r="X1238" s="423"/>
      <c r="Y1238" s="423"/>
      <c r="Z1238" s="423"/>
    </row>
    <row r="1239">
      <c r="A1239" s="562">
        <v>1237.0</v>
      </c>
      <c r="B1239" s="563" t="s">
        <v>6335</v>
      </c>
      <c r="C1239" s="563" t="s">
        <v>6309</v>
      </c>
      <c r="D1239" s="562">
        <v>0.0</v>
      </c>
      <c r="E1239" s="562">
        <v>0.0</v>
      </c>
      <c r="F1239" s="562">
        <v>0.0</v>
      </c>
      <c r="G1239" s="562">
        <v>8.0</v>
      </c>
      <c r="H1239" s="562">
        <v>0.0</v>
      </c>
      <c r="I1239" s="423"/>
      <c r="J1239" s="423"/>
      <c r="K1239" s="423"/>
      <c r="L1239" s="423"/>
      <c r="M1239" s="423"/>
      <c r="N1239" s="423"/>
      <c r="O1239" s="423"/>
      <c r="P1239" s="423"/>
      <c r="Q1239" s="423"/>
      <c r="R1239" s="423"/>
      <c r="S1239" s="423"/>
      <c r="T1239" s="423"/>
      <c r="U1239" s="423"/>
      <c r="V1239" s="423"/>
      <c r="W1239" s="423"/>
      <c r="X1239" s="423"/>
      <c r="Y1239" s="423"/>
      <c r="Z1239" s="423"/>
    </row>
    <row r="1240">
      <c r="A1240" s="564">
        <v>1238.0</v>
      </c>
      <c r="B1240" s="565" t="s">
        <v>6336</v>
      </c>
      <c r="C1240" s="565" t="s">
        <v>6309</v>
      </c>
      <c r="D1240" s="564">
        <v>0.0</v>
      </c>
      <c r="E1240" s="564">
        <v>0.0</v>
      </c>
      <c r="F1240" s="564">
        <v>0.0</v>
      </c>
      <c r="G1240" s="564">
        <v>8.0</v>
      </c>
      <c r="H1240" s="564">
        <v>0.0</v>
      </c>
      <c r="I1240" s="423"/>
      <c r="J1240" s="423"/>
      <c r="K1240" s="423"/>
      <c r="L1240" s="423"/>
      <c r="M1240" s="423"/>
      <c r="N1240" s="423"/>
      <c r="O1240" s="423"/>
      <c r="P1240" s="423"/>
      <c r="Q1240" s="423"/>
      <c r="R1240" s="423"/>
      <c r="S1240" s="423"/>
      <c r="T1240" s="423"/>
      <c r="U1240" s="423"/>
      <c r="V1240" s="423"/>
      <c r="W1240" s="423"/>
      <c r="X1240" s="423"/>
      <c r="Y1240" s="423"/>
      <c r="Z1240" s="423"/>
    </row>
    <row r="1241">
      <c r="A1241" s="562">
        <v>1239.0</v>
      </c>
      <c r="B1241" s="563" t="s">
        <v>6337</v>
      </c>
      <c r="C1241" s="563" t="s">
        <v>6309</v>
      </c>
      <c r="D1241" s="562">
        <v>0.0</v>
      </c>
      <c r="E1241" s="562">
        <v>0.0</v>
      </c>
      <c r="F1241" s="562">
        <v>0.0</v>
      </c>
      <c r="G1241" s="562">
        <v>8.0</v>
      </c>
      <c r="H1241" s="562">
        <v>0.0</v>
      </c>
      <c r="I1241" s="423"/>
      <c r="J1241" s="423"/>
      <c r="K1241" s="423"/>
      <c r="L1241" s="423"/>
      <c r="M1241" s="423"/>
      <c r="N1241" s="423"/>
      <c r="O1241" s="423"/>
      <c r="P1241" s="423"/>
      <c r="Q1241" s="423"/>
      <c r="R1241" s="423"/>
      <c r="S1241" s="423"/>
      <c r="T1241" s="423"/>
      <c r="U1241" s="423"/>
      <c r="V1241" s="423"/>
      <c r="W1241" s="423"/>
      <c r="X1241" s="423"/>
      <c r="Y1241" s="423"/>
      <c r="Z1241" s="423"/>
    </row>
    <row r="1242">
      <c r="A1242" s="564">
        <v>1240.0</v>
      </c>
      <c r="B1242" s="565" t="s">
        <v>6338</v>
      </c>
      <c r="C1242" s="565" t="s">
        <v>6309</v>
      </c>
      <c r="D1242" s="564">
        <v>0.0</v>
      </c>
      <c r="E1242" s="564">
        <v>0.0</v>
      </c>
      <c r="F1242" s="564">
        <v>0.0</v>
      </c>
      <c r="G1242" s="564">
        <v>8.0</v>
      </c>
      <c r="H1242" s="564">
        <v>0.0</v>
      </c>
      <c r="I1242" s="423"/>
      <c r="J1242" s="423"/>
      <c r="K1242" s="423"/>
      <c r="L1242" s="423"/>
      <c r="M1242" s="423"/>
      <c r="N1242" s="423"/>
      <c r="O1242" s="423"/>
      <c r="P1242" s="423"/>
      <c r="Q1242" s="423"/>
      <c r="R1242" s="423"/>
      <c r="S1242" s="423"/>
      <c r="T1242" s="423"/>
      <c r="U1242" s="423"/>
      <c r="V1242" s="423"/>
      <c r="W1242" s="423"/>
      <c r="X1242" s="423"/>
      <c r="Y1242" s="423"/>
      <c r="Z1242" s="423"/>
    </row>
    <row r="1243">
      <c r="A1243" s="562">
        <v>1241.0</v>
      </c>
      <c r="B1243" s="563" t="s">
        <v>6339</v>
      </c>
      <c r="C1243" s="563" t="s">
        <v>6309</v>
      </c>
      <c r="D1243" s="562">
        <v>0.0</v>
      </c>
      <c r="E1243" s="562">
        <v>0.0</v>
      </c>
      <c r="F1243" s="562">
        <v>0.0</v>
      </c>
      <c r="G1243" s="562">
        <v>8.0</v>
      </c>
      <c r="H1243" s="562">
        <v>0.0</v>
      </c>
      <c r="I1243" s="423"/>
      <c r="J1243" s="423"/>
      <c r="K1243" s="423"/>
      <c r="L1243" s="423"/>
      <c r="M1243" s="423"/>
      <c r="N1243" s="423"/>
      <c r="O1243" s="423"/>
      <c r="P1243" s="423"/>
      <c r="Q1243" s="423"/>
      <c r="R1243" s="423"/>
      <c r="S1243" s="423"/>
      <c r="T1243" s="423"/>
      <c r="U1243" s="423"/>
      <c r="V1243" s="423"/>
      <c r="W1243" s="423"/>
      <c r="X1243" s="423"/>
      <c r="Y1243" s="423"/>
      <c r="Z1243" s="423"/>
    </row>
    <row r="1244">
      <c r="A1244" s="564">
        <v>1242.0</v>
      </c>
      <c r="B1244" s="565" t="s">
        <v>6340</v>
      </c>
      <c r="C1244" s="565" t="s">
        <v>6309</v>
      </c>
      <c r="D1244" s="564">
        <v>0.0</v>
      </c>
      <c r="E1244" s="564">
        <v>0.0</v>
      </c>
      <c r="F1244" s="564">
        <v>0.0</v>
      </c>
      <c r="G1244" s="564">
        <v>8.0</v>
      </c>
      <c r="H1244" s="564">
        <v>0.0</v>
      </c>
      <c r="I1244" s="423"/>
      <c r="J1244" s="423"/>
      <c r="K1244" s="423"/>
      <c r="L1244" s="423"/>
      <c r="M1244" s="423"/>
      <c r="N1244" s="423"/>
      <c r="O1244" s="423"/>
      <c r="P1244" s="423"/>
      <c r="Q1244" s="423"/>
      <c r="R1244" s="423"/>
      <c r="S1244" s="423"/>
      <c r="T1244" s="423"/>
      <c r="U1244" s="423"/>
      <c r="V1244" s="423"/>
      <c r="W1244" s="423"/>
      <c r="X1244" s="423"/>
      <c r="Y1244" s="423"/>
      <c r="Z1244" s="423"/>
    </row>
    <row r="1245">
      <c r="A1245" s="562">
        <v>1243.0</v>
      </c>
      <c r="B1245" s="563" t="s">
        <v>6341</v>
      </c>
      <c r="C1245" s="563" t="s">
        <v>6309</v>
      </c>
      <c r="D1245" s="562">
        <v>0.0</v>
      </c>
      <c r="E1245" s="562">
        <v>0.0</v>
      </c>
      <c r="F1245" s="562">
        <v>0.0</v>
      </c>
      <c r="G1245" s="562">
        <v>8.0</v>
      </c>
      <c r="H1245" s="562">
        <v>0.0</v>
      </c>
      <c r="I1245" s="423"/>
      <c r="J1245" s="423"/>
      <c r="K1245" s="423"/>
      <c r="L1245" s="423"/>
      <c r="M1245" s="423"/>
      <c r="N1245" s="423"/>
      <c r="O1245" s="423"/>
      <c r="P1245" s="423"/>
      <c r="Q1245" s="423"/>
      <c r="R1245" s="423"/>
      <c r="S1245" s="423"/>
      <c r="T1245" s="423"/>
      <c r="U1245" s="423"/>
      <c r="V1245" s="423"/>
      <c r="W1245" s="423"/>
      <c r="X1245" s="423"/>
      <c r="Y1245" s="423"/>
      <c r="Z1245" s="423"/>
    </row>
    <row r="1246">
      <c r="A1246" s="564">
        <v>1244.0</v>
      </c>
      <c r="B1246" s="565" t="s">
        <v>6342</v>
      </c>
      <c r="C1246" s="565" t="s">
        <v>6309</v>
      </c>
      <c r="D1246" s="564">
        <v>1.0</v>
      </c>
      <c r="E1246" s="564">
        <v>0.0</v>
      </c>
      <c r="F1246" s="564">
        <v>0.0</v>
      </c>
      <c r="G1246" s="564">
        <v>7.0</v>
      </c>
      <c r="H1246" s="564">
        <v>0.0</v>
      </c>
      <c r="I1246" s="423"/>
      <c r="J1246" s="423"/>
      <c r="K1246" s="423"/>
      <c r="L1246" s="423"/>
      <c r="M1246" s="423"/>
      <c r="N1246" s="423"/>
      <c r="O1246" s="423"/>
      <c r="P1246" s="423"/>
      <c r="Q1246" s="423"/>
      <c r="R1246" s="423"/>
      <c r="S1246" s="423"/>
      <c r="T1246" s="423"/>
      <c r="U1246" s="423"/>
      <c r="V1246" s="423"/>
      <c r="W1246" s="423"/>
      <c r="X1246" s="423"/>
      <c r="Y1246" s="423"/>
      <c r="Z1246" s="423"/>
    </row>
    <row r="1247">
      <c r="A1247" s="562">
        <v>1245.0</v>
      </c>
      <c r="B1247" s="563" t="s">
        <v>6343</v>
      </c>
      <c r="C1247" s="563" t="s">
        <v>6309</v>
      </c>
      <c r="D1247" s="562">
        <v>0.0</v>
      </c>
      <c r="E1247" s="562">
        <v>0.0</v>
      </c>
      <c r="F1247" s="562">
        <v>0.0</v>
      </c>
      <c r="G1247" s="562">
        <v>8.0</v>
      </c>
      <c r="H1247" s="562">
        <v>0.0</v>
      </c>
      <c r="I1247" s="423"/>
      <c r="J1247" s="423"/>
      <c r="K1247" s="423"/>
      <c r="L1247" s="423"/>
      <c r="M1247" s="423"/>
      <c r="N1247" s="423"/>
      <c r="O1247" s="423"/>
      <c r="P1247" s="423"/>
      <c r="Q1247" s="423"/>
      <c r="R1247" s="423"/>
      <c r="S1247" s="423"/>
      <c r="T1247" s="423"/>
      <c r="U1247" s="423"/>
      <c r="V1247" s="423"/>
      <c r="W1247" s="423"/>
      <c r="X1247" s="423"/>
      <c r="Y1247" s="423"/>
      <c r="Z1247" s="423"/>
    </row>
    <row r="1248">
      <c r="A1248" s="564">
        <v>1246.0</v>
      </c>
      <c r="B1248" s="565" t="s">
        <v>6344</v>
      </c>
      <c r="C1248" s="565" t="s">
        <v>6309</v>
      </c>
      <c r="D1248" s="564">
        <v>0.0</v>
      </c>
      <c r="E1248" s="564">
        <v>0.0</v>
      </c>
      <c r="F1248" s="564">
        <v>0.0</v>
      </c>
      <c r="G1248" s="564">
        <v>8.0</v>
      </c>
      <c r="H1248" s="564">
        <v>0.0</v>
      </c>
      <c r="I1248" s="423"/>
      <c r="J1248" s="423"/>
      <c r="K1248" s="423"/>
      <c r="L1248" s="423"/>
      <c r="M1248" s="423"/>
      <c r="N1248" s="423"/>
      <c r="O1248" s="423"/>
      <c r="P1248" s="423"/>
      <c r="Q1248" s="423"/>
      <c r="R1248" s="423"/>
      <c r="S1248" s="423"/>
      <c r="T1248" s="423"/>
      <c r="U1248" s="423"/>
      <c r="V1248" s="423"/>
      <c r="W1248" s="423"/>
      <c r="X1248" s="423"/>
      <c r="Y1248" s="423"/>
      <c r="Z1248" s="423"/>
    </row>
    <row r="1249">
      <c r="A1249" s="562">
        <v>1247.0</v>
      </c>
      <c r="B1249" s="563" t="s">
        <v>6345</v>
      </c>
      <c r="C1249" s="563" t="s">
        <v>6133</v>
      </c>
      <c r="D1249" s="562">
        <v>0.0</v>
      </c>
      <c r="E1249" s="562">
        <v>0.0</v>
      </c>
      <c r="F1249" s="562">
        <v>0.0</v>
      </c>
      <c r="G1249" s="562">
        <v>8.0</v>
      </c>
      <c r="H1249" s="562">
        <v>0.0</v>
      </c>
      <c r="I1249" s="423"/>
      <c r="J1249" s="423"/>
      <c r="K1249" s="423"/>
      <c r="L1249" s="423"/>
      <c r="M1249" s="423"/>
      <c r="N1249" s="423"/>
      <c r="O1249" s="423"/>
      <c r="P1249" s="423"/>
      <c r="Q1249" s="423"/>
      <c r="R1249" s="423"/>
      <c r="S1249" s="423"/>
      <c r="T1249" s="423"/>
      <c r="U1249" s="423"/>
      <c r="V1249" s="423"/>
      <c r="W1249" s="423"/>
      <c r="X1249" s="423"/>
      <c r="Y1249" s="423"/>
      <c r="Z1249" s="423"/>
    </row>
    <row r="1250">
      <c r="A1250" s="564">
        <v>1248.0</v>
      </c>
      <c r="B1250" s="565" t="s">
        <v>6346</v>
      </c>
      <c r="C1250" s="565" t="s">
        <v>6133</v>
      </c>
      <c r="D1250" s="564">
        <v>0.0</v>
      </c>
      <c r="E1250" s="564">
        <v>0.0</v>
      </c>
      <c r="F1250" s="564">
        <v>0.0</v>
      </c>
      <c r="G1250" s="564">
        <v>8.0</v>
      </c>
      <c r="H1250" s="564">
        <v>0.0</v>
      </c>
      <c r="I1250" s="423"/>
      <c r="J1250" s="423"/>
      <c r="K1250" s="423"/>
      <c r="L1250" s="423"/>
      <c r="M1250" s="423"/>
      <c r="N1250" s="423"/>
      <c r="O1250" s="423"/>
      <c r="P1250" s="423"/>
      <c r="Q1250" s="423"/>
      <c r="R1250" s="423"/>
      <c r="S1250" s="423"/>
      <c r="T1250" s="423"/>
      <c r="U1250" s="423"/>
      <c r="V1250" s="423"/>
      <c r="W1250" s="423"/>
      <c r="X1250" s="423"/>
      <c r="Y1250" s="423"/>
      <c r="Z1250" s="423"/>
    </row>
    <row r="1251">
      <c r="A1251" s="562">
        <v>1249.0</v>
      </c>
      <c r="B1251" s="563" t="s">
        <v>6347</v>
      </c>
      <c r="C1251" s="563" t="s">
        <v>6133</v>
      </c>
      <c r="D1251" s="562">
        <v>0.0</v>
      </c>
      <c r="E1251" s="562">
        <v>0.0</v>
      </c>
      <c r="F1251" s="562">
        <v>0.0</v>
      </c>
      <c r="G1251" s="562">
        <v>8.0</v>
      </c>
      <c r="H1251" s="562">
        <v>0.0</v>
      </c>
      <c r="I1251" s="423"/>
      <c r="J1251" s="423"/>
      <c r="K1251" s="423"/>
      <c r="L1251" s="423"/>
      <c r="M1251" s="423"/>
      <c r="N1251" s="423"/>
      <c r="O1251" s="423"/>
      <c r="P1251" s="423"/>
      <c r="Q1251" s="423"/>
      <c r="R1251" s="423"/>
      <c r="S1251" s="423"/>
      <c r="T1251" s="423"/>
      <c r="U1251" s="423"/>
      <c r="V1251" s="423"/>
      <c r="W1251" s="423"/>
      <c r="X1251" s="423"/>
      <c r="Y1251" s="423"/>
      <c r="Z1251" s="423"/>
    </row>
    <row r="1252">
      <c r="A1252" s="564">
        <v>1250.0</v>
      </c>
      <c r="B1252" s="565" t="s">
        <v>6348</v>
      </c>
      <c r="C1252" s="565" t="s">
        <v>6133</v>
      </c>
      <c r="D1252" s="564">
        <v>0.0</v>
      </c>
      <c r="E1252" s="564">
        <v>0.0</v>
      </c>
      <c r="F1252" s="564">
        <v>0.0</v>
      </c>
      <c r="G1252" s="564">
        <v>8.0</v>
      </c>
      <c r="H1252" s="564">
        <v>0.0</v>
      </c>
      <c r="I1252" s="423"/>
      <c r="J1252" s="423"/>
      <c r="K1252" s="423"/>
      <c r="L1252" s="423"/>
      <c r="M1252" s="423"/>
      <c r="N1252" s="423"/>
      <c r="O1252" s="423"/>
      <c r="P1252" s="423"/>
      <c r="Q1252" s="423"/>
      <c r="R1252" s="423"/>
      <c r="S1252" s="423"/>
      <c r="T1252" s="423"/>
      <c r="U1252" s="423"/>
      <c r="V1252" s="423"/>
      <c r="W1252" s="423"/>
      <c r="X1252" s="423"/>
      <c r="Y1252" s="423"/>
      <c r="Z1252" s="423"/>
    </row>
    <row r="1253">
      <c r="A1253" s="562">
        <v>1251.0</v>
      </c>
      <c r="B1253" s="563" t="s">
        <v>6349</v>
      </c>
      <c r="C1253" s="563" t="s">
        <v>6133</v>
      </c>
      <c r="D1253" s="562">
        <v>0.0</v>
      </c>
      <c r="E1253" s="562">
        <v>0.0</v>
      </c>
      <c r="F1253" s="562">
        <v>0.0</v>
      </c>
      <c r="G1253" s="562">
        <v>8.0</v>
      </c>
      <c r="H1253" s="562">
        <v>0.0</v>
      </c>
      <c r="I1253" s="423"/>
      <c r="J1253" s="423"/>
      <c r="K1253" s="423"/>
      <c r="L1253" s="423"/>
      <c r="M1253" s="423"/>
      <c r="N1253" s="423"/>
      <c r="O1253" s="423"/>
      <c r="P1253" s="423"/>
      <c r="Q1253" s="423"/>
      <c r="R1253" s="423"/>
      <c r="S1253" s="423"/>
      <c r="T1253" s="423"/>
      <c r="U1253" s="423"/>
      <c r="V1253" s="423"/>
      <c r="W1253" s="423"/>
      <c r="X1253" s="423"/>
      <c r="Y1253" s="423"/>
      <c r="Z1253" s="423"/>
    </row>
    <row r="1254">
      <c r="A1254" s="564">
        <v>1252.0</v>
      </c>
      <c r="B1254" s="565" t="s">
        <v>6350</v>
      </c>
      <c r="C1254" s="565" t="s">
        <v>6133</v>
      </c>
      <c r="D1254" s="564">
        <v>0.0</v>
      </c>
      <c r="E1254" s="564">
        <v>0.0</v>
      </c>
      <c r="F1254" s="564">
        <v>0.0</v>
      </c>
      <c r="G1254" s="564">
        <v>8.0</v>
      </c>
      <c r="H1254" s="564">
        <v>0.0</v>
      </c>
      <c r="I1254" s="423"/>
      <c r="J1254" s="423"/>
      <c r="K1254" s="423"/>
      <c r="L1254" s="423"/>
      <c r="M1254" s="423"/>
      <c r="N1254" s="423"/>
      <c r="O1254" s="423"/>
      <c r="P1254" s="423"/>
      <c r="Q1254" s="423"/>
      <c r="R1254" s="423"/>
      <c r="S1254" s="423"/>
      <c r="T1254" s="423"/>
      <c r="U1254" s="423"/>
      <c r="V1254" s="423"/>
      <c r="W1254" s="423"/>
      <c r="X1254" s="423"/>
      <c r="Y1254" s="423"/>
      <c r="Z1254" s="423"/>
    </row>
    <row r="1255">
      <c r="A1255" s="562">
        <v>1253.0</v>
      </c>
      <c r="B1255" s="563" t="s">
        <v>6351</v>
      </c>
      <c r="C1255" s="563" t="s">
        <v>6133</v>
      </c>
      <c r="D1255" s="562">
        <v>0.0</v>
      </c>
      <c r="E1255" s="562">
        <v>0.0</v>
      </c>
      <c r="F1255" s="562">
        <v>0.0</v>
      </c>
      <c r="G1255" s="562">
        <v>8.0</v>
      </c>
      <c r="H1255" s="562">
        <v>0.0</v>
      </c>
      <c r="I1255" s="423"/>
      <c r="J1255" s="423"/>
      <c r="K1255" s="423"/>
      <c r="L1255" s="423"/>
      <c r="M1255" s="423"/>
      <c r="N1255" s="423"/>
      <c r="O1255" s="423"/>
      <c r="P1255" s="423"/>
      <c r="Q1255" s="423"/>
      <c r="R1255" s="423"/>
      <c r="S1255" s="423"/>
      <c r="T1255" s="423"/>
      <c r="U1255" s="423"/>
      <c r="V1255" s="423"/>
      <c r="W1255" s="423"/>
      <c r="X1255" s="423"/>
      <c r="Y1255" s="423"/>
      <c r="Z1255" s="423"/>
    </row>
    <row r="1256">
      <c r="A1256" s="564">
        <v>1254.0</v>
      </c>
      <c r="B1256" s="565" t="s">
        <v>6352</v>
      </c>
      <c r="C1256" s="565" t="s">
        <v>6133</v>
      </c>
      <c r="D1256" s="564">
        <v>0.0</v>
      </c>
      <c r="E1256" s="564">
        <v>0.0</v>
      </c>
      <c r="F1256" s="564">
        <v>0.0</v>
      </c>
      <c r="G1256" s="564">
        <v>8.0</v>
      </c>
      <c r="H1256" s="564">
        <v>0.0</v>
      </c>
      <c r="I1256" s="423"/>
      <c r="J1256" s="423"/>
      <c r="K1256" s="423"/>
      <c r="L1256" s="423"/>
      <c r="M1256" s="423"/>
      <c r="N1256" s="423"/>
      <c r="O1256" s="423"/>
      <c r="P1256" s="423"/>
      <c r="Q1256" s="423"/>
      <c r="R1256" s="423"/>
      <c r="S1256" s="423"/>
      <c r="T1256" s="423"/>
      <c r="U1256" s="423"/>
      <c r="V1256" s="423"/>
      <c r="W1256" s="423"/>
      <c r="X1256" s="423"/>
      <c r="Y1256" s="423"/>
      <c r="Z1256" s="423"/>
    </row>
    <row r="1257">
      <c r="A1257" s="562">
        <v>1255.0</v>
      </c>
      <c r="B1257" s="563" t="s">
        <v>6353</v>
      </c>
      <c r="C1257" s="563" t="s">
        <v>6133</v>
      </c>
      <c r="D1257" s="562">
        <v>0.0</v>
      </c>
      <c r="E1257" s="562">
        <v>0.0</v>
      </c>
      <c r="F1257" s="562">
        <v>0.0</v>
      </c>
      <c r="G1257" s="562">
        <v>8.0</v>
      </c>
      <c r="H1257" s="562">
        <v>0.0</v>
      </c>
      <c r="I1257" s="423"/>
      <c r="J1257" s="423"/>
      <c r="K1257" s="423"/>
      <c r="L1257" s="423"/>
      <c r="M1257" s="423"/>
      <c r="N1257" s="423"/>
      <c r="O1257" s="423"/>
      <c r="P1257" s="423"/>
      <c r="Q1257" s="423"/>
      <c r="R1257" s="423"/>
      <c r="S1257" s="423"/>
      <c r="T1257" s="423"/>
      <c r="U1257" s="423"/>
      <c r="V1257" s="423"/>
      <c r="W1257" s="423"/>
      <c r="X1257" s="423"/>
      <c r="Y1257" s="423"/>
      <c r="Z1257" s="423"/>
    </row>
    <row r="1258">
      <c r="A1258" s="564">
        <v>1256.0</v>
      </c>
      <c r="B1258" s="565" t="s">
        <v>6354</v>
      </c>
      <c r="C1258" s="565" t="s">
        <v>6133</v>
      </c>
      <c r="D1258" s="564">
        <v>0.0</v>
      </c>
      <c r="E1258" s="564">
        <v>0.0</v>
      </c>
      <c r="F1258" s="564">
        <v>0.0</v>
      </c>
      <c r="G1258" s="564">
        <v>8.0</v>
      </c>
      <c r="H1258" s="564">
        <v>0.0</v>
      </c>
      <c r="I1258" s="423"/>
      <c r="J1258" s="423"/>
      <c r="K1258" s="423"/>
      <c r="L1258" s="423"/>
      <c r="M1258" s="423"/>
      <c r="N1258" s="423"/>
      <c r="O1258" s="423"/>
      <c r="P1258" s="423"/>
      <c r="Q1258" s="423"/>
      <c r="R1258" s="423"/>
      <c r="S1258" s="423"/>
      <c r="T1258" s="423"/>
      <c r="U1258" s="423"/>
      <c r="V1258" s="423"/>
      <c r="W1258" s="423"/>
      <c r="X1258" s="423"/>
      <c r="Y1258" s="423"/>
      <c r="Z1258" s="423"/>
    </row>
    <row r="1259">
      <c r="A1259" s="562">
        <v>1257.0</v>
      </c>
      <c r="B1259" s="563" t="s">
        <v>6355</v>
      </c>
      <c r="C1259" s="563" t="s">
        <v>6133</v>
      </c>
      <c r="D1259" s="562">
        <v>0.0</v>
      </c>
      <c r="E1259" s="562">
        <v>0.0</v>
      </c>
      <c r="F1259" s="562">
        <v>0.0</v>
      </c>
      <c r="G1259" s="562">
        <v>8.0</v>
      </c>
      <c r="H1259" s="562">
        <v>0.0</v>
      </c>
      <c r="I1259" s="423"/>
      <c r="J1259" s="423"/>
      <c r="K1259" s="423"/>
      <c r="L1259" s="423"/>
      <c r="M1259" s="423"/>
      <c r="N1259" s="423"/>
      <c r="O1259" s="423"/>
      <c r="P1259" s="423"/>
      <c r="Q1259" s="423"/>
      <c r="R1259" s="423"/>
      <c r="S1259" s="423"/>
      <c r="T1259" s="423"/>
      <c r="U1259" s="423"/>
      <c r="V1259" s="423"/>
      <c r="W1259" s="423"/>
      <c r="X1259" s="423"/>
      <c r="Y1259" s="423"/>
      <c r="Z1259" s="423"/>
    </row>
    <row r="1260">
      <c r="A1260" s="564">
        <v>1258.0</v>
      </c>
      <c r="B1260" s="565" t="s">
        <v>6356</v>
      </c>
      <c r="C1260" s="565" t="s">
        <v>6133</v>
      </c>
      <c r="D1260" s="564">
        <v>0.0</v>
      </c>
      <c r="E1260" s="564">
        <v>0.0</v>
      </c>
      <c r="F1260" s="564">
        <v>0.0</v>
      </c>
      <c r="G1260" s="564">
        <v>8.0</v>
      </c>
      <c r="H1260" s="564">
        <v>0.0</v>
      </c>
      <c r="I1260" s="423"/>
      <c r="J1260" s="423"/>
      <c r="K1260" s="423"/>
      <c r="L1260" s="423"/>
      <c r="M1260" s="423"/>
      <c r="N1260" s="423"/>
      <c r="O1260" s="423"/>
      <c r="P1260" s="423"/>
      <c r="Q1260" s="423"/>
      <c r="R1260" s="423"/>
      <c r="S1260" s="423"/>
      <c r="T1260" s="423"/>
      <c r="U1260" s="423"/>
      <c r="V1260" s="423"/>
      <c r="W1260" s="423"/>
      <c r="X1260" s="423"/>
      <c r="Y1260" s="423"/>
      <c r="Z1260" s="423"/>
    </row>
    <row r="1261">
      <c r="A1261" s="562">
        <v>1259.0</v>
      </c>
      <c r="B1261" s="563" t="s">
        <v>6357</v>
      </c>
      <c r="C1261" s="563" t="s">
        <v>6133</v>
      </c>
      <c r="D1261" s="562">
        <v>0.0</v>
      </c>
      <c r="E1261" s="562">
        <v>0.0</v>
      </c>
      <c r="F1261" s="562">
        <v>0.0</v>
      </c>
      <c r="G1261" s="562">
        <v>8.0</v>
      </c>
      <c r="H1261" s="562">
        <v>0.0</v>
      </c>
      <c r="I1261" s="423"/>
      <c r="J1261" s="423"/>
      <c r="K1261" s="423"/>
      <c r="L1261" s="423"/>
      <c r="M1261" s="423"/>
      <c r="N1261" s="423"/>
      <c r="O1261" s="423"/>
      <c r="P1261" s="423"/>
      <c r="Q1261" s="423"/>
      <c r="R1261" s="423"/>
      <c r="S1261" s="423"/>
      <c r="T1261" s="423"/>
      <c r="U1261" s="423"/>
      <c r="V1261" s="423"/>
      <c r="W1261" s="423"/>
      <c r="X1261" s="423"/>
      <c r="Y1261" s="423"/>
      <c r="Z1261" s="423"/>
    </row>
    <row r="1262">
      <c r="A1262" s="564">
        <v>1260.0</v>
      </c>
      <c r="B1262" s="565" t="s">
        <v>6358</v>
      </c>
      <c r="C1262" s="565" t="s">
        <v>6133</v>
      </c>
      <c r="D1262" s="564">
        <v>0.0</v>
      </c>
      <c r="E1262" s="564">
        <v>0.0</v>
      </c>
      <c r="F1262" s="564">
        <v>0.0</v>
      </c>
      <c r="G1262" s="564">
        <v>8.0</v>
      </c>
      <c r="H1262" s="564">
        <v>0.0</v>
      </c>
      <c r="I1262" s="423"/>
      <c r="J1262" s="423"/>
      <c r="K1262" s="423"/>
      <c r="L1262" s="423"/>
      <c r="M1262" s="423"/>
      <c r="N1262" s="423"/>
      <c r="O1262" s="423"/>
      <c r="P1262" s="423"/>
      <c r="Q1262" s="423"/>
      <c r="R1262" s="423"/>
      <c r="S1262" s="423"/>
      <c r="T1262" s="423"/>
      <c r="U1262" s="423"/>
      <c r="V1262" s="423"/>
      <c r="W1262" s="423"/>
      <c r="X1262" s="423"/>
      <c r="Y1262" s="423"/>
      <c r="Z1262" s="423"/>
    </row>
    <row r="1263">
      <c r="A1263" s="562">
        <v>1261.0</v>
      </c>
      <c r="B1263" s="563" t="s">
        <v>6359</v>
      </c>
      <c r="C1263" s="563" t="s">
        <v>6133</v>
      </c>
      <c r="D1263" s="562">
        <v>0.0</v>
      </c>
      <c r="E1263" s="562">
        <v>0.0</v>
      </c>
      <c r="F1263" s="562">
        <v>0.0</v>
      </c>
      <c r="G1263" s="562">
        <v>8.0</v>
      </c>
      <c r="H1263" s="562">
        <v>0.0</v>
      </c>
      <c r="I1263" s="423"/>
      <c r="J1263" s="423"/>
      <c r="K1263" s="423"/>
      <c r="L1263" s="423"/>
      <c r="M1263" s="423"/>
      <c r="N1263" s="423"/>
      <c r="O1263" s="423"/>
      <c r="P1263" s="423"/>
      <c r="Q1263" s="423"/>
      <c r="R1263" s="423"/>
      <c r="S1263" s="423"/>
      <c r="T1263" s="423"/>
      <c r="U1263" s="423"/>
      <c r="V1263" s="423"/>
      <c r="W1263" s="423"/>
      <c r="X1263" s="423"/>
      <c r="Y1263" s="423"/>
      <c r="Z1263" s="423"/>
    </row>
    <row r="1264">
      <c r="A1264" s="564">
        <v>1262.0</v>
      </c>
      <c r="B1264" s="565" t="s">
        <v>6360</v>
      </c>
      <c r="C1264" s="565" t="s">
        <v>6133</v>
      </c>
      <c r="D1264" s="564">
        <v>0.0</v>
      </c>
      <c r="E1264" s="564">
        <v>0.0</v>
      </c>
      <c r="F1264" s="564">
        <v>0.0</v>
      </c>
      <c r="G1264" s="564">
        <v>8.0</v>
      </c>
      <c r="H1264" s="564">
        <v>0.0</v>
      </c>
      <c r="I1264" s="423"/>
      <c r="J1264" s="423"/>
      <c r="K1264" s="423"/>
      <c r="L1264" s="423"/>
      <c r="M1264" s="423"/>
      <c r="N1264" s="423"/>
      <c r="O1264" s="423"/>
      <c r="P1264" s="423"/>
      <c r="Q1264" s="423"/>
      <c r="R1264" s="423"/>
      <c r="S1264" s="423"/>
      <c r="T1264" s="423"/>
      <c r="U1264" s="423"/>
      <c r="V1264" s="423"/>
      <c r="W1264" s="423"/>
      <c r="X1264" s="423"/>
      <c r="Y1264" s="423"/>
      <c r="Z1264" s="423"/>
    </row>
    <row r="1265">
      <c r="A1265" s="562">
        <v>1263.0</v>
      </c>
      <c r="B1265" s="563" t="s">
        <v>6361</v>
      </c>
      <c r="C1265" s="563" t="s">
        <v>6133</v>
      </c>
      <c r="D1265" s="562">
        <v>0.0</v>
      </c>
      <c r="E1265" s="562">
        <v>0.0</v>
      </c>
      <c r="F1265" s="562">
        <v>0.0</v>
      </c>
      <c r="G1265" s="562">
        <v>8.0</v>
      </c>
      <c r="H1265" s="562">
        <v>0.0</v>
      </c>
      <c r="I1265" s="423"/>
      <c r="J1265" s="423"/>
      <c r="K1265" s="423"/>
      <c r="L1265" s="423"/>
      <c r="M1265" s="423"/>
      <c r="N1265" s="423"/>
      <c r="O1265" s="423"/>
      <c r="P1265" s="423"/>
      <c r="Q1265" s="423"/>
      <c r="R1265" s="423"/>
      <c r="S1265" s="423"/>
      <c r="T1265" s="423"/>
      <c r="U1265" s="423"/>
      <c r="V1265" s="423"/>
      <c r="W1265" s="423"/>
      <c r="X1265" s="423"/>
      <c r="Y1265" s="423"/>
      <c r="Z1265" s="423"/>
    </row>
    <row r="1266">
      <c r="A1266" s="564">
        <v>1264.0</v>
      </c>
      <c r="B1266" s="565" t="s">
        <v>6362</v>
      </c>
      <c r="C1266" s="565" t="s">
        <v>6133</v>
      </c>
      <c r="D1266" s="564">
        <v>0.0</v>
      </c>
      <c r="E1266" s="564">
        <v>0.0</v>
      </c>
      <c r="F1266" s="564">
        <v>0.0</v>
      </c>
      <c r="G1266" s="564">
        <v>8.0</v>
      </c>
      <c r="H1266" s="564">
        <v>0.0</v>
      </c>
      <c r="I1266" s="423"/>
      <c r="J1266" s="423"/>
      <c r="K1266" s="423"/>
      <c r="L1266" s="423"/>
      <c r="M1266" s="423"/>
      <c r="N1266" s="423"/>
      <c r="O1266" s="423"/>
      <c r="P1266" s="423"/>
      <c r="Q1266" s="423"/>
      <c r="R1266" s="423"/>
      <c r="S1266" s="423"/>
      <c r="T1266" s="423"/>
      <c r="U1266" s="423"/>
      <c r="V1266" s="423"/>
      <c r="W1266" s="423"/>
      <c r="X1266" s="423"/>
      <c r="Y1266" s="423"/>
      <c r="Z1266" s="423"/>
    </row>
    <row r="1267">
      <c r="A1267" s="562">
        <v>1265.0</v>
      </c>
      <c r="B1267" s="563" t="s">
        <v>6363</v>
      </c>
      <c r="C1267" s="563" t="s">
        <v>6133</v>
      </c>
      <c r="D1267" s="562">
        <v>0.0</v>
      </c>
      <c r="E1267" s="562">
        <v>0.0</v>
      </c>
      <c r="F1267" s="562">
        <v>0.0</v>
      </c>
      <c r="G1267" s="562">
        <v>8.0</v>
      </c>
      <c r="H1267" s="562">
        <v>0.0</v>
      </c>
      <c r="I1267" s="423"/>
      <c r="J1267" s="423"/>
      <c r="K1267" s="423"/>
      <c r="L1267" s="423"/>
      <c r="M1267" s="423"/>
      <c r="N1267" s="423"/>
      <c r="O1267" s="423"/>
      <c r="P1267" s="423"/>
      <c r="Q1267" s="423"/>
      <c r="R1267" s="423"/>
      <c r="S1267" s="423"/>
      <c r="T1267" s="423"/>
      <c r="U1267" s="423"/>
      <c r="V1267" s="423"/>
      <c r="W1267" s="423"/>
      <c r="X1267" s="423"/>
      <c r="Y1267" s="423"/>
      <c r="Z1267" s="423"/>
    </row>
    <row r="1268">
      <c r="A1268" s="564">
        <v>1266.0</v>
      </c>
      <c r="B1268" s="565" t="s">
        <v>6364</v>
      </c>
      <c r="C1268" s="565" t="s">
        <v>6133</v>
      </c>
      <c r="D1268" s="564">
        <v>0.0</v>
      </c>
      <c r="E1268" s="564">
        <v>0.0</v>
      </c>
      <c r="F1268" s="564">
        <v>0.0</v>
      </c>
      <c r="G1268" s="564">
        <v>8.0</v>
      </c>
      <c r="H1268" s="564">
        <v>0.0</v>
      </c>
      <c r="I1268" s="423"/>
      <c r="J1268" s="423"/>
      <c r="K1268" s="423"/>
      <c r="L1268" s="423"/>
      <c r="M1268" s="423"/>
      <c r="N1268" s="423"/>
      <c r="O1268" s="423"/>
      <c r="P1268" s="423"/>
      <c r="Q1268" s="423"/>
      <c r="R1268" s="423"/>
      <c r="S1268" s="423"/>
      <c r="T1268" s="423"/>
      <c r="U1268" s="423"/>
      <c r="V1268" s="423"/>
      <c r="W1268" s="423"/>
      <c r="X1268" s="423"/>
      <c r="Y1268" s="423"/>
      <c r="Z1268" s="423"/>
    </row>
    <row r="1269">
      <c r="A1269" s="562">
        <v>1267.0</v>
      </c>
      <c r="B1269" s="563" t="s">
        <v>6365</v>
      </c>
      <c r="C1269" s="563" t="s">
        <v>6133</v>
      </c>
      <c r="D1269" s="562">
        <v>0.0</v>
      </c>
      <c r="E1269" s="562">
        <v>0.0</v>
      </c>
      <c r="F1269" s="562">
        <v>0.0</v>
      </c>
      <c r="G1269" s="562">
        <v>8.0</v>
      </c>
      <c r="H1269" s="562">
        <v>0.0</v>
      </c>
      <c r="I1269" s="423"/>
      <c r="J1269" s="423"/>
      <c r="K1269" s="423"/>
      <c r="L1269" s="423"/>
      <c r="M1269" s="423"/>
      <c r="N1269" s="423"/>
      <c r="O1269" s="423"/>
      <c r="P1269" s="423"/>
      <c r="Q1269" s="423"/>
      <c r="R1269" s="423"/>
      <c r="S1269" s="423"/>
      <c r="T1269" s="423"/>
      <c r="U1269" s="423"/>
      <c r="V1269" s="423"/>
      <c r="W1269" s="423"/>
      <c r="X1269" s="423"/>
      <c r="Y1269" s="423"/>
      <c r="Z1269" s="423"/>
    </row>
    <row r="1270">
      <c r="A1270" s="564">
        <v>1268.0</v>
      </c>
      <c r="B1270" s="565" t="s">
        <v>6366</v>
      </c>
      <c r="C1270" s="565" t="s">
        <v>6133</v>
      </c>
      <c r="D1270" s="564">
        <v>0.0</v>
      </c>
      <c r="E1270" s="564">
        <v>0.0</v>
      </c>
      <c r="F1270" s="564">
        <v>0.0</v>
      </c>
      <c r="G1270" s="564">
        <v>8.0</v>
      </c>
      <c r="H1270" s="564">
        <v>0.0</v>
      </c>
      <c r="I1270" s="423"/>
      <c r="J1270" s="423"/>
      <c r="K1270" s="423"/>
      <c r="L1270" s="423"/>
      <c r="M1270" s="423"/>
      <c r="N1270" s="423"/>
      <c r="O1270" s="423"/>
      <c r="P1270" s="423"/>
      <c r="Q1270" s="423"/>
      <c r="R1270" s="423"/>
      <c r="S1270" s="423"/>
      <c r="T1270" s="423"/>
      <c r="U1270" s="423"/>
      <c r="V1270" s="423"/>
      <c r="W1270" s="423"/>
      <c r="X1270" s="423"/>
      <c r="Y1270" s="423"/>
      <c r="Z1270" s="423"/>
    </row>
    <row r="1271">
      <c r="A1271" s="562">
        <v>1269.0</v>
      </c>
      <c r="B1271" s="563" t="s">
        <v>6367</v>
      </c>
      <c r="C1271" s="563" t="s">
        <v>6133</v>
      </c>
      <c r="D1271" s="562">
        <v>0.0</v>
      </c>
      <c r="E1271" s="562">
        <v>0.0</v>
      </c>
      <c r="F1271" s="562">
        <v>0.0</v>
      </c>
      <c r="G1271" s="562">
        <v>8.0</v>
      </c>
      <c r="H1271" s="562">
        <v>0.0</v>
      </c>
      <c r="I1271" s="423"/>
      <c r="J1271" s="423"/>
      <c r="K1271" s="423"/>
      <c r="L1271" s="423"/>
      <c r="M1271" s="423"/>
      <c r="N1271" s="423"/>
      <c r="O1271" s="423"/>
      <c r="P1271" s="423"/>
      <c r="Q1271" s="423"/>
      <c r="R1271" s="423"/>
      <c r="S1271" s="423"/>
      <c r="T1271" s="423"/>
      <c r="U1271" s="423"/>
      <c r="V1271" s="423"/>
      <c r="W1271" s="423"/>
      <c r="X1271" s="423"/>
      <c r="Y1271" s="423"/>
      <c r="Z1271" s="423"/>
    </row>
    <row r="1272">
      <c r="A1272" s="564">
        <v>1270.0</v>
      </c>
      <c r="B1272" s="565" t="s">
        <v>6368</v>
      </c>
      <c r="C1272" s="565" t="s">
        <v>6133</v>
      </c>
      <c r="D1272" s="564">
        <v>0.0</v>
      </c>
      <c r="E1272" s="564">
        <v>0.0</v>
      </c>
      <c r="F1272" s="564">
        <v>0.0</v>
      </c>
      <c r="G1272" s="564">
        <v>8.0</v>
      </c>
      <c r="H1272" s="564">
        <v>0.0</v>
      </c>
      <c r="I1272" s="423"/>
      <c r="J1272" s="423"/>
      <c r="K1272" s="423"/>
      <c r="L1272" s="423"/>
      <c r="M1272" s="423"/>
      <c r="N1272" s="423"/>
      <c r="O1272" s="423"/>
      <c r="P1272" s="423"/>
      <c r="Q1272" s="423"/>
      <c r="R1272" s="423"/>
      <c r="S1272" s="423"/>
      <c r="T1272" s="423"/>
      <c r="U1272" s="423"/>
      <c r="V1272" s="423"/>
      <c r="W1272" s="423"/>
      <c r="X1272" s="423"/>
      <c r="Y1272" s="423"/>
      <c r="Z1272" s="423"/>
    </row>
    <row r="1273">
      <c r="A1273" s="562">
        <v>1271.0</v>
      </c>
      <c r="B1273" s="563" t="s">
        <v>6369</v>
      </c>
      <c r="C1273" s="563" t="s">
        <v>6133</v>
      </c>
      <c r="D1273" s="562">
        <v>0.0</v>
      </c>
      <c r="E1273" s="562">
        <v>0.0</v>
      </c>
      <c r="F1273" s="562">
        <v>0.0</v>
      </c>
      <c r="G1273" s="562">
        <v>8.0</v>
      </c>
      <c r="H1273" s="562">
        <v>0.0</v>
      </c>
      <c r="I1273" s="423"/>
      <c r="J1273" s="423"/>
      <c r="K1273" s="423"/>
      <c r="L1273" s="423"/>
      <c r="M1273" s="423"/>
      <c r="N1273" s="423"/>
      <c r="O1273" s="423"/>
      <c r="P1273" s="423"/>
      <c r="Q1273" s="423"/>
      <c r="R1273" s="423"/>
      <c r="S1273" s="423"/>
      <c r="T1273" s="423"/>
      <c r="U1273" s="423"/>
      <c r="V1273" s="423"/>
      <c r="W1273" s="423"/>
      <c r="X1273" s="423"/>
      <c r="Y1273" s="423"/>
      <c r="Z1273" s="423"/>
    </row>
    <row r="1274">
      <c r="A1274" s="564">
        <v>1272.0</v>
      </c>
      <c r="B1274" s="565" t="s">
        <v>6370</v>
      </c>
      <c r="C1274" s="565" t="s">
        <v>6133</v>
      </c>
      <c r="D1274" s="564">
        <v>0.0</v>
      </c>
      <c r="E1274" s="564">
        <v>0.0</v>
      </c>
      <c r="F1274" s="564">
        <v>0.0</v>
      </c>
      <c r="G1274" s="564">
        <v>8.0</v>
      </c>
      <c r="H1274" s="564">
        <v>0.0</v>
      </c>
      <c r="I1274" s="423"/>
      <c r="J1274" s="423"/>
      <c r="K1274" s="423"/>
      <c r="L1274" s="423"/>
      <c r="M1274" s="423"/>
      <c r="N1274" s="423"/>
      <c r="O1274" s="423"/>
      <c r="P1274" s="423"/>
      <c r="Q1274" s="423"/>
      <c r="R1274" s="423"/>
      <c r="S1274" s="423"/>
      <c r="T1274" s="423"/>
      <c r="U1274" s="423"/>
      <c r="V1274" s="423"/>
      <c r="W1274" s="423"/>
      <c r="X1274" s="423"/>
      <c r="Y1274" s="423"/>
      <c r="Z1274" s="423"/>
    </row>
    <row r="1275">
      <c r="A1275" s="562">
        <v>1273.0</v>
      </c>
      <c r="B1275" s="563" t="s">
        <v>6371</v>
      </c>
      <c r="C1275" s="563" t="s">
        <v>6133</v>
      </c>
      <c r="D1275" s="562">
        <v>0.0</v>
      </c>
      <c r="E1275" s="562">
        <v>0.0</v>
      </c>
      <c r="F1275" s="562">
        <v>0.0</v>
      </c>
      <c r="G1275" s="562">
        <v>8.0</v>
      </c>
      <c r="H1275" s="562">
        <v>0.0</v>
      </c>
      <c r="I1275" s="423"/>
      <c r="J1275" s="423"/>
      <c r="K1275" s="423"/>
      <c r="L1275" s="423"/>
      <c r="M1275" s="423"/>
      <c r="N1275" s="423"/>
      <c r="O1275" s="423"/>
      <c r="P1275" s="423"/>
      <c r="Q1275" s="423"/>
      <c r="R1275" s="423"/>
      <c r="S1275" s="423"/>
      <c r="T1275" s="423"/>
      <c r="U1275" s="423"/>
      <c r="V1275" s="423"/>
      <c r="W1275" s="423"/>
      <c r="X1275" s="423"/>
      <c r="Y1275" s="423"/>
      <c r="Z1275" s="423"/>
    </row>
    <row r="1276">
      <c r="A1276" s="564">
        <v>1274.0</v>
      </c>
      <c r="B1276" s="565" t="s">
        <v>6372</v>
      </c>
      <c r="C1276" s="565" t="s">
        <v>6133</v>
      </c>
      <c r="D1276" s="564">
        <v>0.0</v>
      </c>
      <c r="E1276" s="564">
        <v>0.0</v>
      </c>
      <c r="F1276" s="564">
        <v>0.0</v>
      </c>
      <c r="G1276" s="564">
        <v>8.0</v>
      </c>
      <c r="H1276" s="564">
        <v>0.0</v>
      </c>
      <c r="I1276" s="423"/>
      <c r="J1276" s="423"/>
      <c r="K1276" s="423"/>
      <c r="L1276" s="423"/>
      <c r="M1276" s="423"/>
      <c r="N1276" s="423"/>
      <c r="O1276" s="423"/>
      <c r="P1276" s="423"/>
      <c r="Q1276" s="423"/>
      <c r="R1276" s="423"/>
      <c r="S1276" s="423"/>
      <c r="T1276" s="423"/>
      <c r="U1276" s="423"/>
      <c r="V1276" s="423"/>
      <c r="W1276" s="423"/>
      <c r="X1276" s="423"/>
      <c r="Y1276" s="423"/>
      <c r="Z1276" s="423"/>
    </row>
    <row r="1277">
      <c r="A1277" s="562">
        <v>1275.0</v>
      </c>
      <c r="B1277" s="563" t="s">
        <v>6373</v>
      </c>
      <c r="C1277" s="563" t="s">
        <v>6133</v>
      </c>
      <c r="D1277" s="562">
        <v>0.0</v>
      </c>
      <c r="E1277" s="562">
        <v>0.0</v>
      </c>
      <c r="F1277" s="562">
        <v>0.0</v>
      </c>
      <c r="G1277" s="562">
        <v>8.0</v>
      </c>
      <c r="H1277" s="562">
        <v>0.0</v>
      </c>
      <c r="I1277" s="423"/>
      <c r="J1277" s="423"/>
      <c r="K1277" s="423"/>
      <c r="L1277" s="423"/>
      <c r="M1277" s="423"/>
      <c r="N1277" s="423"/>
      <c r="O1277" s="423"/>
      <c r="P1277" s="423"/>
      <c r="Q1277" s="423"/>
      <c r="R1277" s="423"/>
      <c r="S1277" s="423"/>
      <c r="T1277" s="423"/>
      <c r="U1277" s="423"/>
      <c r="V1277" s="423"/>
      <c r="W1277" s="423"/>
      <c r="X1277" s="423"/>
      <c r="Y1277" s="423"/>
      <c r="Z1277" s="423"/>
    </row>
    <row r="1278">
      <c r="A1278" s="564">
        <v>1276.0</v>
      </c>
      <c r="B1278" s="565" t="s">
        <v>6374</v>
      </c>
      <c r="C1278" s="565" t="s">
        <v>6133</v>
      </c>
      <c r="D1278" s="564">
        <v>0.0</v>
      </c>
      <c r="E1278" s="564">
        <v>0.0</v>
      </c>
      <c r="F1278" s="564">
        <v>0.0</v>
      </c>
      <c r="G1278" s="564">
        <v>8.0</v>
      </c>
      <c r="H1278" s="564">
        <v>0.0</v>
      </c>
      <c r="I1278" s="423"/>
      <c r="J1278" s="423"/>
      <c r="K1278" s="423"/>
      <c r="L1278" s="423"/>
      <c r="M1278" s="423"/>
      <c r="N1278" s="423"/>
      <c r="O1278" s="423"/>
      <c r="P1278" s="423"/>
      <c r="Q1278" s="423"/>
      <c r="R1278" s="423"/>
      <c r="S1278" s="423"/>
      <c r="T1278" s="423"/>
      <c r="U1278" s="423"/>
      <c r="V1278" s="423"/>
      <c r="W1278" s="423"/>
      <c r="X1278" s="423"/>
      <c r="Y1278" s="423"/>
      <c r="Z1278" s="423"/>
    </row>
    <row r="1279">
      <c r="A1279" s="562">
        <v>1277.0</v>
      </c>
      <c r="B1279" s="563" t="s">
        <v>6375</v>
      </c>
      <c r="C1279" s="563" t="s">
        <v>6133</v>
      </c>
      <c r="D1279" s="562">
        <v>0.0</v>
      </c>
      <c r="E1279" s="562">
        <v>0.0</v>
      </c>
      <c r="F1279" s="562">
        <v>0.0</v>
      </c>
      <c r="G1279" s="562">
        <v>8.0</v>
      </c>
      <c r="H1279" s="562">
        <v>0.0</v>
      </c>
      <c r="I1279" s="423"/>
      <c r="J1279" s="423"/>
      <c r="K1279" s="423"/>
      <c r="L1279" s="423"/>
      <c r="M1279" s="423"/>
      <c r="N1279" s="423"/>
      <c r="O1279" s="423"/>
      <c r="P1279" s="423"/>
      <c r="Q1279" s="423"/>
      <c r="R1279" s="423"/>
      <c r="S1279" s="423"/>
      <c r="T1279" s="423"/>
      <c r="U1279" s="423"/>
      <c r="V1279" s="423"/>
      <c r="W1279" s="423"/>
      <c r="X1279" s="423"/>
      <c r="Y1279" s="423"/>
      <c r="Z1279" s="423"/>
    </row>
    <row r="1280">
      <c r="A1280" s="564">
        <v>1278.0</v>
      </c>
      <c r="B1280" s="565" t="s">
        <v>6376</v>
      </c>
      <c r="C1280" s="565" t="s">
        <v>6133</v>
      </c>
      <c r="D1280" s="564">
        <v>0.0</v>
      </c>
      <c r="E1280" s="564">
        <v>0.0</v>
      </c>
      <c r="F1280" s="564">
        <v>0.0</v>
      </c>
      <c r="G1280" s="564">
        <v>8.0</v>
      </c>
      <c r="H1280" s="564">
        <v>0.0</v>
      </c>
      <c r="I1280" s="423"/>
      <c r="J1280" s="423"/>
      <c r="K1280" s="423"/>
      <c r="L1280" s="423"/>
      <c r="M1280" s="423"/>
      <c r="N1280" s="423"/>
      <c r="O1280" s="423"/>
      <c r="P1280" s="423"/>
      <c r="Q1280" s="423"/>
      <c r="R1280" s="423"/>
      <c r="S1280" s="423"/>
      <c r="T1280" s="423"/>
      <c r="U1280" s="423"/>
      <c r="V1280" s="423"/>
      <c r="W1280" s="423"/>
      <c r="X1280" s="423"/>
      <c r="Y1280" s="423"/>
      <c r="Z1280" s="423"/>
    </row>
    <row r="1281">
      <c r="A1281" s="562">
        <v>1279.0</v>
      </c>
      <c r="B1281" s="563" t="s">
        <v>6377</v>
      </c>
      <c r="C1281" s="563" t="s">
        <v>6133</v>
      </c>
      <c r="D1281" s="562">
        <v>0.0</v>
      </c>
      <c r="E1281" s="562">
        <v>0.0</v>
      </c>
      <c r="F1281" s="562">
        <v>0.0</v>
      </c>
      <c r="G1281" s="562">
        <v>8.0</v>
      </c>
      <c r="H1281" s="562">
        <v>0.0</v>
      </c>
      <c r="I1281" s="423"/>
      <c r="J1281" s="423"/>
      <c r="K1281" s="423"/>
      <c r="L1281" s="423"/>
      <c r="M1281" s="423"/>
      <c r="N1281" s="423"/>
      <c r="O1281" s="423"/>
      <c r="P1281" s="423"/>
      <c r="Q1281" s="423"/>
      <c r="R1281" s="423"/>
      <c r="S1281" s="423"/>
      <c r="T1281" s="423"/>
      <c r="U1281" s="423"/>
      <c r="V1281" s="423"/>
      <c r="W1281" s="423"/>
      <c r="X1281" s="423"/>
      <c r="Y1281" s="423"/>
      <c r="Z1281" s="423"/>
    </row>
    <row r="1282">
      <c r="A1282" s="564">
        <v>1280.0</v>
      </c>
      <c r="B1282" s="565" t="s">
        <v>6378</v>
      </c>
      <c r="C1282" s="565" t="s">
        <v>6133</v>
      </c>
      <c r="D1282" s="564">
        <v>0.0</v>
      </c>
      <c r="E1282" s="564">
        <v>0.0</v>
      </c>
      <c r="F1282" s="564">
        <v>0.0</v>
      </c>
      <c r="G1282" s="564">
        <v>8.0</v>
      </c>
      <c r="H1282" s="564">
        <v>0.0</v>
      </c>
      <c r="I1282" s="423"/>
      <c r="J1282" s="423"/>
      <c r="K1282" s="423"/>
      <c r="L1282" s="423"/>
      <c r="M1282" s="423"/>
      <c r="N1282" s="423"/>
      <c r="O1282" s="423"/>
      <c r="P1282" s="423"/>
      <c r="Q1282" s="423"/>
      <c r="R1282" s="423"/>
      <c r="S1282" s="423"/>
      <c r="T1282" s="423"/>
      <c r="U1282" s="423"/>
      <c r="V1282" s="423"/>
      <c r="W1282" s="423"/>
      <c r="X1282" s="423"/>
      <c r="Y1282" s="423"/>
      <c r="Z1282" s="423"/>
    </row>
    <row r="1283">
      <c r="A1283" s="562">
        <v>1281.0</v>
      </c>
      <c r="B1283" s="563" t="s">
        <v>6379</v>
      </c>
      <c r="C1283" s="563" t="s">
        <v>6380</v>
      </c>
      <c r="D1283" s="562">
        <v>0.0</v>
      </c>
      <c r="E1283" s="562">
        <v>0.0</v>
      </c>
      <c r="F1283" s="562">
        <v>0.0</v>
      </c>
      <c r="G1283" s="562">
        <v>8.0</v>
      </c>
      <c r="H1283" s="562">
        <v>0.0</v>
      </c>
      <c r="I1283" s="423"/>
      <c r="J1283" s="423"/>
      <c r="K1283" s="423"/>
      <c r="L1283" s="423"/>
      <c r="M1283" s="423"/>
      <c r="N1283" s="423"/>
      <c r="O1283" s="423"/>
      <c r="P1283" s="423"/>
      <c r="Q1283" s="423"/>
      <c r="R1283" s="423"/>
      <c r="S1283" s="423"/>
      <c r="T1283" s="423"/>
      <c r="U1283" s="423"/>
      <c r="V1283" s="423"/>
      <c r="W1283" s="423"/>
      <c r="X1283" s="423"/>
      <c r="Y1283" s="423"/>
      <c r="Z1283" s="423"/>
    </row>
    <row r="1284">
      <c r="A1284" s="564">
        <v>1282.0</v>
      </c>
      <c r="B1284" s="565" t="s">
        <v>6381</v>
      </c>
      <c r="C1284" s="565" t="s">
        <v>6380</v>
      </c>
      <c r="D1284" s="564">
        <v>0.0</v>
      </c>
      <c r="E1284" s="564">
        <v>0.0</v>
      </c>
      <c r="F1284" s="564">
        <v>0.0</v>
      </c>
      <c r="G1284" s="564">
        <v>8.0</v>
      </c>
      <c r="H1284" s="564">
        <v>0.0</v>
      </c>
      <c r="I1284" s="423"/>
      <c r="J1284" s="423"/>
      <c r="K1284" s="423"/>
      <c r="L1284" s="423"/>
      <c r="M1284" s="423"/>
      <c r="N1284" s="423"/>
      <c r="O1284" s="423"/>
      <c r="P1284" s="423"/>
      <c r="Q1284" s="423"/>
      <c r="R1284" s="423"/>
      <c r="S1284" s="423"/>
      <c r="T1284" s="423"/>
      <c r="U1284" s="423"/>
      <c r="V1284" s="423"/>
      <c r="W1284" s="423"/>
      <c r="X1284" s="423"/>
      <c r="Y1284" s="423"/>
      <c r="Z1284" s="423"/>
    </row>
    <row r="1285">
      <c r="A1285" s="562">
        <v>1283.0</v>
      </c>
      <c r="B1285" s="563" t="s">
        <v>6382</v>
      </c>
      <c r="C1285" s="563" t="s">
        <v>6380</v>
      </c>
      <c r="D1285" s="562">
        <v>0.0</v>
      </c>
      <c r="E1285" s="562">
        <v>0.0</v>
      </c>
      <c r="F1285" s="562">
        <v>0.0</v>
      </c>
      <c r="G1285" s="562">
        <v>8.0</v>
      </c>
      <c r="H1285" s="562">
        <v>0.0</v>
      </c>
      <c r="I1285" s="423"/>
      <c r="J1285" s="423"/>
      <c r="K1285" s="423"/>
      <c r="L1285" s="423"/>
      <c r="M1285" s="423"/>
      <c r="N1285" s="423"/>
      <c r="O1285" s="423"/>
      <c r="P1285" s="423"/>
      <c r="Q1285" s="423"/>
      <c r="R1285" s="423"/>
      <c r="S1285" s="423"/>
      <c r="T1285" s="423"/>
      <c r="U1285" s="423"/>
      <c r="V1285" s="423"/>
      <c r="W1285" s="423"/>
      <c r="X1285" s="423"/>
      <c r="Y1285" s="423"/>
      <c r="Z1285" s="423"/>
    </row>
    <row r="1286">
      <c r="A1286" s="564">
        <v>1284.0</v>
      </c>
      <c r="B1286" s="565" t="s">
        <v>6383</v>
      </c>
      <c r="C1286" s="565" t="s">
        <v>6380</v>
      </c>
      <c r="D1286" s="564">
        <v>0.0</v>
      </c>
      <c r="E1286" s="564">
        <v>0.0</v>
      </c>
      <c r="F1286" s="564">
        <v>0.0</v>
      </c>
      <c r="G1286" s="564">
        <v>8.0</v>
      </c>
      <c r="H1286" s="564">
        <v>0.0</v>
      </c>
      <c r="I1286" s="423"/>
      <c r="J1286" s="423"/>
      <c r="K1286" s="423"/>
      <c r="L1286" s="423"/>
      <c r="M1286" s="423"/>
      <c r="N1286" s="423"/>
      <c r="O1286" s="423"/>
      <c r="P1286" s="423"/>
      <c r="Q1286" s="423"/>
      <c r="R1286" s="423"/>
      <c r="S1286" s="423"/>
      <c r="T1286" s="423"/>
      <c r="U1286" s="423"/>
      <c r="V1286" s="423"/>
      <c r="W1286" s="423"/>
      <c r="X1286" s="423"/>
      <c r="Y1286" s="423"/>
      <c r="Z1286" s="423"/>
    </row>
    <row r="1287">
      <c r="A1287" s="562">
        <v>1285.0</v>
      </c>
      <c r="B1287" s="563" t="s">
        <v>6384</v>
      </c>
      <c r="C1287" s="563" t="s">
        <v>6380</v>
      </c>
      <c r="D1287" s="562">
        <v>0.0</v>
      </c>
      <c r="E1287" s="562">
        <v>0.0</v>
      </c>
      <c r="F1287" s="562">
        <v>0.0</v>
      </c>
      <c r="G1287" s="562">
        <v>8.0</v>
      </c>
      <c r="H1287" s="562">
        <v>0.0</v>
      </c>
      <c r="I1287" s="423"/>
      <c r="J1287" s="423"/>
      <c r="K1287" s="423"/>
      <c r="L1287" s="423"/>
      <c r="M1287" s="423"/>
      <c r="N1287" s="423"/>
      <c r="O1287" s="423"/>
      <c r="P1287" s="423"/>
      <c r="Q1287" s="423"/>
      <c r="R1287" s="423"/>
      <c r="S1287" s="423"/>
      <c r="T1287" s="423"/>
      <c r="U1287" s="423"/>
      <c r="V1287" s="423"/>
      <c r="W1287" s="423"/>
      <c r="X1287" s="423"/>
      <c r="Y1287" s="423"/>
      <c r="Z1287" s="423"/>
    </row>
    <row r="1288">
      <c r="A1288" s="564">
        <v>1286.0</v>
      </c>
      <c r="B1288" s="565" t="s">
        <v>6385</v>
      </c>
      <c r="C1288" s="565" t="s">
        <v>6380</v>
      </c>
      <c r="D1288" s="564">
        <v>0.0</v>
      </c>
      <c r="E1288" s="564">
        <v>0.0</v>
      </c>
      <c r="F1288" s="564">
        <v>0.0</v>
      </c>
      <c r="G1288" s="564">
        <v>8.0</v>
      </c>
      <c r="H1288" s="564">
        <v>0.0</v>
      </c>
      <c r="I1288" s="423"/>
      <c r="J1288" s="423"/>
      <c r="K1288" s="423"/>
      <c r="L1288" s="423"/>
      <c r="M1288" s="423"/>
      <c r="N1288" s="423"/>
      <c r="O1288" s="423"/>
      <c r="P1288" s="423"/>
      <c r="Q1288" s="423"/>
      <c r="R1288" s="423"/>
      <c r="S1288" s="423"/>
      <c r="T1288" s="423"/>
      <c r="U1288" s="423"/>
      <c r="V1288" s="423"/>
      <c r="W1288" s="423"/>
      <c r="X1288" s="423"/>
      <c r="Y1288" s="423"/>
      <c r="Z1288" s="423"/>
    </row>
    <row r="1289">
      <c r="A1289" s="562">
        <v>1287.0</v>
      </c>
      <c r="B1289" s="563" t="s">
        <v>6386</v>
      </c>
      <c r="C1289" s="563" t="s">
        <v>6380</v>
      </c>
      <c r="D1289" s="562">
        <v>0.0</v>
      </c>
      <c r="E1289" s="562">
        <v>0.0</v>
      </c>
      <c r="F1289" s="562">
        <v>0.0</v>
      </c>
      <c r="G1289" s="562">
        <v>8.0</v>
      </c>
      <c r="H1289" s="562">
        <v>0.0</v>
      </c>
      <c r="I1289" s="423"/>
      <c r="J1289" s="423"/>
      <c r="K1289" s="423"/>
      <c r="L1289" s="423"/>
      <c r="M1289" s="423"/>
      <c r="N1289" s="423"/>
      <c r="O1289" s="423"/>
      <c r="P1289" s="423"/>
      <c r="Q1289" s="423"/>
      <c r="R1289" s="423"/>
      <c r="S1289" s="423"/>
      <c r="T1289" s="423"/>
      <c r="U1289" s="423"/>
      <c r="V1289" s="423"/>
      <c r="W1289" s="423"/>
      <c r="X1289" s="423"/>
      <c r="Y1289" s="423"/>
      <c r="Z1289" s="423"/>
    </row>
    <row r="1290">
      <c r="A1290" s="564">
        <v>1288.0</v>
      </c>
      <c r="B1290" s="565" t="s">
        <v>6387</v>
      </c>
      <c r="C1290" s="565" t="s">
        <v>6380</v>
      </c>
      <c r="D1290" s="564">
        <v>0.0</v>
      </c>
      <c r="E1290" s="564">
        <v>0.0</v>
      </c>
      <c r="F1290" s="564">
        <v>0.0</v>
      </c>
      <c r="G1290" s="564">
        <v>8.0</v>
      </c>
      <c r="H1290" s="564">
        <v>0.0</v>
      </c>
      <c r="I1290" s="423"/>
      <c r="J1290" s="423"/>
      <c r="K1290" s="423"/>
      <c r="L1290" s="423"/>
      <c r="M1290" s="423"/>
      <c r="N1290" s="423"/>
      <c r="O1290" s="423"/>
      <c r="P1290" s="423"/>
      <c r="Q1290" s="423"/>
      <c r="R1290" s="423"/>
      <c r="S1290" s="423"/>
      <c r="T1290" s="423"/>
      <c r="U1290" s="423"/>
      <c r="V1290" s="423"/>
      <c r="W1290" s="423"/>
      <c r="X1290" s="423"/>
      <c r="Y1290" s="423"/>
      <c r="Z1290" s="423"/>
    </row>
    <row r="1291">
      <c r="A1291" s="562">
        <v>1289.0</v>
      </c>
      <c r="B1291" s="563" t="s">
        <v>6388</v>
      </c>
      <c r="C1291" s="563" t="s">
        <v>6380</v>
      </c>
      <c r="D1291" s="562">
        <v>0.0</v>
      </c>
      <c r="E1291" s="562">
        <v>0.0</v>
      </c>
      <c r="F1291" s="562">
        <v>0.0</v>
      </c>
      <c r="G1291" s="562">
        <v>8.0</v>
      </c>
      <c r="H1291" s="562">
        <v>0.0</v>
      </c>
      <c r="I1291" s="423"/>
      <c r="J1291" s="423"/>
      <c r="K1291" s="423"/>
      <c r="L1291" s="423"/>
      <c r="M1291" s="423"/>
      <c r="N1291" s="423"/>
      <c r="O1291" s="423"/>
      <c r="P1291" s="423"/>
      <c r="Q1291" s="423"/>
      <c r="R1291" s="423"/>
      <c r="S1291" s="423"/>
      <c r="T1291" s="423"/>
      <c r="U1291" s="423"/>
      <c r="V1291" s="423"/>
      <c r="W1291" s="423"/>
      <c r="X1291" s="423"/>
      <c r="Y1291" s="423"/>
      <c r="Z1291" s="423"/>
    </row>
    <row r="1292">
      <c r="A1292" s="564">
        <v>1290.0</v>
      </c>
      <c r="B1292" s="565" t="s">
        <v>6389</v>
      </c>
      <c r="C1292" s="565" t="s">
        <v>6380</v>
      </c>
      <c r="D1292" s="564">
        <v>0.0</v>
      </c>
      <c r="E1292" s="564">
        <v>0.0</v>
      </c>
      <c r="F1292" s="564">
        <v>0.0</v>
      </c>
      <c r="G1292" s="564">
        <v>8.0</v>
      </c>
      <c r="H1292" s="564">
        <v>0.0</v>
      </c>
      <c r="I1292" s="423"/>
      <c r="J1292" s="423"/>
      <c r="K1292" s="423"/>
      <c r="L1292" s="423"/>
      <c r="M1292" s="423"/>
      <c r="N1292" s="423"/>
      <c r="O1292" s="423"/>
      <c r="P1292" s="423"/>
      <c r="Q1292" s="423"/>
      <c r="R1292" s="423"/>
      <c r="S1292" s="423"/>
      <c r="T1292" s="423"/>
      <c r="U1292" s="423"/>
      <c r="V1292" s="423"/>
      <c r="W1292" s="423"/>
      <c r="X1292" s="423"/>
      <c r="Y1292" s="423"/>
      <c r="Z1292" s="423"/>
    </row>
    <row r="1293">
      <c r="A1293" s="562">
        <v>1291.0</v>
      </c>
      <c r="B1293" s="563" t="s">
        <v>6390</v>
      </c>
      <c r="C1293" s="563" t="s">
        <v>6380</v>
      </c>
      <c r="D1293" s="562">
        <v>0.0</v>
      </c>
      <c r="E1293" s="562">
        <v>0.0</v>
      </c>
      <c r="F1293" s="562">
        <v>0.0</v>
      </c>
      <c r="G1293" s="562">
        <v>8.0</v>
      </c>
      <c r="H1293" s="562">
        <v>0.0</v>
      </c>
      <c r="I1293" s="423"/>
      <c r="J1293" s="423"/>
      <c r="K1293" s="423"/>
      <c r="L1293" s="423"/>
      <c r="M1293" s="423"/>
      <c r="N1293" s="423"/>
      <c r="O1293" s="423"/>
      <c r="P1293" s="423"/>
      <c r="Q1293" s="423"/>
      <c r="R1293" s="423"/>
      <c r="S1293" s="423"/>
      <c r="T1293" s="423"/>
      <c r="U1293" s="423"/>
      <c r="V1293" s="423"/>
      <c r="W1293" s="423"/>
      <c r="X1293" s="423"/>
      <c r="Y1293" s="423"/>
      <c r="Z1293" s="423"/>
    </row>
    <row r="1294">
      <c r="A1294" s="564">
        <v>1292.0</v>
      </c>
      <c r="B1294" s="565" t="s">
        <v>6391</v>
      </c>
      <c r="C1294" s="565" t="s">
        <v>6380</v>
      </c>
      <c r="D1294" s="564">
        <v>0.0</v>
      </c>
      <c r="E1294" s="564">
        <v>0.0</v>
      </c>
      <c r="F1294" s="564">
        <v>0.0</v>
      </c>
      <c r="G1294" s="564">
        <v>8.0</v>
      </c>
      <c r="H1294" s="564">
        <v>0.0</v>
      </c>
      <c r="I1294" s="423"/>
      <c r="J1294" s="423"/>
      <c r="K1294" s="423"/>
      <c r="L1294" s="423"/>
      <c r="M1294" s="423"/>
      <c r="N1294" s="423"/>
      <c r="O1294" s="423"/>
      <c r="P1294" s="423"/>
      <c r="Q1294" s="423"/>
      <c r="R1294" s="423"/>
      <c r="S1294" s="423"/>
      <c r="T1294" s="423"/>
      <c r="U1294" s="423"/>
      <c r="V1294" s="423"/>
      <c r="W1294" s="423"/>
      <c r="X1294" s="423"/>
      <c r="Y1294" s="423"/>
      <c r="Z1294" s="423"/>
    </row>
    <row r="1295">
      <c r="A1295" s="562">
        <v>1293.0</v>
      </c>
      <c r="B1295" s="563" t="s">
        <v>6392</v>
      </c>
      <c r="C1295" s="563" t="s">
        <v>6380</v>
      </c>
      <c r="D1295" s="562">
        <v>0.0</v>
      </c>
      <c r="E1295" s="562">
        <v>0.0</v>
      </c>
      <c r="F1295" s="562">
        <v>0.0</v>
      </c>
      <c r="G1295" s="562">
        <v>8.0</v>
      </c>
      <c r="H1295" s="562">
        <v>0.0</v>
      </c>
      <c r="I1295" s="423"/>
      <c r="J1295" s="423"/>
      <c r="K1295" s="423"/>
      <c r="L1295" s="423"/>
      <c r="M1295" s="423"/>
      <c r="N1295" s="423"/>
      <c r="O1295" s="423"/>
      <c r="P1295" s="423"/>
      <c r="Q1295" s="423"/>
      <c r="R1295" s="423"/>
      <c r="S1295" s="423"/>
      <c r="T1295" s="423"/>
      <c r="U1295" s="423"/>
      <c r="V1295" s="423"/>
      <c r="W1295" s="423"/>
      <c r="X1295" s="423"/>
      <c r="Y1295" s="423"/>
      <c r="Z1295" s="423"/>
    </row>
    <row r="1296">
      <c r="A1296" s="564">
        <v>1294.0</v>
      </c>
      <c r="B1296" s="565" t="s">
        <v>6393</v>
      </c>
      <c r="C1296" s="565" t="s">
        <v>6380</v>
      </c>
      <c r="D1296" s="564">
        <v>0.0</v>
      </c>
      <c r="E1296" s="564">
        <v>0.0</v>
      </c>
      <c r="F1296" s="564">
        <v>0.0</v>
      </c>
      <c r="G1296" s="564">
        <v>8.0</v>
      </c>
      <c r="H1296" s="564">
        <v>0.0</v>
      </c>
      <c r="I1296" s="423"/>
      <c r="J1296" s="423"/>
      <c r="K1296" s="423"/>
      <c r="L1296" s="423"/>
      <c r="M1296" s="423"/>
      <c r="N1296" s="423"/>
      <c r="O1296" s="423"/>
      <c r="P1296" s="423"/>
      <c r="Q1296" s="423"/>
      <c r="R1296" s="423"/>
      <c r="S1296" s="423"/>
      <c r="T1296" s="423"/>
      <c r="U1296" s="423"/>
      <c r="V1296" s="423"/>
      <c r="W1296" s="423"/>
      <c r="X1296" s="423"/>
      <c r="Y1296" s="423"/>
      <c r="Z1296" s="423"/>
    </row>
    <row r="1297">
      <c r="A1297" s="562">
        <v>1295.0</v>
      </c>
      <c r="B1297" s="563" t="s">
        <v>6394</v>
      </c>
      <c r="C1297" s="563" t="s">
        <v>6380</v>
      </c>
      <c r="D1297" s="562">
        <v>0.0</v>
      </c>
      <c r="E1297" s="562">
        <v>0.0</v>
      </c>
      <c r="F1297" s="562">
        <v>0.0</v>
      </c>
      <c r="G1297" s="562">
        <v>8.0</v>
      </c>
      <c r="H1297" s="562">
        <v>0.0</v>
      </c>
      <c r="I1297" s="423"/>
      <c r="J1297" s="423"/>
      <c r="K1297" s="423"/>
      <c r="L1297" s="423"/>
      <c r="M1297" s="423"/>
      <c r="N1297" s="423"/>
      <c r="O1297" s="423"/>
      <c r="P1297" s="423"/>
      <c r="Q1297" s="423"/>
      <c r="R1297" s="423"/>
      <c r="S1297" s="423"/>
      <c r="T1297" s="423"/>
      <c r="U1297" s="423"/>
      <c r="V1297" s="423"/>
      <c r="W1297" s="423"/>
      <c r="X1297" s="423"/>
      <c r="Y1297" s="423"/>
      <c r="Z1297" s="423"/>
    </row>
    <row r="1298">
      <c r="A1298" s="564">
        <v>1296.0</v>
      </c>
      <c r="B1298" s="565" t="s">
        <v>6395</v>
      </c>
      <c r="C1298" s="565" t="s">
        <v>6380</v>
      </c>
      <c r="D1298" s="564">
        <v>0.0</v>
      </c>
      <c r="E1298" s="564">
        <v>0.0</v>
      </c>
      <c r="F1298" s="564">
        <v>0.0</v>
      </c>
      <c r="G1298" s="564">
        <v>8.0</v>
      </c>
      <c r="H1298" s="564">
        <v>0.0</v>
      </c>
      <c r="I1298" s="423"/>
      <c r="J1298" s="423"/>
      <c r="K1298" s="423"/>
      <c r="L1298" s="423"/>
      <c r="M1298" s="423"/>
      <c r="N1298" s="423"/>
      <c r="O1298" s="423"/>
      <c r="P1298" s="423"/>
      <c r="Q1298" s="423"/>
      <c r="R1298" s="423"/>
      <c r="S1298" s="423"/>
      <c r="T1298" s="423"/>
      <c r="U1298" s="423"/>
      <c r="V1298" s="423"/>
      <c r="W1298" s="423"/>
      <c r="X1298" s="423"/>
      <c r="Y1298" s="423"/>
      <c r="Z1298" s="423"/>
    </row>
    <row r="1299">
      <c r="A1299" s="562">
        <v>1297.0</v>
      </c>
      <c r="B1299" s="563" t="s">
        <v>6396</v>
      </c>
      <c r="C1299" s="563" t="s">
        <v>6380</v>
      </c>
      <c r="D1299" s="562">
        <v>0.0</v>
      </c>
      <c r="E1299" s="562">
        <v>0.0</v>
      </c>
      <c r="F1299" s="562">
        <v>0.0</v>
      </c>
      <c r="G1299" s="562">
        <v>8.0</v>
      </c>
      <c r="H1299" s="562">
        <v>0.0</v>
      </c>
      <c r="I1299" s="423"/>
      <c r="J1299" s="423"/>
      <c r="K1299" s="423"/>
      <c r="L1299" s="423"/>
      <c r="M1299" s="423"/>
      <c r="N1299" s="423"/>
      <c r="O1299" s="423"/>
      <c r="P1299" s="423"/>
      <c r="Q1299" s="423"/>
      <c r="R1299" s="423"/>
      <c r="S1299" s="423"/>
      <c r="T1299" s="423"/>
      <c r="U1299" s="423"/>
      <c r="V1299" s="423"/>
      <c r="W1299" s="423"/>
      <c r="X1299" s="423"/>
      <c r="Y1299" s="423"/>
      <c r="Z1299" s="423"/>
    </row>
    <row r="1300">
      <c r="A1300" s="564">
        <v>1298.0</v>
      </c>
      <c r="B1300" s="565" t="s">
        <v>6397</v>
      </c>
      <c r="C1300" s="565" t="s">
        <v>6380</v>
      </c>
      <c r="D1300" s="564">
        <v>0.0</v>
      </c>
      <c r="E1300" s="564">
        <v>0.0</v>
      </c>
      <c r="F1300" s="564">
        <v>0.0</v>
      </c>
      <c r="G1300" s="564">
        <v>8.0</v>
      </c>
      <c r="H1300" s="564">
        <v>0.0</v>
      </c>
      <c r="I1300" s="423"/>
      <c r="J1300" s="423"/>
      <c r="K1300" s="423"/>
      <c r="L1300" s="423"/>
      <c r="M1300" s="423"/>
      <c r="N1300" s="423"/>
      <c r="O1300" s="423"/>
      <c r="P1300" s="423"/>
      <c r="Q1300" s="423"/>
      <c r="R1300" s="423"/>
      <c r="S1300" s="423"/>
      <c r="T1300" s="423"/>
      <c r="U1300" s="423"/>
      <c r="V1300" s="423"/>
      <c r="W1300" s="423"/>
      <c r="X1300" s="423"/>
      <c r="Y1300" s="423"/>
      <c r="Z1300" s="423"/>
    </row>
    <row r="1301">
      <c r="A1301" s="562">
        <v>1299.0</v>
      </c>
      <c r="B1301" s="563" t="s">
        <v>6398</v>
      </c>
      <c r="C1301" s="563" t="s">
        <v>6380</v>
      </c>
      <c r="D1301" s="562">
        <v>0.0</v>
      </c>
      <c r="E1301" s="562">
        <v>0.0</v>
      </c>
      <c r="F1301" s="562">
        <v>0.0</v>
      </c>
      <c r="G1301" s="562">
        <v>8.0</v>
      </c>
      <c r="H1301" s="562">
        <v>0.0</v>
      </c>
      <c r="I1301" s="423"/>
      <c r="J1301" s="423"/>
      <c r="K1301" s="423"/>
      <c r="L1301" s="423"/>
      <c r="M1301" s="423"/>
      <c r="N1301" s="423"/>
      <c r="O1301" s="423"/>
      <c r="P1301" s="423"/>
      <c r="Q1301" s="423"/>
      <c r="R1301" s="423"/>
      <c r="S1301" s="423"/>
      <c r="T1301" s="423"/>
      <c r="U1301" s="423"/>
      <c r="V1301" s="423"/>
      <c r="W1301" s="423"/>
      <c r="X1301" s="423"/>
      <c r="Y1301" s="423"/>
      <c r="Z1301" s="423"/>
    </row>
    <row r="1302">
      <c r="A1302" s="564">
        <v>1300.0</v>
      </c>
      <c r="B1302" s="565" t="s">
        <v>6399</v>
      </c>
      <c r="C1302" s="565" t="s">
        <v>6380</v>
      </c>
      <c r="D1302" s="564">
        <v>0.0</v>
      </c>
      <c r="E1302" s="564">
        <v>0.0</v>
      </c>
      <c r="F1302" s="564">
        <v>0.0</v>
      </c>
      <c r="G1302" s="564">
        <v>8.0</v>
      </c>
      <c r="H1302" s="564">
        <v>0.0</v>
      </c>
      <c r="I1302" s="423"/>
      <c r="J1302" s="423"/>
      <c r="K1302" s="423"/>
      <c r="L1302" s="423"/>
      <c r="M1302" s="423"/>
      <c r="N1302" s="423"/>
      <c r="O1302" s="423"/>
      <c r="P1302" s="423"/>
      <c r="Q1302" s="423"/>
      <c r="R1302" s="423"/>
      <c r="S1302" s="423"/>
      <c r="T1302" s="423"/>
      <c r="U1302" s="423"/>
      <c r="V1302" s="423"/>
      <c r="W1302" s="423"/>
      <c r="X1302" s="423"/>
      <c r="Y1302" s="423"/>
      <c r="Z1302" s="423"/>
    </row>
    <row r="1303">
      <c r="A1303" s="562">
        <v>1301.0</v>
      </c>
      <c r="B1303" s="563" t="s">
        <v>6400</v>
      </c>
      <c r="C1303" s="563" t="s">
        <v>6380</v>
      </c>
      <c r="D1303" s="562">
        <v>0.0</v>
      </c>
      <c r="E1303" s="562">
        <v>0.0</v>
      </c>
      <c r="F1303" s="562">
        <v>0.0</v>
      </c>
      <c r="G1303" s="562">
        <v>8.0</v>
      </c>
      <c r="H1303" s="562">
        <v>0.0</v>
      </c>
      <c r="I1303" s="423"/>
      <c r="J1303" s="423"/>
      <c r="K1303" s="423"/>
      <c r="L1303" s="423"/>
      <c r="M1303" s="423"/>
      <c r="N1303" s="423"/>
      <c r="O1303" s="423"/>
      <c r="P1303" s="423"/>
      <c r="Q1303" s="423"/>
      <c r="R1303" s="423"/>
      <c r="S1303" s="423"/>
      <c r="T1303" s="423"/>
      <c r="U1303" s="423"/>
      <c r="V1303" s="423"/>
      <c r="W1303" s="423"/>
      <c r="X1303" s="423"/>
      <c r="Y1303" s="423"/>
      <c r="Z1303" s="423"/>
    </row>
    <row r="1304">
      <c r="A1304" s="564">
        <v>1302.0</v>
      </c>
      <c r="B1304" s="565" t="s">
        <v>6401</v>
      </c>
      <c r="C1304" s="565" t="s">
        <v>6380</v>
      </c>
      <c r="D1304" s="564">
        <v>0.0</v>
      </c>
      <c r="E1304" s="564">
        <v>0.0</v>
      </c>
      <c r="F1304" s="564">
        <v>0.0</v>
      </c>
      <c r="G1304" s="564">
        <v>8.0</v>
      </c>
      <c r="H1304" s="564">
        <v>0.0</v>
      </c>
      <c r="I1304" s="423"/>
      <c r="J1304" s="423"/>
      <c r="K1304" s="423"/>
      <c r="L1304" s="423"/>
      <c r="M1304" s="423"/>
      <c r="N1304" s="423"/>
      <c r="O1304" s="423"/>
      <c r="P1304" s="423"/>
      <c r="Q1304" s="423"/>
      <c r="R1304" s="423"/>
      <c r="S1304" s="423"/>
      <c r="T1304" s="423"/>
      <c r="U1304" s="423"/>
      <c r="V1304" s="423"/>
      <c r="W1304" s="423"/>
      <c r="X1304" s="423"/>
      <c r="Y1304" s="423"/>
      <c r="Z1304" s="423"/>
    </row>
    <row r="1305">
      <c r="A1305" s="562">
        <v>1303.0</v>
      </c>
      <c r="B1305" s="563" t="s">
        <v>6402</v>
      </c>
      <c r="C1305" s="563" t="s">
        <v>6380</v>
      </c>
      <c r="D1305" s="562">
        <v>0.0</v>
      </c>
      <c r="E1305" s="562">
        <v>0.0</v>
      </c>
      <c r="F1305" s="562">
        <v>0.0</v>
      </c>
      <c r="G1305" s="562">
        <v>8.0</v>
      </c>
      <c r="H1305" s="562">
        <v>0.0</v>
      </c>
      <c r="I1305" s="423"/>
      <c r="J1305" s="423"/>
      <c r="K1305" s="423"/>
      <c r="L1305" s="423"/>
      <c r="M1305" s="423"/>
      <c r="N1305" s="423"/>
      <c r="O1305" s="423"/>
      <c r="P1305" s="423"/>
      <c r="Q1305" s="423"/>
      <c r="R1305" s="423"/>
      <c r="S1305" s="423"/>
      <c r="T1305" s="423"/>
      <c r="U1305" s="423"/>
      <c r="V1305" s="423"/>
      <c r="W1305" s="423"/>
      <c r="X1305" s="423"/>
      <c r="Y1305" s="423"/>
      <c r="Z1305" s="423"/>
    </row>
    <row r="1306">
      <c r="A1306" s="564">
        <v>1304.0</v>
      </c>
      <c r="B1306" s="565" t="s">
        <v>6403</v>
      </c>
      <c r="C1306" s="565" t="s">
        <v>6380</v>
      </c>
      <c r="D1306" s="564">
        <v>2.0</v>
      </c>
      <c r="E1306" s="564">
        <v>0.0</v>
      </c>
      <c r="F1306" s="564">
        <v>0.0</v>
      </c>
      <c r="G1306" s="564">
        <v>6.0</v>
      </c>
      <c r="H1306" s="564">
        <v>0.0</v>
      </c>
      <c r="I1306" s="423"/>
      <c r="J1306" s="423"/>
      <c r="K1306" s="423"/>
      <c r="L1306" s="423"/>
      <c r="M1306" s="423"/>
      <c r="N1306" s="423"/>
      <c r="O1306" s="423"/>
      <c r="P1306" s="423"/>
      <c r="Q1306" s="423"/>
      <c r="R1306" s="423"/>
      <c r="S1306" s="423"/>
      <c r="T1306" s="423"/>
      <c r="U1306" s="423"/>
      <c r="V1306" s="423"/>
      <c r="W1306" s="423"/>
      <c r="X1306" s="423"/>
      <c r="Y1306" s="423"/>
      <c r="Z1306" s="423"/>
    </row>
    <row r="1307">
      <c r="A1307" s="562">
        <v>1305.0</v>
      </c>
      <c r="B1307" s="563" t="s">
        <v>6404</v>
      </c>
      <c r="C1307" s="563" t="s">
        <v>6380</v>
      </c>
      <c r="D1307" s="562">
        <v>0.0</v>
      </c>
      <c r="E1307" s="562">
        <v>0.0</v>
      </c>
      <c r="F1307" s="562">
        <v>0.0</v>
      </c>
      <c r="G1307" s="562">
        <v>8.0</v>
      </c>
      <c r="H1307" s="562">
        <v>0.0</v>
      </c>
      <c r="I1307" s="423"/>
      <c r="J1307" s="423"/>
      <c r="K1307" s="423"/>
      <c r="L1307" s="423"/>
      <c r="M1307" s="423"/>
      <c r="N1307" s="423"/>
      <c r="O1307" s="423"/>
      <c r="P1307" s="423"/>
      <c r="Q1307" s="423"/>
      <c r="R1307" s="423"/>
      <c r="S1307" s="423"/>
      <c r="T1307" s="423"/>
      <c r="U1307" s="423"/>
      <c r="V1307" s="423"/>
      <c r="W1307" s="423"/>
      <c r="X1307" s="423"/>
      <c r="Y1307" s="423"/>
      <c r="Z1307" s="423"/>
    </row>
    <row r="1308">
      <c r="A1308" s="564">
        <v>1306.0</v>
      </c>
      <c r="B1308" s="565" t="s">
        <v>6405</v>
      </c>
      <c r="C1308" s="565" t="s">
        <v>6380</v>
      </c>
      <c r="D1308" s="564">
        <v>0.0</v>
      </c>
      <c r="E1308" s="564">
        <v>0.0</v>
      </c>
      <c r="F1308" s="564">
        <v>0.0</v>
      </c>
      <c r="G1308" s="564">
        <v>8.0</v>
      </c>
      <c r="H1308" s="564">
        <v>0.0</v>
      </c>
      <c r="I1308" s="423"/>
      <c r="J1308" s="423"/>
      <c r="K1308" s="423"/>
      <c r="L1308" s="423"/>
      <c r="M1308" s="423"/>
      <c r="N1308" s="423"/>
      <c r="O1308" s="423"/>
      <c r="P1308" s="423"/>
      <c r="Q1308" s="423"/>
      <c r="R1308" s="423"/>
      <c r="S1308" s="423"/>
      <c r="T1308" s="423"/>
      <c r="U1308" s="423"/>
      <c r="V1308" s="423"/>
      <c r="W1308" s="423"/>
      <c r="X1308" s="423"/>
      <c r="Y1308" s="423"/>
      <c r="Z1308" s="423"/>
    </row>
    <row r="1309">
      <c r="A1309" s="562">
        <v>1307.0</v>
      </c>
      <c r="B1309" s="563" t="s">
        <v>6406</v>
      </c>
      <c r="C1309" s="563" t="s">
        <v>6380</v>
      </c>
      <c r="D1309" s="562">
        <v>0.0</v>
      </c>
      <c r="E1309" s="562">
        <v>0.0</v>
      </c>
      <c r="F1309" s="562">
        <v>0.0</v>
      </c>
      <c r="G1309" s="562">
        <v>8.0</v>
      </c>
      <c r="H1309" s="562">
        <v>0.0</v>
      </c>
      <c r="I1309" s="423"/>
      <c r="J1309" s="423"/>
      <c r="K1309" s="423"/>
      <c r="L1309" s="423"/>
      <c r="M1309" s="423"/>
      <c r="N1309" s="423"/>
      <c r="O1309" s="423"/>
      <c r="P1309" s="423"/>
      <c r="Q1309" s="423"/>
      <c r="R1309" s="423"/>
      <c r="S1309" s="423"/>
      <c r="T1309" s="423"/>
      <c r="U1309" s="423"/>
      <c r="V1309" s="423"/>
      <c r="W1309" s="423"/>
      <c r="X1309" s="423"/>
      <c r="Y1309" s="423"/>
      <c r="Z1309" s="423"/>
    </row>
    <row r="1310">
      <c r="A1310" s="564">
        <v>1308.0</v>
      </c>
      <c r="B1310" s="565" t="s">
        <v>6407</v>
      </c>
      <c r="C1310" s="565" t="s">
        <v>6380</v>
      </c>
      <c r="D1310" s="564">
        <v>0.0</v>
      </c>
      <c r="E1310" s="564">
        <v>0.0</v>
      </c>
      <c r="F1310" s="564">
        <v>0.0</v>
      </c>
      <c r="G1310" s="564">
        <v>8.0</v>
      </c>
      <c r="H1310" s="564">
        <v>0.0</v>
      </c>
      <c r="I1310" s="423"/>
      <c r="J1310" s="423"/>
      <c r="K1310" s="423"/>
      <c r="L1310" s="423"/>
      <c r="M1310" s="423"/>
      <c r="N1310" s="423"/>
      <c r="O1310" s="423"/>
      <c r="P1310" s="423"/>
      <c r="Q1310" s="423"/>
      <c r="R1310" s="423"/>
      <c r="S1310" s="423"/>
      <c r="T1310" s="423"/>
      <c r="U1310" s="423"/>
      <c r="V1310" s="423"/>
      <c r="W1310" s="423"/>
      <c r="X1310" s="423"/>
      <c r="Y1310" s="423"/>
      <c r="Z1310" s="423"/>
    </row>
    <row r="1311">
      <c r="A1311" s="562">
        <v>1309.0</v>
      </c>
      <c r="B1311" s="563" t="s">
        <v>6408</v>
      </c>
      <c r="C1311" s="563" t="s">
        <v>6380</v>
      </c>
      <c r="D1311" s="562">
        <v>0.0</v>
      </c>
      <c r="E1311" s="562">
        <v>0.0</v>
      </c>
      <c r="F1311" s="562">
        <v>0.0</v>
      </c>
      <c r="G1311" s="562">
        <v>8.0</v>
      </c>
      <c r="H1311" s="562">
        <v>0.0</v>
      </c>
      <c r="I1311" s="423"/>
      <c r="J1311" s="423"/>
      <c r="K1311" s="423"/>
      <c r="L1311" s="423"/>
      <c r="M1311" s="423"/>
      <c r="N1311" s="423"/>
      <c r="O1311" s="423"/>
      <c r="P1311" s="423"/>
      <c r="Q1311" s="423"/>
      <c r="R1311" s="423"/>
      <c r="S1311" s="423"/>
      <c r="T1311" s="423"/>
      <c r="U1311" s="423"/>
      <c r="V1311" s="423"/>
      <c r="W1311" s="423"/>
      <c r="X1311" s="423"/>
      <c r="Y1311" s="423"/>
      <c r="Z1311" s="423"/>
    </row>
    <row r="1312">
      <c r="A1312" s="564">
        <v>1310.0</v>
      </c>
      <c r="B1312" s="565" t="s">
        <v>6409</v>
      </c>
      <c r="C1312" s="565" t="s">
        <v>6380</v>
      </c>
      <c r="D1312" s="564">
        <v>0.0</v>
      </c>
      <c r="E1312" s="564">
        <v>0.0</v>
      </c>
      <c r="F1312" s="564">
        <v>0.0</v>
      </c>
      <c r="G1312" s="564">
        <v>8.0</v>
      </c>
      <c r="H1312" s="564">
        <v>0.0</v>
      </c>
      <c r="I1312" s="423"/>
      <c r="J1312" s="423"/>
      <c r="K1312" s="423"/>
      <c r="L1312" s="423"/>
      <c r="M1312" s="423"/>
      <c r="N1312" s="423"/>
      <c r="O1312" s="423"/>
      <c r="P1312" s="423"/>
      <c r="Q1312" s="423"/>
      <c r="R1312" s="423"/>
      <c r="S1312" s="423"/>
      <c r="T1312" s="423"/>
      <c r="U1312" s="423"/>
      <c r="V1312" s="423"/>
      <c r="W1312" s="423"/>
      <c r="X1312" s="423"/>
      <c r="Y1312" s="423"/>
      <c r="Z1312" s="423"/>
    </row>
    <row r="1313">
      <c r="A1313" s="562">
        <v>1311.0</v>
      </c>
      <c r="B1313" s="563" t="s">
        <v>6410</v>
      </c>
      <c r="C1313" s="563" t="s">
        <v>6380</v>
      </c>
      <c r="D1313" s="562">
        <v>0.0</v>
      </c>
      <c r="E1313" s="562">
        <v>0.0</v>
      </c>
      <c r="F1313" s="562">
        <v>0.0</v>
      </c>
      <c r="G1313" s="562">
        <v>8.0</v>
      </c>
      <c r="H1313" s="562">
        <v>0.0</v>
      </c>
      <c r="I1313" s="423"/>
      <c r="J1313" s="423"/>
      <c r="K1313" s="423"/>
      <c r="L1313" s="423"/>
      <c r="M1313" s="423"/>
      <c r="N1313" s="423"/>
      <c r="O1313" s="423"/>
      <c r="P1313" s="423"/>
      <c r="Q1313" s="423"/>
      <c r="R1313" s="423"/>
      <c r="S1313" s="423"/>
      <c r="T1313" s="423"/>
      <c r="U1313" s="423"/>
      <c r="V1313" s="423"/>
      <c r="W1313" s="423"/>
      <c r="X1313" s="423"/>
      <c r="Y1313" s="423"/>
      <c r="Z1313" s="423"/>
    </row>
    <row r="1314">
      <c r="A1314" s="564">
        <v>1312.0</v>
      </c>
      <c r="B1314" s="565" t="s">
        <v>6411</v>
      </c>
      <c r="C1314" s="565" t="s">
        <v>6380</v>
      </c>
      <c r="D1314" s="564">
        <v>0.0</v>
      </c>
      <c r="E1314" s="564">
        <v>0.0</v>
      </c>
      <c r="F1314" s="564">
        <v>0.0</v>
      </c>
      <c r="G1314" s="564">
        <v>8.0</v>
      </c>
      <c r="H1314" s="564">
        <v>0.0</v>
      </c>
      <c r="I1314" s="423"/>
      <c r="J1314" s="423"/>
      <c r="K1314" s="423"/>
      <c r="L1314" s="423"/>
      <c r="M1314" s="423"/>
      <c r="N1314" s="423"/>
      <c r="O1314" s="423"/>
      <c r="P1314" s="423"/>
      <c r="Q1314" s="423"/>
      <c r="R1314" s="423"/>
      <c r="S1314" s="423"/>
      <c r="T1314" s="423"/>
      <c r="U1314" s="423"/>
      <c r="V1314" s="423"/>
      <c r="W1314" s="423"/>
      <c r="X1314" s="423"/>
      <c r="Y1314" s="423"/>
      <c r="Z1314" s="423"/>
    </row>
    <row r="1315">
      <c r="A1315" s="562">
        <v>1313.0</v>
      </c>
      <c r="B1315" s="563" t="s">
        <v>6412</v>
      </c>
      <c r="C1315" s="563" t="s">
        <v>6380</v>
      </c>
      <c r="D1315" s="562">
        <v>0.0</v>
      </c>
      <c r="E1315" s="562">
        <v>0.0</v>
      </c>
      <c r="F1315" s="562">
        <v>0.0</v>
      </c>
      <c r="G1315" s="562">
        <v>8.0</v>
      </c>
      <c r="H1315" s="562">
        <v>0.0</v>
      </c>
      <c r="I1315" s="423"/>
      <c r="J1315" s="423"/>
      <c r="K1315" s="423"/>
      <c r="L1315" s="423"/>
      <c r="M1315" s="423"/>
      <c r="N1315" s="423"/>
      <c r="O1315" s="423"/>
      <c r="P1315" s="423"/>
      <c r="Q1315" s="423"/>
      <c r="R1315" s="423"/>
      <c r="S1315" s="423"/>
      <c r="T1315" s="423"/>
      <c r="U1315" s="423"/>
      <c r="V1315" s="423"/>
      <c r="W1315" s="423"/>
      <c r="X1315" s="423"/>
      <c r="Y1315" s="423"/>
      <c r="Z1315" s="423"/>
    </row>
    <row r="1316">
      <c r="A1316" s="564">
        <v>1314.0</v>
      </c>
      <c r="B1316" s="565" t="s">
        <v>6413</v>
      </c>
      <c r="C1316" s="565" t="s">
        <v>6380</v>
      </c>
      <c r="D1316" s="564">
        <v>0.0</v>
      </c>
      <c r="E1316" s="564">
        <v>0.0</v>
      </c>
      <c r="F1316" s="564">
        <v>0.0</v>
      </c>
      <c r="G1316" s="564">
        <v>8.0</v>
      </c>
      <c r="H1316" s="564">
        <v>0.0</v>
      </c>
      <c r="I1316" s="423"/>
      <c r="J1316" s="423"/>
      <c r="K1316" s="423"/>
      <c r="L1316" s="423"/>
      <c r="M1316" s="423"/>
      <c r="N1316" s="423"/>
      <c r="O1316" s="423"/>
      <c r="P1316" s="423"/>
      <c r="Q1316" s="423"/>
      <c r="R1316" s="423"/>
      <c r="S1316" s="423"/>
      <c r="T1316" s="423"/>
      <c r="U1316" s="423"/>
      <c r="V1316" s="423"/>
      <c r="W1316" s="423"/>
      <c r="X1316" s="423"/>
      <c r="Y1316" s="423"/>
      <c r="Z1316" s="423"/>
    </row>
    <row r="1317">
      <c r="A1317" s="562">
        <v>1315.0</v>
      </c>
      <c r="B1317" s="563" t="s">
        <v>6414</v>
      </c>
      <c r="C1317" s="563" t="s">
        <v>6380</v>
      </c>
      <c r="D1317" s="562">
        <v>0.0</v>
      </c>
      <c r="E1317" s="562">
        <v>0.0</v>
      </c>
      <c r="F1317" s="562">
        <v>0.0</v>
      </c>
      <c r="G1317" s="562">
        <v>8.0</v>
      </c>
      <c r="H1317" s="562">
        <v>0.0</v>
      </c>
      <c r="I1317" s="423"/>
      <c r="J1317" s="423"/>
      <c r="K1317" s="423"/>
      <c r="L1317" s="423"/>
      <c r="M1317" s="423"/>
      <c r="N1317" s="423"/>
      <c r="O1317" s="423"/>
      <c r="P1317" s="423"/>
      <c r="Q1317" s="423"/>
      <c r="R1317" s="423"/>
      <c r="S1317" s="423"/>
      <c r="T1317" s="423"/>
      <c r="U1317" s="423"/>
      <c r="V1317" s="423"/>
      <c r="W1317" s="423"/>
      <c r="X1317" s="423"/>
      <c r="Y1317" s="423"/>
      <c r="Z1317" s="423"/>
    </row>
    <row r="1318">
      <c r="A1318" s="564">
        <v>1316.0</v>
      </c>
      <c r="B1318" s="565" t="s">
        <v>6415</v>
      </c>
      <c r="C1318" s="565" t="s">
        <v>6416</v>
      </c>
      <c r="D1318" s="564">
        <v>0.0</v>
      </c>
      <c r="E1318" s="564">
        <v>0.0</v>
      </c>
      <c r="F1318" s="564">
        <v>0.0</v>
      </c>
      <c r="G1318" s="564">
        <v>8.0</v>
      </c>
      <c r="H1318" s="564">
        <v>0.0</v>
      </c>
      <c r="I1318" s="423"/>
      <c r="J1318" s="423"/>
      <c r="K1318" s="423"/>
      <c r="L1318" s="423"/>
      <c r="M1318" s="423"/>
      <c r="N1318" s="423"/>
      <c r="O1318" s="423"/>
      <c r="P1318" s="423"/>
      <c r="Q1318" s="423"/>
      <c r="R1318" s="423"/>
      <c r="S1318" s="423"/>
      <c r="T1318" s="423"/>
      <c r="U1318" s="423"/>
      <c r="V1318" s="423"/>
      <c r="W1318" s="423"/>
      <c r="X1318" s="423"/>
      <c r="Y1318" s="423"/>
      <c r="Z1318" s="423"/>
    </row>
    <row r="1319">
      <c r="A1319" s="562">
        <v>1317.0</v>
      </c>
      <c r="B1319" s="563" t="s">
        <v>6417</v>
      </c>
      <c r="C1319" s="563" t="s">
        <v>6416</v>
      </c>
      <c r="D1319" s="562">
        <v>0.0</v>
      </c>
      <c r="E1319" s="562">
        <v>0.0</v>
      </c>
      <c r="F1319" s="562">
        <v>0.0</v>
      </c>
      <c r="G1319" s="562">
        <v>8.0</v>
      </c>
      <c r="H1319" s="562">
        <v>0.0</v>
      </c>
      <c r="I1319" s="423"/>
      <c r="J1319" s="423"/>
      <c r="K1319" s="423"/>
      <c r="L1319" s="423"/>
      <c r="M1319" s="423"/>
      <c r="N1319" s="423"/>
      <c r="O1319" s="423"/>
      <c r="P1319" s="423"/>
      <c r="Q1319" s="423"/>
      <c r="R1319" s="423"/>
      <c r="S1319" s="423"/>
      <c r="T1319" s="423"/>
      <c r="U1319" s="423"/>
      <c r="V1319" s="423"/>
      <c r="W1319" s="423"/>
      <c r="X1319" s="423"/>
      <c r="Y1319" s="423"/>
      <c r="Z1319" s="423"/>
    </row>
    <row r="1320">
      <c r="A1320" s="564">
        <v>1318.0</v>
      </c>
      <c r="B1320" s="565" t="s">
        <v>6418</v>
      </c>
      <c r="C1320" s="565" t="s">
        <v>6416</v>
      </c>
      <c r="D1320" s="564">
        <v>0.0</v>
      </c>
      <c r="E1320" s="564">
        <v>0.0</v>
      </c>
      <c r="F1320" s="564">
        <v>0.0</v>
      </c>
      <c r="G1320" s="564">
        <v>8.0</v>
      </c>
      <c r="H1320" s="564">
        <v>0.0</v>
      </c>
      <c r="I1320" s="423"/>
      <c r="J1320" s="423"/>
      <c r="K1320" s="423"/>
      <c r="L1320" s="423"/>
      <c r="M1320" s="423"/>
      <c r="N1320" s="423"/>
      <c r="O1320" s="423"/>
      <c r="P1320" s="423"/>
      <c r="Q1320" s="423"/>
      <c r="R1320" s="423"/>
      <c r="S1320" s="423"/>
      <c r="T1320" s="423"/>
      <c r="U1320" s="423"/>
      <c r="V1320" s="423"/>
      <c r="W1320" s="423"/>
      <c r="X1320" s="423"/>
      <c r="Y1320" s="423"/>
      <c r="Z1320" s="423"/>
    </row>
    <row r="1321">
      <c r="A1321" s="562">
        <v>1319.0</v>
      </c>
      <c r="B1321" s="563" t="s">
        <v>6419</v>
      </c>
      <c r="C1321" s="563" t="s">
        <v>6416</v>
      </c>
      <c r="D1321" s="562">
        <v>0.0</v>
      </c>
      <c r="E1321" s="562">
        <v>0.0</v>
      </c>
      <c r="F1321" s="562">
        <v>0.0</v>
      </c>
      <c r="G1321" s="562">
        <v>8.0</v>
      </c>
      <c r="H1321" s="562">
        <v>0.0</v>
      </c>
      <c r="I1321" s="423"/>
      <c r="J1321" s="423"/>
      <c r="K1321" s="423"/>
      <c r="L1321" s="423"/>
      <c r="M1321" s="423"/>
      <c r="N1321" s="423"/>
      <c r="O1321" s="423"/>
      <c r="P1321" s="423"/>
      <c r="Q1321" s="423"/>
      <c r="R1321" s="423"/>
      <c r="S1321" s="423"/>
      <c r="T1321" s="423"/>
      <c r="U1321" s="423"/>
      <c r="V1321" s="423"/>
      <c r="W1321" s="423"/>
      <c r="X1321" s="423"/>
      <c r="Y1321" s="423"/>
      <c r="Z1321" s="423"/>
    </row>
    <row r="1322">
      <c r="A1322" s="564">
        <v>1320.0</v>
      </c>
      <c r="B1322" s="565" t="s">
        <v>6420</v>
      </c>
      <c r="C1322" s="565" t="s">
        <v>6416</v>
      </c>
      <c r="D1322" s="564">
        <v>0.0</v>
      </c>
      <c r="E1322" s="564">
        <v>0.0</v>
      </c>
      <c r="F1322" s="564">
        <v>0.0</v>
      </c>
      <c r="G1322" s="564">
        <v>8.0</v>
      </c>
      <c r="H1322" s="564">
        <v>0.0</v>
      </c>
      <c r="I1322" s="423"/>
      <c r="J1322" s="423"/>
      <c r="K1322" s="423"/>
      <c r="L1322" s="423"/>
      <c r="M1322" s="423"/>
      <c r="N1322" s="423"/>
      <c r="O1322" s="423"/>
      <c r="P1322" s="423"/>
      <c r="Q1322" s="423"/>
      <c r="R1322" s="423"/>
      <c r="S1322" s="423"/>
      <c r="T1322" s="423"/>
      <c r="U1322" s="423"/>
      <c r="V1322" s="423"/>
      <c r="W1322" s="423"/>
      <c r="X1322" s="423"/>
      <c r="Y1322" s="423"/>
      <c r="Z1322" s="423"/>
    </row>
    <row r="1323">
      <c r="A1323" s="562">
        <v>1321.0</v>
      </c>
      <c r="B1323" s="563" t="s">
        <v>6421</v>
      </c>
      <c r="C1323" s="563" t="s">
        <v>6416</v>
      </c>
      <c r="D1323" s="562">
        <v>0.0</v>
      </c>
      <c r="E1323" s="562">
        <v>0.0</v>
      </c>
      <c r="F1323" s="562">
        <v>0.0</v>
      </c>
      <c r="G1323" s="562">
        <v>8.0</v>
      </c>
      <c r="H1323" s="562">
        <v>0.0</v>
      </c>
      <c r="I1323" s="423"/>
      <c r="J1323" s="423"/>
      <c r="K1323" s="423"/>
      <c r="L1323" s="423"/>
      <c r="M1323" s="423"/>
      <c r="N1323" s="423"/>
      <c r="O1323" s="423"/>
      <c r="P1323" s="423"/>
      <c r="Q1323" s="423"/>
      <c r="R1323" s="423"/>
      <c r="S1323" s="423"/>
      <c r="T1323" s="423"/>
      <c r="U1323" s="423"/>
      <c r="V1323" s="423"/>
      <c r="W1323" s="423"/>
      <c r="X1323" s="423"/>
      <c r="Y1323" s="423"/>
      <c r="Z1323" s="423"/>
    </row>
    <row r="1324">
      <c r="A1324" s="564">
        <v>1322.0</v>
      </c>
      <c r="B1324" s="565" t="s">
        <v>6422</v>
      </c>
      <c r="C1324" s="565" t="s">
        <v>6416</v>
      </c>
      <c r="D1324" s="564">
        <v>0.0</v>
      </c>
      <c r="E1324" s="564">
        <v>0.0</v>
      </c>
      <c r="F1324" s="564">
        <v>0.0</v>
      </c>
      <c r="G1324" s="564">
        <v>8.0</v>
      </c>
      <c r="H1324" s="564">
        <v>0.0</v>
      </c>
      <c r="I1324" s="423"/>
      <c r="J1324" s="423"/>
      <c r="K1324" s="423"/>
      <c r="L1324" s="423"/>
      <c r="M1324" s="423"/>
      <c r="N1324" s="423"/>
      <c r="O1324" s="423"/>
      <c r="P1324" s="423"/>
      <c r="Q1324" s="423"/>
      <c r="R1324" s="423"/>
      <c r="S1324" s="423"/>
      <c r="T1324" s="423"/>
      <c r="U1324" s="423"/>
      <c r="V1324" s="423"/>
      <c r="W1324" s="423"/>
      <c r="X1324" s="423"/>
      <c r="Y1324" s="423"/>
      <c r="Z1324" s="423"/>
    </row>
    <row r="1325">
      <c r="A1325" s="562">
        <v>1323.0</v>
      </c>
      <c r="B1325" s="563" t="s">
        <v>6423</v>
      </c>
      <c r="C1325" s="563" t="s">
        <v>6416</v>
      </c>
      <c r="D1325" s="562">
        <v>0.0</v>
      </c>
      <c r="E1325" s="562">
        <v>0.0</v>
      </c>
      <c r="F1325" s="562">
        <v>0.0</v>
      </c>
      <c r="G1325" s="562">
        <v>8.0</v>
      </c>
      <c r="H1325" s="562">
        <v>0.0</v>
      </c>
      <c r="I1325" s="423"/>
      <c r="J1325" s="423"/>
      <c r="K1325" s="423"/>
      <c r="L1325" s="423"/>
      <c r="M1325" s="423"/>
      <c r="N1325" s="423"/>
      <c r="O1325" s="423"/>
      <c r="P1325" s="423"/>
      <c r="Q1325" s="423"/>
      <c r="R1325" s="423"/>
      <c r="S1325" s="423"/>
      <c r="T1325" s="423"/>
      <c r="U1325" s="423"/>
      <c r="V1325" s="423"/>
      <c r="W1325" s="423"/>
      <c r="X1325" s="423"/>
      <c r="Y1325" s="423"/>
      <c r="Z1325" s="423"/>
    </row>
    <row r="1326">
      <c r="A1326" s="564">
        <v>1324.0</v>
      </c>
      <c r="B1326" s="565" t="s">
        <v>6424</v>
      </c>
      <c r="C1326" s="565" t="s">
        <v>6416</v>
      </c>
      <c r="D1326" s="564">
        <v>0.0</v>
      </c>
      <c r="E1326" s="564">
        <v>0.0</v>
      </c>
      <c r="F1326" s="564">
        <v>0.0</v>
      </c>
      <c r="G1326" s="564">
        <v>8.0</v>
      </c>
      <c r="H1326" s="564">
        <v>0.0</v>
      </c>
      <c r="I1326" s="423"/>
      <c r="J1326" s="423"/>
      <c r="K1326" s="423"/>
      <c r="L1326" s="423"/>
      <c r="M1326" s="423"/>
      <c r="N1326" s="423"/>
      <c r="O1326" s="423"/>
      <c r="P1326" s="423"/>
      <c r="Q1326" s="423"/>
      <c r="R1326" s="423"/>
      <c r="S1326" s="423"/>
      <c r="T1326" s="423"/>
      <c r="U1326" s="423"/>
      <c r="V1326" s="423"/>
      <c r="W1326" s="423"/>
      <c r="X1326" s="423"/>
      <c r="Y1326" s="423"/>
      <c r="Z1326" s="423"/>
    </row>
    <row r="1327">
      <c r="A1327" s="562">
        <v>1325.0</v>
      </c>
      <c r="B1327" s="563" t="s">
        <v>6425</v>
      </c>
      <c r="C1327" s="563" t="s">
        <v>6416</v>
      </c>
      <c r="D1327" s="562">
        <v>0.0</v>
      </c>
      <c r="E1327" s="562">
        <v>0.0</v>
      </c>
      <c r="F1327" s="562">
        <v>0.0</v>
      </c>
      <c r="G1327" s="562">
        <v>8.0</v>
      </c>
      <c r="H1327" s="562">
        <v>0.0</v>
      </c>
      <c r="I1327" s="423"/>
      <c r="J1327" s="423"/>
      <c r="K1327" s="423"/>
      <c r="L1327" s="423"/>
      <c r="M1327" s="423"/>
      <c r="N1327" s="423"/>
      <c r="O1327" s="423"/>
      <c r="P1327" s="423"/>
      <c r="Q1327" s="423"/>
      <c r="R1327" s="423"/>
      <c r="S1327" s="423"/>
      <c r="T1327" s="423"/>
      <c r="U1327" s="423"/>
      <c r="V1327" s="423"/>
      <c r="W1327" s="423"/>
      <c r="X1327" s="423"/>
      <c r="Y1327" s="423"/>
      <c r="Z1327" s="423"/>
    </row>
    <row r="1328">
      <c r="A1328" s="564">
        <v>1326.0</v>
      </c>
      <c r="B1328" s="565" t="s">
        <v>6426</v>
      </c>
      <c r="C1328" s="565" t="s">
        <v>6416</v>
      </c>
      <c r="D1328" s="564">
        <v>0.0</v>
      </c>
      <c r="E1328" s="564">
        <v>0.0</v>
      </c>
      <c r="F1328" s="564">
        <v>0.0</v>
      </c>
      <c r="G1328" s="564">
        <v>8.0</v>
      </c>
      <c r="H1328" s="564">
        <v>0.0</v>
      </c>
      <c r="I1328" s="423"/>
      <c r="J1328" s="423"/>
      <c r="K1328" s="423"/>
      <c r="L1328" s="423"/>
      <c r="M1328" s="423"/>
      <c r="N1328" s="423"/>
      <c r="O1328" s="423"/>
      <c r="P1328" s="423"/>
      <c r="Q1328" s="423"/>
      <c r="R1328" s="423"/>
      <c r="S1328" s="423"/>
      <c r="T1328" s="423"/>
      <c r="U1328" s="423"/>
      <c r="V1328" s="423"/>
      <c r="W1328" s="423"/>
      <c r="X1328" s="423"/>
      <c r="Y1328" s="423"/>
      <c r="Z1328" s="423"/>
    </row>
    <row r="1329">
      <c r="A1329" s="562">
        <v>1327.0</v>
      </c>
      <c r="B1329" s="563" t="s">
        <v>6427</v>
      </c>
      <c r="C1329" s="563" t="s">
        <v>6416</v>
      </c>
      <c r="D1329" s="562">
        <v>0.0</v>
      </c>
      <c r="E1329" s="562">
        <v>0.0</v>
      </c>
      <c r="F1329" s="562">
        <v>0.0</v>
      </c>
      <c r="G1329" s="562">
        <v>8.0</v>
      </c>
      <c r="H1329" s="562">
        <v>0.0</v>
      </c>
      <c r="I1329" s="423"/>
      <c r="J1329" s="423"/>
      <c r="K1329" s="423"/>
      <c r="L1329" s="423"/>
      <c r="M1329" s="423"/>
      <c r="N1329" s="423"/>
      <c r="O1329" s="423"/>
      <c r="P1329" s="423"/>
      <c r="Q1329" s="423"/>
      <c r="R1329" s="423"/>
      <c r="S1329" s="423"/>
      <c r="T1329" s="423"/>
      <c r="U1329" s="423"/>
      <c r="V1329" s="423"/>
      <c r="W1329" s="423"/>
      <c r="X1329" s="423"/>
      <c r="Y1329" s="423"/>
      <c r="Z1329" s="423"/>
    </row>
    <row r="1330">
      <c r="A1330" s="564">
        <v>1328.0</v>
      </c>
      <c r="B1330" s="565" t="s">
        <v>6428</v>
      </c>
      <c r="C1330" s="565" t="s">
        <v>6416</v>
      </c>
      <c r="D1330" s="564">
        <v>0.0</v>
      </c>
      <c r="E1330" s="564">
        <v>0.0</v>
      </c>
      <c r="F1330" s="564">
        <v>0.0</v>
      </c>
      <c r="G1330" s="564">
        <v>8.0</v>
      </c>
      <c r="H1330" s="564">
        <v>0.0</v>
      </c>
      <c r="I1330" s="423"/>
      <c r="J1330" s="423"/>
      <c r="K1330" s="423"/>
      <c r="L1330" s="423"/>
      <c r="M1330" s="423"/>
      <c r="N1330" s="423"/>
      <c r="O1330" s="423"/>
      <c r="P1330" s="423"/>
      <c r="Q1330" s="423"/>
      <c r="R1330" s="423"/>
      <c r="S1330" s="423"/>
      <c r="T1330" s="423"/>
      <c r="U1330" s="423"/>
      <c r="V1330" s="423"/>
      <c r="W1330" s="423"/>
      <c r="X1330" s="423"/>
      <c r="Y1330" s="423"/>
      <c r="Z1330" s="423"/>
    </row>
    <row r="1331">
      <c r="A1331" s="562">
        <v>1329.0</v>
      </c>
      <c r="B1331" s="563" t="s">
        <v>6429</v>
      </c>
      <c r="C1331" s="563" t="s">
        <v>6416</v>
      </c>
      <c r="D1331" s="562">
        <v>0.0</v>
      </c>
      <c r="E1331" s="562">
        <v>0.0</v>
      </c>
      <c r="F1331" s="562">
        <v>0.0</v>
      </c>
      <c r="G1331" s="562">
        <v>8.0</v>
      </c>
      <c r="H1331" s="562">
        <v>0.0</v>
      </c>
      <c r="I1331" s="423"/>
      <c r="J1331" s="423"/>
      <c r="K1331" s="423"/>
      <c r="L1331" s="423"/>
      <c r="M1331" s="423"/>
      <c r="N1331" s="423"/>
      <c r="O1331" s="423"/>
      <c r="P1331" s="423"/>
      <c r="Q1331" s="423"/>
      <c r="R1331" s="423"/>
      <c r="S1331" s="423"/>
      <c r="T1331" s="423"/>
      <c r="U1331" s="423"/>
      <c r="V1331" s="423"/>
      <c r="W1331" s="423"/>
      <c r="X1331" s="423"/>
      <c r="Y1331" s="423"/>
      <c r="Z1331" s="423"/>
    </row>
    <row r="1332">
      <c r="A1332" s="564">
        <v>1330.0</v>
      </c>
      <c r="B1332" s="565" t="s">
        <v>6430</v>
      </c>
      <c r="C1332" s="565" t="s">
        <v>6416</v>
      </c>
      <c r="D1332" s="564">
        <v>0.0</v>
      </c>
      <c r="E1332" s="564">
        <v>0.0</v>
      </c>
      <c r="F1332" s="564">
        <v>0.0</v>
      </c>
      <c r="G1332" s="564">
        <v>8.0</v>
      </c>
      <c r="H1332" s="564">
        <v>0.0</v>
      </c>
      <c r="I1332" s="423"/>
      <c r="J1332" s="423"/>
      <c r="K1332" s="423"/>
      <c r="L1332" s="423"/>
      <c r="M1332" s="423"/>
      <c r="N1332" s="423"/>
      <c r="O1332" s="423"/>
      <c r="P1332" s="423"/>
      <c r="Q1332" s="423"/>
      <c r="R1332" s="423"/>
      <c r="S1332" s="423"/>
      <c r="T1332" s="423"/>
      <c r="U1332" s="423"/>
      <c r="V1332" s="423"/>
      <c r="W1332" s="423"/>
      <c r="X1332" s="423"/>
      <c r="Y1332" s="423"/>
      <c r="Z1332" s="423"/>
    </row>
    <row r="1333">
      <c r="A1333" s="562">
        <v>1331.0</v>
      </c>
      <c r="B1333" s="563" t="s">
        <v>6431</v>
      </c>
      <c r="C1333" s="563" t="s">
        <v>6416</v>
      </c>
      <c r="D1333" s="562">
        <v>0.0</v>
      </c>
      <c r="E1333" s="562">
        <v>0.0</v>
      </c>
      <c r="F1333" s="562">
        <v>0.0</v>
      </c>
      <c r="G1333" s="562">
        <v>8.0</v>
      </c>
      <c r="H1333" s="562">
        <v>0.0</v>
      </c>
      <c r="I1333" s="423"/>
      <c r="J1333" s="423"/>
      <c r="K1333" s="423"/>
      <c r="L1333" s="423"/>
      <c r="M1333" s="423"/>
      <c r="N1333" s="423"/>
      <c r="O1333" s="423"/>
      <c r="P1333" s="423"/>
      <c r="Q1333" s="423"/>
      <c r="R1333" s="423"/>
      <c r="S1333" s="423"/>
      <c r="T1333" s="423"/>
      <c r="U1333" s="423"/>
      <c r="V1333" s="423"/>
      <c r="W1333" s="423"/>
      <c r="X1333" s="423"/>
      <c r="Y1333" s="423"/>
      <c r="Z1333" s="423"/>
    </row>
    <row r="1334">
      <c r="A1334" s="564">
        <v>1332.0</v>
      </c>
      <c r="B1334" s="565" t="s">
        <v>6432</v>
      </c>
      <c r="C1334" s="565" t="s">
        <v>6416</v>
      </c>
      <c r="D1334" s="564">
        <v>0.0</v>
      </c>
      <c r="E1334" s="564">
        <v>0.0</v>
      </c>
      <c r="F1334" s="564">
        <v>0.0</v>
      </c>
      <c r="G1334" s="564">
        <v>8.0</v>
      </c>
      <c r="H1334" s="564">
        <v>0.0</v>
      </c>
      <c r="I1334" s="423"/>
      <c r="J1334" s="423"/>
      <c r="K1334" s="423"/>
      <c r="L1334" s="423"/>
      <c r="M1334" s="423"/>
      <c r="N1334" s="423"/>
      <c r="O1334" s="423"/>
      <c r="P1334" s="423"/>
      <c r="Q1334" s="423"/>
      <c r="R1334" s="423"/>
      <c r="S1334" s="423"/>
      <c r="T1334" s="423"/>
      <c r="U1334" s="423"/>
      <c r="V1334" s="423"/>
      <c r="W1334" s="423"/>
      <c r="X1334" s="423"/>
      <c r="Y1334" s="423"/>
      <c r="Z1334" s="423"/>
    </row>
    <row r="1335">
      <c r="A1335" s="562">
        <v>1333.0</v>
      </c>
      <c r="B1335" s="563" t="s">
        <v>6433</v>
      </c>
      <c r="C1335" s="563" t="s">
        <v>6416</v>
      </c>
      <c r="D1335" s="562">
        <v>0.0</v>
      </c>
      <c r="E1335" s="562">
        <v>0.0</v>
      </c>
      <c r="F1335" s="562">
        <v>0.0</v>
      </c>
      <c r="G1335" s="562">
        <v>8.0</v>
      </c>
      <c r="H1335" s="562">
        <v>0.0</v>
      </c>
      <c r="I1335" s="423"/>
      <c r="J1335" s="423"/>
      <c r="K1335" s="423"/>
      <c r="L1335" s="423"/>
      <c r="M1335" s="423"/>
      <c r="N1335" s="423"/>
      <c r="O1335" s="423"/>
      <c r="P1335" s="423"/>
      <c r="Q1335" s="423"/>
      <c r="R1335" s="423"/>
      <c r="S1335" s="423"/>
      <c r="T1335" s="423"/>
      <c r="U1335" s="423"/>
      <c r="V1335" s="423"/>
      <c r="W1335" s="423"/>
      <c r="X1335" s="423"/>
      <c r="Y1335" s="423"/>
      <c r="Z1335" s="423"/>
    </row>
    <row r="1336">
      <c r="A1336" s="564">
        <v>1334.0</v>
      </c>
      <c r="B1336" s="565" t="s">
        <v>6434</v>
      </c>
      <c r="C1336" s="565" t="s">
        <v>6416</v>
      </c>
      <c r="D1336" s="564">
        <v>0.0</v>
      </c>
      <c r="E1336" s="564">
        <v>0.0</v>
      </c>
      <c r="F1336" s="564">
        <v>0.0</v>
      </c>
      <c r="G1336" s="564">
        <v>8.0</v>
      </c>
      <c r="H1336" s="564">
        <v>0.0</v>
      </c>
      <c r="I1336" s="423"/>
      <c r="J1336" s="423"/>
      <c r="K1336" s="423"/>
      <c r="L1336" s="423"/>
      <c r="M1336" s="423"/>
      <c r="N1336" s="423"/>
      <c r="O1336" s="423"/>
      <c r="P1336" s="423"/>
      <c r="Q1336" s="423"/>
      <c r="R1336" s="423"/>
      <c r="S1336" s="423"/>
      <c r="T1336" s="423"/>
      <c r="U1336" s="423"/>
      <c r="V1336" s="423"/>
      <c r="W1336" s="423"/>
      <c r="X1336" s="423"/>
      <c r="Y1336" s="423"/>
      <c r="Z1336" s="423"/>
    </row>
    <row r="1337">
      <c r="A1337" s="562">
        <v>1335.0</v>
      </c>
      <c r="B1337" s="563" t="s">
        <v>6435</v>
      </c>
      <c r="C1337" s="563" t="s">
        <v>6416</v>
      </c>
      <c r="D1337" s="562">
        <v>0.0</v>
      </c>
      <c r="E1337" s="562">
        <v>0.0</v>
      </c>
      <c r="F1337" s="562">
        <v>0.0</v>
      </c>
      <c r="G1337" s="562">
        <v>8.0</v>
      </c>
      <c r="H1337" s="562">
        <v>0.0</v>
      </c>
      <c r="I1337" s="423"/>
      <c r="J1337" s="423"/>
      <c r="K1337" s="423"/>
      <c r="L1337" s="423"/>
      <c r="M1337" s="423"/>
      <c r="N1337" s="423"/>
      <c r="O1337" s="423"/>
      <c r="P1337" s="423"/>
      <c r="Q1337" s="423"/>
      <c r="R1337" s="423"/>
      <c r="S1337" s="423"/>
      <c r="T1337" s="423"/>
      <c r="U1337" s="423"/>
      <c r="V1337" s="423"/>
      <c r="W1337" s="423"/>
      <c r="X1337" s="423"/>
      <c r="Y1337" s="423"/>
      <c r="Z1337" s="423"/>
    </row>
    <row r="1338">
      <c r="A1338" s="564">
        <v>1336.0</v>
      </c>
      <c r="B1338" s="565" t="s">
        <v>6436</v>
      </c>
      <c r="C1338" s="565" t="s">
        <v>6416</v>
      </c>
      <c r="D1338" s="564">
        <v>0.0</v>
      </c>
      <c r="E1338" s="564">
        <v>0.0</v>
      </c>
      <c r="F1338" s="564">
        <v>0.0</v>
      </c>
      <c r="G1338" s="564">
        <v>8.0</v>
      </c>
      <c r="H1338" s="564">
        <v>0.0</v>
      </c>
      <c r="I1338" s="423"/>
      <c r="J1338" s="423"/>
      <c r="K1338" s="423"/>
      <c r="L1338" s="423"/>
      <c r="M1338" s="423"/>
      <c r="N1338" s="423"/>
      <c r="O1338" s="423"/>
      <c r="P1338" s="423"/>
      <c r="Q1338" s="423"/>
      <c r="R1338" s="423"/>
      <c r="S1338" s="423"/>
      <c r="T1338" s="423"/>
      <c r="U1338" s="423"/>
      <c r="V1338" s="423"/>
      <c r="W1338" s="423"/>
      <c r="X1338" s="423"/>
      <c r="Y1338" s="423"/>
      <c r="Z1338" s="423"/>
    </row>
    <row r="1339">
      <c r="A1339" s="562">
        <v>1337.0</v>
      </c>
      <c r="B1339" s="563" t="s">
        <v>6437</v>
      </c>
      <c r="C1339" s="563" t="s">
        <v>6416</v>
      </c>
      <c r="D1339" s="562">
        <v>0.0</v>
      </c>
      <c r="E1339" s="562">
        <v>0.0</v>
      </c>
      <c r="F1339" s="562">
        <v>0.0</v>
      </c>
      <c r="G1339" s="562">
        <v>8.0</v>
      </c>
      <c r="H1339" s="562">
        <v>0.0</v>
      </c>
      <c r="I1339" s="423"/>
      <c r="J1339" s="423"/>
      <c r="K1339" s="423"/>
      <c r="L1339" s="423"/>
      <c r="M1339" s="423"/>
      <c r="N1339" s="423"/>
      <c r="O1339" s="423"/>
      <c r="P1339" s="423"/>
      <c r="Q1339" s="423"/>
      <c r="R1339" s="423"/>
      <c r="S1339" s="423"/>
      <c r="T1339" s="423"/>
      <c r="U1339" s="423"/>
      <c r="V1339" s="423"/>
      <c r="W1339" s="423"/>
      <c r="X1339" s="423"/>
      <c r="Y1339" s="423"/>
      <c r="Z1339" s="423"/>
    </row>
    <row r="1340">
      <c r="A1340" s="564">
        <v>1338.0</v>
      </c>
      <c r="B1340" s="565" t="s">
        <v>6438</v>
      </c>
      <c r="C1340" s="565" t="s">
        <v>6416</v>
      </c>
      <c r="D1340" s="564">
        <v>0.0</v>
      </c>
      <c r="E1340" s="564">
        <v>0.0</v>
      </c>
      <c r="F1340" s="564">
        <v>0.0</v>
      </c>
      <c r="G1340" s="564">
        <v>8.0</v>
      </c>
      <c r="H1340" s="564">
        <v>0.0</v>
      </c>
      <c r="I1340" s="423"/>
      <c r="J1340" s="423"/>
      <c r="K1340" s="423"/>
      <c r="L1340" s="423"/>
      <c r="M1340" s="423"/>
      <c r="N1340" s="423"/>
      <c r="O1340" s="423"/>
      <c r="P1340" s="423"/>
      <c r="Q1340" s="423"/>
      <c r="R1340" s="423"/>
      <c r="S1340" s="423"/>
      <c r="T1340" s="423"/>
      <c r="U1340" s="423"/>
      <c r="V1340" s="423"/>
      <c r="W1340" s="423"/>
      <c r="X1340" s="423"/>
      <c r="Y1340" s="423"/>
      <c r="Z1340" s="423"/>
    </row>
    <row r="1341">
      <c r="A1341" s="562">
        <v>1339.0</v>
      </c>
      <c r="B1341" s="563" t="s">
        <v>6439</v>
      </c>
      <c r="C1341" s="563" t="s">
        <v>6416</v>
      </c>
      <c r="D1341" s="562">
        <v>0.0</v>
      </c>
      <c r="E1341" s="562">
        <v>0.0</v>
      </c>
      <c r="F1341" s="562">
        <v>0.0</v>
      </c>
      <c r="G1341" s="562">
        <v>8.0</v>
      </c>
      <c r="H1341" s="562">
        <v>0.0</v>
      </c>
      <c r="I1341" s="423"/>
      <c r="J1341" s="423"/>
      <c r="K1341" s="423"/>
      <c r="L1341" s="423"/>
      <c r="M1341" s="423"/>
      <c r="N1341" s="423"/>
      <c r="O1341" s="423"/>
      <c r="P1341" s="423"/>
      <c r="Q1341" s="423"/>
      <c r="R1341" s="423"/>
      <c r="S1341" s="423"/>
      <c r="T1341" s="423"/>
      <c r="U1341" s="423"/>
      <c r="V1341" s="423"/>
      <c r="W1341" s="423"/>
      <c r="X1341" s="423"/>
      <c r="Y1341" s="423"/>
      <c r="Z1341" s="423"/>
    </row>
    <row r="1342">
      <c r="A1342" s="564">
        <v>1340.0</v>
      </c>
      <c r="B1342" s="565" t="s">
        <v>6440</v>
      </c>
      <c r="C1342" s="565" t="s">
        <v>6416</v>
      </c>
      <c r="D1342" s="564">
        <v>0.0</v>
      </c>
      <c r="E1342" s="564">
        <v>0.0</v>
      </c>
      <c r="F1342" s="564">
        <v>0.0</v>
      </c>
      <c r="G1342" s="564">
        <v>8.0</v>
      </c>
      <c r="H1342" s="564">
        <v>0.0</v>
      </c>
      <c r="I1342" s="423"/>
      <c r="J1342" s="423"/>
      <c r="K1342" s="423"/>
      <c r="L1342" s="423"/>
      <c r="M1342" s="423"/>
      <c r="N1342" s="423"/>
      <c r="O1342" s="423"/>
      <c r="P1342" s="423"/>
      <c r="Q1342" s="423"/>
      <c r="R1342" s="423"/>
      <c r="S1342" s="423"/>
      <c r="T1342" s="423"/>
      <c r="U1342" s="423"/>
      <c r="V1342" s="423"/>
      <c r="W1342" s="423"/>
      <c r="X1342" s="423"/>
      <c r="Y1342" s="423"/>
      <c r="Z1342" s="423"/>
    </row>
    <row r="1343">
      <c r="A1343" s="562">
        <v>1341.0</v>
      </c>
      <c r="B1343" s="563" t="s">
        <v>6441</v>
      </c>
      <c r="C1343" s="563" t="s">
        <v>6416</v>
      </c>
      <c r="D1343" s="562">
        <v>0.0</v>
      </c>
      <c r="E1343" s="562">
        <v>0.0</v>
      </c>
      <c r="F1343" s="562">
        <v>0.0</v>
      </c>
      <c r="G1343" s="562">
        <v>8.0</v>
      </c>
      <c r="H1343" s="562">
        <v>0.0</v>
      </c>
      <c r="I1343" s="423"/>
      <c r="J1343" s="423"/>
      <c r="K1343" s="423"/>
      <c r="L1343" s="423"/>
      <c r="M1343" s="423"/>
      <c r="N1343" s="423"/>
      <c r="O1343" s="423"/>
      <c r="P1343" s="423"/>
      <c r="Q1343" s="423"/>
      <c r="R1343" s="423"/>
      <c r="S1343" s="423"/>
      <c r="T1343" s="423"/>
      <c r="U1343" s="423"/>
      <c r="V1343" s="423"/>
      <c r="W1343" s="423"/>
      <c r="X1343" s="423"/>
      <c r="Y1343" s="423"/>
      <c r="Z1343" s="423"/>
    </row>
    <row r="1344">
      <c r="A1344" s="564">
        <v>1342.0</v>
      </c>
      <c r="B1344" s="565" t="s">
        <v>6442</v>
      </c>
      <c r="C1344" s="565" t="s">
        <v>6416</v>
      </c>
      <c r="D1344" s="564">
        <v>0.0</v>
      </c>
      <c r="E1344" s="564">
        <v>0.0</v>
      </c>
      <c r="F1344" s="564">
        <v>0.0</v>
      </c>
      <c r="G1344" s="564">
        <v>8.0</v>
      </c>
      <c r="H1344" s="564">
        <v>0.0</v>
      </c>
      <c r="I1344" s="423"/>
      <c r="J1344" s="423"/>
      <c r="K1344" s="423"/>
      <c r="L1344" s="423"/>
      <c r="M1344" s="423"/>
      <c r="N1344" s="423"/>
      <c r="O1344" s="423"/>
      <c r="P1344" s="423"/>
      <c r="Q1344" s="423"/>
      <c r="R1344" s="423"/>
      <c r="S1344" s="423"/>
      <c r="T1344" s="423"/>
      <c r="U1344" s="423"/>
      <c r="V1344" s="423"/>
      <c r="W1344" s="423"/>
      <c r="X1344" s="423"/>
      <c r="Y1344" s="423"/>
      <c r="Z1344" s="423"/>
    </row>
    <row r="1345">
      <c r="A1345" s="562">
        <v>1343.0</v>
      </c>
      <c r="B1345" s="563" t="s">
        <v>6443</v>
      </c>
      <c r="C1345" s="563" t="s">
        <v>6416</v>
      </c>
      <c r="D1345" s="562">
        <v>0.0</v>
      </c>
      <c r="E1345" s="562">
        <v>0.0</v>
      </c>
      <c r="F1345" s="562">
        <v>0.0</v>
      </c>
      <c r="G1345" s="562">
        <v>8.0</v>
      </c>
      <c r="H1345" s="562">
        <v>0.0</v>
      </c>
      <c r="I1345" s="423"/>
      <c r="J1345" s="423"/>
      <c r="K1345" s="423"/>
      <c r="L1345" s="423"/>
      <c r="M1345" s="423"/>
      <c r="N1345" s="423"/>
      <c r="O1345" s="423"/>
      <c r="P1345" s="423"/>
      <c r="Q1345" s="423"/>
      <c r="R1345" s="423"/>
      <c r="S1345" s="423"/>
      <c r="T1345" s="423"/>
      <c r="U1345" s="423"/>
      <c r="V1345" s="423"/>
      <c r="W1345" s="423"/>
      <c r="X1345" s="423"/>
      <c r="Y1345" s="423"/>
      <c r="Z1345" s="423"/>
    </row>
    <row r="1346">
      <c r="A1346" s="564">
        <v>1344.0</v>
      </c>
      <c r="B1346" s="565" t="s">
        <v>6444</v>
      </c>
      <c r="C1346" s="565" t="s">
        <v>6416</v>
      </c>
      <c r="D1346" s="564">
        <v>0.0</v>
      </c>
      <c r="E1346" s="564">
        <v>0.0</v>
      </c>
      <c r="F1346" s="564">
        <v>0.0</v>
      </c>
      <c r="G1346" s="564">
        <v>8.0</v>
      </c>
      <c r="H1346" s="564">
        <v>0.0</v>
      </c>
      <c r="I1346" s="423"/>
      <c r="J1346" s="423"/>
      <c r="K1346" s="423"/>
      <c r="L1346" s="423"/>
      <c r="M1346" s="423"/>
      <c r="N1346" s="423"/>
      <c r="O1346" s="423"/>
      <c r="P1346" s="423"/>
      <c r="Q1346" s="423"/>
      <c r="R1346" s="423"/>
      <c r="S1346" s="423"/>
      <c r="T1346" s="423"/>
      <c r="U1346" s="423"/>
      <c r="V1346" s="423"/>
      <c r="W1346" s="423"/>
      <c r="X1346" s="423"/>
      <c r="Y1346" s="423"/>
      <c r="Z1346" s="423"/>
    </row>
    <row r="1347">
      <c r="A1347" s="562">
        <v>1345.0</v>
      </c>
      <c r="B1347" s="563" t="s">
        <v>6445</v>
      </c>
      <c r="C1347" s="563" t="s">
        <v>6416</v>
      </c>
      <c r="D1347" s="562">
        <v>0.0</v>
      </c>
      <c r="E1347" s="562">
        <v>0.0</v>
      </c>
      <c r="F1347" s="562">
        <v>0.0</v>
      </c>
      <c r="G1347" s="562">
        <v>8.0</v>
      </c>
      <c r="H1347" s="562">
        <v>0.0</v>
      </c>
      <c r="I1347" s="423"/>
      <c r="J1347" s="423"/>
      <c r="K1347" s="423"/>
      <c r="L1347" s="423"/>
      <c r="M1347" s="423"/>
      <c r="N1347" s="423"/>
      <c r="O1347" s="423"/>
      <c r="P1347" s="423"/>
      <c r="Q1347" s="423"/>
      <c r="R1347" s="423"/>
      <c r="S1347" s="423"/>
      <c r="T1347" s="423"/>
      <c r="U1347" s="423"/>
      <c r="V1347" s="423"/>
      <c r="W1347" s="423"/>
      <c r="X1347" s="423"/>
      <c r="Y1347" s="423"/>
      <c r="Z1347" s="423"/>
    </row>
    <row r="1348">
      <c r="A1348" s="564">
        <v>1346.0</v>
      </c>
      <c r="B1348" s="565" t="s">
        <v>6446</v>
      </c>
      <c r="C1348" s="565" t="s">
        <v>6416</v>
      </c>
      <c r="D1348" s="564">
        <v>0.0</v>
      </c>
      <c r="E1348" s="564">
        <v>0.0</v>
      </c>
      <c r="F1348" s="564">
        <v>0.0</v>
      </c>
      <c r="G1348" s="564">
        <v>8.0</v>
      </c>
      <c r="H1348" s="564">
        <v>0.0</v>
      </c>
      <c r="I1348" s="423"/>
      <c r="J1348" s="423"/>
      <c r="K1348" s="423"/>
      <c r="L1348" s="423"/>
      <c r="M1348" s="423"/>
      <c r="N1348" s="423"/>
      <c r="O1348" s="423"/>
      <c r="P1348" s="423"/>
      <c r="Q1348" s="423"/>
      <c r="R1348" s="423"/>
      <c r="S1348" s="423"/>
      <c r="T1348" s="423"/>
      <c r="U1348" s="423"/>
      <c r="V1348" s="423"/>
      <c r="W1348" s="423"/>
      <c r="X1348" s="423"/>
      <c r="Y1348" s="423"/>
      <c r="Z1348" s="423"/>
    </row>
    <row r="1349">
      <c r="A1349" s="562">
        <v>1347.0</v>
      </c>
      <c r="B1349" s="563" t="s">
        <v>6447</v>
      </c>
      <c r="C1349" s="563" t="s">
        <v>6416</v>
      </c>
      <c r="D1349" s="562">
        <v>0.0</v>
      </c>
      <c r="E1349" s="562">
        <v>0.0</v>
      </c>
      <c r="F1349" s="562">
        <v>0.0</v>
      </c>
      <c r="G1349" s="562">
        <v>8.0</v>
      </c>
      <c r="H1349" s="562">
        <v>0.0</v>
      </c>
      <c r="I1349" s="423"/>
      <c r="J1349" s="423"/>
      <c r="K1349" s="423"/>
      <c r="L1349" s="423"/>
      <c r="M1349" s="423"/>
      <c r="N1349" s="423"/>
      <c r="O1349" s="423"/>
      <c r="P1349" s="423"/>
      <c r="Q1349" s="423"/>
      <c r="R1349" s="423"/>
      <c r="S1349" s="423"/>
      <c r="T1349" s="423"/>
      <c r="U1349" s="423"/>
      <c r="V1349" s="423"/>
      <c r="W1349" s="423"/>
      <c r="X1349" s="423"/>
      <c r="Y1349" s="423"/>
      <c r="Z1349" s="423"/>
    </row>
    <row r="1350">
      <c r="A1350" s="564">
        <v>1348.0</v>
      </c>
      <c r="B1350" s="565" t="s">
        <v>6448</v>
      </c>
      <c r="C1350" s="565" t="s">
        <v>6416</v>
      </c>
      <c r="D1350" s="564">
        <v>0.0</v>
      </c>
      <c r="E1350" s="564">
        <v>0.0</v>
      </c>
      <c r="F1350" s="564">
        <v>0.0</v>
      </c>
      <c r="G1350" s="564">
        <v>8.0</v>
      </c>
      <c r="H1350" s="564">
        <v>0.0</v>
      </c>
      <c r="I1350" s="423"/>
      <c r="J1350" s="423"/>
      <c r="K1350" s="423"/>
      <c r="L1350" s="423"/>
      <c r="M1350" s="423"/>
      <c r="N1350" s="423"/>
      <c r="O1350" s="423"/>
      <c r="P1350" s="423"/>
      <c r="Q1350" s="423"/>
      <c r="R1350" s="423"/>
      <c r="S1350" s="423"/>
      <c r="T1350" s="423"/>
      <c r="U1350" s="423"/>
      <c r="V1350" s="423"/>
      <c r="W1350" s="423"/>
      <c r="X1350" s="423"/>
      <c r="Y1350" s="423"/>
      <c r="Z1350" s="423"/>
    </row>
    <row r="1351">
      <c r="A1351" s="562">
        <v>1349.0</v>
      </c>
      <c r="B1351" s="563" t="s">
        <v>6449</v>
      </c>
      <c r="C1351" s="563" t="s">
        <v>6416</v>
      </c>
      <c r="D1351" s="562">
        <v>0.0</v>
      </c>
      <c r="E1351" s="562">
        <v>0.0</v>
      </c>
      <c r="F1351" s="562">
        <v>0.0</v>
      </c>
      <c r="G1351" s="562">
        <v>8.0</v>
      </c>
      <c r="H1351" s="562">
        <v>0.0</v>
      </c>
      <c r="I1351" s="423"/>
      <c r="J1351" s="423"/>
      <c r="K1351" s="423"/>
      <c r="L1351" s="423"/>
      <c r="M1351" s="423"/>
      <c r="N1351" s="423"/>
      <c r="O1351" s="423"/>
      <c r="P1351" s="423"/>
      <c r="Q1351" s="423"/>
      <c r="R1351" s="423"/>
      <c r="S1351" s="423"/>
      <c r="T1351" s="423"/>
      <c r="U1351" s="423"/>
      <c r="V1351" s="423"/>
      <c r="W1351" s="423"/>
      <c r="X1351" s="423"/>
      <c r="Y1351" s="423"/>
      <c r="Z1351" s="423"/>
    </row>
    <row r="1352">
      <c r="A1352" s="564">
        <v>1350.0</v>
      </c>
      <c r="B1352" s="565" t="s">
        <v>6450</v>
      </c>
      <c r="C1352" s="565" t="s">
        <v>6416</v>
      </c>
      <c r="D1352" s="564">
        <v>0.0</v>
      </c>
      <c r="E1352" s="564">
        <v>0.0</v>
      </c>
      <c r="F1352" s="564">
        <v>0.0</v>
      </c>
      <c r="G1352" s="564">
        <v>8.0</v>
      </c>
      <c r="H1352" s="564">
        <v>0.0</v>
      </c>
      <c r="I1352" s="423"/>
      <c r="J1352" s="423"/>
      <c r="K1352" s="423"/>
      <c r="L1352" s="423"/>
      <c r="M1352" s="423"/>
      <c r="N1352" s="423"/>
      <c r="O1352" s="423"/>
      <c r="P1352" s="423"/>
      <c r="Q1352" s="423"/>
      <c r="R1352" s="423"/>
      <c r="S1352" s="423"/>
      <c r="T1352" s="423"/>
      <c r="U1352" s="423"/>
      <c r="V1352" s="423"/>
      <c r="W1352" s="423"/>
      <c r="X1352" s="423"/>
      <c r="Y1352" s="423"/>
      <c r="Z1352" s="423"/>
    </row>
    <row r="1353">
      <c r="A1353" s="562">
        <v>1351.0</v>
      </c>
      <c r="B1353" s="563" t="s">
        <v>6451</v>
      </c>
      <c r="C1353" s="563" t="s">
        <v>6416</v>
      </c>
      <c r="D1353" s="562">
        <v>0.0</v>
      </c>
      <c r="E1353" s="562">
        <v>0.0</v>
      </c>
      <c r="F1353" s="562">
        <v>0.0</v>
      </c>
      <c r="G1353" s="562">
        <v>8.0</v>
      </c>
      <c r="H1353" s="562">
        <v>0.0</v>
      </c>
      <c r="I1353" s="423"/>
      <c r="J1353" s="423"/>
      <c r="K1353" s="423"/>
      <c r="L1353" s="423"/>
      <c r="M1353" s="423"/>
      <c r="N1353" s="423"/>
      <c r="O1353" s="423"/>
      <c r="P1353" s="423"/>
      <c r="Q1353" s="423"/>
      <c r="R1353" s="423"/>
      <c r="S1353" s="423"/>
      <c r="T1353" s="423"/>
      <c r="U1353" s="423"/>
      <c r="V1353" s="423"/>
      <c r="W1353" s="423"/>
      <c r="X1353" s="423"/>
      <c r="Y1353" s="423"/>
      <c r="Z1353" s="423"/>
    </row>
    <row r="1354">
      <c r="A1354" s="564">
        <v>1352.0</v>
      </c>
      <c r="B1354" s="565" t="s">
        <v>6452</v>
      </c>
      <c r="C1354" s="565" t="s">
        <v>6453</v>
      </c>
      <c r="D1354" s="564">
        <v>0.0</v>
      </c>
      <c r="E1354" s="564">
        <v>0.0</v>
      </c>
      <c r="F1354" s="564">
        <v>0.0</v>
      </c>
      <c r="G1354" s="564">
        <v>8.0</v>
      </c>
      <c r="H1354" s="564">
        <v>0.0</v>
      </c>
      <c r="I1354" s="423"/>
      <c r="J1354" s="423"/>
      <c r="K1354" s="423"/>
      <c r="L1354" s="423"/>
      <c r="M1354" s="423"/>
      <c r="N1354" s="423"/>
      <c r="O1354" s="423"/>
      <c r="P1354" s="423"/>
      <c r="Q1354" s="423"/>
      <c r="R1354" s="423"/>
      <c r="S1354" s="423"/>
      <c r="T1354" s="423"/>
      <c r="U1354" s="423"/>
      <c r="V1354" s="423"/>
      <c r="W1354" s="423"/>
      <c r="X1354" s="423"/>
      <c r="Y1354" s="423"/>
      <c r="Z1354" s="423"/>
    </row>
    <row r="1355">
      <c r="A1355" s="562">
        <v>1353.0</v>
      </c>
      <c r="B1355" s="563" t="s">
        <v>6454</v>
      </c>
      <c r="C1355" s="563" t="s">
        <v>6453</v>
      </c>
      <c r="D1355" s="562">
        <v>0.0</v>
      </c>
      <c r="E1355" s="562">
        <v>0.0</v>
      </c>
      <c r="F1355" s="562">
        <v>0.0</v>
      </c>
      <c r="G1355" s="562">
        <v>8.0</v>
      </c>
      <c r="H1355" s="562">
        <v>0.0</v>
      </c>
      <c r="I1355" s="423"/>
      <c r="J1355" s="423"/>
      <c r="K1355" s="423"/>
      <c r="L1355" s="423"/>
      <c r="M1355" s="423"/>
      <c r="N1355" s="423"/>
      <c r="O1355" s="423"/>
      <c r="P1355" s="423"/>
      <c r="Q1355" s="423"/>
      <c r="R1355" s="423"/>
      <c r="S1355" s="423"/>
      <c r="T1355" s="423"/>
      <c r="U1355" s="423"/>
      <c r="V1355" s="423"/>
      <c r="W1355" s="423"/>
      <c r="X1355" s="423"/>
      <c r="Y1355" s="423"/>
      <c r="Z1355" s="423"/>
    </row>
    <row r="1356">
      <c r="A1356" s="564">
        <v>1354.0</v>
      </c>
      <c r="B1356" s="565" t="s">
        <v>6455</v>
      </c>
      <c r="C1356" s="565" t="s">
        <v>6453</v>
      </c>
      <c r="D1356" s="564">
        <v>0.0</v>
      </c>
      <c r="E1356" s="564">
        <v>0.0</v>
      </c>
      <c r="F1356" s="564">
        <v>0.0</v>
      </c>
      <c r="G1356" s="564">
        <v>8.0</v>
      </c>
      <c r="H1356" s="564">
        <v>0.0</v>
      </c>
      <c r="I1356" s="423"/>
      <c r="J1356" s="423"/>
      <c r="K1356" s="423"/>
      <c r="L1356" s="423"/>
      <c r="M1356" s="423"/>
      <c r="N1356" s="423"/>
      <c r="O1356" s="423"/>
      <c r="P1356" s="423"/>
      <c r="Q1356" s="423"/>
      <c r="R1356" s="423"/>
      <c r="S1356" s="423"/>
      <c r="T1356" s="423"/>
      <c r="U1356" s="423"/>
      <c r="V1356" s="423"/>
      <c r="W1356" s="423"/>
      <c r="X1356" s="423"/>
      <c r="Y1356" s="423"/>
      <c r="Z1356" s="423"/>
    </row>
    <row r="1357">
      <c r="A1357" s="562">
        <v>1355.0</v>
      </c>
      <c r="B1357" s="563" t="s">
        <v>6456</v>
      </c>
      <c r="C1357" s="563" t="s">
        <v>6453</v>
      </c>
      <c r="D1357" s="562">
        <v>0.0</v>
      </c>
      <c r="E1357" s="562">
        <v>0.0</v>
      </c>
      <c r="F1357" s="562">
        <v>0.0</v>
      </c>
      <c r="G1357" s="562">
        <v>8.0</v>
      </c>
      <c r="H1357" s="562">
        <v>0.0</v>
      </c>
      <c r="I1357" s="423"/>
      <c r="J1357" s="423"/>
      <c r="K1357" s="423"/>
      <c r="L1357" s="423"/>
      <c r="M1357" s="423"/>
      <c r="N1357" s="423"/>
      <c r="O1357" s="423"/>
      <c r="P1357" s="423"/>
      <c r="Q1357" s="423"/>
      <c r="R1357" s="423"/>
      <c r="S1357" s="423"/>
      <c r="T1357" s="423"/>
      <c r="U1357" s="423"/>
      <c r="V1357" s="423"/>
      <c r="W1357" s="423"/>
      <c r="X1357" s="423"/>
      <c r="Y1357" s="423"/>
      <c r="Z1357" s="423"/>
    </row>
    <row r="1358">
      <c r="A1358" s="564">
        <v>1356.0</v>
      </c>
      <c r="B1358" s="565" t="s">
        <v>6457</v>
      </c>
      <c r="C1358" s="565" t="s">
        <v>6453</v>
      </c>
      <c r="D1358" s="564">
        <v>0.0</v>
      </c>
      <c r="E1358" s="564">
        <v>0.0</v>
      </c>
      <c r="F1358" s="564">
        <v>0.0</v>
      </c>
      <c r="G1358" s="564">
        <v>8.0</v>
      </c>
      <c r="H1358" s="564">
        <v>0.0</v>
      </c>
      <c r="I1358" s="423"/>
      <c r="J1358" s="423"/>
      <c r="K1358" s="423"/>
      <c r="L1358" s="423"/>
      <c r="M1358" s="423"/>
      <c r="N1358" s="423"/>
      <c r="O1358" s="423"/>
      <c r="P1358" s="423"/>
      <c r="Q1358" s="423"/>
      <c r="R1358" s="423"/>
      <c r="S1358" s="423"/>
      <c r="T1358" s="423"/>
      <c r="U1358" s="423"/>
      <c r="V1358" s="423"/>
      <c r="W1358" s="423"/>
      <c r="X1358" s="423"/>
      <c r="Y1358" s="423"/>
      <c r="Z1358" s="423"/>
    </row>
    <row r="1359">
      <c r="A1359" s="562">
        <v>1357.0</v>
      </c>
      <c r="B1359" s="563" t="s">
        <v>6458</v>
      </c>
      <c r="C1359" s="563" t="s">
        <v>6453</v>
      </c>
      <c r="D1359" s="562">
        <v>0.0</v>
      </c>
      <c r="E1359" s="562">
        <v>0.0</v>
      </c>
      <c r="F1359" s="562">
        <v>0.0</v>
      </c>
      <c r="G1359" s="562">
        <v>8.0</v>
      </c>
      <c r="H1359" s="562">
        <v>0.0</v>
      </c>
      <c r="I1359" s="423"/>
      <c r="J1359" s="423"/>
      <c r="K1359" s="423"/>
      <c r="L1359" s="423"/>
      <c r="M1359" s="423"/>
      <c r="N1359" s="423"/>
      <c r="O1359" s="423"/>
      <c r="P1359" s="423"/>
      <c r="Q1359" s="423"/>
      <c r="R1359" s="423"/>
      <c r="S1359" s="423"/>
      <c r="T1359" s="423"/>
      <c r="U1359" s="423"/>
      <c r="V1359" s="423"/>
      <c r="W1359" s="423"/>
      <c r="X1359" s="423"/>
      <c r="Y1359" s="423"/>
      <c r="Z1359" s="423"/>
    </row>
    <row r="1360">
      <c r="A1360" s="564">
        <v>1358.0</v>
      </c>
      <c r="B1360" s="565" t="s">
        <v>6459</v>
      </c>
      <c r="C1360" s="565" t="s">
        <v>6453</v>
      </c>
      <c r="D1360" s="564">
        <v>0.0</v>
      </c>
      <c r="E1360" s="564">
        <v>0.0</v>
      </c>
      <c r="F1360" s="564">
        <v>0.0</v>
      </c>
      <c r="G1360" s="564">
        <v>8.0</v>
      </c>
      <c r="H1360" s="564">
        <v>0.0</v>
      </c>
      <c r="I1360" s="423"/>
      <c r="J1360" s="423"/>
      <c r="K1360" s="423"/>
      <c r="L1360" s="423"/>
      <c r="M1360" s="423"/>
      <c r="N1360" s="423"/>
      <c r="O1360" s="423"/>
      <c r="P1360" s="423"/>
      <c r="Q1360" s="423"/>
      <c r="R1360" s="423"/>
      <c r="S1360" s="423"/>
      <c r="T1360" s="423"/>
      <c r="U1360" s="423"/>
      <c r="V1360" s="423"/>
      <c r="W1360" s="423"/>
      <c r="X1360" s="423"/>
      <c r="Y1360" s="423"/>
      <c r="Z1360" s="423"/>
    </row>
    <row r="1361">
      <c r="A1361" s="562">
        <v>1359.0</v>
      </c>
      <c r="B1361" s="563" t="s">
        <v>6460</v>
      </c>
      <c r="C1361" s="563" t="s">
        <v>6453</v>
      </c>
      <c r="D1361" s="562">
        <v>0.0</v>
      </c>
      <c r="E1361" s="562">
        <v>0.0</v>
      </c>
      <c r="F1361" s="562">
        <v>0.0</v>
      </c>
      <c r="G1361" s="562">
        <v>8.0</v>
      </c>
      <c r="H1361" s="562">
        <v>0.0</v>
      </c>
      <c r="I1361" s="423"/>
      <c r="J1361" s="423"/>
      <c r="K1361" s="423"/>
      <c r="L1361" s="423"/>
      <c r="M1361" s="423"/>
      <c r="N1361" s="423"/>
      <c r="O1361" s="423"/>
      <c r="P1361" s="423"/>
      <c r="Q1361" s="423"/>
      <c r="R1361" s="423"/>
      <c r="S1361" s="423"/>
      <c r="T1361" s="423"/>
      <c r="U1361" s="423"/>
      <c r="V1361" s="423"/>
      <c r="W1361" s="423"/>
      <c r="X1361" s="423"/>
      <c r="Y1361" s="423"/>
      <c r="Z1361" s="423"/>
    </row>
    <row r="1362">
      <c r="A1362" s="564">
        <v>1360.0</v>
      </c>
      <c r="B1362" s="565" t="s">
        <v>6461</v>
      </c>
      <c r="C1362" s="565" t="s">
        <v>6453</v>
      </c>
      <c r="D1362" s="564">
        <v>0.0</v>
      </c>
      <c r="E1362" s="564">
        <v>0.0</v>
      </c>
      <c r="F1362" s="564">
        <v>0.0</v>
      </c>
      <c r="G1362" s="564">
        <v>8.0</v>
      </c>
      <c r="H1362" s="564">
        <v>0.0</v>
      </c>
      <c r="I1362" s="423"/>
      <c r="J1362" s="423"/>
      <c r="K1362" s="423"/>
      <c r="L1362" s="423"/>
      <c r="M1362" s="423"/>
      <c r="N1362" s="423"/>
      <c r="O1362" s="423"/>
      <c r="P1362" s="423"/>
      <c r="Q1362" s="423"/>
      <c r="R1362" s="423"/>
      <c r="S1362" s="423"/>
      <c r="T1362" s="423"/>
      <c r="U1362" s="423"/>
      <c r="V1362" s="423"/>
      <c r="W1362" s="423"/>
      <c r="X1362" s="423"/>
      <c r="Y1362" s="423"/>
      <c r="Z1362" s="423"/>
    </row>
    <row r="1363">
      <c r="A1363" s="562">
        <v>1361.0</v>
      </c>
      <c r="B1363" s="563" t="s">
        <v>6462</v>
      </c>
      <c r="C1363" s="563" t="s">
        <v>6453</v>
      </c>
      <c r="D1363" s="562">
        <v>0.0</v>
      </c>
      <c r="E1363" s="562">
        <v>0.0</v>
      </c>
      <c r="F1363" s="562">
        <v>0.0</v>
      </c>
      <c r="G1363" s="562">
        <v>8.0</v>
      </c>
      <c r="H1363" s="562">
        <v>0.0</v>
      </c>
      <c r="I1363" s="423"/>
      <c r="J1363" s="423"/>
      <c r="K1363" s="423"/>
      <c r="L1363" s="423"/>
      <c r="M1363" s="423"/>
      <c r="N1363" s="423"/>
      <c r="O1363" s="423"/>
      <c r="P1363" s="423"/>
      <c r="Q1363" s="423"/>
      <c r="R1363" s="423"/>
      <c r="S1363" s="423"/>
      <c r="T1363" s="423"/>
      <c r="U1363" s="423"/>
      <c r="V1363" s="423"/>
      <c r="W1363" s="423"/>
      <c r="X1363" s="423"/>
      <c r="Y1363" s="423"/>
      <c r="Z1363" s="423"/>
    </row>
    <row r="1364">
      <c r="A1364" s="564">
        <v>1362.0</v>
      </c>
      <c r="B1364" s="565" t="s">
        <v>6463</v>
      </c>
      <c r="C1364" s="565" t="s">
        <v>6453</v>
      </c>
      <c r="D1364" s="564">
        <v>0.0</v>
      </c>
      <c r="E1364" s="564">
        <v>0.0</v>
      </c>
      <c r="F1364" s="564">
        <v>0.0</v>
      </c>
      <c r="G1364" s="564">
        <v>8.0</v>
      </c>
      <c r="H1364" s="564">
        <v>0.0</v>
      </c>
      <c r="I1364" s="423"/>
      <c r="J1364" s="423"/>
      <c r="K1364" s="423"/>
      <c r="L1364" s="423"/>
      <c r="M1364" s="423"/>
      <c r="N1364" s="423"/>
      <c r="O1364" s="423"/>
      <c r="P1364" s="423"/>
      <c r="Q1364" s="423"/>
      <c r="R1364" s="423"/>
      <c r="S1364" s="423"/>
      <c r="T1364" s="423"/>
      <c r="U1364" s="423"/>
      <c r="V1364" s="423"/>
      <c r="W1364" s="423"/>
      <c r="X1364" s="423"/>
      <c r="Y1364" s="423"/>
      <c r="Z1364" s="423"/>
    </row>
    <row r="1365">
      <c r="A1365" s="562">
        <v>1363.0</v>
      </c>
      <c r="B1365" s="563" t="s">
        <v>6464</v>
      </c>
      <c r="C1365" s="563" t="s">
        <v>6453</v>
      </c>
      <c r="D1365" s="562">
        <v>0.0</v>
      </c>
      <c r="E1365" s="562">
        <v>0.0</v>
      </c>
      <c r="F1365" s="562">
        <v>0.0</v>
      </c>
      <c r="G1365" s="562">
        <v>8.0</v>
      </c>
      <c r="H1365" s="562">
        <v>0.0</v>
      </c>
      <c r="I1365" s="423"/>
      <c r="J1365" s="423"/>
      <c r="K1365" s="423"/>
      <c r="L1365" s="423"/>
      <c r="M1365" s="423"/>
      <c r="N1365" s="423"/>
      <c r="O1365" s="423"/>
      <c r="P1365" s="423"/>
      <c r="Q1365" s="423"/>
      <c r="R1365" s="423"/>
      <c r="S1365" s="423"/>
      <c r="T1365" s="423"/>
      <c r="U1365" s="423"/>
      <c r="V1365" s="423"/>
      <c r="W1365" s="423"/>
      <c r="X1365" s="423"/>
      <c r="Y1365" s="423"/>
      <c r="Z1365" s="423"/>
    </row>
    <row r="1366">
      <c r="A1366" s="564">
        <v>1364.0</v>
      </c>
      <c r="B1366" s="565" t="s">
        <v>6465</v>
      </c>
      <c r="C1366" s="565" t="s">
        <v>6453</v>
      </c>
      <c r="D1366" s="564">
        <v>0.0</v>
      </c>
      <c r="E1366" s="564">
        <v>0.0</v>
      </c>
      <c r="F1366" s="564">
        <v>0.0</v>
      </c>
      <c r="G1366" s="564">
        <v>8.0</v>
      </c>
      <c r="H1366" s="564">
        <v>0.0</v>
      </c>
      <c r="I1366" s="423"/>
      <c r="J1366" s="423"/>
      <c r="K1366" s="423"/>
      <c r="L1366" s="423"/>
      <c r="M1366" s="423"/>
      <c r="N1366" s="423"/>
      <c r="O1366" s="423"/>
      <c r="P1366" s="423"/>
      <c r="Q1366" s="423"/>
      <c r="R1366" s="423"/>
      <c r="S1366" s="423"/>
      <c r="T1366" s="423"/>
      <c r="U1366" s="423"/>
      <c r="V1366" s="423"/>
      <c r="W1366" s="423"/>
      <c r="X1366" s="423"/>
      <c r="Y1366" s="423"/>
      <c r="Z1366" s="423"/>
    </row>
    <row r="1367">
      <c r="A1367" s="562">
        <v>1365.0</v>
      </c>
      <c r="B1367" s="563" t="s">
        <v>6466</v>
      </c>
      <c r="C1367" s="563" t="s">
        <v>6453</v>
      </c>
      <c r="D1367" s="562">
        <v>0.0</v>
      </c>
      <c r="E1367" s="562">
        <v>0.0</v>
      </c>
      <c r="F1367" s="562">
        <v>0.0</v>
      </c>
      <c r="G1367" s="562">
        <v>8.0</v>
      </c>
      <c r="H1367" s="562">
        <v>0.0</v>
      </c>
      <c r="I1367" s="423"/>
      <c r="J1367" s="423"/>
      <c r="K1367" s="423"/>
      <c r="L1367" s="423"/>
      <c r="M1367" s="423"/>
      <c r="N1367" s="423"/>
      <c r="O1367" s="423"/>
      <c r="P1367" s="423"/>
      <c r="Q1367" s="423"/>
      <c r="R1367" s="423"/>
      <c r="S1367" s="423"/>
      <c r="T1367" s="423"/>
      <c r="U1367" s="423"/>
      <c r="V1367" s="423"/>
      <c r="W1367" s="423"/>
      <c r="X1367" s="423"/>
      <c r="Y1367" s="423"/>
      <c r="Z1367" s="423"/>
    </row>
    <row r="1368">
      <c r="A1368" s="564">
        <v>1366.0</v>
      </c>
      <c r="B1368" s="565" t="s">
        <v>6467</v>
      </c>
      <c r="C1368" s="565" t="s">
        <v>6453</v>
      </c>
      <c r="D1368" s="564">
        <v>0.0</v>
      </c>
      <c r="E1368" s="564">
        <v>0.0</v>
      </c>
      <c r="F1368" s="564">
        <v>0.0</v>
      </c>
      <c r="G1368" s="564">
        <v>8.0</v>
      </c>
      <c r="H1368" s="564">
        <v>0.0</v>
      </c>
      <c r="I1368" s="423"/>
      <c r="J1368" s="423"/>
      <c r="K1368" s="423"/>
      <c r="L1368" s="423"/>
      <c r="M1368" s="423"/>
      <c r="N1368" s="423"/>
      <c r="O1368" s="423"/>
      <c r="P1368" s="423"/>
      <c r="Q1368" s="423"/>
      <c r="R1368" s="423"/>
      <c r="S1368" s="423"/>
      <c r="T1368" s="423"/>
      <c r="U1368" s="423"/>
      <c r="V1368" s="423"/>
      <c r="W1368" s="423"/>
      <c r="X1368" s="423"/>
      <c r="Y1368" s="423"/>
      <c r="Z1368" s="423"/>
    </row>
    <row r="1369">
      <c r="A1369" s="562">
        <v>1367.0</v>
      </c>
      <c r="B1369" s="563" t="s">
        <v>6468</v>
      </c>
      <c r="C1369" s="563" t="s">
        <v>6453</v>
      </c>
      <c r="D1369" s="562">
        <v>0.0</v>
      </c>
      <c r="E1369" s="562">
        <v>0.0</v>
      </c>
      <c r="F1369" s="562">
        <v>0.0</v>
      </c>
      <c r="G1369" s="562">
        <v>8.0</v>
      </c>
      <c r="H1369" s="562">
        <v>0.0</v>
      </c>
      <c r="I1369" s="423"/>
      <c r="J1369" s="423"/>
      <c r="K1369" s="423"/>
      <c r="L1369" s="423"/>
      <c r="M1369" s="423"/>
      <c r="N1369" s="423"/>
      <c r="O1369" s="423"/>
      <c r="P1369" s="423"/>
      <c r="Q1369" s="423"/>
      <c r="R1369" s="423"/>
      <c r="S1369" s="423"/>
      <c r="T1369" s="423"/>
      <c r="U1369" s="423"/>
      <c r="V1369" s="423"/>
      <c r="W1369" s="423"/>
      <c r="X1369" s="423"/>
      <c r="Y1369" s="423"/>
      <c r="Z1369" s="423"/>
    </row>
    <row r="1370">
      <c r="A1370" s="564">
        <v>1368.0</v>
      </c>
      <c r="B1370" s="565" t="s">
        <v>6469</v>
      </c>
      <c r="C1370" s="565" t="s">
        <v>6453</v>
      </c>
      <c r="D1370" s="564">
        <v>0.0</v>
      </c>
      <c r="E1370" s="564">
        <v>0.0</v>
      </c>
      <c r="F1370" s="564">
        <v>0.0</v>
      </c>
      <c r="G1370" s="564">
        <v>8.0</v>
      </c>
      <c r="H1370" s="564">
        <v>0.0</v>
      </c>
      <c r="I1370" s="423"/>
      <c r="J1370" s="423"/>
      <c r="K1370" s="423"/>
      <c r="L1370" s="423"/>
      <c r="M1370" s="423"/>
      <c r="N1370" s="423"/>
      <c r="O1370" s="423"/>
      <c r="P1370" s="423"/>
      <c r="Q1370" s="423"/>
      <c r="R1370" s="423"/>
      <c r="S1370" s="423"/>
      <c r="T1370" s="423"/>
      <c r="U1370" s="423"/>
      <c r="V1370" s="423"/>
      <c r="W1370" s="423"/>
      <c r="X1370" s="423"/>
      <c r="Y1370" s="423"/>
      <c r="Z1370" s="423"/>
    </row>
    <row r="1371">
      <c r="A1371" s="562">
        <v>1369.0</v>
      </c>
      <c r="B1371" s="563" t="s">
        <v>6470</v>
      </c>
      <c r="C1371" s="563" t="s">
        <v>6453</v>
      </c>
      <c r="D1371" s="562">
        <v>0.0</v>
      </c>
      <c r="E1371" s="562">
        <v>0.0</v>
      </c>
      <c r="F1371" s="562">
        <v>0.0</v>
      </c>
      <c r="G1371" s="562">
        <v>8.0</v>
      </c>
      <c r="H1371" s="562">
        <v>0.0</v>
      </c>
      <c r="I1371" s="423"/>
      <c r="J1371" s="423"/>
      <c r="K1371" s="423"/>
      <c r="L1371" s="423"/>
      <c r="M1371" s="423"/>
      <c r="N1371" s="423"/>
      <c r="O1371" s="423"/>
      <c r="P1371" s="423"/>
      <c r="Q1371" s="423"/>
      <c r="R1371" s="423"/>
      <c r="S1371" s="423"/>
      <c r="T1371" s="423"/>
      <c r="U1371" s="423"/>
      <c r="V1371" s="423"/>
      <c r="W1371" s="423"/>
      <c r="X1371" s="423"/>
      <c r="Y1371" s="423"/>
      <c r="Z1371" s="423"/>
    </row>
    <row r="1372">
      <c r="A1372" s="564">
        <v>1370.0</v>
      </c>
      <c r="B1372" s="565" t="s">
        <v>6471</v>
      </c>
      <c r="C1372" s="565" t="s">
        <v>6453</v>
      </c>
      <c r="D1372" s="564">
        <v>0.0</v>
      </c>
      <c r="E1372" s="564">
        <v>0.0</v>
      </c>
      <c r="F1372" s="564">
        <v>0.0</v>
      </c>
      <c r="G1372" s="564">
        <v>8.0</v>
      </c>
      <c r="H1372" s="564">
        <v>0.0</v>
      </c>
      <c r="I1372" s="423"/>
      <c r="J1372" s="423"/>
      <c r="K1372" s="423"/>
      <c r="L1372" s="423"/>
      <c r="M1372" s="423"/>
      <c r="N1372" s="423"/>
      <c r="O1372" s="423"/>
      <c r="P1372" s="423"/>
      <c r="Q1372" s="423"/>
      <c r="R1372" s="423"/>
      <c r="S1372" s="423"/>
      <c r="T1372" s="423"/>
      <c r="U1372" s="423"/>
      <c r="V1372" s="423"/>
      <c r="W1372" s="423"/>
      <c r="X1372" s="423"/>
      <c r="Y1372" s="423"/>
      <c r="Z1372" s="423"/>
    </row>
    <row r="1373">
      <c r="A1373" s="562">
        <v>1371.0</v>
      </c>
      <c r="B1373" s="563" t="s">
        <v>6472</v>
      </c>
      <c r="C1373" s="563" t="s">
        <v>6453</v>
      </c>
      <c r="D1373" s="562">
        <v>0.0</v>
      </c>
      <c r="E1373" s="562">
        <v>0.0</v>
      </c>
      <c r="F1373" s="562">
        <v>0.0</v>
      </c>
      <c r="G1373" s="562">
        <v>8.0</v>
      </c>
      <c r="H1373" s="562">
        <v>0.0</v>
      </c>
      <c r="I1373" s="423"/>
      <c r="J1373" s="423"/>
      <c r="K1373" s="423"/>
      <c r="L1373" s="423"/>
      <c r="M1373" s="423"/>
      <c r="N1373" s="423"/>
      <c r="O1373" s="423"/>
      <c r="P1373" s="423"/>
      <c r="Q1373" s="423"/>
      <c r="R1373" s="423"/>
      <c r="S1373" s="423"/>
      <c r="T1373" s="423"/>
      <c r="U1373" s="423"/>
      <c r="V1373" s="423"/>
      <c r="W1373" s="423"/>
      <c r="X1373" s="423"/>
      <c r="Y1373" s="423"/>
      <c r="Z1373" s="423"/>
    </row>
    <row r="1374">
      <c r="A1374" s="564">
        <v>1372.0</v>
      </c>
      <c r="B1374" s="565" t="s">
        <v>6473</v>
      </c>
      <c r="C1374" s="565" t="s">
        <v>6453</v>
      </c>
      <c r="D1374" s="564">
        <v>0.0</v>
      </c>
      <c r="E1374" s="564">
        <v>0.0</v>
      </c>
      <c r="F1374" s="564">
        <v>0.0</v>
      </c>
      <c r="G1374" s="564">
        <v>8.0</v>
      </c>
      <c r="H1374" s="564">
        <v>0.0</v>
      </c>
      <c r="I1374" s="423"/>
      <c r="J1374" s="423"/>
      <c r="K1374" s="423"/>
      <c r="L1374" s="423"/>
      <c r="M1374" s="423"/>
      <c r="N1374" s="423"/>
      <c r="O1374" s="423"/>
      <c r="P1374" s="423"/>
      <c r="Q1374" s="423"/>
      <c r="R1374" s="423"/>
      <c r="S1374" s="423"/>
      <c r="T1374" s="423"/>
      <c r="U1374" s="423"/>
      <c r="V1374" s="423"/>
      <c r="W1374" s="423"/>
      <c r="X1374" s="423"/>
      <c r="Y1374" s="423"/>
      <c r="Z1374" s="423"/>
    </row>
    <row r="1375">
      <c r="A1375" s="562">
        <v>1373.0</v>
      </c>
      <c r="B1375" s="563" t="s">
        <v>6474</v>
      </c>
      <c r="C1375" s="563" t="s">
        <v>6453</v>
      </c>
      <c r="D1375" s="562">
        <v>0.0</v>
      </c>
      <c r="E1375" s="562">
        <v>0.0</v>
      </c>
      <c r="F1375" s="562">
        <v>0.0</v>
      </c>
      <c r="G1375" s="562">
        <v>8.0</v>
      </c>
      <c r="H1375" s="562">
        <v>0.0</v>
      </c>
      <c r="I1375" s="423"/>
      <c r="J1375" s="423"/>
      <c r="K1375" s="423"/>
      <c r="L1375" s="423"/>
      <c r="M1375" s="423"/>
      <c r="N1375" s="423"/>
      <c r="O1375" s="423"/>
      <c r="P1375" s="423"/>
      <c r="Q1375" s="423"/>
      <c r="R1375" s="423"/>
      <c r="S1375" s="423"/>
      <c r="T1375" s="423"/>
      <c r="U1375" s="423"/>
      <c r="V1375" s="423"/>
      <c r="W1375" s="423"/>
      <c r="X1375" s="423"/>
      <c r="Y1375" s="423"/>
      <c r="Z1375" s="423"/>
    </row>
    <row r="1376">
      <c r="A1376" s="564">
        <v>1374.0</v>
      </c>
      <c r="B1376" s="565" t="s">
        <v>6475</v>
      </c>
      <c r="C1376" s="565" t="s">
        <v>6453</v>
      </c>
      <c r="D1376" s="564">
        <v>0.0</v>
      </c>
      <c r="E1376" s="564">
        <v>0.0</v>
      </c>
      <c r="F1376" s="564">
        <v>0.0</v>
      </c>
      <c r="G1376" s="564">
        <v>8.0</v>
      </c>
      <c r="H1376" s="564">
        <v>0.0</v>
      </c>
      <c r="I1376" s="423"/>
      <c r="J1376" s="423"/>
      <c r="K1376" s="423"/>
      <c r="L1376" s="423"/>
      <c r="M1376" s="423"/>
      <c r="N1376" s="423"/>
      <c r="O1376" s="423"/>
      <c r="P1376" s="423"/>
      <c r="Q1376" s="423"/>
      <c r="R1376" s="423"/>
      <c r="S1376" s="423"/>
      <c r="T1376" s="423"/>
      <c r="U1376" s="423"/>
      <c r="V1376" s="423"/>
      <c r="W1376" s="423"/>
      <c r="X1376" s="423"/>
      <c r="Y1376" s="423"/>
      <c r="Z1376" s="423"/>
    </row>
    <row r="1377">
      <c r="A1377" s="562">
        <v>1375.0</v>
      </c>
      <c r="B1377" s="563" t="s">
        <v>6476</v>
      </c>
      <c r="C1377" s="563" t="s">
        <v>6453</v>
      </c>
      <c r="D1377" s="562">
        <v>0.0</v>
      </c>
      <c r="E1377" s="562">
        <v>0.0</v>
      </c>
      <c r="F1377" s="562">
        <v>0.0</v>
      </c>
      <c r="G1377" s="562">
        <v>8.0</v>
      </c>
      <c r="H1377" s="562">
        <v>0.0</v>
      </c>
      <c r="I1377" s="423"/>
      <c r="J1377" s="423"/>
      <c r="K1377" s="423"/>
      <c r="L1377" s="423"/>
      <c r="M1377" s="423"/>
      <c r="N1377" s="423"/>
      <c r="O1377" s="423"/>
      <c r="P1377" s="423"/>
      <c r="Q1377" s="423"/>
      <c r="R1377" s="423"/>
      <c r="S1377" s="423"/>
      <c r="T1377" s="423"/>
      <c r="U1377" s="423"/>
      <c r="V1377" s="423"/>
      <c r="W1377" s="423"/>
      <c r="X1377" s="423"/>
      <c r="Y1377" s="423"/>
      <c r="Z1377" s="423"/>
    </row>
    <row r="1378">
      <c r="A1378" s="564">
        <v>1376.0</v>
      </c>
      <c r="B1378" s="565" t="s">
        <v>6477</v>
      </c>
      <c r="C1378" s="565" t="s">
        <v>6453</v>
      </c>
      <c r="D1378" s="564">
        <v>0.0</v>
      </c>
      <c r="E1378" s="564">
        <v>0.0</v>
      </c>
      <c r="F1378" s="564">
        <v>0.0</v>
      </c>
      <c r="G1378" s="564">
        <v>8.0</v>
      </c>
      <c r="H1378" s="564">
        <v>0.0</v>
      </c>
      <c r="I1378" s="423"/>
      <c r="J1378" s="423"/>
      <c r="K1378" s="423"/>
      <c r="L1378" s="423"/>
      <c r="M1378" s="423"/>
      <c r="N1378" s="423"/>
      <c r="O1378" s="423"/>
      <c r="P1378" s="423"/>
      <c r="Q1378" s="423"/>
      <c r="R1378" s="423"/>
      <c r="S1378" s="423"/>
      <c r="T1378" s="423"/>
      <c r="U1378" s="423"/>
      <c r="V1378" s="423"/>
      <c r="W1378" s="423"/>
      <c r="X1378" s="423"/>
      <c r="Y1378" s="423"/>
      <c r="Z1378" s="423"/>
    </row>
    <row r="1379">
      <c r="A1379" s="562">
        <v>1377.0</v>
      </c>
      <c r="B1379" s="563" t="s">
        <v>6478</v>
      </c>
      <c r="C1379" s="563" t="s">
        <v>6453</v>
      </c>
      <c r="D1379" s="562">
        <v>0.0</v>
      </c>
      <c r="E1379" s="562">
        <v>0.0</v>
      </c>
      <c r="F1379" s="562">
        <v>0.0</v>
      </c>
      <c r="G1379" s="562">
        <v>8.0</v>
      </c>
      <c r="H1379" s="562">
        <v>0.0</v>
      </c>
      <c r="I1379" s="423"/>
      <c r="J1379" s="423"/>
      <c r="K1379" s="423"/>
      <c r="L1379" s="423"/>
      <c r="M1379" s="423"/>
      <c r="N1379" s="423"/>
      <c r="O1379" s="423"/>
      <c r="P1379" s="423"/>
      <c r="Q1379" s="423"/>
      <c r="R1379" s="423"/>
      <c r="S1379" s="423"/>
      <c r="T1379" s="423"/>
      <c r="U1379" s="423"/>
      <c r="V1379" s="423"/>
      <c r="W1379" s="423"/>
      <c r="X1379" s="423"/>
      <c r="Y1379" s="423"/>
      <c r="Z1379" s="423"/>
    </row>
    <row r="1380">
      <c r="A1380" s="564">
        <v>1378.0</v>
      </c>
      <c r="B1380" s="565" t="s">
        <v>6479</v>
      </c>
      <c r="C1380" s="565" t="s">
        <v>6453</v>
      </c>
      <c r="D1380" s="564">
        <v>0.0</v>
      </c>
      <c r="E1380" s="564">
        <v>0.0</v>
      </c>
      <c r="F1380" s="564">
        <v>0.0</v>
      </c>
      <c r="G1380" s="564">
        <v>8.0</v>
      </c>
      <c r="H1380" s="564">
        <v>0.0</v>
      </c>
      <c r="I1380" s="423"/>
      <c r="J1380" s="423"/>
      <c r="K1380" s="423"/>
      <c r="L1380" s="423"/>
      <c r="M1380" s="423"/>
      <c r="N1380" s="423"/>
      <c r="O1380" s="423"/>
      <c r="P1380" s="423"/>
      <c r="Q1380" s="423"/>
      <c r="R1380" s="423"/>
      <c r="S1380" s="423"/>
      <c r="T1380" s="423"/>
      <c r="U1380" s="423"/>
      <c r="V1380" s="423"/>
      <c r="W1380" s="423"/>
      <c r="X1380" s="423"/>
      <c r="Y1380" s="423"/>
      <c r="Z1380" s="423"/>
    </row>
    <row r="1381">
      <c r="A1381" s="562">
        <v>1379.0</v>
      </c>
      <c r="B1381" s="563" t="s">
        <v>6480</v>
      </c>
      <c r="C1381" s="563" t="s">
        <v>6453</v>
      </c>
      <c r="D1381" s="562">
        <v>0.0</v>
      </c>
      <c r="E1381" s="562">
        <v>0.0</v>
      </c>
      <c r="F1381" s="562">
        <v>0.0</v>
      </c>
      <c r="G1381" s="562">
        <v>8.0</v>
      </c>
      <c r="H1381" s="562">
        <v>0.0</v>
      </c>
      <c r="I1381" s="423"/>
      <c r="J1381" s="423"/>
      <c r="K1381" s="423"/>
      <c r="L1381" s="423"/>
      <c r="M1381" s="423"/>
      <c r="N1381" s="423"/>
      <c r="O1381" s="423"/>
      <c r="P1381" s="423"/>
      <c r="Q1381" s="423"/>
      <c r="R1381" s="423"/>
      <c r="S1381" s="423"/>
      <c r="T1381" s="423"/>
      <c r="U1381" s="423"/>
      <c r="V1381" s="423"/>
      <c r="W1381" s="423"/>
      <c r="X1381" s="423"/>
      <c r="Y1381" s="423"/>
      <c r="Z1381" s="423"/>
    </row>
    <row r="1382">
      <c r="A1382" s="564">
        <v>1380.0</v>
      </c>
      <c r="B1382" s="565" t="s">
        <v>6481</v>
      </c>
      <c r="C1382" s="565" t="s">
        <v>6453</v>
      </c>
      <c r="D1382" s="564">
        <v>0.0</v>
      </c>
      <c r="E1382" s="564">
        <v>0.0</v>
      </c>
      <c r="F1382" s="564">
        <v>0.0</v>
      </c>
      <c r="G1382" s="564">
        <v>8.0</v>
      </c>
      <c r="H1382" s="564">
        <v>0.0</v>
      </c>
      <c r="I1382" s="423"/>
      <c r="J1382" s="423"/>
      <c r="K1382" s="423"/>
      <c r="L1382" s="423"/>
      <c r="M1382" s="423"/>
      <c r="N1382" s="423"/>
      <c r="O1382" s="423"/>
      <c r="P1382" s="423"/>
      <c r="Q1382" s="423"/>
      <c r="R1382" s="423"/>
      <c r="S1382" s="423"/>
      <c r="T1382" s="423"/>
      <c r="U1382" s="423"/>
      <c r="V1382" s="423"/>
      <c r="W1382" s="423"/>
      <c r="X1382" s="423"/>
      <c r="Y1382" s="423"/>
      <c r="Z1382" s="423"/>
    </row>
    <row r="1383">
      <c r="A1383" s="562">
        <v>1381.0</v>
      </c>
      <c r="B1383" s="563" t="s">
        <v>6482</v>
      </c>
      <c r="C1383" s="563" t="s">
        <v>6453</v>
      </c>
      <c r="D1383" s="562">
        <v>0.0</v>
      </c>
      <c r="E1383" s="562">
        <v>0.0</v>
      </c>
      <c r="F1383" s="562">
        <v>0.0</v>
      </c>
      <c r="G1383" s="562">
        <v>8.0</v>
      </c>
      <c r="H1383" s="562">
        <v>0.0</v>
      </c>
      <c r="I1383" s="423"/>
      <c r="J1383" s="423"/>
      <c r="K1383" s="423"/>
      <c r="L1383" s="423"/>
      <c r="M1383" s="423"/>
      <c r="N1383" s="423"/>
      <c r="O1383" s="423"/>
      <c r="P1383" s="423"/>
      <c r="Q1383" s="423"/>
      <c r="R1383" s="423"/>
      <c r="S1383" s="423"/>
      <c r="T1383" s="423"/>
      <c r="U1383" s="423"/>
      <c r="V1383" s="423"/>
      <c r="W1383" s="423"/>
      <c r="X1383" s="423"/>
      <c r="Y1383" s="423"/>
      <c r="Z1383" s="423"/>
    </row>
    <row r="1384">
      <c r="A1384" s="564">
        <v>1382.0</v>
      </c>
      <c r="B1384" s="565" t="s">
        <v>6483</v>
      </c>
      <c r="C1384" s="565" t="s">
        <v>6453</v>
      </c>
      <c r="D1384" s="564">
        <v>0.0</v>
      </c>
      <c r="E1384" s="564">
        <v>0.0</v>
      </c>
      <c r="F1384" s="564">
        <v>0.0</v>
      </c>
      <c r="G1384" s="564">
        <v>8.0</v>
      </c>
      <c r="H1384" s="564">
        <v>0.0</v>
      </c>
      <c r="I1384" s="423"/>
      <c r="J1384" s="423"/>
      <c r="K1384" s="423"/>
      <c r="L1384" s="423"/>
      <c r="M1384" s="423"/>
      <c r="N1384" s="423"/>
      <c r="O1384" s="423"/>
      <c r="P1384" s="423"/>
      <c r="Q1384" s="423"/>
      <c r="R1384" s="423"/>
      <c r="S1384" s="423"/>
      <c r="T1384" s="423"/>
      <c r="U1384" s="423"/>
      <c r="V1384" s="423"/>
      <c r="W1384" s="423"/>
      <c r="X1384" s="423"/>
      <c r="Y1384" s="423"/>
      <c r="Z1384" s="423"/>
    </row>
    <row r="1385">
      <c r="A1385" s="562">
        <v>1383.0</v>
      </c>
      <c r="B1385" s="563" t="s">
        <v>6484</v>
      </c>
      <c r="C1385" s="563" t="s">
        <v>6453</v>
      </c>
      <c r="D1385" s="562">
        <v>0.0</v>
      </c>
      <c r="E1385" s="562">
        <v>0.0</v>
      </c>
      <c r="F1385" s="562">
        <v>0.0</v>
      </c>
      <c r="G1385" s="562">
        <v>8.0</v>
      </c>
      <c r="H1385" s="562">
        <v>0.0</v>
      </c>
      <c r="I1385" s="423"/>
      <c r="J1385" s="423"/>
      <c r="K1385" s="423"/>
      <c r="L1385" s="423"/>
      <c r="M1385" s="423"/>
      <c r="N1385" s="423"/>
      <c r="O1385" s="423"/>
      <c r="P1385" s="423"/>
      <c r="Q1385" s="423"/>
      <c r="R1385" s="423"/>
      <c r="S1385" s="423"/>
      <c r="T1385" s="423"/>
      <c r="U1385" s="423"/>
      <c r="V1385" s="423"/>
      <c r="W1385" s="423"/>
      <c r="X1385" s="423"/>
      <c r="Y1385" s="423"/>
      <c r="Z1385" s="423"/>
    </row>
    <row r="1386">
      <c r="A1386" s="564">
        <v>1384.0</v>
      </c>
      <c r="B1386" s="565" t="s">
        <v>6485</v>
      </c>
      <c r="C1386" s="565" t="s">
        <v>6453</v>
      </c>
      <c r="D1386" s="564">
        <v>0.0</v>
      </c>
      <c r="E1386" s="564">
        <v>0.0</v>
      </c>
      <c r="F1386" s="564">
        <v>0.0</v>
      </c>
      <c r="G1386" s="564">
        <v>8.0</v>
      </c>
      <c r="H1386" s="564">
        <v>0.0</v>
      </c>
      <c r="I1386" s="423"/>
      <c r="J1386" s="423"/>
      <c r="K1386" s="423"/>
      <c r="L1386" s="423"/>
      <c r="M1386" s="423"/>
      <c r="N1386" s="423"/>
      <c r="O1386" s="423"/>
      <c r="P1386" s="423"/>
      <c r="Q1386" s="423"/>
      <c r="R1386" s="423"/>
      <c r="S1386" s="423"/>
      <c r="T1386" s="423"/>
      <c r="U1386" s="423"/>
      <c r="V1386" s="423"/>
      <c r="W1386" s="423"/>
      <c r="X1386" s="423"/>
      <c r="Y1386" s="423"/>
      <c r="Z1386" s="423"/>
    </row>
    <row r="1387">
      <c r="A1387" s="562">
        <v>1385.0</v>
      </c>
      <c r="B1387" s="563" t="s">
        <v>6486</v>
      </c>
      <c r="C1387" s="563" t="s">
        <v>6453</v>
      </c>
      <c r="D1387" s="562">
        <v>0.0</v>
      </c>
      <c r="E1387" s="562">
        <v>0.0</v>
      </c>
      <c r="F1387" s="562">
        <v>0.0</v>
      </c>
      <c r="G1387" s="562">
        <v>8.0</v>
      </c>
      <c r="H1387" s="562">
        <v>0.0</v>
      </c>
      <c r="I1387" s="423"/>
      <c r="J1387" s="423"/>
      <c r="K1387" s="423"/>
      <c r="L1387" s="423"/>
      <c r="M1387" s="423"/>
      <c r="N1387" s="423"/>
      <c r="O1387" s="423"/>
      <c r="P1387" s="423"/>
      <c r="Q1387" s="423"/>
      <c r="R1387" s="423"/>
      <c r="S1387" s="423"/>
      <c r="T1387" s="423"/>
      <c r="U1387" s="423"/>
      <c r="V1387" s="423"/>
      <c r="W1387" s="423"/>
      <c r="X1387" s="423"/>
      <c r="Y1387" s="423"/>
      <c r="Z1387" s="423"/>
    </row>
    <row r="1388">
      <c r="A1388" s="564">
        <v>1386.0</v>
      </c>
      <c r="B1388" s="565" t="s">
        <v>6487</v>
      </c>
      <c r="C1388" s="565" t="s">
        <v>6453</v>
      </c>
      <c r="D1388" s="564">
        <v>0.0</v>
      </c>
      <c r="E1388" s="564">
        <v>0.0</v>
      </c>
      <c r="F1388" s="564">
        <v>0.0</v>
      </c>
      <c r="G1388" s="564">
        <v>8.0</v>
      </c>
      <c r="H1388" s="564">
        <v>0.0</v>
      </c>
      <c r="I1388" s="423"/>
      <c r="J1388" s="423"/>
      <c r="K1388" s="423"/>
      <c r="L1388" s="423"/>
      <c r="M1388" s="423"/>
      <c r="N1388" s="423"/>
      <c r="O1388" s="423"/>
      <c r="P1388" s="423"/>
      <c r="Q1388" s="423"/>
      <c r="R1388" s="423"/>
      <c r="S1388" s="423"/>
      <c r="T1388" s="423"/>
      <c r="U1388" s="423"/>
      <c r="V1388" s="423"/>
      <c r="W1388" s="423"/>
      <c r="X1388" s="423"/>
      <c r="Y1388" s="423"/>
      <c r="Z1388" s="423"/>
    </row>
    <row r="1389">
      <c r="A1389" s="562">
        <v>1387.0</v>
      </c>
      <c r="B1389" s="563" t="s">
        <v>6488</v>
      </c>
      <c r="C1389" s="563" t="s">
        <v>6453</v>
      </c>
      <c r="D1389" s="562">
        <v>0.0</v>
      </c>
      <c r="E1389" s="562">
        <v>0.0</v>
      </c>
      <c r="F1389" s="562">
        <v>0.0</v>
      </c>
      <c r="G1389" s="562">
        <v>8.0</v>
      </c>
      <c r="H1389" s="562">
        <v>0.0</v>
      </c>
      <c r="I1389" s="423"/>
      <c r="J1389" s="423"/>
      <c r="K1389" s="423"/>
      <c r="L1389" s="423"/>
      <c r="M1389" s="423"/>
      <c r="N1389" s="423"/>
      <c r="O1389" s="423"/>
      <c r="P1389" s="423"/>
      <c r="Q1389" s="423"/>
      <c r="R1389" s="423"/>
      <c r="S1389" s="423"/>
      <c r="T1389" s="423"/>
      <c r="U1389" s="423"/>
      <c r="V1389" s="423"/>
      <c r="W1389" s="423"/>
      <c r="X1389" s="423"/>
      <c r="Y1389" s="423"/>
      <c r="Z1389" s="423"/>
    </row>
    <row r="1390">
      <c r="A1390" s="564">
        <v>1388.0</v>
      </c>
      <c r="B1390" s="565" t="s">
        <v>6489</v>
      </c>
      <c r="C1390" s="565" t="s">
        <v>6490</v>
      </c>
      <c r="D1390" s="564">
        <v>1.0</v>
      </c>
      <c r="E1390" s="564">
        <v>0.0</v>
      </c>
      <c r="F1390" s="564">
        <v>0.0</v>
      </c>
      <c r="G1390" s="564">
        <v>7.0</v>
      </c>
      <c r="H1390" s="564">
        <v>0.0</v>
      </c>
      <c r="I1390" s="423"/>
      <c r="J1390" s="423"/>
      <c r="K1390" s="423"/>
      <c r="L1390" s="423"/>
      <c r="M1390" s="423"/>
      <c r="N1390" s="423"/>
      <c r="O1390" s="423"/>
      <c r="P1390" s="423"/>
      <c r="Q1390" s="423"/>
      <c r="R1390" s="423"/>
      <c r="S1390" s="423"/>
      <c r="T1390" s="423"/>
      <c r="U1390" s="423"/>
      <c r="V1390" s="423"/>
      <c r="W1390" s="423"/>
      <c r="X1390" s="423"/>
      <c r="Y1390" s="423"/>
      <c r="Z1390" s="423"/>
    </row>
    <row r="1391">
      <c r="A1391" s="562">
        <v>1389.0</v>
      </c>
      <c r="B1391" s="563" t="s">
        <v>6491</v>
      </c>
      <c r="C1391" s="563" t="s">
        <v>6490</v>
      </c>
      <c r="D1391" s="562">
        <v>0.0</v>
      </c>
      <c r="E1391" s="562">
        <v>0.0</v>
      </c>
      <c r="F1391" s="562">
        <v>0.0</v>
      </c>
      <c r="G1391" s="562">
        <v>8.0</v>
      </c>
      <c r="H1391" s="562">
        <v>0.0</v>
      </c>
      <c r="I1391" s="423"/>
      <c r="J1391" s="423"/>
      <c r="K1391" s="423"/>
      <c r="L1391" s="423"/>
      <c r="M1391" s="423"/>
      <c r="N1391" s="423"/>
      <c r="O1391" s="423"/>
      <c r="P1391" s="423"/>
      <c r="Q1391" s="423"/>
      <c r="R1391" s="423"/>
      <c r="S1391" s="423"/>
      <c r="T1391" s="423"/>
      <c r="U1391" s="423"/>
      <c r="V1391" s="423"/>
      <c r="W1391" s="423"/>
      <c r="X1391" s="423"/>
      <c r="Y1391" s="423"/>
      <c r="Z1391" s="423"/>
    </row>
    <row r="1392">
      <c r="A1392" s="564">
        <v>1390.0</v>
      </c>
      <c r="B1392" s="565" t="s">
        <v>6492</v>
      </c>
      <c r="C1392" s="565" t="s">
        <v>6490</v>
      </c>
      <c r="D1392" s="564">
        <v>0.0</v>
      </c>
      <c r="E1392" s="564">
        <v>0.0</v>
      </c>
      <c r="F1392" s="564">
        <v>0.0</v>
      </c>
      <c r="G1392" s="564">
        <v>8.0</v>
      </c>
      <c r="H1392" s="564">
        <v>0.0</v>
      </c>
      <c r="I1392" s="423"/>
      <c r="J1392" s="423"/>
      <c r="K1392" s="423"/>
      <c r="L1392" s="423"/>
      <c r="M1392" s="423"/>
      <c r="N1392" s="423"/>
      <c r="O1392" s="423"/>
      <c r="P1392" s="423"/>
      <c r="Q1392" s="423"/>
      <c r="R1392" s="423"/>
      <c r="S1392" s="423"/>
      <c r="T1392" s="423"/>
      <c r="U1392" s="423"/>
      <c r="V1392" s="423"/>
      <c r="W1392" s="423"/>
      <c r="X1392" s="423"/>
      <c r="Y1392" s="423"/>
      <c r="Z1392" s="423"/>
    </row>
    <row r="1393">
      <c r="A1393" s="562">
        <v>1391.0</v>
      </c>
      <c r="B1393" s="563" t="s">
        <v>6493</v>
      </c>
      <c r="C1393" s="563" t="s">
        <v>6490</v>
      </c>
      <c r="D1393" s="562">
        <v>0.0</v>
      </c>
      <c r="E1393" s="562">
        <v>0.0</v>
      </c>
      <c r="F1393" s="562">
        <v>0.0</v>
      </c>
      <c r="G1393" s="562">
        <v>8.0</v>
      </c>
      <c r="H1393" s="562">
        <v>0.0</v>
      </c>
      <c r="I1393" s="423"/>
      <c r="J1393" s="423"/>
      <c r="K1393" s="423"/>
      <c r="L1393" s="423"/>
      <c r="M1393" s="423"/>
      <c r="N1393" s="423"/>
      <c r="O1393" s="423"/>
      <c r="P1393" s="423"/>
      <c r="Q1393" s="423"/>
      <c r="R1393" s="423"/>
      <c r="S1393" s="423"/>
      <c r="T1393" s="423"/>
      <c r="U1393" s="423"/>
      <c r="V1393" s="423"/>
      <c r="W1393" s="423"/>
      <c r="X1393" s="423"/>
      <c r="Y1393" s="423"/>
      <c r="Z1393" s="423"/>
    </row>
    <row r="1394">
      <c r="A1394" s="564">
        <v>1392.0</v>
      </c>
      <c r="B1394" s="565" t="s">
        <v>6494</v>
      </c>
      <c r="C1394" s="565" t="s">
        <v>6490</v>
      </c>
      <c r="D1394" s="564">
        <v>0.0</v>
      </c>
      <c r="E1394" s="564">
        <v>0.0</v>
      </c>
      <c r="F1394" s="564">
        <v>0.0</v>
      </c>
      <c r="G1394" s="564">
        <v>8.0</v>
      </c>
      <c r="H1394" s="564">
        <v>0.0</v>
      </c>
      <c r="I1394" s="423"/>
      <c r="J1394" s="423"/>
      <c r="K1394" s="423"/>
      <c r="L1394" s="423"/>
      <c r="M1394" s="423"/>
      <c r="N1394" s="423"/>
      <c r="O1394" s="423"/>
      <c r="P1394" s="423"/>
      <c r="Q1394" s="423"/>
      <c r="R1394" s="423"/>
      <c r="S1394" s="423"/>
      <c r="T1394" s="423"/>
      <c r="U1394" s="423"/>
      <c r="V1394" s="423"/>
      <c r="W1394" s="423"/>
      <c r="X1394" s="423"/>
      <c r="Y1394" s="423"/>
      <c r="Z1394" s="423"/>
    </row>
    <row r="1395">
      <c r="A1395" s="562">
        <v>1393.0</v>
      </c>
      <c r="B1395" s="563" t="s">
        <v>6495</v>
      </c>
      <c r="C1395" s="563" t="s">
        <v>6490</v>
      </c>
      <c r="D1395" s="562">
        <v>0.0</v>
      </c>
      <c r="E1395" s="562">
        <v>0.0</v>
      </c>
      <c r="F1395" s="562">
        <v>0.0</v>
      </c>
      <c r="G1395" s="562">
        <v>8.0</v>
      </c>
      <c r="H1395" s="562">
        <v>0.0</v>
      </c>
      <c r="I1395" s="423"/>
      <c r="J1395" s="423"/>
      <c r="K1395" s="423"/>
      <c r="L1395" s="423"/>
      <c r="M1395" s="423"/>
      <c r="N1395" s="423"/>
      <c r="O1395" s="423"/>
      <c r="P1395" s="423"/>
      <c r="Q1395" s="423"/>
      <c r="R1395" s="423"/>
      <c r="S1395" s="423"/>
      <c r="T1395" s="423"/>
      <c r="U1395" s="423"/>
      <c r="V1395" s="423"/>
      <c r="W1395" s="423"/>
      <c r="X1395" s="423"/>
      <c r="Y1395" s="423"/>
      <c r="Z1395" s="423"/>
    </row>
    <row r="1396">
      <c r="A1396" s="564">
        <v>1394.0</v>
      </c>
      <c r="B1396" s="565" t="s">
        <v>6496</v>
      </c>
      <c r="C1396" s="565" t="s">
        <v>6490</v>
      </c>
      <c r="D1396" s="564">
        <v>0.0</v>
      </c>
      <c r="E1396" s="564">
        <v>0.0</v>
      </c>
      <c r="F1396" s="564">
        <v>0.0</v>
      </c>
      <c r="G1396" s="564">
        <v>8.0</v>
      </c>
      <c r="H1396" s="564">
        <v>0.0</v>
      </c>
      <c r="I1396" s="423"/>
      <c r="J1396" s="423"/>
      <c r="K1396" s="423"/>
      <c r="L1396" s="423"/>
      <c r="M1396" s="423"/>
      <c r="N1396" s="423"/>
      <c r="O1396" s="423"/>
      <c r="P1396" s="423"/>
      <c r="Q1396" s="423"/>
      <c r="R1396" s="423"/>
      <c r="S1396" s="423"/>
      <c r="T1396" s="423"/>
      <c r="U1396" s="423"/>
      <c r="V1396" s="423"/>
      <c r="W1396" s="423"/>
      <c r="X1396" s="423"/>
      <c r="Y1396" s="423"/>
      <c r="Z1396" s="423"/>
    </row>
    <row r="1397">
      <c r="A1397" s="562">
        <v>1395.0</v>
      </c>
      <c r="B1397" s="563" t="s">
        <v>6497</v>
      </c>
      <c r="C1397" s="563" t="s">
        <v>6490</v>
      </c>
      <c r="D1397" s="562">
        <v>0.0</v>
      </c>
      <c r="E1397" s="562">
        <v>0.0</v>
      </c>
      <c r="F1397" s="562">
        <v>0.0</v>
      </c>
      <c r="G1397" s="562">
        <v>8.0</v>
      </c>
      <c r="H1397" s="562">
        <v>0.0</v>
      </c>
      <c r="I1397" s="423"/>
      <c r="J1397" s="423"/>
      <c r="K1397" s="423"/>
      <c r="L1397" s="423"/>
      <c r="M1397" s="423"/>
      <c r="N1397" s="423"/>
      <c r="O1397" s="423"/>
      <c r="P1397" s="423"/>
      <c r="Q1397" s="423"/>
      <c r="R1397" s="423"/>
      <c r="S1397" s="423"/>
      <c r="T1397" s="423"/>
      <c r="U1397" s="423"/>
      <c r="V1397" s="423"/>
      <c r="W1397" s="423"/>
      <c r="X1397" s="423"/>
      <c r="Y1397" s="423"/>
      <c r="Z1397" s="423"/>
    </row>
    <row r="1398">
      <c r="A1398" s="564">
        <v>1396.0</v>
      </c>
      <c r="B1398" s="565" t="s">
        <v>6498</v>
      </c>
      <c r="C1398" s="565" t="s">
        <v>6490</v>
      </c>
      <c r="D1398" s="564">
        <v>0.0</v>
      </c>
      <c r="E1398" s="564">
        <v>0.0</v>
      </c>
      <c r="F1398" s="564">
        <v>0.0</v>
      </c>
      <c r="G1398" s="564">
        <v>8.0</v>
      </c>
      <c r="H1398" s="564">
        <v>0.0</v>
      </c>
      <c r="I1398" s="423"/>
      <c r="J1398" s="423"/>
      <c r="K1398" s="423"/>
      <c r="L1398" s="423"/>
      <c r="M1398" s="423"/>
      <c r="N1398" s="423"/>
      <c r="O1398" s="423"/>
      <c r="P1398" s="423"/>
      <c r="Q1398" s="423"/>
      <c r="R1398" s="423"/>
      <c r="S1398" s="423"/>
      <c r="T1398" s="423"/>
      <c r="U1398" s="423"/>
      <c r="V1398" s="423"/>
      <c r="W1398" s="423"/>
      <c r="X1398" s="423"/>
      <c r="Y1398" s="423"/>
      <c r="Z1398" s="423"/>
    </row>
    <row r="1399">
      <c r="A1399" s="562">
        <v>1397.0</v>
      </c>
      <c r="B1399" s="563" t="s">
        <v>6499</v>
      </c>
      <c r="C1399" s="563" t="s">
        <v>6490</v>
      </c>
      <c r="D1399" s="562">
        <v>0.0</v>
      </c>
      <c r="E1399" s="562">
        <v>0.0</v>
      </c>
      <c r="F1399" s="562">
        <v>0.0</v>
      </c>
      <c r="G1399" s="562">
        <v>8.0</v>
      </c>
      <c r="H1399" s="562">
        <v>0.0</v>
      </c>
      <c r="I1399" s="423"/>
      <c r="J1399" s="423"/>
      <c r="K1399" s="423"/>
      <c r="L1399" s="423"/>
      <c r="M1399" s="423"/>
      <c r="N1399" s="423"/>
      <c r="O1399" s="423"/>
      <c r="P1399" s="423"/>
      <c r="Q1399" s="423"/>
      <c r="R1399" s="423"/>
      <c r="S1399" s="423"/>
      <c r="T1399" s="423"/>
      <c r="U1399" s="423"/>
      <c r="V1399" s="423"/>
      <c r="W1399" s="423"/>
      <c r="X1399" s="423"/>
      <c r="Y1399" s="423"/>
      <c r="Z1399" s="423"/>
    </row>
    <row r="1400">
      <c r="A1400" s="564">
        <v>1398.0</v>
      </c>
      <c r="B1400" s="565" t="s">
        <v>6500</v>
      </c>
      <c r="C1400" s="565" t="s">
        <v>6490</v>
      </c>
      <c r="D1400" s="564">
        <v>0.0</v>
      </c>
      <c r="E1400" s="564">
        <v>0.0</v>
      </c>
      <c r="F1400" s="564">
        <v>0.0</v>
      </c>
      <c r="G1400" s="564">
        <v>8.0</v>
      </c>
      <c r="H1400" s="564">
        <v>0.0</v>
      </c>
      <c r="I1400" s="423"/>
      <c r="J1400" s="423"/>
      <c r="K1400" s="423"/>
      <c r="L1400" s="423"/>
      <c r="M1400" s="423"/>
      <c r="N1400" s="423"/>
      <c r="O1400" s="423"/>
      <c r="P1400" s="423"/>
      <c r="Q1400" s="423"/>
      <c r="R1400" s="423"/>
      <c r="S1400" s="423"/>
      <c r="T1400" s="423"/>
      <c r="U1400" s="423"/>
      <c r="V1400" s="423"/>
      <c r="W1400" s="423"/>
      <c r="X1400" s="423"/>
      <c r="Y1400" s="423"/>
      <c r="Z1400" s="423"/>
    </row>
    <row r="1401">
      <c r="A1401" s="562">
        <v>1399.0</v>
      </c>
      <c r="B1401" s="563" t="s">
        <v>6501</v>
      </c>
      <c r="C1401" s="563" t="s">
        <v>6490</v>
      </c>
      <c r="D1401" s="562">
        <v>0.0</v>
      </c>
      <c r="E1401" s="562">
        <v>0.0</v>
      </c>
      <c r="F1401" s="562">
        <v>0.0</v>
      </c>
      <c r="G1401" s="562">
        <v>8.0</v>
      </c>
      <c r="H1401" s="562">
        <v>0.0</v>
      </c>
      <c r="I1401" s="423"/>
      <c r="J1401" s="423"/>
      <c r="K1401" s="423"/>
      <c r="L1401" s="423"/>
      <c r="M1401" s="423"/>
      <c r="N1401" s="423"/>
      <c r="O1401" s="423"/>
      <c r="P1401" s="423"/>
      <c r="Q1401" s="423"/>
      <c r="R1401" s="423"/>
      <c r="S1401" s="423"/>
      <c r="T1401" s="423"/>
      <c r="U1401" s="423"/>
      <c r="V1401" s="423"/>
      <c r="W1401" s="423"/>
      <c r="X1401" s="423"/>
      <c r="Y1401" s="423"/>
      <c r="Z1401" s="423"/>
    </row>
    <row r="1402">
      <c r="A1402" s="564">
        <v>1400.0</v>
      </c>
      <c r="B1402" s="565" t="s">
        <v>6502</v>
      </c>
      <c r="C1402" s="565" t="s">
        <v>6490</v>
      </c>
      <c r="D1402" s="564">
        <v>0.0</v>
      </c>
      <c r="E1402" s="564">
        <v>0.0</v>
      </c>
      <c r="F1402" s="564">
        <v>0.0</v>
      </c>
      <c r="G1402" s="564">
        <v>8.0</v>
      </c>
      <c r="H1402" s="564">
        <v>0.0</v>
      </c>
      <c r="I1402" s="423"/>
      <c r="J1402" s="423"/>
      <c r="K1402" s="423"/>
      <c r="L1402" s="423"/>
      <c r="M1402" s="423"/>
      <c r="N1402" s="423"/>
      <c r="O1402" s="423"/>
      <c r="P1402" s="423"/>
      <c r="Q1402" s="423"/>
      <c r="R1402" s="423"/>
      <c r="S1402" s="423"/>
      <c r="T1402" s="423"/>
      <c r="U1402" s="423"/>
      <c r="V1402" s="423"/>
      <c r="W1402" s="423"/>
      <c r="X1402" s="423"/>
      <c r="Y1402" s="423"/>
      <c r="Z1402" s="423"/>
    </row>
    <row r="1403">
      <c r="A1403" s="562">
        <v>1401.0</v>
      </c>
      <c r="B1403" s="563" t="s">
        <v>6503</v>
      </c>
      <c r="C1403" s="563" t="s">
        <v>6490</v>
      </c>
      <c r="D1403" s="562">
        <v>0.0</v>
      </c>
      <c r="E1403" s="562">
        <v>0.0</v>
      </c>
      <c r="F1403" s="562">
        <v>0.0</v>
      </c>
      <c r="G1403" s="562">
        <v>8.0</v>
      </c>
      <c r="H1403" s="562">
        <v>0.0</v>
      </c>
      <c r="I1403" s="423"/>
      <c r="J1403" s="423"/>
      <c r="K1403" s="423"/>
      <c r="L1403" s="423"/>
      <c r="M1403" s="423"/>
      <c r="N1403" s="423"/>
      <c r="O1403" s="423"/>
      <c r="P1403" s="423"/>
      <c r="Q1403" s="423"/>
      <c r="R1403" s="423"/>
      <c r="S1403" s="423"/>
      <c r="T1403" s="423"/>
      <c r="U1403" s="423"/>
      <c r="V1403" s="423"/>
      <c r="W1403" s="423"/>
      <c r="X1403" s="423"/>
      <c r="Y1403" s="423"/>
      <c r="Z1403" s="423"/>
    </row>
    <row r="1404">
      <c r="A1404" s="564">
        <v>1402.0</v>
      </c>
      <c r="B1404" s="565" t="s">
        <v>6504</v>
      </c>
      <c r="C1404" s="565" t="s">
        <v>6490</v>
      </c>
      <c r="D1404" s="564">
        <v>0.0</v>
      </c>
      <c r="E1404" s="564">
        <v>0.0</v>
      </c>
      <c r="F1404" s="564">
        <v>0.0</v>
      </c>
      <c r="G1404" s="564">
        <v>8.0</v>
      </c>
      <c r="H1404" s="564">
        <v>0.0</v>
      </c>
      <c r="I1404" s="423"/>
      <c r="J1404" s="423"/>
      <c r="K1404" s="423"/>
      <c r="L1404" s="423"/>
      <c r="M1404" s="423"/>
      <c r="N1404" s="423"/>
      <c r="O1404" s="423"/>
      <c r="P1404" s="423"/>
      <c r="Q1404" s="423"/>
      <c r="R1404" s="423"/>
      <c r="S1404" s="423"/>
      <c r="T1404" s="423"/>
      <c r="U1404" s="423"/>
      <c r="V1404" s="423"/>
      <c r="W1404" s="423"/>
      <c r="X1404" s="423"/>
      <c r="Y1404" s="423"/>
      <c r="Z1404" s="423"/>
    </row>
    <row r="1405">
      <c r="A1405" s="562">
        <v>1403.0</v>
      </c>
      <c r="B1405" s="563" t="s">
        <v>6505</v>
      </c>
      <c r="C1405" s="563" t="s">
        <v>6490</v>
      </c>
      <c r="D1405" s="562">
        <v>0.0</v>
      </c>
      <c r="E1405" s="562">
        <v>0.0</v>
      </c>
      <c r="F1405" s="562">
        <v>0.0</v>
      </c>
      <c r="G1405" s="562">
        <v>8.0</v>
      </c>
      <c r="H1405" s="562">
        <v>0.0</v>
      </c>
      <c r="I1405" s="423"/>
      <c r="J1405" s="423"/>
      <c r="K1405" s="423"/>
      <c r="L1405" s="423"/>
      <c r="M1405" s="423"/>
      <c r="N1405" s="423"/>
      <c r="O1405" s="423"/>
      <c r="P1405" s="423"/>
      <c r="Q1405" s="423"/>
      <c r="R1405" s="423"/>
      <c r="S1405" s="423"/>
      <c r="T1405" s="423"/>
      <c r="U1405" s="423"/>
      <c r="V1405" s="423"/>
      <c r="W1405" s="423"/>
      <c r="X1405" s="423"/>
      <c r="Y1405" s="423"/>
      <c r="Z1405" s="423"/>
    </row>
    <row r="1406">
      <c r="A1406" s="564">
        <v>1404.0</v>
      </c>
      <c r="B1406" s="565" t="s">
        <v>6506</v>
      </c>
      <c r="C1406" s="565" t="s">
        <v>6490</v>
      </c>
      <c r="D1406" s="564">
        <v>0.0</v>
      </c>
      <c r="E1406" s="564">
        <v>0.0</v>
      </c>
      <c r="F1406" s="564">
        <v>0.0</v>
      </c>
      <c r="G1406" s="564">
        <v>8.0</v>
      </c>
      <c r="H1406" s="564">
        <v>0.0</v>
      </c>
      <c r="I1406" s="423"/>
      <c r="J1406" s="423"/>
      <c r="K1406" s="423"/>
      <c r="L1406" s="423"/>
      <c r="M1406" s="423"/>
      <c r="N1406" s="423"/>
      <c r="O1406" s="423"/>
      <c r="P1406" s="423"/>
      <c r="Q1406" s="423"/>
      <c r="R1406" s="423"/>
      <c r="S1406" s="423"/>
      <c r="T1406" s="423"/>
      <c r="U1406" s="423"/>
      <c r="V1406" s="423"/>
      <c r="W1406" s="423"/>
      <c r="X1406" s="423"/>
      <c r="Y1406" s="423"/>
      <c r="Z1406" s="423"/>
    </row>
    <row r="1407">
      <c r="A1407" s="562">
        <v>1405.0</v>
      </c>
      <c r="B1407" s="563" t="s">
        <v>6507</v>
      </c>
      <c r="C1407" s="563" t="s">
        <v>6490</v>
      </c>
      <c r="D1407" s="562">
        <v>0.0</v>
      </c>
      <c r="E1407" s="562">
        <v>0.0</v>
      </c>
      <c r="F1407" s="562">
        <v>0.0</v>
      </c>
      <c r="G1407" s="562">
        <v>8.0</v>
      </c>
      <c r="H1407" s="562">
        <v>0.0</v>
      </c>
      <c r="I1407" s="423"/>
      <c r="J1407" s="423"/>
      <c r="K1407" s="423"/>
      <c r="L1407" s="423"/>
      <c r="M1407" s="423"/>
      <c r="N1407" s="423"/>
      <c r="O1407" s="423"/>
      <c r="P1407" s="423"/>
      <c r="Q1407" s="423"/>
      <c r="R1407" s="423"/>
      <c r="S1407" s="423"/>
      <c r="T1407" s="423"/>
      <c r="U1407" s="423"/>
      <c r="V1407" s="423"/>
      <c r="W1407" s="423"/>
      <c r="X1407" s="423"/>
      <c r="Y1407" s="423"/>
      <c r="Z1407" s="423"/>
    </row>
    <row r="1408">
      <c r="A1408" s="564">
        <v>1406.0</v>
      </c>
      <c r="B1408" s="565" t="s">
        <v>6508</v>
      </c>
      <c r="C1408" s="565" t="s">
        <v>6490</v>
      </c>
      <c r="D1408" s="564">
        <v>0.0</v>
      </c>
      <c r="E1408" s="564">
        <v>0.0</v>
      </c>
      <c r="F1408" s="564">
        <v>0.0</v>
      </c>
      <c r="G1408" s="564">
        <v>8.0</v>
      </c>
      <c r="H1408" s="564">
        <v>0.0</v>
      </c>
      <c r="I1408" s="423"/>
      <c r="J1408" s="423"/>
      <c r="K1408" s="423"/>
      <c r="L1408" s="423"/>
      <c r="M1408" s="423"/>
      <c r="N1408" s="423"/>
      <c r="O1408" s="423"/>
      <c r="P1408" s="423"/>
      <c r="Q1408" s="423"/>
      <c r="R1408" s="423"/>
      <c r="S1408" s="423"/>
      <c r="T1408" s="423"/>
      <c r="U1408" s="423"/>
      <c r="V1408" s="423"/>
      <c r="W1408" s="423"/>
      <c r="X1408" s="423"/>
      <c r="Y1408" s="423"/>
      <c r="Z1408" s="423"/>
    </row>
    <row r="1409">
      <c r="A1409" s="562">
        <v>1407.0</v>
      </c>
      <c r="B1409" s="563" t="s">
        <v>6509</v>
      </c>
      <c r="C1409" s="563" t="s">
        <v>6490</v>
      </c>
      <c r="D1409" s="562">
        <v>0.0</v>
      </c>
      <c r="E1409" s="562">
        <v>0.0</v>
      </c>
      <c r="F1409" s="562">
        <v>0.0</v>
      </c>
      <c r="G1409" s="562">
        <v>8.0</v>
      </c>
      <c r="H1409" s="562">
        <v>0.0</v>
      </c>
      <c r="I1409" s="423"/>
      <c r="J1409" s="423"/>
      <c r="K1409" s="423"/>
      <c r="L1409" s="423"/>
      <c r="M1409" s="423"/>
      <c r="N1409" s="423"/>
      <c r="O1409" s="423"/>
      <c r="P1409" s="423"/>
      <c r="Q1409" s="423"/>
      <c r="R1409" s="423"/>
      <c r="S1409" s="423"/>
      <c r="T1409" s="423"/>
      <c r="U1409" s="423"/>
      <c r="V1409" s="423"/>
      <c r="W1409" s="423"/>
      <c r="X1409" s="423"/>
      <c r="Y1409" s="423"/>
      <c r="Z1409" s="423"/>
    </row>
    <row r="1410">
      <c r="A1410" s="564">
        <v>1408.0</v>
      </c>
      <c r="B1410" s="565" t="s">
        <v>6510</v>
      </c>
      <c r="C1410" s="565" t="s">
        <v>6490</v>
      </c>
      <c r="D1410" s="564">
        <v>0.0</v>
      </c>
      <c r="E1410" s="564">
        <v>0.0</v>
      </c>
      <c r="F1410" s="564">
        <v>0.0</v>
      </c>
      <c r="G1410" s="564">
        <v>8.0</v>
      </c>
      <c r="H1410" s="564">
        <v>0.0</v>
      </c>
      <c r="I1410" s="423"/>
      <c r="J1410" s="423"/>
      <c r="K1410" s="423"/>
      <c r="L1410" s="423"/>
      <c r="M1410" s="423"/>
      <c r="N1410" s="423"/>
      <c r="O1410" s="423"/>
      <c r="P1410" s="423"/>
      <c r="Q1410" s="423"/>
      <c r="R1410" s="423"/>
      <c r="S1410" s="423"/>
      <c r="T1410" s="423"/>
      <c r="U1410" s="423"/>
      <c r="V1410" s="423"/>
      <c r="W1410" s="423"/>
      <c r="X1410" s="423"/>
      <c r="Y1410" s="423"/>
      <c r="Z1410" s="423"/>
    </row>
    <row r="1411">
      <c r="A1411" s="562">
        <v>1409.0</v>
      </c>
      <c r="B1411" s="563" t="s">
        <v>6511</v>
      </c>
      <c r="C1411" s="563" t="s">
        <v>6490</v>
      </c>
      <c r="D1411" s="562">
        <v>0.0</v>
      </c>
      <c r="E1411" s="562">
        <v>0.0</v>
      </c>
      <c r="F1411" s="562">
        <v>0.0</v>
      </c>
      <c r="G1411" s="562">
        <v>8.0</v>
      </c>
      <c r="H1411" s="562">
        <v>0.0</v>
      </c>
      <c r="I1411" s="423"/>
      <c r="J1411" s="423"/>
      <c r="K1411" s="423"/>
      <c r="L1411" s="423"/>
      <c r="M1411" s="423"/>
      <c r="N1411" s="423"/>
      <c r="O1411" s="423"/>
      <c r="P1411" s="423"/>
      <c r="Q1411" s="423"/>
      <c r="R1411" s="423"/>
      <c r="S1411" s="423"/>
      <c r="T1411" s="423"/>
      <c r="U1411" s="423"/>
      <c r="V1411" s="423"/>
      <c r="W1411" s="423"/>
      <c r="X1411" s="423"/>
      <c r="Y1411" s="423"/>
      <c r="Z1411" s="423"/>
    </row>
    <row r="1412">
      <c r="A1412" s="564">
        <v>1410.0</v>
      </c>
      <c r="B1412" s="565" t="s">
        <v>6512</v>
      </c>
      <c r="C1412" s="565" t="s">
        <v>6490</v>
      </c>
      <c r="D1412" s="564">
        <v>1.0</v>
      </c>
      <c r="E1412" s="564">
        <v>0.0</v>
      </c>
      <c r="F1412" s="564">
        <v>0.0</v>
      </c>
      <c r="G1412" s="564">
        <v>7.0</v>
      </c>
      <c r="H1412" s="564">
        <v>0.0</v>
      </c>
      <c r="I1412" s="423"/>
      <c r="J1412" s="423"/>
      <c r="K1412" s="423"/>
      <c r="L1412" s="423"/>
      <c r="M1412" s="423"/>
      <c r="N1412" s="423"/>
      <c r="O1412" s="423"/>
      <c r="P1412" s="423"/>
      <c r="Q1412" s="423"/>
      <c r="R1412" s="423"/>
      <c r="S1412" s="423"/>
      <c r="T1412" s="423"/>
      <c r="U1412" s="423"/>
      <c r="V1412" s="423"/>
      <c r="W1412" s="423"/>
      <c r="X1412" s="423"/>
      <c r="Y1412" s="423"/>
      <c r="Z1412" s="423"/>
    </row>
    <row r="1413">
      <c r="A1413" s="562">
        <v>1411.0</v>
      </c>
      <c r="B1413" s="563" t="s">
        <v>6513</v>
      </c>
      <c r="C1413" s="563" t="s">
        <v>6490</v>
      </c>
      <c r="D1413" s="562">
        <v>0.0</v>
      </c>
      <c r="E1413" s="562">
        <v>0.0</v>
      </c>
      <c r="F1413" s="562">
        <v>0.0</v>
      </c>
      <c r="G1413" s="562">
        <v>8.0</v>
      </c>
      <c r="H1413" s="562">
        <v>0.0</v>
      </c>
      <c r="I1413" s="423"/>
      <c r="J1413" s="423"/>
      <c r="K1413" s="423"/>
      <c r="L1413" s="423"/>
      <c r="M1413" s="423"/>
      <c r="N1413" s="423"/>
      <c r="O1413" s="423"/>
      <c r="P1413" s="423"/>
      <c r="Q1413" s="423"/>
      <c r="R1413" s="423"/>
      <c r="S1413" s="423"/>
      <c r="T1413" s="423"/>
      <c r="U1413" s="423"/>
      <c r="V1413" s="423"/>
      <c r="W1413" s="423"/>
      <c r="X1413" s="423"/>
      <c r="Y1413" s="423"/>
      <c r="Z1413" s="423"/>
    </row>
    <row r="1414">
      <c r="A1414" s="564">
        <v>1412.0</v>
      </c>
      <c r="B1414" s="565" t="s">
        <v>6514</v>
      </c>
      <c r="C1414" s="565" t="s">
        <v>6490</v>
      </c>
      <c r="D1414" s="564">
        <v>0.0</v>
      </c>
      <c r="E1414" s="564">
        <v>0.0</v>
      </c>
      <c r="F1414" s="564">
        <v>0.0</v>
      </c>
      <c r="G1414" s="564">
        <v>8.0</v>
      </c>
      <c r="H1414" s="564">
        <v>0.0</v>
      </c>
      <c r="I1414" s="423"/>
      <c r="J1414" s="423"/>
      <c r="K1414" s="423"/>
      <c r="L1414" s="423"/>
      <c r="M1414" s="423"/>
      <c r="N1414" s="423"/>
      <c r="O1414" s="423"/>
      <c r="P1414" s="423"/>
      <c r="Q1414" s="423"/>
      <c r="R1414" s="423"/>
      <c r="S1414" s="423"/>
      <c r="T1414" s="423"/>
      <c r="U1414" s="423"/>
      <c r="V1414" s="423"/>
      <c r="W1414" s="423"/>
      <c r="X1414" s="423"/>
      <c r="Y1414" s="423"/>
      <c r="Z1414" s="423"/>
    </row>
    <row r="1415">
      <c r="A1415" s="562">
        <v>1413.0</v>
      </c>
      <c r="B1415" s="563" t="s">
        <v>6515</v>
      </c>
      <c r="C1415" s="563" t="s">
        <v>6490</v>
      </c>
      <c r="D1415" s="562">
        <v>0.0</v>
      </c>
      <c r="E1415" s="562">
        <v>0.0</v>
      </c>
      <c r="F1415" s="562">
        <v>0.0</v>
      </c>
      <c r="G1415" s="562">
        <v>8.0</v>
      </c>
      <c r="H1415" s="562">
        <v>0.0</v>
      </c>
      <c r="I1415" s="423"/>
      <c r="J1415" s="423"/>
      <c r="K1415" s="423"/>
      <c r="L1415" s="423"/>
      <c r="M1415" s="423"/>
      <c r="N1415" s="423"/>
      <c r="O1415" s="423"/>
      <c r="P1415" s="423"/>
      <c r="Q1415" s="423"/>
      <c r="R1415" s="423"/>
      <c r="S1415" s="423"/>
      <c r="T1415" s="423"/>
      <c r="U1415" s="423"/>
      <c r="V1415" s="423"/>
      <c r="W1415" s="423"/>
      <c r="X1415" s="423"/>
      <c r="Y1415" s="423"/>
      <c r="Z1415" s="423"/>
    </row>
    <row r="1416">
      <c r="A1416" s="564">
        <v>1414.0</v>
      </c>
      <c r="B1416" s="565" t="s">
        <v>6516</v>
      </c>
      <c r="C1416" s="565" t="s">
        <v>6490</v>
      </c>
      <c r="D1416" s="564">
        <v>0.0</v>
      </c>
      <c r="E1416" s="564">
        <v>0.0</v>
      </c>
      <c r="F1416" s="564">
        <v>0.0</v>
      </c>
      <c r="G1416" s="564">
        <v>8.0</v>
      </c>
      <c r="H1416" s="564">
        <v>0.0</v>
      </c>
      <c r="I1416" s="423"/>
      <c r="J1416" s="423"/>
      <c r="K1416" s="423"/>
      <c r="L1416" s="423"/>
      <c r="M1416" s="423"/>
      <c r="N1416" s="423"/>
      <c r="O1416" s="423"/>
      <c r="P1416" s="423"/>
      <c r="Q1416" s="423"/>
      <c r="R1416" s="423"/>
      <c r="S1416" s="423"/>
      <c r="T1416" s="423"/>
      <c r="U1416" s="423"/>
      <c r="V1416" s="423"/>
      <c r="W1416" s="423"/>
      <c r="X1416" s="423"/>
      <c r="Y1416" s="423"/>
      <c r="Z1416" s="423"/>
    </row>
    <row r="1417">
      <c r="A1417" s="562">
        <v>1415.0</v>
      </c>
      <c r="B1417" s="563" t="s">
        <v>6517</v>
      </c>
      <c r="C1417" s="563" t="s">
        <v>6490</v>
      </c>
      <c r="D1417" s="562">
        <v>0.0</v>
      </c>
      <c r="E1417" s="562">
        <v>0.0</v>
      </c>
      <c r="F1417" s="562">
        <v>0.0</v>
      </c>
      <c r="G1417" s="562">
        <v>8.0</v>
      </c>
      <c r="H1417" s="562">
        <v>0.0</v>
      </c>
      <c r="I1417" s="423"/>
      <c r="J1417" s="423"/>
      <c r="K1417" s="423"/>
      <c r="L1417" s="423"/>
      <c r="M1417" s="423"/>
      <c r="N1417" s="423"/>
      <c r="O1417" s="423"/>
      <c r="P1417" s="423"/>
      <c r="Q1417" s="423"/>
      <c r="R1417" s="423"/>
      <c r="S1417" s="423"/>
      <c r="T1417" s="423"/>
      <c r="U1417" s="423"/>
      <c r="V1417" s="423"/>
      <c r="W1417" s="423"/>
      <c r="X1417" s="423"/>
      <c r="Y1417" s="423"/>
      <c r="Z1417" s="423"/>
    </row>
    <row r="1418">
      <c r="A1418" s="564">
        <v>1416.0</v>
      </c>
      <c r="B1418" s="565" t="s">
        <v>6518</v>
      </c>
      <c r="C1418" s="565" t="s">
        <v>6490</v>
      </c>
      <c r="D1418" s="564">
        <v>0.0</v>
      </c>
      <c r="E1418" s="564">
        <v>0.0</v>
      </c>
      <c r="F1418" s="564">
        <v>0.0</v>
      </c>
      <c r="G1418" s="564">
        <v>8.0</v>
      </c>
      <c r="H1418" s="564">
        <v>0.0</v>
      </c>
      <c r="I1418" s="423"/>
      <c r="J1418" s="423"/>
      <c r="K1418" s="423"/>
      <c r="L1418" s="423"/>
      <c r="M1418" s="423"/>
      <c r="N1418" s="423"/>
      <c r="O1418" s="423"/>
      <c r="P1418" s="423"/>
      <c r="Q1418" s="423"/>
      <c r="R1418" s="423"/>
      <c r="S1418" s="423"/>
      <c r="T1418" s="423"/>
      <c r="U1418" s="423"/>
      <c r="V1418" s="423"/>
      <c r="W1418" s="423"/>
      <c r="X1418" s="423"/>
      <c r="Y1418" s="423"/>
      <c r="Z1418" s="423"/>
    </row>
    <row r="1419">
      <c r="A1419" s="562">
        <v>1417.0</v>
      </c>
      <c r="B1419" s="563" t="s">
        <v>6519</v>
      </c>
      <c r="C1419" s="563" t="s">
        <v>6490</v>
      </c>
      <c r="D1419" s="562">
        <v>0.0</v>
      </c>
      <c r="E1419" s="562">
        <v>0.0</v>
      </c>
      <c r="F1419" s="562">
        <v>0.0</v>
      </c>
      <c r="G1419" s="562">
        <v>8.0</v>
      </c>
      <c r="H1419" s="562">
        <v>0.0</v>
      </c>
      <c r="I1419" s="423"/>
      <c r="J1419" s="423"/>
      <c r="K1419" s="423"/>
      <c r="L1419" s="423"/>
      <c r="M1419" s="423"/>
      <c r="N1419" s="423"/>
      <c r="O1419" s="423"/>
      <c r="P1419" s="423"/>
      <c r="Q1419" s="423"/>
      <c r="R1419" s="423"/>
      <c r="S1419" s="423"/>
      <c r="T1419" s="423"/>
      <c r="U1419" s="423"/>
      <c r="V1419" s="423"/>
      <c r="W1419" s="423"/>
      <c r="X1419" s="423"/>
      <c r="Y1419" s="423"/>
      <c r="Z1419" s="423"/>
    </row>
    <row r="1420">
      <c r="A1420" s="564">
        <v>1418.0</v>
      </c>
      <c r="B1420" s="565" t="s">
        <v>6520</v>
      </c>
      <c r="C1420" s="565" t="s">
        <v>6490</v>
      </c>
      <c r="D1420" s="564">
        <v>0.0</v>
      </c>
      <c r="E1420" s="564">
        <v>0.0</v>
      </c>
      <c r="F1420" s="564">
        <v>0.0</v>
      </c>
      <c r="G1420" s="564">
        <v>8.0</v>
      </c>
      <c r="H1420" s="564">
        <v>0.0</v>
      </c>
      <c r="I1420" s="423"/>
      <c r="J1420" s="423"/>
      <c r="K1420" s="423"/>
      <c r="L1420" s="423"/>
      <c r="M1420" s="423"/>
      <c r="N1420" s="423"/>
      <c r="O1420" s="423"/>
      <c r="P1420" s="423"/>
      <c r="Q1420" s="423"/>
      <c r="R1420" s="423"/>
      <c r="S1420" s="423"/>
      <c r="T1420" s="423"/>
      <c r="U1420" s="423"/>
      <c r="V1420" s="423"/>
      <c r="W1420" s="423"/>
      <c r="X1420" s="423"/>
      <c r="Y1420" s="423"/>
      <c r="Z1420" s="423"/>
    </row>
    <row r="1421">
      <c r="A1421" s="562">
        <v>1419.0</v>
      </c>
      <c r="B1421" s="563" t="s">
        <v>6521</v>
      </c>
      <c r="C1421" s="563" t="s">
        <v>6490</v>
      </c>
      <c r="D1421" s="562">
        <v>0.0</v>
      </c>
      <c r="E1421" s="562">
        <v>0.0</v>
      </c>
      <c r="F1421" s="562">
        <v>0.0</v>
      </c>
      <c r="G1421" s="562">
        <v>8.0</v>
      </c>
      <c r="H1421" s="562">
        <v>0.0</v>
      </c>
      <c r="I1421" s="423"/>
      <c r="J1421" s="423"/>
      <c r="K1421" s="423"/>
      <c r="L1421" s="423"/>
      <c r="M1421" s="423"/>
      <c r="N1421" s="423"/>
      <c r="O1421" s="423"/>
      <c r="P1421" s="423"/>
      <c r="Q1421" s="423"/>
      <c r="R1421" s="423"/>
      <c r="S1421" s="423"/>
      <c r="T1421" s="423"/>
      <c r="U1421" s="423"/>
      <c r="V1421" s="423"/>
      <c r="W1421" s="423"/>
      <c r="X1421" s="423"/>
      <c r="Y1421" s="423"/>
      <c r="Z1421" s="423"/>
    </row>
    <row r="1422">
      <c r="A1422" s="564">
        <v>1420.0</v>
      </c>
      <c r="B1422" s="565" t="s">
        <v>6522</v>
      </c>
      <c r="C1422" s="565" t="s">
        <v>6490</v>
      </c>
      <c r="D1422" s="564">
        <v>0.0</v>
      </c>
      <c r="E1422" s="564">
        <v>0.0</v>
      </c>
      <c r="F1422" s="564">
        <v>0.0</v>
      </c>
      <c r="G1422" s="564">
        <v>8.0</v>
      </c>
      <c r="H1422" s="564">
        <v>0.0</v>
      </c>
      <c r="I1422" s="423"/>
      <c r="J1422" s="423"/>
      <c r="K1422" s="423"/>
      <c r="L1422" s="423"/>
      <c r="M1422" s="423"/>
      <c r="N1422" s="423"/>
      <c r="O1422" s="423"/>
      <c r="P1422" s="423"/>
      <c r="Q1422" s="423"/>
      <c r="R1422" s="423"/>
      <c r="S1422" s="423"/>
      <c r="T1422" s="423"/>
      <c r="U1422" s="423"/>
      <c r="V1422" s="423"/>
      <c r="W1422" s="423"/>
      <c r="X1422" s="423"/>
      <c r="Y1422" s="423"/>
      <c r="Z1422" s="423"/>
    </row>
    <row r="1423">
      <c r="A1423" s="562">
        <v>1421.0</v>
      </c>
      <c r="B1423" s="563" t="s">
        <v>6523</v>
      </c>
      <c r="C1423" s="563" t="s">
        <v>6490</v>
      </c>
      <c r="D1423" s="562">
        <v>0.0</v>
      </c>
      <c r="E1423" s="562">
        <v>0.0</v>
      </c>
      <c r="F1423" s="562">
        <v>0.0</v>
      </c>
      <c r="G1423" s="562">
        <v>8.0</v>
      </c>
      <c r="H1423" s="562">
        <v>0.0</v>
      </c>
      <c r="I1423" s="423"/>
      <c r="J1423" s="423"/>
      <c r="K1423" s="423"/>
      <c r="L1423" s="423"/>
      <c r="M1423" s="423"/>
      <c r="N1423" s="423"/>
      <c r="O1423" s="423"/>
      <c r="P1423" s="423"/>
      <c r="Q1423" s="423"/>
      <c r="R1423" s="423"/>
      <c r="S1423" s="423"/>
      <c r="T1423" s="423"/>
      <c r="U1423" s="423"/>
      <c r="V1423" s="423"/>
      <c r="W1423" s="423"/>
      <c r="X1423" s="423"/>
      <c r="Y1423" s="423"/>
      <c r="Z1423" s="423"/>
    </row>
    <row r="1424">
      <c r="A1424" s="564">
        <v>1422.0</v>
      </c>
      <c r="B1424" s="565" t="s">
        <v>6524</v>
      </c>
      <c r="C1424" s="565" t="s">
        <v>6490</v>
      </c>
      <c r="D1424" s="564">
        <v>0.0</v>
      </c>
      <c r="E1424" s="564">
        <v>0.0</v>
      </c>
      <c r="F1424" s="564">
        <v>0.0</v>
      </c>
      <c r="G1424" s="564">
        <v>8.0</v>
      </c>
      <c r="H1424" s="564">
        <v>0.0</v>
      </c>
      <c r="I1424" s="423"/>
      <c r="J1424" s="423"/>
      <c r="K1424" s="423"/>
      <c r="L1424" s="423"/>
      <c r="M1424" s="423"/>
      <c r="N1424" s="423"/>
      <c r="O1424" s="423"/>
      <c r="P1424" s="423"/>
      <c r="Q1424" s="423"/>
      <c r="R1424" s="423"/>
      <c r="S1424" s="423"/>
      <c r="T1424" s="423"/>
      <c r="U1424" s="423"/>
      <c r="V1424" s="423"/>
      <c r="W1424" s="423"/>
      <c r="X1424" s="423"/>
      <c r="Y1424" s="423"/>
      <c r="Z1424" s="423"/>
    </row>
  </sheetData>
  <mergeCells count="1">
    <mergeCell ref="A1:H1"/>
  </mergeCells>
  <drawing r:id="rId1"/>
</worksheet>
</file>